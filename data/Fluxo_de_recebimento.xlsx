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"/>
    </mc:Choice>
  </mc:AlternateContent>
  <xr:revisionPtr revIDLastSave="0" documentId="13_ncr:1_{D2B961C0-58D2-4438-BCFD-0742DD4E7A1B}" xr6:coauthVersionLast="47" xr6:coauthVersionMax="47" xr10:uidLastSave="{00000000-0000-0000-0000-000000000000}"/>
  <bookViews>
    <workbookView xWindow="-108" yWindow="-108" windowWidth="23256" windowHeight="12456" tabRatio="747" firstSheet="5" activeTab="5" xr2:uid="{354179F4-D105-4BF2-B717-B5E295E6C087}"/>
  </bookViews>
  <sheets>
    <sheet name="Executivo" sheetId="67" state="hidden" r:id="rId1"/>
    <sheet name="Planilha3" sheetId="175" state="hidden" r:id="rId2"/>
    <sheet name="Local" sheetId="172" state="hidden" r:id="rId3"/>
    <sheet name="CC" sheetId="169" state="hidden" r:id="rId4"/>
    <sheet name="Projeção contabil" sheetId="170" state="hidden" r:id="rId5"/>
    <sheet name="CT A RECEBER" sheetId="1" r:id="rId6"/>
  </sheets>
  <definedNames>
    <definedName name="_xlnm._FilterDatabase" localSheetId="3" hidden="1">CC!$A$1:$I$416</definedName>
    <definedName name="_xlnm._FilterDatabase" localSheetId="5" hidden="1">'CT A RECEBER'!#REF!</definedName>
    <definedName name="BU">#REF!</definedName>
    <definedName name="cc">#REF!</definedName>
    <definedName name="CLIENTE">#REF!</definedName>
    <definedName name="DELIVERY">#REF!</definedName>
    <definedName name="SegmentaçãodeDados_BU">#N/A</definedName>
    <definedName name="SegmentaçãodeDados_Diretor_de_Operações">#N/A</definedName>
    <definedName name="SegmentaçãodeDados_Excecutivo">#N/A</definedName>
    <definedName name="SegmentaçãodeDados_NIVEL_RISCO">#N/A</definedName>
    <definedName name="SegmentaçãodeDados_STATUS">#N/A</definedName>
    <definedName name="STATUS">#REF!</definedName>
  </definedNames>
  <calcPr calcId="191028"/>
  <pivotCaches>
    <pivotCache cacheId="162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02" i="1" l="1"/>
  <c r="G2403" i="1" l="1"/>
  <c r="D2" i="175"/>
  <c r="H2400" i="1"/>
  <c r="J55" i="67" l="1"/>
  <c r="J56" i="67"/>
  <c r="J58" i="67"/>
  <c r="J59" i="67"/>
  <c r="J60" i="67"/>
  <c r="J61" i="67"/>
  <c r="J62" i="67"/>
  <c r="J63" i="67"/>
  <c r="J64" i="67"/>
  <c r="J65" i="67"/>
  <c r="J66" i="67"/>
  <c r="J67" i="67"/>
  <c r="J54" i="67"/>
  <c r="I68" i="67"/>
  <c r="H68" i="67"/>
  <c r="J68" i="67" l="1"/>
  <c r="C4" i="170" l="1"/>
  <c r="C5" i="170" l="1"/>
  <c r="D5" i="170" s="1"/>
  <c r="C6" i="170"/>
  <c r="D6" i="170" s="1"/>
  <c r="C7" i="170"/>
  <c r="D7" i="170" s="1"/>
  <c r="C8" i="170"/>
  <c r="D8" i="170" s="1"/>
  <c r="C9" i="170"/>
  <c r="D9" i="170" s="1"/>
  <c r="C10" i="170"/>
  <c r="D10" i="170" s="1"/>
  <c r="C11" i="170"/>
  <c r="D11" i="170" s="1"/>
  <c r="C12" i="170"/>
  <c r="D12" i="170" s="1"/>
  <c r="C13" i="170"/>
  <c r="D13" i="170" s="1"/>
  <c r="C14" i="170"/>
  <c r="D14" i="170" s="1"/>
  <c r="C15" i="170"/>
  <c r="D15" i="170" s="1"/>
  <c r="C16" i="170"/>
  <c r="D16" i="170" s="1"/>
  <c r="C17" i="170"/>
  <c r="D17" i="170" s="1"/>
  <c r="C18" i="170"/>
  <c r="D18" i="170" s="1"/>
  <c r="C19" i="170"/>
  <c r="D19" i="170" s="1"/>
  <c r="C20" i="170"/>
  <c r="D20" i="170" s="1"/>
  <c r="C21" i="170"/>
  <c r="D21" i="170" s="1"/>
  <c r="C22" i="170"/>
  <c r="D22" i="170" s="1"/>
  <c r="C23" i="170"/>
  <c r="D23" i="170" s="1"/>
  <c r="C24" i="170"/>
  <c r="D24" i="170" s="1"/>
  <c r="C25" i="170"/>
  <c r="D25" i="170" s="1"/>
  <c r="C26" i="170"/>
  <c r="D26" i="170" s="1"/>
  <c r="C27" i="170"/>
  <c r="D27" i="170" s="1"/>
  <c r="C28" i="170"/>
  <c r="D28" i="170" s="1"/>
  <c r="C29" i="170"/>
  <c r="D29" i="170" s="1"/>
  <c r="C30" i="170"/>
  <c r="D30" i="170" s="1"/>
  <c r="C31" i="170"/>
  <c r="D31" i="170" s="1"/>
  <c r="C32" i="170"/>
  <c r="D32" i="170" s="1"/>
  <c r="C33" i="170"/>
  <c r="D33" i="170" s="1"/>
  <c r="C34" i="170"/>
  <c r="D34" i="170" s="1"/>
  <c r="C35" i="170"/>
  <c r="D35" i="170" s="1"/>
  <c r="C36" i="170"/>
  <c r="D36" i="170" s="1"/>
  <c r="C37" i="170"/>
  <c r="D37" i="170" s="1"/>
  <c r="C38" i="170"/>
  <c r="C39" i="170"/>
  <c r="D39" i="170" s="1"/>
  <c r="D4" i="170"/>
  <c r="C40" i="170" l="1"/>
  <c r="B38" i="170" l="1"/>
  <c r="B40" i="170" l="1"/>
  <c r="D38" i="170"/>
  <c r="D40" i="170" l="1"/>
  <c r="U8" i="67" l="1"/>
  <c r="T8" i="67" s="1"/>
  <c r="V8" i="67" s="1"/>
  <c r="U7" i="67"/>
  <c r="T7" i="67" s="1"/>
  <c r="V7" i="67" s="1"/>
  <c r="T6" i="67"/>
  <c r="V6" i="67" s="1"/>
  <c r="T9" i="67"/>
  <c r="V9" i="67" s="1"/>
  <c r="T10" i="67" l="1"/>
  <c r="U10" i="67"/>
  <c r="V10" i="6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tc={69A3433F-82D5-45EE-AA68-E7AD904E99EF}</author>
    <author>tc={336C3D84-5D34-4B3C-8B0F-06AA811ED3E1}</author>
    <author>tc={EEB8ECBE-C83C-4E84-AE32-4016C12C6830}</author>
    <author>tc={64825184-C99F-4345-8C89-A25FB29BDE44}</author>
    <author>tc={A1B37D4D-014A-451B-ABD7-B8AA6FA2A12C}</author>
    <author>tc={9A673B68-59FD-459B-B32B-25F6E5D19DD6}</author>
    <author>tc={0B0396D0-8BEB-4340-9775-104EAAA13755}</author>
    <author>tc={CFD13F51-0F00-4FC8-B981-CD539A35A845}</author>
    <author>tc={02AA0D44-12DC-4350-B8D9-AAAD25F1C526}</author>
    <author>tc={4A557C96-0FE7-422F-86CC-AEEE37BE17D2}</author>
    <author>tc={27DA62CF-7F3E-414B-A9EE-774F043A3108}</author>
    <author>tc={72B2CC0D-38E8-4908-9B08-C972820444B1}</author>
    <author>tc={5F210FEE-4ED9-4052-991A-435CF52F439F}</author>
    <author>tc={612A55BE-D52E-4154-B0F1-01038C96C263}</author>
    <author>tc={FA4038BF-A1F6-424D-B30A-083DE35972AB}</author>
    <author>tc={6549DE52-8D03-4921-AF46-009D217A582E}</author>
    <author>tc={6D450CB4-7370-4005-8129-E0CA326017BE}</author>
    <author>tc={FAC29DC7-56F5-4ED3-A1D4-311788F8E977}</author>
    <author>tc={573D4391-02DB-4E12-8DA2-BB132E503AEA}</author>
    <author>tc={ACE1C0C2-F8FD-47E5-949E-924D49D293A0}</author>
    <author>tc={C505E990-C9C8-490A-A625-A1DCD1390F83}</author>
    <author>tc={FE494523-17E5-4F8E-AC41-AD85C069A43C}</author>
    <author>tc={2D4AD8B6-ECB0-4F91-842F-2AD640B8BDE5}</author>
    <author>tc={A0927A5F-75AB-4DCB-AE24-416839D731A3}</author>
    <author>tc={B432ECB8-AFE9-416F-8093-67BF3AB8DBE7}</author>
    <author>tc={2B61CDFB-58F8-41D5-9EEF-6E0B2519C832}</author>
    <author>tc={65205B7B-E065-4398-B708-B452F09FB02D}</author>
    <author>tc={DA515458-55CC-4DDB-8F1F-03D60EB1DD35}</author>
    <author>tc={1D4CA765-9F3C-4511-B725-FD866C1F80CD}</author>
    <author>tc={AB983550-106E-4D4B-83AF-D57520E8E5E5}</author>
    <author>tc={D4E7FCB1-D659-467A-8289-098D54E6A4A9}</author>
    <author>tc={12E559D5-FAF9-464E-82E9-2C5A7E07A6A5}</author>
    <author>tc={0E047504-0874-4758-BC81-5C9F7CF92551}</author>
    <author>tc={D75483AF-92F0-4DE1-842E-04E1E318493F}</author>
    <author>tc={56135BB2-6625-4CCB-931A-41422FD42CE6}</author>
    <author>tc={56B9E8DF-47FA-464B-B720-D7D7BFF52E3A}</author>
    <author>tc={A29E80A2-A404-4B24-A3B2-9A5A9D54E91C}</author>
    <author>tc={88A7245C-24B4-453D-9F17-8A9A555E8FAF}</author>
    <author>tc={2FFD0CFA-DA62-40F6-AE97-856E584A7A00}</author>
    <author>tc={98144778-58B2-4C23-B5FE-143AAE4A256C}</author>
    <author>tc={1B1F112F-4D27-4F98-AA84-4952E7D197BB}</author>
    <author>tc={8E9DE130-5173-4C29-99F0-1EBC82CE3400}</author>
    <author>tc={3F7B1094-AF1C-4F2D-986E-C9462BA3F405}</author>
    <author>tc={501611E5-99D5-4A9C-89AD-CF1D2B1DCEA2}</author>
    <author>tc={34AB3D18-61FC-48F1-92B0-988882075AA8}</author>
    <author>tc={C34F5733-3517-4383-BD64-25735D3C8AA5}</author>
    <author>tc={664406CF-5180-4367-94D9-D7A0576B4F05}</author>
    <author>tc={84C35A3C-B538-4109-9D23-40B0875D387A}</author>
    <author>tc={9DAB0286-07D4-462F-870C-3D74FEEB60A8}</author>
    <author>tc={BE6936DC-E7DD-4397-A2C0-41029C412DE9}</author>
    <author>tc={49DE1EB2-D4AE-4A54-BA84-5170354A3677}</author>
    <author>tc={E8E0BA0B-A5F2-4D90-8D24-8011DF2DA37C}</author>
    <author>tc={F01313D9-A162-45B2-B047-2A5E09E76D78}</author>
    <author>tc={CC3EBA53-3FD3-4623-A9FD-2D527AF0D2B5}</author>
    <author>tc={F4B757FC-C018-41C7-AC45-011531CC7123}</author>
    <author>tc={F5EF41D6-9A7B-425D-8978-40256C3C393E}</author>
    <author>tc={967E5B0A-4D9C-42D2-A820-33CA7583E3B8}</author>
    <author>tc={0403CBAB-4C6B-428D-838E-B10B3E0DCB62}</author>
    <author>tc={9BF5DC8A-4C37-48D7-9428-CC2B2DA5D38D}</author>
    <author>tc={57FAD4EC-35FD-424B-9BA6-941BC44F6283}</author>
    <author>tc={BCDF1314-390F-431E-8F86-9256881E97F5}</author>
    <author>tc={7EE396EC-031C-49EF-8B6D-3E6EB13D02F8}</author>
    <author>tc={3FDC42A4-4B4A-4883-81C0-C48073C1C716}</author>
    <author>tc={E2D6690A-C8FA-4CB4-BEEB-1C53BA396DD0}</author>
    <author>tc={69C99F58-BA22-4C8A-982C-DE918F9FE169}</author>
    <author>tc={466C1749-164E-4931-9CF8-C9FBB696B293}</author>
    <author>tc={D8D62868-7CB4-4C1C-B473-D409C16C0CA7}</author>
    <author>tc={92793B15-5897-425E-9318-5E9C6354612D}</author>
    <author>tc={A023D54C-E744-4363-B516-164DD2D26D89}</author>
    <author>tc={E62F84A8-CEEF-47E5-89B7-7299DC21B8AC}</author>
    <author>tc={3D35DCB1-AB37-45A7-8880-2391153C265F}</author>
    <author>tc={6DB46374-9951-4C46-8312-0CA8B3EEAFB7}</author>
    <author>tc={8E88878A-FB6D-46FD-979C-0B5306989764}</author>
    <author>tc={D2A32573-99AE-4EB6-8019-CC9F131A0E4F}</author>
    <author>tc={7297D561-9BFB-4DC5-A806-1F14BEBDFE73}</author>
    <author>tc={E1E44CEA-5A40-4331-BB91-57115FD027E4}</author>
    <author>tc={CE352F7C-CFD1-4937-91D2-AAC4FE205983}</author>
    <author>tc={496F2803-5814-4A69-9DFF-6DD2355B914F}</author>
    <author>tc={6B05E386-0CAB-437F-881E-F132C6733468}</author>
    <author>tc={9B59577E-4B80-48D4-B1CA-739E78DD2157}</author>
    <author>tc={84961539-1C3B-4811-8AC5-30792D9E9115}</author>
    <author>tc={FEDFE453-97D5-4B51-A3BE-337728507562}</author>
    <author>tc={9FFC213A-32A7-4611-A21D-4B47E69AE3D4}</author>
    <author>tc={E23E6636-5AA6-4226-B3A4-59D685B9055A}</author>
    <author>tc={EDEBBB05-2F2E-4694-86BC-3013526BDE9D}</author>
    <author>tc={E114F98C-909A-429C-8124-D123972F18EC}</author>
    <author>tc={2E99864C-D5C3-4C84-B550-B75CB65DC661}</author>
    <author>tc={D03C8CF7-0934-4117-BE68-4434320FFCC1}</author>
    <author>tc={5BC3D748-2E6E-4A7E-81CD-C360603C252D}</author>
    <author>tc={9DD68C3A-40AB-4DAC-B135-1EEF21A99A3D}</author>
    <author>tc={1C49A865-0F4A-4D67-8877-6046F2660D68}</author>
    <author>tc={30CF35FA-4962-4324-A78D-8380389BBCC5}</author>
    <author>tc={1FF804CD-49AF-4E16-8DD3-4727148DBCD9}</author>
    <author>tc={A43C3549-A1D4-449E-84C6-3B28240259CE}</author>
    <author>tc={F3D1D9CD-913A-4A0D-A2F3-F0D9FF53740F}</author>
    <author>tc={61C337CF-3D4F-41B3-BD39-0F158344005E}</author>
    <author>tc={C877BD60-3489-4DC4-9479-1A95674378F1}</author>
    <author>tc={9B53CC47-2DA5-498A-AF5D-8D7E8BEB7FBE}</author>
    <author>tc={156D9E80-9284-41D5-9D03-61AE88D2420F}</author>
    <author>tc={375CFD8E-2494-45B5-BDDE-14F1DBA4F917}</author>
    <author>tc={FA4526F8-96A1-4D48-91D6-6B4EA8BA5F1D}</author>
    <author>tc={EC7C036B-14B4-4048-92FD-004DB4701DCC}</author>
    <author>tc={FA3B99CE-9A4F-4412-BAC5-1632B2B1D136}</author>
    <author>tc={3D398482-5878-40B3-9FC3-1D394B8BF1EC}</author>
    <author>tc={CE3D32E3-FD5C-4AE1-A834-22F57FFEB536}</author>
    <author>tc={4C9D9A1A-9E8D-41B6-BFB3-4A429493951E}</author>
    <author>tc={663981B3-D159-4678-BA27-2997CBEE3EF6}</author>
    <author>tc={DE32FBDF-0B81-4200-8AA4-40F2CAABBE57}</author>
    <author>tc={ECC8D335-31BB-4534-AFDC-3BB38D6D6479}</author>
    <author>tc={351EB751-DF31-419F-B1AD-17CC093FF997}</author>
    <author>tc={2823F23A-51BC-4BA1-BA39-C1C6023EC76D}</author>
    <author>tc={0556AFA1-35E5-4FC8-A5BC-83297E6F751C}</author>
    <author>tc={7A8B90F3-F3A8-4D19-A6D3-32CB842B1FEF}</author>
    <author>tc={CC8093A2-439A-49DF-845F-55940454F256}</author>
    <author>tc={FC4734CB-6D53-42FD-93BD-08E4FC576407}</author>
    <author>tc={972952D6-DD9F-4A0A-8977-720DE8ED6BD5}</author>
    <author>tc={2B19AF8C-3DEE-48A5-8683-C45967065B10}</author>
    <author>tc={AB9C1203-90EE-4E3F-B5DC-D40F434DD37D}</author>
    <author>tc={3490E643-8BA5-47AE-A436-87B9A821A7D8}</author>
    <author>tc={8FB8C6B4-9277-4D89-B476-5E03344D961D}</author>
    <author>tc={0330A85E-8F82-4179-BA0F-076E96DC766A}</author>
    <author>tc={8BBEB940-FE99-4FA5-BF9E-DB0BB82BCEC1}</author>
    <author>tc={A65A5BC7-73DB-406B-BE74-22FE7F769B58}</author>
    <author>tc={213F47F4-F7CC-49FF-88DA-8EBFD93399A5}</author>
    <author>tc={AB0D4687-0D14-46EA-B9F6-B4760D44A2C6}</author>
    <author>tc={55646C8D-EB13-42DD-8E95-71E9A5B3AD36}</author>
    <author>tc={36FBA783-28D3-4A3A-9EF6-93AA42D03D42}</author>
    <author>tc={C7E6999E-ED33-4AC2-B4B4-354FA30554F1}</author>
    <author>tc={8350FC46-4CA9-47D9-BA80-445A71C4D6D0}</author>
    <author>tc={E44E1E5F-E9EF-4243-AC09-4E589F71629C}</author>
    <author>tc={6C7E54B8-D064-4262-8EC0-99AEAE86DDD9}</author>
    <author>tc={DD62CC72-21C4-4420-8469-08ACF7AFB202}</author>
    <author>tc={C8616BAB-FD10-42C1-B4CA-D77688A4CFCF}</author>
    <author>tc={8C2D38A4-D591-401B-9B41-B29EF89A5576}</author>
    <author>tc={AEF2FC78-2EA2-47F9-A0AB-466194520DB9}</author>
    <author>tc={B7083934-EA59-4676-8D0B-F3AE72D4C446}</author>
    <author>tc={EBCA7AD4-2A01-4E9A-A6F7-0520D882263E}</author>
    <author>tc={04DD0A5F-29D4-45AE-A7F8-97F624BA4D21}</author>
    <author>tc={B2F2A6F8-2689-4B4A-A1E1-36BF97900616}</author>
    <author>tc={B1B944F6-C623-410C-A4CF-A84B7D90D2FA}</author>
    <author>tc={08AA2432-6DFB-4931-B95F-F0DA48CEFBC0}</author>
    <author>tc={9530AE64-6802-4AF0-9412-22CFD7B104DA}</author>
    <author>tc={DFA90B24-9B3F-4198-B3D1-7580B519818E}</author>
    <author>tc={7E045F1F-A00E-4B97-89FC-00B0AC2B55AB}</author>
    <author>tc={45D907D5-96EB-4E92-9FF3-667105067657}</author>
    <author>tc={B1D9736C-E2D3-4300-9EE2-514E2E2AA05C}</author>
    <author>tc={E9CF0DFB-CBF4-4659-8D08-E1362ACAA20F}</author>
    <author>tc={2F01657A-B583-4211-AA9E-6A8399A5CBC9}</author>
    <author>tc={C82EE2F3-020C-48D1-AFFA-ADA24344659F}</author>
    <author>tc={2FAD19DE-A126-4FBA-B8B3-8919AECB282D}</author>
    <author>tc={576AB6EB-8102-417D-B33D-503A00CACBF9}</author>
    <author>tc={8F163685-9D9F-49C9-91FE-C3780F2F5F5A}</author>
    <author>tc={8AD1F50D-DB4A-49BE-90E9-587A9E8FEAAD}</author>
    <author>tc={C1420183-AEC9-4077-A188-5ADB95EA5218}</author>
    <author>tc={CEC9FAC3-A744-4E24-AE57-F89BDC2F872B}</author>
  </authors>
  <commentList>
    <comment ref="F3" authorId="0" shapeId="0" xr:uid="{69A3433F-82D5-45EE-AA68-E7AD904E9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336C3D84-5D34-4B3C-8B0F-06AA811ED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EEB8ECBE-C83C-4E84-AE32-4016C12C68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64825184-C99F-4345-8C89-A25FB29BD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A1B37D4D-014A-451B-ABD7-B8AA6FA2A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9A673B68-59FD-459B-B32B-25F6E5D19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0B0396D0-8BEB-4340-9775-104EAAA137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CFD13F51-0F00-4FC8-B981-CD539A35A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02AA0D44-12DC-4350-B8D9-AAAD25F1C5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4A557C96-0FE7-422F-86CC-AEEE37BE17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27DA62CF-7F3E-414B-A9EE-774F043A3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72B2CC0D-38E8-4908-9B08-C972820444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5F210FEE-4ED9-4052-991A-435CF52F43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12A55BE-D52E-4154-B0F1-01038C96C2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FA4038BF-A1F6-424D-B30A-083DE35972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6549DE52-8D03-4921-AF46-009D217A58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6D450CB4-7370-4005-8129-E0CA32601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FAC29DC7-56F5-4ED3-A1D4-311788F8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573D4391-02DB-4E12-8DA2-BB132E503A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ACE1C0C2-F8FD-47E5-949E-924D49D29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C505E990-C9C8-490A-A625-A1DCD1390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FE494523-17E5-4F8E-AC41-AD85C069A4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2D4AD8B6-ECB0-4F91-842F-2AD640B8BD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A0927A5F-75AB-4DCB-AE24-416839D73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432ECB8-AFE9-416F-8093-67BF3AB8DB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2B61CDFB-58F8-41D5-9EEF-6E0B2519C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5205B7B-E065-4398-B708-B452F09FB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DA515458-55CC-4DDB-8F1F-03D60EB1DD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1D4CA765-9F3C-4511-B725-FD866C1F8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AB983550-106E-4D4B-83AF-D57520E8E5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D4E7FCB1-D659-467A-8289-098D54E6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12E559D5-FAF9-464E-82E9-2C5A7E07A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0E047504-0874-4758-BC81-5C9F7CF92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D75483AF-92F0-4DE1-842E-04E1E31849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56135BB2-6625-4CCB-931A-41422FD42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56B9E8DF-47FA-464B-B720-D7D7BFF52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A29E80A2-A404-4B24-A3B2-9A5A9D54E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8A7245C-24B4-453D-9F17-8A9A555E8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2FFD0CFA-DA62-40F6-AE97-856E584A7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98144778-58B2-4C23-B5FE-143AAE4A25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1B1F112F-4D27-4F98-AA84-4952E7D197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8E9DE130-5173-4C29-99F0-1EBC82CE34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3F7B1094-AF1C-4F2D-986E-C9462BA3F4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501611E5-99D5-4A9C-89AD-CF1D2B1DC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34AB3D18-61FC-48F1-92B0-988882075A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C34F5733-3517-4383-BD64-25735D3C8A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664406CF-5180-4367-94D9-D7A0576B4F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84C35A3C-B538-4109-9D23-40B0875D3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9DAB0286-07D4-462F-870C-3D74FEEB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E6936DC-E7DD-4397-A2C0-41029C412D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49DE1EB2-D4AE-4A54-BA84-5170354A3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E8E0BA0B-A5F2-4D90-8D24-8011DF2DA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F01313D9-A162-45B2-B047-2A5E09E76D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CC3EBA53-3FD3-4623-A9FD-2D527AF0D2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F4B757FC-C018-41C7-AC45-011531CC7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F5EF41D6-9A7B-425D-8978-40256C3C3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967E5B0A-4D9C-42D2-A820-33CA7583E3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403CBAB-4C6B-428D-838E-B10B3E0DCB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9BF5DC8A-4C37-48D7-9428-CC2B2DA5D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57FAD4EC-35FD-424B-9BA6-941BC44F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BCDF1314-390F-431E-8F86-9256881E9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7EE396EC-031C-49EF-8B6D-3E6EB13D0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3FDC42A4-4B4A-4883-81C0-C48073C1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E2D6690A-C8FA-4CB4-BEEB-1C53BA396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69C99F58-BA22-4C8A-982C-DE918F9FE1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466C1749-164E-4931-9CF8-C9FBB696B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D8D62868-7CB4-4C1C-B473-D409C16C0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92793B15-5897-425E-9318-5E9C63546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A023D54C-E744-4363-B516-164DD2D26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E62F84A8-CEEF-47E5-89B7-7299DC21B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D35DCB1-AB37-45A7-8880-2391153C26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6DB46374-9951-4C46-8312-0CA8B3EEA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8E88878A-FB6D-46FD-979C-0B53069897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D2A32573-99AE-4EB6-8019-CC9F131A0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297D561-9BFB-4DC5-A806-1F14BEBDF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E1E44CEA-5A40-4331-BB91-57115FD027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CE352F7C-CFD1-4937-91D2-AAC4FE205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496F2803-5814-4A69-9DFF-6DD2355B9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6B05E386-0CAB-437F-881E-F132C67334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9B59577E-4B80-48D4-B1CA-739E78DD21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84961539-1C3B-4811-8AC5-30792D9E9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EDFE453-97D5-4B51-A3BE-337728507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3" authorId="82" shapeId="0" xr:uid="{9FFC213A-32A7-4611-A21D-4B47E69AE3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4" authorId="83" shapeId="0" xr:uid="{E23E6636-5AA6-4226-B3A4-59D685B905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4" shapeId="0" xr:uid="{EDEBBB05-2F2E-4694-86BC-3013526B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5" shapeId="0" xr:uid="{E114F98C-909A-429C-8124-D123972F1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5" authorId="86" shapeId="0" xr:uid="{2E99864C-D5C3-4C84-B550-B75CB65DC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0" authorId="87" shapeId="0" xr:uid="{D03C8CF7-0934-4117-BE68-4434320FF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0" authorId="88" shapeId="0" xr:uid="{5BC3D748-2E6E-4A7E-81CD-C360603C25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1" authorId="89" shapeId="0" xr:uid="{9DD68C3A-40AB-4DAC-B135-1EEF21A99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5" authorId="90" shapeId="0" xr:uid="{1C49A865-0F4A-4D67-8877-6046F2660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4" authorId="91" shapeId="0" xr:uid="{30CF35FA-4962-4324-A78D-8380389BB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27" authorId="92" shapeId="0" xr:uid="{1FF804CD-49AF-4E16-8DD3-4727148DBC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65" authorId="93" shapeId="0" xr:uid="{A43C3549-A1D4-449E-84C6-3B2824025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66" authorId="94" shapeId="0" xr:uid="{F3D1D9CD-913A-4A0D-A2F3-F0D9FF537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68" authorId="95" shapeId="0" xr:uid="{61C337CF-3D4F-41B3-BD39-0F15834400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69" authorId="96" shapeId="0" xr:uid="{C877BD60-3489-4DC4-9479-1A95674378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0" authorId="97" shapeId="0" xr:uid="{9B53CC47-2DA5-498A-AF5D-8D7E8BEB7F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1" authorId="98" shapeId="0" xr:uid="{156D9E80-9284-41D5-9D03-61AE88D24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2" authorId="99" shapeId="0" xr:uid="{375CFD8E-2494-45B5-BDDE-14F1DBA4F9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3" authorId="100" shapeId="0" xr:uid="{FA4526F8-96A1-4D48-91D6-6B4EA8BA5F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101" shapeId="0" xr:uid="{EC7C036B-14B4-4048-92FD-004DB4701D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102" shapeId="0" xr:uid="{FA3B99CE-9A4F-4412-BAC5-1632B2B1D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999" authorId="103" shapeId="0" xr:uid="{3D398482-5878-40B3-9FC3-1D394B8BF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01" authorId="104" shapeId="0" xr:uid="{CE3D32E3-FD5C-4AE1-A834-22F57FFEB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03" authorId="105" shapeId="0" xr:uid="{4C9D9A1A-9E8D-41B6-BFB3-4A4294939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06" authorId="106" shapeId="0" xr:uid="{663981B3-D159-4678-BA27-2997CBEE3E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07" authorId="107" shapeId="0" xr:uid="{DE32FBDF-0B81-4200-8AA4-40F2CAABBE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10" authorId="108" shapeId="0" xr:uid="{ECC8D335-31BB-4534-AFDC-3BB38D6D6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1" authorId="109" shapeId="0" xr:uid="{351EB751-DF31-419F-B1AD-17CC093FF9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2" authorId="110" shapeId="0" xr:uid="{2823F23A-51BC-4BA1-BA39-C1C6023EC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14" authorId="111" shapeId="0" xr:uid="{0556AFA1-35E5-4FC8-A5BC-83297E6F7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16" authorId="112" shapeId="0" xr:uid="{7A8B90F3-F3A8-4D19-A6D3-32CB842B1F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17" authorId="113" shapeId="0" xr:uid="{CC8093A2-439A-49DF-845F-55940454F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7" authorId="114" shapeId="0" xr:uid="{FC4734CB-6D53-42FD-93BD-08E4FC576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35" authorId="115" shapeId="0" xr:uid="{972952D6-DD9F-4A0A-8977-720DE8ED6B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37" authorId="116" shapeId="0" xr:uid="{2B19AF8C-3DEE-48A5-8683-C45967065B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47" authorId="117" shapeId="0" xr:uid="{AB9C1203-90EE-4E3F-B5DC-D40F434DD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55" authorId="118" shapeId="0" xr:uid="{3490E643-8BA5-47AE-A436-87B9A821A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82" authorId="119" shapeId="0" xr:uid="{8FB8C6B4-9277-4D89-B476-5E03344D96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084" authorId="120" shapeId="0" xr:uid="{0330A85E-8F82-4179-BA0F-076E96DC7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5" authorId="121" shapeId="0" xr:uid="{8BBEB940-FE99-4FA5-BF9E-DB0BB82BC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5" authorId="122" shapeId="0" xr:uid="{A65A5BC7-73DB-406B-BE74-22FE7F769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7" authorId="123" shapeId="0" xr:uid="{213F47F4-F7CC-49FF-88DA-8EBFD93399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9" authorId="124" shapeId="0" xr:uid="{AB0D4687-0D14-46EA-B9F6-B4760D44A2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097" authorId="125" shapeId="0" xr:uid="{55646C8D-EB13-42DD-8E95-71E9A5B3AD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99" authorId="126" shapeId="0" xr:uid="{36FBA783-28D3-4A3A-9EF6-93AA42D03D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31" authorId="127" shapeId="0" xr:uid="{C7E6999E-ED33-4AC2-B4B4-354FA3055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32" authorId="128" shapeId="0" xr:uid="{8350FC46-4CA9-47D9-BA80-445A71C4D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3" authorId="129" shapeId="0" xr:uid="{E44E1E5F-E9EF-4243-AC09-4E589F7162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4" authorId="130" shapeId="0" xr:uid="{6C7E54B8-D064-4262-8EC0-99AEAE86D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5" authorId="131" shapeId="0" xr:uid="{DD62CC72-21C4-4420-8469-08ACF7AFB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62" authorId="132" shapeId="0" xr:uid="{C8616BAB-FD10-42C1-B4CA-D77688A4C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3" authorId="133" shapeId="0" xr:uid="{8C2D38A4-D591-401B-9B41-B29EF89A5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4" authorId="134" shapeId="0" xr:uid="{AEF2FC78-2EA2-47F9-A0AB-466194520D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5" authorId="135" shapeId="0" xr:uid="{B7083934-EA59-4676-8D0B-F3AE72D4C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90" authorId="136" shapeId="0" xr:uid="{EBCA7AD4-2A01-4E9A-A6F7-0520D8822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194" authorId="137" shapeId="0" xr:uid="{04DD0A5F-29D4-45AE-A7F8-97F624BA4D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00" authorId="138" shapeId="0" xr:uid="{B2F2A6F8-2689-4B4A-A1E1-36BF979006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03" authorId="139" shapeId="0" xr:uid="{B1B944F6-C623-410C-A4CF-A84B7D90D2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4" authorId="140" shapeId="0" xr:uid="{08AA2432-6DFB-4931-B95F-F0DA48CEF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7" authorId="141" shapeId="0" xr:uid="{9530AE64-6802-4AF0-9412-22CFD7B10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15" authorId="142" shapeId="0" xr:uid="{DFA90B24-9B3F-4198-B3D1-7580B5198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16" authorId="143" shapeId="0" xr:uid="{7E045F1F-A00E-4B97-89FC-00B0AC2B5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20" authorId="144" shapeId="0" xr:uid="{45D907D5-96EB-4E92-9FF3-667105067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32" authorId="145" shapeId="0" xr:uid="{B1D9736C-E2D3-4300-9EE2-514E2E2AA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50" authorId="146" shapeId="0" xr:uid="{E9CF0DFB-CBF4-4659-8D08-E1362ACAA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76" authorId="147" shapeId="0" xr:uid="{2F01657A-B583-4211-AA9E-6A8399A5C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283" authorId="148" shapeId="0" xr:uid="{C82EE2F3-020C-48D1-AFFA-ADA243446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289" authorId="149" shapeId="0" xr:uid="{2FAD19DE-A126-4FBA-B8B3-8919AECB28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30" authorId="150" shapeId="0" xr:uid="{576AB6EB-8102-417D-B33D-503A00CACB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392" authorId="151" shapeId="0" xr:uid="{8F163685-9D9F-49C9-91FE-C3780F2F5F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3" authorId="152" shapeId="0" xr:uid="{8AD1F50D-DB4A-49BE-90E9-587A9E8FE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4" authorId="153" shapeId="0" xr:uid="{C1420183-AEC9-4077-A188-5ADB95EA52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5" authorId="154" shapeId="0" xr:uid="{CEC9FAC3-A744-4E24-AE57-F89BDC2F87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<sst xmlns="http://schemas.openxmlformats.org/spreadsheetml/2006/main" count="20151" uniqueCount="906">
  <si>
    <t>Rótulos de Linha</t>
  </si>
  <si>
    <t>Soma de VL. FATURADO</t>
  </si>
  <si>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</si>
  <si>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</si>
  <si>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</si>
  <si>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</si>
  <si>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</si>
  <si>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</si>
  <si>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</si>
  <si>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</si>
  <si>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</si>
  <si>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</si>
  <si>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</si>
  <si>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</si>
  <si>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</si>
  <si>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</si>
  <si>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</si>
  <si>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</si>
  <si>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</si>
  <si>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Total Geral</t>
  </si>
  <si>
    <t>ITAU</t>
  </si>
  <si>
    <t>IBAMETRO</t>
  </si>
  <si>
    <t>Bradesco</t>
  </si>
  <si>
    <t>Funcef</t>
  </si>
  <si>
    <t>Setta</t>
  </si>
  <si>
    <t>Anos (PREV . PAG)</t>
  </si>
  <si>
    <t>2026</t>
  </si>
  <si>
    <t>Operação</t>
  </si>
  <si>
    <t>Não Recebidos</t>
  </si>
  <si>
    <t>Já Recebido</t>
  </si>
  <si>
    <t>Saldo</t>
  </si>
  <si>
    <t>OP 1 - Rita</t>
  </si>
  <si>
    <t>SEC-BA</t>
  </si>
  <si>
    <t>OP 2 - Coruma</t>
  </si>
  <si>
    <t>AXIA</t>
  </si>
  <si>
    <t>OP 3 - Lizandra</t>
  </si>
  <si>
    <t>SEBRAE</t>
  </si>
  <si>
    <t>OP 4 - Evandro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</si>
  <si>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</si>
  <si>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</si>
  <si>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</si>
  <si>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</si>
  <si>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</si>
  <si>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</si>
  <si>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</si>
  <si>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</si>
  <si>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</si>
  <si>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Abril</t>
  </si>
  <si>
    <t>Maio</t>
  </si>
  <si>
    <t>Junho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</si>
  <si>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</si>
  <si>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</si>
  <si>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</si>
  <si>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</si>
  <si>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</si>
  <si>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</si>
  <si>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</si>
  <si>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</si>
  <si>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</si>
  <si>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</si>
  <si>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</si>
  <si>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</si>
  <si>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</si>
  <si>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</si>
  <si>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</si>
  <si>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</si>
  <si>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</si>
  <si>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</si>
  <si>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</si>
  <si>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</si>
  <si>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</si>
  <si>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</si>
  <si>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</si>
  <si>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</si>
  <si>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</si>
  <si>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</si>
  <si>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</si>
  <si>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</si>
  <si>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</si>
  <si>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</si>
  <si>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</si>
  <si>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</si>
  <si>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</si>
  <si>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</si>
  <si>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</si>
  <si>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</si>
  <si>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</si>
  <si>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</si>
  <si>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</si>
  <si>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</si>
  <si>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</si>
  <si>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</si>
  <si>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</si>
  <si>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</si>
  <si>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</si>
  <si>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</si>
  <si>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</si>
  <si>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</si>
  <si>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</si>
  <si>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</si>
  <si>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</si>
  <si>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</si>
  <si>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</si>
  <si>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</si>
  <si>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</si>
  <si>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</si>
  <si>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</si>
  <si>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</si>
  <si>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</si>
  <si>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</si>
  <si>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</si>
  <si>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</si>
  <si>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</si>
  <si>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</si>
  <si>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</si>
  <si>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</si>
  <si>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</si>
  <si>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</si>
  <si>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</si>
  <si>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</si>
  <si>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</si>
  <si>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</si>
  <si>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</si>
  <si>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</si>
  <si>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</si>
  <si>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</si>
  <si>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</si>
  <si>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</si>
  <si>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</si>
  <si>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</si>
  <si>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</si>
  <si>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</si>
  <si>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</si>
  <si>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</si>
  <si>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</si>
  <si>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</si>
  <si>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</si>
  <si>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</si>
  <si>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</si>
  <si>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</si>
  <si>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</si>
  <si>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</si>
  <si>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</si>
  <si>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</si>
  <si>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</si>
  <si>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</si>
  <si>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</si>
  <si>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</si>
  <si>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</si>
  <si>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</si>
  <si>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</si>
  <si>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</si>
  <si>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</si>
  <si>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</si>
  <si>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</si>
  <si>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</si>
  <si>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</si>
  <si>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</si>
  <si>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</si>
  <si>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</si>
  <si>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</si>
  <si>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</si>
  <si>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</si>
  <si>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</si>
  <si>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</si>
  <si>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</si>
  <si>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</si>
  <si>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</si>
  <si>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</si>
  <si>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</si>
  <si>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</si>
  <si>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</si>
  <si>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</si>
  <si>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</si>
  <si>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</si>
  <si>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</si>
  <si>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</si>
  <si>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</si>
  <si>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</si>
  <si>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</si>
  <si>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</si>
  <si>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</si>
  <si>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</si>
  <si>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</si>
  <si>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</si>
  <si>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</si>
  <si>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</si>
  <si>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</si>
  <si>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</si>
  <si>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</si>
  <si>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(Vários itens)</t>
  </si>
  <si>
    <t>STATUS</t>
  </si>
  <si>
    <t>Clientes</t>
  </si>
  <si>
    <t>RODRIGO CORUMBA</t>
  </si>
  <si>
    <t>Rótulos de Coluna</t>
  </si>
  <si>
    <t>Cliente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</si>
  <si>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</si>
  <si>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</si>
  <si>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</si>
  <si>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</si>
  <si>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</si>
  <si>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</si>
  <si>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</si>
  <si>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</si>
  <si>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</si>
  <si>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</si>
  <si>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Diferença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</si>
  <si>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</si>
  <si>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</si>
  <si>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</si>
  <si>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</si>
  <si>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</si>
  <si>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</si>
  <si>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</si>
  <si>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</si>
  <si>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</si>
  <si>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</si>
  <si>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</si>
  <si>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</si>
  <si>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</si>
  <si>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</si>
  <si>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</si>
  <si>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</si>
  <si>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</si>
  <si>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</si>
  <si>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</si>
  <si>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</si>
  <si>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</si>
  <si>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</si>
  <si>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</si>
  <si>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</si>
  <si>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</si>
  <si>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</si>
  <si>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</si>
  <si>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</si>
  <si>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</si>
  <si>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</si>
  <si>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</si>
  <si>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</si>
  <si>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</si>
  <si>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</si>
  <si>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</si>
  <si>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</si>
  <si>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</si>
  <si>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</si>
  <si>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</si>
  <si>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</si>
  <si>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</si>
  <si>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</si>
  <si>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</si>
  <si>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</si>
  <si>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</si>
  <si>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</si>
  <si>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</si>
  <si>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</si>
  <si>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</si>
  <si>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</si>
  <si>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</si>
  <si>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</si>
  <si>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</si>
  <si>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</si>
  <si>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</si>
  <si>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</si>
  <si>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</si>
  <si>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</si>
  <si>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</si>
  <si>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</si>
  <si>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</si>
  <si>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</si>
  <si>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</si>
  <si>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</si>
  <si>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</si>
  <si>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</si>
  <si>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</si>
  <si>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</si>
  <si>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</si>
  <si>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</si>
  <si>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</si>
  <si>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</si>
  <si>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</si>
  <si>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</si>
  <si>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</si>
  <si>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</si>
  <si>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</si>
  <si>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</si>
  <si>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</si>
  <si>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</si>
  <si>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</si>
  <si>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</si>
  <si>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</si>
  <si>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</si>
  <si>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</si>
  <si>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</si>
  <si>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</si>
  <si>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</si>
  <si>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</si>
  <si>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</si>
  <si>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</si>
  <si>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</si>
  <si>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</si>
  <si>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</si>
  <si>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</si>
  <si>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</si>
  <si>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</si>
  <si>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</si>
  <si>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</si>
  <si>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</si>
  <si>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</si>
  <si>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</si>
  <si>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</si>
  <si>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</si>
  <si>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</si>
  <si>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</si>
  <si>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</si>
  <si>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</si>
  <si>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</si>
  <si>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</si>
  <si>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</si>
  <si>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</si>
  <si>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</si>
  <si>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</si>
  <si>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</si>
  <si>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</si>
  <si>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</si>
  <si>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</si>
  <si>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</si>
  <si>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</si>
  <si>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</si>
  <si>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</si>
  <si>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</si>
  <si>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</si>
  <si>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</si>
  <si>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</si>
  <si>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</si>
  <si>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</si>
  <si>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</si>
  <si>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</si>
  <si>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</si>
  <si>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</si>
  <si>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</si>
  <si>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</si>
  <si>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</si>
  <si>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</si>
  <si>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</si>
  <si>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</si>
  <si>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</si>
  <si>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</si>
  <si>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</si>
  <si>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</si>
  <si>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</si>
  <si>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</si>
  <si>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</si>
  <si>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</si>
  <si>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</si>
  <si>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</si>
  <si>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</si>
  <si>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</si>
  <si>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</si>
  <si>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</si>
  <si>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</si>
  <si>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</si>
  <si>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</si>
  <si>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</si>
  <si>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</si>
  <si>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</si>
  <si>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</si>
  <si>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</si>
  <si>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</si>
  <si>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</si>
  <si>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</si>
  <si>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</si>
  <si>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</si>
  <si>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</si>
  <si>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</si>
  <si>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</si>
  <si>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</si>
  <si>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</si>
  <si>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</si>
  <si>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</si>
  <si>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</si>
  <si>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</si>
  <si>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</si>
  <si>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</si>
  <si>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</si>
  <si>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</si>
  <si>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</si>
  <si>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</si>
  <si>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</si>
  <si>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</si>
  <si>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</si>
  <si>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</si>
  <si>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</si>
  <si>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</si>
  <si>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</si>
  <si>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</si>
  <si>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</si>
  <si>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</si>
  <si>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</si>
  <si>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</si>
  <si>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</si>
  <si>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</si>
  <si>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</si>
  <si>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</si>
  <si>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</si>
  <si>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</si>
  <si>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</si>
  <si>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</si>
  <si>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</si>
  <si>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</si>
  <si>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</si>
  <si>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</si>
  <si>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</si>
  <si>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</si>
  <si>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</si>
  <si>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</si>
  <si>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</si>
  <si>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</si>
  <si>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</si>
  <si>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</si>
  <si>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</si>
  <si>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</si>
  <si>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</si>
  <si>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</si>
  <si>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</si>
  <si>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</si>
  <si>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</si>
  <si>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</si>
  <si>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</si>
  <si>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</si>
  <si>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</si>
  <si>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</si>
  <si>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</si>
  <si>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</si>
  <si>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</si>
  <si>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</si>
  <si>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</si>
  <si>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</si>
  <si>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</si>
  <si>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</si>
  <si>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</si>
  <si>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</si>
  <si>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</si>
  <si>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</si>
  <si>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</si>
  <si>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</si>
  <si>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</si>
  <si>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</si>
  <si>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</si>
  <si>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</si>
  <si>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</si>
  <si>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</si>
  <si>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</si>
  <si>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</si>
  <si>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</si>
  <si>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</si>
  <si>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</si>
  <si>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</si>
  <si>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</si>
  <si>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</si>
  <si>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</si>
  <si>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</si>
  <si>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</si>
  <si>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</si>
  <si>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</si>
  <si>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</si>
  <si>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</si>
  <si>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</si>
  <si>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</si>
  <si>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</si>
  <si>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</si>
  <si>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</si>
  <si>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</si>
  <si>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</si>
  <si>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</si>
  <si>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</si>
  <si>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</si>
  <si>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</si>
  <si>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</si>
  <si>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</si>
  <si>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</si>
  <si>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</si>
  <si>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</si>
  <si>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</si>
  <si>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</si>
  <si>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</si>
  <si>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</si>
  <si>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</si>
  <si>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</si>
  <si>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</si>
  <si>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</si>
  <si>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</si>
  <si>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</si>
  <si>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</si>
  <si>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</si>
  <si>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</si>
  <si>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</si>
  <si>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</si>
  <si>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</si>
  <si>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</si>
  <si>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</si>
  <si>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</si>
  <si>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</si>
  <si>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</si>
  <si>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</si>
  <si>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</si>
  <si>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</si>
  <si>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</si>
  <si>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</si>
  <si>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</si>
  <si>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</si>
  <si>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</si>
  <si>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</si>
  <si>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</si>
  <si>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</si>
  <si>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</si>
  <si>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</si>
  <si>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</si>
  <si>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</si>
  <si>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</si>
  <si>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</si>
  <si>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</si>
  <si>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</si>
  <si>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</si>
  <si>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</si>
  <si>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</si>
  <si>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</si>
  <si>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</si>
  <si>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</si>
  <si>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</si>
  <si>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</si>
  <si>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</si>
  <si>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</si>
  <si>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</si>
  <si>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</si>
  <si>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</si>
  <si>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</si>
  <si>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</si>
  <si>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</si>
  <si>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</si>
  <si>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</si>
  <si>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</si>
  <si>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</si>
  <si>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</si>
  <si>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</si>
  <si>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</si>
  <si>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</si>
  <si>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</si>
  <si>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</si>
  <si>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</si>
  <si>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</si>
  <si>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</si>
  <si>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</si>
  <si>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</si>
  <si>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</si>
  <si>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</si>
  <si>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</si>
  <si>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</si>
  <si>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</si>
  <si>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</si>
  <si>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</si>
  <si>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</si>
  <si>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</si>
  <si>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</si>
  <si>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</si>
  <si>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</si>
  <si>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</si>
  <si>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</si>
  <si>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</si>
  <si>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</si>
  <si>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</si>
  <si>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</si>
  <si>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</si>
  <si>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</si>
  <si>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</si>
  <si>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</si>
  <si>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</si>
  <si>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</si>
  <si>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</si>
  <si>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</si>
  <si>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</si>
  <si>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</si>
  <si>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</si>
  <si>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</si>
  <si>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</si>
  <si>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</si>
  <si>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</si>
  <si>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</si>
  <si>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</si>
  <si>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</si>
  <si>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</si>
  <si>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</si>
  <si>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</si>
  <si>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</si>
  <si>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</si>
  <si>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</si>
  <si>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</si>
  <si>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</si>
  <si>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</si>
  <si>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</si>
  <si>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</si>
  <si>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</si>
  <si>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</si>
  <si>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</si>
  <si>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</si>
  <si>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</si>
  <si>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</si>
  <si>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</si>
  <si>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</si>
  <si>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</si>
  <si>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</si>
  <si>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</si>
  <si>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</si>
  <si>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</si>
  <si>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</si>
  <si>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</si>
  <si>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</si>
  <si>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</si>
  <si>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</si>
  <si>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</si>
  <si>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</si>
  <si>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</si>
  <si>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</si>
  <si>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</si>
  <si>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</si>
  <si>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</si>
  <si>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</si>
  <si>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</si>
  <si>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</si>
  <si>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</si>
  <si>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</si>
  <si>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</si>
  <si>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</si>
  <si>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</si>
  <si>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</si>
  <si>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</si>
  <si>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</si>
  <si>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</si>
  <si>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</si>
  <si>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</si>
  <si>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</si>
  <si>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</si>
  <si>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</si>
  <si>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</si>
  <si>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</si>
  <si>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</si>
  <si>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</si>
  <si>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</si>
  <si>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</si>
  <si>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</si>
  <si>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</si>
  <si>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</si>
  <si>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</si>
  <si>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</si>
  <si>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</si>
  <si>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</si>
  <si>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</si>
  <si>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</si>
  <si>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</si>
  <si>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</si>
  <si>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</si>
  <si>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</si>
  <si>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</si>
  <si>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</si>
  <si>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</si>
  <si>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</si>
  <si>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</si>
  <si>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</si>
  <si>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</si>
  <si>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</si>
  <si>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</si>
  <si>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</si>
  <si>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</si>
  <si>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</si>
  <si>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</si>
  <si>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</si>
  <si>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</si>
  <si>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</si>
  <si>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</si>
  <si>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</si>
  <si>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</si>
  <si>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</si>
  <si>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</si>
  <si>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</si>
  <si>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</si>
  <si>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</si>
  <si>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</si>
  <si>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</si>
  <si>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</si>
  <si>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</si>
  <si>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</si>
  <si>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</si>
  <si>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</si>
  <si>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</si>
  <si>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</si>
  <si>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</si>
  <si>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</si>
  <si>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</si>
  <si>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</si>
  <si>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</si>
  <si>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</si>
  <si>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</si>
  <si>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</si>
  <si>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</si>
  <si>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</si>
  <si>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</si>
  <si>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</si>
  <si>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</si>
  <si>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</si>
  <si>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</si>
  <si>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</si>
  <si>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</si>
  <si>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</si>
  <si>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</si>
  <si>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</si>
  <si>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</si>
  <si>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</si>
  <si>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</si>
  <si>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Projeção Financeira</t>
  </si>
  <si>
    <t>ATUAL</t>
  </si>
  <si>
    <t>A FATURAR</t>
  </si>
  <si>
    <t>mai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</si>
  <si>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</si>
  <si>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</si>
  <si>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</si>
  <si>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</si>
  <si>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</si>
  <si>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</si>
  <si>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</si>
  <si>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</si>
  <si>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</si>
  <si>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</si>
  <si>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</si>
  <si>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Entrepay (1480)</t>
  </si>
  <si>
    <t>PORTO SEGURO – ADS (1485)</t>
  </si>
  <si>
    <t>BANCO SAFRA (1357)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</si>
  <si>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</si>
  <si>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</si>
  <si>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</si>
  <si>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</si>
  <si>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</si>
  <si>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</si>
  <si>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</si>
  <si>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</si>
  <si>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</si>
  <si>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</si>
  <si>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</si>
  <si>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</si>
  <si>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</si>
  <si>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</si>
  <si>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</si>
  <si>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</si>
  <si>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</si>
  <si>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</si>
  <si>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</si>
  <si>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</si>
  <si>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</si>
  <si>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</si>
  <si>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</si>
  <si>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</si>
  <si>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</si>
  <si>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</si>
  <si>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</si>
  <si>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</si>
  <si>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</si>
  <si>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</si>
  <si>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</si>
  <si>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</si>
  <si>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</si>
  <si>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</si>
  <si>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</si>
  <si>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</si>
  <si>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</si>
  <si>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</si>
  <si>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</si>
  <si>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</si>
  <si>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</si>
  <si>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</si>
  <si>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</si>
  <si>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</si>
  <si>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</si>
  <si>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</si>
  <si>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</si>
  <si>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</si>
  <si>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</si>
  <si>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</si>
  <si>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</si>
  <si>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</si>
  <si>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</si>
  <si>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</si>
  <si>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</si>
  <si>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</si>
  <si>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</si>
  <si>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</si>
  <si>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</si>
  <si>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</si>
  <si>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</si>
  <si>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</si>
  <si>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</si>
  <si>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</si>
  <si>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</si>
  <si>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</si>
  <si>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</si>
  <si>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</si>
  <si>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</si>
  <si>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</si>
  <si>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</si>
  <si>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</si>
  <si>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</si>
  <si>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</si>
  <si>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</si>
  <si>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</si>
  <si>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</si>
  <si>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</si>
  <si>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</si>
  <si>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</si>
  <si>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</si>
  <si>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</si>
  <si>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</si>
  <si>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</si>
  <si>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</si>
  <si>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</si>
  <si>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</si>
  <si>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</si>
  <si>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</si>
  <si>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</si>
  <si>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</si>
  <si>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</si>
  <si>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</si>
  <si>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</si>
  <si>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</si>
  <si>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</si>
  <si>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</si>
  <si>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</si>
  <si>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</si>
  <si>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</si>
  <si>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</si>
  <si>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</si>
  <si>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</si>
  <si>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</si>
  <si>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</si>
  <si>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</si>
  <si>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</si>
  <si>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</si>
  <si>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</si>
  <si>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</si>
  <si>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</si>
  <si>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</si>
  <si>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</si>
  <si>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</si>
  <si>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</si>
  <si>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</si>
  <si>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</si>
  <si>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</si>
  <si>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</si>
  <si>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</si>
  <si>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</si>
  <si>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</si>
  <si>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</si>
  <si>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</si>
  <si>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</si>
  <si>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</si>
  <si>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</si>
  <si>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</si>
  <si>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</si>
  <si>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</si>
  <si>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</si>
  <si>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</si>
  <si>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</si>
  <si>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</si>
  <si>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</si>
  <si>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</si>
  <si>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</si>
  <si>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</si>
  <si>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</si>
  <si>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</si>
  <si>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</si>
  <si>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Total</t>
  </si>
  <si>
    <t>Diferença Abril
BR x Recebido</t>
  </si>
  <si>
    <t>Recebido
até 13.05</t>
  </si>
  <si>
    <t>Obs</t>
  </si>
  <si>
    <t>Valor recebido em Março mas constou na BR de Abril</t>
  </si>
  <si>
    <t>14k variação demanda/equipe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</si>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</sst>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indexed="81"/>
      <name val="Segoe UI"/>
      <charset val="1"/>
    </font>
  </fonts>
  <fills count="2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thin">
        <color rgb="FF8EA9DB"/>
      </bottom>
      <diagonal/>
    </border>
    <border>
      <left/>
      <right/>
      <top style="thin">
        <color rgb="FF8EA9DB"/>
      </top>
      <bottom/>
      <diagonal/>
    </border>
    <border>
      <left/>
      <right style="medium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48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8" borderId="0" applyNumberFormat="0" applyBorder="0" applyAlignment="0" applyProtection="0"/>
    <xf numFmtId="0" fontId="1" fillId="9" borderId="0" applyNumberFormat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1" fillId="13" borderId="0" applyNumberFormat="0" applyBorder="0" applyAlignment="0" applyProtection="0"/>
    <xf numFmtId="0" fontId="1" fillId="0" borderId="0"/>
    <xf numFmtId="0" fontId="7" fillId="0" borderId="0"/>
    <xf numFmtId="9" fontId="8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15" borderId="0" applyNumberFormat="0" applyBorder="0" applyAlignment="0" applyProtection="0"/>
    <xf numFmtId="9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1" fillId="0" borderId="0"/>
    <xf numFmtId="0" fontId="1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" fillId="20" borderId="0" applyNumberFormat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  <xf numFmtId="166" fontId="0" fillId="0" borderId="0" xfId="4" applyNumberFormat="1" applyFont="1" applyFill="1" applyAlignment="1"/>
    <xf numFmtId="43" fontId="0" fillId="0" borderId="0" xfId="0" applyNumberFormat="1"/>
    <xf numFmtId="0" fontId="0" fillId="0" borderId="0" xfId="0" pivotButton="1"/>
    <xf numFmtId="167" fontId="0" fillId="0" borderId="0" xfId="0" applyNumberFormat="1"/>
    <xf numFmtId="1" fontId="0" fillId="0" borderId="0" xfId="2" applyNumberFormat="1" applyFont="1" applyAlignment="1"/>
    <xf numFmtId="164" fontId="0" fillId="5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3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165" fontId="0" fillId="10" borderId="4" xfId="7" applyNumberFormat="1" applyFont="1" applyFill="1" applyBorder="1" applyAlignment="1">
      <alignment horizontal="center" vertical="center" wrapText="1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3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167" fontId="0" fillId="3" borderId="0" xfId="0" applyNumberFormat="1" applyFill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6" borderId="0" xfId="2" applyNumberFormat="1" applyFont="1" applyFill="1"/>
    <xf numFmtId="0" fontId="6" fillId="2" borderId="8" xfId="0" applyFont="1" applyFill="1" applyBorder="1" applyAlignment="1">
      <alignment horizontal="left"/>
    </xf>
    <xf numFmtId="164" fontId="0" fillId="16" borderId="0" xfId="0" applyNumberFormat="1" applyFill="1"/>
    <xf numFmtId="164" fontId="0" fillId="6" borderId="0" xfId="0" applyNumberFormat="1" applyFill="1"/>
    <xf numFmtId="14" fontId="0" fillId="3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3" borderId="0" xfId="0" applyNumberFormat="1" applyFill="1"/>
    <xf numFmtId="0" fontId="7" fillId="0" borderId="0" xfId="0" applyFont="1"/>
    <xf numFmtId="165" fontId="16" fillId="4" borderId="0" xfId="6" applyNumberFormat="1" applyFont="1" applyFill="1" applyAlignment="1">
      <alignment horizontal="right"/>
    </xf>
    <xf numFmtId="164" fontId="7" fillId="5" borderId="0" xfId="0" applyNumberFormat="1" applyFont="1" applyFill="1"/>
    <xf numFmtId="165" fontId="7" fillId="0" borderId="0" xfId="2" applyNumberFormat="1" applyFont="1" applyFill="1" applyAlignment="1"/>
    <xf numFmtId="14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horizontal="center"/>
    </xf>
    <xf numFmtId="43" fontId="0" fillId="6" borderId="0" xfId="2" applyFont="1" applyFill="1"/>
    <xf numFmtId="164" fontId="0" fillId="12" borderId="0" xfId="0" applyNumberFormat="1" applyFill="1"/>
    <xf numFmtId="165" fontId="2" fillId="0" borderId="0" xfId="6" applyNumberFormat="1" applyFont="1" applyAlignment="1">
      <alignment horizontal="center"/>
    </xf>
    <xf numFmtId="164" fontId="0" fillId="21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9" fillId="0" borderId="0" xfId="47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8" fillId="0" borderId="9" xfId="47" applyFont="1" applyFill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18" fillId="0" borderId="10" xfId="47" applyFont="1" applyFill="1" applyBorder="1" applyAlignment="1">
      <alignment horizontal="left"/>
    </xf>
    <xf numFmtId="0" fontId="9" fillId="0" borderId="9" xfId="47" applyFont="1" applyFill="1" applyBorder="1" applyAlignment="1">
      <alignment horizontal="left"/>
    </xf>
    <xf numFmtId="0" fontId="9" fillId="0" borderId="10" xfId="47" applyFont="1" applyFill="1" applyBorder="1" applyAlignment="1">
      <alignment horizontal="left"/>
    </xf>
    <xf numFmtId="0" fontId="21" fillId="22" borderId="0" xfId="0" applyFont="1" applyFill="1" applyAlignment="1">
      <alignment horizontal="left" vertical="center" wrapText="1" readingOrder="1"/>
    </xf>
    <xf numFmtId="0" fontId="21" fillId="22" borderId="0" xfId="0" applyFont="1" applyFill="1" applyAlignment="1">
      <alignment horizontal="center" vertical="center" wrapText="1" readingOrder="1"/>
    </xf>
    <xf numFmtId="0" fontId="21" fillId="0" borderId="0" xfId="0" applyFont="1" applyAlignment="1">
      <alignment horizontal="left" wrapText="1" readingOrder="1"/>
    </xf>
    <xf numFmtId="0" fontId="21" fillId="0" borderId="11" xfId="0" applyFont="1" applyBorder="1" applyAlignment="1">
      <alignment horizontal="left" wrapText="1" readingOrder="1"/>
    </xf>
    <xf numFmtId="0" fontId="21" fillId="22" borderId="12" xfId="0" applyFont="1" applyFill="1" applyBorder="1" applyAlignment="1">
      <alignment horizontal="left" wrapText="1" readingOrder="1"/>
    </xf>
    <xf numFmtId="167" fontId="22" fillId="0" borderId="0" xfId="0" applyNumberFormat="1" applyFont="1" applyAlignment="1">
      <alignment horizontal="left" wrapText="1" readingOrder="1"/>
    </xf>
    <xf numFmtId="167" fontId="22" fillId="0" borderId="11" xfId="0" applyNumberFormat="1" applyFont="1" applyBorder="1" applyAlignment="1">
      <alignment horizontal="left" wrapText="1" readingOrder="1"/>
    </xf>
    <xf numFmtId="167" fontId="21" fillId="22" borderId="12" xfId="0" applyNumberFormat="1" applyFont="1" applyFill="1" applyBorder="1" applyAlignment="1">
      <alignment horizontal="left" wrapText="1" readingOrder="1"/>
    </xf>
    <xf numFmtId="14" fontId="2" fillId="0" borderId="1" xfId="0" applyNumberFormat="1" applyFont="1" applyBorder="1" applyAlignment="1">
      <alignment horizontal="center"/>
    </xf>
    <xf numFmtId="164" fontId="0" fillId="14" borderId="0" xfId="0" applyNumberFormat="1" applyFill="1"/>
    <xf numFmtId="165" fontId="0" fillId="14" borderId="0" xfId="2" applyNumberFormat="1" applyFont="1" applyFill="1"/>
    <xf numFmtId="14" fontId="0" fillId="14" borderId="0" xfId="0" applyNumberFormat="1" applyFill="1"/>
    <xf numFmtId="165" fontId="14" fillId="8" borderId="3" xfId="7" applyNumberFormat="1" applyFont="1" applyBorder="1" applyAlignment="1">
      <alignment horizontal="center" vertical="center"/>
    </xf>
    <xf numFmtId="0" fontId="0" fillId="0" borderId="6" xfId="0" applyBorder="1" applyAlignment="1">
      <alignment horizontal="left"/>
    </xf>
    <xf numFmtId="166" fontId="6" fillId="14" borderId="0" xfId="0" applyNumberFormat="1" applyFont="1" applyFill="1"/>
    <xf numFmtId="166" fontId="6" fillId="0" borderId="0" xfId="0" applyNumberFormat="1" applyFont="1"/>
    <xf numFmtId="165" fontId="6" fillId="0" borderId="0" xfId="2" applyNumberFormat="1" applyFont="1" applyFill="1" applyAlignment="1"/>
    <xf numFmtId="166" fontId="6" fillId="0" borderId="1" xfId="0" applyNumberFormat="1" applyFont="1" applyBorder="1"/>
    <xf numFmtId="166" fontId="6" fillId="7" borderId="0" xfId="0" applyNumberFormat="1" applyFont="1" applyFill="1"/>
    <xf numFmtId="167" fontId="0" fillId="0" borderId="7" xfId="0" applyNumberFormat="1" applyBorder="1"/>
    <xf numFmtId="43" fontId="0" fillId="18" borderId="0" xfId="2" applyFont="1" applyFill="1"/>
    <xf numFmtId="1" fontId="0" fillId="7" borderId="0" xfId="2" applyNumberFormat="1" applyFont="1" applyFill="1"/>
    <xf numFmtId="164" fontId="0" fillId="7" borderId="0" xfId="0" applyNumberFormat="1" applyFill="1"/>
    <xf numFmtId="43" fontId="0" fillId="7" borderId="0" xfId="2" applyFont="1" applyFill="1"/>
    <xf numFmtId="165" fontId="0" fillId="7" borderId="0" xfId="2" applyNumberFormat="1" applyFont="1" applyFill="1"/>
    <xf numFmtId="14" fontId="0" fillId="7" borderId="0" xfId="0" applyNumberFormat="1" applyFill="1"/>
    <xf numFmtId="166" fontId="0" fillId="7" borderId="0" xfId="0" applyNumberFormat="1" applyFill="1"/>
    <xf numFmtId="0" fontId="10" fillId="23" borderId="0" xfId="0" applyFont="1" applyFill="1" applyAlignment="1">
      <alignment horizontal="left" vertical="center" wrapText="1"/>
    </xf>
    <xf numFmtId="0" fontId="10" fillId="24" borderId="0" xfId="0" applyFont="1" applyFill="1" applyAlignment="1">
      <alignment horizontal="left" vertical="center" wrapText="1"/>
    </xf>
    <xf numFmtId="1" fontId="0" fillId="3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6" borderId="0" xfId="6" applyNumberFormat="1" applyFont="1" applyFill="1" applyAlignment="1"/>
    <xf numFmtId="1" fontId="0" fillId="0" borderId="0" xfId="6" applyNumberFormat="1" applyFont="1"/>
    <xf numFmtId="1" fontId="0" fillId="7" borderId="0" xfId="6" applyNumberFormat="1" applyFont="1" applyFill="1" applyAlignment="1">
      <alignment horizontal="right"/>
    </xf>
    <xf numFmtId="1" fontId="0" fillId="6" borderId="0" xfId="6" applyNumberFormat="1" applyFont="1" applyFill="1"/>
    <xf numFmtId="1" fontId="0" fillId="3" borderId="0" xfId="6" applyNumberFormat="1" applyFont="1" applyFill="1"/>
    <xf numFmtId="0" fontId="13" fillId="0" borderId="0" xfId="0" applyFont="1"/>
    <xf numFmtId="0" fontId="6" fillId="2" borderId="2" xfId="0" applyFont="1" applyFill="1" applyBorder="1"/>
    <xf numFmtId="164" fontId="0" fillId="4" borderId="0" xfId="0" applyNumberFormat="1" applyFill="1"/>
    <xf numFmtId="167" fontId="6" fillId="2" borderId="8" xfId="0" applyNumberFormat="1" applyFont="1" applyFill="1" applyBorder="1"/>
    <xf numFmtId="0" fontId="6" fillId="2" borderId="0" xfId="0" applyFont="1" applyFill="1" applyAlignment="1">
      <alignment horizontal="center"/>
    </xf>
    <xf numFmtId="16" fontId="6" fillId="2" borderId="0" xfId="0" applyNumberFormat="1" applyFont="1" applyFill="1" applyAlignment="1">
      <alignment horizontal="center"/>
    </xf>
    <xf numFmtId="165" fontId="0" fillId="0" borderId="0" xfId="6" applyNumberFormat="1" applyFont="1"/>
    <xf numFmtId="3" fontId="15" fillId="3" borderId="0" xfId="0" applyNumberFormat="1" applyFont="1" applyFill="1"/>
    <xf numFmtId="0" fontId="18" fillId="0" borderId="10" xfId="0" applyFont="1" applyBorder="1" applyAlignment="1">
      <alignment horizontal="left"/>
    </xf>
    <xf numFmtId="165" fontId="1" fillId="0" borderId="0" xfId="2" applyNumberFormat="1" applyFont="1"/>
    <xf numFmtId="167" fontId="6" fillId="25" borderId="8" xfId="0" applyNumberFormat="1" applyFont="1" applyFill="1" applyBorder="1"/>
    <xf numFmtId="0" fontId="19" fillId="3" borderId="0" xfId="0" applyFont="1" applyFill="1" applyAlignment="1">
      <alignment horizontal="center"/>
    </xf>
    <xf numFmtId="1" fontId="0" fillId="3" borderId="0" xfId="2" applyNumberFormat="1" applyFont="1" applyFill="1" applyAlignment="1"/>
    <xf numFmtId="0" fontId="0" fillId="3" borderId="0" xfId="0" applyFill="1"/>
    <xf numFmtId="1" fontId="0" fillId="3" borderId="0" xfId="6" applyNumberFormat="1" applyFont="1" applyFill="1" applyAlignment="1"/>
    <xf numFmtId="166" fontId="6" fillId="3" borderId="0" xfId="0" applyNumberFormat="1" applyFont="1" applyFill="1"/>
    <xf numFmtId="166" fontId="0" fillId="3" borderId="0" xfId="4" applyNumberFormat="1" applyFont="1" applyFill="1" applyAlignment="1"/>
    <xf numFmtId="14" fontId="2" fillId="3" borderId="0" xfId="0" applyNumberFormat="1" applyFont="1" applyFill="1" applyAlignment="1">
      <alignment horizontal="center"/>
    </xf>
    <xf numFmtId="165" fontId="2" fillId="3" borderId="0" xfId="6" applyNumberFormat="1" applyFont="1" applyFill="1" applyAlignment="1">
      <alignment horizontal="left" indent="2"/>
    </xf>
    <xf numFmtId="43" fontId="2" fillId="3" borderId="0" xfId="2" applyFont="1" applyFill="1" applyAlignment="1"/>
    <xf numFmtId="164" fontId="0" fillId="26" borderId="0" xfId="0" applyNumberFormat="1" applyFill="1"/>
    <xf numFmtId="1" fontId="0" fillId="7" borderId="0" xfId="6" applyNumberFormat="1" applyFont="1" applyFill="1" applyAlignment="1"/>
    <xf numFmtId="1" fontId="0" fillId="16" borderId="0" xfId="6" applyNumberFormat="1" applyFont="1" applyFill="1" applyAlignment="1"/>
    <xf numFmtId="1" fontId="0" fillId="17" borderId="0" xfId="6" applyNumberFormat="1" applyFont="1" applyFill="1" applyAlignment="1">
      <alignment horizontal="right"/>
    </xf>
    <xf numFmtId="1" fontId="0" fillId="11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8" borderId="0" xfId="0" applyNumberFormat="1" applyFill="1"/>
    <xf numFmtId="4" fontId="0" fillId="0" borderId="0" xfId="0" applyNumberFormat="1"/>
    <xf numFmtId="169" fontId="0" fillId="0" borderId="0" xfId="0" applyNumberFormat="1"/>
    <xf numFmtId="165" fontId="6" fillId="2" borderId="8" xfId="0" applyNumberFormat="1" applyFont="1" applyFill="1" applyBorder="1"/>
    <xf numFmtId="170" fontId="0" fillId="0" borderId="0" xfId="0" applyNumberFormat="1"/>
    <xf numFmtId="165" fontId="0" fillId="21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6" fillId="19" borderId="0" xfId="0" applyNumberFormat="1" applyFont="1" applyFill="1"/>
    <xf numFmtId="1" fontId="0" fillId="17" borderId="0" xfId="6" applyNumberFormat="1" applyFont="1" applyFill="1" applyAlignment="1"/>
    <xf numFmtId="1" fontId="0" fillId="19" borderId="0" xfId="6" applyNumberFormat="1" applyFont="1" applyFill="1" applyAlignment="1"/>
    <xf numFmtId="165" fontId="0" fillId="19" borderId="5" xfId="8" applyNumberFormat="1" applyFont="1" applyFill="1" applyBorder="1" applyAlignment="1">
      <alignment horizontal="center" vertical="center" wrapText="1"/>
    </xf>
    <xf numFmtId="167" fontId="15" fillId="10" borderId="13" xfId="6" applyNumberFormat="1" applyFont="1" applyFill="1" applyBorder="1"/>
    <xf numFmtId="0" fontId="6" fillId="10" borderId="14" xfId="0" applyFont="1" applyFill="1" applyBorder="1" applyAlignment="1">
      <alignment horizontal="left"/>
    </xf>
    <xf numFmtId="1" fontId="0" fillId="19" borderId="0" xfId="0" applyNumberFormat="1" applyFill="1"/>
    <xf numFmtId="14" fontId="6" fillId="0" borderId="0" xfId="2" applyNumberFormat="1" applyFont="1" applyFill="1" applyAlignment="1"/>
    <xf numFmtId="172" fontId="0" fillId="0" borderId="0" xfId="0" applyNumberFormat="1"/>
    <xf numFmtId="43" fontId="0" fillId="3" borderId="0" xfId="2" applyFont="1" applyFill="1"/>
    <xf numFmtId="0" fontId="6" fillId="2" borderId="0" xfId="0" applyFont="1" applyFill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1" fontId="0" fillId="27" borderId="0" xfId="6" applyNumberFormat="1" applyFont="1" applyFill="1" applyAlignment="1">
      <alignment horizontal="right"/>
    </xf>
  </cellXfs>
  <cellStyles count="48">
    <cellStyle name="60% - Ênfase3 2" xfId="22" xr:uid="{B2E45479-FAED-4D65-A8A8-092016EDF7FD}"/>
    <cellStyle name="60% - Ênfase4" xfId="8" builtinId="44"/>
    <cellStyle name="Comma 2" xfId="10" xr:uid="{6D1281B6-2530-4966-814D-0BB8A7443DD8}"/>
    <cellStyle name="Currency 2" xfId="11" xr:uid="{C8E55730-0D6A-4DE5-8958-D0DEB873009D}"/>
    <cellStyle name="Ênfase1" xfId="7" builtinId="29"/>
    <cellStyle name="Ênfase3 2" xfId="12" xr:uid="{57F24690-79F0-4EDC-B8DA-453104D7AA8C}"/>
    <cellStyle name="Normal" xfId="0" builtinId="0"/>
    <cellStyle name="Normal 2" xfId="13" xr:uid="{C65E88DA-6592-434D-97F4-510A2936BBA5}"/>
    <cellStyle name="Normal 2 2" xfId="27" xr:uid="{7217FA77-3397-4173-A749-872F6B0619FE}"/>
    <cellStyle name="Normal 3" xfId="14" xr:uid="{CE01EF3E-13D9-4EDE-9279-1EB12FAAED94}"/>
    <cellStyle name="Normal 3 2" xfId="28" xr:uid="{8FCC677A-C7E2-4D98-83D6-EEDCE881435D}"/>
    <cellStyle name="Normal 4" xfId="19" xr:uid="{2F32DD14-5974-44F0-8556-5AFF0C7EA32B}"/>
    <cellStyle name="Normal 4 2" xfId="24" xr:uid="{E74B7E90-E83E-4925-B2A9-F1391B9BFCB0}"/>
    <cellStyle name="Normal 4 3" xfId="29" xr:uid="{C0EA39EF-C5E0-4C30-847B-C0F82C4650A7}"/>
    <cellStyle name="Porcentagem" xfId="1" builtinId="5"/>
    <cellStyle name="Porcentagem 2" xfId="15" xr:uid="{CD5EF209-5C60-4434-A185-F51AA6C0D2B6}"/>
    <cellStyle name="Porcentagem 2 2 2" xfId="23" xr:uid="{888A5291-D255-412C-8234-A5B3B9E1F2B7}"/>
    <cellStyle name="Porcentagem 3" xfId="16" xr:uid="{3921E475-5607-4481-800F-9E4C27707162}"/>
    <cellStyle name="Ruim" xfId="47" builtinId="27"/>
    <cellStyle name="Vírgula" xfId="6" builtinId="3"/>
    <cellStyle name="Vírgula 2" xfId="9" xr:uid="{8DAAADED-BEF6-4009-9D56-33A3B801C8D0}"/>
    <cellStyle name="Vírgula 2 13" xfId="26" xr:uid="{950289A6-BDDB-42B0-895A-FFF1296D3AE2}"/>
    <cellStyle name="Vírgula 2 13 2" xfId="39" xr:uid="{0320B86C-70B7-411C-A959-8E98DEB86A08}"/>
    <cellStyle name="Vírgula 2 2" xfId="21" xr:uid="{BDDF919B-05AF-4664-B536-D955DCE3D138}"/>
    <cellStyle name="Vírgula 2 2 2" xfId="20" xr:uid="{71AE070D-BF39-4693-94BC-FD6FB688A23E}"/>
    <cellStyle name="Vírgula 2 2 2 2" xfId="25" xr:uid="{58044EAC-1CF4-47A4-846D-A02D11B576C3}"/>
    <cellStyle name="Vírgula 2 2 2 2 2" xfId="38" xr:uid="{DCA45C21-A97D-4F2A-8D10-46EEEB3563EE}"/>
    <cellStyle name="Vírgula 2 2 3" xfId="37" xr:uid="{3393C1C9-9E5D-42E6-B0AD-FAE27B049CE9}"/>
    <cellStyle name="Vírgula 3" xfId="17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2" xr:uid="{F3D2B0E4-7009-4129-8D7B-B813AAD140AD}"/>
    <cellStyle name="Vírgula 3 2 2 3" xfId="32" xr:uid="{6C92460A-F946-409A-B6C7-B97936DD94EC}"/>
    <cellStyle name="Vírgula 3 2 3" xfId="5" xr:uid="{1459E03E-7DD6-4934-A73E-D5014C0BC1E4}"/>
    <cellStyle name="Vírgula 3 2 3 2" xfId="44" xr:uid="{5EB2F143-19A6-469E-A8ED-06EF4CA4AB49}"/>
    <cellStyle name="Vírgula 3 2 3 3" xfId="34" xr:uid="{974BDCED-2810-442F-AC85-98A029A14FC2}"/>
    <cellStyle name="Vírgula 3 2 4" xfId="41" xr:uid="{E87E7118-B957-4EFD-B0B6-243C16939D9A}"/>
    <cellStyle name="Vírgula 3 2 5" xfId="31" xr:uid="{8F30A0F6-EA3D-433E-97ED-E4FDDF3D00F5}"/>
    <cellStyle name="Vírgula 3 3" xfId="40" xr:uid="{C8ED1AE6-39D3-4D68-986B-FA5B9A0470C2}"/>
    <cellStyle name="Vírgula 3 4" xfId="30" xr:uid="{BA15D141-5069-479F-AD41-B887F3B85BFA}"/>
    <cellStyle name="Vírgula 4" xfId="35" xr:uid="{C14B6BBB-C294-41C8-A990-9113C74BB448}"/>
    <cellStyle name="Vírgula 4 2" xfId="45" xr:uid="{CB51217A-A094-4672-B6A0-8ABF3DAECFEF}"/>
    <cellStyle name="Vírgula 5" xfId="36" xr:uid="{77D68A88-93B3-453C-A357-F20B3C36E3E8}"/>
    <cellStyle name="Vírgula 6" xfId="46" xr:uid="{737409C7-440E-4A67-99AD-118BED114832}"/>
    <cellStyle name="Vírgula 7" xfId="18" xr:uid="{A4B4941D-4946-481F-A8E5-4390EE2E2D57}"/>
    <cellStyle name="Vírgula 9 2 2" xfId="4" xr:uid="{EC8A83A8-D1F6-4388-9D4E-7DD5FB697F03}"/>
    <cellStyle name="Vírgula 9 2 2 2" xfId="43" xr:uid="{C8E502C4-5C0C-4934-BFF6-14C7B777B9B0}"/>
    <cellStyle name="Vírgula 9 2 2 3" xfId="33" xr:uid="{E1EBD2F9-0133-44DC-8842-7F45277182A5}"/>
  </cellStyles>
  <dxfs count="415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b/>
        <i val="0"/>
        <strike val="0"/>
        <color rgb="FFFF0000"/>
      </font>
    </dxf>
    <dxf>
      <font>
        <color theme="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strike val="0"/>
        <color rgb="FFFF0000"/>
      </font>
      <fill>
        <patternFill>
          <bgColor theme="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bgColor theme="3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>
          <fgColor indexed="64"/>
          <bgColor theme="4" tint="0.79998168889431442"/>
        </patternFill>
      </fill>
    </dxf>
    <dxf>
      <fill>
        <patternFill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numFmt numFmtId="165" formatCode="_-* #,##0_-;\-* #,##0_-;_-* &quot;-&quot;??_-;_-@_-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07/relationships/slicerCache" Target="slicerCaches/slicerCache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3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94672</xdr:colOff>
      <xdr:row>1</xdr:row>
      <xdr:rowOff>17607</xdr:rowOff>
    </xdr:from>
    <xdr:to>
      <xdr:col>3</xdr:col>
      <xdr:colOff>2309</xdr:colOff>
      <xdr:row>13</xdr:row>
      <xdr:rowOff>54842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xcecutivo">
              <a:extLst>
                <a:ext uri="{FF2B5EF4-FFF2-40B4-BE49-F238E27FC236}">
                  <a16:creationId xmlns:a16="http://schemas.microsoft.com/office/drawing/2014/main" id="{06784DA9-3E7F-0121-E4D7-85316CF757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xcecuti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4672" y="200487"/>
              <a:ext cx="1858357" cy="2414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22</xdr:row>
      <xdr:rowOff>125539</xdr:rowOff>
    </xdr:from>
    <xdr:to>
      <xdr:col>2</xdr:col>
      <xdr:colOff>360468</xdr:colOff>
      <xdr:row>30</xdr:row>
      <xdr:rowOff>34561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STATUS">
              <a:extLst>
                <a:ext uri="{FF2B5EF4-FFF2-40B4-BE49-F238E27FC236}">
                  <a16:creationId xmlns:a16="http://schemas.microsoft.com/office/drawing/2014/main" id="{D70116F2-D278-19F1-DFE2-7AF7469B2218}"/>
                </a:ext>
                <a:ext uri="{147F2762-F138-4A5C-976F-8EAC2B608ADB}">
                  <a16:predDERef xmlns:a16="http://schemas.microsoft.com/office/drawing/2014/main" pred="{06784DA9-3E7F-0121-E4D7-85316CF757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590" y="4078605"/>
              <a:ext cx="1727411" cy="1263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100965</xdr:colOff>
      <xdr:row>14</xdr:row>
      <xdr:rowOff>160020</xdr:rowOff>
    </xdr:from>
    <xdr:to>
      <xdr:col>2</xdr:col>
      <xdr:colOff>552450</xdr:colOff>
      <xdr:row>22</xdr:row>
      <xdr:rowOff>55245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BU">
              <a:extLst>
                <a:ext uri="{FF2B5EF4-FFF2-40B4-BE49-F238E27FC236}">
                  <a16:creationId xmlns:a16="http://schemas.microsoft.com/office/drawing/2014/main" id="{D8A032F1-D1CC-2C5C-9AD9-B128729F59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965" y="2720340"/>
              <a:ext cx="1849755" cy="1152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30</xdr:row>
      <xdr:rowOff>118109</xdr:rowOff>
    </xdr:from>
    <xdr:to>
      <xdr:col>2</xdr:col>
      <xdr:colOff>514350</xdr:colOff>
      <xdr:row>38</xdr:row>
      <xdr:rowOff>150494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Diretor de Operações">
              <a:extLst>
                <a:ext uri="{FF2B5EF4-FFF2-40B4-BE49-F238E27FC236}">
                  <a16:creationId xmlns:a16="http://schemas.microsoft.com/office/drawing/2014/main" id="{A7BA1207-F612-15CB-1D32-C4EB81BEEA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retor de Operaçõ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5787389"/>
              <a:ext cx="1844040" cy="1495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53340</xdr:colOff>
      <xdr:row>39</xdr:row>
      <xdr:rowOff>76201</xdr:rowOff>
    </xdr:from>
    <xdr:to>
      <xdr:col>2</xdr:col>
      <xdr:colOff>476250</xdr:colOff>
      <xdr:row>45</xdr:row>
      <xdr:rowOff>129541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IVEL RISCO">
              <a:extLst>
                <a:ext uri="{FF2B5EF4-FFF2-40B4-BE49-F238E27FC236}">
                  <a16:creationId xmlns:a16="http://schemas.microsoft.com/office/drawing/2014/main" id="{613661C6-0EF0-1B35-2E25-7ED6BB71F9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IVEL RIS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340" y="7391401"/>
              <a:ext cx="1786890" cy="11468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tor Guimaraes Esteves" refreshedDate="46184.420396875001" createdVersion="8" refreshedVersion="8" minRefreshableVersion="3" recordCount="2374" xr:uid="{120A94F3-1107-4739-BEDD-6AB3C5A945D0}">
  <cacheSource type="worksheet">
    <worksheetSource name="Tabela1"/>
  </cacheSource>
  <cacheFields count="34">
    <cacheField name="CC" numFmtId="1">
      <sharedItems containsSemiMixedTypes="0" containsString="0" containsNumber="1" containsInteger="1" minValue="1247" maxValue="1533"/>
    </cacheField>
    <cacheField name="Local" numFmtId="1">
      <sharedItems/>
    </cacheField>
    <cacheField name="Excecutivo" numFmtId="0">
      <sharedItems containsMixedTypes="1" containsNumber="1" containsInteger="1" minValue="0" maxValue="0" count="10">
        <s v="JOSÉ NETO COELHO"/>
        <s v="EVANDRO BRAGA"/>
        <s v="ROGERIO GORDILHO"/>
        <s v="RITA ANDRADE"/>
        <s v="RODRIGO CORUMBA"/>
        <s v="ANTONIO ALVES"/>
        <s v="LIZANDRA PIMENTA"/>
        <s v="CYRO SALVATORE"/>
        <s v="JOSÉ NETO"/>
        <n v="0" u="1"/>
      </sharedItems>
    </cacheField>
    <cacheField name="Grupo Cliente" numFmtId="0">
      <sharedItems containsMixedTypes="1" containsNumber="1" containsInteger="1" minValue="0" maxValue="0" count="38">
        <s v="OI"/>
        <s v="COMPASS"/>
        <s v="ATAKAREJO"/>
        <s v="BRADESCO_SEGUROS"/>
        <s v="AXIA"/>
        <s v=" FUNCEF"/>
        <s v="SANTANDER"/>
        <s v="SEFAZ_BA"/>
        <s v="SERASA"/>
        <s v="UNIPAR"/>
        <s v="VOTORANTIM"/>
        <s v="BRADESCO"/>
        <s v="DETRAN"/>
        <s v="DPE"/>
        <s v="EMBASA"/>
        <s v="FAPESB"/>
        <s v="INEMA"/>
        <s v="MP_BA"/>
        <s v="GAS_BRASILIANO"/>
        <s v="PETZ"/>
        <s v="RENDIMENTO"/>
        <s v="SABESP"/>
        <s v="SEBRAE"/>
        <s v="SEC-BA"/>
        <s v="GNC"/>
        <s v="TJ_BA"/>
        <s v="VR"/>
        <s v="DETRAN-BA "/>
        <s v="FICO"/>
        <s v="IBAMETRO"/>
        <s v="PORTO_SEGURO"/>
        <s v="ENTREPAY"/>
        <s v="CARREFOUR"/>
        <s v="BRACELL"/>
        <s v="SAFRA"/>
        <s v="CLOUD SERVICES (1389)"/>
        <s v="EXE AUCTIONS  "/>
        <n v="0" u="1"/>
      </sharedItems>
    </cacheField>
    <cacheField name="CLIENTE" numFmtId="0">
      <sharedItems containsBlank="1" count="268">
        <s v="OI - DIGITAL SUPORT (1390)"/>
        <s v="COMPASS (1398)"/>
        <s v="ATAKAREJO N3 (1455)"/>
        <s v="BRADESCO - SEGUROS (1292)"/>
        <s v="ELETROBRAS RS NOVO (1300)"/>
        <s v="SF – FUNCEF (1378)"/>
        <s v="SANTANDER ESFERA (1481)"/>
        <s v="SEFAZ - BA DIGITAL CENTER (1394)"/>
        <s v="SERASA EXPERIAN (1360)"/>
        <s v="UNIPAR (1483)"/>
        <s v="BANKLY (ADS) (1478)"/>
        <s v="BRADESCO - DS (1391)"/>
        <s v="BRADESCO - DS 2 (1294)"/>
        <s v="BRADESCO DS2 (CSA) (1474)"/>
        <s v="BRADESCO - EXPERIENCE (1285)"/>
        <s v="DETRAN - N3 (1393)"/>
        <s v="DPE - BA Digital Center (1476)"/>
        <s v="EMBASA - NOVO (1290)"/>
        <s v="FAPESB Sustentação (1475)"/>
        <s v="INEMA N3 (1358)"/>
        <s v="MP - BA I (1473)"/>
        <s v="GAS BRASILIANO (1462)"/>
        <s v="PETZ - ADS (1260)"/>
        <s v="REAL GRANDEZA (1482)"/>
        <s v="BANCO RENDIMENTO ADS (1262)"/>
        <s v="BANCO RENDIMENTO MONITORING CSA (1269)"/>
        <s v="SABESP - MICROSOFT NOVO (1400)"/>
        <s v="SABESP - SD (1366)"/>
        <s v="SABESP - NETCONTROL (1388)"/>
        <s v="SEBRAE-SP DC NOVO (1298)"/>
        <s v="SEC N3 NOVO (1289)"/>
        <s v="SEC BA SISTEMAS  (1288)"/>
        <s v="SEC SD (1271)"/>
        <s v="SEC SIGEDUC (1299)"/>
        <s v="ELETROBRAS DIGITAL SUPORT (1296)"/>
        <s v="GNC (1470)"/>
        <s v="TJ - BA SISTEMAS (1287)"/>
        <s v="TJ - BA DIGITAL SUPPORT (1273)"/>
        <s v="TJ - BA CPROD (1277)"/>
        <s v="BANCO SANTANDER Agile Studio (1268)"/>
        <s v="VR (1275)"/>
        <s v="VR - Salesforce (1479)"/>
        <s v="BRADESCO - SEGUROS (BPS) (1484)"/>
        <s v="EMBASA - Sustentação ITSM (1490)"/>
        <s v="FICO (1472)"/>
        <s v="IBAMETRO (1247)"/>
        <s v="PORTO SEGURO – BPS (1487)"/>
        <s v="SERASA DC (1387)"/>
        <s v="Entrepay (1480)"/>
        <s v="ATAKAREJO - PROJETOS (1497)"/>
        <s v="PORTO SEGURO – ADS (1485)"/>
        <s v="BANCO CARREFOUR (1489)"/>
        <s v="BRACELL (1499)"/>
        <s v="SERASA (BPS) (1500)"/>
        <s v="BANCO SAFRA (1357)"/>
        <s v="CLOUD SERVICES (1389)"/>
        <s v="Entrepay ADS Alocação (1480)"/>
        <s v="PORTO SEGURO – ADS - Alocações (1485)"/>
        <s v="PORTO SEGURO – BPS – DYNAMICS (1506)"/>
        <s v="SABESP - SD 2025 (1501)"/>
        <s v="SANTANDER BPS (1494)"/>
        <s v="BRADESCO SEGUROS (ADS) – BS2 (1507)"/>
        <s v="EXE AUCTIONS  (1511)"/>
        <s v="BRADESCO SEGUROS (CSA) – BS2 (1512)"/>
        <s v="IBAMETRO DS (1525)"/>
        <s v="UNIPAR_SD-OPS (1533)"/>
        <s v="BRADESCO SEGUROS (BPS) – BS2 (1508)"/>
        <s v="SEFAZ - BA ADS (1518)"/>
        <s v="TJ - BA SISTEMAS EMERGENCIAL (1514)"/>
        <s v="BANCO SANTANDER ORACLE (1356)"/>
        <s v="SANTANDER - MIGRAÇÃO ROBOS TOOLS FASE 1 (1522)"/>
        <s v="ELETROBRAS - AXIA Monitoramento (1519)"/>
        <s v="ELETROBRAS - AXIA N3 (1515)"/>
        <s v="" u="1"/>
        <s v="EBAL N1 e N2 (1305)" u="1"/>
        <s v="OI - REDE GOVERNO - SE (1313)" u="1"/>
        <s v="EBAL N3 (1322)" u="1"/>
        <s v="SEOP (1253)" u="1"/>
        <s v="SMS (1255)" u="1"/>
        <s v="SME (1254)" u="1"/>
        <s v="INTEGRAÇÃO SABESP (1341)" u="1"/>
        <s v="SUBVISA (1252)" u="1"/>
        <s v="UFBA CENTRAL DE SERVIÇOS (1226)" u="1"/>
        <s v="MOOHTECH - ADS (1439)" u="1"/>
        <s v="FURNAS - FÁBRICA (1339)" u="1"/>
        <m u="1"/>
        <s v="IBAMETRO DS" u="1"/>
        <s v="SABESP  - BPS (1520)" u="1"/>
        <s v="RADESCO SEGUROS (ADS) – BS2 (1507)" u="1"/>
        <s v="BANCO SANTANDER Spots (1356)" u="1"/>
        <s v="AXIA Monitoramento (1519)" u="1"/>
        <s v="AXIA N3 (1515)" u="1"/>
        <e v="#N/A" u="1"/>
        <s v="AJUSTE SANTANDER" u="1"/>
        <s v="SEBRAE-SP Sistemas (1244)" u="1"/>
        <s v="SABESP - MONITORAMENTO (1221)" u="1"/>
        <s v="SABESP - STUDIO MICROSOFT (1259)" u="1"/>
        <s v="OPERAÇÃO ARENA PERNAMBUCO (1413)" u="1"/>
        <s v="BRADESCO - MOBILE (1354)" u="1"/>
        <s v="BRADESCO - PROJETOS (1274)" u="1"/>
        <s v="ELETROBRAS REMOTE SERVICE (1291)" u="1"/>
        <s v="EUROP - DC (1284)" u="1"/>
        <s v="FAPESB (1230)" u="1"/>
        <s v="FURNAS - CSC N2 (1364)" u="1"/>
        <s v="FURNAS - INFRA (1321)" u="1"/>
        <s v="FURNAS - MONITORAÇÃO (1361)" u="1"/>
        <s v="SF - ITAU (1458)" u="1"/>
        <s v="LE BISCUIT - CONSULTORIA SALESFORCE (1279)" u="1"/>
        <s v="LE BISCUIT – RPA (1438)" u="1"/>
        <s v="LE BISCUIT - SERVICE DESK (1261)" u="1"/>
        <s v="SF - MASTER FINANCIAL SERVICE CLOUD (1461)" u="1"/>
        <s v="SF - MILLENA MOVEIS Mkt (1379)" u="1"/>
        <s v="MP - BA (1348)" u="1"/>
        <s v="MP - RJ (1278)" u="1"/>
        <s v="MV Sistemas RPA (1281)" u="1"/>
        <s v="NEXTIA (1423)" u="1"/>
        <s v="PEFISA – Agile Studio (1369)" u="1"/>
        <s v="SEBRAE-SP Digital Center (1376)" u="1"/>
        <s v="SEFAZ - PMS_DEV. (1426)" u="1"/>
        <s v="LE BISCUIT - ATENDIMENTO SAC (1454)" u="1"/>
        <s v="ROCK COMUNICAÇÕES (1435)" u="1"/>
        <s v="SF - SETTA SALES CLOUD (1460)" u="1"/>
        <s v="MASTER ATENDIMENTO SERVICE CLOUD (1464)" u="1"/>
        <s v="SF - MASTER FINANCIAL MARKETING CLOUD (1463)" u="1"/>
        <s v="STATE_GRID (1446)" u="1"/>
        <s v="SF - ITAU SALES CLOUD  (1466)" u="1"/>
        <s v="ADS – MASTER PERFIS (1465)" u="1"/>
        <s v="SF - MV Sistemas (1282)" u="1"/>
        <s v="BMG (1374)" u="1"/>
        <s v="SF - SETTA MELHORIAS (1468)" u="1"/>
        <s v="PRODEB Projeto MDS (1433)" u="1"/>
        <s v="OS - REONERAÇÃO" u="1"/>
        <s v="SANTANDER CSA (1493)" u="1"/>
        <s v="ARENAS PE" u="1"/>
        <s v="ATAKAREJO" u="1"/>
        <s v="ATAKAREJO - PROJETOS" u="1"/>
        <s v="BANCO CARREFOUR" u="1"/>
        <s v="BANCO SAFRA - ADS" u="1"/>
        <s v="BANKLY" u="1"/>
        <s v="BMG - ADS" u="1"/>
        <s v="BRACELL" u="1"/>
        <s v="Bradesco DS 1" u="1"/>
        <s v="Bradesco DS 2" u="1"/>
        <s v="Bradesco DS2 (CSA)" u="1"/>
        <s v="Bradesco Experience" u="1"/>
        <s v="Bradesco Mobile" u="1"/>
        <s v="Bradesco Seguros" u="1"/>
        <s v="BRADESCO SEGUROS (ADS) – BS2" u="1"/>
        <s v="BRADESCO SEGUROS (BPS) – BS2" u="1"/>
        <s v="Bradesco Seguros BPS" u="1"/>
        <s v="Bradesco_Projetos" u="1"/>
        <s v="BV MONITORING" u="1"/>
        <s v="COMPASS" u="1"/>
        <s v="Consultec" u="1"/>
        <s v="DETRAN" u="1"/>
        <s v="DPE - BA Digital Center" u="1"/>
        <s v="EBAL N1 e N2" u="1"/>
        <s v="EBAL N3" u="1"/>
        <s v="ELETROBRAS DS" u="1"/>
        <s v="Eletrobras_Remote" u="1"/>
        <s v="Eletrobras_RS_ Novo" u="1"/>
        <s v="Embasa Novo" u="1"/>
        <s v="Embasa Sustentação" u="1"/>
        <s v="ENTREPAY" u="1"/>
        <s v="EUROP ASSISTENCE DC" u="1"/>
        <s v="EXE AUCTIONS" u="1"/>
        <s v="FAPESB" u="1"/>
        <s v="FAPESB Sustentação" u="1"/>
        <s v="FICO" u="1"/>
        <s v="Funcef" u="1"/>
        <s v="FURNAS CSC N2" u="1"/>
        <s v="FURNAS DS" u="1"/>
        <s v="FURNAS DS - CSC N2" u="1"/>
        <s v="FURNAS DS INFRA" u="1"/>
        <s v="FURNAS DS MONITORAÇÃO" u="1"/>
        <s v="FURNAS -FSW" u="1"/>
        <s v="Grupo Setta" u="1"/>
        <s v="IBAMETRO" u="1"/>
        <s v="IGTE" u="1"/>
        <s v="INEMA N3" u="1"/>
        <s v="ITAU" u="1"/>
        <s v="LE BISCUIT - ATENDIMENTO SAC" u="1"/>
        <s v="LE BISCUIT - CONSULTORIA SALESFORCE" u="1"/>
        <s v="LE BISCUIT – RPA" u="1"/>
        <s v="LE BISCUIT SD" u="1"/>
        <s v="MASTER ATENDIMENTO SERVICE CLOUD" u="1"/>
        <s v="MASTER FINANCIAL MARKETING CLOUD" u="1"/>
        <s v="MASTER FINANCIAL SERVICE CLOUD" u="1"/>
        <s v="Milena - Service Cloud" u="1"/>
        <s v="MOOHTECH" u="1"/>
        <s v="MP-BA" u="1"/>
        <s v="MP-RIO" u="1"/>
        <s v="MV" u="1"/>
        <s v="MV RPA" u="1"/>
        <s v="NECTA" u="1"/>
        <s v="Nextia" u="1"/>
        <s v="OI BA" u="1"/>
        <s v="OI SERGIPE" u="1"/>
        <s v="Pefisa" u="1"/>
        <s v="PETZ" u="1"/>
        <s v="PORTO SEGURO – BPS DYNAMICS" u="1"/>
        <s v="PORTO SEGURO-ADS" u="1"/>
        <s v="PRODEB INFRA" u="1"/>
        <s v="Real Grandeza" u="1"/>
        <s v="Rendimento" u="1"/>
        <s v="Rendimento MONITORING" u="1"/>
        <s v="ROCKCOMUNICAÇÃO" u="1"/>
        <s v="SABESP - MICROSOFT NOVO" u="1"/>
        <s v="SABESP - MONITORAMENTO" u="1"/>
        <s v="SABESP - SD" u="1"/>
        <s v="SABESP - SD (NOVO)" u="1"/>
        <s v="SABESP - STUDIO MICROSOFT" u="1"/>
        <s v="SABESP INTEGRAÇÃO" u="1"/>
        <s v="Sabesp Netcontrol" u="1"/>
        <s v="SANTANDER BPS" u="1"/>
        <s v="SANTANDER CSA" u="1"/>
        <s v="Santander Esfera" u="1"/>
        <s v="SEBRAE-SP DC" u="1"/>
        <s v="SEBRAE-SP DC (Novo)" u="1"/>
        <s v="SEBRAE-SP FSW" u="1"/>
        <s v="SEC-BA N3-novo" u="1"/>
        <s v="SEC-BA SISTEMAS" u="1"/>
        <s v="SEC-SD NOVO" u="1"/>
        <s v="SEC-SIGEDUC" u="1"/>
        <s v="SEFAZ-BA DIGITAL CENTER" u="1"/>
        <s v="SEFAZ-PMS" u="1"/>
        <s v="SEOP" u="1"/>
        <s v="SERASA - BPS" u="1"/>
        <s v="SERASA APLIC" u="1"/>
        <s v="SERASA DC" u="1"/>
        <s v="SF - SETTA MELHORIAS" u="1"/>
        <s v="SME" u="1"/>
        <s v="SMS" u="1"/>
        <s v="SUBVISA" u="1"/>
        <s v="TD SYNNEX BRASIL" u="1"/>
        <s v="TERRA FORTE" u="1"/>
        <s v="TJ - SISTEMA" u="1"/>
        <s v="TJ -BA DIGITAL SUPPORT" u="1"/>
        <s v="TJBA CPROD" u="1"/>
        <s v="Torre Santander" u="1"/>
        <s v="UFBA" u="1"/>
        <s v="UNIPAR" u="1"/>
        <s v="VR -ADS" u="1"/>
        <s v="VR -BPS" u="1"/>
        <s v="VR -SALESFORCE" u="1"/>
        <s v="PORTO SEGURO-CSA" u="1"/>
        <s v="PORTO SEGURO-BPS" u="1"/>
        <s v="BNP Cardif" u="1"/>
        <s v="FICO - ITAÚ" u="1"/>
        <s v=" MASTER FINANCIAL MARKETING CLOUD" u="1"/>
        <s v="FURNAS CSC N2 " u="1"/>
        <s v="FURNAS CSC N2  " u="1"/>
        <s v="MOOHTECH " u="1"/>
        <s v="SABESP - MICROSOFT NOVO " u="1"/>
        <s v="Embasa Sustentação " u="1"/>
        <s v="DPE - BA Digital Center " u="1"/>
        <s v="SF - SETTA MELHORIAS " u="1"/>
        <s v="FICO - ITAÚ " u="1"/>
        <s v=" ITAU SALES CLOUD  " u="1"/>
        <s v="Porto Seguro RPA" u="1"/>
        <s v="BNP" u="1"/>
        <s v="Esfera" u="1"/>
        <s v="Vendas" u="1"/>
        <s v="STATE_GRID" u="1"/>
        <s v="GN" u="1"/>
        <s v="Bradesco_Seguros" u="1"/>
        <s v="BV Rendimento" u="1"/>
        <s v="Novas Vendas" u="1"/>
      </sharedItems>
    </cacheField>
    <cacheField name="TIPO" numFmtId="0">
      <sharedItems/>
    </cacheField>
    <cacheField name="NFE" numFmtId="1">
      <sharedItems containsBlank="1" containsMixedTypes="1" containsNumber="1" containsInteger="1" minValue="453" maxValue="765201" count="4970">
        <n v="652"/>
        <n v="1168"/>
        <n v="1179"/>
        <n v="1195"/>
        <n v="8397"/>
        <n v="8506"/>
        <n v="8566"/>
        <n v="8488"/>
        <n v="8524"/>
        <n v="8529"/>
        <n v="1235"/>
        <n v="1193"/>
        <n v="8081"/>
        <n v="8082"/>
        <n v="8117"/>
        <n v="8537"/>
        <n v="1253"/>
        <n v="1192"/>
        <n v="3794"/>
        <n v="8136"/>
        <n v="8137"/>
        <n v="8138"/>
        <n v="8546"/>
        <n v="8140"/>
        <n v="1200"/>
        <n v="8160"/>
        <n v="1252"/>
        <n v="3728"/>
        <n v="8394"/>
        <n v="8395"/>
        <n v="8402"/>
        <n v="8404"/>
        <n v="8420"/>
        <n v="8421"/>
        <n v="8434"/>
        <n v="8438"/>
        <n v="8436"/>
        <n v="3731"/>
        <n v="8164"/>
        <n v="8165"/>
        <n v="1203"/>
        <n v="1205"/>
        <n v="1204"/>
        <n v="8273"/>
        <n v="8167"/>
        <n v="3740"/>
        <n v="3742"/>
        <n v="3743"/>
        <n v="3744"/>
        <n v="3741"/>
        <n v="3747"/>
        <n v="3746"/>
        <n v="3748"/>
        <n v="3733"/>
        <n v="3734"/>
        <n v="3735"/>
        <n v="3750"/>
        <n v="3749"/>
        <n v="3793"/>
        <n v="8170"/>
        <n v="8148"/>
        <n v="8182"/>
        <n v="8184"/>
        <n v="8185"/>
        <n v="8181"/>
        <n v="8173"/>
        <n v="1206"/>
        <n v="8178"/>
        <n v="8172"/>
        <n v="8179"/>
        <n v="8183"/>
        <n v="8174"/>
        <n v="8175"/>
        <n v="8217"/>
        <n v="8188"/>
        <n v="1245"/>
        <n v="3745"/>
        <n v="8168"/>
        <n v="3767"/>
        <n v="3766"/>
        <n v="3765"/>
        <n v="3763"/>
        <n v="3762"/>
        <n v="3769"/>
        <n v="3768"/>
        <n v="3770"/>
        <n v="3764"/>
        <n v="8198"/>
        <n v="8197"/>
        <n v="1208"/>
        <n v="1214"/>
        <n v="3779"/>
        <n v="3822"/>
        <n v="1207"/>
        <n v="8187"/>
        <n v="8186"/>
        <n v="8189"/>
        <n v="8623"/>
        <n v="8190"/>
        <n v="8180"/>
        <n v="8177"/>
        <n v="8176"/>
        <n v="8192"/>
        <n v="8191"/>
        <n v="1296"/>
        <n v="8212"/>
        <n v="8242"/>
        <n v="3730"/>
        <n v="8169"/>
        <n v="1212"/>
        <n v="1233"/>
        <n v="1215"/>
        <n v="1218"/>
        <n v="3821"/>
        <n v="3820"/>
        <n v="3819"/>
        <n v="3804"/>
        <n v="3803"/>
        <n v="3897"/>
        <n v="3898"/>
        <n v="3899"/>
        <n v="3877"/>
        <n v="3945"/>
        <n v="3968"/>
        <n v="3967"/>
        <n v="3966"/>
        <n v="8194"/>
        <n v="8195"/>
        <n v="3659"/>
        <n v="3662"/>
        <n v="1213"/>
        <n v="8240"/>
        <n v="3797"/>
        <n v="3802"/>
        <n v="3801"/>
        <n v="3800"/>
        <n v="3799"/>
        <n v="3798"/>
        <n v="3808"/>
        <n v="3739"/>
        <n v="3805"/>
        <n v="3807"/>
        <n v="3806"/>
        <n v="3810"/>
        <n v="3809"/>
        <n v="3817"/>
        <n v="3816"/>
        <n v="3813"/>
        <n v="3812"/>
        <n v="3811"/>
        <n v="3880"/>
        <n v="3814"/>
        <n v="3777"/>
        <n v="3776"/>
        <n v="3778"/>
        <n v="3736"/>
        <n v="3737"/>
        <n v="3738"/>
        <n v="3902"/>
        <n v="3792"/>
        <n v="3786"/>
        <n v="3788"/>
        <n v="3787"/>
        <n v="3791"/>
        <n v="3790"/>
        <n v="3789"/>
        <n v="3795"/>
        <n v="3785"/>
        <n v="8203"/>
        <n v="8219"/>
        <n v="8218"/>
        <n v="8221"/>
        <n v="8211"/>
        <n v="8238"/>
        <n v="1217"/>
        <n v="1216"/>
        <n v="8210"/>
        <n v="1219"/>
        <n v="8204"/>
        <n v="8207"/>
        <n v="8206"/>
        <n v="3783"/>
        <n v="8224"/>
        <n v="8196"/>
        <n v="8209"/>
        <n v="8208"/>
        <n v="8255"/>
        <n v="8201"/>
        <n v="1220"/>
        <n v="3784"/>
        <n v="3781"/>
        <n v="3780"/>
        <n v="8205"/>
        <n v="3828"/>
        <n v="3826"/>
        <n v="3825"/>
        <n v="3824"/>
        <n v="3823"/>
        <n v="3830"/>
        <n v="3829"/>
        <n v="3831"/>
        <n v="3827"/>
        <n v="8227"/>
        <n v="8226"/>
        <n v="1221"/>
        <n v="3818"/>
        <n v="1222"/>
        <n v="8214"/>
        <n v="8215"/>
        <n v="8216"/>
        <n v="8245"/>
        <n v="8220"/>
        <n v="8222"/>
        <n v="8223"/>
        <n v="8268"/>
        <n v="8257"/>
        <n v="8250"/>
        <n v="8251"/>
        <n v="3755"/>
        <n v="3754"/>
        <n v="3753"/>
        <n v="3752"/>
        <n v="3751"/>
        <n v="3760"/>
        <n v="3759"/>
        <n v="3758"/>
        <n v="3773"/>
        <n v="3771"/>
        <n v="3774"/>
        <n v="3845"/>
        <n v="3756"/>
        <n v="3761"/>
        <n v="3772"/>
        <n v="3775"/>
        <n v="8202"/>
        <n v="1223"/>
        <n v="1227"/>
        <n v="1228"/>
        <n v="8200"/>
        <n v="1307"/>
        <n v="3782"/>
        <n v="3796"/>
        <n v="1224"/>
        <n v="8241"/>
        <n v="3871"/>
        <n v="3884"/>
        <n v="3885"/>
        <n v="3887"/>
        <n v="3891"/>
        <n v="3883"/>
        <n v="3933"/>
        <n v="3939"/>
        <n v="3815"/>
        <n v="3865"/>
        <n v="3896"/>
        <n v="3874"/>
        <n v="3873"/>
        <n v="3876"/>
        <n v="3882"/>
        <n v="3886"/>
        <n v="3889"/>
        <n v="3890"/>
        <n v="3894"/>
        <n v="3903"/>
        <n v="3959"/>
        <n v="3888"/>
        <n v="3854"/>
        <n v="3855"/>
        <n v="3893"/>
        <n v="3892"/>
        <n v="3864"/>
        <n v="3863"/>
        <n v="3866"/>
        <n v="3872"/>
        <n v="3870"/>
        <n v="3901"/>
        <n v="3895"/>
        <n v="8254"/>
        <n v="8253"/>
        <n v="8264"/>
        <n v="8230"/>
        <n v="8244"/>
        <n v="8239"/>
        <n v="1226"/>
        <n v="1225"/>
        <n v="1229"/>
        <n v="8243"/>
        <n v="8233"/>
        <n v="8235"/>
        <n v="3900"/>
        <n v="8237"/>
        <n v="3860"/>
        <n v="8262"/>
        <n v="8234"/>
        <n v="8259"/>
        <n v="8263"/>
        <n v="8258"/>
        <n v="8229"/>
        <n v="1256"/>
        <n v="1255"/>
        <n v="3859"/>
        <n v="3858"/>
        <n v="3857"/>
        <n v="8236"/>
        <n v="3919"/>
        <n v="3926"/>
        <n v="3925"/>
        <n v="3924"/>
        <n v="3923"/>
        <n v="3921"/>
        <n v="3920"/>
        <n v="3922"/>
        <n v="3927"/>
        <n v="8272"/>
        <n v="8271"/>
        <n v="1230"/>
        <n v="3881"/>
        <n v="1231"/>
        <n v="8247"/>
        <n v="8248"/>
        <n v="8249"/>
        <n v="8246"/>
        <n v="8252"/>
        <n v="8256"/>
        <n v="8265"/>
        <n v="8267"/>
        <n v="8266"/>
        <n v="8283"/>
        <n v="8297"/>
        <n v="8359"/>
        <n v="3835"/>
        <n v="3834"/>
        <n v="3856"/>
        <n v="3847"/>
        <n v="3846"/>
        <n v="3844"/>
        <n v="3843"/>
        <n v="3842"/>
        <n v="3840"/>
        <n v="3853"/>
        <n v="3852"/>
        <n v="3851"/>
        <n v="3850"/>
        <n v="3849"/>
        <n v="3861"/>
        <n v="3879"/>
        <n v="3878"/>
        <n v="3833"/>
        <n v="3841"/>
        <n v="3848"/>
        <n v="3862"/>
        <n v="8228"/>
        <n v="1240"/>
        <n v="1234"/>
        <n v="1232"/>
        <n v="8231"/>
        <n v="8232"/>
        <n v="3867"/>
        <n v="3868"/>
        <n v="8274"/>
        <n v="8281"/>
        <n v="8280"/>
        <n v="8270"/>
        <n v="3953"/>
        <n v="3952"/>
        <n v="3965"/>
        <n v="3964"/>
        <n v="3963"/>
        <n v="3962"/>
        <n v="3961"/>
        <n v="3960"/>
        <n v="3947"/>
        <n v="3951"/>
        <n v="3955"/>
        <n v="3954"/>
        <n v="3958"/>
        <n v="3957"/>
        <n v="3969"/>
        <n v="3997"/>
        <n v="3932"/>
        <n v="3934"/>
        <n v="3942"/>
        <n v="3949"/>
        <n v="3950"/>
        <n v="3948"/>
        <n v="3946"/>
        <n v="3970"/>
        <n v="3943"/>
        <n v="8276"/>
        <n v="8311"/>
        <n v="8388"/>
        <n v="8387"/>
        <n v="8389"/>
        <n v="8307"/>
        <n v="8306"/>
        <n v="8285"/>
        <n v="8288"/>
        <n v="1239"/>
        <n v="1238"/>
        <n v="1242"/>
        <n v="8303"/>
        <n v="8287"/>
        <n v="8282"/>
        <n v="3981"/>
        <n v="8291"/>
        <n v="3938"/>
        <n v="8309"/>
        <n v="8269"/>
        <n v="8302"/>
        <n v="8301"/>
        <n v="8312"/>
        <n v="8275"/>
        <n v="1260"/>
        <n v="3935"/>
        <n v="3937"/>
        <n v="3944"/>
        <n v="8289"/>
        <n v="3978"/>
        <n v="3975"/>
        <n v="3974"/>
        <n v="3973"/>
        <n v="3972"/>
        <n v="3980"/>
        <n v="3979"/>
        <n v="3977"/>
        <n v="3976"/>
        <n v="8305"/>
        <n v="8304"/>
        <n v="1244"/>
        <n v="3956"/>
        <n v="1243"/>
        <n v="8293"/>
        <n v="8292"/>
        <n v="8294"/>
        <n v="8299"/>
        <n v="8290"/>
        <n v="8298"/>
        <n v="8296"/>
        <n v="8295"/>
        <n v="8300"/>
        <n v="8308"/>
        <n v="8370"/>
        <n v="8310"/>
        <n v="3914"/>
        <n v="3913"/>
        <n v="3912"/>
        <n v="3911"/>
        <n v="3910"/>
        <n v="3907"/>
        <n v="3904"/>
        <n v="3918"/>
        <n v="3917"/>
        <n v="3916"/>
        <n v="3915"/>
        <n v="3930"/>
        <n v="3931"/>
        <n v="3909"/>
        <n v="3908"/>
        <n v="3906"/>
        <n v="3905"/>
        <n v="3929"/>
        <n v="8277"/>
        <n v="1246"/>
        <n v="1248"/>
        <n v="1247"/>
        <n v="1241"/>
        <n v="8278"/>
        <n v="8279"/>
        <n v="3940"/>
        <n v="3941"/>
        <n v="8320"/>
        <n v="3994"/>
        <n v="8319"/>
        <n v="4009"/>
        <n v="4008"/>
        <n v="4007"/>
        <n v="4006"/>
        <n v="4005"/>
        <n v="4004"/>
        <n v="4018"/>
        <n v="4017"/>
        <n v="4033"/>
        <n v="4106"/>
        <n v="4012"/>
        <n v="4011"/>
        <n v="4010"/>
        <n v="4003"/>
        <n v="4016"/>
        <n v="4024"/>
        <n v="4023"/>
        <n v="4025"/>
        <n v="4034"/>
        <n v="4032"/>
        <n v="4037"/>
        <n v="4036"/>
        <n v="4058"/>
        <n v="3989"/>
        <n v="3988"/>
        <n v="3999"/>
        <n v="4001"/>
        <n v="4000"/>
        <n v="4002"/>
        <n v="4014"/>
        <n v="4013"/>
        <n v="4019"/>
        <n v="4022"/>
        <n v="4020"/>
        <n v="4027"/>
        <n v="4026"/>
        <n v="4132"/>
        <n v="4021"/>
        <n v="8337"/>
        <n v="8318"/>
        <n v="8328"/>
        <n v="8392"/>
        <n v="8343"/>
        <n v="8326"/>
        <n v="8325"/>
        <n v="1250"/>
        <n v="1270"/>
        <n v="1254"/>
        <n v="8338"/>
        <n v="8322"/>
        <n v="8334"/>
        <n v="4035"/>
        <n v="8324"/>
        <n v="3992"/>
        <n v="8340"/>
        <n v="8313"/>
        <n v="8347"/>
        <n v="8362"/>
        <n v="8381"/>
        <n v="8314"/>
        <n v="1277"/>
        <n v="1282"/>
        <n v="3993"/>
        <n v="4015"/>
        <n v="8327"/>
        <n v="4051"/>
        <n v="4049"/>
        <n v="4048"/>
        <n v="4047"/>
        <n v="4046"/>
        <n v="4053"/>
        <n v="4052"/>
        <n v="4054"/>
        <n v="4050"/>
        <n v="8336"/>
        <n v="8335"/>
        <n v="1259"/>
        <n v="4172"/>
        <n v="8331"/>
        <n v="8345"/>
        <n v="8332"/>
        <n v="8323"/>
        <n v="8330"/>
        <n v="8321"/>
        <n v="8329"/>
        <n v="8333"/>
        <n v="8339"/>
        <n v="8341"/>
        <n v="8342"/>
        <n v="8346"/>
        <n v="8386"/>
        <n v="3984"/>
        <n v="3983"/>
        <n v="3991"/>
        <n v="3990"/>
        <n v="4043"/>
        <n v="4061"/>
        <n v="4063"/>
        <n v="4073"/>
        <n v="4070"/>
        <n v="4126"/>
        <n v="3982"/>
        <n v="3985"/>
        <n v="3986"/>
        <n v="4056"/>
        <n v="4060"/>
        <n v="4067"/>
        <n v="8315"/>
        <n v="1257"/>
        <m/>
        <n v="1258"/>
        <n v="4030"/>
        <n v="4029"/>
        <n v="4028"/>
        <n v="8316"/>
        <n v="8317"/>
        <n v="3995"/>
        <n v="3996"/>
        <n v="1251"/>
        <n v="8350"/>
        <n v="4080"/>
        <n v="8348"/>
        <n v="8418"/>
        <n v="4105"/>
        <n v="4109"/>
        <n v="4107"/>
        <n v="4116"/>
        <n v="4115"/>
        <n v="4114"/>
        <n v="4113"/>
        <n v="4112"/>
        <n v="4119"/>
        <n v="4069"/>
        <n v="4068"/>
        <n v="4083"/>
        <n v="4100"/>
        <n v="4108"/>
        <n v="4111"/>
        <n v="4120"/>
        <n v="4066"/>
        <n v="4065"/>
        <n v="4064"/>
        <n v="4085"/>
        <n v="4099"/>
        <n v="4117"/>
        <n v="4129"/>
        <n v="4130"/>
        <n v="4131"/>
        <n v="4125"/>
        <n v="8351"/>
        <n v="8390"/>
        <n v="8579"/>
        <n v="8391"/>
        <n v="8376"/>
        <n v="8372"/>
        <n v="8371"/>
        <n v="1269"/>
        <n v="1271"/>
        <n v="1266"/>
        <n v="8398"/>
        <n v="8357"/>
        <n v="8358"/>
        <n v="4081"/>
        <n v="4118"/>
        <n v="8367"/>
        <n v="8369"/>
        <n v="4076"/>
        <n v="8383"/>
        <n v="8349"/>
        <n v="8375"/>
        <n v="8374"/>
        <n v="8384"/>
        <n v="8354"/>
        <n v="1292"/>
        <n v="4075"/>
        <n v="4074"/>
        <n v="8360"/>
        <n v="4134"/>
        <n v="4135"/>
        <n v="4136"/>
        <n v="4139"/>
        <n v="4137"/>
        <n v="4142"/>
        <n v="4141"/>
        <n v="4140"/>
        <n v="4138"/>
        <n v="8373"/>
        <n v="8633"/>
        <n v="8634"/>
        <n v="1268"/>
        <n v="4173"/>
        <n v="1267"/>
        <n v="8368"/>
        <n v="8364"/>
        <n v="8379"/>
        <n v="8366"/>
        <n v="8363"/>
        <n v="8361"/>
        <n v="8377"/>
        <n v="8378"/>
        <n v="8380"/>
        <n v="8382"/>
        <n v="8393"/>
        <n v="8396"/>
        <n v="4082"/>
        <n v="4040"/>
        <n v="4038"/>
        <n v="4045"/>
        <n v="4044"/>
        <n v="4042"/>
        <n v="4041"/>
        <n v="4059"/>
        <n v="4062"/>
        <n v="4071"/>
        <n v="4072"/>
        <n v="4102"/>
        <n v="4127"/>
        <n v="4039"/>
        <n v="4057"/>
        <n v="4055"/>
        <n v="4101"/>
        <n v="8355"/>
        <n v="1262"/>
        <n v="1261"/>
        <n v="3998"/>
        <n v="4092"/>
        <n v="4121"/>
        <n v="4122"/>
        <n v="4123"/>
        <n v="4124"/>
        <n v="8352"/>
        <n v="8353"/>
        <n v="4079"/>
        <n v="4078"/>
        <n v="8399"/>
        <n v="8403"/>
        <n v="8417"/>
        <n v="4152"/>
        <n v="8414"/>
        <n v="4156"/>
        <n v="4157"/>
        <n v="4158"/>
        <n v="4159"/>
        <n v="4161"/>
        <n v="4162"/>
        <n v="4168"/>
        <n v="4143"/>
        <n v="4160"/>
        <n v="4169"/>
        <n v="4170"/>
        <n v="4180"/>
        <n v="4181"/>
        <n v="4145"/>
        <n v="4146"/>
        <n v="4166"/>
        <n v="4164"/>
        <n v="4165"/>
        <n v="4171"/>
        <n v="4182"/>
        <n v="4178"/>
        <n v="4179"/>
        <n v="8439"/>
        <n v="8442"/>
        <n v="8426"/>
        <n v="8440"/>
        <n v="8441"/>
        <n v="8419"/>
        <n v="8413"/>
        <n v="1274"/>
        <n v="1275"/>
        <n v="1276"/>
        <n v="8411"/>
        <n v="1272"/>
        <n v="8448"/>
        <n v="8410"/>
        <n v="8406"/>
        <n v="4167"/>
        <n v="8405"/>
        <n v="4147"/>
        <n v="8433"/>
        <n v="8400"/>
        <n v="8427"/>
        <n v="8428"/>
        <n v="8449"/>
        <n v="8467"/>
        <n v="4148"/>
        <n v="4226"/>
        <n v="8407"/>
        <n v="4188"/>
        <n v="4183"/>
        <n v="4184"/>
        <n v="4185"/>
        <n v="4186"/>
        <n v="4189"/>
        <n v="4187"/>
        <n v="4190"/>
        <n v="4191"/>
        <n v="4192"/>
        <n v="8444"/>
        <n v="8635"/>
        <n v="1280"/>
        <n v="4219"/>
        <n v="1273"/>
        <n v="8401"/>
        <n v="8409"/>
        <n v="8415"/>
        <n v="8408"/>
        <n v="8412"/>
        <n v="8416"/>
        <n v="8429"/>
        <n v="8430"/>
        <n v="8431"/>
        <n v="8432"/>
        <n v="8435"/>
        <n v="8437"/>
        <n v="8628"/>
        <n v="8630"/>
        <n v="4094"/>
        <n v="4086"/>
        <n v="4087"/>
        <n v="4088"/>
        <n v="4091"/>
        <n v="4093"/>
        <n v="4095"/>
        <n v="4096"/>
        <n v="4097"/>
        <n v="4098"/>
        <n v="4104"/>
        <n v="4110"/>
        <n v="4128"/>
        <n v="4144"/>
        <n v="1316"/>
        <n v="4089"/>
        <n v="4090"/>
        <n v="4103"/>
        <n v="4149"/>
        <n v="8425"/>
        <n v="1278"/>
        <n v="1279"/>
        <n v="4077"/>
        <n v="4154"/>
        <n v="4155"/>
        <n v="4174"/>
        <n v="4175"/>
        <n v="4176"/>
        <n v="4177"/>
        <n v="8422"/>
        <n v="8423"/>
        <n v="4151"/>
        <n v="4153"/>
        <n v="8447"/>
        <n v="4223"/>
        <n v="4222"/>
        <n v="8463"/>
        <n v="8464"/>
        <n v="8465"/>
        <n v="8466"/>
        <n v="8450"/>
        <n v="4232"/>
        <n v="4233"/>
        <n v="4234"/>
        <n v="4236"/>
        <n v="4237"/>
        <n v="4238"/>
        <n v="4245"/>
        <n v="4246"/>
        <n v="4247"/>
        <n v="4258"/>
        <n v="4231"/>
        <n v="4235"/>
        <n v="4239"/>
        <n v="4240"/>
        <n v="4241"/>
        <n v="4244"/>
        <n v="4254"/>
        <n v="4214"/>
        <n v="4292"/>
        <n v="4243"/>
        <n v="4248"/>
        <n v="4255"/>
        <n v="4256"/>
        <n v="4257"/>
        <n v="4230"/>
        <n v="4242"/>
        <n v="8451"/>
        <n v="8480"/>
        <n v="8615"/>
        <n v="8502"/>
        <n v="7904"/>
        <n v="8469"/>
        <n v="8455"/>
        <n v="8461"/>
        <n v="1281"/>
        <n v="1283"/>
        <n v="8457"/>
        <n v="8462"/>
        <n v="4259"/>
        <n v="8446"/>
        <n v="4217"/>
        <n v="8479"/>
        <n v="8445"/>
        <n v="8474"/>
        <n v="8475"/>
        <n v="8483"/>
        <n v="8521"/>
        <n v="8468"/>
        <n v="4220"/>
        <n v="4227"/>
        <n v="8443"/>
        <n v="4260"/>
        <n v="4150"/>
        <n v="4262"/>
        <n v="4263"/>
        <n v="4266"/>
        <n v="4264"/>
        <n v="4265"/>
        <n v="4267"/>
        <n v="4268"/>
        <n v="4269"/>
        <n v="8476"/>
        <n v="8636"/>
        <n v="1285"/>
        <n v="4414"/>
        <n v="1290"/>
        <n v="8472"/>
        <n v="8470"/>
        <n v="8458"/>
        <n v="8471"/>
        <n v="8456"/>
        <n v="8459"/>
        <n v="8473"/>
        <n v="8477"/>
        <n v="8478"/>
        <n v="8481"/>
        <n v="8482"/>
        <n v="8512"/>
        <n v="4202"/>
        <n v="4215"/>
        <n v="4216"/>
        <n v="4193"/>
        <n v="4194"/>
        <n v="4195"/>
        <n v="4196"/>
        <n v="4199"/>
        <n v="4200"/>
        <n v="4201"/>
        <n v="4203"/>
        <n v="4205"/>
        <n v="4206"/>
        <n v="4208"/>
        <n v="4209"/>
        <n v="4210"/>
        <n v="4211"/>
        <n v="4212"/>
        <n v="4213"/>
        <n v="4218"/>
        <n v="4384"/>
        <n v="4197"/>
        <n v="4207"/>
        <n v="4204"/>
        <n v="4163"/>
        <n v="8460"/>
        <n v="1289"/>
        <n v="1293"/>
        <n v="1287"/>
        <n v="4229"/>
        <n v="4249"/>
        <n v="4250"/>
        <n v="4251"/>
        <n v="4252"/>
        <n v="4253"/>
        <n v="8452"/>
        <n v="8453"/>
        <n v="4225"/>
        <n v="4224"/>
        <n v="8484"/>
        <n v="4302"/>
        <n v="4306"/>
        <n v="4720"/>
        <n v="4805"/>
        <n v="4815"/>
        <n v="4907"/>
        <n v="4908"/>
        <n v="4910"/>
        <n v="4941"/>
        <n v="5025"/>
        <n v="5026"/>
        <n v="5118"/>
        <n v="5119"/>
        <n v="5120"/>
        <n v="8493"/>
        <n v="8494"/>
        <n v="8495"/>
        <n v="8496"/>
        <n v="8534"/>
        <n v="8596"/>
        <n v="4307"/>
        <n v="4308"/>
        <n v="4309"/>
        <n v="4310"/>
        <n v="4318"/>
        <n v="4319"/>
        <n v="4320"/>
        <n v="4339"/>
        <n v="4341"/>
        <n v="4347"/>
        <n v="4312"/>
        <n v="4313"/>
        <n v="4314"/>
        <n v="4315"/>
        <n v="4316"/>
        <n v="4329"/>
        <n v="4330"/>
        <n v="4331"/>
        <n v="4338"/>
        <n v="4353"/>
        <n v="4325"/>
        <n v="4300"/>
        <n v="4317"/>
        <n v="4354"/>
        <n v="4355"/>
        <n v="4356"/>
        <n v="4311"/>
        <n v="7937"/>
        <n v="8505"/>
        <n v="7962"/>
        <n v="7978"/>
        <n v="8507"/>
        <n v="8497"/>
        <n v="8798"/>
        <n v="8491"/>
        <n v="4261"/>
        <n v="1295"/>
        <n v="8514"/>
        <n v="8499"/>
        <n v="8500"/>
        <n v="4361"/>
        <n v="8492"/>
        <n v="4301"/>
        <n v="8516"/>
        <n v="8485"/>
        <n v="8504"/>
        <n v="8553"/>
        <n v="8486"/>
        <n v="4299"/>
        <n v="4298"/>
        <n v="4383"/>
        <n v="4579"/>
        <n v="8503"/>
        <n v="4364"/>
        <n v="4365"/>
        <n v="4366"/>
        <n v="4367"/>
        <n v="4369"/>
        <n v="4368"/>
        <n v="4370"/>
        <n v="4371"/>
        <n v="4372"/>
        <n v="8547"/>
        <n v="8637"/>
        <n v="1297"/>
        <n v="8601"/>
        <n v="4415"/>
        <n v="4334"/>
        <n v="1291"/>
        <n v="8510"/>
        <n v="8508"/>
        <n v="8509"/>
        <n v="8525"/>
        <n v="8501"/>
        <n v="8511"/>
        <n v="8513"/>
        <n v="8515"/>
        <n v="8517"/>
        <n v="8518"/>
        <n v="8519"/>
        <n v="4273"/>
        <n v="4296"/>
        <n v="4270"/>
        <n v="4271"/>
        <n v="4272"/>
        <n v="4275"/>
        <n v="4276"/>
        <n v="4277"/>
        <n v="4278"/>
        <n v="4281"/>
        <n v="4283"/>
        <n v="4284"/>
        <n v="4285"/>
        <n v="4286"/>
        <n v="4287"/>
        <n v="4289"/>
        <n v="4290"/>
        <n v="4291"/>
        <n v="4293"/>
        <n v="4294"/>
        <n v="4295"/>
        <n v="4297"/>
        <n v="4321"/>
        <n v="4322"/>
        <n v="4323"/>
        <n v="4326"/>
        <n v="4327"/>
        <n v="4332"/>
        <n v="4373"/>
        <n v="4386"/>
        <n v="4274"/>
        <n v="4279"/>
        <n v="4280"/>
        <n v="4282"/>
        <n v="4288"/>
        <n v="4324"/>
        <n v="4328"/>
        <n v="8487"/>
        <n v="1294"/>
        <n v="1300"/>
        <n v="4333"/>
        <n v="4335"/>
        <n v="4336"/>
        <n v="4337"/>
        <n v="8489"/>
        <n v="8490"/>
        <n v="4305"/>
        <n v="4304"/>
        <n v="8533"/>
        <n v="4391"/>
        <n v="8539"/>
        <n v="8540"/>
        <n v="8541"/>
        <n v="8542"/>
        <n v="8536"/>
        <n v="8595"/>
        <n v="4399"/>
        <n v="4401"/>
        <n v="4402"/>
        <n v="4403"/>
        <n v="4404"/>
        <n v="4405"/>
        <n v="4416"/>
        <n v="4417"/>
        <n v="4418"/>
        <n v="4419"/>
        <n v="4420"/>
        <n v="4400"/>
        <n v="4407"/>
        <n v="4427"/>
        <n v="4428"/>
        <n v="4429"/>
        <n v="4430"/>
        <n v="4431"/>
        <n v="4432"/>
        <n v="4433"/>
        <n v="4434"/>
        <n v="4436"/>
        <n v="4437"/>
        <n v="4378"/>
        <n v="4381"/>
        <n v="4393"/>
        <n v="4408"/>
        <n v="4409"/>
        <n v="4410"/>
        <n v="4411"/>
        <n v="4412"/>
        <n v="4413"/>
        <n v="4426"/>
        <n v="4394"/>
        <n v="4395"/>
        <n v="4389"/>
        <n v="4390"/>
        <n v="8037"/>
        <n v="8064"/>
        <n v="8564"/>
        <n v="8551"/>
        <n v="8552"/>
        <n v="1305"/>
        <n v="8538"/>
        <n v="1303"/>
        <n v="8545"/>
        <n v="8550"/>
        <n v="4406"/>
        <n v="8528"/>
        <n v="8698"/>
        <n v="8543"/>
        <n v="4379"/>
        <n v="8571"/>
        <n v="8562"/>
        <n v="8549"/>
        <n v="8555"/>
        <n v="8556"/>
        <n v="8557"/>
        <n v="8616"/>
        <n v="8532"/>
        <n v="4532"/>
        <n v="4382"/>
        <n v="4710"/>
        <n v="4788"/>
        <n v="4904"/>
        <n v="5023"/>
        <n v="5114"/>
        <n v="4456"/>
        <n v="8544"/>
        <n v="4438"/>
        <n v="4439"/>
        <n v="4440"/>
        <n v="4441"/>
        <n v="4443"/>
        <n v="4442"/>
        <n v="4444"/>
        <n v="4445"/>
        <n v="4446"/>
        <n v="8583"/>
        <n v="8638"/>
        <n v="8602"/>
        <n v="4489"/>
        <n v="1304"/>
        <n v="8565"/>
        <n v="8575"/>
        <n v="8563"/>
        <n v="8548"/>
        <n v="8554"/>
        <n v="8561"/>
        <n v="8568"/>
        <n v="8569"/>
        <n v="8570"/>
        <n v="8572"/>
        <n v="8576"/>
        <n v="4359"/>
        <n v="4343"/>
        <n v="4345"/>
        <n v="4346"/>
        <n v="4348"/>
        <n v="4349"/>
        <n v="4350"/>
        <n v="4352"/>
        <n v="4357"/>
        <n v="4358"/>
        <n v="4360"/>
        <n v="4362"/>
        <n v="4363"/>
        <n v="4374"/>
        <n v="4375"/>
        <n v="4376"/>
        <n v="4380"/>
        <n v="4385"/>
        <n v="4451"/>
        <n v="4342"/>
        <n v="4344"/>
        <n v="4351"/>
        <n v="8535"/>
        <n v="1306"/>
        <n v="8661"/>
        <n v="4421"/>
        <n v="4422"/>
        <s v="4423"/>
        <s v="4424"/>
        <s v="4425"/>
        <n v="8530"/>
        <n v="8531"/>
        <n v="4387"/>
        <n v="4392"/>
        <n v="8577"/>
        <n v="8584"/>
        <n v="4492"/>
        <n v="4585"/>
        <n v="4706"/>
        <n v="4787"/>
        <n v="4909"/>
        <n v="5020"/>
        <n v="5108"/>
        <n v="5181"/>
        <n v="8586"/>
        <n v="8587"/>
        <n v="8588"/>
        <n v="8589"/>
        <n v="8590"/>
        <n v="4497"/>
        <n v="4498"/>
        <n v="4499"/>
        <n v="4500"/>
        <n v="4501"/>
        <n v="4502"/>
        <n v="4504"/>
        <n v="4505"/>
        <n v="4506"/>
        <n v="4509"/>
        <n v="4510"/>
        <n v="4511"/>
        <n v="4455"/>
        <n v="4507"/>
        <n v="4517"/>
        <n v="4519"/>
        <n v="4518"/>
        <n v="4520"/>
        <n v="4521"/>
        <n v="4523"/>
        <n v="4529"/>
        <n v="4531"/>
        <n v="4533"/>
        <n v="4540"/>
        <n v="4471"/>
        <n v="4508"/>
        <n v="4512"/>
        <n v="4513"/>
        <n v="4514"/>
        <n v="4515"/>
        <n v="4522"/>
        <n v="4479"/>
        <n v="4480"/>
        <n v="4482"/>
        <n v="4483"/>
        <n v="4484"/>
        <n v="4485"/>
        <n v="4673"/>
        <n v="4712"/>
        <n v="4713"/>
        <s v="4793"/>
        <s v="4794"/>
        <s v="4795"/>
        <s v="4796"/>
        <s v="4797"/>
        <s v="4798"/>
        <s v="4799"/>
        <s v="4800"/>
        <s v="4801"/>
        <s v="4802"/>
        <s v="4803"/>
        <s v="4806"/>
        <s v="4807"/>
        <s v="4808"/>
        <s v="4809"/>
        <n v="4818"/>
        <s v="4833"/>
        <s v="4832"/>
        <s v="4836"/>
        <s v="4837"/>
        <s v="4835"/>
        <s v="4842"/>
        <n v="4850"/>
        <s v="4937"/>
        <s v="4938"/>
        <s v="4939"/>
        <s v="4940"/>
        <n v="5028"/>
        <n v="5029"/>
        <n v="5030"/>
        <n v="5031"/>
        <n v="5032"/>
        <n v="5033"/>
        <n v="5034"/>
        <n v="5035"/>
        <n v="5069"/>
        <n v="5073"/>
        <n v="5075"/>
        <n v="5072"/>
        <s v="5131"/>
        <s v="5132"/>
        <s v="5133"/>
        <s v="5134"/>
        <s v="5135"/>
        <s v="5136"/>
        <s v="5137"/>
        <s v="5138"/>
        <s v="4811"/>
        <s v="4812"/>
        <s v="4813"/>
        <s v="4814"/>
        <s v="5037"/>
        <s v="5038"/>
        <s v="5039"/>
        <s v="5040"/>
        <s v="5041"/>
        <s v="5042"/>
        <s v="5043"/>
        <s v="5044"/>
        <s v="5045"/>
        <s v="5046"/>
        <s v="5047"/>
        <s v="5053"/>
        <n v="5141"/>
        <n v="5142"/>
        <n v="5143"/>
        <n v="5144"/>
        <n v="4958"/>
        <n v="4959"/>
        <n v="4960"/>
        <n v="4961"/>
        <n v="4487"/>
        <n v="4488"/>
        <n v="4530"/>
        <n v="4601"/>
        <n v="4536"/>
        <n v="4537"/>
        <n v="4538"/>
        <n v="4539"/>
        <n v="4534"/>
        <n v="4535"/>
        <n v="8559"/>
        <n v="8567"/>
        <n v="8573"/>
        <n v="8574"/>
        <n v="8605"/>
        <n v="8609"/>
        <n v="8627"/>
        <n v="8682"/>
        <n v="8683"/>
        <n v="4610"/>
        <n v="8603"/>
        <n v="8599"/>
        <n v="8600"/>
        <n v="1318"/>
        <n v="8598"/>
        <n v="1311"/>
        <n v="8592"/>
        <n v="8593"/>
        <n v="8597"/>
        <n v="4516"/>
        <n v="8594"/>
        <n v="4490"/>
        <n v="8625"/>
        <n v="8585"/>
        <n v="8604"/>
        <n v="8624"/>
        <n v="8663"/>
        <n v="8582"/>
        <n v="1314"/>
        <n v="1326"/>
        <n v="1327"/>
        <n v="1332"/>
        <n v="1337"/>
        <n v="1342"/>
        <n v="1349"/>
        <n v="1350"/>
        <n v="4478"/>
        <n v="8591"/>
        <n v="4541"/>
        <n v="4542"/>
        <n v="4543"/>
        <n v="4544"/>
        <n v="4546"/>
        <n v="4545"/>
        <n v="4547"/>
        <n v="4548"/>
        <n v="4549"/>
        <n v="8619"/>
        <n v="8639"/>
        <n v="8664"/>
        <n v="8618"/>
        <n v="8666"/>
        <n v="8718"/>
        <n v="8766"/>
        <n v="8803"/>
        <n v="8911"/>
        <n v="8937"/>
        <n v="4552"/>
        <n v="4670"/>
        <n v="1298"/>
        <n v="1299"/>
        <n v="1313"/>
        <n v="8689"/>
        <n v="8850"/>
        <n v="8971"/>
        <n v="8912"/>
        <n v="8763"/>
        <n v="8831"/>
        <n v="8622"/>
        <n v="8675"/>
        <n v="8764"/>
        <n v="8833"/>
        <n v="8925"/>
        <n v="8606"/>
        <n v="8607"/>
        <n v="8610"/>
        <n v="8611"/>
        <n v="8613"/>
        <n v="8614"/>
        <n v="8620"/>
        <n v="8621"/>
        <n v="4469"/>
        <n v="4396"/>
        <n v="4397"/>
        <n v="4447"/>
        <n v="4448"/>
        <n v="4449"/>
        <n v="4450"/>
        <n v="4452"/>
        <n v="4453"/>
        <n v="4454"/>
        <n v="4457"/>
        <n v="4459"/>
        <n v="4460"/>
        <n v="4461"/>
        <n v="4462"/>
        <n v="4463"/>
        <n v="4464"/>
        <n v="4465"/>
        <n v="4466"/>
        <n v="4468"/>
        <n v="4470"/>
        <n v="4473"/>
        <n v="4474"/>
        <n v="4475"/>
        <n v="4476"/>
        <n v="4477"/>
        <n v="4495"/>
        <n v="4553"/>
        <n v="4555"/>
        <n v="4557"/>
        <n v="4558"/>
        <n v="4560"/>
        <n v="4561"/>
        <n v="4562"/>
        <n v="4563"/>
        <n v="4564"/>
        <n v="4565"/>
        <n v="4566"/>
        <n v="4567"/>
        <n v="4569"/>
        <n v="4570"/>
        <n v="4571"/>
        <n v="4573"/>
        <n v="4575"/>
        <n v="4602"/>
        <n v="4603"/>
        <n v="4604"/>
        <n v="4556"/>
        <n v="4568"/>
        <n v="4611"/>
        <n v="4613"/>
        <n v="4633"/>
        <n v="4617"/>
        <n v="4629"/>
        <n v="4630"/>
        <s v="4631"/>
        <s v="4641"/>
        <s v="4645"/>
        <s v="4664"/>
        <s v="4665"/>
        <s v="4675"/>
        <s v="4677"/>
        <s v="4663"/>
        <n v="4615"/>
        <s v="4634"/>
        <s v="4666"/>
        <s v="4667"/>
        <s v="4643"/>
        <s v="4644"/>
        <s v="4668"/>
        <s v="4669"/>
        <s v="4674"/>
        <s v="4679"/>
        <s v="4681"/>
        <n v="4683"/>
        <n v="4684"/>
        <s v="4686"/>
        <s v="4687"/>
        <s v="4688"/>
        <s v="4690"/>
        <s v="4689"/>
        <s v="4740"/>
        <s v="4743"/>
        <s v="4744"/>
        <s v="4747"/>
        <n v="4751"/>
        <n v="4752"/>
        <n v="4756"/>
        <s v="4757"/>
        <s v="4758"/>
        <s v="4759"/>
        <s v="4760"/>
        <s v="4761"/>
        <s v="4762"/>
        <s v="4763"/>
        <s v="4764"/>
        <s v="4765"/>
        <s v="4766"/>
        <s v="4767"/>
        <s v="4778"/>
        <n v="4779"/>
        <n v="4780"/>
        <n v="4781"/>
        <n v="4782"/>
        <n v="4783"/>
        <n v="4843"/>
        <n v="4869"/>
        <n v="4870"/>
        <s v="4872"/>
        <s v="4874"/>
        <s v="4875"/>
        <s v="4876"/>
        <s v="4877"/>
        <s v="4879"/>
        <s v="4878"/>
        <n v="4881"/>
        <n v="4882"/>
        <n v="4884"/>
        <s v="4886"/>
        <s v="4887"/>
        <s v="4888"/>
        <s v="4889"/>
        <s v="4891"/>
        <s v="4892"/>
        <n v="4893"/>
        <n v="4894"/>
        <s v="4896"/>
        <s v="4898"/>
        <s v="4899"/>
        <s v="4900"/>
        <s v="4901"/>
        <s v="4902"/>
        <n v="4906"/>
        <s v="4739"/>
        <s v="4745"/>
        <s v="4746"/>
        <n v="4754"/>
        <n v="4755"/>
        <n v="4777"/>
        <n v="4784"/>
        <n v="4868"/>
        <n v="4871"/>
        <n v="4873"/>
        <n v="4880"/>
        <n v="4883"/>
        <n v="4890"/>
        <n v="4897"/>
        <n v="4923"/>
        <n v="4975"/>
        <n v="4983"/>
        <n v="4987"/>
        <n v="4988"/>
        <n v="4998"/>
        <n v="4999"/>
        <n v="5095"/>
        <n v="5094"/>
        <n v="5096"/>
        <n v="5099"/>
        <n v="5103"/>
        <n v="5110"/>
        <n v="5130"/>
        <n v="5171"/>
        <n v="5170"/>
        <n v="5177"/>
        <n v="5173"/>
        <n v="5185"/>
        <n v="5187"/>
        <n v="4952"/>
        <n v="4974"/>
        <n v="4976"/>
        <n v="4977"/>
        <s v="4978"/>
        <s v="4979"/>
        <s v="4980"/>
        <s v="4981"/>
        <s v="4982"/>
        <s v="4984"/>
        <s v="4985"/>
        <s v="4986"/>
        <s v="4989"/>
        <s v="4993"/>
        <s v="4995"/>
        <s v="5004"/>
        <s v="4991"/>
        <s v="4992"/>
        <s v="4996"/>
        <s v="5000"/>
        <s v="5002"/>
        <s v="4994"/>
        <s v="5003"/>
        <s v="5005"/>
        <s v="4990"/>
        <s v="4997"/>
        <s v="5001"/>
        <n v="5006"/>
        <n v="5007"/>
        <n v="5008"/>
        <n v="5009"/>
        <n v="5019"/>
        <n v="5100"/>
        <n v="5101"/>
        <n v="5102"/>
        <n v="5104"/>
        <n v="5106"/>
        <n v="5107"/>
        <n v="5111"/>
        <n v="5112"/>
        <n v="5129"/>
        <n v="5172"/>
        <n v="5169"/>
        <n v="5168"/>
        <n v="5167"/>
        <n v="5176"/>
        <n v="5175"/>
        <n v="5174"/>
        <n v="5178"/>
        <n v="5179"/>
        <n v="5182"/>
        <n v="5183"/>
        <s v="5184"/>
        <s v="5186"/>
        <s v="5188"/>
        <s v="5189"/>
        <s v="5190"/>
        <s v="5191"/>
        <n v="4691"/>
        <n v="4398"/>
        <n v="4458"/>
        <n v="4467"/>
        <n v="4472"/>
        <n v="4435"/>
        <n v="4785"/>
        <n v="8578"/>
        <n v="1312"/>
        <n v="8652"/>
        <n v="8654"/>
        <n v="8780"/>
        <n v="8783"/>
        <n v="8816"/>
        <n v="8931"/>
        <n v="8843"/>
        <n v="4388"/>
        <n v="4494"/>
        <n v="4496"/>
        <n v="4503"/>
        <n v="4524"/>
        <n v="4525"/>
        <n v="4526"/>
        <n v="4527"/>
        <n v="4528"/>
        <n v="8580"/>
        <n v="8581"/>
        <n v="8648"/>
        <n v="8649"/>
        <n v="8712"/>
        <n v="8713"/>
        <n v="8767"/>
        <n v="8768"/>
        <n v="8822"/>
        <n v="8823"/>
        <n v="8884"/>
        <n v="8885"/>
        <n v="8890"/>
        <n v="8887"/>
        <n v="8916"/>
        <n v="8917"/>
        <n v="8939"/>
        <n v="8941"/>
        <n v="4491"/>
        <n v="4493"/>
        <n v="8642"/>
        <n v="8699"/>
        <n v="8730"/>
        <n v="8785"/>
        <n v="8838"/>
        <n v="8945"/>
        <n v="8643"/>
        <n v="8644"/>
        <n v="8645"/>
        <n v="8646"/>
        <n v="8700"/>
        <n v="8701"/>
        <n v="8702"/>
        <n v="8703"/>
        <n v="8671"/>
        <n v="8760"/>
        <n v="8761"/>
        <n v="8721"/>
        <n v="8722"/>
        <n v="8723"/>
        <n v="8807"/>
        <n v="8756"/>
        <n v="8773"/>
        <n v="8819"/>
        <n v="8853"/>
        <n v="8861"/>
        <n v="8863"/>
        <n v="8932"/>
        <n v="8951"/>
        <n v="8830"/>
        <n v="8199"/>
        <n v="4619"/>
        <n v="4620"/>
        <n v="4621"/>
        <n v="4626"/>
        <n v="4638"/>
        <n v="4640"/>
        <n v="4646"/>
        <n v="4647"/>
        <n v="4662"/>
        <n v="4682"/>
        <n v="4696"/>
        <n v="4693"/>
        <n v="4695"/>
        <n v="4692"/>
        <n v="4698"/>
        <n v="4699"/>
        <n v="4702"/>
        <n v="4722"/>
        <n v="4725"/>
        <n v="4726"/>
        <n v="4727"/>
        <n v="4728"/>
        <n v="4729"/>
        <n v="4730"/>
        <n v="4731"/>
        <n v="4735"/>
        <n v="4742"/>
        <n v="4821"/>
        <n v="4822"/>
        <n v="4824"/>
        <n v="4825"/>
        <n v="4838"/>
        <n v="4839"/>
        <n v="4840"/>
        <n v="4847"/>
        <n v="4848"/>
        <n v="4913"/>
        <n v="4914"/>
        <n v="4915"/>
        <n v="4916"/>
        <n v="4917"/>
        <n v="4918"/>
        <n v="4919"/>
        <n v="4943"/>
        <n v="5027"/>
        <n v="5066"/>
        <n v="5074"/>
        <n v="5079"/>
        <n v="5078"/>
        <n v="5070"/>
        <n v="5082"/>
        <n v="5084"/>
        <n v="5109"/>
        <n v="5098"/>
        <n v="5123"/>
        <n v="5139"/>
        <n v="5145"/>
        <n v="5147"/>
        <n v="5148"/>
        <n v="4550"/>
        <n v="4551"/>
        <n v="4584"/>
        <n v="4609"/>
        <n v="4618"/>
        <n v="4639"/>
        <n v="4661"/>
        <n v="4671"/>
        <n v="4672"/>
        <n v="4685"/>
        <n v="4694"/>
        <n v="4704"/>
        <n v="4703"/>
        <n v="4721"/>
        <n v="4723"/>
        <n v="4734"/>
        <n v="4736"/>
        <n v="4737"/>
        <n v="4738"/>
        <n v="4741"/>
        <n v="4792"/>
        <n v="4791"/>
        <n v="4819"/>
        <n v="4826"/>
        <n v="4827"/>
        <n v="4829"/>
        <n v="4844"/>
        <n v="4845"/>
        <n v="4849"/>
        <n v="4865"/>
        <n v="4866"/>
        <n v="4867"/>
        <n v="4903"/>
        <n v="4925"/>
        <n v="4926"/>
        <n v="4927"/>
        <n v="4928"/>
        <n v="4935"/>
        <n v="4936"/>
        <n v="4966"/>
        <n v="4957"/>
        <n v="4942"/>
        <n v="5054"/>
        <n v="5061"/>
        <n v="5067"/>
        <n v="5068"/>
        <n v="5085"/>
        <n v="5140"/>
        <n v="5158"/>
        <n v="4574"/>
        <n v="4733"/>
        <n v="4589"/>
        <n v="4605"/>
        <n v="4606"/>
        <n v="4607"/>
        <n v="4622"/>
        <n v="4623"/>
        <n v="4624"/>
        <n v="4625"/>
        <n v="4636"/>
        <n v="4637"/>
        <n v="4648"/>
        <n v="4649"/>
        <n v="4650"/>
        <n v="4651"/>
        <n v="4711"/>
        <n v="4719"/>
        <n v="4750"/>
        <n v="4810"/>
        <n v="4841"/>
        <n v="4885"/>
        <n v="4920"/>
        <n v="4921"/>
        <n v="4924"/>
        <n v="4929"/>
        <n v="4930"/>
        <n v="4931"/>
        <n v="4967"/>
        <n v="5036"/>
        <n v="5059"/>
        <n v="5062"/>
        <n v="5063"/>
        <n v="5064"/>
        <n v="5065"/>
        <n v="5083"/>
        <n v="5122"/>
        <n v="5124"/>
        <n v="5125"/>
        <n v="5126"/>
        <n v="5127"/>
        <n v="5128"/>
        <n v="5146"/>
        <n v="5152"/>
        <n v="5154"/>
        <n v="5155"/>
        <n v="5156"/>
        <n v="5157"/>
        <n v="4597"/>
        <n v="4598"/>
        <n v="4599"/>
        <n v="4714"/>
        <n v="4831"/>
        <n v="4586"/>
        <n v="4587"/>
        <n v="4588"/>
        <n v="4715"/>
        <n v="4716"/>
        <n v="4717"/>
        <n v="4718"/>
        <n v="4953"/>
        <n v="4954"/>
        <n v="4955"/>
        <n v="4956"/>
        <n v="4962"/>
        <n v="4963"/>
        <n v="4964"/>
        <n v="4965"/>
        <n v="5049"/>
        <n v="5080"/>
        <n v="5051"/>
        <n v="5052"/>
        <n v="5055"/>
        <n v="5056"/>
        <n v="5057"/>
        <n v="5058"/>
        <n v="4616"/>
        <n v="8608"/>
        <n v="8656"/>
        <n v="8708"/>
        <n v="8810"/>
        <n v="8809"/>
        <n v="8953"/>
        <n v="8849"/>
        <n v="8673"/>
        <n v="8674"/>
        <n v="8678"/>
        <n v="8695"/>
        <n v="8707"/>
        <n v="8776"/>
        <n v="8775"/>
        <n v="8794"/>
        <n v="8774"/>
        <n v="8802"/>
        <n v="8856"/>
        <n v="8949"/>
        <n v="1319"/>
        <n v="8681"/>
        <n v="8694"/>
        <n v="1322"/>
        <n v="1324"/>
        <n v="1323"/>
        <n v="8744"/>
        <n v="8801"/>
        <n v="8846"/>
        <n v="8936"/>
        <n v="8653"/>
        <n v="8704"/>
        <n v="8771"/>
        <n v="8927"/>
        <n v="8938"/>
        <n v="8793"/>
        <n v="8655"/>
        <n v="8705"/>
        <n v="8772"/>
        <n v="8851"/>
        <n v="8879"/>
        <n v="8934"/>
        <n v="8792"/>
        <n v="4600"/>
        <n v="8651"/>
        <n v="8717"/>
        <n v="8844"/>
        <n v="8782"/>
        <n v="8787"/>
        <n v="8845"/>
        <n v="8952"/>
        <n v="4596"/>
        <n v="4705"/>
        <n v="4790"/>
        <n v="4895"/>
        <n v="5018"/>
        <n v="5113"/>
        <n v="8626"/>
        <n v="8706"/>
        <n v="8724"/>
        <n v="8762"/>
        <n v="8817"/>
        <n v="8867"/>
        <n v="8946"/>
        <n v="8213"/>
        <n v="8688"/>
        <n v="8732"/>
        <n v="8786"/>
        <n v="8857"/>
        <n v="8922"/>
        <n v="8954"/>
        <n v="8660"/>
        <n v="8668"/>
        <n v="8715"/>
        <n v="8719"/>
        <n v="8778"/>
        <n v="8777"/>
        <n v="8800"/>
        <n v="8981"/>
        <n v="8982"/>
        <n v="8670"/>
        <n v="8837"/>
        <n v="8974"/>
        <n v="8923"/>
        <n v="8749"/>
        <n v="8769"/>
        <n v="8647"/>
        <n v="8711"/>
        <n v="8741"/>
        <n v="8788"/>
        <n v="4590"/>
        <n v="4708"/>
        <n v="4789"/>
        <n v="4905"/>
        <n v="5024"/>
        <n v="5115"/>
        <n v="8658"/>
        <n v="8714"/>
        <n v="8743"/>
        <n v="8824"/>
        <n v="8840"/>
        <n v="8913"/>
        <n v="4652"/>
        <n v="4653"/>
        <n v="4654"/>
        <n v="4655"/>
        <n v="4657"/>
        <n v="4700"/>
        <n v="4769"/>
        <n v="4776"/>
        <n v="4771"/>
        <n v="4772"/>
        <n v="4854"/>
        <n v="4855"/>
        <n v="4856"/>
        <n v="4857"/>
        <n v="5013"/>
        <n v="5014"/>
        <n v="5015"/>
        <n v="5016"/>
        <n v="5017"/>
        <n v="5086"/>
        <n v="5090"/>
        <n v="5087"/>
        <n v="5091"/>
        <n v="5159"/>
        <n v="5161"/>
        <n v="5162"/>
        <n v="5164"/>
        <n v="4656"/>
        <n v="4658"/>
        <n v="4659"/>
        <n v="4660"/>
        <n v="4768"/>
        <n v="4773"/>
        <n v="4774"/>
        <n v="4775"/>
        <n v="4858"/>
        <n v="4859"/>
        <n v="4860"/>
        <n v="4861"/>
        <n v="5010"/>
        <n v="5011"/>
        <n v="5012"/>
        <n v="5088"/>
        <n v="5092"/>
        <n v="5089"/>
        <n v="5093"/>
        <n v="5165"/>
        <n v="5166"/>
        <n v="5160"/>
        <n v="5163"/>
        <n v="8716"/>
        <n v="8765"/>
        <n v="8808"/>
        <n v="8612"/>
        <n v="1329"/>
        <n v="1330"/>
        <n v="1341"/>
        <n v="1343"/>
        <n v="8929"/>
        <n v="8858"/>
        <n v="8617"/>
        <n v="8690"/>
        <n v="8750"/>
        <n v="8797"/>
        <n v="8832"/>
        <n v="8896"/>
        <n v="8947"/>
        <n v="8631"/>
        <n v="8632"/>
        <n v="8640"/>
        <n v="8641"/>
        <n v="8659"/>
        <n v="8662"/>
        <n v="8665"/>
        <n v="8667"/>
        <n v="8672"/>
        <n v="8679"/>
        <n v="8680"/>
        <n v="8685"/>
        <n v="8686"/>
        <n v="8687"/>
        <n v="8696"/>
        <n v="8821"/>
        <n v="8839"/>
        <n v="8935"/>
        <n v="8799"/>
        <n v="8814"/>
        <n v="8736"/>
        <n v="8747"/>
        <n v="8757"/>
        <n v="8758"/>
        <n v="8770"/>
        <n v="8795"/>
        <n v="8805"/>
        <n v="8811"/>
        <n v="8812"/>
        <n v="8828"/>
        <n v="8836"/>
        <n v="8859"/>
        <n v="8855"/>
        <n v="8860"/>
        <n v="8866"/>
        <n v="8868"/>
        <n v="8933"/>
        <n v="8895"/>
        <n v="8942"/>
        <n v="8943"/>
        <n v="8944"/>
        <n v="8948"/>
        <n v="8779"/>
        <n v="8729"/>
        <n v="8727"/>
        <n v="8728"/>
        <n v="8725"/>
        <n v="8709"/>
        <n v="8720"/>
        <n v="8684"/>
        <n v="4559"/>
        <n v="4572"/>
        <n v="4614"/>
        <n v="4627"/>
        <n v="4628"/>
        <n v="4632"/>
        <n v="4635"/>
        <n v="4678"/>
        <n v="4680"/>
        <n v="8650"/>
        <n v="8710"/>
        <n v="8740"/>
        <n v="8820"/>
        <n v="8842"/>
        <n v="8918"/>
        <n v="8657"/>
        <n v="8781"/>
        <n v="8784"/>
        <n v="8815"/>
        <n v="8973"/>
        <n v="8852"/>
        <n v="8920"/>
        <n v="8841"/>
        <n v="8835"/>
        <n v="8862"/>
        <n v="8930"/>
        <n v="8919"/>
        <n v="4576"/>
        <n v="4577"/>
        <n v="4578"/>
        <n v="4676"/>
        <n v="4748"/>
        <n v="4816"/>
        <n v="4911"/>
        <n v="5060"/>
        <n v="5117"/>
        <n v="4863"/>
        <n v="4864"/>
        <n v="4862"/>
        <n v="4968"/>
        <n v="4969"/>
        <n v="4970"/>
        <n v="4971"/>
        <n v="4972"/>
        <n v="4973"/>
        <n v="5076"/>
        <n v="5071"/>
        <n v="5077"/>
        <n v="5149"/>
        <n v="5150"/>
        <n v="5151"/>
        <n v="4591"/>
        <n v="4592"/>
        <n v="4593"/>
        <n v="4594"/>
        <n v="4595"/>
        <n v="4580"/>
        <n v="4581"/>
        <n v="4582"/>
        <n v="4583"/>
        <n v="4823"/>
        <n v="4912"/>
        <n v="5021"/>
        <n v="5121"/>
        <n v="1321"/>
        <n v="1335"/>
        <n v="1336"/>
        <n v="1338"/>
        <n v="1339"/>
        <n v="1344"/>
        <n v="1346"/>
        <n v="1347"/>
        <n v="1348"/>
        <n v="8790"/>
        <n v="8791"/>
        <n v="8825"/>
        <n v="8826"/>
        <n v="8829"/>
        <n v="8888"/>
        <n v="8891"/>
        <n v="8892"/>
        <n v="8893"/>
        <n v="8894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5"/>
        <s v="8955"/>
        <s v="8956"/>
        <s v="8957"/>
        <s v="8958"/>
        <s v="8959"/>
        <s v="8960"/>
        <s v="8961"/>
        <s v="8962"/>
        <s v="8963"/>
        <s v="8964"/>
        <s v="8965"/>
        <s v="8966"/>
        <s v="8967"/>
        <s v="8968"/>
        <s v="8969"/>
        <s v="8970"/>
        <n v="8978"/>
        <n v="8979"/>
        <n v="8980"/>
        <n v="1325"/>
        <n v="4707"/>
        <n v="8676"/>
        <n v="8677"/>
        <n v="8693"/>
        <n v="8697"/>
        <n v="8950"/>
        <n v="8977"/>
        <n v="8796"/>
        <n v="201230" u="1"/>
        <n v="1622" u="1"/>
        <n v="2384" u="1"/>
        <n v="2466" u="1"/>
        <n v="2468" u="1"/>
        <n v="2503" u="1"/>
        <n v="2502" u="1"/>
        <n v="2621" u="1"/>
        <n v="2620" u="1"/>
        <n v="2730" u="1"/>
        <n v="2731" u="1"/>
        <n v="2745" u="1"/>
        <n v="2807" u="1"/>
        <n v="2806" u="1"/>
        <n v="2879" u="1"/>
        <n v="2878" u="1"/>
        <n v="2990" u="1"/>
        <n v="2989" u="1"/>
        <n v="3051" u="1"/>
        <n v="3056" u="1"/>
        <n v="3088" u="1"/>
        <n v="3087" u="1"/>
        <n v="3164" u="1"/>
        <n v="3150" u="1"/>
        <n v="3234" u="1"/>
        <n v="3285" u="1"/>
        <n v="3402" u="1"/>
        <n v="3544" u="1"/>
        <n v="3545" u="1"/>
        <n v="3593" u="1"/>
        <n v="3614" u="1"/>
        <n v="4944" u="1"/>
        <n v="5611" u="1"/>
        <n v="5401" u="1"/>
        <n v="855" u="1"/>
        <n v="5788" u="1"/>
        <n v="857" u="1"/>
        <n v="5687" u="1"/>
        <n v="5625" u="1"/>
        <n v="858" u="1"/>
        <n v="5789" u="1"/>
        <n v="859" u="1"/>
        <n v="860" u="1"/>
        <n v="453" u="1"/>
        <n v="861" u="1"/>
        <n v="541" u="1"/>
        <n v="862" u="1"/>
        <n v="863" u="1"/>
        <n v="864" u="1"/>
        <n v="865" u="1"/>
        <n v="866" u="1"/>
        <n v="6220" u="1"/>
        <n v="6221" u="1"/>
        <n v="6222" u="1"/>
        <n v="888" u="1"/>
        <n v="965" u="1"/>
        <n v="1066" u="1"/>
        <n v="1067" u="1"/>
        <n v="1068" u="1"/>
        <n v="6608" u="1"/>
        <n v="1320" u="1"/>
        <n v="1328" u="1"/>
        <n v="6662" u="1"/>
        <n v="6667" u="1"/>
        <n v="1401" u="1"/>
        <n v="6720" u="1"/>
        <n v="6891" u="1"/>
        <n v="6978" u="1"/>
        <n v="1620" u="1"/>
        <n v="6928" u="1"/>
        <n v="1691" u="1"/>
        <n v="6967" u="1"/>
        <n v="6968" u="1"/>
        <n v="1765" u="1"/>
        <n v="1769" u="1"/>
        <n v="1785" u="1"/>
        <n v="7055" u="1"/>
        <n v="7058" u="1"/>
        <n v="7059" u="1"/>
        <n v="710" u="1"/>
        <n v="1837" u="1"/>
        <n v="1846" u="1"/>
        <n v="7097" u="1"/>
        <n v="7100" u="1"/>
        <n v="1920" u="1"/>
        <n v="7165" u="1"/>
        <n v="1984" u="1"/>
        <n v="7192" u="1"/>
        <n v="2058" u="1"/>
        <n v="7288" u="1"/>
        <n v="2124" u="1"/>
        <n v="7385" u="1"/>
        <n v="654" u="1"/>
        <n v="2197" u="1"/>
        <n v="2198" u="1"/>
        <n v="7447" u="1"/>
        <n v="2275" u="1"/>
        <n v="7501" u="1"/>
        <n v="7507" u="1"/>
        <n v="2329" u="1"/>
        <n v="2333" u="1"/>
        <n v="7526" u="1"/>
        <n v="2471" u="1"/>
        <n v="2472" u="1"/>
        <n v="2478" u="1"/>
        <n v="7614" u="1"/>
        <n v="7615" u="1"/>
        <n v="7618" u="1"/>
        <n v="7624" u="1"/>
        <n v="2543" u="1"/>
        <n v="2547" u="1"/>
        <n v="7654" u="1"/>
        <n v="2613" u="1"/>
        <n v="2615" u="1"/>
        <n v="7688" u="1"/>
        <n v="2679" u="1"/>
        <n v="2686" u="1"/>
        <n v="2928" u="1"/>
        <n v="7828" u="1"/>
        <n v="8926" u="1"/>
        <n v="8928" u="1"/>
        <n v="8886" u="1"/>
        <n v="5097" u="1"/>
        <n v="8864" u="1"/>
        <n v="8344" u="1"/>
        <n v="8522" u="1"/>
        <n v="8523" u="1"/>
        <n v="5050" u="1"/>
        <n v="8854" u="1"/>
        <n v="8834" u="1"/>
        <n v="8726" u="1"/>
        <n v="8804" u="1"/>
        <n v="8818" u="1"/>
        <n v="8827" u="1"/>
        <n v="8806" u="1"/>
        <n v="8789" u="1"/>
        <n v="1340" u="1"/>
        <n v="8751" u="1"/>
        <n v="8745" u="1"/>
        <n v="8746" u="1"/>
        <n v="8748" u="1"/>
        <n v="8735" u="1"/>
        <n v="8752" u="1"/>
        <n v="8753" u="1"/>
        <n v="8734" u="1"/>
        <n v="8759" u="1"/>
        <n v="8754" u="1"/>
        <n v="1333" u="1"/>
        <n v="1334" u="1"/>
        <n v="4846" u="1"/>
        <n v="8737" u="1"/>
        <n v="8738" u="1"/>
        <n v="1331" u="1"/>
        <n v="8739" u="1"/>
        <n v="8755" u="1"/>
        <n v="4852" u="1"/>
        <n v="4851" u="1"/>
        <n v="4853" u="1"/>
        <n v="5265" u="1"/>
        <n v="5279" u="1"/>
        <n v="5790" u="1"/>
        <n v="6942" u="1"/>
        <n v="7276" u="1"/>
        <n v="7036" u="1"/>
        <n v="523" u="1"/>
        <n v="569" u="1"/>
        <n v="598" u="1"/>
        <n v="2343" u="1"/>
        <n v="597" u="1"/>
        <n v="599" u="1"/>
        <n v="2038" u="1"/>
        <n v="2039" u="1"/>
        <n v="7241" u="1"/>
        <n v="7236" u="1"/>
        <n v="7310" u="1"/>
        <n v="7311" u="1"/>
        <n v="7328" u="1"/>
        <n v="616" u="1"/>
        <n v="617" u="1"/>
        <n v="2053" u="1"/>
        <n v="2063" u="1"/>
        <n v="657" u="1"/>
        <n v="660" u="1"/>
        <n v="658" u="1"/>
        <n v="7552" u="1"/>
        <n v="7553" u="1"/>
        <n v="634" u="1"/>
        <n v="2102" u="1"/>
        <n v="2103" u="1"/>
        <n v="2104" u="1"/>
        <n v="2105" u="1"/>
        <n v="2106" u="1"/>
        <n v="2107" u="1"/>
        <n v="2303" u="1"/>
        <n v="2304" u="1"/>
        <n v="2305" u="1"/>
        <n v="2306" u="1"/>
        <n v="2307" u="1"/>
        <n v="2308" u="1"/>
        <n v="2309" u="1"/>
        <n v="2310" u="1"/>
        <n v="2311" u="1"/>
        <n v="2312" u="1"/>
        <n v="2313" u="1"/>
        <n v="2112" u="1"/>
        <n v="2114" u="1"/>
        <n v="2139" u="1"/>
        <n v="2145" u="1"/>
        <n v="644" u="1"/>
        <n v="7332" u="1"/>
        <n v="2075" u="1"/>
        <n v="7333" u="1"/>
        <n v="7388" u="1"/>
        <n v="7390" u="1"/>
        <n v="7391" u="1"/>
        <n v="7465" u="1"/>
        <n v="7466" u="1"/>
        <n v="7374" u="1"/>
        <n v="7375" u="1"/>
        <n v="7392" u="1"/>
        <n v="7393" u="1"/>
        <n v="7394" u="1"/>
        <n v="7395" u="1"/>
        <n v="7376" u="1"/>
        <n v="7377" u="1"/>
        <n v="7330" u="1"/>
        <n v="7378" u="1"/>
        <n v="2115" u="1"/>
        <n v="637" u="1"/>
        <n v="620" u="1"/>
        <n v="640" u="1"/>
        <n v="635" u="1"/>
        <n v="653" u="1"/>
        <n v="7373" u="1"/>
        <n v="669" u="1"/>
        <n v="670" u="1"/>
        <n v="671" u="1"/>
        <n v="672" u="1"/>
        <n v="673" u="1"/>
        <n v="674" u="1"/>
        <n v="675" u="1"/>
        <n v="676" u="1"/>
        <n v="633" u="1"/>
        <n v="2110" u="1"/>
        <n v="651" u="1"/>
        <n v="2111" u="1"/>
        <n v="2116" u="1"/>
        <n v="2137" u="1"/>
        <n v="2138" u="1"/>
        <n v="2140" u="1"/>
        <n v="2141" u="1"/>
        <n v="2142" u="1"/>
        <n v="2143" u="1"/>
        <n v="2144" u="1"/>
        <n v="2146" u="1"/>
        <n v="2131" u="1"/>
        <n v="648" u="1"/>
        <n v="2136" u="1"/>
        <n v="2118" u="1"/>
        <n v="2119" u="1"/>
        <n v="2120" u="1"/>
        <n v="2121" u="1"/>
        <n v="2122" u="1"/>
        <n v="2123" u="1"/>
        <n v="2125" u="1"/>
        <n v="2126" u="1"/>
        <n v="2127" u="1"/>
        <n v="2128" u="1"/>
        <n v="2129" u="1"/>
        <n v="2130" u="1"/>
        <n v="7380" u="1"/>
        <n v="7381" u="1"/>
        <n v="7382" u="1"/>
        <n v="7383" u="1"/>
        <n v="7384" u="1"/>
        <n v="7386" u="1"/>
        <n v="7387" u="1"/>
        <n v="7389" u="1"/>
        <n v="2148" u="1"/>
        <n v="645" u="1"/>
        <n v="647" u="1"/>
        <n v="638" u="1"/>
        <n v="7379" u="1"/>
        <n v="2076" u="1"/>
        <n v="2077" u="1"/>
        <n v="2079" u="1"/>
        <n v="2080" u="1"/>
        <n v="2081" u="1"/>
        <n v="2082" u="1"/>
        <n v="2083" u="1"/>
        <n v="2084" u="1"/>
        <n v="2085" u="1"/>
        <n v="2086" u="1"/>
        <n v="2087" u="1"/>
        <n v="2088" u="1"/>
        <n v="2089" u="1"/>
        <n v="2108" u="1"/>
        <n v="2109" u="1"/>
        <n v="2113" u="1"/>
        <n v="2117" u="1"/>
        <n v="2169" u="1"/>
        <n v="2170" u="1"/>
        <n v="2078" u="1"/>
        <n v="2101" u="1"/>
        <n v="682" u="1"/>
        <n v="678" u="1"/>
        <n v="665" u="1"/>
        <n v="2147" u="1"/>
        <n v="7551" u="1"/>
        <n v="656" u="1"/>
        <n v="2133" u="1"/>
        <n v="2134" u="1"/>
        <n v="2135" u="1"/>
        <n v="2165" u="1"/>
        <n v="2166" u="1"/>
        <n v="2167" u="1"/>
        <n v="2176" u="1"/>
        <n v="2179" u="1"/>
        <n v="2180" u="1"/>
        <n v="2182" u="1"/>
        <n v="2184" u="1"/>
        <n v="2185" u="1"/>
        <n v="2178" u="1"/>
        <n v="2240" u="1"/>
        <n v="2247" u="1"/>
        <n v="680" u="1"/>
        <n v="681" u="1"/>
        <n v="7438" u="1"/>
        <n v="2158" u="1"/>
        <n v="7440" u="1"/>
        <n v="7462" u="1"/>
        <n v="7467" u="1"/>
        <n v="7468" u="1"/>
        <n v="7457" u="1"/>
        <n v="7458" u="1"/>
        <n v="7451" u="1"/>
        <n v="7452" u="1"/>
        <n v="7453" u="1"/>
        <n v="7454" u="1"/>
        <n v="7455" u="1"/>
        <n v="7456" u="1"/>
        <n v="7459" u="1"/>
        <n v="7460" u="1"/>
        <n v="7396" u="1"/>
        <n v="7397" u="1"/>
        <n v="7461" u="1"/>
        <n v="2201" u="1"/>
        <n v="661" u="1"/>
        <n v="664" u="1"/>
        <n v="679" u="1"/>
        <n v="643" u="1"/>
        <n v="662" u="1"/>
        <n v="659" u="1"/>
        <n v="7450" u="1"/>
        <n v="683" u="1"/>
        <n v="684" u="1"/>
        <n v="685" u="1"/>
        <n v="686" u="1"/>
        <n v="687" u="1"/>
        <n v="688" u="1"/>
        <n v="689" u="1"/>
        <n v="690" u="1"/>
        <n v="2177" u="1"/>
        <n v="655" u="1"/>
        <n v="2186" u="1"/>
        <n v="2187" u="1"/>
        <n v="2168" u="1"/>
        <n v="2188" u="1"/>
        <n v="2237" u="1"/>
        <n v="2238" u="1"/>
        <n v="2239" u="1"/>
        <n v="2241" u="1"/>
        <n v="2242" u="1"/>
        <n v="2243" u="1"/>
        <n v="2244" u="1"/>
        <n v="2245" u="1"/>
        <n v="2246" u="1"/>
        <n v="2248" u="1"/>
        <n v="2249" u="1"/>
        <n v="2251" u="1"/>
        <n v="2203" u="1"/>
        <n v="692" u="1"/>
        <n v="2224" u="1"/>
        <n v="2189" u="1"/>
        <n v="2190" u="1"/>
        <n v="2191" u="1"/>
        <n v="2192" u="1"/>
        <n v="2193" u="1"/>
        <n v="2194" u="1"/>
        <n v="2195" u="1"/>
        <n v="2196" u="1"/>
        <n v="2199" u="1"/>
        <n v="2200" u="1"/>
        <n v="7441" u="1"/>
        <n v="7442" u="1"/>
        <n v="7443" u="1"/>
        <n v="7444" u="1"/>
        <n v="7445" u="1"/>
        <n v="7446" u="1"/>
        <n v="7448" u="1"/>
        <n v="7449" u="1"/>
        <n v="2217" u="1"/>
        <n v="691" u="1"/>
        <n v="668" u="1"/>
        <n v="667" u="1"/>
        <n v="666" u="1"/>
        <n v="7463" u="1"/>
        <n v="2149" u="1"/>
        <n v="2150" u="1"/>
        <n v="2151" u="1"/>
        <n v="2153" u="1"/>
        <n v="2154" u="1"/>
        <n v="2155" u="1"/>
        <n v="2157" u="1"/>
        <n v="2159" u="1"/>
        <n v="2160" u="1"/>
        <n v="2161" u="1"/>
        <n v="2162" u="1"/>
        <n v="2163" u="1"/>
        <n v="2164" u="1"/>
        <n v="2171" u="1"/>
        <n v="2172" u="1"/>
        <n v="2173" u="1"/>
        <n v="2174" u="1"/>
        <n v="2175" u="1"/>
        <n v="2183" u="1"/>
        <n v="2152" u="1"/>
        <n v="2156" u="1"/>
        <n v="737" u="1"/>
        <n v="704" u="1"/>
        <n v="703" u="1"/>
        <n v="696" u="1"/>
        <n v="698" u="1"/>
        <n v="2252" u="1"/>
        <n v="2253" u="1"/>
        <n v="2254" u="1"/>
        <n v="2255" u="1"/>
        <n v="2256" u="1"/>
        <n v="2257" u="1"/>
        <n v="2258" u="1"/>
        <n v="2259" u="1"/>
        <n v="2261" u="1"/>
        <n v="2287" u="1"/>
        <n v="2279" u="1"/>
        <n v="2293" u="1"/>
        <n v="2298" u="1"/>
        <n v="713" u="1"/>
        <n v="7472" u="1"/>
        <n v="2227" u="1"/>
        <n v="7473" u="1"/>
        <n v="7511" u="1"/>
        <n v="7491" u="1"/>
        <n v="7492" u="1"/>
        <n v="7517" u="1"/>
        <n v="7518" u="1"/>
        <n v="7493" u="1"/>
        <n v="7494" u="1"/>
        <n v="7495" u="1"/>
        <n v="7496" u="1"/>
        <n v="7497" u="1"/>
        <n v="7498" u="1"/>
        <n v="7499" u="1"/>
        <n v="7500" u="1"/>
        <n v="709" u="1"/>
        <n v="7171" u="1"/>
        <n v="7469" u="1"/>
        <n v="7512" u="1"/>
        <n v="7513" u="1"/>
        <n v="7514" u="1"/>
        <n v="2265" u="1"/>
        <n v="2266" u="1"/>
        <n v="697" u="1"/>
        <n v="699" u="1"/>
        <n v="701" u="1"/>
        <n v="663" u="1"/>
        <n v="702" u="1"/>
        <n v="706" u="1"/>
        <n v="705" u="1"/>
        <n v="707" u="1"/>
        <n v="708" u="1"/>
        <n v="717" u="1"/>
        <n v="7490" u="1"/>
        <n v="718" u="1"/>
        <n v="719" u="1"/>
        <n v="720" u="1"/>
        <n v="721" u="1"/>
        <n v="722" u="1"/>
        <n v="723" u="1"/>
        <n v="724" u="1"/>
        <n v="725" u="1"/>
        <n v="2264" u="1"/>
        <n v="727" u="1"/>
        <n v="775" u="1"/>
        <n v="2262" u="1"/>
        <n v="2263" u="1"/>
        <n v="2260" u="1"/>
        <n v="2291" u="1"/>
        <n v="2292" u="1"/>
        <n v="2294" u="1"/>
        <n v="2295" u="1"/>
        <n v="2296" u="1"/>
        <n v="2297" u="1"/>
        <n v="2299" u="1"/>
        <n v="2300" u="1"/>
        <n v="2301" u="1"/>
        <n v="2290" u="1"/>
        <n v="715" u="1"/>
        <n v="2289" u="1"/>
        <n v="2269" u="1"/>
        <n v="2270" u="1"/>
        <n v="2271" u="1"/>
        <n v="2272" u="1"/>
        <n v="2273" u="1"/>
        <n v="2274" u="1"/>
        <n v="2276" u="1"/>
        <n v="2277" u="1"/>
        <n v="2278" u="1"/>
        <n v="2281" u="1"/>
        <n v="2282" u="1"/>
        <n v="2283" u="1"/>
        <n v="2284" u="1"/>
        <n v="7502" u="1"/>
        <n v="7503" u="1"/>
        <n v="7504" u="1"/>
        <n v="7505" u="1"/>
        <n v="7506" u="1"/>
        <n v="7508" u="1"/>
        <n v="7509" u="1"/>
        <n v="7510" u="1"/>
        <n v="2288" u="1"/>
        <n v="714" u="1"/>
        <n v="711" u="1"/>
        <n v="712" u="1"/>
        <n v="7516" u="1"/>
        <n v="2205" u="1"/>
        <n v="2206" u="1"/>
        <n v="2207" u="1"/>
        <n v="2208" u="1"/>
        <n v="2209" u="1"/>
        <n v="2211" u="1"/>
        <n v="2212" u="1"/>
        <n v="2213" u="1"/>
        <n v="2214" u="1"/>
        <n v="2215" u="1"/>
        <n v="2218" u="1"/>
        <n v="2219" u="1"/>
        <n v="2220" u="1"/>
        <n v="2221" u="1"/>
        <n v="2222" u="1"/>
        <n v="2223" u="1"/>
        <n v="2225" u="1"/>
        <n v="2228" u="1"/>
        <n v="2230" u="1"/>
        <n v="2231" u="1"/>
        <n v="2232" u="1"/>
        <n v="2233" u="1"/>
        <n v="2234" u="1"/>
        <n v="2235" u="1"/>
        <n v="2236" u="1"/>
        <n v="2268" u="1"/>
        <n v="2210" u="1"/>
        <n v="2216" u="1"/>
        <n v="759" u="1"/>
        <n v="769" u="1"/>
        <n v="741" u="1"/>
        <n v="742" u="1"/>
        <n v="733" u="1"/>
        <n v="728" u="1"/>
        <n v="729" u="1"/>
        <n v="2318" u="1"/>
        <n v="2319" u="1"/>
        <n v="2320" u="1"/>
        <n v="2321" u="1"/>
        <n v="2322" u="1"/>
        <n v="2323" u="1"/>
        <n v="2324" u="1"/>
        <n v="2328" u="1"/>
        <n v="2362" u="1"/>
        <n v="2368" u="1"/>
        <n v="738" u="1"/>
        <n v="7522" u="1"/>
        <n v="2302" u="1"/>
        <n v="7521" u="1"/>
        <n v="7540" u="1"/>
        <n v="7545" u="1"/>
        <n v="7546" u="1"/>
        <n v="7519" u="1"/>
        <n v="7520" u="1"/>
        <n v="7541" u="1"/>
        <n v="7542" u="1"/>
        <n v="7543" u="1"/>
        <n v="7544" u="1"/>
        <n v="734" u="1"/>
        <n v="7515" u="1"/>
        <n v="7547" u="1"/>
        <n v="7549" u="1"/>
        <n v="2340" u="1"/>
        <n v="2341" u="1"/>
        <n v="731" u="1"/>
        <n v="700" u="1"/>
        <n v="732" u="1"/>
        <n v="7523" u="1"/>
        <n v="750" u="1"/>
        <n v="751" u="1"/>
        <n v="752" u="1"/>
        <n v="753" u="1"/>
        <n v="755" u="1"/>
        <n v="756" u="1"/>
        <n v="757" u="1"/>
        <n v="758" u="1"/>
        <n v="7531" u="1"/>
        <n v="744" u="1"/>
        <n v="745" u="1"/>
        <n v="2326" u="1"/>
        <n v="2325" u="1"/>
        <n v="2360" u="1"/>
        <n v="2361" u="1"/>
        <n v="2363" u="1"/>
        <n v="2364" u="1"/>
        <n v="2365" u="1"/>
        <n v="2366" u="1"/>
        <n v="2367" u="1"/>
        <n v="2369" u="1"/>
        <n v="2370" u="1"/>
        <n v="2371" u="1"/>
        <n v="2348" u="1"/>
        <n v="749" u="1"/>
        <n v="2349" u="1"/>
        <n v="2330" u="1"/>
        <n v="2331" u="1"/>
        <n v="2332" u="1"/>
        <n v="2334" u="1"/>
        <n v="2335" u="1"/>
        <n v="2336" u="1"/>
        <n v="2337" u="1"/>
        <n v="2338" u="1"/>
        <n v="2339" u="1"/>
        <n v="2344" u="1"/>
        <n v="7524" u="1"/>
        <n v="7525" u="1"/>
        <n v="7527" u="1"/>
        <n v="7528" u="1"/>
        <n v="7529" u="1"/>
        <n v="7530" u="1"/>
        <n v="7533" u="1"/>
        <n v="2350" u="1"/>
        <n v="747" u="1"/>
        <n v="740" u="1"/>
        <n v="739" u="1"/>
        <n v="736" u="1"/>
        <n v="7554" u="1"/>
        <n v="2314" u="1"/>
        <n v="2315" u="1"/>
        <n v="2316" u="1"/>
        <n v="2317" u="1"/>
        <n v="2508" u="1"/>
        <n v="2267" u="1"/>
        <n v="787" u="1"/>
        <n v="766" u="1"/>
        <n v="765" u="1"/>
        <n v="760" u="1"/>
        <n v="2407" u="1"/>
        <n v="2397" u="1"/>
        <n v="2375" u="1"/>
        <n v="2376" u="1"/>
        <n v="2377" u="1"/>
        <n v="2378" u="1"/>
        <n v="2380" u="1"/>
        <n v="2381" u="1"/>
        <n v="2382" u="1"/>
        <n v="2383" u="1"/>
        <n v="2385" u="1"/>
        <n v="2408" u="1"/>
        <n v="2428" u="1"/>
        <n v="2433" u="1"/>
        <n v="7561" u="1"/>
        <n v="771" u="1"/>
        <n v="7556" u="1"/>
        <n v="2346" u="1"/>
        <n v="7558" u="1"/>
        <n v="7572" u="1"/>
        <n v="7573" u="1"/>
        <n v="7574" u="1"/>
        <n v="7575" u="1"/>
        <n v="7607" u="1"/>
        <n v="7608" u="1"/>
        <n v="7585" u="1"/>
        <n v="7586" u="1"/>
        <n v="7576" u="1"/>
        <n v="7577" u="1"/>
        <n v="768" u="1"/>
        <n v="7555" u="1"/>
        <n v="7601" u="1"/>
        <n v="7559" u="1"/>
        <n v="7560" u="1"/>
        <n v="2418" u="1"/>
        <n v="2419" u="1"/>
        <n v="762" u="1"/>
        <n v="730" u="1"/>
        <n v="763" u="1"/>
        <n v="735" u="1"/>
        <n v="7557" u="1"/>
        <n v="777" u="1"/>
        <n v="778" u="1"/>
        <n v="779" u="1"/>
        <n v="780" u="1"/>
        <n v="781" u="1"/>
        <n v="782" u="1"/>
        <n v="783" u="1"/>
        <n v="784" u="1"/>
        <n v="7568" u="1"/>
        <n v="785" u="1"/>
        <n v="786" u="1"/>
        <n v="2390" u="1"/>
        <n v="2427" u="1"/>
        <n v="2429" u="1"/>
        <n v="2430" u="1"/>
        <n v="2431" u="1"/>
        <n v="2432" u="1"/>
        <n v="2434" u="1"/>
        <n v="2435" u="1"/>
        <n v="2436" u="1"/>
        <n v="2437" u="1"/>
        <n v="2438" u="1"/>
        <n v="2439" u="1"/>
        <n v="2440" u="1"/>
        <n v="2417" u="1"/>
        <n v="789" u="1"/>
        <n v="2416" u="1"/>
        <n v="2399" u="1"/>
        <n v="2400" u="1"/>
        <n v="2401" u="1"/>
        <n v="2402" u="1"/>
        <n v="2403" u="1"/>
        <n v="2404" u="1"/>
        <n v="2405" u="1"/>
        <n v="2409" u="1"/>
        <n v="2410" u="1"/>
        <n v="2411" u="1"/>
        <n v="2412" u="1"/>
        <n v="2413" u="1"/>
        <n v="2414" u="1"/>
        <n v="7569" u="1"/>
        <n v="7570" u="1"/>
        <n v="7571" u="1"/>
        <n v="7578" u="1"/>
        <n v="7579" u="1"/>
        <n v="7580" u="1"/>
        <n v="7581" u="1"/>
        <n v="7582" u="1"/>
        <n v="7583" u="1"/>
        <n v="2415" u="1"/>
        <n v="788" u="1"/>
        <n v="774" u="1"/>
        <n v="772" u="1"/>
        <n v="773" u="1"/>
        <n v="7584" u="1"/>
        <n v="2351" u="1"/>
        <n v="2352" u="1"/>
        <n v="2353" u="1"/>
        <n v="2354" u="1"/>
        <n v="2355" u="1"/>
        <n v="2357" u="1"/>
        <n v="2358" u="1"/>
        <n v="2359" u="1"/>
        <n v="2372" u="1"/>
        <n v="2374" u="1"/>
        <n v="2379" u="1"/>
        <n v="2388" u="1"/>
        <n v="2389" u="1"/>
        <n v="2505" u="1"/>
        <n v="2373" u="1"/>
        <n v="2386" u="1"/>
        <n v="2387" u="1"/>
        <n v="791" u="1"/>
        <n v="776" u="1"/>
        <n v="770" u="1"/>
        <n v="795" u="1"/>
        <n v="2477" u="1"/>
        <n v="2457" u="1"/>
        <n v="2461" u="1"/>
        <n v="2463" u="1"/>
        <n v="2420" u="1"/>
        <n v="2446" u="1"/>
        <n v="2447" u="1"/>
        <n v="2448" u="1"/>
        <n v="2449" u="1"/>
        <n v="2450" u="1"/>
        <n v="2486" u="1"/>
        <n v="2496" u="1"/>
        <n v="7609" u="1"/>
        <n v="7603" u="1"/>
        <n v="7661" u="1"/>
        <n v="801" u="1"/>
        <n v="7588" u="1"/>
        <n v="7606" u="1"/>
        <n v="7621" u="1"/>
        <n v="7622" u="1"/>
        <n v="7625" u="1"/>
        <n v="7626" u="1"/>
        <n v="7635" u="1"/>
        <n v="7636" u="1"/>
        <n v="7714" u="1"/>
        <n v="7715" u="1"/>
        <n v="796" u="1"/>
        <n v="7602" u="1"/>
        <n v="7599" u="1"/>
        <n v="2455" u="1"/>
        <n v="2456" u="1"/>
        <n v="793" u="1"/>
        <n v="761" u="1"/>
        <n v="794" u="1"/>
        <n v="764" u="1"/>
        <n v="767" u="1"/>
        <n v="7600" u="1"/>
        <n v="815" u="1"/>
        <n v="816" u="1"/>
        <n v="817" u="1"/>
        <n v="818" u="1"/>
        <n v="819" u="1"/>
        <n v="820" u="1"/>
        <n v="821" u="1"/>
        <n v="797" u="1"/>
        <n v="7605" u="1"/>
        <n v="803" u="1"/>
        <n v="804" u="1"/>
        <n v="2454" u="1"/>
        <n v="2484" u="1"/>
        <n v="2485" u="1"/>
        <n v="2487" u="1"/>
        <n v="2488" u="1"/>
        <n v="2489" u="1"/>
        <n v="2490" u="1"/>
        <n v="2491" u="1"/>
        <n v="2492" u="1"/>
        <n v="2493" u="1"/>
        <n v="2494" u="1"/>
        <n v="2495" u="1"/>
        <n v="2497" u="1"/>
        <n v="2481" u="1"/>
        <n v="805" u="1"/>
        <n v="2482" u="1"/>
        <n v="2464" u="1"/>
        <n v="2465" u="1"/>
        <n v="2467" u="1"/>
        <n v="2469" u="1"/>
        <n v="2470" u="1"/>
        <n v="2473" u="1"/>
        <n v="2474" u="1"/>
        <n v="2475" u="1"/>
        <n v="2476" u="1"/>
        <n v="2483" u="1"/>
        <n v="7610" u="1"/>
        <n v="7611" u="1"/>
        <n v="7612" u="1"/>
        <n v="7613" u="1"/>
        <n v="7616" u="1"/>
        <n v="7617" u="1"/>
        <n v="7619" u="1"/>
        <n v="7627" u="1"/>
        <n v="2480" u="1"/>
        <n v="813" u="1"/>
        <n v="802" u="1"/>
        <n v="798" u="1"/>
        <n v="799" u="1"/>
        <n v="826" u="1"/>
        <n v="828" u="1"/>
        <n v="829" u="1"/>
        <n v="837" u="1"/>
        <n v="838" u="1"/>
        <n v="839" u="1"/>
        <n v="841" u="1"/>
        <n v="7628" u="1"/>
        <n v="2392" u="1"/>
        <n v="2393" u="1"/>
        <n v="2395" u="1"/>
        <n v="2396" u="1"/>
        <n v="2421" u="1"/>
        <n v="2422" u="1"/>
        <n v="2423" u="1"/>
        <n v="2424" u="1"/>
        <n v="2425" u="1"/>
        <n v="2441" u="1"/>
        <n v="2442" u="1"/>
        <n v="2444" u="1"/>
        <n v="2445" u="1"/>
        <n v="2394" u="1"/>
        <n v="2443" u="1"/>
        <n v="2451" u="1"/>
        <n v="2452" u="1"/>
        <n v="810" u="1"/>
        <n v="809" u="1"/>
        <n v="808" u="1"/>
        <n v="2458" u="1"/>
        <n v="2459" u="1"/>
        <n v="2460" u="1"/>
        <n v="811" u="1"/>
        <n v="2535" u="1"/>
        <n v="2536" u="1"/>
        <n v="2551" u="1"/>
        <n v="2528" u="1"/>
        <n v="2534" u="1"/>
        <n v="2540" u="1"/>
        <n v="2513" u="1"/>
        <n v="2514" u="1"/>
        <n v="2515" u="1"/>
        <n v="2516" u="1"/>
        <n v="2517" u="1"/>
        <n v="2518" u="1"/>
        <n v="2519" u="1"/>
        <n v="2520" u="1"/>
        <n v="2521" u="1"/>
        <n v="2573" u="1"/>
        <n v="2579" u="1"/>
        <n v="7632" u="1"/>
        <n v="7634" u="1"/>
        <n v="882" u="1"/>
        <n v="825" u="1"/>
        <n v="7631" u="1"/>
        <n v="7648" u="1"/>
        <n v="7695" u="1"/>
        <n v="7696" u="1"/>
        <n v="7629" u="1"/>
        <n v="7649" u="1"/>
        <n v="7659" u="1"/>
        <n v="7666" u="1"/>
        <n v="7667" u="1"/>
        <n v="2532" u="1"/>
        <n v="2533" u="1"/>
        <n v="792" u="1"/>
        <n v="812" u="1"/>
        <n v="824" u="1"/>
        <n v="7647" u="1"/>
        <n v="894" u="1"/>
        <n v="895" u="1"/>
        <n v="896" u="1"/>
        <n v="897" u="1"/>
        <n v="898" u="1"/>
        <n v="899" u="1"/>
        <n v="900" u="1"/>
        <n v="814" u="1"/>
        <n v="7630" u="1"/>
        <n v="833" u="1"/>
        <n v="834" u="1"/>
        <n v="2525" u="1"/>
        <n v="2574" u="1"/>
        <n v="2575" u="1"/>
        <n v="2576" u="1"/>
        <n v="2577" u="1"/>
        <n v="2578" u="1"/>
        <n v="2580" u="1"/>
        <n v="2581" u="1"/>
        <n v="2555" u="1"/>
        <n v="2557" u="1"/>
        <n v="850" u="1"/>
        <n v="2554" u="1"/>
        <n v="2537" u="1"/>
        <n v="2538" u="1"/>
        <n v="2541" u="1"/>
        <n v="2542" u="1"/>
        <n v="2544" u="1"/>
        <n v="2545" u="1"/>
        <n v="2546" u="1"/>
        <n v="2548" u="1"/>
        <n v="2552" u="1"/>
        <n v="2553" u="1"/>
        <n v="2558" u="1"/>
        <n v="7650" u="1"/>
        <n v="7651" u="1"/>
        <n v="7653" u="1"/>
        <n v="7655" u="1"/>
        <n v="7656" u="1"/>
        <n v="7657" u="1"/>
        <n v="7658" u="1"/>
        <n v="253901" u="1"/>
        <n v="765201" u="1"/>
        <n v="2556" u="1"/>
        <n v="867" u="1"/>
        <n v="832" u="1"/>
        <n v="831" u="1"/>
        <n v="822" u="1"/>
        <n v="827" u="1"/>
        <n v="835" u="1"/>
        <n v="836" u="1"/>
        <n v="843" u="1"/>
        <n v="844" u="1"/>
        <n v="847" u="1"/>
        <n v="848" u="1"/>
        <n v="872" u="1"/>
        <n v="873" u="1"/>
        <n v="7660" u="1"/>
        <n v="2462" u="1"/>
        <n v="2498" u="1"/>
        <n v="2499" u="1"/>
        <n v="2501" u="1"/>
        <n v="2504" u="1"/>
        <n v="2506" u="1"/>
        <n v="2507" u="1"/>
        <n v="2510" u="1"/>
        <n v="2512" u="1"/>
        <n v="2523" u="1"/>
        <n v="2524" u="1"/>
        <n v="2526" u="1"/>
        <n v="2595" u="1"/>
        <n v="2649" u="1"/>
        <n v="2500" u="1"/>
        <n v="2509" u="1"/>
        <n v="2596" u="1"/>
        <n v="2651" u="1"/>
        <n v="879" u="1"/>
        <n v="830" u="1"/>
        <n v="868" u="1"/>
        <n v="869" u="1"/>
        <n v="2527" u="1"/>
        <n v="2530" u="1"/>
        <n v="2531" u="1"/>
        <n v="2529" u="1"/>
        <n v="876" u="1"/>
        <n v="2599" u="1"/>
        <n v="2600" u="1"/>
        <n v="2608" u="1"/>
        <n v="2609" u="1"/>
        <n v="2601" u="1"/>
        <n v="2602" u="1"/>
        <n v="2622" u="1"/>
        <n v="2662" u="1"/>
        <n v="2549" u="1"/>
        <n v="2550" u="1"/>
        <n v="2585" u="1"/>
        <n v="2586" u="1"/>
        <n v="2587" u="1"/>
        <n v="2588" u="1"/>
        <n v="2589" u="1"/>
        <n v="2607" u="1"/>
        <n v="2640" u="1"/>
        <n v="2645" u="1"/>
        <n v="7669" u="1"/>
        <n v="7682" u="1"/>
        <n v="878" u="1"/>
        <n v="7668" u="1"/>
        <n v="7681" u="1"/>
        <n v="883" u="1"/>
        <n v="884" u="1"/>
        <n v="7727" u="1"/>
        <n v="7728" u="1"/>
        <n v="7665" u="1"/>
        <n v="7692" u="1"/>
        <n v="2603" u="1"/>
        <n v="2604" u="1"/>
        <n v="806" u="1"/>
        <n v="807" u="1"/>
        <n v="871" u="1"/>
        <n v="7680" u="1"/>
        <n v="933" u="1"/>
        <n v="934" u="1"/>
        <n v="935" u="1"/>
        <n v="936" u="1"/>
        <n v="937" u="1"/>
        <n v="938" u="1"/>
        <n v="939" u="1"/>
        <n v="7683" u="1"/>
        <n v="887" u="1"/>
        <n v="2597" u="1"/>
        <n v="2639" u="1"/>
        <n v="2641" u="1"/>
        <n v="2642" u="1"/>
        <n v="2643" u="1"/>
        <n v="2644" u="1"/>
        <n v="2646" u="1"/>
        <n v="2625" u="1"/>
        <n v="893" u="1"/>
        <n v="2624" u="1"/>
        <n v="2611" u="1"/>
        <n v="2612" u="1"/>
        <n v="2614" u="1"/>
        <n v="2616" u="1"/>
        <n v="2617" u="1"/>
        <n v="2618" u="1"/>
        <n v="2619" u="1"/>
        <n v="7684" u="1"/>
        <n v="7685" u="1"/>
        <n v="7686" u="1"/>
        <n v="7687" u="1"/>
        <n v="7689" u="1"/>
        <n v="7690" u="1"/>
        <n v="7691" u="1"/>
        <n v="7693" u="1"/>
        <n v="2623" u="1"/>
        <n v="877" u="1"/>
        <n v="880" u="1"/>
        <n v="881" u="1"/>
        <n v="875" u="1"/>
        <n v="885" u="1"/>
        <n v="886" u="1"/>
        <n v="889" u="1"/>
        <n v="890" u="1"/>
        <n v="891" u="1"/>
        <n v="892" u="1"/>
        <n v="901" u="1"/>
        <n v="902" u="1"/>
        <n v="7694" u="1"/>
        <n v="2560" u="1"/>
        <n v="2561" u="1"/>
        <n v="2562" u="1"/>
        <n v="2563" u="1"/>
        <n v="2564" u="1"/>
        <n v="2565" u="1"/>
        <n v="2569" u="1"/>
        <n v="2570" u="1"/>
        <n v="2582" u="1"/>
        <n v="2583" u="1"/>
        <n v="2584" u="1"/>
        <n v="2591" u="1"/>
        <n v="2592" u="1"/>
        <n v="2593" u="1"/>
        <n v="2605" u="1"/>
        <n v="2606" u="1"/>
        <n v="2650" u="1"/>
        <n v="2559" u="1"/>
        <n v="2568" u="1"/>
        <n v="2594" u="1"/>
        <n v="2652" u="1"/>
        <n v="908" u="1"/>
        <n v="909" u="1"/>
        <n v="907" u="1"/>
        <n v="2598" u="1"/>
        <n v="2610" u="1"/>
        <n v="912" u="1"/>
        <n v="913" u="1"/>
        <n v="2664" u="1"/>
        <n v="2669" u="1"/>
        <n v="2670" u="1"/>
        <n v="2676" u="1"/>
        <n v="2667" u="1"/>
        <n v="2668" u="1"/>
        <n v="2673" u="1"/>
        <n v="2678" u="1"/>
        <n v="2655" u="1"/>
        <n v="2656" u="1"/>
        <n v="2657" u="1"/>
        <n v="2658" u="1"/>
        <n v="2660" u="1"/>
        <n v="2717" u="1"/>
        <n v="2701" u="1"/>
        <n v="2709" u="1"/>
        <n v="7698" u="1"/>
        <n v="7716" u="1"/>
        <n v="923" u="1"/>
        <n v="7699" u="1"/>
        <n v="7709" u="1"/>
        <n v="920" u="1"/>
        <n v="921" u="1"/>
        <n v="7710" u="1"/>
        <n v="7711" u="1"/>
        <n v="7712" u="1"/>
        <n v="7713" u="1"/>
        <n v="7697" u="1"/>
        <n v="7708" u="1"/>
        <n v="7722" u="1"/>
        <n v="2674" u="1"/>
        <n v="2675" u="1"/>
        <n v="919" u="1"/>
        <n v="7707" u="1"/>
        <n v="940" u="1"/>
        <n v="941" u="1"/>
        <n v="942" u="1"/>
        <n v="943" u="1"/>
        <n v="944" u="1"/>
        <n v="945" u="1"/>
        <n v="946" u="1"/>
        <n v="903" u="1"/>
        <n v="7706" u="1"/>
        <n v="930" u="1"/>
        <n v="931" u="1"/>
        <n v="2661" u="1"/>
        <n v="2700" u="1"/>
        <n v="2702" u="1"/>
        <n v="2703" u="1"/>
        <n v="2704" u="1"/>
        <n v="2705" u="1"/>
        <n v="2706" u="1"/>
        <n v="2707" u="1"/>
        <n v="2708" u="1"/>
        <n v="2710" u="1"/>
        <n v="2691" u="1"/>
        <n v="947" u="1"/>
        <n v="2689" u="1"/>
        <n v="2680" u="1"/>
        <n v="2681" u="1"/>
        <n v="2682" u="1"/>
        <n v="2683" u="1"/>
        <n v="2684" u="1"/>
        <n v="2687" u="1"/>
        <n v="7717" u="1"/>
        <n v="7718" u="1"/>
        <n v="7719" u="1"/>
        <n v="2690" u="1"/>
        <n v="926" u="1"/>
        <n v="918" u="1"/>
        <n v="905" u="1"/>
        <n v="906" u="1"/>
        <n v="917" u="1"/>
        <n v="916" u="1"/>
        <n v="914" u="1"/>
        <n v="915" u="1"/>
        <n v="922" u="1"/>
        <n v="927" u="1"/>
        <n v="928" u="1"/>
        <n v="929" u="1"/>
        <n v="932" u="1"/>
        <n v="7724" u="1"/>
        <n v="7721" u="1"/>
        <n v="2626" u="1"/>
        <n v="2629" u="1"/>
        <n v="2630" u="1"/>
        <n v="2631" u="1"/>
        <n v="2632" u="1"/>
        <n v="2633" u="1"/>
        <n v="2634" u="1"/>
        <n v="2635" u="1"/>
        <n v="2636" u="1"/>
        <n v="2637" u="1"/>
        <n v="2638" u="1"/>
        <n v="2653" u="1"/>
        <n v="2654" u="1"/>
        <n v="2665" u="1"/>
        <n v="2666" u="1"/>
        <n v="2672" u="1"/>
        <n v="2627" u="1"/>
        <n v="2647" u="1"/>
        <n v="2648" u="1"/>
        <n v="2671" u="1"/>
        <n v="948" u="1"/>
        <n v="925" u="1"/>
        <n v="924" u="1"/>
        <n v="2663" u="1"/>
        <n v="2677" u="1"/>
        <n v="949" u="1"/>
        <n v="950" u="1"/>
        <n v="2733" u="1"/>
        <n v="2734" u="1"/>
        <n v="2736" u="1"/>
        <n v="2738" u="1"/>
        <n v="2732" u="1"/>
        <n v="2735" u="1"/>
        <n v="2739" u="1"/>
        <n v="2753" u="1"/>
        <n v="2715" u="1"/>
        <n v="2716" u="1"/>
        <n v="2718" u="1"/>
        <n v="2719" u="1"/>
        <n v="2720" u="1"/>
        <n v="2721" u="1"/>
        <n v="2765" u="1"/>
        <n v="2771" u="1"/>
        <n v="7726" u="1"/>
        <n v="7736" u="1"/>
        <n v="957" u="1"/>
        <n v="7729" u="1"/>
        <n v="7737" u="1"/>
        <n v="955" u="1"/>
        <n v="956" u="1"/>
        <n v="7725" u="1"/>
        <n v="7741" u="1"/>
        <n v="7742" u="1"/>
        <n v="7753" u="1"/>
        <n v="2740" u="1"/>
        <n v="2741" u="1"/>
        <n v="951" u="1"/>
        <n v="7749" u="1"/>
        <n v="985" u="1"/>
        <n v="986" u="1"/>
        <n v="987" u="1"/>
        <n v="988" u="1"/>
        <n v="989" u="1"/>
        <n v="990" u="1"/>
        <n v="991" u="1"/>
        <n v="7730" u="1"/>
        <n v="961" u="1"/>
        <n v="962" u="1"/>
        <n v="2688" u="1"/>
        <n v="2729" u="1"/>
        <n v="2764" u="1"/>
        <n v="2766" u="1"/>
        <n v="2767" u="1"/>
        <n v="2768" u="1"/>
        <n v="2769" u="1"/>
        <n v="2770" u="1"/>
        <n v="2772" u="1"/>
        <n v="2744" u="1"/>
        <n v="963" u="1"/>
        <n v="2754" u="1"/>
        <n v="2737" u="1"/>
        <n v="7732" u="1"/>
        <n v="7733" u="1"/>
        <n v="964" u="1"/>
        <n v="954" u="1"/>
        <n v="953" u="1"/>
        <n v="952" u="1"/>
        <n v="7723" u="1"/>
        <n v="7731" u="1"/>
        <n v="7734" u="1"/>
        <n v="7735" u="1"/>
        <n v="7738" u="1"/>
        <n v="7739" u="1"/>
        <n v="7740" u="1"/>
        <n v="7750" u="1"/>
        <n v="7751" u="1"/>
        <n v="7752" u="1"/>
        <n v="2692" u="1"/>
        <n v="2694" u="1"/>
        <n v="2695" u="1"/>
        <n v="2696" u="1"/>
        <n v="2697" u="1"/>
        <n v="2698" u="1"/>
        <n v="2699" u="1"/>
        <n v="2712" u="1"/>
        <n v="2713" u="1"/>
        <n v="2714" u="1"/>
        <n v="2723" u="1"/>
        <n v="2724" u="1"/>
        <n v="2725" u="1"/>
        <n v="2742" u="1"/>
        <n v="2743" u="1"/>
        <n v="2776" u="1"/>
        <n v="2777" u="1"/>
        <n v="2711" u="1"/>
        <n v="2726" u="1"/>
        <n v="2727" u="1"/>
        <n v="958" u="1"/>
        <n v="960" u="1"/>
        <n v="959" u="1"/>
        <n v="2728" u="1"/>
        <n v="2746" u="1"/>
        <n v="2693" u="1"/>
        <n v="967" u="1"/>
        <n v="968" u="1"/>
        <n v="969" u="1"/>
        <n v="2816" u="1"/>
        <n v="2818" u="1"/>
        <n v="2819" u="1"/>
        <n v="2831" u="1"/>
        <n v="2791" u="1"/>
        <n v="2792" u="1"/>
        <n v="2793" u="1"/>
        <n v="2815" u="1"/>
        <n v="2817" u="1"/>
        <n v="2832" u="1"/>
        <n v="2834" u="1"/>
        <n v="2760" u="1"/>
        <n v="2761" u="1"/>
        <n v="2780" u="1"/>
        <n v="2782" u="1"/>
        <n v="2783" u="1"/>
        <n v="2784" u="1"/>
        <n v="2785" u="1"/>
        <n v="2786" u="1"/>
        <n v="2821" u="1"/>
        <n v="2827" u="1"/>
        <n v="7763" u="1"/>
        <n v="7756" u="1"/>
        <n v="982" u="1"/>
        <n v="7757" u="1"/>
        <n v="7758" u="1"/>
        <n v="7816" u="1"/>
        <n v="980" u="1"/>
        <n v="981" u="1"/>
        <n v="7754" u="1"/>
        <n v="7280" u="1"/>
        <n v="7759" u="1"/>
        <n v="2808" u="1"/>
        <n v="2809" u="1"/>
        <n v="966" u="1"/>
        <n v="7766" u="1"/>
        <n v="7762" u="1"/>
        <n v="1004" u="1"/>
        <n v="1005" u="1"/>
        <n v="2789" u="1"/>
        <n v="2820" u="1"/>
        <n v="2822" u="1"/>
        <n v="2823" u="1"/>
        <n v="2824" u="1"/>
        <n v="2825" u="1"/>
        <n v="2826" u="1"/>
        <n v="2828" u="1"/>
        <n v="2844" u="1"/>
        <n v="992" u="1"/>
        <n v="2846" u="1"/>
        <n v="2788" u="1"/>
        <n v="7755" u="1"/>
        <n v="2845" u="1"/>
        <n v="979" u="1"/>
        <n v="973" u="1"/>
        <n v="974" u="1"/>
        <n v="977" u="1"/>
        <n v="975" u="1"/>
        <n v="7761" u="1"/>
        <n v="7764" u="1"/>
        <n v="7765" u="1"/>
        <n v="7767" u="1"/>
        <n v="7768" u="1"/>
        <n v="7769" u="1"/>
        <n v="7784" u="1"/>
        <n v="7785" u="1"/>
        <n v="7789" u="1"/>
        <n v="7783" u="1"/>
        <n v="2747" u="1"/>
        <n v="2748" u="1"/>
        <n v="2751" u="1"/>
        <n v="2752" u="1"/>
        <n v="2755" u="1"/>
        <n v="2756" u="1"/>
        <n v="2757" u="1"/>
        <n v="2758" u="1"/>
        <n v="2763" u="1"/>
        <n v="2773" u="1"/>
        <n v="2775" u="1"/>
        <n v="2779" u="1"/>
        <n v="2781" u="1"/>
        <n v="2810" u="1"/>
        <n v="2829" u="1"/>
        <n v="2749" u="1"/>
        <n v="2759" u="1"/>
        <n v="2762" u="1"/>
        <n v="2774" u="1"/>
        <n v="970" u="1"/>
        <n v="978" u="1"/>
        <n v="972" u="1"/>
        <n v="971" u="1"/>
        <n v="2787" u="1"/>
        <n v="2790" u="1"/>
        <n v="2750" u="1"/>
        <n v="2814" u="1"/>
        <n v="1001" u="1"/>
        <n v="7787" u="1"/>
        <n v="2836" u="1"/>
        <n v="2839" u="1"/>
        <n v="2841" u="1"/>
        <n v="2842" u="1"/>
        <n v="2857" u="1"/>
        <n v="2861" u="1"/>
        <n v="2862" u="1"/>
        <n v="2864" u="1"/>
        <n v="2835" u="1"/>
        <n v="2840" u="1"/>
        <n v="2843" u="1"/>
        <n v="2856" u="1"/>
        <n v="2860" u="1"/>
        <n v="2863" u="1"/>
        <n v="2865" u="1"/>
        <n v="2847" u="1"/>
        <n v="2848" u="1"/>
        <n v="2849" u="1"/>
        <n v="2850" u="1"/>
        <n v="2851" u="1"/>
        <n v="2852" u="1"/>
        <n v="2853" u="1"/>
        <n v="2881" u="1"/>
        <n v="2883" u="1"/>
        <n v="7800" u="1"/>
        <n v="7804" u="1"/>
        <n v="1002" u="1"/>
        <n v="1003" u="1"/>
        <n v="1011" u="1"/>
        <n v="7797" u="1"/>
        <n v="7798" u="1"/>
        <n v="7825" u="1"/>
        <n v="7786" u="1"/>
        <n v="7760" u="1"/>
        <n v="2858" u="1"/>
        <n v="2859" u="1"/>
        <n v="1000" u="1"/>
        <n v="7803" u="1"/>
        <n v="7799" u="1"/>
        <n v="1012" u="1"/>
        <n v="1013" u="1"/>
        <n v="2854" u="1"/>
        <n v="2880" u="1"/>
        <n v="2882" u="1"/>
        <n v="2884" u="1"/>
        <n v="2894" u="1"/>
        <n v="2895" u="1"/>
        <n v="2896" u="1"/>
        <n v="2897" u="1"/>
        <n v="2867" u="1"/>
        <n v="1010" u="1"/>
        <n v="2869" u="1"/>
        <n v="2855" u="1"/>
        <n v="7796" u="1"/>
        <n v="2866" u="1"/>
        <n v="1009" u="1"/>
        <n v="983" u="1"/>
        <n v="1007" u="1"/>
        <n v="984" u="1"/>
        <n v="1008" u="1"/>
        <n v="1006" u="1"/>
        <n v="7806" u="1"/>
        <n v="7807" u="1"/>
        <n v="7808" u="1"/>
        <n v="7809" u="1"/>
        <n v="7810" u="1"/>
        <n v="7811" u="1"/>
        <n v="7812" u="1"/>
        <n v="7813" u="1"/>
        <n v="7788" u="1"/>
        <n v="7805" u="1"/>
        <n v="2794" u="1"/>
        <n v="2795" u="1"/>
        <n v="2796" u="1"/>
        <n v="2797" u="1"/>
        <n v="2799" u="1"/>
        <n v="2800" u="1"/>
        <n v="2801" u="1"/>
        <n v="2802" u="1"/>
        <n v="2803" u="1"/>
        <n v="2811" u="1"/>
        <n v="2830" u="1"/>
        <n v="2833" u="1"/>
        <n v="2837" u="1"/>
        <n v="2838" u="1"/>
        <n v="2798" u="1"/>
        <n v="2804" u="1"/>
        <n v="2805" u="1"/>
        <n v="2812" u="1"/>
        <n v="1018" u="1"/>
        <n v="1016" u="1"/>
        <n v="1017" u="1"/>
        <n v="2925" u="1"/>
        <n v="2975" u="1"/>
        <n v="2813" u="1"/>
        <n v="1019" u="1"/>
        <n v="2920" u="1"/>
        <n v="2921" u="1"/>
        <n v="2922" u="1"/>
        <n v="2923" u="1"/>
        <n v="2924" u="1"/>
        <n v="2968" u="1"/>
        <n v="2969" u="1"/>
        <n v="2987" u="1"/>
        <n v="2993" u="1"/>
        <n v="2906" u="1"/>
        <n v="2907" u="1"/>
        <n v="2913" u="1"/>
        <n v="2915" u="1"/>
        <n v="2917" u="1"/>
        <n v="2918" u="1"/>
        <n v="2970" u="1"/>
        <n v="2903" u="1"/>
        <n v="2904" u="1"/>
        <n v="2905" u="1"/>
        <n v="2908" u="1"/>
        <n v="2909" u="1"/>
        <n v="3116" u="1"/>
        <n v="2939" u="1"/>
        <n v="7865" u="1"/>
        <n v="7815" u="1"/>
        <n v="7821" u="1"/>
        <n v="7932" u="1"/>
        <n v="1039" u="1"/>
        <n v="1040" u="1"/>
        <n v="1032" u="1"/>
        <n v="7837" u="1"/>
        <n v="7826" u="1"/>
        <n v="7814" u="1"/>
        <n v="7822" u="1"/>
        <n v="2919" u="1"/>
        <n v="1020" u="1"/>
        <n v="7820" u="1"/>
        <n v="7818" u="1"/>
        <n v="1034" u="1"/>
        <n v="1035" u="1"/>
        <n v="2910" u="1"/>
        <n v="2938" u="1"/>
        <n v="2940" u="1"/>
        <n v="2941" u="1"/>
        <n v="2942" u="1"/>
        <n v="2944" u="1"/>
        <n v="2945" u="1"/>
        <n v="2946" u="1"/>
        <n v="2947" u="1"/>
        <n v="2926" u="1"/>
        <n v="1036" u="1"/>
        <n v="2930" u="1"/>
        <n v="2927" u="1"/>
        <n v="1045" u="1"/>
        <n v="1028" u="1"/>
        <n v="1029" u="1"/>
        <n v="1030" u="1"/>
        <n v="7819" u="1"/>
        <n v="7823" u="1"/>
        <n v="7824" u="1"/>
        <n v="7827" u="1"/>
        <n v="7832" u="1"/>
        <n v="7833" u="1"/>
        <n v="7838" u="1"/>
        <n v="7839" u="1"/>
        <n v="7829" u="1"/>
        <n v="2871" u="1"/>
        <n v="2872" u="1"/>
        <n v="2873" u="1"/>
        <n v="2875" u="1"/>
        <n v="2876" u="1"/>
        <n v="2877" u="1"/>
        <n v="2885" u="1"/>
        <n v="2886" u="1"/>
        <n v="2887" u="1"/>
        <n v="2888" u="1"/>
        <n v="2889" u="1"/>
        <n v="2890" u="1"/>
        <n v="2891" u="1"/>
        <n v="2892" u="1"/>
        <n v="2893" u="1"/>
        <n v="2911" u="1"/>
        <n v="2912" u="1"/>
        <n v="2914" u="1"/>
        <n v="2933" u="1"/>
        <n v="3034" u="1"/>
        <n v="2870" u="1"/>
        <n v="2874" u="1"/>
        <n v="2932" u="1"/>
        <n v="1047" u="1"/>
        <n v="1046" u="1"/>
        <n v="1043" u="1"/>
        <n v="3343" u="1"/>
        <n v="2916" u="1"/>
        <n v="1042" u="1"/>
        <n v="2982" u="1"/>
        <n v="2983" u="1"/>
        <n v="2984" u="1"/>
        <n v="2985" u="1"/>
        <n v="2986" u="1"/>
        <n v="2988" u="1"/>
        <n v="2996" u="1"/>
        <n v="2994" u="1"/>
        <n v="3025" u="1"/>
        <n v="3024" u="1"/>
        <n v="3107" u="1"/>
        <n v="2972" u="1"/>
        <n v="2973" u="1"/>
        <n v="2974" u="1"/>
        <n v="2981" u="1"/>
        <n v="2954" u="1"/>
        <n v="2955" u="1"/>
        <n v="2956" u="1"/>
        <n v="2957" u="1"/>
        <n v="2958" u="1"/>
        <n v="2959" u="1"/>
        <n v="2960" u="1"/>
        <n v="3117" u="1"/>
        <n v="2964" u="1"/>
        <n v="7866" u="1"/>
        <n v="7834" u="1"/>
        <n v="7847" u="1"/>
        <n v="1051" u="1"/>
        <n v="1052" u="1"/>
        <n v="1053" u="1"/>
        <n v="7817" u="1"/>
        <n v="7850" u="1"/>
        <n v="7830" u="1"/>
        <n v="7841" u="1"/>
        <n v="7846" u="1"/>
        <n v="2971" u="1"/>
        <n v="1041" u="1"/>
        <n v="7840" u="1"/>
        <n v="7836" u="1"/>
        <n v="1057" u="1"/>
        <n v="2961" u="1"/>
        <n v="3021" u="1"/>
        <n v="3020" u="1"/>
        <n v="3019" u="1"/>
        <n v="3018" u="1"/>
        <n v="3017" u="1"/>
        <n v="3015" u="1"/>
        <n v="3013" u="1"/>
        <n v="3016" u="1"/>
        <n v="3014" u="1"/>
        <n v="2995" u="1"/>
        <n v="1056" u="1"/>
        <n v="3012" u="1"/>
        <n v="3000" u="1"/>
        <n v="1054" u="1"/>
        <n v="1049" u="1"/>
        <n v="1050" u="1"/>
        <n v="1048" u="1"/>
        <n v="7842" u="1"/>
        <n v="7843" u="1"/>
        <n v="7844" u="1"/>
        <n v="7849" u="1"/>
        <n v="7851" u="1"/>
        <n v="7853" u="1"/>
        <n v="7852" u="1"/>
        <n v="7857" u="1"/>
        <n v="7855" u="1"/>
        <n v="7859" u="1"/>
        <n v="2929" u="1"/>
        <n v="2931" u="1"/>
        <n v="2935" u="1"/>
        <n v="2936" u="1"/>
        <n v="2943" u="1"/>
        <n v="2948" u="1"/>
        <n v="2949" u="1"/>
        <n v="2950" u="1"/>
        <n v="2951" u="1"/>
        <n v="2965" u="1"/>
        <n v="2966" u="1"/>
        <n v="2976" u="1"/>
        <n v="2977" u="1"/>
        <n v="3035" u="1"/>
        <n v="2934" u="1"/>
        <n v="2937" u="1"/>
        <n v="2952" u="1"/>
        <n v="2953" u="1"/>
        <n v="2963" u="1"/>
        <n v="1031" u="1"/>
        <n v="1058" u="1"/>
        <n v="2967" u="1"/>
        <n v="1059" u="1"/>
        <n v="3044" u="1"/>
        <n v="3052" u="1"/>
        <n v="3050" u="1"/>
        <n v="3049" u="1"/>
        <n v="3048" u="1"/>
        <n v="3054" u="1"/>
        <n v="3063" u="1"/>
        <n v="3060" u="1"/>
        <n v="3062" u="1"/>
        <n v="3059" u="1"/>
        <n v="3106" u="1"/>
        <n v="3105" u="1"/>
        <n v="3104" u="1"/>
        <n v="3103" u="1"/>
        <n v="3121" u="1"/>
        <n v="3022" u="1"/>
        <n v="3045" u="1"/>
        <n v="3047" u="1"/>
        <n v="3046" u="1"/>
        <n v="3055" u="1"/>
        <n v="3058" u="1"/>
        <n v="3057" u="1"/>
        <n v="3061" u="1"/>
        <n v="3119" u="1"/>
        <n v="3129" u="1"/>
        <n v="3031" u="1"/>
        <n v="3030" u="1"/>
        <n v="3029" u="1"/>
        <n v="3028" u="1"/>
        <n v="3027" u="1"/>
        <n v="3026" u="1"/>
        <n v="3118" u="1"/>
        <n v="3037" u="1"/>
        <n v="7912" u="1"/>
        <n v="7861" u="1"/>
        <n v="7870" u="1"/>
        <n v="7933" u="1"/>
        <n v="1063" u="1"/>
        <n v="1062" u="1"/>
        <n v="7862" u="1"/>
        <n v="7877" u="1"/>
        <n v="7858" u="1"/>
        <n v="7863" u="1"/>
        <n v="7881" u="1"/>
        <n v="3040" u="1"/>
        <n v="1060" u="1"/>
        <n v="7868" u="1"/>
        <n v="7856" u="1"/>
        <n v="7864" u="1"/>
        <n v="1072" u="1"/>
        <n v="3036" u="1"/>
        <n v="3038" u="1"/>
        <n v="3077" u="1"/>
        <n v="3076" u="1"/>
        <n v="3075" u="1"/>
        <n v="3074" u="1"/>
        <n v="3073" u="1"/>
        <n v="3072" u="1"/>
        <n v="3071" u="1"/>
        <n v="3070" u="1"/>
        <n v="3080" u="1"/>
        <n v="3081" u="1"/>
        <n v="3079" u="1"/>
        <n v="3078" u="1"/>
        <n v="7886" u="1"/>
        <n v="7885" u="1"/>
        <n v="3067" u="1"/>
        <n v="1071" u="1"/>
        <n v="3066" u="1"/>
        <n v="1070" u="1"/>
        <n v="1064" u="1"/>
        <n v="1065" u="1"/>
        <n v="1061" u="1"/>
        <n v="7875" u="1"/>
        <n v="7867" u="1"/>
        <n v="7869" u="1"/>
        <n v="7872" u="1"/>
        <n v="7873" u="1"/>
        <n v="7876" u="1"/>
        <n v="7879" u="1"/>
        <n v="7878" u="1"/>
        <n v="7880" u="1"/>
        <n v="7887" u="1"/>
        <n v="7882" u="1"/>
        <n v="2992" u="1"/>
        <n v="3033" u="1"/>
        <n v="2997" u="1"/>
        <n v="3006" u="1"/>
        <n v="3005" u="1"/>
        <n v="3004" u="1"/>
        <n v="3003" u="1"/>
        <n v="3002" u="1"/>
        <n v="3001" u="1"/>
        <n v="3010" u="1"/>
        <n v="3009" u="1"/>
        <n v="3007" u="1"/>
        <n v="3011" u="1"/>
        <n v="3039" u="1"/>
        <n v="3043" u="1"/>
        <n v="3064" u="1"/>
        <n v="2978" u="1"/>
        <n v="2980" u="1"/>
        <n v="3023" u="1"/>
        <n v="2999" u="1"/>
        <n v="2998" u="1"/>
        <n v="3032" u="1"/>
        <n v="3065" u="1"/>
        <n v="7845" u="1"/>
        <n v="7860" u="1"/>
        <n v="1069" u="1"/>
        <n v="1083" u="1"/>
        <n v="1089" u="1"/>
        <n v="1077" u="1"/>
        <n v="1076" u="1"/>
        <n v="3053" u="1"/>
        <n v="3042" u="1"/>
        <n v="3041" u="1"/>
        <n v="1074" u="1"/>
        <n v="3113" u="1"/>
        <n v="3126" u="1"/>
        <n v="3125" u="1"/>
        <n v="3124" u="1"/>
        <n v="3122" u="1"/>
        <n v="3134" u="1"/>
        <n v="3133" u="1"/>
        <n v="3132" u="1"/>
        <n v="3128" u="1"/>
        <n v="3135" u="1"/>
        <n v="3139" u="1"/>
        <n v="3138" u="1"/>
        <n v="3137" u="1"/>
        <n v="3108" u="1"/>
        <n v="3112" u="1"/>
        <n v="3111" u="1"/>
        <n v="3115" u="1"/>
        <n v="3127" u="1"/>
        <n v="3123" u="1"/>
        <n v="3130" u="1"/>
        <n v="3120" u="1"/>
        <n v="3096" u="1"/>
        <n v="3095" u="1"/>
        <n v="3094" u="1"/>
        <n v="3093" u="1"/>
        <n v="3097" u="1"/>
        <n v="3102" u="1"/>
        <n v="7907" u="1"/>
        <n v="7908" u="1"/>
        <n v="7902" u="1"/>
        <n v="1090" u="1"/>
        <n v="1084" u="1"/>
        <n v="1080" u="1"/>
        <n v="7897" u="1"/>
        <n v="7909" u="1"/>
        <n v="7888" u="1"/>
        <n v="7895" u="1"/>
        <n v="7901" u="1"/>
        <n v="3110" u="1"/>
        <n v="1073" u="1"/>
        <n v="7894" u="1"/>
        <n v="7891" u="1"/>
        <n v="7892" u="1"/>
        <n v="1088" u="1"/>
        <n v="3082" u="1"/>
        <n v="3099" u="1"/>
        <n v="3098" u="1"/>
        <n v="3155" u="1"/>
        <n v="3154" u="1"/>
        <n v="3153" u="1"/>
        <n v="3152" u="1"/>
        <n v="3151" u="1"/>
        <n v="3149" u="1"/>
        <n v="3148" u="1"/>
        <n v="3147" u="1"/>
        <n v="3146" u="1"/>
        <n v="3159" u="1"/>
        <n v="3158" u="1"/>
        <n v="3157" u="1"/>
        <n v="3156" u="1"/>
        <n v="7911" u="1"/>
        <n v="7910" u="1"/>
        <n v="3136" u="1"/>
        <n v="1087" u="1"/>
        <n v="3109" u="1"/>
        <n v="1086" u="1"/>
        <n v="1082" u="1"/>
        <n v="1081" u="1"/>
        <n v="1079" u="1"/>
        <n v="7896" u="1"/>
        <n v="7900" u="1"/>
        <n v="7899" u="1"/>
        <n v="7898" u="1"/>
        <n v="7903" u="1"/>
        <n v="7906" u="1"/>
        <n v="7905" u="1"/>
        <n v="7918" u="1"/>
        <n v="7913" u="1"/>
        <n v="3068" u="1"/>
        <n v="3084" u="1"/>
        <n v="3083" u="1"/>
        <n v="3086" u="1"/>
        <n v="3091" u="1"/>
        <n v="3090" u="1"/>
        <n v="3089" u="1"/>
        <n v="3100" u="1"/>
        <n v="3160" u="1"/>
        <n v="3176" u="1"/>
        <n v="3297" u="1"/>
        <n v="3069" u="1"/>
        <n v="3085" u="1"/>
        <n v="3092" u="1"/>
        <n v="3166" u="1"/>
        <n v="7893" u="1"/>
        <n v="1094" u="1"/>
        <n v="1101" u="1"/>
        <n v="1091" u="1"/>
        <n v="3114" u="1"/>
        <n v="3101" u="1"/>
        <n v="1092" u="1"/>
        <n v="3196" u="1"/>
        <n v="3195" u="1"/>
        <n v="3198" u="1"/>
        <n v="3212" u="1"/>
        <n v="3211" u="1"/>
        <n v="3210" u="1"/>
        <n v="3209" u="1"/>
        <n v="3208" u="1"/>
        <n v="3206" u="1"/>
        <n v="3203" u="1"/>
        <n v="3214" u="1"/>
        <n v="3200" u="1"/>
        <n v="3216" u="1"/>
        <n v="3194" u="1"/>
        <n v="3179" u="1"/>
        <n v="3178" u="1"/>
        <n v="3190" u="1"/>
        <n v="3188" u="1"/>
        <n v="3199" u="1"/>
        <n v="3197" u="1"/>
        <n v="3213" u="1"/>
        <n v="3207" u="1"/>
        <n v="3205" u="1"/>
        <n v="3202" u="1"/>
        <n v="3201" u="1"/>
        <n v="3204" u="1"/>
        <n v="3172" u="1"/>
        <n v="3171" u="1"/>
        <n v="3170" u="1"/>
        <n v="3169" u="1"/>
        <n v="3168" u="1"/>
        <n v="3174" u="1"/>
        <n v="3173" u="1"/>
        <n v="3189" u="1"/>
        <n v="7936" u="1"/>
        <n v="7925" u="1"/>
        <n v="1100" u="1"/>
        <n v="1099" u="1"/>
        <n v="1102" u="1"/>
        <n v="7919" u="1"/>
        <n v="7971" u="1"/>
        <n v="7931" u="1"/>
        <n v="7914" u="1"/>
        <n v="7928" u="1"/>
        <n v="7934" u="1"/>
        <n v="7949" u="1"/>
        <n v="3191" u="1"/>
        <n v="1093" u="1"/>
        <n v="7922" u="1"/>
        <n v="7974" u="1"/>
        <n v="7916" u="1"/>
        <n v="7920" u="1"/>
        <n v="1103" u="1"/>
        <n v="3180" u="1"/>
        <n v="3184" u="1"/>
        <n v="3183" u="1"/>
        <n v="3228" u="1"/>
        <n v="3227" u="1"/>
        <n v="3226" u="1"/>
        <n v="3224" u="1"/>
        <n v="3223" u="1"/>
        <n v="3222" u="1"/>
        <n v="3221" u="1"/>
        <n v="3220" u="1"/>
        <n v="3219" u="1"/>
        <n v="3231" u="1"/>
        <n v="3230" u="1"/>
        <n v="3229" u="1"/>
        <n v="3225" u="1"/>
        <n v="7943" u="1"/>
        <n v="7942" u="1"/>
        <n v="3215" u="1"/>
        <n v="1104" u="1"/>
        <n v="3217" u="1"/>
        <n v="1098" u="1"/>
        <n v="1096" u="1"/>
        <n v="1097" u="1"/>
        <n v="1095" u="1"/>
        <n v="7921" u="1"/>
        <n v="7917" u="1"/>
        <n v="7924" u="1"/>
        <n v="7923" u="1"/>
        <n v="7927" u="1"/>
        <n v="7930" u="1"/>
        <n v="7929" u="1"/>
        <n v="7939" u="1"/>
        <n v="7940" u="1"/>
        <n v="7941" u="1"/>
        <n v="3140" u="1"/>
        <n v="3143" u="1"/>
        <n v="3142" u="1"/>
        <n v="3161" u="1"/>
        <n v="3145" u="1"/>
        <n v="3177" u="1"/>
        <n v="3175" u="1"/>
        <n v="3187" u="1"/>
        <n v="3186" u="1"/>
        <n v="3185" u="1"/>
        <n v="3298" u="1"/>
        <n v="3144" u="1"/>
        <n v="3141" u="1"/>
        <n v="3165" u="1"/>
        <n v="3163" u="1"/>
        <n v="3162" u="1"/>
        <n v="7915" u="1"/>
        <n v="1109" u="1"/>
        <n v="1114" u="1"/>
        <n v="1108" u="1"/>
        <n v="3193" u="1"/>
        <n v="3192" u="1"/>
        <n v="3181" u="1"/>
        <n v="1107" u="1"/>
        <n v="3263" u="1"/>
        <n v="3262" u="1"/>
        <n v="3266" u="1"/>
        <n v="3275" u="1"/>
        <n v="3274" u="1"/>
        <n v="3273" u="1"/>
        <n v="3272" u="1"/>
        <n v="3271" u="1"/>
        <n v="3270" u="1"/>
        <n v="3267" u="1"/>
        <n v="3331" u="1"/>
        <n v="3329" u="1"/>
        <n v="3328" u="1"/>
        <n v="3327" u="1"/>
        <n v="3261" u="1"/>
        <n v="3260" u="1"/>
        <n v="3259" u="1"/>
        <n v="3258" u="1"/>
        <n v="3268" u="1"/>
        <n v="3279" u="1"/>
        <n v="3278" u="1"/>
        <n v="3277" u="1"/>
        <n v="3280" u="1"/>
        <n v="3330" u="1"/>
        <n v="3333" u="1"/>
        <n v="3276" u="1"/>
        <n v="3252" u="1"/>
        <n v="3250" u="1"/>
        <n v="3248" u="1"/>
        <n v="3247" u="1"/>
        <n v="3246" u="1"/>
        <n v="3245" u="1"/>
        <n v="3244" u="1"/>
        <n v="3269" u="1"/>
        <n v="7963" u="1"/>
        <n v="7951" u="1"/>
        <n v="7961" u="1"/>
        <n v="1106" u="1"/>
        <n v="1105" u="1"/>
        <n v="1113" u="1"/>
        <n v="7945" u="1"/>
        <n v="7972" u="1"/>
        <n v="7957" u="1"/>
        <n v="7944" u="1"/>
        <n v="7953" u="1"/>
        <n v="7955" u="1"/>
        <n v="3254" u="1"/>
        <n v="8032" u="1"/>
        <n v="7950" u="1"/>
        <n v="7947" u="1"/>
        <n v="1121" u="1"/>
        <n v="1123" u="1"/>
        <n v="3218" u="1"/>
        <n v="3251" u="1"/>
        <n v="3293" u="1"/>
        <n v="3292" u="1"/>
        <n v="3291" u="1"/>
        <n v="3290" u="1"/>
        <n v="3288" u="1"/>
        <n v="3287" u="1"/>
        <n v="3286" u="1"/>
        <n v="3284" u="1"/>
        <n v="3283" u="1"/>
        <n v="3296" u="1"/>
        <n v="3295" u="1"/>
        <n v="3294" u="1"/>
        <n v="3289" u="1"/>
        <n v="7960" u="1"/>
        <n v="7959" u="1"/>
        <n v="3281" u="1"/>
        <n v="1116" u="1"/>
        <n v="3282" u="1"/>
        <n v="1115" u="1"/>
        <n v="1112" u="1"/>
        <n v="1111" u="1"/>
        <n v="1110" u="1"/>
        <n v="7952" u="1"/>
        <n v="7935" u="1"/>
        <n v="7956" u="1"/>
        <n v="7954" u="1"/>
        <n v="7958" u="1"/>
        <n v="7964" u="1"/>
        <n v="7966" u="1"/>
        <n v="7975" u="1"/>
        <n v="7985" u="1"/>
        <n v="7986" u="1"/>
        <n v="3182" u="1"/>
        <n v="3237" u="1"/>
        <n v="3236" u="1"/>
        <n v="3235" u="1"/>
        <n v="3233" u="1"/>
        <n v="3232" u="1"/>
        <n v="3241" u="1"/>
        <n v="3242" u="1"/>
        <n v="3257" u="1"/>
        <n v="3256" u="1"/>
        <n v="3255" u="1"/>
        <n v="3299" u="1"/>
        <n v="3240" u="1"/>
        <n v="3239" u="1"/>
        <n v="3238" u="1"/>
        <n v="3243" u="1"/>
        <n v="3249" u="1"/>
        <n v="3303" u="1"/>
        <n v="7946" u="1"/>
        <n v="1118" u="1"/>
        <n v="1127" u="1"/>
        <n v="1119" u="1"/>
        <n v="3265" u="1"/>
        <n v="3264" u="1"/>
        <n v="3253" u="1"/>
        <n v="1122" u="1"/>
        <n v="3338" u="1"/>
        <n v="3336" u="1"/>
        <n v="3335" u="1"/>
        <n v="3340" u="1"/>
        <n v="3339" u="1"/>
        <n v="3346" u="1"/>
        <n v="3344" u="1"/>
        <n v="3359" u="1"/>
        <n v="3358" u="1"/>
        <n v="3357" u="1"/>
        <n v="3356" u="1"/>
        <n v="3374" u="1"/>
        <n v="3337" u="1"/>
        <n v="3342" u="1"/>
        <n v="3349" u="1"/>
        <n v="3354" u="1"/>
        <n v="3353" u="1"/>
        <n v="3352" u="1"/>
        <n v="3351" u="1"/>
        <n v="3350" u="1"/>
        <n v="3355" u="1"/>
        <n v="3341" u="1"/>
        <n v="3321" u="1"/>
        <n v="3320" u="1"/>
        <n v="3319" u="1"/>
        <n v="3322" u="1"/>
        <n v="3325" u="1"/>
        <n v="3324" u="1"/>
        <n v="8004" u="1"/>
        <n v="7983" u="1"/>
        <n v="7988" u="1"/>
        <n v="8025" u="1"/>
        <n v="1125" u="1"/>
        <n v="1124" u="1"/>
        <n v="7965" u="1"/>
        <n v="1129" u="1"/>
        <n v="1128" u="1"/>
        <n v="7970" u="1"/>
        <n v="7973" u="1"/>
        <n v="7990" u="1"/>
        <n v="7967" u="1"/>
        <n v="7979" u="1"/>
        <n v="7981" u="1"/>
        <n v="7999" u="1"/>
        <n v="3334" u="1"/>
        <n v="8033" u="1"/>
        <n v="7968" u="1"/>
        <n v="7980" u="1"/>
        <n v="1135" u="1"/>
        <n v="3326" u="1"/>
        <n v="3391" u="1"/>
        <n v="3387" u="1"/>
        <n v="3386" u="1"/>
        <n v="3385" u="1"/>
        <n v="3384" u="1"/>
        <n v="3382" u="1"/>
        <n v="3381" u="1"/>
        <n v="3380" u="1"/>
        <n v="3379" u="1"/>
        <n v="3390" u="1"/>
        <n v="3389" u="1"/>
        <n v="3388" u="1"/>
        <n v="3383" u="1"/>
        <n v="7993" u="1"/>
        <n v="7992" u="1"/>
        <n v="3361" u="1"/>
        <n v="1132" u="1"/>
        <n v="3363" u="1"/>
        <n v="1134" u="1"/>
        <n v="1131" u="1"/>
        <n v="1130" u="1"/>
        <n v="1126" u="1"/>
        <n v="7982" u="1"/>
        <n v="7976" u="1"/>
        <n v="7984" u="1"/>
        <n v="7989" u="1"/>
        <n v="7998" u="1"/>
        <n v="7997" u="1"/>
        <n v="7996" u="1"/>
        <n v="7995" u="1"/>
        <n v="7994" u="1"/>
        <n v="8001" u="1"/>
        <n v="3310" u="1"/>
        <n v="3308" u="1"/>
        <n v="3307" u="1"/>
        <n v="3306" u="1"/>
        <n v="3305" u="1"/>
        <n v="3302" u="1"/>
        <n v="3301" u="1"/>
        <n v="3317" u="1"/>
        <n v="3315" u="1"/>
        <n v="3313" u="1"/>
        <n v="3311" u="1"/>
        <n v="3318" u="1"/>
        <n v="3323" u="1"/>
        <n v="3309" u="1"/>
        <n v="3304" u="1"/>
        <n v="3300" u="1"/>
        <n v="3316" u="1"/>
        <n v="3314" u="1"/>
        <n v="3312" u="1"/>
        <n v="3371" u="1"/>
        <n v="3370" u="1"/>
        <n v="3395" u="1"/>
        <n v="3393" u="1"/>
        <n v="3378" u="1"/>
        <n v="3376" u="1"/>
        <n v="7969" u="1"/>
        <n v="1143" u="1"/>
        <n v="1137" u="1"/>
        <n v="1139" u="1"/>
        <n v="1138" u="1"/>
        <n v="3348" u="1"/>
        <n v="3347" u="1"/>
        <n v="3332" u="1"/>
        <n v="1140" u="1"/>
        <n v="1154" u="1"/>
        <n v="1155" u="1"/>
        <n v="1156" u="1"/>
        <n v="8022" u="1"/>
        <n v="3429" u="1"/>
        <n v="3428" u="1"/>
        <n v="3427" u="1"/>
        <n v="3426" u="1"/>
        <n v="3424" u="1"/>
        <n v="3422" u="1"/>
        <n v="3432" u="1"/>
        <n v="3399" u="1"/>
        <n v="3410" u="1"/>
        <n v="3414" u="1"/>
        <n v="3418" u="1"/>
        <n v="3417" u="1"/>
        <n v="3416" u="1"/>
        <n v="3415" u="1"/>
        <n v="3425" u="1"/>
        <n v="3421" u="1"/>
        <n v="3423" u="1"/>
        <n v="3401" u="1"/>
        <n v="3400" u="1"/>
        <n v="3403" u="1"/>
        <n v="3407" u="1"/>
        <n v="3409" u="1"/>
        <n v="8035" u="1"/>
        <n v="8036" u="1"/>
        <n v="8011" u="1"/>
        <n v="8007" u="1"/>
        <n v="8024" u="1"/>
        <n v="1142" u="1"/>
        <n v="1141" u="1"/>
        <n v="1146" u="1"/>
        <n v="8008" u="1"/>
        <n v="8005" u="1"/>
        <n v="8031" u="1"/>
        <n v="8002" u="1"/>
        <n v="8027" u="1"/>
        <n v="8026" u="1"/>
        <n v="8020" u="1"/>
        <n v="8023" u="1"/>
        <n v="3408" u="1"/>
        <n v="8071" u="1"/>
        <n v="8003" u="1"/>
        <n v="8034" u="1"/>
        <n v="1164" u="1"/>
        <n v="3404" u="1"/>
        <n v="3449" u="1"/>
        <n v="3448" u="1"/>
        <n v="3447" u="1"/>
        <n v="3446" u="1"/>
        <n v="3445" u="1"/>
        <n v="3444" u="1"/>
        <n v="3442" u="1"/>
        <n v="3441" u="1"/>
        <n v="3440" u="1"/>
        <n v="3452" u="1"/>
        <n v="3451" u="1"/>
        <n v="3450" u="1"/>
        <n v="3443" u="1"/>
        <n v="8030" u="1"/>
        <n v="8029" u="1"/>
        <n v="3436" u="1"/>
        <n v="1148" u="1"/>
        <n v="3437" u="1"/>
        <n v="1149" u="1"/>
        <n v="1144" u="1"/>
        <n v="1147" u="1"/>
        <n v="1145" u="1"/>
        <n v="8018" u="1"/>
        <n v="8006" u="1"/>
        <n v="8010" u="1"/>
        <n v="8009" u="1"/>
        <n v="8019" u="1"/>
        <n v="8017" u="1"/>
        <n v="8015" u="1"/>
        <n v="8016" u="1"/>
        <n v="8038" u="1"/>
        <n v="3369" u="1"/>
        <n v="3368" u="1"/>
        <n v="3367" u="1"/>
        <n v="3366" u="1"/>
        <n v="3365" u="1"/>
        <n v="3364" u="1"/>
        <n v="3373" u="1"/>
        <n v="3372" u="1"/>
        <n v="3392" u="1"/>
        <n v="3377" u="1"/>
        <n v="3375" u="1"/>
        <n v="3396" u="1"/>
        <n v="3398" u="1"/>
        <n v="3405" u="1"/>
        <n v="3397" u="1"/>
        <n v="1162" u="1"/>
        <n v="1157" u="1"/>
        <n v="1165" u="1"/>
        <n v="3431" u="1"/>
        <n v="3430" u="1"/>
        <n v="3433" u="1"/>
        <n v="3439" u="1"/>
        <n v="3406" u="1"/>
        <n v="3438" u="1"/>
        <n v="1158" u="1"/>
        <n v="8069" u="1"/>
        <n v="3487" u="1"/>
        <n v="3491" u="1"/>
        <n v="3502" u="1"/>
        <n v="3501" u="1"/>
        <n v="3500" u="1"/>
        <n v="3499" u="1"/>
        <n v="3498" u="1"/>
        <n v="3511" u="1"/>
        <n v="3508" u="1"/>
        <n v="3506" u="1"/>
        <n v="3505" u="1"/>
        <n v="3510" u="1"/>
        <n v="3420" u="1"/>
        <n v="3435" u="1"/>
        <n v="3434" u="1"/>
        <n v="3473" u="1"/>
        <n v="3509" u="1"/>
        <n v="3507" u="1"/>
        <n v="3503" u="1"/>
        <n v="3504" u="1"/>
        <n v="3476" u="1"/>
        <n v="3477" u="1"/>
        <n v="3478" u="1"/>
        <n v="3474" u="1"/>
        <n v="3413" u="1"/>
        <n v="3412" u="1"/>
        <n v="3411" u="1"/>
        <n v="3419" u="1"/>
        <n v="8042" u="1"/>
        <n v="8041" u="1"/>
        <n v="8060" u="1"/>
        <n v="8063" u="1"/>
        <n v="8062" u="1"/>
        <n v="8049" u="1"/>
        <n v="8048" u="1"/>
        <n v="8098" u="1"/>
        <n v="1160" u="1"/>
        <n v="1161" u="1"/>
        <n v="1163" u="1"/>
        <n v="8052" u="1"/>
        <n v="3537" u="1"/>
        <n v="8044" u="1"/>
        <n v="8072" u="1"/>
        <n v="8039" u="1"/>
        <n v="8040" u="1"/>
        <n v="8051" u="1"/>
        <n v="8065" u="1"/>
        <n v="8092" u="1"/>
        <n v="8043" u="1"/>
        <n v="8061" u="1"/>
        <n v="3479" u="1"/>
        <n v="8123" u="1"/>
        <n v="8122" u="1"/>
        <n v="3513" u="1"/>
        <n v="1182" u="1"/>
        <n v="3512" u="1"/>
        <n v="1167" u="1"/>
        <n v="8059" u="1"/>
        <n v="8067" u="1"/>
        <n v="8054" u="1"/>
        <n v="8066" u="1"/>
        <n v="8045" u="1"/>
        <n v="8047" u="1"/>
        <n v="8050" u="1"/>
        <n v="8055" u="1"/>
        <n v="8057" u="1"/>
        <n v="8068" u="1"/>
        <n v="8070" u="1"/>
        <n v="8080" u="1"/>
        <n v="3460" u="1"/>
        <n v="3459" u="1"/>
        <n v="3458" u="1"/>
        <n v="3457" u="1"/>
        <n v="3456" u="1"/>
        <n v="3455" u="1"/>
        <n v="3454" u="1"/>
        <n v="3453" u="1"/>
        <n v="3467" u="1"/>
        <n v="3466" u="1"/>
        <n v="3465" u="1"/>
        <n v="3464" u="1"/>
        <n v="3463" u="1"/>
        <n v="3462" u="1"/>
        <n v="3475" u="1"/>
        <n v="3483" u="1"/>
        <n v="3461" u="1"/>
        <n v="3470" u="1"/>
        <n v="3469" u="1"/>
        <n v="3468" u="1"/>
        <n v="3471" u="1"/>
        <n v="3472" u="1"/>
        <n v="8053" u="1"/>
        <n v="1169" u="1"/>
        <n v="1171" u="1"/>
        <n v="1172" u="1"/>
        <n v="3481" u="1"/>
        <n v="3497" u="1"/>
        <n v="3496" u="1"/>
        <n v="3495" u="1"/>
        <n v="3514" u="1"/>
        <n v="3490" u="1"/>
        <n v="3486" u="1"/>
        <n v="1170" u="1"/>
        <n v="8075" u="1"/>
        <n v="3556" u="1"/>
        <n v="3555" u="1"/>
        <n v="3554" u="1"/>
        <n v="3568" u="1"/>
        <n v="3578" u="1"/>
        <n v="3577" u="1"/>
        <n v="3583" u="1"/>
        <n v="3582" u="1"/>
        <n v="3493" u="1"/>
        <n v="3492" u="1"/>
        <n v="3566" u="1"/>
        <n v="3567" u="1"/>
        <n v="3569" u="1"/>
        <n v="3580" u="1"/>
        <n v="3581" u="1"/>
        <n v="3579" u="1"/>
        <n v="3551" u="1"/>
        <n v="3552" u="1"/>
        <n v="3553" u="1"/>
        <n v="3480" u="1"/>
        <n v="3484" u="1"/>
        <n v="3489" u="1"/>
        <n v="3488" u="1"/>
        <n v="3494" u="1"/>
        <n v="8073" u="1"/>
        <n v="8090" u="1"/>
        <n v="8079" u="1"/>
        <n v="8084" u="1"/>
        <n v="8099" u="1"/>
        <n v="1174" u="1"/>
        <n v="1173" u="1"/>
        <n v="1181" u="1"/>
        <n v="8077" u="1"/>
        <n v="3572" u="1"/>
        <n v="8078" u="1"/>
        <n v="3558" u="1"/>
        <n v="8096" u="1"/>
        <n v="8074" u="1"/>
        <n v="8094" u="1"/>
        <n v="8104" u="1"/>
        <n v="8105" u="1"/>
        <n v="3564" u="1"/>
        <n v="8128" u="1"/>
        <n v="8127" u="1"/>
        <n v="3640" u="1"/>
        <n v="1196" u="1"/>
        <n v="3617" u="1"/>
        <n v="1180" u="1"/>
        <n v="8088" u="1"/>
        <n v="8085" u="1"/>
        <n v="8087" u="1"/>
        <n v="8089" u="1"/>
        <n v="8130" u="1"/>
        <n v="8101" u="1"/>
        <n v="8083" u="1"/>
        <n v="8103" u="1"/>
        <n v="8093" u="1"/>
        <n v="8100" u="1"/>
        <n v="8095" u="1"/>
        <n v="8091" u="1"/>
        <n v="3528" u="1"/>
        <n v="3529" u="1"/>
        <n v="3531" u="1"/>
        <n v="3532" u="1"/>
        <n v="3533" u="1"/>
        <n v="3543" u="1"/>
        <n v="3515" u="1"/>
        <n v="3527" u="1"/>
        <n v="3530" u="1"/>
        <n v="3534" u="1"/>
        <n v="1177" u="1"/>
        <n v="1184" u="1"/>
        <n v="1183" u="1"/>
        <n v="3560" u="1"/>
        <n v="3559" u="1"/>
        <n v="3563" u="1"/>
        <n v="3573" u="1"/>
        <n v="1188" u="1"/>
        <n v="8114" u="1"/>
        <n v="3658" u="1"/>
        <n v="3657" u="1"/>
        <n v="3667" u="1"/>
        <n v="3666" u="1"/>
        <n v="3665" u="1"/>
        <n v="3664" u="1"/>
        <n v="3663" u="1"/>
        <n v="3571" u="1"/>
        <n v="3570" u="1"/>
        <n v="3685" u="1"/>
        <n v="3686" u="1"/>
        <n v="3704" u="1"/>
        <n v="3707" u="1"/>
        <n v="3714" u="1"/>
        <n v="3703" u="1"/>
        <n v="3629" u="1"/>
        <n v="3628" u="1"/>
        <n v="3630" u="1"/>
        <n v="3562" u="1"/>
        <n v="3561" u="1"/>
        <n v="3565" u="1"/>
        <n v="3586" u="1"/>
        <n v="3668" u="1"/>
        <n v="8110" u="1"/>
        <n v="8162" u="1"/>
        <n v="8119" u="1"/>
        <n v="8152" u="1"/>
        <n v="8134" u="1"/>
        <n v="1187" u="1"/>
        <n v="1186" u="1"/>
        <n v="8144" u="1"/>
        <n v="3680" u="1"/>
        <n v="8115" u="1"/>
        <n v="3681" u="1"/>
        <n v="8141" u="1"/>
        <n v="8109" u="1"/>
        <n v="8132" u="1"/>
        <n v="8156" u="1"/>
        <n v="8133" u="1"/>
        <n v="8107" u="1"/>
        <n v="3631" u="1"/>
        <n v="8161" u="1"/>
        <n v="3719" u="1"/>
        <n v="3718" u="1"/>
        <n v="3717" u="1"/>
        <n v="8146" u="1"/>
        <n v="8145" u="1"/>
        <n v="3729" u="1"/>
        <n v="1197" u="1"/>
        <n v="3706" u="1"/>
        <n v="1185" u="1"/>
        <n v="8126" u="1"/>
        <n v="8124" u="1"/>
        <n v="8113" u="1"/>
        <n v="8125" u="1"/>
        <n v="8153" u="1"/>
        <n v="8118" u="1"/>
        <n v="8135" u="1"/>
        <n v="8157" u="1"/>
        <n v="8142" u="1"/>
        <n v="8139" u="1"/>
        <n v="8143" u="1"/>
        <n v="8131" u="1"/>
        <n v="3595" u="1"/>
        <n v="3627" u="1"/>
        <n v="3626" u="1"/>
        <n v="3589" u="1"/>
        <n v="3607" u="1"/>
        <n v="3618" u="1"/>
        <n v="8112" u="1"/>
        <n v="1189" u="1"/>
        <n v="1191" u="1"/>
        <n v="1190" u="1"/>
        <n v="3660" u="1"/>
        <n v="3661" u="1"/>
        <n v="1202" u="1"/>
        <n v="1201" u="1"/>
        <n v="3715" u="1"/>
        <n v="3723" u="1"/>
        <n v="3722" u="1"/>
        <n v="3721" u="1"/>
        <n v="3720" u="1"/>
        <n v="3684" u="1"/>
        <n v="3705" u="1"/>
        <n v="3713" u="1"/>
        <n v="3712" u="1"/>
        <n v="3716" u="1"/>
        <n v="3727" u="1"/>
        <n v="3726" u="1"/>
        <n v="3724" u="1"/>
        <n v="3725" u="1"/>
        <n v="3710" u="1"/>
        <n v="3711" u="1"/>
        <n v="3709" u="1"/>
        <n v="1199" u="1"/>
        <n v="1198" u="1"/>
        <n v="3732" u="1"/>
        <n v="8158" u="1"/>
        <n v="8149" u="1"/>
        <n v="8151" u="1"/>
        <n v="8155" u="1"/>
        <n v="8154" u="1"/>
        <n v="8150" u="1"/>
        <n v="3701" u="1"/>
        <n v="3708" u="1"/>
        <n v="3653" u="1"/>
        <n v="3649" u="1"/>
        <n v="3648" u="1"/>
        <n v="3642" u="1"/>
        <n v="3682" u="1"/>
        <n v="1175" u="1"/>
        <n v="2132" u="1"/>
        <n v="2202" u="1"/>
        <n v="2280" u="1"/>
        <n v="2286" u="1"/>
        <n v="3702" u="1"/>
        <n v="3692" u="1"/>
        <n v="1589" u="1"/>
        <n v="1597" u="1"/>
        <n v="2327" u="1"/>
        <n v="2345" u="1"/>
        <n v="2391" u="1"/>
        <n v="2398" u="1"/>
        <n v="2406" u="1"/>
        <n v="4753" u="1"/>
        <n v="4724" u="1"/>
        <n v="4732" u="1"/>
      </sharedItems>
    </cacheField>
    <cacheField name="MÊS SERVIÇO" numFmtId="164">
      <sharedItems containsSemiMixedTypes="0" containsNonDate="0" containsDate="1" containsString="0" minDate="2023-01-01T00:00:00" maxDate="2026-07-01T00:00:00" count="37">
        <d v="2023-01-01T00:00:00"/>
        <d v="2024-09-01T00:00:00"/>
        <d v="2024-10-01T00:00:00"/>
        <d v="2024-11-01T00:00:00"/>
        <d v="2025-05-01T00:00:00"/>
        <d v="2025-07-01T00:00:00"/>
        <d v="2025-08-01T00:00:00"/>
        <d v="2025-09-01T00:00:00"/>
        <d v="2025-01-01T00:00:00"/>
        <d v="2025-02-01T00:00:00"/>
        <d v="2024-12-01T00:00:00"/>
        <d v="2025-03-01T00:00:00"/>
        <d v="2025-10-01T00:00:00"/>
        <d v="2025-04-01T00:00:00"/>
        <d v="2025-06-01T00:00:00"/>
        <d v="2025-04-28T00:00:00"/>
        <d v="2025-10-30T00:00:00"/>
        <d v="2025-11-01T00:00:00"/>
        <d v="2024-03-01T00:00:00"/>
        <d v="2025-12-01T00:00:00"/>
        <d v="2026-01-01T00:00:00"/>
        <d v="2026-02-28T00:00:00"/>
        <d v="2026-03-30T00:00:00"/>
        <d v="2026-04-30T00:00:00"/>
        <d v="2026-05-30T00:00:00"/>
        <d v="2024-05-01T00:00:00"/>
        <d v="2024-06-01T00:00:00"/>
        <d v="2024-07-01T00:00:00"/>
        <d v="2024-08-01T00:00:00"/>
        <d v="2025-12-30T00:00:00"/>
        <d v="2026-01-30T00:00:00"/>
        <d v="2026-02-01T00:00:00"/>
        <d v="2026-03-01T00:00:00"/>
        <d v="2026-06-30T00:00:00"/>
        <d v="2025-11-30T00:00:00"/>
        <d v="2025-12-28T00:00:00"/>
        <d v="2025-11-28T00:00:00"/>
      </sharedItems>
    </cacheField>
    <cacheField name="VL. FATURADO" numFmtId="0">
      <sharedItems containsSemiMixedTypes="0" containsString="0" containsNumber="1" minValue="123.48" maxValue="2400000"/>
    </cacheField>
    <cacheField name="VL. LIQ. PRV." numFmtId="0">
      <sharedItems containsString="0" containsBlank="1" containsNumber="1" minValue="115.08" maxValue="2137442.39"/>
    </cacheField>
    <cacheField name="EMISSÃO" numFmtId="14">
      <sharedItems containsSemiMixedTypes="0" containsNonDate="0" containsDate="1" containsString="0" minDate="2023-02-16T00:00:00" maxDate="2026-07-02T00:00:00" count="352">
        <d v="2023-02-16T00:00:00"/>
        <d v="2024-10-16T00:00:00"/>
        <d v="2024-11-13T00:00:00"/>
        <d v="2024-12-11T00:00:00"/>
        <d v="2025-06-27T00:00:00"/>
        <d v="2025-09-09T00:00:00"/>
        <d v="2025-10-15T00:00:00"/>
        <d v="2025-09-03T00:00:00"/>
        <d v="2025-09-24T00:00:00"/>
        <d v="2025-10-01T00:00:00"/>
        <d v="2025-03-26T00:00:00"/>
        <d v="2024-12-09T00:00:00"/>
        <d v="2024-11-06T00:00:00"/>
        <d v="2024-12-05T00:00:00"/>
        <d v="2025-10-02T00:00:00"/>
        <d v="2025-05-14T00:00:00"/>
        <d v="2025-02-06T00:00:00"/>
        <d v="2024-12-10T00:00:00"/>
        <d v="2025-10-08T00:00:00"/>
        <d v="2024-12-16T00:00:00"/>
        <d v="2024-12-17T00:00:00"/>
        <d v="2025-06-26T00:00:00"/>
        <d v="2025-07-01T00:00:00"/>
        <d v="2025-07-10T00:00:00"/>
        <d v="2025-07-11T00:00:00"/>
        <d v="2025-07-17T00:00:00"/>
        <d v="2025-07-21T00:00:00"/>
        <d v="2025-07-18T00:00:00"/>
        <d v="2024-12-18T00:00:00"/>
        <d v="2024-12-19T00:00:00"/>
        <d v="2024-12-20T00:00:00"/>
        <d v="2025-01-02T00:00:00"/>
        <d v="2025-01-06T00:00:00"/>
        <d v="2025-04-01T00:00:00"/>
        <d v="2025-01-08T00:00:00"/>
        <d v="2025-01-10T00:00:00"/>
        <d v="2024-12-26T00:00:00"/>
        <d v="2024-12-27T00:00:00"/>
        <d v="2025-01-21T00:00:00"/>
        <d v="2025-01-16T00:00:00"/>
        <d v="2025-01-17T00:00:00"/>
        <d v="2025-01-14T00:00:00"/>
        <d v="2025-01-13T00:00:00"/>
        <d v="2025-02-14T00:00:00"/>
        <d v="2025-01-23T00:00:00"/>
        <d v="2025-04-22T00:00:00"/>
        <d v="2025-01-03T00:00:00"/>
        <d v="2025-01-24T00:00:00"/>
        <d v="2025-02-03T00:00:00"/>
        <d v="2025-01-20T00:00:00"/>
        <d v="2025-11-24T00:00:00"/>
        <d v="2025-01-29T00:00:00"/>
        <d v="2025-09-16T00:00:00"/>
        <d v="2025-02-12T00:00:00"/>
        <d v="2025-03-11T00:00:00"/>
        <d v="2025-03-18T00:00:00"/>
        <d v="2025-02-05T00:00:00"/>
        <d v="2025-02-07T00:00:00"/>
        <d v="2025-03-17T00:00:00"/>
        <d v="2025-04-07T00:00:00"/>
        <d v="2025-04-14T00:00:00"/>
        <d v="2024-12-04T00:00:00"/>
        <d v="2025-03-10T00:00:00"/>
        <d v="2025-02-10T00:00:00"/>
        <d v="2025-02-11T00:00:00"/>
        <d v="2025-02-13T00:00:00"/>
        <d v="2025-01-30T00:00:00"/>
        <d v="2025-02-04T00:00:00"/>
        <d v="2025-02-18T00:00:00"/>
        <d v="2025-02-21T00:00:00"/>
        <d v="2025-03-05T00:00:00"/>
        <d v="2025-03-13T00:00:00"/>
        <d v="2025-02-19T00:00:00"/>
        <d v="2025-02-20T00:00:00"/>
        <d v="2025-01-22T00:00:00"/>
        <d v="2025-01-27T00:00:00"/>
        <d v="2025-01-28T00:00:00"/>
        <d v="2025-02-25T00:00:00"/>
        <d v="2025-03-07T00:00:00"/>
        <d v="2025-10-23T00:00:00"/>
        <d v="2025-03-12T00:00:00"/>
        <d v="2025-03-31T00:00:00"/>
        <d v="2025-04-02T00:00:00"/>
        <d v="2025-03-06T00:00:00"/>
        <d v="2025-03-14T00:00:00"/>
        <d v="2025-04-11T00:00:00"/>
        <d v="2025-02-26T00:00:00"/>
        <d v="2025-02-27T00:00:00"/>
        <d v="2025-03-24T00:00:00"/>
        <d v="2025-03-20T00:00:00"/>
        <d v="2025-05-16T00:00:00"/>
        <d v="2025-03-21T00:00:00"/>
        <d v="2025-03-28T00:00:00"/>
        <d v="2025-04-04T00:00:00"/>
        <d v="2025-04-10T00:00:00"/>
        <d v="2025-06-05T00:00:00"/>
        <d v="2025-02-24T00:00:00"/>
        <d v="2025-04-03T00:00:00"/>
        <d v="2025-04-08T00:00:00"/>
        <d v="2025-04-09T00:00:00"/>
        <d v="2025-05-05T00:00:00"/>
        <d v="2025-03-27T00:00:00"/>
        <d v="2025-04-24T00:00:00"/>
        <d v="2025-06-25T00:00:00"/>
        <d v="2025-06-23T00:00:00"/>
        <d v="2025-04-15T00:00:00"/>
        <d v="2025-04-16T00:00:00"/>
        <d v="2025-04-29T00:00:00"/>
        <d v="2025-06-06T00:00:00"/>
        <d v="2025-04-17T00:00:00"/>
        <d v="2025-06-10T00:00:00"/>
        <d v="2025-04-23T00:00:00"/>
        <d v="2025-03-19T00:00:00"/>
        <d v="2025-05-02T00:00:00"/>
        <d v="2025-05-09T00:00:00"/>
        <d v="2025-05-12T00:00:00"/>
        <d v="2025-05-15T00:00:00"/>
        <d v="2025-06-09T00:00:00"/>
        <d v="2025-05-13T00:00:00"/>
        <d v="2025-05-20T00:00:00"/>
        <d v="2025-05-22T00:00:00"/>
        <d v="2025-04-28T00:00:00"/>
        <d v="2025-05-08T00:00:00"/>
        <d v="2025-06-16T00:00:00"/>
        <d v="2025-05-06T00:00:00"/>
        <d v="2025-06-17T00:00:00"/>
        <d v="2025-05-19T00:00:00"/>
        <d v="2025-05-07T00:00:00"/>
        <d v="2025-05-30T00:00:00"/>
        <d v="2025-06-12T00:00:00"/>
        <d v="2025-08-11T00:00:00"/>
        <d v="2025-05-21T00:00:00"/>
        <d v="2025-06-02T00:00:00"/>
        <d v="2025-07-14T00:00:00"/>
        <d v="2025-05-26T00:00:00"/>
        <d v="2025-05-28T00:00:00"/>
        <d v="2025-06-18T00:00:00"/>
        <d v="2025-05-23T00:00:00"/>
        <d v="2025-04-25T00:00:00"/>
        <d v="2025-05-27T00:00:00"/>
        <d v="2025-05-01T00:00:00"/>
        <d v="2025-06-03T00:00:00"/>
        <d v="2025-07-08T00:00:00"/>
        <d v="2025-06-11T00:00:00"/>
        <d v="2025-06-13T00:00:00"/>
        <d v="2025-11-03T00:00:00"/>
        <d v="2025-12-01T00:00:00"/>
        <d v="2025-06-04T00:00:00"/>
        <d v="2025-07-03T00:00:00"/>
        <d v="2025-07-07T00:00:00"/>
        <d v="2025-06-20T00:00:00"/>
        <d v="2025-07-16T00:00:00"/>
        <d v="2025-07-15T00:00:00"/>
        <d v="2025-07-24T00:00:00"/>
        <d v="2025-07-28T00:00:00"/>
        <d v="2025-08-05T00:00:00"/>
        <d v="2025-07-04T00:00:00"/>
        <d v="2025-07-22T00:00:00"/>
        <d v="2025-08-01T00:00:00"/>
        <d v="2025-11-25T00:00:00"/>
        <d v="2025-12-03T00:00:00"/>
        <d v="2025-07-23T00:00:00"/>
        <d v="2025-08-04T00:00:00"/>
        <d v="2025-08-08T00:00:00"/>
        <d v="2025-08-06T00:00:00"/>
        <d v="2025-08-12T00:00:00"/>
        <d v="2025-08-13T00:00:00"/>
        <d v="2025-08-15T00:00:00"/>
        <d v="2025-08-14T00:00:00"/>
        <d v="2025-08-26T00:00:00"/>
        <d v="2025-08-19T00:00:00"/>
        <d v="2025-11-19T00:00:00"/>
        <d v="2025-09-05T00:00:00"/>
        <d v="2024-05-15T00:00:00"/>
        <d v="2025-08-07T00:00:00"/>
        <d v="2025-07-30T00:00:00"/>
        <d v="2025-08-18T00:00:00"/>
        <d v="2025-09-01T00:00:00"/>
        <d v="2025-09-19T00:00:00"/>
        <d v="2025-08-21T00:00:00"/>
        <d v="2025-08-25T00:00:00"/>
        <d v="2025-09-11T00:00:00"/>
        <d v="2025-07-25T00:00:00"/>
        <d v="2025-07-31T00:00:00"/>
        <d v="2025-09-02T00:00:00"/>
        <d v="2026-01-06T00:00:00"/>
        <d v="2026-02-03T00:00:00"/>
        <d v="2026-02-04T00:00:00"/>
        <d v="2026-03-03T00:00:00"/>
        <d v="2026-03-12T00:00:00"/>
        <d v="2026-04-02T00:00:00"/>
        <d v="2026-05-05T00:00:00"/>
        <d v="2026-06-01T00:00:00"/>
        <d v="2025-09-04T00:00:00"/>
        <d v="2025-11-07T00:00:00"/>
        <d v="2025-09-08T00:00:00"/>
        <d v="2025-09-10T00:00:00"/>
        <d v="2025-09-12T00:00:00"/>
        <d v="2025-09-15T00:00:00"/>
        <d v="2024-06-20T00:00:00"/>
        <d v="2024-07-24T00:00:00"/>
        <d v="2024-08-07T00:00:00"/>
        <d v="2025-10-10T00:00:00"/>
        <d v="2025-09-22T00:00:00"/>
        <d v="2025-09-18T00:00:00"/>
        <d v="2025-11-11T00:00:00"/>
        <d v="2025-09-25T00:00:00"/>
        <d v="2025-09-17T00:00:00"/>
        <d v="2025-08-22T00:00:00"/>
        <d v="2025-08-27T00:00:00"/>
        <d v="2025-10-03T00:00:00"/>
        <d v="2025-10-06T00:00:00"/>
        <d v="2025-10-07T00:00:00"/>
        <d v="2025-10-13T00:00:00"/>
        <d v="2025-10-14T00:00:00"/>
        <d v="2025-09-26T00:00:00"/>
        <d v="2025-09-30T00:00:00"/>
        <d v="2024-09-26T00:00:00"/>
        <d v="2024-10-11T00:00:00"/>
        <d v="2025-10-09T00:00:00"/>
        <d v="2025-10-16T00:00:00"/>
        <d v="2025-09-29T00:00:00"/>
        <d v="2025-12-30T00:00:00"/>
        <d v="2025-10-17T00:00:00"/>
        <d v="2025-11-18T00:00:00"/>
        <d v="2026-01-02T00:00:00"/>
        <d v="2026-02-02T00:00:00"/>
        <d v="2026-03-02T00:00:00"/>
        <d v="2026-04-01T00:00:00"/>
        <d v="2026-05-04T00:00:00"/>
        <d v="2025-10-22T00:00:00"/>
        <d v="2025-10-21T00:00:00"/>
        <d v="2025-10-20T00:00:00"/>
        <d v="2025-10-29T00:00:00"/>
        <d v="2025-12-05T00:00:00"/>
        <d v="2025-11-04T00:00:00"/>
        <d v="2026-01-29T00:00:00"/>
        <d v="2026-04-28T00:00:00"/>
        <d v="2026-05-28T00:00:00"/>
        <d v="2025-11-05T00:00:00"/>
        <d v="2025-11-06T00:00:00"/>
        <d v="2025-11-10T00:00:00"/>
        <d v="2025-11-12T00:00:00"/>
        <d v="2025-11-13T00:00:00"/>
        <d v="2025-11-17T00:00:00"/>
        <d v="2025-10-27T00:00:00"/>
        <d v="2025-12-09T00:00:00"/>
        <d v="2026-01-05T00:00:00"/>
        <d v="2026-02-05T00:00:00"/>
        <d v="2026-02-11T00:00:00"/>
        <d v="2026-02-13T00:00:00"/>
        <d v="2026-04-07T00:00:00"/>
        <d v="2026-04-13T00:00:00"/>
        <d v="2026-05-13T00:00:00"/>
        <d v="2026-05-01T00:00:00"/>
        <d v="2026-04-08T00:00:00"/>
        <d v="2026-03-16T00:00:00"/>
        <d v="2025-11-14T00:00:00"/>
        <d v="2025-12-11T00:00:00"/>
        <d v="2025-12-17T00:00:00"/>
        <d v="2025-12-24T00:00:00"/>
        <d v="2026-01-13T00:00:00"/>
        <d v="2026-02-19T00:00:00"/>
        <d v="2026-03-09T00:00:00"/>
        <d v="2026-04-09T00:00:00"/>
        <d v="2026-05-19T00:00:00"/>
        <d v="2026-01-15T00:00:00"/>
        <d v="2026-03-11T00:00:00"/>
        <d v="2026-05-12T00:00:00"/>
        <d v="2026-03-01T00:00:00"/>
        <d v="2026-03-31T00:00:00"/>
        <d v="2026-04-29T00:00:00"/>
        <d v="2026-05-29T00:00:00"/>
        <d v="2026-06-29T00:00:00"/>
        <d v="2025-12-16T00:00:00"/>
        <d v="2026-04-10T00:00:00"/>
        <d v="2026-05-22T00:00:00"/>
        <d v="2026-06-06T00:00:00"/>
        <d v="2026-03-25T00:00:00"/>
        <d v="2026-03-06T00:00:00"/>
        <d v="2026-05-08T00:00:00"/>
        <d v="2025-11-21T00:00:00"/>
        <d v="2025-10-24T00:00:00"/>
        <d v="2025-10-28T00:00:00"/>
        <d v="2025-11-26T00:00:00"/>
        <d v="2025-11-27T00:00:00"/>
        <d v="2025-12-04T00:00:00"/>
        <d v="2025-12-12T00:00:00"/>
        <d v="2026-01-20T00:00:00"/>
        <d v="2026-01-21T00:00:00"/>
        <d v="2026-01-22T00:00:00"/>
        <d v="2026-01-23T00:00:00"/>
        <d v="2026-01-26T00:00:00"/>
        <d v="2026-01-27T00:00:00"/>
        <d v="2026-02-23T00:00:00"/>
        <d v="2026-02-24T00:00:00"/>
        <d v="2026-02-25T00:00:00"/>
        <d v="2026-02-26T00:00:00"/>
        <d v="2026-02-27T00:00:00"/>
        <d v="2026-03-10T00:00:00"/>
        <d v="2026-03-19T00:00:00"/>
        <d v="2026-03-20T00:00:00"/>
        <d v="2026-03-23T00:00:00"/>
        <d v="2026-04-22T00:00:00"/>
        <d v="2026-04-27T00:00:00"/>
        <d v="2026-05-11T00:00:00"/>
        <d v="2026-05-20T00:00:00"/>
        <d v="2026-05-21T00:00:00"/>
        <d v="2026-03-13T00:00:00"/>
        <d v="2026-03-24T00:00:00"/>
        <d v="2026-04-24T00:00:00"/>
        <d v="2026-05-25T00:00:00"/>
        <d v="2026-01-12T00:00:00"/>
        <d v="2026-02-20T00:00:00"/>
        <d v="2026-05-15T00:00:00"/>
        <d v="2025-12-10T00:00:00"/>
        <d v="2026-02-18T00:00:00"/>
        <d v="2026-01-19T00:00:00"/>
        <d v="2026-02-12T00:00:00"/>
        <d v="2026-03-17T00:00:00"/>
        <d v="2026-04-14T00:00:00"/>
        <d v="2026-04-16T00:00:00"/>
        <d v="2025-12-15T00:00:00"/>
        <d v="2026-01-08T00:00:00"/>
        <d v="2026-01-09T00:00:00"/>
        <d v="2026-02-06T00:00:00"/>
        <d v="2026-02-09T00:00:00"/>
        <d v="2026-04-15T00:00:00"/>
        <d v="2026-05-14T00:00:00"/>
        <d v="2026-01-07T00:00:00"/>
        <d v="2026-01-14T00:00:00"/>
        <d v="2026-02-10T00:00:00"/>
        <d v="2025-12-02T00:00:00"/>
        <d v="2026-01-16T00:00:00"/>
        <d v="2026-05-06T00:00:00"/>
        <d v="2025-12-22T00:00:00"/>
        <d v="2025-12-18T00:00:00"/>
        <d v="2026-04-23T00:00:00"/>
        <d v="2026-03-05T00:00:00"/>
        <d v="2025-12-19T00:00:00"/>
        <d v="2026-03-27T00:00:00"/>
        <d v="2026-04-17T00:00:00"/>
        <d v="2026-05-18T00:00:00"/>
        <d v="2026-05-07T00:00:00"/>
        <d v="2026-05-27T00:00:00"/>
        <d v="2026-03-04T00:00:00"/>
        <d v="2026-04-06T00:00:00"/>
        <d v="2026-04-20T00:00:00"/>
        <d v="2026-03-18T00:00:00"/>
        <d v="2026-07-01T00:00:00"/>
        <d v="2026-03-26T00:00:00"/>
        <d v="2026-04-30T00:00:00"/>
      </sharedItems>
    </cacheField>
    <cacheField name="PREV . PAG" numFmtId="166">
      <sharedItems containsNonDate="0" containsDate="1" containsString="0" containsBlank="1" minDate="2025-01-06T00:00:00" maxDate="2026-07-21T00:00:00" count="88">
        <d v="2025-01-20T00:00:00"/>
        <d v="2025-02-10T00:00:00"/>
        <d v="2025-02-17T00:00:00"/>
        <d v="2025-03-17T00:00:00"/>
        <d v="2025-04-21T00:00:00"/>
        <d v="2025-05-19T00:00:00"/>
        <d v="2025-11-03T00:00:00"/>
        <d v="2025-11-10T00:00:00"/>
        <d v="2025-12-08T00:00:00"/>
        <d v="2025-11-24T00:00:00"/>
        <d v="2025-06-09T00:00:00"/>
        <d v="2025-01-06T00:00:00"/>
        <d v="2025-01-27T00:00:00"/>
        <d v="2025-07-14T00:00:00"/>
        <d v="2025-02-24T00:00:00"/>
        <d v="2025-02-03T00:00:00"/>
        <d v="2025-12-01T00:00:00"/>
        <d v="2025-01-13T00:00:00"/>
        <d v="2025-07-21T00:00:00"/>
        <d v="2025-08-04T00:00:00"/>
        <d v="2025-07-28T00:00:00"/>
        <d v="2025-08-01T00:00:00"/>
        <d v="2025-08-18T00:00:00"/>
        <d v="2025-03-03T00:00:00"/>
        <d v="2025-04-28T00:00:00"/>
        <d v="2025-03-10T00:00:00"/>
        <d v="2025-10-01T00:00:00"/>
        <d v="2025-03-24T00:00:00"/>
        <d v="2025-04-01T00:00:00"/>
        <d v="2025-04-07T00:00:00"/>
        <d v="2025-05-01T00:00:00"/>
        <d v="2025-04-14T00:00:00"/>
        <d v="2025-03-31T00:00:00"/>
        <d v="2026-01-19T00:00:00"/>
        <d v="2025-05-12T00:00:00"/>
        <d v="2025-05-05T00:00:00"/>
        <d v="2025-05-26T00:00:00"/>
        <d v="2025-08-25T00:00:00"/>
        <d v="2025-06-02T00:00:00"/>
        <d v="2025-06-23T00:00:00"/>
        <d v="2025-06-16T00:00:00"/>
        <d v="2025-07-01T00:00:00"/>
        <m/>
        <d v="2025-06-30T00:00:00"/>
        <d v="2025-09-01T00:00:00"/>
        <d v="2026-04-13T00:00:00"/>
        <d v="2025-07-07T00:00:00"/>
        <d v="2025-10-13T00:00:00"/>
        <d v="2025-09-22T00:00:00"/>
        <d v="2025-09-15T00:00:00"/>
        <d v="2025-09-08T00:00:00"/>
        <d v="2025-08-11T00:00:00"/>
        <d v="2025-12-22T00:00:00"/>
        <d v="2025-09-29T00:00:00"/>
        <d v="2025-12-15T00:00:00"/>
        <d v="2025-10-06T00:00:00"/>
        <d v="2025-10-20T00:00:00"/>
        <d v="2026-01-12T00:00:00"/>
        <d v="2026-01-26T00:00:00"/>
        <d v="2026-02-23T00:00:00"/>
        <d v="2026-03-23T00:00:00"/>
        <d v="2026-03-16T00:00:00"/>
        <d v="2026-03-30T00:00:00"/>
        <d v="2026-04-27T00:00:00"/>
        <d v="2026-05-25T00:00:00"/>
        <d v="2026-06-08T00:00:00"/>
        <d v="2026-07-06T00:00:00"/>
        <d v="2025-10-27T00:00:00"/>
        <d v="2026-02-16T00:00:00"/>
        <d v="2025-11-17T00:00:00"/>
        <d v="2025-12-29T00:00:00"/>
        <d v="2026-03-02T00:00:00"/>
        <d v="2026-04-01T00:00:00"/>
        <d v="2026-06-01T00:00:00"/>
        <d v="2026-02-02T00:00:00"/>
        <d v="2026-04-06T00:00:00"/>
        <d v="2026-05-04T00:00:00"/>
        <d v="2026-06-22T00:00:00"/>
        <d v="2026-04-20T00:00:00"/>
        <d v="2026-06-15T00:00:00"/>
        <d v="2026-07-20T00:00:00"/>
        <d v="2026-02-09T00:00:00"/>
        <d v="2026-05-11T00:00:00"/>
        <d v="2026-06-29T00:00:00"/>
        <d v="2026-05-18T00:00:00"/>
        <d v="2026-03-09T00:00:00"/>
        <d v="2026-01-05T00:00:00"/>
        <d v="2026-07-08T00:00:00"/>
      </sharedItems>
      <fieldGroup par="24"/>
    </cacheField>
    <cacheField name="DATA PAG." numFmtId="166">
      <sharedItems containsNonDate="0" containsDate="1" containsString="0" containsBlank="1" minDate="2025-01-06T00:00:00" maxDate="2026-06-02T00:00:00" count="320">
        <d v="2025-01-21T00:00:00"/>
        <d v="2025-01-22T00:00:00"/>
        <d v="2025-02-10T00:00:00"/>
        <d v="2025-02-21T00:00:00"/>
        <d v="2025-03-20T00:00:00"/>
        <d v="2025-04-22T00:00:00"/>
        <d v="2025-05-21T00:00:00"/>
        <d v="2025-11-07T00:00:00"/>
        <d v="2025-11-10T00:00:00"/>
        <d v="2025-12-12T00:00:00"/>
        <d v="2025-11-12T00:00:00"/>
        <d v="2025-11-24T00:00:00"/>
        <d v="2025-11-28T00:00:00"/>
        <d v="2025-06-13T00:00:00"/>
        <d v="2025-01-10T00:00:00"/>
        <d v="2025-01-06T00:00:00"/>
        <d v="2025-01-30T00:00:00"/>
        <d v="2025-11-03T00:00:00"/>
        <d v="2025-07-17T00:00:00"/>
        <d v="2025-02-26T00:00:00"/>
        <d v="2025-02-07T00:00:00"/>
        <d v="2025-12-05T00:00:00"/>
        <d v="2025-02-11T00:00:00"/>
        <d v="2025-01-15T00:00:00"/>
        <d v="2025-01-09T00:00:00"/>
        <d v="2025-07-25T00:00:00"/>
        <d v="2025-08-06T00:00:00"/>
        <d v="2025-07-23T00:00:00"/>
        <d v="2025-07-29T00:00:00"/>
        <d v="2025-07-30T00:00:00"/>
        <d v="2025-08-01T00:00:00"/>
        <d v="2025-07-31T00:00:00"/>
        <d v="2025-08-18T00:00:00"/>
        <d v="2025-02-12T00:00:00"/>
        <d v="2025-03-06T00:00:00"/>
        <d v="2025-01-31T00:00:00"/>
        <d v="2025-04-30T00:00:00"/>
        <d v="2025-01-23T00:00:00"/>
        <d v="2025-01-27T00:00:00"/>
        <d v="2025-02-05T00:00:00"/>
        <d v="2025-03-17T00:00:00"/>
        <d v="2025-03-18T00:00:00"/>
        <d v="2025-01-29T00:00:00"/>
        <d v="2025-02-06T00:00:00"/>
        <d v="2025-03-07T00:00:00"/>
        <d v="2025-02-14T00:00:00"/>
        <d v="2025-02-28T00:00:00"/>
        <d v="2025-02-20T00:00:00"/>
        <d v="2025-02-13T00:00:00"/>
        <d v="2025-03-11T00:00:00"/>
        <d v="2025-12-04T00:00:00"/>
        <d v="2025-01-24T00:00:00"/>
        <d v="2025-10-01T00:00:00"/>
        <d v="2025-02-27T00:00:00"/>
        <d v="2025-03-25T00:00:00"/>
        <d v="2025-04-04T00:00:00"/>
        <d v="2025-03-10T00:00:00"/>
        <d v="2025-03-05T00:00:00"/>
        <d v="2025-03-28T00:00:00"/>
        <d v="2025-04-07T00:00:00"/>
        <d v="2025-05-02T00:00:00"/>
        <d v="2025-04-29T00:00:00"/>
        <d v="2025-02-24T00:00:00"/>
        <d v="2025-03-26T00:00:00"/>
        <d v="2025-01-17T00:00:00"/>
        <d v="2025-01-20T00:00:00"/>
        <d v="2025-04-15T00:00:00"/>
        <d v="2025-02-19T00:00:00"/>
        <d v="2025-03-27T00:00:00"/>
        <d v="2025-05-23T00:00:00"/>
        <d v="2025-03-12T00:00:00"/>
        <d v="2025-03-13T00:00:00"/>
        <d v="2025-03-14T00:00:00"/>
        <d v="2025-03-19T00:00:00"/>
        <d v="2025-03-31T00:00:00"/>
        <d v="2025-07-28T00:00:00"/>
        <d v="2025-02-25T00:00:00"/>
        <d v="2025-02-17T00:00:00"/>
        <d v="2026-01-19T00:00:00"/>
        <d v="2025-04-17T00:00:00"/>
        <d v="2025-03-21T00:00:00"/>
        <d v="2025-04-02T00:00:00"/>
        <d v="2025-04-28T00:00:00"/>
        <d v="2025-04-14T00:00:00"/>
        <d v="2025-05-13T00:00:00"/>
        <d v="2025-05-19T00:00:00"/>
        <d v="2025-03-24T00:00:00"/>
        <d v="2025-04-10T00:00:00"/>
        <d v="2025-04-23T00:00:00"/>
        <d v="2025-08-21T00:00:00"/>
        <d v="2025-05-05T00:00:00"/>
        <d v="2025-04-03T00:00:00"/>
        <d v="2025-04-08T00:00:00"/>
        <d v="2025-04-16T00:00:00"/>
        <d v="2025-06-12T00:00:00"/>
        <d v="2025-04-25T00:00:00"/>
        <d v="2025-04-09T00:00:00"/>
        <d v="2025-04-24T00:00:00"/>
        <d v="2025-05-20T00:00:00"/>
        <d v="2025-05-26T00:00:00"/>
        <d v="2025-08-25T00:00:00"/>
        <d v="2025-08-22T00:00:00"/>
        <d v="2025-05-22T00:00:00"/>
        <d v="2025-05-15T00:00:00"/>
        <d v="2025-05-07T00:00:00"/>
        <d v="2025-05-08T00:00:00"/>
        <d v="2025-05-12T00:00:00"/>
        <d v="2025-05-16T00:00:00"/>
        <d v="2025-05-29T00:00:00"/>
        <d v="2025-06-02T00:00:00"/>
        <d v="2025-06-23T00:00:00"/>
        <d v="2025-05-30T00:00:00"/>
        <d v="2025-06-05T00:00:00"/>
        <d v="2025-06-04T00:00:00"/>
        <d v="2025-06-19T00:00:00"/>
        <d v="2025-05-27T00:00:00"/>
        <d v="2025-06-25T00:00:00"/>
        <d v="2025-05-28T00:00:00"/>
        <d v="2025-06-06T00:00:00"/>
        <d v="2025-07-01T00:00:00"/>
        <d v="2025-06-16T00:00:00"/>
        <d v="2025-06-09T00:00:00"/>
        <d v="2025-06-11T00:00:00"/>
        <d v="2025-06-27T00:00:00"/>
        <d v="2025-05-14T00:00:00"/>
        <d v="2025-06-10T00:00:00"/>
        <d v="2025-07-02T00:00:00"/>
        <d v="2025-07-15T00:00:00"/>
        <m/>
        <d v="2025-06-30T00:00:00"/>
        <d v="2025-07-03T00:00:00"/>
        <d v="2025-06-26T00:00:00"/>
        <d v="2025-06-20T00:00:00"/>
        <d v="2025-08-19T00:00:00"/>
        <d v="2025-09-05T00:00:00"/>
        <d v="2026-04-14T00:00:00"/>
        <d v="2025-07-07T00:00:00"/>
        <d v="2025-07-16T00:00:00"/>
        <d v="2025-07-09T00:00:00"/>
        <d v="2025-07-14T00:00:00"/>
        <d v="2025-06-17T00:00:00"/>
        <d v="2025-07-04T00:00:00"/>
        <d v="2025-06-24T00:00:00"/>
        <d v="2025-07-08T00:00:00"/>
        <d v="2025-08-04T00:00:00"/>
        <d v="2025-08-05T00:00:00"/>
        <d v="2025-08-27T00:00:00"/>
        <d v="2025-10-15T00:00:00"/>
        <d v="2025-09-22T00:00:00"/>
        <d v="2025-07-22T00:00:00"/>
        <d v="2025-09-16T00:00:00"/>
        <d v="2025-09-08T00:00:00"/>
        <d v="2025-07-18T00:00:00"/>
        <d v="2025-07-21T00:00:00"/>
        <d v="2025-08-12T00:00:00"/>
        <d v="2025-08-14T00:00:00"/>
        <d v="2025-08-11T00:00:00"/>
        <d v="2025-08-15T00:00:00"/>
        <d v="2025-12-23T00:00:00"/>
        <d v="2025-09-30T00:00:00"/>
        <d v="2025-08-07T00:00:00"/>
        <d v="2025-12-03T00:00:00"/>
        <d v="2025-12-19T00:00:00"/>
        <d v="2025-08-08T00:00:00"/>
        <d v="2025-07-24T00:00:00"/>
        <d v="2025-08-13T00:00:00"/>
        <d v="2025-08-20T00:00:00"/>
        <d v="2025-09-01T00:00:00"/>
        <d v="2025-09-04T00:00:00"/>
        <d v="2025-08-26T00:00:00"/>
        <d v="2025-08-28T00:00:00"/>
        <d v="2025-09-25T00:00:00"/>
        <d v="2025-08-29T00:00:00"/>
        <d v="2025-09-18T00:00:00"/>
        <d v="2025-10-06T00:00:00"/>
        <d v="2025-11-26T00:00:00"/>
        <d v="2025-09-02T00:00:00"/>
        <d v="2025-09-19T00:00:00"/>
        <d v="2025-10-13T00:00:00"/>
        <d v="2025-10-23T00:00:00"/>
        <d v="2025-09-11T00:00:00"/>
        <d v="2025-09-03T00:00:00"/>
        <d v="2025-10-07T00:00:00"/>
        <d v="2025-10-17T00:00:00"/>
        <d v="2025-10-21T00:00:00"/>
        <d v="2025-09-17T00:00:00"/>
        <d v="2026-01-14T00:00:00"/>
        <d v="2026-01-26T00:00:00"/>
        <d v="2026-02-24T00:00:00"/>
        <d v="2026-02-26T00:00:00"/>
        <d v="2026-03-24T00:00:00"/>
        <d v="2026-03-19T00:00:00"/>
        <d v="2026-03-31T00:00:00"/>
        <d v="2026-04-28T00:00:00"/>
        <d v="2026-04-27T00:00:00"/>
        <d v="2026-05-26T00:00:00"/>
        <d v="2025-12-22T00:00:00"/>
        <d v="2025-09-23T00:00:00"/>
        <d v="2025-09-26T00:00:00"/>
        <d v="2025-09-29T00:00:00"/>
        <d v="2025-09-24T00:00:00"/>
        <d v="2025-10-09T00:00:00"/>
        <d v="2025-10-10T00:00:00"/>
        <d v="2025-10-27T00:00:00"/>
        <d v="2025-10-16T00:00:00"/>
        <d v="2025-09-09T00:00:00"/>
        <d v="2025-10-24T00:00:00"/>
        <d v="2025-10-31T00:00:00"/>
        <d v="2026-02-20T00:00:00"/>
        <d v="2026-01-30T00:00:00"/>
        <d v="2025-10-30T00:00:00"/>
        <d v="2025-11-27T00:00:00"/>
        <d v="2025-10-03T00:00:00"/>
        <d v="2025-09-15T00:00:00"/>
        <d v="2025-11-14T00:00:00"/>
        <d v="2025-10-08T00:00:00"/>
        <d v="2025-10-28T00:00:00"/>
        <d v="2025-10-22T00:00:00"/>
        <d v="2025-10-29T00:00:00"/>
        <d v="2025-10-20T00:00:00"/>
        <d v="2025-11-11T00:00:00"/>
        <d v="2025-11-13T00:00:00"/>
        <d v="2025-11-06T00:00:00"/>
        <d v="2025-11-17T00:00:00"/>
        <d v="2025-11-05T00:00:00"/>
        <d v="2025-12-30T00:00:00"/>
        <d v="2026-03-02T00:00:00"/>
        <d v="2026-04-02T00:00:00"/>
        <d v="2026-04-30T00:00:00"/>
        <d v="2026-06-01T00:00:00"/>
        <d v="2025-11-21T00:00:00"/>
        <d v="2025-12-16T00:00:00"/>
        <d v="2025-12-01T00:00:00"/>
        <d v="2026-02-02T00:00:00"/>
        <d v="2026-04-06T00:00:00"/>
        <d v="2026-05-04T00:00:00"/>
        <d v="2026-05-28T00:00:00"/>
        <d v="2025-11-25T00:00:00"/>
        <d v="2025-12-02T00:00:00"/>
        <d v="2025-11-18T00:00:00"/>
        <d v="2025-12-09T00:00:00"/>
        <d v="2026-01-12T00:00:00"/>
        <d v="2026-01-20T00:00:00"/>
        <d v="2026-02-18T00:00:00"/>
        <d v="2026-02-27T00:00:00"/>
        <d v="2026-03-27T00:00:00"/>
        <d v="2026-04-22T00:00:00"/>
        <d v="2026-04-29T00:00:00"/>
        <d v="2026-02-19T00:00:00"/>
        <d v="2026-04-23T00:00:00"/>
        <d v="2025-12-15T00:00:00"/>
        <d v="2025-11-19T00:00:00"/>
        <d v="2026-03-06T00:00:00"/>
        <d v="2025-12-26T00:00:00"/>
        <d v="2026-02-09T00:00:00"/>
        <d v="2025-12-18T00:00:00"/>
        <d v="2025-12-08T00:00:00"/>
        <d v="2026-03-03T00:00:00"/>
        <d v="2026-03-25T00:00:00"/>
        <d v="2026-05-13T00:00:00"/>
        <d v="2026-02-05T00:00:00"/>
        <d v="2026-03-05T00:00:00"/>
        <d v="2025-12-24T00:00:00"/>
        <d v="2026-05-19T00:00:00"/>
        <d v="2026-04-01T00:00:00"/>
        <d v="2026-03-13T00:00:00"/>
        <d v="2025-12-10T00:00:00"/>
        <d v="2026-01-23T00:00:00"/>
        <d v="2026-05-27T00:00:00"/>
        <d v="2026-05-29T00:00:00"/>
        <d v="2026-01-27T00:00:00"/>
        <d v="2026-05-07T00:00:00"/>
        <d v="2026-01-07T00:00:00"/>
        <d v="2026-02-11T00:00:00"/>
        <d v="2026-03-11T00:00:00"/>
        <d v="2026-04-15T00:00:00"/>
        <d v="2026-05-20T00:00:00"/>
        <d v="2026-03-30T00:00:00"/>
        <d v="2026-03-10T00:00:00"/>
        <d v="2026-03-20T00:00:00"/>
        <d v="2026-05-11T00:00:00"/>
        <d v="2026-04-13T00:00:00"/>
        <d v="2026-05-18T00:00:00"/>
        <d v="2025-12-29T00:00:00"/>
        <d v="2026-01-28T00:00:00"/>
        <d v="2026-02-23T00:00:00"/>
        <d v="2026-05-08T00:00:00"/>
        <d v="2026-01-22T00:00:00"/>
        <d v="2026-01-29T00:00:00"/>
        <d v="2026-02-25T00:00:00"/>
        <d v="2026-03-17T00:00:00"/>
        <d v="2026-03-26T00:00:00"/>
        <d v="2026-02-12T00:00:00"/>
        <d v="2025-12-17T00:00:00"/>
        <d v="2026-01-21T00:00:00"/>
        <d v="2026-03-12T00:00:00"/>
        <d v="2026-04-20T00:00:00"/>
        <d v="2026-04-24T00:00:00"/>
        <d v="2026-05-21T00:00:00"/>
        <d v="2026-02-13T00:00:00"/>
        <d v="2026-04-16T00:00:00"/>
        <d v="2025-12-31T00:00:00"/>
        <d v="2026-02-04T00:00:00"/>
        <d v="2026-03-09T00:00:00"/>
        <d v="2026-01-16T00:00:00"/>
        <d v="2026-03-16T00:00:00"/>
        <d v="2026-05-25T00:00:00"/>
        <d v="2025-12-11T00:00:00"/>
        <d v="2026-02-10T00:00:00"/>
        <d v="2026-04-08T00:00:00"/>
        <d v="2026-05-12T00:00:00"/>
        <d v="2026-05-15T00:00:00"/>
        <d v="2026-02-03T00:00:00"/>
        <d v="2026-05-22T00:00:00"/>
        <d v="2026-05-06T00:00:00"/>
        <d v="2026-03-18T00:00:00"/>
        <d v="2026-05-05T00:00:00"/>
        <d v="2026-02-06T00:00:00"/>
        <d v="2026-01-15T00:00:00"/>
        <d v="2026-01-06T00:00:00"/>
      </sharedItems>
      <fieldGroup par="25"/>
    </cacheField>
    <cacheField name="STATUS" numFmtId="0">
      <sharedItems containsBlank="1" count="8">
        <s v="PAGO"/>
        <s v="A FATURAR"/>
        <s v="EM ABERTO"/>
        <s v="ATRASADO" u="1"/>
        <s v="a cancelar" u="1"/>
        <m u="1"/>
        <s v="1-META" u="1"/>
        <s v="META" u="1"/>
      </sharedItems>
    </cacheField>
    <cacheField name="Risco" numFmtId="0">
      <sharedItems containsString="0" containsBlank="1" containsNumber="1" minValue="0" maxValue="369184.69"/>
    </cacheField>
    <cacheField name="NIVEL RISCO" numFmtId="0">
      <sharedItems containsBlank="1" containsMixedTypes="1" containsNumber="1" minValue="255597.46" maxValue="594474" count="5">
        <m/>
        <s v="Alto"/>
        <n v="393560" u="1"/>
        <n v="594474" u="1"/>
        <n v="255597.46" u="1"/>
      </sharedItems>
    </cacheField>
    <cacheField name="BU" numFmtId="0">
      <sharedItems containsMixedTypes="1" containsNumber="1" containsInteger="1" minValue="0" maxValue="0" count="4">
        <s v="CSA"/>
        <s v="ADS"/>
        <s v="BPS"/>
        <n v="0" u="1"/>
      </sharedItems>
    </cacheField>
    <cacheField name="Vertical" numFmtId="0">
      <sharedItems/>
    </cacheField>
    <cacheField name="Diretor de Operações" numFmtId="0">
      <sharedItems containsMixedTypes="1" containsNumber="1" containsInteger="1" minValue="0" maxValue="0" count="6">
        <s v="OP2"/>
        <s v="OP4"/>
        <s v="OP1"/>
        <s v="OP3"/>
        <s v="OP"/>
        <n v="0" u="1"/>
      </sharedItems>
    </cacheField>
    <cacheField name="A RECEBER" numFmtId="0">
      <sharedItems containsBlank="1"/>
    </cacheField>
    <cacheField name="SATUS 2" numFmtId="0">
      <sharedItems containsBlank="1"/>
    </cacheField>
    <cacheField name="META" numFmtId="0">
      <sharedItems containsNonDate="0" containsString="0" containsBlank="1"/>
    </cacheField>
    <cacheField name="Meses (PREV . PAG)" numFmtId="0" databaseField="0">
      <fieldGroup base="11">
        <rangePr groupBy="months" startDate="2025-01-06T00:00:00" endDate="2026-07-21T00:00:00"/>
        <groupItems count="14">
          <s v="&lt;06/0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1/07/2026"/>
        </groupItems>
      </fieldGroup>
    </cacheField>
    <cacheField name="Trimestres (PREV . PAG)" numFmtId="0" databaseField="0">
      <fieldGroup base="11">
        <rangePr groupBy="quarters" startDate="2025-01-06T00:00:00" endDate="2026-07-21T00:00:00"/>
        <groupItems count="6">
          <s v="&lt;06/01/2025"/>
          <s v="Trim1"/>
          <s v="Trim2"/>
          <s v="Trim3"/>
          <s v="Trim4"/>
          <s v="&gt;21/07/2026"/>
        </groupItems>
      </fieldGroup>
    </cacheField>
    <cacheField name="Anos (PREV . PAG)" numFmtId="0" databaseField="0">
      <fieldGroup base="11">
        <rangePr groupBy="years" startDate="2025-01-06T00:00:00" endDate="2026-07-21T00:00:00"/>
        <groupItems count="4">
          <s v="&lt;06/01/2025"/>
          <s v="2025"/>
          <s v="2026"/>
          <s v="&gt;21/07/2026"/>
        </groupItems>
      </fieldGroup>
    </cacheField>
    <cacheField name="DATA PAG.2" numFmtId="0" databaseField="0">
      <fieldGroup par="26" base="12">
        <discretePr count="320"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8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0"/>
          <x v="1"/>
          <x v="1"/>
          <x v="1"/>
          <x v="1"/>
          <x v="1"/>
          <x v="1"/>
          <x v="6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5"/>
          <x v="13"/>
          <x v="32"/>
          <x v="34"/>
          <x v="50"/>
          <x v="48"/>
          <x v="55"/>
          <x v="69"/>
          <x v="68"/>
          <x v="87"/>
          <x v="1"/>
          <x v="1"/>
          <x v="1"/>
          <x v="1"/>
          <x v="1"/>
          <x v="1"/>
          <x v="1"/>
          <x v="1"/>
          <x v="1"/>
          <x v="1"/>
          <x v="1"/>
          <x v="1"/>
          <x v="30"/>
          <x v="17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1"/>
          <x v="36"/>
          <x v="57"/>
          <x v="71"/>
          <x v="91"/>
          <x v="1"/>
          <x v="1"/>
          <x v="1"/>
          <x v="18"/>
          <x v="58"/>
          <x v="72"/>
          <x v="89"/>
          <x v="1"/>
          <x v="1"/>
          <x v="1"/>
          <x v="1"/>
          <x v="4"/>
          <x v="9"/>
          <x v="28"/>
          <x v="35"/>
          <x v="53"/>
          <x v="65"/>
          <x v="70"/>
          <x v="29"/>
          <x v="66"/>
          <x v="1"/>
          <x v="1"/>
          <x v="39"/>
          <x v="1"/>
          <x v="22"/>
          <x v="1"/>
          <x v="1"/>
          <x v="37"/>
          <x v="51"/>
          <x v="79"/>
          <x v="21"/>
          <x v="38"/>
          <x v="1"/>
          <x v="82"/>
          <x v="56"/>
          <x v="44"/>
          <x v="1"/>
          <x v="12"/>
          <x v="88"/>
          <x v="90"/>
          <x v="14"/>
          <x v="75"/>
          <x v="3"/>
          <x v="25"/>
          <x v="41"/>
          <x v="62"/>
          <x v="83"/>
          <x v="54"/>
          <x v="42"/>
          <x v="49"/>
          <x v="77"/>
          <x v="60"/>
          <x v="81"/>
          <x v="1"/>
          <x v="15"/>
          <x v="31"/>
          <x v="76"/>
          <x v="10"/>
          <x v="16"/>
          <x v="33"/>
          <x v="46"/>
          <x v="52"/>
          <x v="26"/>
          <x v="1"/>
          <x v="11"/>
          <x v="43"/>
          <x v="64"/>
          <x v="67"/>
          <x v="84"/>
          <x v="27"/>
          <x v="63"/>
          <x v="1"/>
          <x v="20"/>
          <x v="40"/>
          <x v="7"/>
          <x v="45"/>
          <x v="86"/>
          <x v="1"/>
          <x v="23"/>
          <x v="59"/>
          <x v="78"/>
          <x v="80"/>
          <x v="19"/>
          <x v="85"/>
          <x v="74"/>
          <x v="47"/>
          <x v="73"/>
          <x v="24"/>
          <x v="6"/>
          <x v="2"/>
        </discretePr>
        <groupItems count="92">
          <m/>
          <s v="Agrupar1"/>
          <d v="2026-01-06T00:00:00"/>
          <d v="2026-01-07T00:00:00"/>
          <d v="2026-01-12T00:00:00"/>
          <d v="2026-01-14T00:00:00"/>
          <d v="2026-01-15T00:00:00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3" numFmtId="0" databaseField="0">
      <fieldGroup par="27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206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59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4"/>
          <x v="146"/>
          <x v="147"/>
          <x v="191"/>
          <x v="192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203"/>
          <x v="211"/>
          <x v="230"/>
          <x v="232"/>
          <x v="248"/>
          <x v="246"/>
          <x v="253"/>
          <x v="267"/>
          <x v="266"/>
          <x v="285"/>
          <x v="193"/>
          <x v="171"/>
          <x v="172"/>
          <x v="173"/>
          <x v="174"/>
          <x v="175"/>
          <x v="176"/>
          <x v="177"/>
          <x v="178"/>
          <x v="179"/>
          <x v="180"/>
          <x v="181"/>
          <x v="228"/>
          <x v="215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8"/>
          <x v="234"/>
          <x v="255"/>
          <x v="269"/>
          <x v="289"/>
          <x v="190"/>
          <x v="191"/>
          <x v="191"/>
          <x v="216"/>
          <x v="256"/>
          <x v="270"/>
          <x v="287"/>
          <x v="190"/>
          <x v="191"/>
          <x v="190"/>
          <x v="191"/>
          <x v="202"/>
          <x v="207"/>
          <x v="226"/>
          <x v="233"/>
          <x v="251"/>
          <x v="263"/>
          <x v="268"/>
          <x v="227"/>
          <x v="264"/>
          <x v="191"/>
          <x v="190"/>
          <x v="237"/>
          <x v="196"/>
          <x v="220"/>
          <x v="191"/>
          <x v="191"/>
          <x v="235"/>
          <x v="249"/>
          <x v="277"/>
          <x v="219"/>
          <x v="236"/>
          <x v="195"/>
          <x v="280"/>
          <x v="254"/>
          <x v="242"/>
          <x v="191"/>
          <x v="210"/>
          <x v="286"/>
          <x v="288"/>
          <x v="212"/>
          <x v="273"/>
          <x v="201"/>
          <x v="223"/>
          <x v="239"/>
          <x v="260"/>
          <x v="281"/>
          <x v="252"/>
          <x v="240"/>
          <x v="247"/>
          <x v="275"/>
          <x v="258"/>
          <x v="279"/>
          <x v="197"/>
          <x v="213"/>
          <x v="229"/>
          <x v="274"/>
          <x v="208"/>
          <x v="214"/>
          <x v="231"/>
          <x v="244"/>
          <x v="250"/>
          <x v="224"/>
          <x v="191"/>
          <x v="209"/>
          <x v="241"/>
          <x v="262"/>
          <x v="265"/>
          <x v="282"/>
          <x v="225"/>
          <x v="261"/>
          <x v="199"/>
          <x v="218"/>
          <x v="238"/>
          <x v="205"/>
          <x v="243"/>
          <x v="284"/>
          <x v="191"/>
          <x v="221"/>
          <x v="257"/>
          <x v="276"/>
          <x v="278"/>
          <x v="217"/>
          <x v="283"/>
          <x v="272"/>
          <x v="245"/>
          <x v="271"/>
          <x v="222"/>
          <x v="204"/>
          <x v="200"/>
        </discretePr>
        <groupItems count="290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3"/>
          <d v="2025-12-19T00:00:00"/>
          <d v="2025-12-22T00:00:00"/>
          <d v="2025-12-23T00:00:00"/>
          <d v="2025-12-24T00:00:00"/>
          <d v="2025-12-26T00:00:00"/>
          <d v="2025-12-29T00:00:00"/>
          <d v="2025-12-30T00:00:00"/>
          <d v="2025-12-31T00:00:00"/>
          <d v="2026-01-06T00:00:00"/>
          <d v="2026-01-07T00:00:00"/>
          <d v="2026-01-12T00:00:00"/>
          <d v="2026-01-14T00:00:00"/>
          <d v="2026-01-15T00:00:00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4" numFmtId="0" databaseField="0">
      <fieldGroup par="28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205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58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3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202"/>
          <x v="210"/>
          <x v="229"/>
          <x v="231"/>
          <x v="247"/>
          <x v="245"/>
          <x v="252"/>
          <x v="266"/>
          <x v="265"/>
          <x v="284"/>
          <x v="192"/>
          <x v="171"/>
          <x v="172"/>
          <x v="173"/>
          <x v="174"/>
          <x v="175"/>
          <x v="176"/>
          <x v="177"/>
          <x v="178"/>
          <x v="179"/>
          <x v="180"/>
          <x v="181"/>
          <x v="227"/>
          <x v="214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7"/>
          <x v="233"/>
          <x v="254"/>
          <x v="268"/>
          <x v="288"/>
          <x v="190"/>
          <x v="191"/>
          <x v="191"/>
          <x v="215"/>
          <x v="255"/>
          <x v="269"/>
          <x v="286"/>
          <x v="190"/>
          <x v="191"/>
          <x v="190"/>
          <x v="191"/>
          <x v="201"/>
          <x v="206"/>
          <x v="225"/>
          <x v="232"/>
          <x v="250"/>
          <x v="262"/>
          <x v="267"/>
          <x v="226"/>
          <x v="263"/>
          <x v="191"/>
          <x v="190"/>
          <x v="236"/>
          <x v="195"/>
          <x v="219"/>
          <x v="191"/>
          <x v="191"/>
          <x v="234"/>
          <x v="248"/>
          <x v="276"/>
          <x v="218"/>
          <x v="235"/>
          <x v="194"/>
          <x v="279"/>
          <x v="253"/>
          <x v="241"/>
          <x v="191"/>
          <x v="209"/>
          <x v="285"/>
          <x v="287"/>
          <x v="211"/>
          <x v="272"/>
          <x v="200"/>
          <x v="222"/>
          <x v="238"/>
          <x v="259"/>
          <x v="280"/>
          <x v="251"/>
          <x v="239"/>
          <x v="246"/>
          <x v="274"/>
          <x v="257"/>
          <x v="278"/>
          <x v="196"/>
          <x v="212"/>
          <x v="228"/>
          <x v="273"/>
          <x v="207"/>
          <x v="213"/>
          <x v="230"/>
          <x v="243"/>
          <x v="249"/>
          <x v="223"/>
          <x v="191"/>
          <x v="208"/>
          <x v="240"/>
          <x v="261"/>
          <x v="264"/>
          <x v="281"/>
          <x v="224"/>
          <x v="260"/>
          <x v="198"/>
          <x v="217"/>
          <x v="237"/>
          <x v="204"/>
          <x v="242"/>
          <x v="283"/>
          <x v="191"/>
          <x v="220"/>
          <x v="256"/>
          <x v="275"/>
          <x v="277"/>
          <x v="216"/>
          <x v="282"/>
          <x v="271"/>
          <x v="244"/>
          <x v="270"/>
          <x v="221"/>
          <x v="203"/>
          <x v="199"/>
        </discretePr>
        <groupItems count="289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2"/>
          <d v="2025-12-22T00:00:00"/>
          <d v="2025-12-23T00:00:00"/>
          <d v="2025-12-24T00:00:00"/>
          <d v="2025-12-26T00:00:00"/>
          <d v="2025-12-29T00:00:00"/>
          <d v="2025-12-30T00:00:00"/>
          <d v="2025-12-31T00:00:00"/>
          <d v="2026-01-06T00:00:00"/>
          <d v="2026-01-07T00:00:00"/>
          <d v="2026-01-12T00:00:00"/>
          <d v="2026-01-14T00:00:00"/>
          <d v="2026-01-15T00:00:00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5" numFmtId="0" databaseField="0">
      <fieldGroup par="29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203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56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1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200"/>
          <x v="208"/>
          <x v="227"/>
          <x v="229"/>
          <x v="245"/>
          <x v="243"/>
          <x v="250"/>
          <x v="264"/>
          <x v="263"/>
          <x v="282"/>
          <x v="191"/>
          <x v="171"/>
          <x v="172"/>
          <x v="173"/>
          <x v="174"/>
          <x v="175"/>
          <x v="176"/>
          <x v="177"/>
          <x v="178"/>
          <x v="179"/>
          <x v="180"/>
          <x v="181"/>
          <x v="225"/>
          <x v="212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5"/>
          <x v="231"/>
          <x v="252"/>
          <x v="266"/>
          <x v="286"/>
          <x v="190"/>
          <x v="191"/>
          <x v="191"/>
          <x v="213"/>
          <x v="253"/>
          <x v="267"/>
          <x v="284"/>
          <x v="190"/>
          <x v="191"/>
          <x v="190"/>
          <x v="191"/>
          <x v="199"/>
          <x v="204"/>
          <x v="223"/>
          <x v="230"/>
          <x v="248"/>
          <x v="260"/>
          <x v="265"/>
          <x v="224"/>
          <x v="261"/>
          <x v="191"/>
          <x v="190"/>
          <x v="234"/>
          <x v="193"/>
          <x v="217"/>
          <x v="191"/>
          <x v="191"/>
          <x v="232"/>
          <x v="246"/>
          <x v="274"/>
          <x v="216"/>
          <x v="233"/>
          <x v="192"/>
          <x v="277"/>
          <x v="251"/>
          <x v="239"/>
          <x v="191"/>
          <x v="207"/>
          <x v="283"/>
          <x v="285"/>
          <x v="209"/>
          <x v="270"/>
          <x v="198"/>
          <x v="220"/>
          <x v="236"/>
          <x v="257"/>
          <x v="278"/>
          <x v="249"/>
          <x v="237"/>
          <x v="244"/>
          <x v="272"/>
          <x v="255"/>
          <x v="276"/>
          <x v="194"/>
          <x v="210"/>
          <x v="226"/>
          <x v="271"/>
          <x v="205"/>
          <x v="211"/>
          <x v="228"/>
          <x v="241"/>
          <x v="247"/>
          <x v="221"/>
          <x v="191"/>
          <x v="206"/>
          <x v="238"/>
          <x v="259"/>
          <x v="262"/>
          <x v="279"/>
          <x v="222"/>
          <x v="258"/>
          <x v="196"/>
          <x v="215"/>
          <x v="235"/>
          <x v="202"/>
          <x v="240"/>
          <x v="281"/>
          <x v="191"/>
          <x v="218"/>
          <x v="254"/>
          <x v="273"/>
          <x v="275"/>
          <x v="214"/>
          <x v="280"/>
          <x v="269"/>
          <x v="242"/>
          <x v="268"/>
          <x v="219"/>
          <x v="201"/>
          <x v="197"/>
        </discretePr>
        <groupItems count="287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3"/>
          <d v="2025-12-24T00:00:00"/>
          <d v="2025-12-26T00:00:00"/>
          <d v="2025-12-29T00:00:00"/>
          <d v="2025-12-30T00:00:00"/>
          <d v="2025-12-31T00:00:00"/>
          <d v="2026-01-06T00:00:00"/>
          <d v="2026-01-07T00:00:00"/>
          <d v="2026-01-12T00:00:00"/>
          <d v="2026-01-14T00:00:00"/>
          <d v="2026-01-15T00:00:00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6" numFmtId="0" databaseField="0">
      <fieldGroup par="30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201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54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1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198"/>
          <x v="206"/>
          <x v="225"/>
          <x v="227"/>
          <x v="243"/>
          <x v="241"/>
          <x v="248"/>
          <x v="262"/>
          <x v="261"/>
          <x v="280"/>
          <x v="191"/>
          <x v="171"/>
          <x v="172"/>
          <x v="173"/>
          <x v="174"/>
          <x v="175"/>
          <x v="176"/>
          <x v="177"/>
          <x v="178"/>
          <x v="179"/>
          <x v="180"/>
          <x v="181"/>
          <x v="223"/>
          <x v="210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3"/>
          <x v="229"/>
          <x v="250"/>
          <x v="264"/>
          <x v="284"/>
          <x v="190"/>
          <x v="191"/>
          <x v="191"/>
          <x v="211"/>
          <x v="251"/>
          <x v="265"/>
          <x v="282"/>
          <x v="190"/>
          <x v="191"/>
          <x v="190"/>
          <x v="191"/>
          <x v="197"/>
          <x v="202"/>
          <x v="221"/>
          <x v="228"/>
          <x v="246"/>
          <x v="258"/>
          <x v="263"/>
          <x v="222"/>
          <x v="259"/>
          <x v="191"/>
          <x v="190"/>
          <x v="232"/>
          <x v="191"/>
          <x v="215"/>
          <x v="191"/>
          <x v="191"/>
          <x v="230"/>
          <x v="244"/>
          <x v="272"/>
          <x v="214"/>
          <x v="231"/>
          <x v="191"/>
          <x v="275"/>
          <x v="249"/>
          <x v="237"/>
          <x v="191"/>
          <x v="205"/>
          <x v="281"/>
          <x v="283"/>
          <x v="207"/>
          <x v="268"/>
          <x v="196"/>
          <x v="218"/>
          <x v="234"/>
          <x v="255"/>
          <x v="276"/>
          <x v="247"/>
          <x v="235"/>
          <x v="242"/>
          <x v="270"/>
          <x v="253"/>
          <x v="274"/>
          <x v="192"/>
          <x v="208"/>
          <x v="224"/>
          <x v="269"/>
          <x v="203"/>
          <x v="209"/>
          <x v="226"/>
          <x v="239"/>
          <x v="245"/>
          <x v="219"/>
          <x v="191"/>
          <x v="204"/>
          <x v="236"/>
          <x v="257"/>
          <x v="260"/>
          <x v="277"/>
          <x v="220"/>
          <x v="256"/>
          <x v="194"/>
          <x v="213"/>
          <x v="233"/>
          <x v="200"/>
          <x v="238"/>
          <x v="279"/>
          <x v="191"/>
          <x v="216"/>
          <x v="252"/>
          <x v="271"/>
          <x v="273"/>
          <x v="212"/>
          <x v="278"/>
          <x v="267"/>
          <x v="240"/>
          <x v="266"/>
          <x v="217"/>
          <x v="199"/>
          <x v="195"/>
        </discretePr>
        <groupItems count="285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2"/>
          <d v="2025-12-29T00:00:00"/>
          <d v="2025-12-30T00:00:00"/>
          <d v="2025-12-31T00:00:00"/>
          <d v="2026-01-06T00:00:00"/>
          <d v="2026-01-07T00:00:00"/>
          <d v="2026-01-12T00:00:00"/>
          <d v="2026-01-14T00:00:00"/>
          <d v="2026-01-15T00:00:00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7" numFmtId="0" databaseField="0">
      <fieldGroup par="31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200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53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1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197"/>
          <x v="205"/>
          <x v="224"/>
          <x v="226"/>
          <x v="242"/>
          <x v="240"/>
          <x v="247"/>
          <x v="261"/>
          <x v="260"/>
          <x v="279"/>
          <x v="191"/>
          <x v="171"/>
          <x v="172"/>
          <x v="173"/>
          <x v="174"/>
          <x v="175"/>
          <x v="176"/>
          <x v="177"/>
          <x v="178"/>
          <x v="179"/>
          <x v="180"/>
          <x v="181"/>
          <x v="222"/>
          <x v="209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2"/>
          <x v="228"/>
          <x v="249"/>
          <x v="263"/>
          <x v="283"/>
          <x v="190"/>
          <x v="191"/>
          <x v="191"/>
          <x v="210"/>
          <x v="250"/>
          <x v="264"/>
          <x v="281"/>
          <x v="190"/>
          <x v="191"/>
          <x v="190"/>
          <x v="191"/>
          <x v="196"/>
          <x v="201"/>
          <x v="220"/>
          <x v="227"/>
          <x v="245"/>
          <x v="257"/>
          <x v="262"/>
          <x v="221"/>
          <x v="258"/>
          <x v="191"/>
          <x v="190"/>
          <x v="231"/>
          <x v="191"/>
          <x v="214"/>
          <x v="191"/>
          <x v="191"/>
          <x v="229"/>
          <x v="243"/>
          <x v="271"/>
          <x v="213"/>
          <x v="230"/>
          <x v="191"/>
          <x v="274"/>
          <x v="248"/>
          <x v="236"/>
          <x v="191"/>
          <x v="204"/>
          <x v="280"/>
          <x v="282"/>
          <x v="206"/>
          <x v="267"/>
          <x v="195"/>
          <x v="217"/>
          <x v="233"/>
          <x v="254"/>
          <x v="275"/>
          <x v="246"/>
          <x v="234"/>
          <x v="241"/>
          <x v="269"/>
          <x v="252"/>
          <x v="273"/>
          <x v="191"/>
          <x v="207"/>
          <x v="223"/>
          <x v="268"/>
          <x v="202"/>
          <x v="208"/>
          <x v="225"/>
          <x v="238"/>
          <x v="244"/>
          <x v="218"/>
          <x v="191"/>
          <x v="203"/>
          <x v="235"/>
          <x v="256"/>
          <x v="259"/>
          <x v="276"/>
          <x v="219"/>
          <x v="255"/>
          <x v="193"/>
          <x v="212"/>
          <x v="232"/>
          <x v="199"/>
          <x v="237"/>
          <x v="278"/>
          <x v="191"/>
          <x v="215"/>
          <x v="251"/>
          <x v="270"/>
          <x v="272"/>
          <x v="211"/>
          <x v="277"/>
          <x v="266"/>
          <x v="239"/>
          <x v="265"/>
          <x v="216"/>
          <x v="198"/>
          <x v="194"/>
        </discretePr>
        <groupItems count="284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3"/>
          <d v="2025-12-30T00:00:00"/>
          <d v="2025-12-31T00:00:00"/>
          <d v="2026-01-06T00:00:00"/>
          <d v="2026-01-07T00:00:00"/>
          <d v="2026-01-12T00:00:00"/>
          <d v="2026-01-14T00:00:00"/>
          <d v="2026-01-15T00:00:00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8" numFmtId="0" databaseField="0">
      <fieldGroup par="32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194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47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1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192"/>
          <x v="199"/>
          <x v="218"/>
          <x v="220"/>
          <x v="236"/>
          <x v="234"/>
          <x v="241"/>
          <x v="255"/>
          <x v="254"/>
          <x v="273"/>
          <x v="191"/>
          <x v="171"/>
          <x v="172"/>
          <x v="173"/>
          <x v="174"/>
          <x v="175"/>
          <x v="176"/>
          <x v="177"/>
          <x v="178"/>
          <x v="179"/>
          <x v="180"/>
          <x v="181"/>
          <x v="216"/>
          <x v="203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1"/>
          <x v="222"/>
          <x v="243"/>
          <x v="257"/>
          <x v="277"/>
          <x v="190"/>
          <x v="191"/>
          <x v="191"/>
          <x v="204"/>
          <x v="244"/>
          <x v="258"/>
          <x v="275"/>
          <x v="190"/>
          <x v="191"/>
          <x v="190"/>
          <x v="191"/>
          <x v="192"/>
          <x v="195"/>
          <x v="214"/>
          <x v="221"/>
          <x v="239"/>
          <x v="251"/>
          <x v="256"/>
          <x v="215"/>
          <x v="252"/>
          <x v="191"/>
          <x v="190"/>
          <x v="225"/>
          <x v="191"/>
          <x v="208"/>
          <x v="191"/>
          <x v="191"/>
          <x v="223"/>
          <x v="237"/>
          <x v="265"/>
          <x v="207"/>
          <x v="224"/>
          <x v="191"/>
          <x v="268"/>
          <x v="242"/>
          <x v="230"/>
          <x v="191"/>
          <x v="198"/>
          <x v="274"/>
          <x v="276"/>
          <x v="200"/>
          <x v="261"/>
          <x v="192"/>
          <x v="211"/>
          <x v="227"/>
          <x v="248"/>
          <x v="269"/>
          <x v="240"/>
          <x v="228"/>
          <x v="235"/>
          <x v="263"/>
          <x v="246"/>
          <x v="267"/>
          <x v="191"/>
          <x v="201"/>
          <x v="217"/>
          <x v="262"/>
          <x v="196"/>
          <x v="202"/>
          <x v="219"/>
          <x v="232"/>
          <x v="238"/>
          <x v="212"/>
          <x v="191"/>
          <x v="197"/>
          <x v="229"/>
          <x v="250"/>
          <x v="253"/>
          <x v="270"/>
          <x v="213"/>
          <x v="249"/>
          <x v="191"/>
          <x v="206"/>
          <x v="226"/>
          <x v="193"/>
          <x v="231"/>
          <x v="272"/>
          <x v="191"/>
          <x v="209"/>
          <x v="245"/>
          <x v="264"/>
          <x v="266"/>
          <x v="205"/>
          <x v="271"/>
          <x v="260"/>
          <x v="233"/>
          <x v="259"/>
          <x v="210"/>
          <x v="192"/>
          <x v="192"/>
        </discretePr>
        <groupItems count="278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2"/>
          <s v="Agrupar3"/>
          <d v="2026-01-16T00:00:00"/>
          <d v="2026-01-19T00:00:00"/>
          <d v="2026-01-20T00:00:00"/>
          <d v="2026-01-22T00:00:00"/>
          <d v="2026-01-21T00:00:00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9" numFmtId="0" databaseField="0">
      <fieldGroup par="33"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192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42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1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192"/>
          <x v="194"/>
          <x v="213"/>
          <x v="215"/>
          <x v="231"/>
          <x v="229"/>
          <x v="236"/>
          <x v="250"/>
          <x v="249"/>
          <x v="268"/>
          <x v="191"/>
          <x v="171"/>
          <x v="172"/>
          <x v="173"/>
          <x v="174"/>
          <x v="175"/>
          <x v="176"/>
          <x v="177"/>
          <x v="178"/>
          <x v="179"/>
          <x v="180"/>
          <x v="181"/>
          <x v="211"/>
          <x v="198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1"/>
          <x v="217"/>
          <x v="238"/>
          <x v="252"/>
          <x v="272"/>
          <x v="190"/>
          <x v="191"/>
          <x v="191"/>
          <x v="199"/>
          <x v="239"/>
          <x v="253"/>
          <x v="270"/>
          <x v="190"/>
          <x v="191"/>
          <x v="190"/>
          <x v="191"/>
          <x v="192"/>
          <x v="192"/>
          <x v="209"/>
          <x v="216"/>
          <x v="234"/>
          <x v="246"/>
          <x v="251"/>
          <x v="210"/>
          <x v="247"/>
          <x v="191"/>
          <x v="190"/>
          <x v="220"/>
          <x v="191"/>
          <x v="203"/>
          <x v="191"/>
          <x v="191"/>
          <x v="218"/>
          <x v="232"/>
          <x v="260"/>
          <x v="202"/>
          <x v="219"/>
          <x v="191"/>
          <x v="263"/>
          <x v="237"/>
          <x v="225"/>
          <x v="191"/>
          <x v="193"/>
          <x v="269"/>
          <x v="271"/>
          <x v="195"/>
          <x v="256"/>
          <x v="192"/>
          <x v="206"/>
          <x v="222"/>
          <x v="243"/>
          <x v="264"/>
          <x v="235"/>
          <x v="223"/>
          <x v="230"/>
          <x v="258"/>
          <x v="241"/>
          <x v="262"/>
          <x v="191"/>
          <x v="196"/>
          <x v="212"/>
          <x v="257"/>
          <x v="192"/>
          <x v="197"/>
          <x v="214"/>
          <x v="227"/>
          <x v="233"/>
          <x v="207"/>
          <x v="191"/>
          <x v="192"/>
          <x v="224"/>
          <x v="245"/>
          <x v="248"/>
          <x v="265"/>
          <x v="208"/>
          <x v="244"/>
          <x v="191"/>
          <x v="201"/>
          <x v="221"/>
          <x v="192"/>
          <x v="226"/>
          <x v="267"/>
          <x v="191"/>
          <x v="204"/>
          <x v="240"/>
          <x v="259"/>
          <x v="261"/>
          <x v="200"/>
          <x v="266"/>
          <x v="255"/>
          <x v="228"/>
          <x v="254"/>
          <x v="205"/>
          <x v="192"/>
          <x v="192"/>
        </discretePr>
        <groupItems count="273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2"/>
          <s v="Agrupar4"/>
          <d v="2026-01-23T00:00:00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  <cacheField name="DATA PAG.10" numFmtId="0" databaseField="0">
      <fieldGroup base="12">
        <discretePr count="320">
          <x v="1"/>
          <x v="6"/>
          <x v="12"/>
          <x v="2"/>
          <x v="5"/>
          <x v="3"/>
          <x v="4"/>
          <x v="190"/>
          <x v="190"/>
          <x v="191"/>
          <x v="190"/>
          <x v="190"/>
          <x v="190"/>
          <x v="65"/>
          <x v="7"/>
          <x v="8"/>
          <x v="9"/>
          <x v="190"/>
          <x v="78"/>
          <x v="10"/>
          <x v="11"/>
          <x v="191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9"/>
          <x v="40"/>
          <x v="41"/>
          <x v="191"/>
          <x v="42"/>
          <x v="170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38"/>
          <x v="66"/>
          <x v="67"/>
          <x v="192"/>
          <x v="68"/>
          <x v="69"/>
          <x v="70"/>
          <x v="71"/>
          <x v="72"/>
          <x v="73"/>
          <x v="74"/>
          <x v="75"/>
          <x v="76"/>
          <x v="77"/>
          <x v="114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5"/>
          <x v="116"/>
          <x v="117"/>
          <x v="0"/>
          <x v="118"/>
          <x v="119"/>
          <x v="120"/>
          <x v="121"/>
          <x v="122"/>
          <x v="123"/>
          <x v="241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91"/>
          <x v="146"/>
          <x v="147"/>
          <x v="191"/>
          <x v="191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90"/>
          <x v="160"/>
          <x v="161"/>
          <x v="162"/>
          <x v="163"/>
          <x v="164"/>
          <x v="165"/>
          <x v="166"/>
          <x v="167"/>
          <x v="168"/>
          <x v="169"/>
          <x v="192"/>
          <x v="193"/>
          <x v="212"/>
          <x v="214"/>
          <x v="230"/>
          <x v="228"/>
          <x v="235"/>
          <x v="249"/>
          <x v="248"/>
          <x v="267"/>
          <x v="191"/>
          <x v="171"/>
          <x v="172"/>
          <x v="173"/>
          <x v="174"/>
          <x v="175"/>
          <x v="176"/>
          <x v="177"/>
          <x v="178"/>
          <x v="179"/>
          <x v="180"/>
          <x v="181"/>
          <x v="210"/>
          <x v="197"/>
          <x v="182"/>
          <x v="190"/>
          <x v="183"/>
          <x v="184"/>
          <x v="190"/>
          <x v="185"/>
          <x v="186"/>
          <x v="187"/>
          <x v="188"/>
          <x v="189"/>
          <x v="190"/>
          <x v="190"/>
          <x v="190"/>
          <x v="190"/>
          <x v="190"/>
          <x v="191"/>
          <x v="216"/>
          <x v="237"/>
          <x v="251"/>
          <x v="271"/>
          <x v="190"/>
          <x v="191"/>
          <x v="191"/>
          <x v="198"/>
          <x v="238"/>
          <x v="252"/>
          <x v="269"/>
          <x v="190"/>
          <x v="191"/>
          <x v="190"/>
          <x v="191"/>
          <x v="192"/>
          <x v="192"/>
          <x v="208"/>
          <x v="215"/>
          <x v="233"/>
          <x v="245"/>
          <x v="250"/>
          <x v="209"/>
          <x v="246"/>
          <x v="191"/>
          <x v="190"/>
          <x v="219"/>
          <x v="191"/>
          <x v="202"/>
          <x v="191"/>
          <x v="191"/>
          <x v="217"/>
          <x v="231"/>
          <x v="259"/>
          <x v="201"/>
          <x v="218"/>
          <x v="191"/>
          <x v="262"/>
          <x v="236"/>
          <x v="224"/>
          <x v="191"/>
          <x v="192"/>
          <x v="268"/>
          <x v="270"/>
          <x v="194"/>
          <x v="255"/>
          <x v="192"/>
          <x v="205"/>
          <x v="221"/>
          <x v="242"/>
          <x v="263"/>
          <x v="234"/>
          <x v="222"/>
          <x v="229"/>
          <x v="257"/>
          <x v="240"/>
          <x v="261"/>
          <x v="191"/>
          <x v="195"/>
          <x v="211"/>
          <x v="256"/>
          <x v="192"/>
          <x v="196"/>
          <x v="213"/>
          <x v="226"/>
          <x v="232"/>
          <x v="206"/>
          <x v="191"/>
          <x v="192"/>
          <x v="223"/>
          <x v="244"/>
          <x v="247"/>
          <x v="264"/>
          <x v="207"/>
          <x v="243"/>
          <x v="191"/>
          <x v="200"/>
          <x v="220"/>
          <x v="192"/>
          <x v="225"/>
          <x v="266"/>
          <x v="191"/>
          <x v="203"/>
          <x v="239"/>
          <x v="258"/>
          <x v="260"/>
          <x v="199"/>
          <x v="265"/>
          <x v="254"/>
          <x v="227"/>
          <x v="253"/>
          <x v="204"/>
          <x v="192"/>
          <x v="192"/>
        </discretePr>
        <groupItems count="272">
          <m/>
          <d v="2025-01-21T00:00:00"/>
          <d v="2025-02-21T00:00:00"/>
          <d v="2025-04-22T00:00:00"/>
          <d v="2025-05-21T00:00:00"/>
          <d v="2025-03-20T00:00:00"/>
          <d v="2025-01-22T00:00:00"/>
          <d v="2025-01-10T00:00:00"/>
          <d v="2025-01-06T00:00:00"/>
          <d v="2025-01-30T00:00:00"/>
          <d v="2025-02-26T00:00:00"/>
          <d v="2025-02-07T00:00:00"/>
          <d v="2025-02-10T00:00:00"/>
          <d v="2025-02-11T00:00:00"/>
          <d v="2025-01-15T00:00:00"/>
          <d v="2025-01-09T00:00:00"/>
          <d v="2025-07-25T00:00:00"/>
          <d v="2025-08-06T00:00:00"/>
          <d v="2025-07-23T00:00:00"/>
          <d v="2025-07-29T00:00:00"/>
          <d v="2025-07-30T00:00:00"/>
          <d v="2025-08-01T00:00:00"/>
          <d v="2025-07-31T00:00:00"/>
          <d v="2025-08-18T00:00:00"/>
          <d v="2025-02-12T00:00:00"/>
          <d v="2025-03-06T00:00:00"/>
          <d v="2025-01-31T00:00:00"/>
          <d v="2025-04-30T00:00:00"/>
          <d v="2025-01-23T00:00:00"/>
          <d v="2025-01-27T00:00:00"/>
          <d v="2025-02-05T00:00:00"/>
          <d v="2025-03-17T00:00:00"/>
          <d v="2025-03-18T00:00:00"/>
          <d v="2025-01-29T00:00:00"/>
          <d v="2025-02-06T00:00:00"/>
          <d v="2025-03-07T00:00:00"/>
          <d v="2025-02-14T00:00:00"/>
          <d v="2025-02-28T00:00:00"/>
          <d v="2025-07-28T00:00:00"/>
          <d v="2025-02-20T00:00:00"/>
          <d v="2025-02-13T00:00:00"/>
          <d v="2025-03-11T00:00:00"/>
          <d v="2025-01-24T00:00:00"/>
          <d v="2025-02-27T00:00:00"/>
          <d v="2025-03-25T00:00:00"/>
          <d v="2025-04-04T00:00:00"/>
          <d v="2025-03-10T00:00:00"/>
          <d v="2025-03-05T00:00:00"/>
          <d v="2025-03-28T00:00:00"/>
          <d v="2025-04-07T00:00:00"/>
          <d v="2025-05-02T00:00:00"/>
          <d v="2025-04-29T00:00:00"/>
          <d v="2025-02-24T00:00:00"/>
          <d v="2025-03-26T00:00:00"/>
          <d v="2025-01-17T00:00:00"/>
          <d v="2025-01-20T00:00:00"/>
          <d v="2025-04-15T00:00:00"/>
          <d v="2025-02-19T00:00:00"/>
          <d v="2025-03-27T00:00:00"/>
          <d v="2025-05-23T00:00:00"/>
          <d v="2025-03-12T00:00:00"/>
          <d v="2025-03-13T00:00:00"/>
          <d v="2025-03-14T00:00:00"/>
          <d v="2025-03-19T00:00:00"/>
          <d v="2025-03-31T00:00:00"/>
          <d v="2025-06-13T00:00:00"/>
          <d v="2025-02-25T00:00:00"/>
          <d v="2025-02-17T00:00:00"/>
          <d v="2025-04-17T00:00:00"/>
          <d v="2025-03-21T00:00:00"/>
          <d v="2025-04-02T00:00:00"/>
          <d v="2025-04-28T00:00:00"/>
          <d v="2025-04-14T00:00:00"/>
          <d v="2025-05-13T00:00:00"/>
          <d v="2025-05-19T00:00:00"/>
          <d v="2025-03-24T00:00:00"/>
          <d v="2025-04-10T00:00:00"/>
          <d v="2025-04-23T00:00:00"/>
          <d v="2025-07-17T00:00:00"/>
          <d v="2025-05-05T00:00:00"/>
          <d v="2025-04-03T00:00:00"/>
          <d v="2025-04-08T00:00:00"/>
          <d v="2025-04-16T00:00:00"/>
          <d v="2025-06-12T00:00:00"/>
          <d v="2025-04-25T00:00:00"/>
          <d v="2025-04-09T00:00:00"/>
          <d v="2025-04-24T00:00:00"/>
          <d v="2025-05-20T00:00:00"/>
          <d v="2025-05-26T00:00:00"/>
          <d v="2025-08-25T00:00:00"/>
          <d v="2025-08-22T00:00:00"/>
          <d v="2025-05-22T00:00:00"/>
          <d v="2025-05-15T00:00:00"/>
          <d v="2025-05-07T00:00:00"/>
          <d v="2025-05-08T00:00:00"/>
          <d v="2025-05-12T00:00:00"/>
          <d v="2025-05-16T00:00:00"/>
          <d v="2025-05-29T00:00:00"/>
          <d v="2025-06-02T00:00:00"/>
          <d v="2025-06-23T00:00:00"/>
          <d v="2025-05-30T00:00:00"/>
          <d v="2025-06-05T00:00:00"/>
          <d v="2025-06-04T00:00:00"/>
          <d v="2025-06-19T00:00:00"/>
          <d v="2025-05-27T00:00:00"/>
          <d v="2025-06-25T00:00:00"/>
          <d v="2025-05-28T00:00:00"/>
          <d v="2025-06-06T00:00:00"/>
          <d v="2025-07-01T00:00:00"/>
          <d v="2025-06-16T00:00:00"/>
          <d v="2025-06-09T00:00:00"/>
          <d v="2025-06-11T00:00:00"/>
          <d v="2025-06-27T00:00:00"/>
          <d v="2025-05-14T00:00:00"/>
          <d v="2025-08-21T00:00:00"/>
          <d v="2025-06-10T00:00:00"/>
          <d v="2025-07-02T00:00:00"/>
          <d v="2025-07-15T00:00:00"/>
          <d v="2025-06-30T00:00:00"/>
          <d v="2025-07-03T00:00:00"/>
          <d v="2025-06-26T00:00:00"/>
          <d v="2025-06-20T00:00:00"/>
          <d v="2025-08-19T00:00:00"/>
          <d v="2025-09-05T00:00:00"/>
          <d v="2025-07-07T00:00:00"/>
          <d v="2025-07-16T00:00:00"/>
          <d v="2025-07-09T00:00:00"/>
          <d v="2025-07-14T00:00:00"/>
          <d v="2025-06-17T00:00:00"/>
          <d v="2025-07-04T00:00:00"/>
          <d v="2025-06-24T00:00:00"/>
          <d v="2025-07-08T00:00:00"/>
          <d v="2025-08-04T00:00:00"/>
          <d v="2025-08-05T00:00:00"/>
          <d v="2025-08-27T00:00:00"/>
          <d v="2025-10-15T00:00:00"/>
          <d v="2025-09-22T00:00:00"/>
          <d v="2025-07-22T00:00:00"/>
          <d v="2025-09-16T00:00:00"/>
          <d v="2025-09-08T00:00:00"/>
          <d v="2025-07-18T00:00:00"/>
          <d v="2025-07-21T00:00:00"/>
          <d v="2025-08-12T00:00:00"/>
          <d v="2025-08-14T00:00:00"/>
          <d v="2025-08-11T00:00:00"/>
          <d v="2025-08-15T00:00:00"/>
          <d v="2025-09-30T00:00:00"/>
          <d v="2025-08-07T00:00:00"/>
          <d v="2025-08-08T00:00:00"/>
          <d v="2025-07-24T00:00:00"/>
          <d v="2025-08-13T00:00:00"/>
          <d v="2025-08-20T00:00:00"/>
          <d v="2025-09-01T00:00:00"/>
          <d v="2025-09-04T00:00:00"/>
          <d v="2025-08-26T00:00:00"/>
          <d v="2025-08-28T00:00:00"/>
          <d v="2025-09-25T00:00:00"/>
          <d v="2025-08-29T00:00:00"/>
          <d v="2025-09-18T00:00:00"/>
          <d v="2025-10-06T00:00:00"/>
          <d v="2025-09-02T00:00:00"/>
          <d v="2025-09-19T00:00:00"/>
          <d v="2025-10-13T00:00:00"/>
          <d v="2025-10-23T00:00:00"/>
          <d v="2025-09-11T00:00:00"/>
          <d v="2025-09-03T00:00:00"/>
          <d v="2025-10-07T00:00:00"/>
          <d v="2025-10-17T00:00:00"/>
          <d v="2025-10-21T00:00:00"/>
          <d v="2025-09-17T00:00:00"/>
          <d v="2025-10-01T00:00:00"/>
          <d v="2025-09-23T00:00:00"/>
          <d v="2025-09-26T00:00:00"/>
          <d v="2025-09-29T00:00:00"/>
          <d v="2025-09-24T00:00:00"/>
          <d v="2025-10-09T00:00:00"/>
          <d v="2025-10-10T00:00:00"/>
          <d v="2025-10-27T00:00:00"/>
          <d v="2025-10-16T00:00:00"/>
          <d v="2025-09-09T00:00:00"/>
          <d v="2025-10-24T00:00:00"/>
          <d v="2025-10-31T00:00:00"/>
          <d v="2025-10-30T00:00:00"/>
          <d v="2025-10-03T00:00:00"/>
          <d v="2025-09-15T00:00:00"/>
          <d v="2025-10-08T00:00:00"/>
          <d v="2025-10-28T00:00:00"/>
          <d v="2025-10-22T00:00:00"/>
          <d v="2025-10-29T00:00:00"/>
          <d v="2025-10-20T00:00:00"/>
          <s v="Agrupar1"/>
          <s v="Agrupar2"/>
          <s v="Agrupar3"/>
          <d v="2026-01-26T00:00:00"/>
          <d v="2026-01-27T00:00:00"/>
          <d v="2026-01-28T00:00:00"/>
          <d v="2026-01-29T00:00:00"/>
          <d v="2026-01-30T00:00:00"/>
          <d v="2026-02-02T00:00:00"/>
          <d v="2026-02-03T00:00:00"/>
          <d v="2026-02-04T00:00:00"/>
          <d v="2026-02-05T00:00:00"/>
          <d v="2026-02-09T00:00:00"/>
          <d v="2026-02-10T00:00:00"/>
          <d v="2026-02-06T00:00:00"/>
          <d v="2026-02-11T00:00:00"/>
          <d v="2026-02-12T00:00:00"/>
          <d v="2026-02-13T00:00:00"/>
          <d v="2026-02-18T00:00:00"/>
          <d v="2026-02-19T00:00:00"/>
          <d v="2026-02-20T00:00:00"/>
          <d v="2026-02-23T00:00:00"/>
          <d v="2026-02-24T00:00:00"/>
          <d v="2026-02-25T00:00:00"/>
          <d v="2026-02-26T00:00:00"/>
          <d v="2026-02-27T00:00:00"/>
          <d v="2026-03-02T00:00:00"/>
          <d v="2026-03-03T00:00:00"/>
          <d v="2026-03-05T00:00:00"/>
          <d v="2026-03-06T00:00:00"/>
          <d v="2026-03-09T00:00:00"/>
          <d v="2026-03-11T00:00:00"/>
          <d v="2026-03-10T00:00:00"/>
          <d v="2026-03-12T00:00:00"/>
          <d v="2026-03-13T00:00:00"/>
          <d v="2026-03-16T00:00:00"/>
          <d v="2026-03-17T00:00:00"/>
          <d v="2026-03-18T00:00:00"/>
          <d v="2026-03-19T00:00:00"/>
          <d v="2026-03-20T00:00:00"/>
          <d v="2026-03-24T00:00:00"/>
          <d v="2026-03-25T00:00:00"/>
          <d v="2026-03-26T00:00:00"/>
          <d v="2026-03-27T00:00:00"/>
          <d v="2026-03-30T00:00:00"/>
          <d v="2026-03-31T00:00:00"/>
          <d v="2026-04-01T00:00:00"/>
          <d v="2026-04-02T00:00:00"/>
          <d v="2026-04-06T00:00:00"/>
          <d v="2026-04-08T00:00:00"/>
          <d v="2026-04-13T00:00:00"/>
          <d v="2026-04-14T00:00:00"/>
          <d v="2026-04-15T00:00:00"/>
          <d v="2026-04-16T00:00:00"/>
          <d v="2026-04-20T00:00:00"/>
          <d v="2026-04-22T00:00:00"/>
          <d v="2026-04-23T00:00:00"/>
          <d v="2026-04-24T00:00:00"/>
          <d v="2026-04-27T00:00:00"/>
          <d v="2026-04-28T00:00:00"/>
          <d v="2026-04-29T00:00:00"/>
          <d v="2026-04-30T00:00:00"/>
          <d v="2026-05-04T00:00:00"/>
          <d v="2026-05-05T00:00:00"/>
          <d v="2026-05-06T00:00:00"/>
          <d v="2026-05-07T00:00:00"/>
          <d v="2026-05-08T00:00:00"/>
          <d v="2026-05-11T00:00:00"/>
          <d v="2026-05-12T00:00:00"/>
          <d v="2026-05-13T00:00:00"/>
          <d v="2026-05-15T00:00:00"/>
          <d v="2026-05-18T00:00:00"/>
          <d v="2026-05-19T00:00:00"/>
          <d v="2026-05-20T00:00:00"/>
          <d v="2026-05-21T00:00:00"/>
          <d v="2026-05-22T00:00:00"/>
          <d v="2026-05-25T00:00:00"/>
          <d v="2026-05-26T00:00:00"/>
          <d v="2026-05-27T00:00:00"/>
          <d v="2026-05-28T00:00:00"/>
          <d v="2026-05-29T00:00:00"/>
          <d v="2026-06-01T00:00:00"/>
        </groupItems>
      </fieldGroup>
    </cacheField>
  </cacheFields>
  <extLst>
    <ext xmlns:x14="http://schemas.microsoft.com/office/spreadsheetml/2009/9/main" uri="{725AE2AE-9491-48be-B2B4-4EB974FC3084}">
      <x14:pivotCacheDefinition pivotCacheId="62356854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4">
  <r>
    <n v="1390"/>
    <s v="HUB"/>
    <x v="0"/>
    <x v="0"/>
    <x v="0"/>
    <s v="SERVIÇO"/>
    <x v="0"/>
    <x v="0"/>
    <n v="33803.85"/>
    <n v="32301.82"/>
    <x v="0"/>
    <x v="0"/>
    <x v="0"/>
    <x v="0"/>
    <n v="0"/>
    <x v="0"/>
    <x v="0"/>
    <s v="UT"/>
    <x v="0"/>
    <s v="SIM"/>
    <s v="RECUPERAÇÃO JUDICIAL"/>
    <m/>
  </r>
  <r>
    <n v="1390"/>
    <s v="HUB"/>
    <x v="0"/>
    <x v="0"/>
    <x v="0"/>
    <s v="SERVIÇO"/>
    <x v="1"/>
    <x v="1"/>
    <n v="185487.39"/>
    <n v="163878.10999999999"/>
    <x v="1"/>
    <x v="0"/>
    <x v="1"/>
    <x v="0"/>
    <n v="0"/>
    <x v="0"/>
    <x v="0"/>
    <s v="UT"/>
    <x v="0"/>
    <m/>
    <m/>
    <m/>
  </r>
  <r>
    <n v="1390"/>
    <s v="HUB"/>
    <x v="0"/>
    <x v="0"/>
    <x v="0"/>
    <s v="SERVIÇO"/>
    <x v="2"/>
    <x v="2"/>
    <n v="184286.01"/>
    <n v="162816.69"/>
    <x v="2"/>
    <x v="0"/>
    <x v="1"/>
    <x v="0"/>
    <n v="0"/>
    <x v="0"/>
    <x v="0"/>
    <s v="UT"/>
    <x v="0"/>
    <m/>
    <m/>
    <m/>
  </r>
  <r>
    <n v="1390"/>
    <s v="HUB"/>
    <x v="0"/>
    <x v="0"/>
    <x v="0"/>
    <s v="SERVIÇO"/>
    <x v="3"/>
    <x v="3"/>
    <n v="184286.01"/>
    <n v="162816.69"/>
    <x v="3"/>
    <x v="1"/>
    <x v="2"/>
    <x v="0"/>
    <n v="0"/>
    <x v="0"/>
    <x v="0"/>
    <s v="UT"/>
    <x v="0"/>
    <m/>
    <m/>
    <m/>
  </r>
  <r>
    <n v="1390"/>
    <s v="HUB"/>
    <x v="0"/>
    <x v="0"/>
    <x v="0"/>
    <s v="SERVIÇO"/>
    <x v="0"/>
    <x v="0"/>
    <n v="33803.85"/>
    <n v="32301.82"/>
    <x v="0"/>
    <x v="2"/>
    <x v="3"/>
    <x v="0"/>
    <n v="0"/>
    <x v="0"/>
    <x v="0"/>
    <s v="UT"/>
    <x v="0"/>
    <s v="SIM"/>
    <s v="RECUPERAÇÃO JUDICIAL"/>
    <m/>
  </r>
  <r>
    <n v="1390"/>
    <s v="HUB"/>
    <x v="0"/>
    <x v="0"/>
    <x v="0"/>
    <s v="SERVIÇO"/>
    <x v="0"/>
    <x v="0"/>
    <n v="33803.85"/>
    <n v="32301.82"/>
    <x v="0"/>
    <x v="3"/>
    <x v="4"/>
    <x v="0"/>
    <n v="0"/>
    <x v="0"/>
    <x v="0"/>
    <s v="UT"/>
    <x v="0"/>
    <s v="SIM"/>
    <s v="RECUPERAÇÃO JUDICIAL"/>
    <m/>
  </r>
  <r>
    <n v="1390"/>
    <s v="HUB"/>
    <x v="0"/>
    <x v="0"/>
    <x v="0"/>
    <s v="SERVIÇO"/>
    <x v="0"/>
    <x v="0"/>
    <n v="33803.85"/>
    <n v="32301.82"/>
    <x v="0"/>
    <x v="4"/>
    <x v="5"/>
    <x v="0"/>
    <n v="0"/>
    <x v="0"/>
    <x v="0"/>
    <s v="UT"/>
    <x v="0"/>
    <s v="SIM"/>
    <s v="RECUPERAÇÃO JUDICIAL"/>
    <m/>
  </r>
  <r>
    <n v="1390"/>
    <s v="HUB"/>
    <x v="0"/>
    <x v="0"/>
    <x v="0"/>
    <s v="SERVIÇO"/>
    <x v="0"/>
    <x v="0"/>
    <n v="33803.85"/>
    <n v="32301.82"/>
    <x v="0"/>
    <x v="5"/>
    <x v="6"/>
    <x v="0"/>
    <m/>
    <x v="0"/>
    <x v="0"/>
    <s v="UT"/>
    <x v="0"/>
    <s v="SIM"/>
    <s v="RECUPERAÇÃO JUDICIAL"/>
    <m/>
  </r>
  <r>
    <n v="1398"/>
    <s v="MATRIZ"/>
    <x v="1"/>
    <x v="1"/>
    <x v="1"/>
    <s v="SERVIÇO"/>
    <x v="4"/>
    <x v="4"/>
    <n v="275.56"/>
    <n v="258.62"/>
    <x v="4"/>
    <x v="6"/>
    <x v="7"/>
    <x v="0"/>
    <n v="0"/>
    <x v="0"/>
    <x v="0"/>
    <s v="UT"/>
    <x v="0"/>
    <m/>
    <m/>
    <m/>
  </r>
  <r>
    <n v="1398"/>
    <s v="MATRIZ"/>
    <x v="1"/>
    <x v="1"/>
    <x v="1"/>
    <s v="SERVIÇO"/>
    <x v="5"/>
    <x v="5"/>
    <n v="75919.81"/>
    <n v="71250.740000000005"/>
    <x v="5"/>
    <x v="7"/>
    <x v="8"/>
    <x v="0"/>
    <n v="0"/>
    <x v="0"/>
    <x v="0"/>
    <s v="UT"/>
    <x v="0"/>
    <m/>
    <m/>
    <m/>
  </r>
  <r>
    <n v="1398"/>
    <s v="MATRIZ"/>
    <x v="1"/>
    <x v="1"/>
    <x v="1"/>
    <s v="SERVIÇO"/>
    <x v="6"/>
    <x v="5"/>
    <n v="22241.65"/>
    <n v="20873.79"/>
    <x v="6"/>
    <x v="8"/>
    <x v="9"/>
    <x v="0"/>
    <n v="0"/>
    <x v="0"/>
    <x v="0"/>
    <s v="UT"/>
    <x v="0"/>
    <m/>
    <m/>
    <m/>
  </r>
  <r>
    <n v="1398"/>
    <s v="MATRIZ"/>
    <x v="1"/>
    <x v="1"/>
    <x v="1"/>
    <s v="SERVIÇO"/>
    <x v="7"/>
    <x v="6"/>
    <n v="48000"/>
    <n v="45048"/>
    <x v="7"/>
    <x v="7"/>
    <x v="10"/>
    <x v="0"/>
    <n v="0"/>
    <x v="0"/>
    <x v="0"/>
    <s v="UT"/>
    <x v="0"/>
    <m/>
    <m/>
    <m/>
  </r>
  <r>
    <n v="1398"/>
    <s v="MATRIZ"/>
    <x v="1"/>
    <x v="1"/>
    <x v="1"/>
    <s v="SERVIÇO"/>
    <x v="8"/>
    <x v="6"/>
    <n v="75919.81"/>
    <n v="71250.740000000005"/>
    <x v="8"/>
    <x v="9"/>
    <x v="11"/>
    <x v="0"/>
    <n v="0"/>
    <x v="0"/>
    <x v="0"/>
    <s v="UT"/>
    <x v="0"/>
    <m/>
    <m/>
    <m/>
  </r>
  <r>
    <n v="1398"/>
    <s v="MATRIZ"/>
    <x v="1"/>
    <x v="1"/>
    <x v="1"/>
    <s v="SERVIÇO"/>
    <x v="9"/>
    <x v="7"/>
    <n v="48000"/>
    <n v="45048"/>
    <x v="9"/>
    <x v="9"/>
    <x v="12"/>
    <x v="0"/>
    <n v="0"/>
    <x v="0"/>
    <x v="0"/>
    <s v="UT"/>
    <x v="0"/>
    <m/>
    <m/>
    <m/>
  </r>
  <r>
    <n v="1390"/>
    <s v="HUB"/>
    <x v="0"/>
    <x v="0"/>
    <x v="0"/>
    <s v="SERVIÇO"/>
    <x v="10"/>
    <x v="8"/>
    <n v="191510.84"/>
    <n v="169199.83"/>
    <x v="10"/>
    <x v="10"/>
    <x v="13"/>
    <x v="0"/>
    <n v="0"/>
    <x v="0"/>
    <x v="0"/>
    <s v="UT"/>
    <x v="0"/>
    <m/>
    <m/>
    <m/>
  </r>
  <r>
    <n v="1455"/>
    <s v="MATRIZ"/>
    <x v="2"/>
    <x v="2"/>
    <x v="2"/>
    <s v="SERVIÇO"/>
    <x v="11"/>
    <x v="2"/>
    <n v="3744"/>
    <n v="3307.82"/>
    <x v="11"/>
    <x v="11"/>
    <x v="14"/>
    <x v="0"/>
    <n v="0"/>
    <x v="0"/>
    <x v="0"/>
    <s v="MS"/>
    <x v="1"/>
    <m/>
    <m/>
    <m/>
  </r>
  <r>
    <n v="1398"/>
    <s v="MATRIZ"/>
    <x v="1"/>
    <x v="1"/>
    <x v="1"/>
    <s v="SERVIÇO"/>
    <x v="12"/>
    <x v="2"/>
    <n v="36914.53"/>
    <n v="34726.400000000001"/>
    <x v="12"/>
    <x v="11"/>
    <x v="15"/>
    <x v="0"/>
    <n v="0"/>
    <x v="0"/>
    <x v="0"/>
    <s v="UT"/>
    <x v="0"/>
    <m/>
    <m/>
    <m/>
  </r>
  <r>
    <n v="1398"/>
    <s v="MATRIZ"/>
    <x v="1"/>
    <x v="1"/>
    <x v="1"/>
    <s v="SERVIÇO"/>
    <x v="13"/>
    <x v="2"/>
    <n v="11210.79"/>
    <n v="10521.33"/>
    <x v="12"/>
    <x v="11"/>
    <x v="15"/>
    <x v="0"/>
    <n v="0"/>
    <x v="0"/>
    <x v="0"/>
    <s v="UT"/>
    <x v="0"/>
    <m/>
    <m/>
    <m/>
  </r>
  <r>
    <n v="1398"/>
    <s v="MATRIZ"/>
    <x v="1"/>
    <x v="1"/>
    <x v="1"/>
    <s v="SERVIÇO"/>
    <x v="14"/>
    <x v="2"/>
    <n v="13110.33"/>
    <n v="12304.05"/>
    <x v="13"/>
    <x v="12"/>
    <x v="16"/>
    <x v="0"/>
    <n v="0"/>
    <x v="0"/>
    <x v="0"/>
    <s v="UT"/>
    <x v="0"/>
    <m/>
    <m/>
    <m/>
  </r>
  <r>
    <n v="1398"/>
    <s v="MATRIZ"/>
    <x v="1"/>
    <x v="1"/>
    <x v="1"/>
    <s v="SERVIÇO"/>
    <x v="15"/>
    <x v="7"/>
    <n v="26093.54"/>
    <n v="24488.79"/>
    <x v="14"/>
    <x v="6"/>
    <x v="17"/>
    <x v="0"/>
    <n v="0"/>
    <x v="0"/>
    <x v="0"/>
    <s v="UT"/>
    <x v="0"/>
    <m/>
    <m/>
    <m/>
  </r>
  <r>
    <n v="1390"/>
    <s v="HUB"/>
    <x v="0"/>
    <x v="0"/>
    <x v="0"/>
    <s v="SERVIÇO"/>
    <x v="16"/>
    <x v="9"/>
    <n v="182670.84"/>
    <n v="161389.68"/>
    <x v="15"/>
    <x v="13"/>
    <x v="18"/>
    <x v="0"/>
    <n v="0"/>
    <x v="0"/>
    <x v="0"/>
    <s v="UT"/>
    <x v="0"/>
    <m/>
    <m/>
    <m/>
  </r>
  <r>
    <n v="1455"/>
    <s v="MATRIZ"/>
    <x v="2"/>
    <x v="2"/>
    <x v="2"/>
    <s v="SERVIÇO"/>
    <x v="17"/>
    <x v="3"/>
    <n v="6240"/>
    <n v="5513.04"/>
    <x v="11"/>
    <x v="11"/>
    <x v="14"/>
    <x v="0"/>
    <n v="0"/>
    <x v="0"/>
    <x v="0"/>
    <s v="MS"/>
    <x v="1"/>
    <m/>
    <m/>
    <m/>
  </r>
  <r>
    <n v="1292"/>
    <s v="SP"/>
    <x v="3"/>
    <x v="3"/>
    <x v="3"/>
    <s v="SERVIÇO"/>
    <x v="18"/>
    <x v="3"/>
    <n v="88281.31"/>
    <n v="82852.009999999995"/>
    <x v="16"/>
    <x v="14"/>
    <x v="19"/>
    <x v="0"/>
    <n v="0"/>
    <x v="0"/>
    <x v="1"/>
    <s v="FS"/>
    <x v="2"/>
    <m/>
    <m/>
    <m/>
  </r>
  <r>
    <n v="1398"/>
    <s v="MATRIZ"/>
    <x v="1"/>
    <x v="1"/>
    <x v="1"/>
    <s v="SERVIÇO"/>
    <x v="19"/>
    <x v="3"/>
    <n v="38316"/>
    <n v="35959.57"/>
    <x v="11"/>
    <x v="15"/>
    <x v="20"/>
    <x v="0"/>
    <n v="0"/>
    <x v="0"/>
    <x v="0"/>
    <s v="UT"/>
    <x v="0"/>
    <m/>
    <m/>
    <m/>
  </r>
  <r>
    <n v="1398"/>
    <s v="MATRIZ"/>
    <x v="1"/>
    <x v="1"/>
    <x v="1"/>
    <s v="SERVIÇO"/>
    <x v="20"/>
    <x v="3"/>
    <n v="11210.79"/>
    <n v="10521.33"/>
    <x v="17"/>
    <x v="1"/>
    <x v="2"/>
    <x v="0"/>
    <n v="0"/>
    <x v="0"/>
    <x v="0"/>
    <s v="UT"/>
    <x v="0"/>
    <m/>
    <m/>
    <m/>
  </r>
  <r>
    <n v="1398"/>
    <s v="MATRIZ"/>
    <x v="1"/>
    <x v="1"/>
    <x v="1"/>
    <s v="SERVIÇO"/>
    <x v="21"/>
    <x v="3"/>
    <n v="36914.53"/>
    <n v="35873.1"/>
    <x v="17"/>
    <x v="1"/>
    <x v="2"/>
    <x v="0"/>
    <n v="0"/>
    <x v="0"/>
    <x v="0"/>
    <s v="UT"/>
    <x v="0"/>
    <m/>
    <m/>
    <m/>
  </r>
  <r>
    <n v="1398"/>
    <s v="MATRIZ"/>
    <x v="1"/>
    <x v="1"/>
    <x v="1"/>
    <s v="SERVIÇO"/>
    <x v="22"/>
    <x v="7"/>
    <n v="75919.81"/>
    <n v="71250.740000000005"/>
    <x v="18"/>
    <x v="16"/>
    <x v="21"/>
    <x v="0"/>
    <n v="0"/>
    <x v="0"/>
    <x v="0"/>
    <s v="UT"/>
    <x v="0"/>
    <m/>
    <m/>
    <m/>
  </r>
  <r>
    <n v="1398"/>
    <s v="MATRIZ"/>
    <x v="1"/>
    <x v="1"/>
    <x v="1"/>
    <s v="SERVIÇO"/>
    <x v="23"/>
    <x v="3"/>
    <n v="13110.33"/>
    <n v="12304.04"/>
    <x v="17"/>
    <x v="1"/>
    <x v="22"/>
    <x v="0"/>
    <n v="0"/>
    <x v="0"/>
    <x v="0"/>
    <s v="UT"/>
    <x v="0"/>
    <m/>
    <m/>
    <m/>
  </r>
  <r>
    <n v="1300"/>
    <s v="HUB"/>
    <x v="0"/>
    <x v="4"/>
    <x v="4"/>
    <s v="SERVIÇO"/>
    <x v="24"/>
    <x v="3"/>
    <n v="305213.15000000002"/>
    <n v="275760.08"/>
    <x v="19"/>
    <x v="17"/>
    <x v="23"/>
    <x v="0"/>
    <n v="0"/>
    <x v="0"/>
    <x v="0"/>
    <s v="UT"/>
    <x v="0"/>
    <m/>
    <m/>
    <m/>
  </r>
  <r>
    <n v="1378"/>
    <s v="MATRIZ"/>
    <x v="4"/>
    <x v="5"/>
    <x v="5"/>
    <s v="SERVIÇO"/>
    <x v="25"/>
    <x v="3"/>
    <n v="4281.29"/>
    <n v="4017.99"/>
    <x v="20"/>
    <x v="11"/>
    <x v="24"/>
    <x v="0"/>
    <n v="0"/>
    <x v="0"/>
    <x v="2"/>
    <s v="FS"/>
    <x v="0"/>
    <s v="SIM"/>
    <s v="FATURADO - A RECEBER"/>
    <m/>
  </r>
  <r>
    <n v="1390"/>
    <s v="HUB"/>
    <x v="0"/>
    <x v="0"/>
    <x v="0"/>
    <s v="SERVIÇO"/>
    <x v="26"/>
    <x v="9"/>
    <n v="8840"/>
    <n v="7810.14"/>
    <x v="15"/>
    <x v="13"/>
    <x v="18"/>
    <x v="0"/>
    <n v="0"/>
    <x v="0"/>
    <x v="0"/>
    <s v="UT"/>
    <x v="0"/>
    <m/>
    <m/>
    <m/>
  </r>
  <r>
    <n v="1481"/>
    <s v="SP"/>
    <x v="4"/>
    <x v="6"/>
    <x v="6"/>
    <s v="SERVIÇO"/>
    <x v="27"/>
    <x v="3"/>
    <n v="75283.92"/>
    <n v="70653.960000000006"/>
    <x v="19"/>
    <x v="11"/>
    <x v="14"/>
    <x v="0"/>
    <n v="0"/>
    <x v="0"/>
    <x v="1"/>
    <s v="FS"/>
    <x v="0"/>
    <m/>
    <m/>
    <m/>
  </r>
  <r>
    <n v="1394"/>
    <s v="MATRIZ"/>
    <x v="5"/>
    <x v="7"/>
    <x v="7"/>
    <s v="SERVIÇO"/>
    <x v="28"/>
    <x v="3"/>
    <n v="52020"/>
    <n v="48482.64"/>
    <x v="21"/>
    <x v="18"/>
    <x v="25"/>
    <x v="0"/>
    <m/>
    <x v="0"/>
    <x v="0"/>
    <s v="PS"/>
    <x v="1"/>
    <s v="Não existe"/>
    <m/>
    <m/>
  </r>
  <r>
    <n v="1394"/>
    <s v="MATRIZ"/>
    <x v="5"/>
    <x v="7"/>
    <x v="7"/>
    <s v="SERVIÇO"/>
    <x v="29"/>
    <x v="3"/>
    <n v="173413.32"/>
    <n v="161621.21"/>
    <x v="21"/>
    <x v="19"/>
    <x v="26"/>
    <x v="0"/>
    <m/>
    <x v="0"/>
    <x v="0"/>
    <s v="PS"/>
    <x v="1"/>
    <s v="Não existe"/>
    <m/>
    <m/>
  </r>
  <r>
    <n v="1394"/>
    <s v="MATRIZ"/>
    <x v="5"/>
    <x v="7"/>
    <x v="7"/>
    <s v="SERVIÇO"/>
    <x v="30"/>
    <x v="3"/>
    <n v="77551.97"/>
    <n v="72278.44"/>
    <x v="22"/>
    <x v="18"/>
    <x v="27"/>
    <x v="0"/>
    <m/>
    <x v="0"/>
    <x v="0"/>
    <s v="PS"/>
    <x v="1"/>
    <s v="Não existe"/>
    <m/>
    <m/>
  </r>
  <r>
    <n v="1394"/>
    <s v="MATRIZ"/>
    <x v="5"/>
    <x v="7"/>
    <x v="7"/>
    <s v="SERVIÇO"/>
    <x v="31"/>
    <x v="3"/>
    <n v="123.48"/>
    <n v="115.08"/>
    <x v="22"/>
    <x v="20"/>
    <x v="28"/>
    <x v="0"/>
    <m/>
    <x v="0"/>
    <x v="0"/>
    <s v="PS"/>
    <x v="1"/>
    <s v="Não existe"/>
    <m/>
    <m/>
  </r>
  <r>
    <n v="1394"/>
    <s v="MATRIZ"/>
    <x v="5"/>
    <x v="7"/>
    <x v="7"/>
    <s v="SERVIÇO"/>
    <x v="32"/>
    <x v="3"/>
    <n v="47838.29"/>
    <n v="44585.279999999999"/>
    <x v="23"/>
    <x v="20"/>
    <x v="29"/>
    <x v="0"/>
    <m/>
    <x v="0"/>
    <x v="0"/>
    <s v="PS"/>
    <x v="1"/>
    <s v="Não existe"/>
    <m/>
    <m/>
  </r>
  <r>
    <n v="1394"/>
    <s v="MATRIZ"/>
    <x v="5"/>
    <x v="7"/>
    <x v="7"/>
    <s v="SERVIÇO"/>
    <x v="33"/>
    <x v="3"/>
    <n v="68299.320000000007"/>
    <n v="63654.96"/>
    <x v="24"/>
    <x v="21"/>
    <x v="30"/>
    <x v="0"/>
    <m/>
    <x v="0"/>
    <x v="0"/>
    <s v="PS"/>
    <x v="1"/>
    <s v="Não existe"/>
    <m/>
    <m/>
  </r>
  <r>
    <n v="1394"/>
    <s v="MATRIZ"/>
    <x v="5"/>
    <x v="7"/>
    <x v="7"/>
    <s v="SERVIÇO"/>
    <x v="34"/>
    <x v="3"/>
    <n v="96756.27"/>
    <n v="90176.84"/>
    <x v="25"/>
    <x v="20"/>
    <x v="31"/>
    <x v="0"/>
    <m/>
    <x v="0"/>
    <x v="0"/>
    <s v="PS"/>
    <x v="1"/>
    <s v="Não existe"/>
    <m/>
    <m/>
  </r>
  <r>
    <n v="1394"/>
    <s v="MATRIZ"/>
    <x v="5"/>
    <x v="7"/>
    <x v="7"/>
    <s v="SERVIÇO"/>
    <x v="35"/>
    <x v="3"/>
    <n v="135430.28"/>
    <n v="126221.02"/>
    <x v="26"/>
    <x v="22"/>
    <x v="32"/>
    <x v="0"/>
    <m/>
    <x v="0"/>
    <x v="0"/>
    <s v="PS"/>
    <x v="1"/>
    <s v="Não existe"/>
    <m/>
    <m/>
  </r>
  <r>
    <n v="1394"/>
    <s v="MATRIZ"/>
    <x v="5"/>
    <x v="7"/>
    <x v="7"/>
    <s v="SERVIÇO"/>
    <x v="36"/>
    <x v="3"/>
    <n v="10692.26"/>
    <n v="9965.18"/>
    <x v="27"/>
    <x v="19"/>
    <x v="26"/>
    <x v="0"/>
    <n v="0"/>
    <x v="0"/>
    <x v="0"/>
    <s v="PS"/>
    <x v="1"/>
    <m/>
    <m/>
    <m/>
  </r>
  <r>
    <n v="1360"/>
    <s v="SP"/>
    <x v="3"/>
    <x v="8"/>
    <x v="8"/>
    <s v="SERVIÇO"/>
    <x v="37"/>
    <x v="3"/>
    <n v="24312.400000000001"/>
    <n v="22817.19"/>
    <x v="28"/>
    <x v="1"/>
    <x v="33"/>
    <x v="0"/>
    <m/>
    <x v="0"/>
    <x v="1"/>
    <s v="FS"/>
    <x v="2"/>
    <m/>
    <m/>
    <m/>
  </r>
  <r>
    <n v="1483"/>
    <s v="MATRIZ"/>
    <x v="1"/>
    <x v="9"/>
    <x v="9"/>
    <s v="SERVIÇO"/>
    <x v="38"/>
    <x v="3"/>
    <n v="28856.799999999999"/>
    <n v="26062.11"/>
    <x v="29"/>
    <x v="23"/>
    <x v="34"/>
    <x v="0"/>
    <n v="0"/>
    <x v="0"/>
    <x v="0"/>
    <s v="UT"/>
    <x v="0"/>
    <m/>
    <m/>
    <m/>
  </r>
  <r>
    <n v="1483"/>
    <s v="MATRIZ"/>
    <x v="1"/>
    <x v="9"/>
    <x v="9"/>
    <s v="SERVIÇO"/>
    <x v="39"/>
    <x v="3"/>
    <n v="53591.199999999997"/>
    <n v="48300.35"/>
    <x v="30"/>
    <x v="23"/>
    <x v="34"/>
    <x v="0"/>
    <n v="0"/>
    <x v="0"/>
    <x v="0"/>
    <s v="UT"/>
    <x v="0"/>
    <m/>
    <m/>
    <m/>
  </r>
  <r>
    <n v="1455"/>
    <s v="MATRIZ"/>
    <x v="2"/>
    <x v="2"/>
    <x v="2"/>
    <s v="SERVIÇO"/>
    <x v="40"/>
    <x v="10"/>
    <n v="54003.39"/>
    <n v="47712"/>
    <x v="31"/>
    <x v="12"/>
    <x v="35"/>
    <x v="0"/>
    <m/>
    <x v="0"/>
    <x v="0"/>
    <s v="MS"/>
    <x v="1"/>
    <m/>
    <m/>
    <m/>
  </r>
  <r>
    <n v="1455"/>
    <s v="MATRIZ"/>
    <x v="2"/>
    <x v="2"/>
    <x v="2"/>
    <s v="SERVIÇO"/>
    <x v="41"/>
    <x v="10"/>
    <n v="2857.25"/>
    <n v="2524.38"/>
    <x v="32"/>
    <x v="12"/>
    <x v="35"/>
    <x v="0"/>
    <m/>
    <x v="0"/>
    <x v="0"/>
    <s v="MS"/>
    <x v="1"/>
    <m/>
    <m/>
    <m/>
  </r>
  <r>
    <n v="1455"/>
    <s v="MATRIZ"/>
    <x v="2"/>
    <x v="2"/>
    <x v="2"/>
    <s v="SERVIÇO"/>
    <x v="42"/>
    <x v="10"/>
    <n v="2418"/>
    <n v="2136.3000000000002"/>
    <x v="32"/>
    <x v="12"/>
    <x v="35"/>
    <x v="0"/>
    <m/>
    <x v="0"/>
    <x v="0"/>
    <s v="MS"/>
    <x v="1"/>
    <m/>
    <m/>
    <m/>
  </r>
  <r>
    <n v="1455"/>
    <s v="MATRIZ"/>
    <x v="2"/>
    <x v="2"/>
    <x v="2"/>
    <s v="SERVIÇO"/>
    <x v="43"/>
    <x v="10"/>
    <n v="54003.39"/>
    <n v="47712"/>
    <x v="33"/>
    <x v="24"/>
    <x v="36"/>
    <x v="0"/>
    <m/>
    <x v="0"/>
    <x v="0"/>
    <s v="MS"/>
    <x v="1"/>
    <m/>
    <m/>
    <m/>
  </r>
  <r>
    <n v="1478"/>
    <s v="SP"/>
    <x v="3"/>
    <x v="10"/>
    <x v="10"/>
    <s v="SERVIÇO"/>
    <x v="44"/>
    <x v="10"/>
    <n v="231360"/>
    <n v="217131.36"/>
    <x v="31"/>
    <x v="11"/>
    <x v="14"/>
    <x v="0"/>
    <m/>
    <x v="0"/>
    <x v="1"/>
    <s v="FS"/>
    <x v="2"/>
    <m/>
    <m/>
    <m/>
  </r>
  <r>
    <n v="1391"/>
    <s v="SP"/>
    <x v="3"/>
    <x v="11"/>
    <x v="11"/>
    <s v="SERVIÇO"/>
    <x v="45"/>
    <x v="10"/>
    <n v="125126.52"/>
    <n v="117431.24"/>
    <x v="34"/>
    <x v="0"/>
    <x v="37"/>
    <x v="0"/>
    <m/>
    <x v="0"/>
    <x v="1"/>
    <s v="FS"/>
    <x v="2"/>
    <m/>
    <m/>
    <m/>
  </r>
  <r>
    <n v="1391"/>
    <s v="SP"/>
    <x v="3"/>
    <x v="11"/>
    <x v="11"/>
    <s v="SERVIÇO"/>
    <x v="46"/>
    <x v="10"/>
    <n v="101943.56"/>
    <n v="95674.03"/>
    <x v="34"/>
    <x v="0"/>
    <x v="37"/>
    <x v="0"/>
    <m/>
    <x v="0"/>
    <x v="1"/>
    <s v="FS"/>
    <x v="2"/>
    <m/>
    <m/>
    <m/>
  </r>
  <r>
    <n v="1391"/>
    <s v="SP"/>
    <x v="3"/>
    <x v="11"/>
    <x v="11"/>
    <s v="SERVIÇO"/>
    <x v="47"/>
    <x v="10"/>
    <n v="221873.85"/>
    <n v="208228.61"/>
    <x v="34"/>
    <x v="0"/>
    <x v="37"/>
    <x v="0"/>
    <m/>
    <x v="0"/>
    <x v="1"/>
    <s v="FS"/>
    <x v="2"/>
    <m/>
    <m/>
    <m/>
  </r>
  <r>
    <n v="1391"/>
    <s v="SP"/>
    <x v="3"/>
    <x v="11"/>
    <x v="11"/>
    <s v="SERVIÇO"/>
    <x v="48"/>
    <x v="10"/>
    <n v="73997.55"/>
    <n v="69446.7"/>
    <x v="34"/>
    <x v="0"/>
    <x v="37"/>
    <x v="0"/>
    <m/>
    <x v="0"/>
    <x v="1"/>
    <s v="FS"/>
    <x v="2"/>
    <m/>
    <m/>
    <m/>
  </r>
  <r>
    <n v="1294"/>
    <s v="SP"/>
    <x v="3"/>
    <x v="11"/>
    <x v="12"/>
    <s v="SERVIÇO"/>
    <x v="49"/>
    <x v="10"/>
    <n v="32371.040000000001"/>
    <n v="30380.22"/>
    <x v="34"/>
    <x v="0"/>
    <x v="37"/>
    <x v="0"/>
    <n v="0"/>
    <x v="0"/>
    <x v="1"/>
    <s v="FS"/>
    <x v="2"/>
    <m/>
    <m/>
    <m/>
  </r>
  <r>
    <n v="1294"/>
    <s v="SP"/>
    <x v="3"/>
    <x v="11"/>
    <x v="12"/>
    <s v="SERVIÇO"/>
    <x v="50"/>
    <x v="10"/>
    <n v="106153.74"/>
    <n v="99625.279999999999"/>
    <x v="35"/>
    <x v="12"/>
    <x v="38"/>
    <x v="0"/>
    <n v="0"/>
    <x v="0"/>
    <x v="1"/>
    <s v="FS"/>
    <x v="2"/>
    <m/>
    <m/>
    <m/>
  </r>
  <r>
    <n v="1294"/>
    <s v="SP"/>
    <x v="3"/>
    <x v="11"/>
    <x v="12"/>
    <s v="SERVIÇO"/>
    <x v="51"/>
    <x v="10"/>
    <n v="232263.03"/>
    <n v="217978.85"/>
    <x v="35"/>
    <x v="12"/>
    <x v="38"/>
    <x v="0"/>
    <n v="0"/>
    <x v="0"/>
    <x v="1"/>
    <s v="FS"/>
    <x v="2"/>
    <m/>
    <m/>
    <m/>
  </r>
  <r>
    <n v="1474"/>
    <s v="SP"/>
    <x v="3"/>
    <x v="11"/>
    <x v="13"/>
    <s v="SERVIÇO"/>
    <x v="52"/>
    <x v="10"/>
    <n v="18741.330000000002"/>
    <n v="17588.740000000002"/>
    <x v="35"/>
    <x v="12"/>
    <x v="38"/>
    <x v="0"/>
    <m/>
    <x v="0"/>
    <x v="0"/>
    <s v="FS"/>
    <x v="2"/>
    <m/>
    <m/>
    <m/>
  </r>
  <r>
    <n v="1285"/>
    <s v="SP"/>
    <x v="3"/>
    <x v="11"/>
    <x v="14"/>
    <s v="SERVIÇO"/>
    <x v="53"/>
    <x v="10"/>
    <n v="24926.36"/>
    <n v="23393.38"/>
    <x v="36"/>
    <x v="12"/>
    <x v="38"/>
    <x v="0"/>
    <n v="0"/>
    <x v="0"/>
    <x v="1"/>
    <s v="FS"/>
    <x v="2"/>
    <m/>
    <m/>
    <m/>
  </r>
  <r>
    <n v="1285"/>
    <s v="SP"/>
    <x v="3"/>
    <x v="11"/>
    <x v="14"/>
    <s v="SERVIÇO"/>
    <x v="54"/>
    <x v="10"/>
    <n v="18108.12"/>
    <n v="16994.47"/>
    <x v="37"/>
    <x v="12"/>
    <x v="38"/>
    <x v="0"/>
    <n v="0"/>
    <x v="0"/>
    <x v="1"/>
    <s v="FS"/>
    <x v="2"/>
    <m/>
    <m/>
    <m/>
  </r>
  <r>
    <n v="1285"/>
    <s v="SP"/>
    <x v="3"/>
    <x v="11"/>
    <x v="14"/>
    <s v="SERVIÇO"/>
    <x v="55"/>
    <x v="10"/>
    <n v="5998.84"/>
    <n v="5629.91"/>
    <x v="37"/>
    <x v="12"/>
    <x v="38"/>
    <x v="0"/>
    <n v="0"/>
    <x v="0"/>
    <x v="1"/>
    <s v="FS"/>
    <x v="2"/>
    <m/>
    <m/>
    <m/>
  </r>
  <r>
    <n v="1292"/>
    <s v="SP"/>
    <x v="3"/>
    <x v="3"/>
    <x v="3"/>
    <s v="SERVIÇO"/>
    <x v="56"/>
    <x v="10"/>
    <n v="21201.52"/>
    <n v="19897.63"/>
    <x v="38"/>
    <x v="15"/>
    <x v="39"/>
    <x v="0"/>
    <n v="0"/>
    <x v="0"/>
    <x v="1"/>
    <s v="FS"/>
    <x v="2"/>
    <m/>
    <m/>
    <m/>
  </r>
  <r>
    <n v="1292"/>
    <s v="SP"/>
    <x v="3"/>
    <x v="3"/>
    <x v="3"/>
    <s v="SERVIÇO"/>
    <x v="57"/>
    <x v="10"/>
    <n v="27461.040000000001"/>
    <n v="25772.18"/>
    <x v="38"/>
    <x v="15"/>
    <x v="39"/>
    <x v="0"/>
    <n v="0"/>
    <x v="0"/>
    <x v="1"/>
    <s v="FS"/>
    <x v="2"/>
    <m/>
    <m/>
    <m/>
  </r>
  <r>
    <n v="1292"/>
    <s v="SP"/>
    <x v="3"/>
    <x v="3"/>
    <x v="3"/>
    <s v="SERVIÇO"/>
    <x v="58"/>
    <x v="10"/>
    <n v="88281.31"/>
    <n v="82852.009999999995"/>
    <x v="16"/>
    <x v="14"/>
    <x v="19"/>
    <x v="0"/>
    <n v="0"/>
    <x v="0"/>
    <x v="1"/>
    <s v="FS"/>
    <x v="2"/>
    <m/>
    <m/>
    <m/>
  </r>
  <r>
    <n v="1398"/>
    <s v="MATRIZ"/>
    <x v="1"/>
    <x v="1"/>
    <x v="1"/>
    <s v="SERVIÇO"/>
    <x v="59"/>
    <x v="10"/>
    <n v="48000"/>
    <n v="45048"/>
    <x v="32"/>
    <x v="12"/>
    <x v="35"/>
    <x v="0"/>
    <n v="0"/>
    <x v="0"/>
    <x v="0"/>
    <s v="UT"/>
    <x v="0"/>
    <m/>
    <m/>
    <m/>
  </r>
  <r>
    <n v="1398"/>
    <s v="MATRIZ"/>
    <x v="1"/>
    <x v="1"/>
    <x v="1"/>
    <s v="SERVIÇO"/>
    <x v="60"/>
    <x v="10"/>
    <n v="14880"/>
    <n v="13964.88"/>
    <x v="3"/>
    <x v="1"/>
    <x v="2"/>
    <x v="0"/>
    <n v="0"/>
    <x v="0"/>
    <x v="0"/>
    <s v="UT"/>
    <x v="0"/>
    <m/>
    <m/>
    <m/>
  </r>
  <r>
    <n v="1398"/>
    <s v="MATRIZ"/>
    <x v="1"/>
    <x v="1"/>
    <x v="1"/>
    <s v="SERVIÇO"/>
    <x v="61"/>
    <x v="10"/>
    <n v="11210.79"/>
    <n v="10521.33"/>
    <x v="39"/>
    <x v="3"/>
    <x v="40"/>
    <x v="0"/>
    <n v="0"/>
    <x v="0"/>
    <x v="0"/>
    <s v="UT"/>
    <x v="0"/>
    <m/>
    <m/>
    <m/>
  </r>
  <r>
    <n v="1398"/>
    <s v="MATRIZ"/>
    <x v="1"/>
    <x v="1"/>
    <x v="1"/>
    <s v="SERVIÇO"/>
    <x v="62"/>
    <x v="10"/>
    <n v="36914.53"/>
    <n v="34726.400000000001"/>
    <x v="40"/>
    <x v="3"/>
    <x v="41"/>
    <x v="0"/>
    <n v="0"/>
    <x v="0"/>
    <x v="0"/>
    <s v="UT"/>
    <x v="0"/>
    <m/>
    <m/>
    <m/>
  </r>
  <r>
    <n v="1398"/>
    <s v="MATRIZ"/>
    <x v="1"/>
    <x v="1"/>
    <x v="1"/>
    <s v="SERVIÇO"/>
    <x v="63"/>
    <x v="10"/>
    <n v="23241.33"/>
    <n v="21811.99"/>
    <x v="40"/>
    <x v="3"/>
    <x v="41"/>
    <x v="0"/>
    <n v="0"/>
    <x v="0"/>
    <x v="0"/>
    <s v="UT"/>
    <x v="0"/>
    <m/>
    <m/>
    <m/>
  </r>
  <r>
    <n v="1393"/>
    <s v="MATRIZ"/>
    <x v="2"/>
    <x v="12"/>
    <x v="15"/>
    <s v="SERVIÇO"/>
    <x v="64"/>
    <x v="10"/>
    <n v="432751.13"/>
    <n v="388177.77"/>
    <x v="41"/>
    <x v="12"/>
    <x v="42"/>
    <x v="0"/>
    <n v="0"/>
    <x v="0"/>
    <x v="0"/>
    <s v="PS"/>
    <x v="1"/>
    <m/>
    <m/>
    <m/>
  </r>
  <r>
    <n v="1476"/>
    <s v="MATRIZ"/>
    <x v="2"/>
    <x v="13"/>
    <x v="16"/>
    <s v="SERVIÇO"/>
    <x v="65"/>
    <x v="10"/>
    <n v="318628.40000000002"/>
    <n v="285809.68"/>
    <x v="34"/>
    <x v="15"/>
    <x v="43"/>
    <x v="0"/>
    <m/>
    <x v="0"/>
    <x v="0"/>
    <s v="PS"/>
    <x v="1"/>
    <m/>
    <m/>
    <m/>
  </r>
  <r>
    <n v="1300"/>
    <s v="HUB"/>
    <x v="0"/>
    <x v="4"/>
    <x v="4"/>
    <s v="SERVIÇO"/>
    <x v="66"/>
    <x v="10"/>
    <n v="269370.34999999998"/>
    <n v="243376.11"/>
    <x v="42"/>
    <x v="23"/>
    <x v="44"/>
    <x v="0"/>
    <n v="0"/>
    <x v="0"/>
    <x v="0"/>
    <s v="UT"/>
    <x v="0"/>
    <m/>
    <m/>
    <m/>
  </r>
  <r>
    <n v="1300"/>
    <s v="HUB"/>
    <x v="0"/>
    <x v="4"/>
    <x v="4"/>
    <s v="SERVIÇO"/>
    <x v="67"/>
    <x v="10"/>
    <n v="35127.120000000003"/>
    <n v="31737.35"/>
    <x v="42"/>
    <x v="1"/>
    <x v="33"/>
    <x v="0"/>
    <n v="0"/>
    <x v="0"/>
    <x v="0"/>
    <s v="UT"/>
    <x v="0"/>
    <m/>
    <m/>
    <m/>
  </r>
  <r>
    <n v="1290"/>
    <s v="MATRIZ"/>
    <x v="2"/>
    <x v="14"/>
    <x v="17"/>
    <s v="SERVIÇO"/>
    <x v="68"/>
    <x v="10"/>
    <n v="53175.27"/>
    <n v="46980.35"/>
    <x v="32"/>
    <x v="15"/>
    <x v="43"/>
    <x v="0"/>
    <n v="0"/>
    <x v="0"/>
    <x v="0"/>
    <s v="UT"/>
    <x v="1"/>
    <m/>
    <m/>
    <m/>
  </r>
  <r>
    <n v="1475"/>
    <s v="MATRIZ"/>
    <x v="6"/>
    <x v="15"/>
    <x v="18"/>
    <s v="SERVIÇO"/>
    <x v="69"/>
    <x v="10"/>
    <n v="67387.39"/>
    <n v="60446.49"/>
    <x v="42"/>
    <x v="12"/>
    <x v="16"/>
    <x v="0"/>
    <n v="0"/>
    <x v="0"/>
    <x v="1"/>
    <s v="PS"/>
    <x v="3"/>
    <m/>
    <m/>
    <m/>
  </r>
  <r>
    <n v="1378"/>
    <s v="MATRIZ"/>
    <x v="4"/>
    <x v="5"/>
    <x v="5"/>
    <s v="SERVIÇO"/>
    <x v="70"/>
    <x v="10"/>
    <n v="4281.29"/>
    <n v="4017.99"/>
    <x v="40"/>
    <x v="15"/>
    <x v="20"/>
    <x v="0"/>
    <n v="0"/>
    <x v="0"/>
    <x v="2"/>
    <s v="FS"/>
    <x v="0"/>
    <s v="SIM"/>
    <s v="FATURADO - A RECEBER"/>
    <m/>
  </r>
  <r>
    <n v="1358"/>
    <s v="MATRIZ"/>
    <x v="2"/>
    <x v="16"/>
    <x v="19"/>
    <s v="SERVIÇO"/>
    <x v="71"/>
    <x v="10"/>
    <n v="85164.92"/>
    <n v="76392.929999999993"/>
    <x v="35"/>
    <x v="1"/>
    <x v="45"/>
    <x v="0"/>
    <n v="0"/>
    <x v="0"/>
    <x v="0"/>
    <s v="PS"/>
    <x v="1"/>
    <m/>
    <m/>
    <m/>
  </r>
  <r>
    <n v="1358"/>
    <s v="MATRIZ"/>
    <x v="2"/>
    <x v="16"/>
    <x v="19"/>
    <s v="SERVIÇO"/>
    <x v="72"/>
    <x v="10"/>
    <n v="8209.93"/>
    <n v="7364.3"/>
    <x v="42"/>
    <x v="2"/>
    <x v="3"/>
    <x v="0"/>
    <n v="0"/>
    <x v="0"/>
    <x v="0"/>
    <s v="PS"/>
    <x v="1"/>
    <m/>
    <m/>
    <m/>
  </r>
  <r>
    <n v="1473"/>
    <s v="MATRIZ"/>
    <x v="2"/>
    <x v="17"/>
    <x v="20"/>
    <s v="SERVIÇO"/>
    <x v="73"/>
    <x v="10"/>
    <n v="225527.76"/>
    <n v="209685.41"/>
    <x v="43"/>
    <x v="14"/>
    <x v="46"/>
    <x v="0"/>
    <n v="0"/>
    <x v="0"/>
    <x v="0"/>
    <s v="PS"/>
    <x v="1"/>
    <m/>
    <m/>
    <m/>
  </r>
  <r>
    <n v="1462"/>
    <s v="MATRIZ"/>
    <x v="1"/>
    <x v="18"/>
    <x v="21"/>
    <s v="SERVIÇO"/>
    <x v="74"/>
    <x v="10"/>
    <n v="800"/>
    <n v="750.8"/>
    <x v="44"/>
    <x v="12"/>
    <x v="35"/>
    <x v="0"/>
    <n v="0"/>
    <x v="0"/>
    <x v="0"/>
    <s v="MS"/>
    <x v="0"/>
    <m/>
    <m/>
    <m/>
  </r>
  <r>
    <n v="1390"/>
    <s v="HUB"/>
    <x v="0"/>
    <x v="0"/>
    <x v="0"/>
    <s v="SERVIÇO"/>
    <x v="75"/>
    <x v="11"/>
    <n v="156264.84"/>
    <n v="138059.98000000001"/>
    <x v="45"/>
    <x v="13"/>
    <x v="18"/>
    <x v="0"/>
    <n v="0"/>
    <x v="0"/>
    <x v="0"/>
    <s v="UT"/>
    <x v="0"/>
    <m/>
    <m/>
    <m/>
  </r>
  <r>
    <n v="1260"/>
    <s v="SP"/>
    <x v="4"/>
    <x v="19"/>
    <x v="22"/>
    <s v="SERVIÇO"/>
    <x v="76"/>
    <x v="10"/>
    <n v="10395"/>
    <n v="9755.7000000000007"/>
    <x v="35"/>
    <x v="12"/>
    <x v="42"/>
    <x v="0"/>
    <n v="0"/>
    <x v="0"/>
    <x v="1"/>
    <s v="MS"/>
    <x v="0"/>
    <m/>
    <m/>
    <m/>
  </r>
  <r>
    <n v="1482"/>
    <s v="MATRIZ"/>
    <x v="0"/>
    <x v="4"/>
    <x v="23"/>
    <s v="SERVIÇO"/>
    <x v="77"/>
    <x v="10"/>
    <n v="39000"/>
    <n v="35236.5"/>
    <x v="46"/>
    <x v="0"/>
    <x v="37"/>
    <x v="0"/>
    <m/>
    <x v="0"/>
    <x v="0"/>
    <s v="UT"/>
    <x v="0"/>
    <m/>
    <m/>
    <m/>
  </r>
  <r>
    <n v="1262"/>
    <s v="SP"/>
    <x v="4"/>
    <x v="20"/>
    <x v="24"/>
    <s v="SERVIÇO"/>
    <x v="78"/>
    <x v="10"/>
    <n v="8517.2199999999993"/>
    <n v="7993.41"/>
    <x v="47"/>
    <x v="12"/>
    <x v="35"/>
    <x v="0"/>
    <n v="0"/>
    <x v="0"/>
    <x v="1"/>
    <s v="FS"/>
    <x v="0"/>
    <m/>
    <m/>
    <m/>
  </r>
  <r>
    <n v="1262"/>
    <s v="SP"/>
    <x v="4"/>
    <x v="20"/>
    <x v="24"/>
    <s v="SERVIÇO"/>
    <x v="79"/>
    <x v="10"/>
    <n v="19873.509999999998"/>
    <n v="18651.29"/>
    <x v="47"/>
    <x v="12"/>
    <x v="35"/>
    <x v="0"/>
    <n v="0"/>
    <x v="0"/>
    <x v="1"/>
    <s v="FS"/>
    <x v="0"/>
    <m/>
    <m/>
    <m/>
  </r>
  <r>
    <n v="1262"/>
    <s v="SP"/>
    <x v="4"/>
    <x v="20"/>
    <x v="24"/>
    <s v="SERVIÇO"/>
    <x v="80"/>
    <x v="10"/>
    <n v="57982.34"/>
    <n v="54416.42"/>
    <x v="47"/>
    <x v="12"/>
    <x v="35"/>
    <x v="0"/>
    <n v="0"/>
    <x v="0"/>
    <x v="1"/>
    <s v="FS"/>
    <x v="0"/>
    <m/>
    <m/>
    <m/>
  </r>
  <r>
    <n v="1269"/>
    <s v="SP"/>
    <x v="4"/>
    <x v="20"/>
    <x v="25"/>
    <s v="SERVIÇO"/>
    <x v="81"/>
    <x v="10"/>
    <n v="198578.23"/>
    <n v="186365.67"/>
    <x v="47"/>
    <x v="12"/>
    <x v="35"/>
    <x v="0"/>
    <n v="0"/>
    <x v="0"/>
    <x v="0"/>
    <s v="FS"/>
    <x v="0"/>
    <m/>
    <m/>
    <m/>
  </r>
  <r>
    <n v="1262"/>
    <s v="SP"/>
    <x v="4"/>
    <x v="20"/>
    <x v="24"/>
    <s v="SERVIÇO"/>
    <x v="82"/>
    <x v="10"/>
    <n v="26442.98"/>
    <n v="24816.74"/>
    <x v="47"/>
    <x v="12"/>
    <x v="35"/>
    <x v="0"/>
    <n v="0"/>
    <x v="0"/>
    <x v="1"/>
    <s v="FS"/>
    <x v="0"/>
    <m/>
    <m/>
    <m/>
  </r>
  <r>
    <n v="1269"/>
    <s v="SP"/>
    <x v="4"/>
    <x v="20"/>
    <x v="25"/>
    <s v="SERVIÇO"/>
    <x v="83"/>
    <x v="10"/>
    <n v="6310.36"/>
    <n v="5922.27"/>
    <x v="47"/>
    <x v="12"/>
    <x v="35"/>
    <x v="0"/>
    <n v="0"/>
    <x v="0"/>
    <x v="0"/>
    <s v="FS"/>
    <x v="0"/>
    <m/>
    <m/>
    <m/>
  </r>
  <r>
    <n v="1269"/>
    <s v="SP"/>
    <x v="4"/>
    <x v="20"/>
    <x v="25"/>
    <s v="SERVIÇO"/>
    <x v="84"/>
    <x v="10"/>
    <n v="17033.400000000001"/>
    <n v="15985.85"/>
    <x v="47"/>
    <x v="12"/>
    <x v="35"/>
    <x v="0"/>
    <n v="0"/>
    <x v="0"/>
    <x v="0"/>
    <s v="FS"/>
    <x v="0"/>
    <m/>
    <m/>
    <m/>
  </r>
  <r>
    <n v="1269"/>
    <s v="SP"/>
    <x v="4"/>
    <x v="20"/>
    <x v="25"/>
    <s v="SERVIÇO"/>
    <x v="85"/>
    <x v="10"/>
    <n v="22383.29"/>
    <n v="21006.720000000001"/>
    <x v="47"/>
    <x v="12"/>
    <x v="35"/>
    <x v="0"/>
    <n v="0"/>
    <x v="0"/>
    <x v="0"/>
    <s v="FS"/>
    <x v="0"/>
    <m/>
    <m/>
    <m/>
  </r>
  <r>
    <n v="1269"/>
    <s v="SP"/>
    <x v="4"/>
    <x v="20"/>
    <x v="25"/>
    <s v="SERVIÇO"/>
    <x v="86"/>
    <x v="10"/>
    <n v="18775.89"/>
    <n v="17621.169999999998"/>
    <x v="47"/>
    <x v="12"/>
    <x v="35"/>
    <x v="0"/>
    <n v="0"/>
    <x v="0"/>
    <x v="0"/>
    <s v="FS"/>
    <x v="0"/>
    <m/>
    <m/>
    <m/>
  </r>
  <r>
    <n v="1400"/>
    <s v="SP"/>
    <x v="7"/>
    <x v="21"/>
    <x v="26"/>
    <s v="SERVIÇO"/>
    <x v="87"/>
    <x v="10"/>
    <n v="77751.44"/>
    <n v="70248.429999999993"/>
    <x v="48"/>
    <x v="2"/>
    <x v="47"/>
    <x v="0"/>
    <n v="0"/>
    <x v="0"/>
    <x v="1"/>
    <s v="UT"/>
    <x v="2"/>
    <m/>
    <m/>
    <m/>
  </r>
  <r>
    <n v="1400"/>
    <s v="SP"/>
    <x v="7"/>
    <x v="21"/>
    <x v="26"/>
    <s v="SERVIÇO"/>
    <x v="88"/>
    <x v="10"/>
    <n v="765030.98"/>
    <n v="691205.5"/>
    <x v="48"/>
    <x v="2"/>
    <x v="47"/>
    <x v="0"/>
    <n v="0"/>
    <x v="0"/>
    <x v="1"/>
    <s v="UT"/>
    <x v="2"/>
    <m/>
    <m/>
    <m/>
  </r>
  <r>
    <n v="1366"/>
    <s v="HUB"/>
    <x v="7"/>
    <x v="21"/>
    <x v="27"/>
    <s v="SERVIÇO"/>
    <x v="89"/>
    <x v="10"/>
    <n v="347182.07"/>
    <n v="313678.94"/>
    <x v="49"/>
    <x v="12"/>
    <x v="35"/>
    <x v="0"/>
    <n v="0"/>
    <x v="0"/>
    <x v="0"/>
    <s v="UT"/>
    <x v="2"/>
    <m/>
    <m/>
    <m/>
  </r>
  <r>
    <n v="1366"/>
    <s v="HUB"/>
    <x v="7"/>
    <x v="21"/>
    <x v="27"/>
    <s v="SERVIÇO"/>
    <x v="90"/>
    <x v="10"/>
    <n v="278553.75"/>
    <n v="251673.31"/>
    <x v="48"/>
    <x v="1"/>
    <x v="48"/>
    <x v="0"/>
    <n v="0"/>
    <x v="0"/>
    <x v="0"/>
    <s v="UT"/>
    <x v="2"/>
    <m/>
    <m/>
    <m/>
  </r>
  <r>
    <n v="1388"/>
    <s v="SP"/>
    <x v="7"/>
    <x v="21"/>
    <x v="28"/>
    <s v="SERVIÇO"/>
    <x v="91"/>
    <x v="10"/>
    <n v="70542.28"/>
    <n v="63734.96"/>
    <x v="48"/>
    <x v="1"/>
    <x v="48"/>
    <x v="0"/>
    <n v="0"/>
    <x v="0"/>
    <x v="1"/>
    <s v="UT"/>
    <x v="2"/>
    <m/>
    <m/>
    <m/>
  </r>
  <r>
    <n v="1481"/>
    <s v="SP"/>
    <x v="4"/>
    <x v="6"/>
    <x v="6"/>
    <s v="SERVIÇO"/>
    <x v="92"/>
    <x v="10"/>
    <n v="107000"/>
    <n v="100419.5"/>
    <x v="43"/>
    <x v="25"/>
    <x v="49"/>
    <x v="0"/>
    <n v="0"/>
    <x v="0"/>
    <x v="1"/>
    <s v="FS"/>
    <x v="0"/>
    <m/>
    <m/>
    <m/>
  </r>
  <r>
    <n v="1298"/>
    <s v="HUB"/>
    <x v="8"/>
    <x v="22"/>
    <x v="29"/>
    <s v="SERVIÇO"/>
    <x v="93"/>
    <x v="10"/>
    <n v="275594.28999999998"/>
    <n v="258645.25"/>
    <x v="40"/>
    <x v="12"/>
    <x v="35"/>
    <x v="0"/>
    <n v="0"/>
    <x v="0"/>
    <x v="0"/>
    <s v="PS"/>
    <x v="0"/>
    <m/>
    <m/>
    <m/>
  </r>
  <r>
    <n v="1289"/>
    <s v="HUB"/>
    <x v="6"/>
    <x v="23"/>
    <x v="30"/>
    <s v="SERVIÇO"/>
    <x v="94"/>
    <x v="10"/>
    <n v="176197.18"/>
    <n v="164215.78"/>
    <x v="44"/>
    <x v="15"/>
    <x v="39"/>
    <x v="0"/>
    <n v="0"/>
    <x v="0"/>
    <x v="0"/>
    <s v="PS"/>
    <x v="3"/>
    <m/>
    <m/>
    <m/>
  </r>
  <r>
    <n v="1288"/>
    <s v="HUB"/>
    <x v="6"/>
    <x v="23"/>
    <x v="31"/>
    <s v="SERVIÇO"/>
    <x v="95"/>
    <x v="10"/>
    <n v="240212.72"/>
    <n v="223878.26"/>
    <x v="44"/>
    <x v="1"/>
    <x v="2"/>
    <x v="0"/>
    <n v="0"/>
    <x v="0"/>
    <x v="1"/>
    <s v="PS"/>
    <x v="3"/>
    <m/>
    <m/>
    <m/>
  </r>
  <r>
    <n v="1271"/>
    <s v="HUB"/>
    <x v="6"/>
    <x v="23"/>
    <x v="32"/>
    <s v="SERVIÇO"/>
    <x v="96"/>
    <x v="10"/>
    <n v="255597.54"/>
    <n v="238216.91"/>
    <x v="47"/>
    <x v="1"/>
    <x v="33"/>
    <x v="0"/>
    <n v="0"/>
    <x v="0"/>
    <x v="0"/>
    <s v="PS"/>
    <x v="3"/>
    <m/>
    <m/>
    <m/>
  </r>
  <r>
    <n v="1288"/>
    <s v="HUB"/>
    <x v="6"/>
    <x v="23"/>
    <x v="31"/>
    <s v="SERVIÇO"/>
    <x v="97"/>
    <x v="12"/>
    <n v="393007.28"/>
    <n v="366282.78"/>
    <x v="50"/>
    <x v="16"/>
    <x v="50"/>
    <x v="0"/>
    <m/>
    <x v="0"/>
    <x v="1"/>
    <s v="PS"/>
    <x v="3"/>
    <m/>
    <m/>
    <m/>
  </r>
  <r>
    <n v="1299"/>
    <s v="HUB"/>
    <x v="6"/>
    <x v="23"/>
    <x v="33"/>
    <s v="SERVIÇO"/>
    <x v="98"/>
    <x v="10"/>
    <n v="816076.80000000005"/>
    <n v="760583.57"/>
    <x v="47"/>
    <x v="1"/>
    <x v="2"/>
    <x v="0"/>
    <m/>
    <x v="0"/>
    <x v="1"/>
    <s v="PS"/>
    <x v="3"/>
    <m/>
    <m/>
    <m/>
  </r>
  <r>
    <n v="1394"/>
    <s v="MATRIZ"/>
    <x v="5"/>
    <x v="7"/>
    <x v="7"/>
    <s v="SERVIÇO"/>
    <x v="99"/>
    <x v="10"/>
    <n v="15768.3"/>
    <n v="14696.05"/>
    <x v="42"/>
    <x v="0"/>
    <x v="51"/>
    <x v="0"/>
    <n v="0"/>
    <x v="0"/>
    <x v="0"/>
    <s v="PS"/>
    <x v="1"/>
    <m/>
    <m/>
    <m/>
  </r>
  <r>
    <n v="1394"/>
    <s v="MATRIZ"/>
    <x v="5"/>
    <x v="7"/>
    <x v="7"/>
    <s v="SERVIÇO"/>
    <x v="100"/>
    <x v="10"/>
    <n v="111600.22"/>
    <n v="104011.41"/>
    <x v="42"/>
    <x v="0"/>
    <x v="51"/>
    <x v="0"/>
    <n v="0"/>
    <x v="0"/>
    <x v="0"/>
    <s v="PS"/>
    <x v="1"/>
    <m/>
    <m/>
    <m/>
  </r>
  <r>
    <n v="1394"/>
    <s v="MATRIZ"/>
    <x v="5"/>
    <x v="7"/>
    <x v="7"/>
    <s v="SERVIÇO"/>
    <x v="101"/>
    <x v="10"/>
    <n v="62325.11"/>
    <n v="58087"/>
    <x v="42"/>
    <x v="12"/>
    <x v="42"/>
    <x v="0"/>
    <n v="0"/>
    <x v="0"/>
    <x v="0"/>
    <s v="PS"/>
    <x v="1"/>
    <m/>
    <m/>
    <m/>
  </r>
  <r>
    <n v="1394"/>
    <s v="MATRIZ"/>
    <x v="5"/>
    <x v="7"/>
    <x v="7"/>
    <s v="SERVIÇO"/>
    <x v="102"/>
    <x v="10"/>
    <n v="127355.8"/>
    <n v="118695.6"/>
    <x v="51"/>
    <x v="15"/>
    <x v="20"/>
    <x v="0"/>
    <n v="0"/>
    <x v="0"/>
    <x v="0"/>
    <s v="PS"/>
    <x v="1"/>
    <m/>
    <m/>
    <m/>
  </r>
  <r>
    <n v="1394"/>
    <s v="MATRIZ"/>
    <x v="5"/>
    <x v="7"/>
    <x v="7"/>
    <s v="SERVIÇO"/>
    <x v="103"/>
    <x v="10"/>
    <n v="138077.03"/>
    <n v="128687.79"/>
    <x v="51"/>
    <x v="15"/>
    <x v="20"/>
    <x v="0"/>
    <n v="0"/>
    <x v="0"/>
    <x v="0"/>
    <s v="PS"/>
    <x v="1"/>
    <m/>
    <m/>
    <m/>
  </r>
  <r>
    <n v="1296"/>
    <s v="MATRIZ"/>
    <x v="8"/>
    <x v="4"/>
    <x v="34"/>
    <s v="SERVIÇO"/>
    <x v="104"/>
    <x v="6"/>
    <n v="853192.83"/>
    <n v="783657.62"/>
    <x v="52"/>
    <x v="26"/>
    <x v="52"/>
    <x v="0"/>
    <m/>
    <x v="0"/>
    <x v="0"/>
    <s v="UT"/>
    <x v="0"/>
    <m/>
    <m/>
    <m/>
  </r>
  <r>
    <n v="1394"/>
    <s v="MATRIZ"/>
    <x v="5"/>
    <x v="7"/>
    <x v="7"/>
    <s v="SERVIÇO"/>
    <x v="105"/>
    <x v="10"/>
    <n v="283355.11"/>
    <n v="264086.96000000002"/>
    <x v="53"/>
    <x v="14"/>
    <x v="53"/>
    <x v="0"/>
    <n v="0"/>
    <x v="0"/>
    <x v="0"/>
    <s v="PS"/>
    <x v="1"/>
    <m/>
    <m/>
    <m/>
  </r>
  <r>
    <n v="1394"/>
    <s v="MATRIZ"/>
    <x v="5"/>
    <x v="7"/>
    <x v="7"/>
    <s v="SERVIÇO"/>
    <x v="106"/>
    <x v="10"/>
    <n v="215731.29"/>
    <n v="201061.56"/>
    <x v="54"/>
    <x v="27"/>
    <x v="54"/>
    <x v="0"/>
    <n v="0"/>
    <x v="0"/>
    <x v="0"/>
    <s v="PS"/>
    <x v="1"/>
    <m/>
    <m/>
    <m/>
  </r>
  <r>
    <n v="1360"/>
    <s v="SP"/>
    <x v="3"/>
    <x v="8"/>
    <x v="8"/>
    <s v="SERVIÇO"/>
    <x v="107"/>
    <x v="10"/>
    <n v="19194"/>
    <n v="18013.57"/>
    <x v="28"/>
    <x v="1"/>
    <x v="33"/>
    <x v="0"/>
    <n v="0"/>
    <x v="0"/>
    <x v="1"/>
    <s v="FS"/>
    <x v="2"/>
    <m/>
    <m/>
    <m/>
  </r>
  <r>
    <n v="1470"/>
    <s v="MATRIZ"/>
    <x v="1"/>
    <x v="24"/>
    <x v="35"/>
    <s v="SERVIÇO"/>
    <x v="108"/>
    <x v="10"/>
    <n v="36700"/>
    <n v="33708.949999999997"/>
    <x v="32"/>
    <x v="17"/>
    <x v="23"/>
    <x v="0"/>
    <n v="0"/>
    <x v="0"/>
    <x v="0"/>
    <s v="UT"/>
    <x v="1"/>
    <m/>
    <m/>
    <m/>
  </r>
  <r>
    <n v="1287"/>
    <s v="HUB"/>
    <x v="6"/>
    <x v="25"/>
    <x v="36"/>
    <s v="SERVIÇO"/>
    <x v="109"/>
    <x v="10"/>
    <n v="321048.58"/>
    <n v="287980.58"/>
    <x v="48"/>
    <x v="2"/>
    <x v="47"/>
    <x v="0"/>
    <n v="0"/>
    <x v="0"/>
    <x v="1"/>
    <s v="PS"/>
    <x v="3"/>
    <m/>
    <m/>
    <m/>
  </r>
  <r>
    <n v="1287"/>
    <s v="HUB"/>
    <x v="6"/>
    <x v="25"/>
    <x v="36"/>
    <s v="SERVIÇO"/>
    <x v="110"/>
    <x v="10"/>
    <n v="139670.10999999999"/>
    <n v="125284.09"/>
    <x v="55"/>
    <x v="28"/>
    <x v="55"/>
    <x v="0"/>
    <n v="0"/>
    <x v="0"/>
    <x v="1"/>
    <s v="PS"/>
    <x v="3"/>
    <m/>
    <m/>
    <m/>
  </r>
  <r>
    <n v="1273"/>
    <s v="HUB"/>
    <x v="6"/>
    <x v="25"/>
    <x v="37"/>
    <s v="SERVIÇO"/>
    <x v="111"/>
    <x v="10"/>
    <n v="568045.4"/>
    <n v="509536.72"/>
    <x v="56"/>
    <x v="2"/>
    <x v="47"/>
    <x v="0"/>
    <n v="0"/>
    <x v="0"/>
    <x v="0"/>
    <s v="PS"/>
    <x v="3"/>
    <m/>
    <m/>
    <m/>
  </r>
  <r>
    <n v="1277"/>
    <s v="HUB"/>
    <x v="6"/>
    <x v="25"/>
    <x v="38"/>
    <s v="SERVIÇO"/>
    <x v="112"/>
    <x v="10"/>
    <n v="154365.24"/>
    <n v="138465.63"/>
    <x v="53"/>
    <x v="25"/>
    <x v="56"/>
    <x v="0"/>
    <n v="0"/>
    <x v="0"/>
    <x v="0"/>
    <s v="PS"/>
    <x v="3"/>
    <m/>
    <m/>
    <m/>
  </r>
  <r>
    <n v="1268"/>
    <s v="SP"/>
    <x v="4"/>
    <x v="6"/>
    <x v="39"/>
    <s v="SERVIÇO"/>
    <x v="113"/>
    <x v="10"/>
    <n v="1163985.01"/>
    <n v="1092399.93"/>
    <x v="43"/>
    <x v="14"/>
    <x v="53"/>
    <x v="0"/>
    <n v="0"/>
    <x v="0"/>
    <x v="1"/>
    <s v="FS"/>
    <x v="0"/>
    <m/>
    <m/>
    <m/>
  </r>
  <r>
    <n v="1268"/>
    <s v="SP"/>
    <x v="4"/>
    <x v="6"/>
    <x v="39"/>
    <s v="SERVIÇO"/>
    <x v="114"/>
    <x v="10"/>
    <n v="160251.95000000001"/>
    <n v="150396.45000000001"/>
    <x v="43"/>
    <x v="14"/>
    <x v="53"/>
    <x v="0"/>
    <n v="0"/>
    <x v="0"/>
    <x v="1"/>
    <s v="FS"/>
    <x v="0"/>
    <m/>
    <m/>
    <m/>
  </r>
  <r>
    <n v="1268"/>
    <s v="SP"/>
    <x v="4"/>
    <x v="6"/>
    <x v="39"/>
    <s v="SERVIÇO"/>
    <x v="115"/>
    <x v="10"/>
    <n v="59011.6"/>
    <n v="55382.400000000001"/>
    <x v="43"/>
    <x v="14"/>
    <x v="53"/>
    <x v="0"/>
    <n v="0"/>
    <x v="0"/>
    <x v="1"/>
    <s v="FS"/>
    <x v="0"/>
    <m/>
    <m/>
    <m/>
  </r>
  <r>
    <n v="1268"/>
    <s v="SP"/>
    <x v="4"/>
    <x v="6"/>
    <x v="39"/>
    <s v="SERVIÇO"/>
    <x v="116"/>
    <x v="10"/>
    <n v="82737"/>
    <n v="77648.67"/>
    <x v="57"/>
    <x v="23"/>
    <x v="57"/>
    <x v="0"/>
    <n v="0"/>
    <x v="0"/>
    <x v="1"/>
    <s v="FS"/>
    <x v="0"/>
    <m/>
    <m/>
    <m/>
  </r>
  <r>
    <n v="1268"/>
    <s v="SP"/>
    <x v="4"/>
    <x v="6"/>
    <x v="39"/>
    <s v="SERVIÇO"/>
    <x v="117"/>
    <x v="10"/>
    <n v="82737"/>
    <n v="77648.67"/>
    <x v="57"/>
    <x v="23"/>
    <x v="57"/>
    <x v="0"/>
    <n v="0"/>
    <x v="0"/>
    <x v="1"/>
    <s v="FS"/>
    <x v="0"/>
    <m/>
    <m/>
    <m/>
  </r>
  <r>
    <n v="1268"/>
    <s v="SP"/>
    <x v="4"/>
    <x v="6"/>
    <x v="39"/>
    <s v="SERVIÇO"/>
    <x v="118"/>
    <x v="10"/>
    <n v="54118.28"/>
    <n v="50790.01"/>
    <x v="58"/>
    <x v="27"/>
    <x v="58"/>
    <x v="0"/>
    <n v="0"/>
    <x v="0"/>
    <x v="1"/>
    <s v="FS"/>
    <x v="0"/>
    <m/>
    <m/>
    <m/>
  </r>
  <r>
    <n v="1268"/>
    <s v="SP"/>
    <x v="4"/>
    <x v="6"/>
    <x v="39"/>
    <s v="SERVIÇO"/>
    <x v="119"/>
    <x v="10"/>
    <n v="160658.32999999999"/>
    <n v="150777.85"/>
    <x v="58"/>
    <x v="27"/>
    <x v="58"/>
    <x v="0"/>
    <n v="0"/>
    <x v="0"/>
    <x v="1"/>
    <s v="FS"/>
    <x v="0"/>
    <m/>
    <m/>
    <m/>
  </r>
  <r>
    <n v="1268"/>
    <s v="SP"/>
    <x v="4"/>
    <x v="6"/>
    <x v="39"/>
    <s v="SERVIÇO"/>
    <x v="120"/>
    <x v="10"/>
    <n v="1143238.8"/>
    <n v="1072929.6200000001"/>
    <x v="58"/>
    <x v="27"/>
    <x v="58"/>
    <x v="0"/>
    <n v="0"/>
    <x v="0"/>
    <x v="1"/>
    <s v="FS"/>
    <x v="0"/>
    <m/>
    <m/>
    <m/>
  </r>
  <r>
    <n v="1268"/>
    <s v="SP"/>
    <x v="4"/>
    <x v="6"/>
    <x v="39"/>
    <s v="SERVIÇO"/>
    <x v="121"/>
    <x v="10"/>
    <n v="82737"/>
    <n v="77648.679999999993"/>
    <x v="54"/>
    <x v="29"/>
    <x v="59"/>
    <x v="0"/>
    <n v="0"/>
    <x v="0"/>
    <x v="1"/>
    <s v="FS"/>
    <x v="0"/>
    <m/>
    <m/>
    <m/>
  </r>
  <r>
    <n v="1268"/>
    <s v="SP"/>
    <x v="4"/>
    <x v="6"/>
    <x v="39"/>
    <s v="SERVIÇO"/>
    <x v="122"/>
    <x v="10"/>
    <n v="82737"/>
    <n v="77648.679999999993"/>
    <x v="59"/>
    <x v="30"/>
    <x v="60"/>
    <x v="0"/>
    <n v="0"/>
    <x v="0"/>
    <x v="1"/>
    <s v="FS"/>
    <x v="0"/>
    <m/>
    <m/>
    <m/>
  </r>
  <r>
    <n v="1268"/>
    <s v="SP"/>
    <x v="4"/>
    <x v="6"/>
    <x v="39"/>
    <s v="SERVIÇO"/>
    <x v="123"/>
    <x v="10"/>
    <n v="1102702.92"/>
    <n v="1034886.69"/>
    <x v="60"/>
    <x v="24"/>
    <x v="61"/>
    <x v="0"/>
    <n v="0"/>
    <x v="0"/>
    <x v="1"/>
    <s v="FS"/>
    <x v="0"/>
    <m/>
    <m/>
    <m/>
  </r>
  <r>
    <n v="1268"/>
    <s v="SP"/>
    <x v="4"/>
    <x v="6"/>
    <x v="39"/>
    <s v="SERVIÇO"/>
    <x v="124"/>
    <x v="10"/>
    <n v="84432.52"/>
    <n v="79239.929999999993"/>
    <x v="60"/>
    <x v="24"/>
    <x v="61"/>
    <x v="0"/>
    <n v="0"/>
    <x v="0"/>
    <x v="1"/>
    <s v="FS"/>
    <x v="0"/>
    <m/>
    <m/>
    <m/>
  </r>
  <r>
    <n v="1268"/>
    <s v="SP"/>
    <x v="4"/>
    <x v="6"/>
    <x v="39"/>
    <s v="SERVIÇO"/>
    <x v="125"/>
    <x v="10"/>
    <n v="113941.07"/>
    <n v="106933.69"/>
    <x v="60"/>
    <x v="24"/>
    <x v="61"/>
    <x v="0"/>
    <n v="0"/>
    <x v="0"/>
    <x v="1"/>
    <s v="FS"/>
    <x v="0"/>
    <m/>
    <m/>
    <m/>
  </r>
  <r>
    <n v="1483"/>
    <s v="MATRIZ"/>
    <x v="1"/>
    <x v="9"/>
    <x v="9"/>
    <s v="SERVIÇO"/>
    <x v="126"/>
    <x v="10"/>
    <n v="53591.199999999997"/>
    <n v="50295.34"/>
    <x v="51"/>
    <x v="23"/>
    <x v="34"/>
    <x v="0"/>
    <n v="0"/>
    <x v="0"/>
    <x v="0"/>
    <s v="UT"/>
    <x v="0"/>
    <m/>
    <m/>
    <m/>
  </r>
  <r>
    <n v="1483"/>
    <s v="MATRIZ"/>
    <x v="1"/>
    <x v="9"/>
    <x v="9"/>
    <s v="SERVIÇO"/>
    <x v="127"/>
    <x v="10"/>
    <n v="28856.799999999999"/>
    <n v="26062.11"/>
    <x v="51"/>
    <x v="23"/>
    <x v="34"/>
    <x v="0"/>
    <n v="0"/>
    <x v="0"/>
    <x v="0"/>
    <s v="UT"/>
    <x v="0"/>
    <m/>
    <m/>
    <m/>
  </r>
  <r>
    <n v="1275"/>
    <s v="SP"/>
    <x v="4"/>
    <x v="26"/>
    <x v="40"/>
    <s v="SERVIÇO"/>
    <x v="128"/>
    <x v="10"/>
    <n v="31920"/>
    <n v="29956.92"/>
    <x v="61"/>
    <x v="12"/>
    <x v="16"/>
    <x v="0"/>
    <n v="0"/>
    <x v="0"/>
    <x v="1"/>
    <s v="FS"/>
    <x v="0"/>
    <m/>
    <m/>
    <m/>
  </r>
  <r>
    <n v="1479"/>
    <s v="SP"/>
    <x v="4"/>
    <x v="26"/>
    <x v="41"/>
    <s v="SERVIÇO"/>
    <x v="129"/>
    <x v="10"/>
    <n v="52080"/>
    <n v="48877.08"/>
    <x v="61"/>
    <x v="12"/>
    <x v="16"/>
    <x v="0"/>
    <n v="0"/>
    <x v="0"/>
    <x v="2"/>
    <s v="FS"/>
    <x v="0"/>
    <m/>
    <m/>
    <m/>
  </r>
  <r>
    <n v="1455"/>
    <s v="MATRIZ"/>
    <x v="2"/>
    <x v="2"/>
    <x v="2"/>
    <s v="SERVIÇO"/>
    <x v="130"/>
    <x v="8"/>
    <n v="54003.39"/>
    <n v="47712"/>
    <x v="48"/>
    <x v="14"/>
    <x v="46"/>
    <x v="0"/>
    <m/>
    <x v="0"/>
    <x v="0"/>
    <s v="MS"/>
    <x v="1"/>
    <m/>
    <m/>
    <m/>
  </r>
  <r>
    <n v="1478"/>
    <s v="SP"/>
    <x v="3"/>
    <x v="10"/>
    <x v="10"/>
    <s v="SERVIÇO"/>
    <x v="131"/>
    <x v="8"/>
    <n v="76256.009999999995"/>
    <n v="71566.27"/>
    <x v="62"/>
    <x v="27"/>
    <x v="58"/>
    <x v="0"/>
    <m/>
    <x v="0"/>
    <x v="1"/>
    <s v="FS"/>
    <x v="2"/>
    <m/>
    <m/>
    <m/>
  </r>
  <r>
    <n v="1391"/>
    <s v="SP"/>
    <x v="3"/>
    <x v="11"/>
    <x v="11"/>
    <s v="SERVIÇO"/>
    <x v="132"/>
    <x v="8"/>
    <n v="4941.09"/>
    <n v="4637.21"/>
    <x v="16"/>
    <x v="2"/>
    <x v="3"/>
    <x v="0"/>
    <m/>
    <x v="0"/>
    <x v="1"/>
    <s v="FS"/>
    <x v="2"/>
    <m/>
    <m/>
    <m/>
  </r>
  <r>
    <n v="1391"/>
    <s v="SP"/>
    <x v="3"/>
    <x v="11"/>
    <x v="11"/>
    <s v="SERVIÇO"/>
    <x v="133"/>
    <x v="8"/>
    <n v="108495.78"/>
    <n v="101823.29"/>
    <x v="57"/>
    <x v="14"/>
    <x v="62"/>
    <x v="0"/>
    <m/>
    <x v="0"/>
    <x v="1"/>
    <s v="FS"/>
    <x v="2"/>
    <m/>
    <m/>
    <m/>
  </r>
  <r>
    <n v="1391"/>
    <s v="SP"/>
    <x v="3"/>
    <x v="11"/>
    <x v="11"/>
    <s v="SERVIÇO"/>
    <x v="134"/>
    <x v="8"/>
    <n v="235007.19"/>
    <n v="220554.25"/>
    <x v="57"/>
    <x v="14"/>
    <x v="62"/>
    <x v="0"/>
    <m/>
    <x v="0"/>
    <x v="1"/>
    <s v="FS"/>
    <x v="2"/>
    <m/>
    <m/>
    <m/>
  </r>
  <r>
    <n v="1391"/>
    <s v="SP"/>
    <x v="3"/>
    <x v="11"/>
    <x v="11"/>
    <s v="SERVIÇO"/>
    <x v="135"/>
    <x v="8"/>
    <n v="169277.18"/>
    <n v="158866.63"/>
    <x v="57"/>
    <x v="14"/>
    <x v="62"/>
    <x v="0"/>
    <m/>
    <x v="0"/>
    <x v="1"/>
    <s v="FS"/>
    <x v="2"/>
    <m/>
    <m/>
    <m/>
  </r>
  <r>
    <n v="1391"/>
    <s v="SP"/>
    <x v="3"/>
    <x v="11"/>
    <x v="11"/>
    <s v="SERVIÇO"/>
    <x v="136"/>
    <x v="8"/>
    <n v="47044.800000000003"/>
    <n v="44151.55"/>
    <x v="57"/>
    <x v="14"/>
    <x v="62"/>
    <x v="0"/>
    <m/>
    <x v="0"/>
    <x v="1"/>
    <s v="FS"/>
    <x v="2"/>
    <m/>
    <m/>
    <m/>
  </r>
  <r>
    <n v="1391"/>
    <s v="SP"/>
    <x v="3"/>
    <x v="11"/>
    <x v="11"/>
    <s v="SERVIÇO"/>
    <x v="137"/>
    <x v="8"/>
    <n v="170427.66"/>
    <n v="159946.35999999999"/>
    <x v="57"/>
    <x v="14"/>
    <x v="62"/>
    <x v="0"/>
    <m/>
    <x v="0"/>
    <x v="1"/>
    <s v="FS"/>
    <x v="2"/>
    <m/>
    <m/>
    <m/>
  </r>
  <r>
    <n v="1391"/>
    <s v="SP"/>
    <x v="3"/>
    <x v="11"/>
    <x v="11"/>
    <s v="SERVIÇO"/>
    <x v="138"/>
    <x v="8"/>
    <n v="7328.4"/>
    <n v="6877.7"/>
    <x v="53"/>
    <x v="14"/>
    <x v="53"/>
    <x v="0"/>
    <m/>
    <x v="0"/>
    <x v="1"/>
    <s v="FS"/>
    <x v="2"/>
    <m/>
    <m/>
    <m/>
  </r>
  <r>
    <n v="1294"/>
    <s v="SP"/>
    <x v="3"/>
    <x v="11"/>
    <x v="12"/>
    <s v="SERVIÇO"/>
    <x v="139"/>
    <x v="8"/>
    <n v="3177.53"/>
    <n v="2982.11"/>
    <x v="34"/>
    <x v="0"/>
    <x v="37"/>
    <x v="0"/>
    <n v="0"/>
    <x v="0"/>
    <x v="1"/>
    <s v="FS"/>
    <x v="2"/>
    <m/>
    <m/>
    <m/>
  </r>
  <r>
    <n v="1294"/>
    <s v="SP"/>
    <x v="3"/>
    <x v="11"/>
    <x v="12"/>
    <s v="SERVIÇO"/>
    <x v="140"/>
    <x v="8"/>
    <n v="175329"/>
    <n v="164546.26"/>
    <x v="63"/>
    <x v="14"/>
    <x v="62"/>
    <x v="0"/>
    <n v="0"/>
    <x v="0"/>
    <x v="1"/>
    <s v="FS"/>
    <x v="2"/>
    <m/>
    <m/>
    <m/>
  </r>
  <r>
    <n v="1294"/>
    <s v="SP"/>
    <x v="3"/>
    <x v="11"/>
    <x v="12"/>
    <s v="SERVIÇO"/>
    <x v="141"/>
    <x v="8"/>
    <n v="1817.87"/>
    <n v="1706.07"/>
    <x v="64"/>
    <x v="14"/>
    <x v="19"/>
    <x v="0"/>
    <n v="0"/>
    <x v="0"/>
    <x v="1"/>
    <s v="FS"/>
    <x v="2"/>
    <m/>
    <m/>
    <m/>
  </r>
  <r>
    <n v="1294"/>
    <s v="SP"/>
    <x v="3"/>
    <x v="11"/>
    <x v="12"/>
    <s v="SERVIÇO"/>
    <x v="142"/>
    <x v="8"/>
    <n v="39841.279999999999"/>
    <n v="37391.040000000001"/>
    <x v="64"/>
    <x v="14"/>
    <x v="19"/>
    <x v="0"/>
    <n v="0"/>
    <x v="0"/>
    <x v="1"/>
    <s v="FS"/>
    <x v="2"/>
    <m/>
    <m/>
    <m/>
  </r>
  <r>
    <n v="1294"/>
    <s v="SP"/>
    <x v="3"/>
    <x v="11"/>
    <x v="12"/>
    <s v="SERVIÇO"/>
    <x v="143"/>
    <x v="8"/>
    <n v="191553"/>
    <n v="179772.49"/>
    <x v="53"/>
    <x v="14"/>
    <x v="53"/>
    <x v="0"/>
    <n v="0"/>
    <x v="0"/>
    <x v="1"/>
    <s v="FS"/>
    <x v="2"/>
    <m/>
    <m/>
    <m/>
  </r>
  <r>
    <n v="1294"/>
    <s v="SP"/>
    <x v="3"/>
    <x v="11"/>
    <x v="12"/>
    <s v="SERVIÇO"/>
    <x v="144"/>
    <x v="8"/>
    <n v="115932.66"/>
    <n v="108802.8"/>
    <x v="53"/>
    <x v="14"/>
    <x v="53"/>
    <x v="0"/>
    <n v="0"/>
    <x v="0"/>
    <x v="1"/>
    <s v="FS"/>
    <x v="2"/>
    <m/>
    <m/>
    <m/>
  </r>
  <r>
    <n v="1294"/>
    <s v="SP"/>
    <x v="3"/>
    <x v="11"/>
    <x v="12"/>
    <s v="SERVIÇO"/>
    <x v="145"/>
    <x v="8"/>
    <n v="118992"/>
    <n v="111673.99"/>
    <x v="65"/>
    <x v="14"/>
    <x v="46"/>
    <x v="0"/>
    <n v="0"/>
    <x v="0"/>
    <x v="1"/>
    <s v="FS"/>
    <x v="2"/>
    <m/>
    <m/>
    <m/>
  </r>
  <r>
    <n v="1294"/>
    <s v="SP"/>
    <x v="3"/>
    <x v="11"/>
    <x v="12"/>
    <s v="SERVIÇO"/>
    <x v="146"/>
    <x v="8"/>
    <n v="41842.06"/>
    <n v="39268.769999999997"/>
    <x v="65"/>
    <x v="14"/>
    <x v="46"/>
    <x v="0"/>
    <n v="0"/>
    <x v="0"/>
    <x v="1"/>
    <s v="FS"/>
    <x v="2"/>
    <m/>
    <m/>
    <m/>
  </r>
  <r>
    <n v="1294"/>
    <s v="SP"/>
    <x v="3"/>
    <x v="11"/>
    <x v="12"/>
    <s v="SERVIÇO"/>
    <x v="147"/>
    <x v="8"/>
    <n v="156.41999999999999"/>
    <n v="156.41999999999999"/>
    <x v="65"/>
    <x v="14"/>
    <x v="46"/>
    <x v="0"/>
    <n v="0"/>
    <x v="0"/>
    <x v="1"/>
    <s v="FS"/>
    <x v="2"/>
    <m/>
    <m/>
    <m/>
  </r>
  <r>
    <n v="1294"/>
    <s v="SP"/>
    <x v="3"/>
    <x v="11"/>
    <x v="12"/>
    <s v="SERVIÇO"/>
    <x v="148"/>
    <x v="8"/>
    <n v="469.26"/>
    <n v="447.44"/>
    <x v="65"/>
    <x v="14"/>
    <x v="46"/>
    <x v="0"/>
    <n v="0"/>
    <x v="0"/>
    <x v="1"/>
    <s v="FS"/>
    <x v="2"/>
    <m/>
    <m/>
    <m/>
  </r>
  <r>
    <n v="1294"/>
    <s v="SP"/>
    <x v="3"/>
    <x v="11"/>
    <x v="12"/>
    <s v="SERVIÇO"/>
    <x v="149"/>
    <x v="8"/>
    <n v="3041.28"/>
    <n v="2854.24"/>
    <x v="65"/>
    <x v="14"/>
    <x v="46"/>
    <x v="0"/>
    <n v="0"/>
    <x v="0"/>
    <x v="1"/>
    <s v="FS"/>
    <x v="2"/>
    <m/>
    <m/>
    <m/>
  </r>
  <r>
    <n v="1294"/>
    <s v="SP"/>
    <x v="3"/>
    <x v="11"/>
    <x v="12"/>
    <s v="SERVIÇO"/>
    <x v="150"/>
    <x v="8"/>
    <n v="3018.11"/>
    <n v="2832.5"/>
    <x v="54"/>
    <x v="27"/>
    <x v="63"/>
    <x v="0"/>
    <n v="0"/>
    <x v="0"/>
    <x v="1"/>
    <s v="FS"/>
    <x v="2"/>
    <m/>
    <m/>
    <m/>
  </r>
  <r>
    <n v="1474"/>
    <s v="SP"/>
    <x v="3"/>
    <x v="11"/>
    <x v="13"/>
    <s v="SERVIÇO"/>
    <x v="151"/>
    <x v="8"/>
    <n v="24716.74"/>
    <n v="23196.66"/>
    <x v="65"/>
    <x v="14"/>
    <x v="46"/>
    <x v="0"/>
    <m/>
    <x v="0"/>
    <x v="0"/>
    <s v="FS"/>
    <x v="2"/>
    <m/>
    <m/>
    <m/>
  </r>
  <r>
    <n v="1285"/>
    <s v="SP"/>
    <x v="3"/>
    <x v="11"/>
    <x v="14"/>
    <s v="SERVIÇO"/>
    <x v="152"/>
    <x v="8"/>
    <n v="24318.400000000001"/>
    <n v="22822.81"/>
    <x v="51"/>
    <x v="14"/>
    <x v="46"/>
    <x v="0"/>
    <n v="0"/>
    <x v="0"/>
    <x v="1"/>
    <s v="FS"/>
    <x v="2"/>
    <m/>
    <m/>
    <m/>
  </r>
  <r>
    <n v="1285"/>
    <s v="SP"/>
    <x v="3"/>
    <x v="11"/>
    <x v="14"/>
    <s v="SERVIÇO"/>
    <x v="153"/>
    <x v="8"/>
    <n v="15092.52"/>
    <n v="14164.33"/>
    <x v="51"/>
    <x v="14"/>
    <x v="46"/>
    <x v="0"/>
    <n v="0"/>
    <x v="0"/>
    <x v="1"/>
    <s v="FS"/>
    <x v="2"/>
    <m/>
    <m/>
    <m/>
  </r>
  <r>
    <n v="1285"/>
    <s v="SP"/>
    <x v="3"/>
    <x v="11"/>
    <x v="14"/>
    <s v="SERVIÇO"/>
    <x v="154"/>
    <x v="8"/>
    <n v="21543.39"/>
    <n v="20218.48"/>
    <x v="66"/>
    <x v="23"/>
    <x v="57"/>
    <x v="0"/>
    <n v="0"/>
    <x v="0"/>
    <x v="1"/>
    <s v="FS"/>
    <x v="2"/>
    <m/>
    <m/>
    <m/>
  </r>
  <r>
    <n v="1292"/>
    <s v="SP"/>
    <x v="3"/>
    <x v="3"/>
    <x v="3"/>
    <s v="SERVIÇO"/>
    <x v="155"/>
    <x v="8"/>
    <n v="46853.99"/>
    <n v="43972.47"/>
    <x v="31"/>
    <x v="17"/>
    <x v="64"/>
    <x v="0"/>
    <n v="0"/>
    <x v="0"/>
    <x v="1"/>
    <s v="FS"/>
    <x v="2"/>
    <m/>
    <m/>
    <m/>
  </r>
  <r>
    <n v="1292"/>
    <s v="SP"/>
    <x v="3"/>
    <x v="3"/>
    <x v="3"/>
    <s v="SERVIÇO"/>
    <x v="156"/>
    <x v="8"/>
    <n v="4656.58"/>
    <n v="4370.2"/>
    <x v="31"/>
    <x v="17"/>
    <x v="64"/>
    <x v="0"/>
    <n v="0"/>
    <x v="0"/>
    <x v="1"/>
    <s v="FS"/>
    <x v="2"/>
    <m/>
    <m/>
    <m/>
  </r>
  <r>
    <n v="1292"/>
    <s v="SP"/>
    <x v="3"/>
    <x v="3"/>
    <x v="3"/>
    <s v="SERVIÇO"/>
    <x v="157"/>
    <x v="8"/>
    <n v="61378.96"/>
    <n v="57604.160000000003"/>
    <x v="46"/>
    <x v="0"/>
    <x v="65"/>
    <x v="0"/>
    <n v="0"/>
    <x v="0"/>
    <x v="1"/>
    <s v="FS"/>
    <x v="2"/>
    <m/>
    <m/>
    <m/>
  </r>
  <r>
    <n v="1292"/>
    <s v="SP"/>
    <x v="3"/>
    <x v="3"/>
    <x v="3"/>
    <s v="SERVIÇO"/>
    <x v="158"/>
    <x v="8"/>
    <n v="61800.639999999999"/>
    <n v="57999.9"/>
    <x v="55"/>
    <x v="31"/>
    <x v="66"/>
    <x v="0"/>
    <n v="0"/>
    <x v="0"/>
    <x v="1"/>
    <s v="FS"/>
    <x v="2"/>
    <m/>
    <m/>
    <m/>
  </r>
  <r>
    <n v="1292"/>
    <s v="SP"/>
    <x v="3"/>
    <x v="3"/>
    <x v="3"/>
    <s v="SERVIÇO"/>
    <x v="159"/>
    <x v="8"/>
    <n v="88281.31"/>
    <n v="82852.009999999995"/>
    <x v="16"/>
    <x v="3"/>
    <x v="40"/>
    <x v="0"/>
    <n v="0"/>
    <x v="0"/>
    <x v="1"/>
    <s v="FS"/>
    <x v="2"/>
    <m/>
    <m/>
    <m/>
  </r>
  <r>
    <n v="1292"/>
    <s v="SP"/>
    <x v="3"/>
    <x v="3"/>
    <x v="3"/>
    <s v="SERVIÇO"/>
    <x v="160"/>
    <x v="8"/>
    <n v="27048"/>
    <n v="25384.55"/>
    <x v="67"/>
    <x v="2"/>
    <x v="67"/>
    <x v="0"/>
    <n v="0"/>
    <x v="0"/>
    <x v="1"/>
    <s v="FS"/>
    <x v="2"/>
    <m/>
    <m/>
    <m/>
  </r>
  <r>
    <n v="1292"/>
    <s v="SP"/>
    <x v="3"/>
    <x v="3"/>
    <x v="3"/>
    <s v="SERVIÇO"/>
    <x v="161"/>
    <x v="8"/>
    <n v="55498.45"/>
    <n v="52085.29"/>
    <x v="67"/>
    <x v="2"/>
    <x v="67"/>
    <x v="0"/>
    <n v="0"/>
    <x v="0"/>
    <x v="1"/>
    <s v="FS"/>
    <x v="2"/>
    <m/>
    <m/>
    <m/>
  </r>
  <r>
    <n v="1292"/>
    <s v="SP"/>
    <x v="3"/>
    <x v="3"/>
    <x v="3"/>
    <s v="SERVIÇO"/>
    <x v="162"/>
    <x v="8"/>
    <n v="4656.58"/>
    <n v="4370.2"/>
    <x v="67"/>
    <x v="2"/>
    <x v="67"/>
    <x v="0"/>
    <n v="0"/>
    <x v="0"/>
    <x v="1"/>
    <s v="FS"/>
    <x v="2"/>
    <m/>
    <m/>
    <m/>
  </r>
  <r>
    <n v="1292"/>
    <s v="SP"/>
    <x v="3"/>
    <x v="3"/>
    <x v="3"/>
    <s v="SERVIÇO"/>
    <x v="163"/>
    <x v="8"/>
    <n v="61378.96"/>
    <n v="57604.160000000003"/>
    <x v="67"/>
    <x v="2"/>
    <x v="47"/>
    <x v="0"/>
    <n v="0"/>
    <x v="0"/>
    <x v="1"/>
    <s v="FS"/>
    <x v="2"/>
    <m/>
    <m/>
    <m/>
  </r>
  <r>
    <n v="1292"/>
    <s v="SP"/>
    <x v="3"/>
    <x v="3"/>
    <x v="3"/>
    <s v="SERVIÇO"/>
    <x v="164"/>
    <x v="8"/>
    <n v="27048"/>
    <n v="25384.55"/>
    <x v="56"/>
    <x v="2"/>
    <x v="47"/>
    <x v="0"/>
    <n v="0"/>
    <x v="0"/>
    <x v="1"/>
    <s v="FS"/>
    <x v="2"/>
    <m/>
    <m/>
    <m/>
  </r>
  <r>
    <n v="1292"/>
    <s v="SP"/>
    <x v="3"/>
    <x v="3"/>
    <x v="3"/>
    <s v="SERVIÇO"/>
    <x v="165"/>
    <x v="8"/>
    <n v="46853.99"/>
    <n v="43972.47"/>
    <x v="67"/>
    <x v="2"/>
    <x v="47"/>
    <x v="0"/>
    <n v="0"/>
    <x v="0"/>
    <x v="1"/>
    <s v="FS"/>
    <x v="2"/>
    <m/>
    <m/>
    <m/>
  </r>
  <r>
    <n v="1484"/>
    <s v="SP"/>
    <x v="3"/>
    <x v="3"/>
    <x v="42"/>
    <s v="SERVIÇO"/>
    <x v="166"/>
    <x v="8"/>
    <n v="36570.74"/>
    <n v="34321.64"/>
    <x v="16"/>
    <x v="2"/>
    <x v="3"/>
    <x v="0"/>
    <n v="0"/>
    <x v="0"/>
    <x v="2"/>
    <s v="FS"/>
    <x v="2"/>
    <m/>
    <m/>
    <m/>
  </r>
  <r>
    <n v="1484"/>
    <s v="SP"/>
    <x v="3"/>
    <x v="3"/>
    <x v="42"/>
    <s v="SERVIÇO"/>
    <x v="167"/>
    <x v="8"/>
    <n v="3864"/>
    <n v="3626.36"/>
    <x v="67"/>
    <x v="2"/>
    <x v="67"/>
    <x v="0"/>
    <n v="0"/>
    <x v="0"/>
    <x v="2"/>
    <s v="FS"/>
    <x v="2"/>
    <m/>
    <m/>
    <m/>
  </r>
  <r>
    <n v="1398"/>
    <s v="MATRIZ"/>
    <x v="1"/>
    <x v="1"/>
    <x v="1"/>
    <s v="SERVIÇO"/>
    <x v="168"/>
    <x v="8"/>
    <n v="48000"/>
    <n v="45048"/>
    <x v="48"/>
    <x v="27"/>
    <x v="68"/>
    <x v="0"/>
    <n v="0"/>
    <x v="0"/>
    <x v="0"/>
    <s v="UT"/>
    <x v="0"/>
    <m/>
    <m/>
    <m/>
  </r>
  <r>
    <n v="1398"/>
    <s v="MATRIZ"/>
    <x v="1"/>
    <x v="1"/>
    <x v="1"/>
    <s v="SERVIÇO"/>
    <x v="169"/>
    <x v="8"/>
    <n v="38223.89"/>
    <n v="34726.400000000001"/>
    <x v="43"/>
    <x v="31"/>
    <x v="66"/>
    <x v="0"/>
    <n v="0"/>
    <x v="0"/>
    <x v="0"/>
    <s v="UT"/>
    <x v="0"/>
    <m/>
    <m/>
    <m/>
  </r>
  <r>
    <n v="1398"/>
    <s v="MATRIZ"/>
    <x v="1"/>
    <x v="1"/>
    <x v="1"/>
    <s v="SERVIÇO"/>
    <x v="170"/>
    <x v="8"/>
    <n v="11210.79"/>
    <n v="10521.33"/>
    <x v="43"/>
    <x v="31"/>
    <x v="66"/>
    <x v="0"/>
    <n v="0"/>
    <x v="0"/>
    <x v="0"/>
    <s v="UT"/>
    <x v="0"/>
    <m/>
    <m/>
    <m/>
  </r>
  <r>
    <n v="1398"/>
    <s v="MATRIZ"/>
    <x v="1"/>
    <x v="1"/>
    <x v="1"/>
    <s v="SERVIÇO"/>
    <x v="171"/>
    <x v="8"/>
    <n v="13110.33"/>
    <n v="12304.04"/>
    <x v="68"/>
    <x v="5"/>
    <x v="69"/>
    <x v="0"/>
    <n v="0"/>
    <x v="0"/>
    <x v="0"/>
    <s v="UT"/>
    <x v="0"/>
    <m/>
    <m/>
    <m/>
  </r>
  <r>
    <n v="1393"/>
    <s v="MATRIZ"/>
    <x v="2"/>
    <x v="27"/>
    <x v="15"/>
    <s v="SERVIÇO"/>
    <x v="172"/>
    <x v="8"/>
    <n v="432751.13"/>
    <n v="388177.77"/>
    <x v="53"/>
    <x v="23"/>
    <x v="57"/>
    <x v="0"/>
    <n v="0"/>
    <x v="0"/>
    <x v="0"/>
    <s v="PS"/>
    <x v="1"/>
    <m/>
    <m/>
    <m/>
  </r>
  <r>
    <n v="1476"/>
    <s v="MATRIZ"/>
    <x v="2"/>
    <x v="13"/>
    <x v="16"/>
    <s v="SERVIÇO"/>
    <x v="173"/>
    <x v="8"/>
    <n v="318628.40000000002"/>
    <n v="285809.68"/>
    <x v="62"/>
    <x v="3"/>
    <x v="4"/>
    <x v="0"/>
    <m/>
    <x v="0"/>
    <x v="0"/>
    <s v="PS"/>
    <x v="1"/>
    <m/>
    <m/>
    <m/>
  </r>
  <r>
    <n v="1296"/>
    <s v="MATRIZ"/>
    <x v="0"/>
    <x v="4"/>
    <x v="34"/>
    <s v="SERVIÇO"/>
    <x v="174"/>
    <x v="8"/>
    <n v="302420.71000000002"/>
    <n v="273237.12"/>
    <x v="16"/>
    <x v="14"/>
    <x v="62"/>
    <x v="0"/>
    <m/>
    <x v="0"/>
    <x v="0"/>
    <s v="UT"/>
    <x v="0"/>
    <m/>
    <m/>
    <m/>
  </r>
  <r>
    <n v="1296"/>
    <s v="MATRIZ"/>
    <x v="0"/>
    <x v="4"/>
    <x v="34"/>
    <s v="SERVIÇO"/>
    <x v="175"/>
    <x v="8"/>
    <n v="462378.86"/>
    <n v="417759.3"/>
    <x v="16"/>
    <x v="25"/>
    <x v="70"/>
    <x v="0"/>
    <m/>
    <x v="0"/>
    <x v="0"/>
    <s v="UT"/>
    <x v="0"/>
    <m/>
    <m/>
    <m/>
  </r>
  <r>
    <n v="1300"/>
    <s v="HUB"/>
    <x v="0"/>
    <x v="4"/>
    <x v="4"/>
    <s v="SERVIÇO"/>
    <x v="176"/>
    <x v="8"/>
    <n v="35127.120000000003"/>
    <n v="31737.35"/>
    <x v="64"/>
    <x v="25"/>
    <x v="71"/>
    <x v="0"/>
    <n v="0"/>
    <x v="0"/>
    <x v="0"/>
    <s v="UT"/>
    <x v="0"/>
    <m/>
    <m/>
    <m/>
  </r>
  <r>
    <n v="1300"/>
    <s v="HUB"/>
    <x v="0"/>
    <x v="4"/>
    <x v="4"/>
    <s v="SERVIÇO"/>
    <x v="177"/>
    <x v="8"/>
    <n v="305125.3"/>
    <n v="275680.71000000002"/>
    <x v="53"/>
    <x v="25"/>
    <x v="72"/>
    <x v="0"/>
    <n v="0"/>
    <x v="0"/>
    <x v="0"/>
    <s v="UT"/>
    <x v="0"/>
    <m/>
    <m/>
    <m/>
  </r>
  <r>
    <n v="1290"/>
    <s v="MATRIZ"/>
    <x v="2"/>
    <x v="14"/>
    <x v="17"/>
    <s v="SERVIÇO"/>
    <x v="178"/>
    <x v="8"/>
    <n v="53175.27"/>
    <n v="46980.35"/>
    <x v="67"/>
    <x v="23"/>
    <x v="44"/>
    <x v="0"/>
    <n v="0"/>
    <x v="0"/>
    <x v="0"/>
    <s v="UT"/>
    <x v="1"/>
    <m/>
    <m/>
    <m/>
  </r>
  <r>
    <n v="1490"/>
    <s v="MATRIZ"/>
    <x v="2"/>
    <x v="14"/>
    <x v="43"/>
    <s v="SERVIÇO"/>
    <x v="179"/>
    <x v="8"/>
    <n v="690"/>
    <n v="609.61"/>
    <x v="63"/>
    <x v="25"/>
    <x v="70"/>
    <x v="0"/>
    <n v="0"/>
    <x v="0"/>
    <x v="0"/>
    <s v="UT"/>
    <x v="1"/>
    <m/>
    <m/>
    <m/>
  </r>
  <r>
    <n v="1475"/>
    <s v="MATRIZ"/>
    <x v="6"/>
    <x v="15"/>
    <x v="18"/>
    <s v="SERVIÇO"/>
    <x v="180"/>
    <x v="8"/>
    <n v="67387.39"/>
    <n v="60446.49"/>
    <x v="16"/>
    <x v="2"/>
    <x v="3"/>
    <x v="0"/>
    <n v="0"/>
    <x v="0"/>
    <x v="1"/>
    <s v="PS"/>
    <x v="3"/>
    <m/>
    <m/>
    <m/>
  </r>
  <r>
    <n v="1472"/>
    <s v="SP"/>
    <x v="3"/>
    <x v="28"/>
    <x v="44"/>
    <s v="SERVIÇO"/>
    <x v="181"/>
    <x v="8"/>
    <n v="107611.2"/>
    <n v="100993.11"/>
    <x v="48"/>
    <x v="1"/>
    <x v="22"/>
    <x v="0"/>
    <m/>
    <x v="0"/>
    <x v="2"/>
    <s v="FS"/>
    <x v="2"/>
    <m/>
    <m/>
    <m/>
  </r>
  <r>
    <n v="1378"/>
    <s v="MATRIZ"/>
    <x v="4"/>
    <x v="5"/>
    <x v="5"/>
    <s v="SERVIÇO"/>
    <x v="182"/>
    <x v="8"/>
    <n v="4281.29"/>
    <n v="4017.99"/>
    <x v="69"/>
    <x v="3"/>
    <x v="73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183"/>
    <x v="8"/>
    <n v="38395.360000000001"/>
    <n v="34440.629999999997"/>
    <x v="48"/>
    <x v="14"/>
    <x v="62"/>
    <x v="0"/>
    <n v="0"/>
    <x v="0"/>
    <x v="0"/>
    <s v="PS"/>
    <x v="1"/>
    <m/>
    <m/>
    <m/>
  </r>
  <r>
    <n v="1358"/>
    <s v="MATRIZ"/>
    <x v="2"/>
    <x v="16"/>
    <x v="19"/>
    <s v="SERVIÇO"/>
    <x v="184"/>
    <x v="8"/>
    <n v="9420.94"/>
    <n v="8450.58"/>
    <x v="63"/>
    <x v="3"/>
    <x v="73"/>
    <x v="0"/>
    <n v="0"/>
    <x v="0"/>
    <x v="0"/>
    <s v="PS"/>
    <x v="1"/>
    <m/>
    <m/>
    <m/>
  </r>
  <r>
    <n v="1358"/>
    <s v="MATRIZ"/>
    <x v="2"/>
    <x v="16"/>
    <x v="19"/>
    <s v="SERVIÇO"/>
    <x v="185"/>
    <x v="8"/>
    <n v="85164.92"/>
    <n v="76392.929999999993"/>
    <x v="63"/>
    <x v="25"/>
    <x v="49"/>
    <x v="0"/>
    <n v="0"/>
    <x v="0"/>
    <x v="0"/>
    <s v="PS"/>
    <x v="1"/>
    <m/>
    <m/>
    <m/>
  </r>
  <r>
    <n v="1473"/>
    <s v="MATRIZ"/>
    <x v="2"/>
    <x v="17"/>
    <x v="20"/>
    <s v="SERVIÇO"/>
    <x v="186"/>
    <x v="8"/>
    <n v="224851.18"/>
    <n v="208496.65"/>
    <x v="58"/>
    <x v="32"/>
    <x v="74"/>
    <x v="0"/>
    <n v="0"/>
    <x v="0"/>
    <x v="0"/>
    <s v="PS"/>
    <x v="1"/>
    <m/>
    <m/>
    <m/>
  </r>
  <r>
    <n v="1462"/>
    <s v="MATRIZ"/>
    <x v="1"/>
    <x v="18"/>
    <x v="21"/>
    <s v="SERVIÇO"/>
    <x v="187"/>
    <x v="8"/>
    <n v="800"/>
    <n v="750.8"/>
    <x v="48"/>
    <x v="15"/>
    <x v="20"/>
    <x v="0"/>
    <n v="0"/>
    <x v="0"/>
    <x v="0"/>
    <s v="MS"/>
    <x v="0"/>
    <m/>
    <m/>
    <m/>
  </r>
  <r>
    <n v="1390"/>
    <s v="HUB"/>
    <x v="0"/>
    <x v="0"/>
    <x v="0"/>
    <s v="SERVIÇO"/>
    <x v="188"/>
    <x v="10"/>
    <n v="191297.11"/>
    <n v="169010.99"/>
    <x v="65"/>
    <x v="20"/>
    <x v="75"/>
    <x v="0"/>
    <m/>
    <x v="0"/>
    <x v="0"/>
    <s v="UT"/>
    <x v="0"/>
    <m/>
    <m/>
    <m/>
  </r>
  <r>
    <n v="1260"/>
    <s v="SP"/>
    <x v="4"/>
    <x v="19"/>
    <x v="22"/>
    <s v="SERVIÇO"/>
    <x v="189"/>
    <x v="8"/>
    <n v="10395"/>
    <n v="9755.7000000000007"/>
    <x v="67"/>
    <x v="14"/>
    <x v="19"/>
    <x v="0"/>
    <n v="0"/>
    <x v="0"/>
    <x v="1"/>
    <s v="MS"/>
    <x v="0"/>
    <m/>
    <m/>
    <m/>
  </r>
  <r>
    <n v="1487"/>
    <s v="SP"/>
    <x v="4"/>
    <x v="30"/>
    <x v="46"/>
    <s v="SERVIÇO"/>
    <x v="190"/>
    <x v="8"/>
    <n v="24960"/>
    <n v="23424.959999999999"/>
    <x v="48"/>
    <x v="2"/>
    <x v="67"/>
    <x v="0"/>
    <n v="0"/>
    <x v="0"/>
    <x v="2"/>
    <s v="FS"/>
    <x v="0"/>
    <m/>
    <m/>
    <m/>
  </r>
  <r>
    <n v="1487"/>
    <s v="SP"/>
    <x v="4"/>
    <x v="30"/>
    <x v="46"/>
    <s v="SERVIÇO"/>
    <x v="191"/>
    <x v="8"/>
    <n v="47838"/>
    <n v="44895.96"/>
    <x v="48"/>
    <x v="23"/>
    <x v="57"/>
    <x v="0"/>
    <n v="0"/>
    <x v="0"/>
    <x v="2"/>
    <s v="FS"/>
    <x v="0"/>
    <m/>
    <m/>
    <m/>
  </r>
  <r>
    <n v="1482"/>
    <s v="MATRIZ"/>
    <x v="0"/>
    <x v="4"/>
    <x v="23"/>
    <s v="SERVIÇO"/>
    <x v="192"/>
    <x v="8"/>
    <n v="39000"/>
    <n v="35236.5"/>
    <x v="56"/>
    <x v="14"/>
    <x v="46"/>
    <x v="0"/>
    <m/>
    <x v="0"/>
    <x v="0"/>
    <s v="UT"/>
    <x v="0"/>
    <m/>
    <m/>
    <m/>
  </r>
  <r>
    <n v="1262"/>
    <s v="SP"/>
    <x v="4"/>
    <x v="20"/>
    <x v="24"/>
    <s v="SERVIÇO"/>
    <x v="193"/>
    <x v="8"/>
    <n v="3877.11"/>
    <n v="3638.67"/>
    <x v="69"/>
    <x v="14"/>
    <x v="46"/>
    <x v="0"/>
    <n v="0"/>
    <x v="0"/>
    <x v="1"/>
    <s v="FS"/>
    <x v="0"/>
    <m/>
    <m/>
    <m/>
  </r>
  <r>
    <n v="1262"/>
    <s v="SP"/>
    <x v="4"/>
    <x v="20"/>
    <x v="24"/>
    <s v="SERVIÇO"/>
    <x v="194"/>
    <x v="8"/>
    <n v="67733.11"/>
    <n v="63567.519999999997"/>
    <x v="69"/>
    <x v="14"/>
    <x v="46"/>
    <x v="0"/>
    <n v="0"/>
    <x v="0"/>
    <x v="1"/>
    <s v="FS"/>
    <x v="0"/>
    <m/>
    <m/>
    <m/>
  </r>
  <r>
    <n v="1262"/>
    <s v="SP"/>
    <x v="4"/>
    <x v="20"/>
    <x v="24"/>
    <s v="SERVIÇO"/>
    <x v="195"/>
    <x v="8"/>
    <n v="9046.58"/>
    <n v="8490.2099999999991"/>
    <x v="69"/>
    <x v="14"/>
    <x v="46"/>
    <x v="0"/>
    <n v="0"/>
    <x v="0"/>
    <x v="1"/>
    <s v="FS"/>
    <x v="0"/>
    <m/>
    <m/>
    <m/>
  </r>
  <r>
    <n v="1262"/>
    <s v="SP"/>
    <x v="4"/>
    <x v="20"/>
    <x v="24"/>
    <s v="SERVIÇO"/>
    <x v="196"/>
    <x v="8"/>
    <n v="21588.05"/>
    <n v="20260.39"/>
    <x v="69"/>
    <x v="14"/>
    <x v="46"/>
    <x v="0"/>
    <n v="0"/>
    <x v="0"/>
    <x v="1"/>
    <s v="FS"/>
    <x v="0"/>
    <m/>
    <m/>
    <m/>
  </r>
  <r>
    <n v="1262"/>
    <s v="SP"/>
    <x v="4"/>
    <x v="20"/>
    <x v="24"/>
    <s v="SERVIÇO"/>
    <x v="197"/>
    <x v="8"/>
    <n v="38695.5"/>
    <n v="36315.730000000003"/>
    <x v="69"/>
    <x v="14"/>
    <x v="46"/>
    <x v="0"/>
    <n v="0"/>
    <x v="0"/>
    <x v="1"/>
    <s v="FS"/>
    <x v="0"/>
    <m/>
    <m/>
    <m/>
  </r>
  <r>
    <n v="1269"/>
    <s v="SP"/>
    <x v="4"/>
    <x v="20"/>
    <x v="25"/>
    <s v="SERVIÇO"/>
    <x v="198"/>
    <x v="8"/>
    <n v="6310.36"/>
    <n v="5922.27"/>
    <x v="69"/>
    <x v="14"/>
    <x v="46"/>
    <x v="0"/>
    <n v="0"/>
    <x v="0"/>
    <x v="0"/>
    <s v="FS"/>
    <x v="0"/>
    <m/>
    <m/>
    <m/>
  </r>
  <r>
    <n v="1269"/>
    <s v="SP"/>
    <x v="4"/>
    <x v="20"/>
    <x v="25"/>
    <s v="SERVIÇO"/>
    <x v="199"/>
    <x v="8"/>
    <n v="17033.400000000001"/>
    <n v="15985.85"/>
    <x v="69"/>
    <x v="14"/>
    <x v="46"/>
    <x v="0"/>
    <n v="0"/>
    <x v="0"/>
    <x v="0"/>
    <s v="FS"/>
    <x v="0"/>
    <m/>
    <m/>
    <m/>
  </r>
  <r>
    <n v="1269"/>
    <s v="SP"/>
    <x v="4"/>
    <x v="20"/>
    <x v="25"/>
    <s v="SERVIÇO"/>
    <x v="200"/>
    <x v="8"/>
    <n v="22383.29"/>
    <n v="21006.720000000001"/>
    <x v="69"/>
    <x v="14"/>
    <x v="46"/>
    <x v="0"/>
    <n v="0"/>
    <x v="0"/>
    <x v="0"/>
    <s v="FS"/>
    <x v="0"/>
    <m/>
    <m/>
    <m/>
  </r>
  <r>
    <n v="1269"/>
    <s v="SP"/>
    <x v="4"/>
    <x v="20"/>
    <x v="25"/>
    <s v="SERVIÇO"/>
    <x v="201"/>
    <x v="8"/>
    <n v="198578.23"/>
    <n v="186365.67"/>
    <x v="69"/>
    <x v="14"/>
    <x v="46"/>
    <x v="0"/>
    <n v="0"/>
    <x v="0"/>
    <x v="0"/>
    <s v="FS"/>
    <x v="0"/>
    <m/>
    <m/>
    <m/>
  </r>
  <r>
    <n v="1400"/>
    <s v="SP"/>
    <x v="7"/>
    <x v="21"/>
    <x v="26"/>
    <s v="SERVIÇO"/>
    <x v="202"/>
    <x v="8"/>
    <n v="785309.77"/>
    <n v="709527.37"/>
    <x v="70"/>
    <x v="27"/>
    <x v="68"/>
    <x v="0"/>
    <n v="0"/>
    <x v="0"/>
    <x v="1"/>
    <s v="UT"/>
    <x v="2"/>
    <m/>
    <m/>
    <m/>
  </r>
  <r>
    <n v="1400"/>
    <s v="SP"/>
    <x v="7"/>
    <x v="21"/>
    <x v="26"/>
    <s v="SERVIÇO"/>
    <x v="203"/>
    <x v="8"/>
    <n v="77751.44"/>
    <n v="70248.429999999993"/>
    <x v="70"/>
    <x v="27"/>
    <x v="68"/>
    <x v="0"/>
    <n v="0"/>
    <x v="0"/>
    <x v="1"/>
    <s v="UT"/>
    <x v="2"/>
    <m/>
    <m/>
    <m/>
  </r>
  <r>
    <n v="1366"/>
    <s v="HUB"/>
    <x v="7"/>
    <x v="21"/>
    <x v="27"/>
    <s v="SERVIÇO"/>
    <x v="204"/>
    <x v="8"/>
    <n v="346916.22"/>
    <n v="313438.78000000003"/>
    <x v="43"/>
    <x v="23"/>
    <x v="34"/>
    <x v="0"/>
    <n v="0"/>
    <x v="0"/>
    <x v="0"/>
    <s v="UT"/>
    <x v="2"/>
    <m/>
    <m/>
    <m/>
  </r>
  <r>
    <n v="1388"/>
    <s v="SP"/>
    <x v="7"/>
    <x v="21"/>
    <x v="28"/>
    <s v="SERVIÇO"/>
    <x v="205"/>
    <x v="8"/>
    <n v="281623.84999999998"/>
    <n v="254447.15"/>
    <x v="43"/>
    <x v="23"/>
    <x v="34"/>
    <x v="0"/>
    <n v="0"/>
    <x v="0"/>
    <x v="1"/>
    <s v="UT"/>
    <x v="2"/>
    <m/>
    <m/>
    <m/>
  </r>
  <r>
    <n v="1298"/>
    <s v="HUB"/>
    <x v="8"/>
    <x v="22"/>
    <x v="29"/>
    <s v="SERVIÇO"/>
    <x v="206"/>
    <x v="8"/>
    <n v="275594.28999999998"/>
    <n v="253133.36"/>
    <x v="43"/>
    <x v="14"/>
    <x v="46"/>
    <x v="0"/>
    <n v="0"/>
    <x v="0"/>
    <x v="0"/>
    <s v="PS"/>
    <x v="0"/>
    <m/>
    <m/>
    <m/>
  </r>
  <r>
    <n v="1289"/>
    <s v="HUB"/>
    <x v="6"/>
    <x v="23"/>
    <x v="30"/>
    <s v="SERVIÇO"/>
    <x v="207"/>
    <x v="8"/>
    <n v="278263.01"/>
    <n v="259341.13"/>
    <x v="43"/>
    <x v="14"/>
    <x v="19"/>
    <x v="0"/>
    <n v="0"/>
    <x v="0"/>
    <x v="0"/>
    <s v="PS"/>
    <x v="3"/>
    <m/>
    <m/>
    <m/>
  </r>
  <r>
    <n v="1288"/>
    <s v="HUB"/>
    <x v="6"/>
    <x v="23"/>
    <x v="31"/>
    <s v="SERVIÇO"/>
    <x v="208"/>
    <x v="8"/>
    <n v="379348.19"/>
    <n v="353552.52"/>
    <x v="43"/>
    <x v="14"/>
    <x v="76"/>
    <x v="0"/>
    <n v="0"/>
    <x v="0"/>
    <x v="1"/>
    <s v="PS"/>
    <x v="3"/>
    <m/>
    <m/>
    <m/>
  </r>
  <r>
    <n v="1271"/>
    <s v="HUB"/>
    <x v="6"/>
    <x v="23"/>
    <x v="32"/>
    <s v="SERVIÇO"/>
    <x v="209"/>
    <x v="8"/>
    <n v="255597.54"/>
    <n v="238216.91"/>
    <x v="43"/>
    <x v="14"/>
    <x v="76"/>
    <x v="0"/>
    <n v="0"/>
    <x v="0"/>
    <x v="0"/>
    <s v="PS"/>
    <x v="3"/>
    <m/>
    <m/>
    <m/>
  </r>
  <r>
    <n v="1299"/>
    <s v="HUB"/>
    <x v="6"/>
    <x v="23"/>
    <x v="33"/>
    <s v="SERVIÇO"/>
    <x v="210"/>
    <x v="8"/>
    <n v="1177084.8"/>
    <n v="1097043.03"/>
    <x v="71"/>
    <x v="27"/>
    <x v="63"/>
    <x v="0"/>
    <m/>
    <x v="0"/>
    <x v="1"/>
    <s v="PS"/>
    <x v="3"/>
    <m/>
    <m/>
    <m/>
  </r>
  <r>
    <n v="1394"/>
    <s v="MATRIZ"/>
    <x v="5"/>
    <x v="7"/>
    <x v="7"/>
    <s v="SERVIÇO"/>
    <x v="211"/>
    <x v="8"/>
    <n v="93647.49"/>
    <n v="87279.46"/>
    <x v="43"/>
    <x v="14"/>
    <x v="19"/>
    <x v="0"/>
    <n v="0"/>
    <x v="0"/>
    <x v="0"/>
    <s v="PS"/>
    <x v="1"/>
    <m/>
    <m/>
    <m/>
  </r>
  <r>
    <n v="1394"/>
    <s v="MATRIZ"/>
    <x v="5"/>
    <x v="7"/>
    <x v="7"/>
    <s v="SERVIÇO"/>
    <x v="212"/>
    <x v="8"/>
    <n v="111600.22"/>
    <n v="104011.41"/>
    <x v="72"/>
    <x v="23"/>
    <x v="57"/>
    <x v="0"/>
    <n v="0"/>
    <x v="0"/>
    <x v="0"/>
    <s v="PS"/>
    <x v="1"/>
    <m/>
    <m/>
    <m/>
  </r>
  <r>
    <n v="1394"/>
    <s v="MATRIZ"/>
    <x v="5"/>
    <x v="7"/>
    <x v="7"/>
    <s v="SERVIÇO"/>
    <x v="213"/>
    <x v="8"/>
    <n v="151139.01"/>
    <n v="140861.56"/>
    <x v="73"/>
    <x v="25"/>
    <x v="57"/>
    <x v="0"/>
    <n v="0"/>
    <x v="0"/>
    <x v="0"/>
    <s v="PS"/>
    <x v="1"/>
    <m/>
    <m/>
    <m/>
  </r>
  <r>
    <n v="1394"/>
    <s v="MATRIZ"/>
    <x v="5"/>
    <x v="7"/>
    <x v="7"/>
    <s v="SERVIÇO"/>
    <x v="214"/>
    <x v="8"/>
    <n v="222403.39"/>
    <n v="207279.96"/>
    <x v="33"/>
    <x v="31"/>
    <x v="66"/>
    <x v="0"/>
    <n v="0"/>
    <x v="0"/>
    <x v="0"/>
    <s v="PS"/>
    <x v="1"/>
    <m/>
    <m/>
    <m/>
  </r>
  <r>
    <n v="1394"/>
    <s v="MATRIZ"/>
    <x v="5"/>
    <x v="7"/>
    <x v="7"/>
    <s v="SERVIÇO"/>
    <x v="215"/>
    <x v="8"/>
    <n v="127355.8"/>
    <n v="118695.6"/>
    <x v="58"/>
    <x v="27"/>
    <x v="63"/>
    <x v="0"/>
    <n v="0"/>
    <x v="0"/>
    <x v="0"/>
    <s v="PS"/>
    <x v="1"/>
    <m/>
    <m/>
    <m/>
  </r>
  <r>
    <n v="1394"/>
    <s v="MATRIZ"/>
    <x v="5"/>
    <x v="7"/>
    <x v="7"/>
    <s v="SERVIÇO"/>
    <x v="216"/>
    <x v="8"/>
    <n v="85000"/>
    <n v="79220"/>
    <x v="71"/>
    <x v="27"/>
    <x v="63"/>
    <x v="0"/>
    <n v="0"/>
    <x v="0"/>
    <x v="0"/>
    <s v="PS"/>
    <x v="1"/>
    <m/>
    <m/>
    <m/>
  </r>
  <r>
    <n v="1394"/>
    <s v="MATRIZ"/>
    <x v="5"/>
    <x v="7"/>
    <x v="7"/>
    <s v="SERVIÇO"/>
    <x v="217"/>
    <x v="8"/>
    <n v="283355.11"/>
    <n v="264086.96000000002"/>
    <x v="71"/>
    <x v="27"/>
    <x v="68"/>
    <x v="0"/>
    <n v="0"/>
    <x v="0"/>
    <x v="0"/>
    <s v="PS"/>
    <x v="1"/>
    <m/>
    <m/>
    <m/>
  </r>
  <r>
    <n v="1360"/>
    <s v="SP"/>
    <x v="3"/>
    <x v="8"/>
    <x v="8"/>
    <s v="SERVIÇO"/>
    <x v="218"/>
    <x v="8"/>
    <n v="105832"/>
    <n v="99323.33"/>
    <x v="38"/>
    <x v="23"/>
    <x v="57"/>
    <x v="0"/>
    <m/>
    <x v="0"/>
    <x v="1"/>
    <s v="FS"/>
    <x v="2"/>
    <m/>
    <m/>
    <m/>
  </r>
  <r>
    <n v="1360"/>
    <s v="SP"/>
    <x v="3"/>
    <x v="8"/>
    <x v="8"/>
    <s v="SERVIÇO"/>
    <x v="219"/>
    <x v="8"/>
    <n v="23460"/>
    <n v="22017.21"/>
    <x v="38"/>
    <x v="23"/>
    <x v="57"/>
    <x v="0"/>
    <m/>
    <x v="0"/>
    <x v="1"/>
    <s v="FS"/>
    <x v="2"/>
    <m/>
    <m/>
    <m/>
  </r>
  <r>
    <n v="1360"/>
    <s v="SP"/>
    <x v="3"/>
    <x v="8"/>
    <x v="8"/>
    <s v="SERVIÇO"/>
    <x v="220"/>
    <x v="8"/>
    <n v="75270.8"/>
    <n v="70641.649999999994"/>
    <x v="38"/>
    <x v="23"/>
    <x v="57"/>
    <x v="0"/>
    <m/>
    <x v="0"/>
    <x v="1"/>
    <s v="FS"/>
    <x v="2"/>
    <m/>
    <m/>
    <m/>
  </r>
  <r>
    <n v="1360"/>
    <s v="SP"/>
    <x v="3"/>
    <x v="8"/>
    <x v="8"/>
    <s v="SERVIÇO"/>
    <x v="221"/>
    <x v="8"/>
    <n v="45432"/>
    <n v="42637.93"/>
    <x v="38"/>
    <x v="23"/>
    <x v="57"/>
    <x v="0"/>
    <m/>
    <x v="0"/>
    <x v="1"/>
    <s v="FS"/>
    <x v="2"/>
    <m/>
    <m/>
    <m/>
  </r>
  <r>
    <n v="1360"/>
    <s v="SP"/>
    <x v="3"/>
    <x v="8"/>
    <x v="8"/>
    <s v="SERVIÇO"/>
    <x v="222"/>
    <x v="8"/>
    <n v="40668.800000000003"/>
    <n v="38167.67"/>
    <x v="38"/>
    <x v="16"/>
    <x v="50"/>
    <x v="0"/>
    <m/>
    <x v="0"/>
    <x v="1"/>
    <s v="FS"/>
    <x v="2"/>
    <m/>
    <m/>
    <m/>
  </r>
  <r>
    <n v="1360"/>
    <s v="SP"/>
    <x v="3"/>
    <x v="8"/>
    <x v="8"/>
    <s v="SERVIÇO"/>
    <x v="223"/>
    <x v="8"/>
    <n v="88000"/>
    <n v="82588"/>
    <x v="74"/>
    <x v="23"/>
    <x v="57"/>
    <x v="0"/>
    <m/>
    <x v="0"/>
    <x v="1"/>
    <s v="FS"/>
    <x v="2"/>
    <m/>
    <m/>
    <m/>
  </r>
  <r>
    <n v="1360"/>
    <s v="SP"/>
    <x v="3"/>
    <x v="8"/>
    <x v="8"/>
    <s v="SERVIÇO"/>
    <x v="224"/>
    <x v="8"/>
    <n v="31250.240000000002"/>
    <n v="29328.35"/>
    <x v="74"/>
    <x v="23"/>
    <x v="57"/>
    <x v="0"/>
    <m/>
    <x v="0"/>
    <x v="1"/>
    <s v="FS"/>
    <x v="2"/>
    <m/>
    <m/>
    <m/>
  </r>
  <r>
    <n v="1360"/>
    <s v="SP"/>
    <x v="3"/>
    <x v="8"/>
    <x v="8"/>
    <s v="SERVIÇO"/>
    <x v="225"/>
    <x v="8"/>
    <n v="76074.149999999994"/>
    <n v="71395.600000000006"/>
    <x v="74"/>
    <x v="23"/>
    <x v="57"/>
    <x v="0"/>
    <m/>
    <x v="0"/>
    <x v="1"/>
    <s v="FS"/>
    <x v="2"/>
    <m/>
    <m/>
    <m/>
  </r>
  <r>
    <n v="1360"/>
    <s v="SP"/>
    <x v="3"/>
    <x v="8"/>
    <x v="8"/>
    <s v="SERVIÇO"/>
    <x v="226"/>
    <x v="8"/>
    <n v="35963.199999999997"/>
    <n v="33751.46"/>
    <x v="75"/>
    <x v="23"/>
    <x v="57"/>
    <x v="0"/>
    <m/>
    <x v="0"/>
    <x v="1"/>
    <s v="FS"/>
    <x v="2"/>
    <m/>
    <m/>
    <m/>
  </r>
  <r>
    <n v="1360"/>
    <s v="SP"/>
    <x v="3"/>
    <x v="8"/>
    <x v="8"/>
    <s v="SERVIÇO"/>
    <x v="227"/>
    <x v="8"/>
    <n v="7528"/>
    <n v="7065.03"/>
    <x v="75"/>
    <x v="23"/>
    <x v="57"/>
    <x v="0"/>
    <m/>
    <x v="0"/>
    <x v="1"/>
    <s v="FS"/>
    <x v="2"/>
    <m/>
    <m/>
    <m/>
  </r>
  <r>
    <n v="1360"/>
    <s v="SP"/>
    <x v="3"/>
    <x v="8"/>
    <x v="8"/>
    <s v="SERVIÇO"/>
    <x v="228"/>
    <x v="8"/>
    <n v="86083.6"/>
    <n v="80789.460000000006"/>
    <x v="76"/>
    <x v="23"/>
    <x v="57"/>
    <x v="0"/>
    <m/>
    <x v="0"/>
    <x v="1"/>
    <s v="FS"/>
    <x v="2"/>
    <m/>
    <m/>
    <m/>
  </r>
  <r>
    <n v="1360"/>
    <s v="SP"/>
    <x v="3"/>
    <x v="8"/>
    <x v="8"/>
    <s v="SERVIÇO"/>
    <x v="229"/>
    <x v="8"/>
    <n v="22584"/>
    <n v="21195.08"/>
    <x v="77"/>
    <x v="32"/>
    <x v="74"/>
    <x v="0"/>
    <m/>
    <x v="0"/>
    <x v="1"/>
    <s v="FS"/>
    <x v="2"/>
    <m/>
    <m/>
    <m/>
  </r>
  <r>
    <n v="1387"/>
    <s v="SP"/>
    <x v="3"/>
    <x v="8"/>
    <x v="47"/>
    <s v="SERVIÇO"/>
    <x v="230"/>
    <x v="8"/>
    <n v="30648"/>
    <n v="28763.15"/>
    <x v="38"/>
    <x v="23"/>
    <x v="57"/>
    <x v="0"/>
    <m/>
    <x v="0"/>
    <x v="0"/>
    <s v="FS"/>
    <x v="2"/>
    <m/>
    <m/>
    <m/>
  </r>
  <r>
    <n v="1387"/>
    <s v="SP"/>
    <x v="3"/>
    <x v="8"/>
    <x v="47"/>
    <s v="SERVIÇO"/>
    <x v="231"/>
    <x v="8"/>
    <n v="30932.959999999999"/>
    <n v="29030.59"/>
    <x v="74"/>
    <x v="23"/>
    <x v="57"/>
    <x v="0"/>
    <m/>
    <x v="0"/>
    <x v="0"/>
    <s v="FS"/>
    <x v="2"/>
    <m/>
    <m/>
    <m/>
  </r>
  <r>
    <n v="1387"/>
    <s v="SP"/>
    <x v="3"/>
    <x v="8"/>
    <x v="47"/>
    <s v="SERVIÇO"/>
    <x v="232"/>
    <x v="8"/>
    <n v="3838.8"/>
    <n v="3602.72"/>
    <x v="75"/>
    <x v="23"/>
    <x v="57"/>
    <x v="0"/>
    <m/>
    <x v="0"/>
    <x v="0"/>
    <s v="FS"/>
    <x v="2"/>
    <m/>
    <m/>
    <m/>
  </r>
  <r>
    <n v="1387"/>
    <s v="SP"/>
    <x v="3"/>
    <x v="8"/>
    <x v="47"/>
    <s v="SERVIÇO"/>
    <x v="233"/>
    <x v="8"/>
    <n v="68822.720000000001"/>
    <n v="64590.12"/>
    <x v="76"/>
    <x v="23"/>
    <x v="57"/>
    <x v="0"/>
    <m/>
    <x v="0"/>
    <x v="0"/>
    <s v="FS"/>
    <x v="2"/>
    <m/>
    <m/>
    <m/>
  </r>
  <r>
    <n v="1470"/>
    <s v="MATRIZ"/>
    <x v="1"/>
    <x v="24"/>
    <x v="35"/>
    <s v="SERVIÇO"/>
    <x v="234"/>
    <x v="8"/>
    <n v="36700"/>
    <n v="33708.949999999997"/>
    <x v="48"/>
    <x v="2"/>
    <x v="77"/>
    <x v="0"/>
    <n v="0"/>
    <x v="0"/>
    <x v="0"/>
    <s v="UT"/>
    <x v="1"/>
    <m/>
    <m/>
    <m/>
  </r>
  <r>
    <n v="1287"/>
    <s v="HUB"/>
    <x v="6"/>
    <x v="25"/>
    <x v="36"/>
    <s v="SERVIÇO"/>
    <x v="235"/>
    <x v="8"/>
    <n v="314860.65000000002"/>
    <n v="282430.01"/>
    <x v="68"/>
    <x v="3"/>
    <x v="4"/>
    <x v="0"/>
    <n v="0"/>
    <x v="0"/>
    <x v="1"/>
    <s v="PS"/>
    <x v="3"/>
    <m/>
    <m/>
    <m/>
  </r>
  <r>
    <n v="1273"/>
    <s v="HUB"/>
    <x v="6"/>
    <x v="25"/>
    <x v="37"/>
    <s v="SERVIÇO"/>
    <x v="236"/>
    <x v="8"/>
    <n v="562961.24"/>
    <n v="504976.24"/>
    <x v="78"/>
    <x v="27"/>
    <x v="54"/>
    <x v="0"/>
    <n v="0"/>
    <x v="0"/>
    <x v="0"/>
    <s v="PS"/>
    <x v="3"/>
    <m/>
    <m/>
    <m/>
  </r>
  <r>
    <n v="1277"/>
    <s v="HUB"/>
    <x v="6"/>
    <x v="25"/>
    <x v="38"/>
    <s v="SERVIÇO"/>
    <x v="237"/>
    <x v="8"/>
    <n v="154365.24"/>
    <n v="138465.63"/>
    <x v="78"/>
    <x v="27"/>
    <x v="54"/>
    <x v="0"/>
    <n v="0"/>
    <x v="0"/>
    <x v="0"/>
    <s v="PS"/>
    <x v="3"/>
    <m/>
    <m/>
    <m/>
  </r>
  <r>
    <n v="1483"/>
    <s v="MATRIZ"/>
    <x v="1"/>
    <x v="9"/>
    <x v="9"/>
    <s v="SERVIÇO"/>
    <x v="238"/>
    <x v="8"/>
    <n v="53591.199999999997"/>
    <n v="50295.34"/>
    <x v="48"/>
    <x v="23"/>
    <x v="34"/>
    <x v="0"/>
    <n v="0"/>
    <x v="0"/>
    <x v="0"/>
    <s v="UT"/>
    <x v="0"/>
    <m/>
    <m/>
    <m/>
  </r>
  <r>
    <n v="1390"/>
    <s v="HUB"/>
    <x v="8"/>
    <x v="0"/>
    <x v="0"/>
    <s v="SERVIÇO"/>
    <x v="239"/>
    <x v="7"/>
    <n v="146956.59"/>
    <n v="129836.15"/>
    <x v="79"/>
    <x v="33"/>
    <x v="78"/>
    <x v="0"/>
    <m/>
    <x v="0"/>
    <x v="0"/>
    <s v="UT"/>
    <x v="0"/>
    <m/>
    <m/>
    <m/>
  </r>
  <r>
    <n v="1275"/>
    <s v="SP"/>
    <x v="4"/>
    <x v="26"/>
    <x v="40"/>
    <s v="SERVIÇO"/>
    <x v="240"/>
    <x v="8"/>
    <n v="31920"/>
    <n v="29956.92"/>
    <x v="48"/>
    <x v="14"/>
    <x v="46"/>
    <x v="0"/>
    <n v="0"/>
    <x v="0"/>
    <x v="1"/>
    <s v="FS"/>
    <x v="0"/>
    <m/>
    <m/>
    <m/>
  </r>
  <r>
    <n v="1479"/>
    <s v="SP"/>
    <x v="4"/>
    <x v="26"/>
    <x v="41"/>
    <s v="SERVIÇO"/>
    <x v="241"/>
    <x v="8"/>
    <n v="52080"/>
    <n v="48877.08"/>
    <x v="16"/>
    <x v="14"/>
    <x v="46"/>
    <x v="0"/>
    <n v="0"/>
    <x v="0"/>
    <x v="2"/>
    <s v="FS"/>
    <x v="0"/>
    <m/>
    <m/>
    <m/>
  </r>
  <r>
    <n v="1455"/>
    <s v="MATRIZ"/>
    <x v="2"/>
    <x v="2"/>
    <x v="2"/>
    <s v="SERVIÇO"/>
    <x v="242"/>
    <x v="9"/>
    <n v="54003.39"/>
    <n v="47712"/>
    <x v="70"/>
    <x v="32"/>
    <x v="74"/>
    <x v="0"/>
    <m/>
    <x v="0"/>
    <x v="0"/>
    <s v="MS"/>
    <x v="1"/>
    <m/>
    <m/>
    <m/>
  </r>
  <r>
    <n v="1478"/>
    <s v="SP"/>
    <x v="3"/>
    <x v="10"/>
    <x v="10"/>
    <s v="SERVIÇO"/>
    <x v="243"/>
    <x v="9"/>
    <n v="76256.009999999995"/>
    <n v="71566.27"/>
    <x v="62"/>
    <x v="31"/>
    <x v="66"/>
    <x v="0"/>
    <m/>
    <x v="0"/>
    <x v="1"/>
    <s v="FS"/>
    <x v="2"/>
    <m/>
    <m/>
    <m/>
  </r>
  <r>
    <n v="1391"/>
    <s v="SP"/>
    <x v="3"/>
    <x v="11"/>
    <x v="11"/>
    <s v="SERVIÇO"/>
    <x v="244"/>
    <x v="9"/>
    <n v="154804.57"/>
    <n v="145284.07999999999"/>
    <x v="62"/>
    <x v="27"/>
    <x v="54"/>
    <x v="0"/>
    <m/>
    <x v="0"/>
    <x v="1"/>
    <s v="FS"/>
    <x v="2"/>
    <m/>
    <m/>
    <m/>
  </r>
  <r>
    <n v="1391"/>
    <s v="SP"/>
    <x v="3"/>
    <x v="11"/>
    <x v="11"/>
    <s v="SERVIÇO"/>
    <x v="245"/>
    <x v="9"/>
    <n v="5074.72"/>
    <n v="4762.63"/>
    <x v="71"/>
    <x v="27"/>
    <x v="58"/>
    <x v="0"/>
    <m/>
    <x v="0"/>
    <x v="1"/>
    <s v="FS"/>
    <x v="2"/>
    <m/>
    <m/>
    <m/>
  </r>
  <r>
    <n v="1391"/>
    <s v="SP"/>
    <x v="3"/>
    <x v="11"/>
    <x v="11"/>
    <s v="SERVIÇO"/>
    <x v="246"/>
    <x v="9"/>
    <n v="186897.84"/>
    <n v="175403.62"/>
    <x v="71"/>
    <x v="27"/>
    <x v="58"/>
    <x v="0"/>
    <m/>
    <x v="0"/>
    <x v="1"/>
    <s v="FS"/>
    <x v="2"/>
    <m/>
    <m/>
    <m/>
  </r>
  <r>
    <n v="1391"/>
    <s v="SP"/>
    <x v="3"/>
    <x v="11"/>
    <x v="11"/>
    <s v="SERVIÇO"/>
    <x v="247"/>
    <x v="9"/>
    <n v="29313.599999999999"/>
    <n v="27510.82"/>
    <x v="71"/>
    <x v="27"/>
    <x v="58"/>
    <x v="0"/>
    <m/>
    <x v="0"/>
    <x v="1"/>
    <s v="FS"/>
    <x v="2"/>
    <m/>
    <m/>
    <m/>
  </r>
  <r>
    <n v="1391"/>
    <s v="SP"/>
    <x v="3"/>
    <x v="11"/>
    <x v="11"/>
    <s v="SERVIÇO"/>
    <x v="248"/>
    <x v="9"/>
    <n v="71276.399999999994"/>
    <n v="66892.899999999994"/>
    <x v="71"/>
    <x v="27"/>
    <x v="58"/>
    <x v="0"/>
    <m/>
    <x v="0"/>
    <x v="1"/>
    <s v="FS"/>
    <x v="2"/>
    <m/>
    <m/>
    <m/>
  </r>
  <r>
    <n v="1391"/>
    <s v="SP"/>
    <x v="3"/>
    <x v="11"/>
    <x v="11"/>
    <s v="SERVIÇO"/>
    <x v="249"/>
    <x v="9"/>
    <n v="102952.2"/>
    <n v="96620.64"/>
    <x v="80"/>
    <x v="27"/>
    <x v="68"/>
    <x v="0"/>
    <n v="0"/>
    <x v="0"/>
    <x v="1"/>
    <s v="FS"/>
    <x v="2"/>
    <m/>
    <m/>
    <m/>
  </r>
  <r>
    <n v="1391"/>
    <s v="SP"/>
    <x v="3"/>
    <x v="11"/>
    <x v="11"/>
    <s v="SERVIÇO"/>
    <x v="250"/>
    <x v="9"/>
    <n v="10546.47"/>
    <n v="9897.86"/>
    <x v="81"/>
    <x v="31"/>
    <x v="66"/>
    <x v="0"/>
    <n v="0"/>
    <x v="0"/>
    <x v="1"/>
    <s v="FS"/>
    <x v="2"/>
    <m/>
    <m/>
    <m/>
  </r>
  <r>
    <n v="1391"/>
    <s v="SP"/>
    <x v="3"/>
    <x v="11"/>
    <x v="11"/>
    <s v="SERVIÇO"/>
    <x v="251"/>
    <x v="9"/>
    <n v="21118"/>
    <n v="19819.240000000002"/>
    <x v="82"/>
    <x v="31"/>
    <x v="79"/>
    <x v="0"/>
    <n v="0"/>
    <x v="0"/>
    <x v="1"/>
    <s v="FS"/>
    <x v="2"/>
    <m/>
    <m/>
    <m/>
  </r>
  <r>
    <n v="1294"/>
    <s v="SP"/>
    <x v="3"/>
    <x v="11"/>
    <x v="12"/>
    <s v="SERVIÇO"/>
    <x v="252"/>
    <x v="9"/>
    <n v="41842.06"/>
    <n v="39268.769999999997"/>
    <x v="65"/>
    <x v="14"/>
    <x v="46"/>
    <x v="0"/>
    <n v="0"/>
    <x v="0"/>
    <x v="1"/>
    <s v="FS"/>
    <x v="2"/>
    <m/>
    <m/>
    <m/>
  </r>
  <r>
    <n v="1294"/>
    <s v="SP"/>
    <x v="3"/>
    <x v="11"/>
    <x v="12"/>
    <s v="SERVIÇO"/>
    <x v="253"/>
    <x v="9"/>
    <n v="6225.2"/>
    <n v="5842.35"/>
    <x v="83"/>
    <x v="3"/>
    <x v="80"/>
    <x v="0"/>
    <n v="0"/>
    <x v="0"/>
    <x v="1"/>
    <s v="FS"/>
    <x v="2"/>
    <m/>
    <m/>
    <m/>
  </r>
  <r>
    <n v="1294"/>
    <s v="SP"/>
    <x v="3"/>
    <x v="11"/>
    <x v="12"/>
    <s v="SERVIÇO"/>
    <x v="254"/>
    <x v="9"/>
    <n v="10587.49"/>
    <n v="9936.36"/>
    <x v="58"/>
    <x v="32"/>
    <x v="74"/>
    <x v="0"/>
    <n v="0"/>
    <x v="0"/>
    <x v="1"/>
    <s v="FS"/>
    <x v="2"/>
    <m/>
    <m/>
    <m/>
  </r>
  <r>
    <n v="1294"/>
    <s v="SP"/>
    <x v="3"/>
    <x v="11"/>
    <x v="12"/>
    <s v="SERVIÇO"/>
    <x v="255"/>
    <x v="9"/>
    <n v="191268"/>
    <n v="179505.02"/>
    <x v="62"/>
    <x v="27"/>
    <x v="54"/>
    <x v="0"/>
    <n v="0"/>
    <x v="0"/>
    <x v="1"/>
    <s v="FS"/>
    <x v="2"/>
    <m/>
    <m/>
    <m/>
  </r>
  <r>
    <n v="1294"/>
    <s v="SP"/>
    <x v="3"/>
    <x v="11"/>
    <x v="12"/>
    <s v="SERVIÇO"/>
    <x v="256"/>
    <x v="9"/>
    <n v="16782.740000000002"/>
    <n v="15750.6"/>
    <x v="62"/>
    <x v="27"/>
    <x v="54"/>
    <x v="0"/>
    <n v="0"/>
    <x v="0"/>
    <x v="1"/>
    <s v="FS"/>
    <x v="2"/>
    <m/>
    <m/>
    <m/>
  </r>
  <r>
    <n v="1294"/>
    <s v="SP"/>
    <x v="3"/>
    <x v="11"/>
    <x v="12"/>
    <s v="SERVIÇO"/>
    <x v="257"/>
    <x v="9"/>
    <n v="8542.83"/>
    <n v="8017.45"/>
    <x v="54"/>
    <x v="27"/>
    <x v="63"/>
    <x v="0"/>
    <n v="0"/>
    <x v="0"/>
    <x v="1"/>
    <s v="FS"/>
    <x v="2"/>
    <m/>
    <m/>
    <m/>
  </r>
  <r>
    <n v="1294"/>
    <s v="SP"/>
    <x v="3"/>
    <x v="11"/>
    <x v="12"/>
    <s v="SERVIÇO"/>
    <x v="258"/>
    <x v="9"/>
    <n v="57366.400000000001"/>
    <n v="53838.36"/>
    <x v="80"/>
    <x v="27"/>
    <x v="68"/>
    <x v="0"/>
    <n v="0"/>
    <x v="0"/>
    <x v="1"/>
    <s v="FS"/>
    <x v="2"/>
    <m/>
    <m/>
    <m/>
  </r>
  <r>
    <n v="1294"/>
    <s v="SP"/>
    <x v="3"/>
    <x v="11"/>
    <x v="12"/>
    <s v="SERVIÇO"/>
    <x v="259"/>
    <x v="9"/>
    <n v="276174"/>
    <n v="259189.3"/>
    <x v="71"/>
    <x v="27"/>
    <x v="58"/>
    <x v="0"/>
    <n v="0"/>
    <x v="0"/>
    <x v="1"/>
    <s v="FS"/>
    <x v="2"/>
    <m/>
    <m/>
    <m/>
  </r>
  <r>
    <n v="1294"/>
    <s v="SP"/>
    <x v="3"/>
    <x v="11"/>
    <x v="12"/>
    <s v="SERVIÇO"/>
    <x v="260"/>
    <x v="9"/>
    <n v="25967.11"/>
    <n v="24370.13"/>
    <x v="71"/>
    <x v="27"/>
    <x v="58"/>
    <x v="0"/>
    <n v="0"/>
    <x v="0"/>
    <x v="1"/>
    <s v="FS"/>
    <x v="2"/>
    <m/>
    <m/>
    <m/>
  </r>
  <r>
    <n v="1294"/>
    <s v="SP"/>
    <x v="3"/>
    <x v="11"/>
    <x v="12"/>
    <s v="SERVIÇO"/>
    <x v="261"/>
    <x v="9"/>
    <n v="192960"/>
    <n v="181092.96"/>
    <x v="71"/>
    <x v="27"/>
    <x v="58"/>
    <x v="0"/>
    <n v="0"/>
    <x v="0"/>
    <x v="1"/>
    <s v="FS"/>
    <x v="2"/>
    <m/>
    <m/>
    <m/>
  </r>
  <r>
    <n v="1294"/>
    <s v="SP"/>
    <x v="3"/>
    <x v="11"/>
    <x v="12"/>
    <s v="SERVIÇO"/>
    <x v="262"/>
    <x v="9"/>
    <n v="41842.06"/>
    <n v="39268.769999999997"/>
    <x v="84"/>
    <x v="32"/>
    <x v="74"/>
    <x v="0"/>
    <n v="0"/>
    <x v="0"/>
    <x v="1"/>
    <s v="FS"/>
    <x v="2"/>
    <m/>
    <m/>
    <m/>
  </r>
  <r>
    <n v="1294"/>
    <s v="SP"/>
    <x v="3"/>
    <x v="11"/>
    <x v="12"/>
    <s v="SERVIÇO"/>
    <x v="263"/>
    <x v="9"/>
    <n v="10587.49"/>
    <n v="9936.36"/>
    <x v="55"/>
    <x v="28"/>
    <x v="81"/>
    <x v="0"/>
    <n v="0"/>
    <x v="0"/>
    <x v="1"/>
    <s v="FS"/>
    <x v="2"/>
    <m/>
    <m/>
    <m/>
  </r>
  <r>
    <n v="1294"/>
    <s v="SP"/>
    <x v="3"/>
    <x v="11"/>
    <x v="12"/>
    <s v="SERVIÇO"/>
    <x v="264"/>
    <x v="9"/>
    <n v="13537.5"/>
    <n v="12704.95"/>
    <x v="85"/>
    <x v="24"/>
    <x v="82"/>
    <x v="0"/>
    <n v="0"/>
    <x v="0"/>
    <x v="1"/>
    <s v="FS"/>
    <x v="2"/>
    <m/>
    <m/>
    <m/>
  </r>
  <r>
    <n v="1474"/>
    <s v="SP"/>
    <x v="3"/>
    <x v="11"/>
    <x v="13"/>
    <s v="SERVIÇO"/>
    <x v="265"/>
    <x v="9"/>
    <n v="2318.8000000000002"/>
    <n v="2176.1999999999998"/>
    <x v="71"/>
    <x v="27"/>
    <x v="58"/>
    <x v="0"/>
    <m/>
    <x v="0"/>
    <x v="0"/>
    <s v="FS"/>
    <x v="2"/>
    <m/>
    <m/>
    <m/>
  </r>
  <r>
    <n v="1285"/>
    <s v="SP"/>
    <x v="3"/>
    <x v="11"/>
    <x v="14"/>
    <s v="SERVIÇO"/>
    <x v="266"/>
    <x v="9"/>
    <n v="25534.32"/>
    <n v="23963.96"/>
    <x v="86"/>
    <x v="27"/>
    <x v="58"/>
    <x v="0"/>
    <n v="0"/>
    <x v="0"/>
    <x v="1"/>
    <s v="FS"/>
    <x v="2"/>
    <m/>
    <m/>
    <m/>
  </r>
  <r>
    <n v="1285"/>
    <s v="SP"/>
    <x v="3"/>
    <x v="11"/>
    <x v="14"/>
    <s v="SERVIÇO"/>
    <x v="267"/>
    <x v="9"/>
    <n v="7089.08"/>
    <n v="6653.1"/>
    <x v="87"/>
    <x v="32"/>
    <x v="74"/>
    <x v="0"/>
    <n v="0"/>
    <x v="0"/>
    <x v="1"/>
    <s v="FS"/>
    <x v="2"/>
    <m/>
    <m/>
    <m/>
  </r>
  <r>
    <n v="1285"/>
    <s v="SP"/>
    <x v="3"/>
    <x v="11"/>
    <x v="14"/>
    <s v="SERVIÇO"/>
    <x v="268"/>
    <x v="9"/>
    <n v="10535.49"/>
    <n v="9887.56"/>
    <x v="84"/>
    <x v="31"/>
    <x v="83"/>
    <x v="0"/>
    <n v="0"/>
    <x v="0"/>
    <x v="1"/>
    <s v="FS"/>
    <x v="2"/>
    <m/>
    <m/>
    <m/>
  </r>
  <r>
    <n v="1285"/>
    <s v="SP"/>
    <x v="3"/>
    <x v="11"/>
    <x v="14"/>
    <s v="SERVIÇO"/>
    <x v="269"/>
    <x v="9"/>
    <n v="11738.55"/>
    <n v="11016.62"/>
    <x v="84"/>
    <x v="31"/>
    <x v="83"/>
    <x v="0"/>
    <n v="0"/>
    <x v="0"/>
    <x v="1"/>
    <s v="FS"/>
    <x v="2"/>
    <m/>
    <m/>
    <m/>
  </r>
  <r>
    <n v="1292"/>
    <s v="SP"/>
    <x v="3"/>
    <x v="3"/>
    <x v="3"/>
    <s v="SERVIÇO"/>
    <x v="270"/>
    <x v="9"/>
    <n v="46853.99"/>
    <n v="43972.47"/>
    <x v="83"/>
    <x v="3"/>
    <x v="80"/>
    <x v="0"/>
    <n v="0"/>
    <x v="0"/>
    <x v="1"/>
    <s v="FS"/>
    <x v="2"/>
    <m/>
    <m/>
    <m/>
  </r>
  <r>
    <n v="1292"/>
    <s v="SP"/>
    <x v="3"/>
    <x v="3"/>
    <x v="3"/>
    <s v="SERVIÇO"/>
    <x v="271"/>
    <x v="9"/>
    <n v="61378.96"/>
    <n v="57604.160000000003"/>
    <x v="83"/>
    <x v="3"/>
    <x v="80"/>
    <x v="0"/>
    <n v="0"/>
    <x v="0"/>
    <x v="1"/>
    <s v="FS"/>
    <x v="2"/>
    <m/>
    <m/>
    <m/>
  </r>
  <r>
    <n v="1292"/>
    <s v="SP"/>
    <x v="3"/>
    <x v="3"/>
    <x v="3"/>
    <s v="SERVIÇO"/>
    <x v="272"/>
    <x v="9"/>
    <n v="4656.58"/>
    <n v="4370.2"/>
    <x v="83"/>
    <x v="3"/>
    <x v="80"/>
    <x v="0"/>
    <n v="0"/>
    <x v="0"/>
    <x v="1"/>
    <s v="FS"/>
    <x v="2"/>
    <m/>
    <m/>
    <m/>
  </r>
  <r>
    <n v="1292"/>
    <s v="SP"/>
    <x v="3"/>
    <x v="3"/>
    <x v="3"/>
    <s v="SERVIÇO"/>
    <x v="273"/>
    <x v="9"/>
    <n v="88281.31"/>
    <n v="82852.009999999995"/>
    <x v="62"/>
    <x v="27"/>
    <x v="54"/>
    <x v="0"/>
    <n v="0"/>
    <x v="0"/>
    <x v="1"/>
    <s v="FS"/>
    <x v="2"/>
    <m/>
    <m/>
    <m/>
  </r>
  <r>
    <n v="1292"/>
    <s v="SP"/>
    <x v="3"/>
    <x v="3"/>
    <x v="3"/>
    <s v="SERVIÇO"/>
    <x v="274"/>
    <x v="9"/>
    <n v="60707.37"/>
    <n v="56973.87"/>
    <x v="62"/>
    <x v="27"/>
    <x v="54"/>
    <x v="0"/>
    <n v="0"/>
    <x v="0"/>
    <x v="1"/>
    <s v="FS"/>
    <x v="2"/>
    <m/>
    <m/>
    <m/>
  </r>
  <r>
    <n v="1292"/>
    <s v="SP"/>
    <x v="3"/>
    <x v="3"/>
    <x v="3"/>
    <s v="SERVIÇO"/>
    <x v="275"/>
    <x v="9"/>
    <n v="56182.400000000001"/>
    <n v="52727.18"/>
    <x v="55"/>
    <x v="31"/>
    <x v="66"/>
    <x v="0"/>
    <n v="0"/>
    <x v="0"/>
    <x v="1"/>
    <s v="FS"/>
    <x v="2"/>
    <m/>
    <m/>
    <m/>
  </r>
  <r>
    <n v="1484"/>
    <s v="SP"/>
    <x v="3"/>
    <x v="3"/>
    <x v="42"/>
    <s v="SERVIÇO"/>
    <x v="276"/>
    <x v="9"/>
    <n v="36570.74"/>
    <n v="34321.64"/>
    <x v="84"/>
    <x v="27"/>
    <x v="58"/>
    <x v="0"/>
    <n v="0"/>
    <x v="0"/>
    <x v="2"/>
    <s v="FS"/>
    <x v="2"/>
    <m/>
    <m/>
    <m/>
  </r>
  <r>
    <n v="1398"/>
    <s v="MATRIZ"/>
    <x v="1"/>
    <x v="1"/>
    <x v="1"/>
    <s v="SERVIÇO"/>
    <x v="277"/>
    <x v="9"/>
    <n v="38223.89"/>
    <n v="35873.11"/>
    <x v="84"/>
    <x v="34"/>
    <x v="84"/>
    <x v="0"/>
    <n v="0"/>
    <x v="0"/>
    <x v="0"/>
    <s v="UT"/>
    <x v="0"/>
    <m/>
    <m/>
    <m/>
  </r>
  <r>
    <n v="1398"/>
    <s v="MATRIZ"/>
    <x v="1"/>
    <x v="1"/>
    <x v="1"/>
    <s v="SERVIÇO"/>
    <x v="278"/>
    <x v="9"/>
    <n v="11210.79"/>
    <n v="10521.33"/>
    <x v="84"/>
    <x v="34"/>
    <x v="84"/>
    <x v="0"/>
    <n v="0"/>
    <x v="0"/>
    <x v="0"/>
    <s v="UT"/>
    <x v="0"/>
    <m/>
    <m/>
    <m/>
  </r>
  <r>
    <n v="1398"/>
    <s v="MATRIZ"/>
    <x v="1"/>
    <x v="1"/>
    <x v="1"/>
    <s v="SERVIÇO"/>
    <x v="279"/>
    <x v="9"/>
    <n v="13110.33"/>
    <n v="12304.04"/>
    <x v="88"/>
    <x v="4"/>
    <x v="5"/>
    <x v="0"/>
    <n v="0"/>
    <x v="0"/>
    <x v="0"/>
    <s v="UT"/>
    <x v="0"/>
    <m/>
    <m/>
    <m/>
  </r>
  <r>
    <n v="1398"/>
    <s v="MATRIZ"/>
    <x v="1"/>
    <x v="1"/>
    <x v="1"/>
    <s v="SERVIÇO"/>
    <x v="280"/>
    <x v="9"/>
    <n v="48000"/>
    <n v="45048"/>
    <x v="70"/>
    <x v="5"/>
    <x v="85"/>
    <x v="0"/>
    <n v="0"/>
    <x v="0"/>
    <x v="0"/>
    <s v="UT"/>
    <x v="0"/>
    <m/>
    <m/>
    <m/>
  </r>
  <r>
    <n v="1393"/>
    <s v="MATRIZ"/>
    <x v="2"/>
    <x v="27"/>
    <x v="15"/>
    <s v="SERVIÇO"/>
    <x v="281"/>
    <x v="9"/>
    <n v="432751.13"/>
    <n v="388177.77"/>
    <x v="80"/>
    <x v="27"/>
    <x v="86"/>
    <x v="0"/>
    <n v="0"/>
    <x v="0"/>
    <x v="0"/>
    <s v="PS"/>
    <x v="1"/>
    <m/>
    <m/>
    <m/>
  </r>
  <r>
    <n v="1476"/>
    <s v="MATRIZ"/>
    <x v="2"/>
    <x v="13"/>
    <x v="16"/>
    <s v="SERVIÇO"/>
    <x v="282"/>
    <x v="9"/>
    <n v="347312.4"/>
    <n v="311539.21999999997"/>
    <x v="62"/>
    <x v="3"/>
    <x v="4"/>
    <x v="0"/>
    <m/>
    <x v="0"/>
    <x v="0"/>
    <s v="PS"/>
    <x v="1"/>
    <m/>
    <m/>
    <m/>
  </r>
  <r>
    <n v="1296"/>
    <s v="MATRIZ"/>
    <x v="0"/>
    <x v="4"/>
    <x v="34"/>
    <s v="SERVIÇO"/>
    <x v="283"/>
    <x v="9"/>
    <n v="462378.86"/>
    <n v="417759.3"/>
    <x v="83"/>
    <x v="3"/>
    <x v="40"/>
    <x v="0"/>
    <m/>
    <x v="0"/>
    <x v="0"/>
    <s v="UT"/>
    <x v="0"/>
    <m/>
    <m/>
    <m/>
  </r>
  <r>
    <n v="1296"/>
    <s v="MATRIZ"/>
    <x v="0"/>
    <x v="4"/>
    <x v="34"/>
    <s v="SERVIÇO"/>
    <x v="284"/>
    <x v="9"/>
    <n v="338159.71"/>
    <n v="305527.28999999998"/>
    <x v="83"/>
    <x v="3"/>
    <x v="40"/>
    <x v="0"/>
    <m/>
    <x v="0"/>
    <x v="0"/>
    <s v="UT"/>
    <x v="0"/>
    <m/>
    <m/>
    <m/>
  </r>
  <r>
    <n v="1300"/>
    <s v="HUB"/>
    <x v="0"/>
    <x v="4"/>
    <x v="4"/>
    <s v="SERVIÇO"/>
    <x v="285"/>
    <x v="9"/>
    <n v="298250.34000000003"/>
    <n v="269469.18"/>
    <x v="54"/>
    <x v="29"/>
    <x v="87"/>
    <x v="0"/>
    <n v="0"/>
    <x v="0"/>
    <x v="0"/>
    <s v="UT"/>
    <x v="0"/>
    <m/>
    <m/>
    <m/>
  </r>
  <r>
    <n v="1300"/>
    <s v="HUB"/>
    <x v="0"/>
    <x v="4"/>
    <x v="4"/>
    <s v="SERVIÇO"/>
    <x v="286"/>
    <x v="9"/>
    <n v="35127.120000000003"/>
    <n v="31737.35"/>
    <x v="54"/>
    <x v="29"/>
    <x v="87"/>
    <x v="0"/>
    <n v="0"/>
    <x v="0"/>
    <x v="0"/>
    <s v="UT"/>
    <x v="0"/>
    <m/>
    <m/>
    <m/>
  </r>
  <r>
    <n v="1290"/>
    <s v="MATRIZ"/>
    <x v="2"/>
    <x v="14"/>
    <x v="17"/>
    <s v="SERVIÇO"/>
    <x v="287"/>
    <x v="9"/>
    <n v="53175.27"/>
    <n v="46980.35"/>
    <x v="83"/>
    <x v="29"/>
    <x v="59"/>
    <x v="0"/>
    <n v="0"/>
    <x v="0"/>
    <x v="0"/>
    <s v="UT"/>
    <x v="1"/>
    <m/>
    <m/>
    <m/>
  </r>
  <r>
    <n v="1490"/>
    <s v="MATRIZ"/>
    <x v="2"/>
    <x v="14"/>
    <x v="43"/>
    <s v="SERVIÇO"/>
    <x v="288"/>
    <x v="9"/>
    <n v="2300"/>
    <n v="2032.05"/>
    <x v="83"/>
    <x v="29"/>
    <x v="59"/>
    <x v="0"/>
    <n v="0"/>
    <x v="0"/>
    <x v="0"/>
    <s v="UT"/>
    <x v="1"/>
    <m/>
    <m/>
    <m/>
  </r>
  <r>
    <n v="1480"/>
    <s v="SP"/>
    <x v="4"/>
    <x v="31"/>
    <x v="48"/>
    <s v="SERVIÇO"/>
    <x v="289"/>
    <x v="9"/>
    <n v="181894.56"/>
    <n v="170708.04"/>
    <x v="55"/>
    <x v="24"/>
    <x v="36"/>
    <x v="0"/>
    <m/>
    <x v="0"/>
    <x v="1"/>
    <s v="FS"/>
    <x v="0"/>
    <m/>
    <m/>
    <m/>
  </r>
  <r>
    <n v="1475"/>
    <s v="MATRIZ"/>
    <x v="6"/>
    <x v="15"/>
    <x v="18"/>
    <s v="SERVIÇO"/>
    <x v="290"/>
    <x v="9"/>
    <n v="67387.39"/>
    <n v="60446.49"/>
    <x v="62"/>
    <x v="3"/>
    <x v="4"/>
    <x v="0"/>
    <n v="0"/>
    <x v="0"/>
    <x v="1"/>
    <s v="PS"/>
    <x v="3"/>
    <m/>
    <m/>
    <m/>
  </r>
  <r>
    <n v="1472"/>
    <s v="SP"/>
    <x v="3"/>
    <x v="28"/>
    <x v="44"/>
    <s v="SERVIÇO"/>
    <x v="291"/>
    <x v="9"/>
    <n v="92442.6"/>
    <n v="86757.37"/>
    <x v="83"/>
    <x v="3"/>
    <x v="41"/>
    <x v="0"/>
    <m/>
    <x v="0"/>
    <x v="2"/>
    <s v="FS"/>
    <x v="2"/>
    <m/>
    <m/>
    <m/>
  </r>
  <r>
    <n v="1378"/>
    <s v="MATRIZ"/>
    <x v="4"/>
    <x v="5"/>
    <x v="5"/>
    <s v="SERVIÇO"/>
    <x v="292"/>
    <x v="9"/>
    <n v="4281.29"/>
    <n v="4017.99"/>
    <x v="89"/>
    <x v="29"/>
    <x v="87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293"/>
    <x v="9"/>
    <n v="38395.360000000001"/>
    <n v="34440.629999999997"/>
    <x v="83"/>
    <x v="27"/>
    <x v="54"/>
    <x v="0"/>
    <n v="0"/>
    <x v="0"/>
    <x v="0"/>
    <s v="PS"/>
    <x v="1"/>
    <m/>
    <m/>
    <m/>
  </r>
  <r>
    <n v="1358"/>
    <s v="MATRIZ"/>
    <x v="2"/>
    <x v="16"/>
    <x v="19"/>
    <s v="SERVIÇO"/>
    <x v="294"/>
    <x v="9"/>
    <n v="85164.92"/>
    <n v="76392.929999999993"/>
    <x v="55"/>
    <x v="4"/>
    <x v="88"/>
    <x v="0"/>
    <n v="0"/>
    <x v="0"/>
    <x v="0"/>
    <s v="PS"/>
    <x v="1"/>
    <m/>
    <m/>
    <m/>
  </r>
  <r>
    <n v="1358"/>
    <s v="MATRIZ"/>
    <x v="2"/>
    <x v="16"/>
    <x v="19"/>
    <s v="SERVIÇO"/>
    <x v="295"/>
    <x v="9"/>
    <n v="20467.93"/>
    <n v="18359.73"/>
    <x v="89"/>
    <x v="4"/>
    <x v="88"/>
    <x v="0"/>
    <n v="0"/>
    <x v="0"/>
    <x v="0"/>
    <s v="PS"/>
    <x v="1"/>
    <m/>
    <m/>
    <m/>
  </r>
  <r>
    <n v="1473"/>
    <s v="MATRIZ"/>
    <x v="2"/>
    <x v="17"/>
    <x v="20"/>
    <s v="SERVIÇO"/>
    <x v="296"/>
    <x v="9"/>
    <n v="225527.76"/>
    <n v="210118.33"/>
    <x v="58"/>
    <x v="5"/>
    <x v="6"/>
    <x v="0"/>
    <n v="0"/>
    <x v="0"/>
    <x v="0"/>
    <s v="PS"/>
    <x v="1"/>
    <m/>
    <m/>
    <m/>
  </r>
  <r>
    <n v="1462"/>
    <s v="MATRIZ"/>
    <x v="1"/>
    <x v="18"/>
    <x v="21"/>
    <s v="SERVIÇO"/>
    <x v="297"/>
    <x v="9"/>
    <n v="800"/>
    <n v="750.8"/>
    <x v="70"/>
    <x v="25"/>
    <x v="56"/>
    <x v="0"/>
    <n v="0"/>
    <x v="0"/>
    <x v="0"/>
    <s v="MS"/>
    <x v="0"/>
    <m/>
    <m/>
    <m/>
  </r>
  <r>
    <n v="1390"/>
    <s v="HUB"/>
    <x v="0"/>
    <x v="0"/>
    <x v="0"/>
    <s v="SERVIÇO"/>
    <x v="298"/>
    <x v="13"/>
    <n v="138446.9"/>
    <n v="122317.84"/>
    <x v="90"/>
    <x v="22"/>
    <x v="89"/>
    <x v="0"/>
    <m/>
    <x v="0"/>
    <x v="0"/>
    <s v="UT"/>
    <x v="0"/>
    <m/>
    <m/>
    <m/>
  </r>
  <r>
    <n v="1390"/>
    <s v="HUB"/>
    <x v="0"/>
    <x v="0"/>
    <x v="0"/>
    <s v="SERVIÇO"/>
    <x v="299"/>
    <x v="13"/>
    <n v="8840"/>
    <n v="7810.14"/>
    <x v="90"/>
    <x v="22"/>
    <x v="89"/>
    <x v="0"/>
    <m/>
    <x v="0"/>
    <x v="0"/>
    <s v="UT"/>
    <x v="0"/>
    <m/>
    <m/>
    <m/>
  </r>
  <r>
    <n v="1260"/>
    <s v="SP"/>
    <x v="4"/>
    <x v="19"/>
    <x v="22"/>
    <s v="SERVIÇO"/>
    <x v="300"/>
    <x v="9"/>
    <n v="10395"/>
    <n v="9755.7000000000007"/>
    <x v="70"/>
    <x v="27"/>
    <x v="63"/>
    <x v="0"/>
    <n v="0"/>
    <x v="0"/>
    <x v="1"/>
    <s v="MS"/>
    <x v="0"/>
    <m/>
    <m/>
    <m/>
  </r>
  <r>
    <n v="1487"/>
    <s v="SP"/>
    <x v="4"/>
    <x v="30"/>
    <x v="46"/>
    <s v="SERVIÇO"/>
    <x v="301"/>
    <x v="9"/>
    <n v="36984"/>
    <n v="34709.480000000003"/>
    <x v="70"/>
    <x v="35"/>
    <x v="90"/>
    <x v="0"/>
    <n v="0"/>
    <x v="0"/>
    <x v="2"/>
    <s v="FS"/>
    <x v="0"/>
    <m/>
    <m/>
    <m/>
  </r>
  <r>
    <n v="1487"/>
    <s v="SP"/>
    <x v="4"/>
    <x v="30"/>
    <x v="46"/>
    <s v="SERVIÇO"/>
    <x v="302"/>
    <x v="9"/>
    <n v="24648"/>
    <n v="23132.15"/>
    <x v="70"/>
    <x v="35"/>
    <x v="90"/>
    <x v="0"/>
    <n v="0"/>
    <x v="0"/>
    <x v="2"/>
    <s v="FS"/>
    <x v="0"/>
    <m/>
    <m/>
    <m/>
  </r>
  <r>
    <n v="1482"/>
    <s v="MATRIZ"/>
    <x v="0"/>
    <x v="4"/>
    <x v="23"/>
    <s v="SERVIÇO"/>
    <x v="303"/>
    <x v="9"/>
    <n v="39000"/>
    <n v="35236.5"/>
    <x v="62"/>
    <x v="32"/>
    <x v="74"/>
    <x v="0"/>
    <m/>
    <x v="0"/>
    <x v="0"/>
    <s v="UT"/>
    <x v="0"/>
    <m/>
    <m/>
    <m/>
  </r>
  <r>
    <n v="1262"/>
    <s v="SP"/>
    <x v="4"/>
    <x v="20"/>
    <x v="24"/>
    <s v="SERVIÇO"/>
    <x v="304"/>
    <x v="9"/>
    <n v="6597.6"/>
    <n v="6191.85"/>
    <x v="91"/>
    <x v="32"/>
    <x v="74"/>
    <x v="0"/>
    <n v="0"/>
    <x v="0"/>
    <x v="1"/>
    <s v="FS"/>
    <x v="0"/>
    <m/>
    <m/>
    <m/>
  </r>
  <r>
    <n v="1262"/>
    <s v="SP"/>
    <x v="4"/>
    <x v="20"/>
    <x v="24"/>
    <s v="SERVIÇO"/>
    <x v="305"/>
    <x v="9"/>
    <n v="53936.77"/>
    <n v="50619.66"/>
    <x v="91"/>
    <x v="32"/>
    <x v="74"/>
    <x v="0"/>
    <n v="0"/>
    <x v="0"/>
    <x v="1"/>
    <s v="FS"/>
    <x v="0"/>
    <m/>
    <m/>
    <m/>
  </r>
  <r>
    <n v="1262"/>
    <s v="SP"/>
    <x v="4"/>
    <x v="20"/>
    <x v="24"/>
    <s v="SERVIÇO"/>
    <x v="306"/>
    <x v="9"/>
    <n v="15394.39"/>
    <n v="14447.64"/>
    <x v="91"/>
    <x v="32"/>
    <x v="74"/>
    <x v="0"/>
    <n v="0"/>
    <x v="0"/>
    <x v="1"/>
    <s v="FS"/>
    <x v="0"/>
    <m/>
    <m/>
    <m/>
  </r>
  <r>
    <n v="1262"/>
    <s v="SP"/>
    <x v="4"/>
    <x v="20"/>
    <x v="24"/>
    <s v="SERVIÇO"/>
    <x v="307"/>
    <x v="9"/>
    <n v="9148.61"/>
    <n v="8585.9599999999991"/>
    <x v="91"/>
    <x v="32"/>
    <x v="74"/>
    <x v="0"/>
    <n v="0"/>
    <x v="0"/>
    <x v="1"/>
    <s v="FS"/>
    <x v="0"/>
    <m/>
    <m/>
    <m/>
  </r>
  <r>
    <n v="1262"/>
    <s v="SP"/>
    <x v="4"/>
    <x v="20"/>
    <x v="24"/>
    <s v="SERVIÇO"/>
    <x v="308"/>
    <x v="9"/>
    <n v="20362.22"/>
    <n v="19109.95"/>
    <x v="91"/>
    <x v="32"/>
    <x v="74"/>
    <x v="0"/>
    <n v="0"/>
    <x v="0"/>
    <x v="1"/>
    <s v="FS"/>
    <x v="0"/>
    <m/>
    <m/>
    <m/>
  </r>
  <r>
    <n v="1269"/>
    <s v="SP"/>
    <x v="4"/>
    <x v="20"/>
    <x v="25"/>
    <s v="SERVIÇO"/>
    <x v="309"/>
    <x v="9"/>
    <n v="6310.36"/>
    <n v="5922.27"/>
    <x v="91"/>
    <x v="32"/>
    <x v="74"/>
    <x v="0"/>
    <n v="0"/>
    <x v="0"/>
    <x v="0"/>
    <s v="FS"/>
    <x v="0"/>
    <m/>
    <m/>
    <m/>
  </r>
  <r>
    <n v="1269"/>
    <s v="SP"/>
    <x v="4"/>
    <x v="20"/>
    <x v="25"/>
    <s v="SERVIÇO"/>
    <x v="310"/>
    <x v="9"/>
    <n v="10311.450000000001"/>
    <n v="9677.31"/>
    <x v="91"/>
    <x v="32"/>
    <x v="74"/>
    <x v="0"/>
    <n v="0"/>
    <x v="0"/>
    <x v="0"/>
    <s v="FS"/>
    <x v="0"/>
    <m/>
    <m/>
    <m/>
  </r>
  <r>
    <n v="1269"/>
    <s v="SP"/>
    <x v="4"/>
    <x v="20"/>
    <x v="25"/>
    <s v="SERVIÇO"/>
    <x v="311"/>
    <x v="9"/>
    <n v="29105.24"/>
    <n v="27315.27"/>
    <x v="91"/>
    <x v="32"/>
    <x v="74"/>
    <x v="0"/>
    <n v="0"/>
    <x v="0"/>
    <x v="0"/>
    <s v="FS"/>
    <x v="0"/>
    <m/>
    <m/>
    <m/>
  </r>
  <r>
    <n v="1269"/>
    <s v="SP"/>
    <x v="4"/>
    <x v="20"/>
    <x v="25"/>
    <s v="SERVIÇO"/>
    <x v="312"/>
    <x v="9"/>
    <n v="198578.23"/>
    <n v="186365.67"/>
    <x v="91"/>
    <x v="32"/>
    <x v="74"/>
    <x v="0"/>
    <n v="0"/>
    <x v="0"/>
    <x v="0"/>
    <s v="FS"/>
    <x v="0"/>
    <m/>
    <m/>
    <m/>
  </r>
  <r>
    <n v="1400"/>
    <s v="SP"/>
    <x v="7"/>
    <x v="21"/>
    <x v="26"/>
    <s v="SERVIÇO"/>
    <x v="313"/>
    <x v="9"/>
    <n v="957204.17"/>
    <n v="864833.95"/>
    <x v="33"/>
    <x v="31"/>
    <x v="79"/>
    <x v="0"/>
    <n v="0"/>
    <x v="0"/>
    <x v="1"/>
    <s v="UT"/>
    <x v="2"/>
    <m/>
    <m/>
    <m/>
  </r>
  <r>
    <n v="1400"/>
    <s v="SP"/>
    <x v="7"/>
    <x v="21"/>
    <x v="26"/>
    <s v="SERVIÇO"/>
    <x v="314"/>
    <x v="9"/>
    <n v="77751.44"/>
    <n v="70248.429999999993"/>
    <x v="33"/>
    <x v="31"/>
    <x v="79"/>
    <x v="0"/>
    <n v="0"/>
    <x v="0"/>
    <x v="1"/>
    <s v="UT"/>
    <x v="2"/>
    <m/>
    <m/>
    <m/>
  </r>
  <r>
    <n v="1366"/>
    <s v="HUB"/>
    <x v="7"/>
    <x v="21"/>
    <x v="27"/>
    <s v="SERVIÇO"/>
    <x v="315"/>
    <x v="9"/>
    <n v="347113.33"/>
    <n v="313616.71000000002"/>
    <x v="71"/>
    <x v="28"/>
    <x v="91"/>
    <x v="0"/>
    <n v="0"/>
    <x v="0"/>
    <x v="0"/>
    <s v="UT"/>
    <x v="2"/>
    <m/>
    <m/>
    <m/>
  </r>
  <r>
    <n v="1388"/>
    <s v="SP"/>
    <x v="7"/>
    <x v="21"/>
    <x v="28"/>
    <s v="SERVIÇO"/>
    <x v="316"/>
    <x v="9"/>
    <n v="245875.23"/>
    <n v="222148.27"/>
    <x v="54"/>
    <x v="28"/>
    <x v="91"/>
    <x v="0"/>
    <n v="0"/>
    <x v="0"/>
    <x v="1"/>
    <s v="UT"/>
    <x v="2"/>
    <m/>
    <m/>
    <m/>
  </r>
  <r>
    <n v="1298"/>
    <s v="HUB"/>
    <x v="8"/>
    <x v="22"/>
    <x v="29"/>
    <s v="SERVIÇO"/>
    <x v="317"/>
    <x v="9"/>
    <n v="275594.28999999998"/>
    <n v="258645.25"/>
    <x v="58"/>
    <x v="27"/>
    <x v="58"/>
    <x v="0"/>
    <n v="0"/>
    <x v="0"/>
    <x v="0"/>
    <s v="PS"/>
    <x v="0"/>
    <m/>
    <m/>
    <m/>
  </r>
  <r>
    <n v="1289"/>
    <s v="HUB"/>
    <x v="6"/>
    <x v="23"/>
    <x v="30"/>
    <s v="SERVIÇO"/>
    <x v="318"/>
    <x v="9"/>
    <n v="288652.95"/>
    <n v="269024.55"/>
    <x v="71"/>
    <x v="32"/>
    <x v="74"/>
    <x v="0"/>
    <m/>
    <x v="0"/>
    <x v="0"/>
    <s v="PS"/>
    <x v="3"/>
    <m/>
    <m/>
    <m/>
  </r>
  <r>
    <n v="1288"/>
    <s v="HUB"/>
    <x v="6"/>
    <x v="23"/>
    <x v="31"/>
    <s v="SERVIÇO"/>
    <x v="319"/>
    <x v="9"/>
    <n v="379348.6"/>
    <n v="353552.9"/>
    <x v="71"/>
    <x v="32"/>
    <x v="74"/>
    <x v="0"/>
    <m/>
    <x v="0"/>
    <x v="1"/>
    <s v="PS"/>
    <x v="3"/>
    <m/>
    <m/>
    <m/>
  </r>
  <r>
    <n v="1271"/>
    <s v="HUB"/>
    <x v="6"/>
    <x v="23"/>
    <x v="32"/>
    <s v="SERVIÇO"/>
    <x v="320"/>
    <x v="9"/>
    <n v="255597.54"/>
    <n v="238216.91"/>
    <x v="71"/>
    <x v="3"/>
    <x v="80"/>
    <x v="0"/>
    <n v="0"/>
    <x v="0"/>
    <x v="0"/>
    <s v="PS"/>
    <x v="3"/>
    <m/>
    <m/>
    <m/>
  </r>
  <r>
    <n v="1299"/>
    <s v="HUB"/>
    <x v="6"/>
    <x v="23"/>
    <x v="33"/>
    <s v="SERVIÇO"/>
    <x v="321"/>
    <x v="9"/>
    <n v="1032681.6"/>
    <n v="962459.25"/>
    <x v="71"/>
    <x v="27"/>
    <x v="63"/>
    <x v="0"/>
    <n v="0"/>
    <x v="0"/>
    <x v="1"/>
    <s v="PS"/>
    <x v="3"/>
    <m/>
    <m/>
    <m/>
  </r>
  <r>
    <n v="1394"/>
    <s v="MATRIZ"/>
    <x v="5"/>
    <x v="7"/>
    <x v="7"/>
    <s v="SERVIÇO"/>
    <x v="322"/>
    <x v="9"/>
    <n v="73671.490000000005"/>
    <n v="68661.83"/>
    <x v="71"/>
    <x v="27"/>
    <x v="86"/>
    <x v="0"/>
    <n v="0"/>
    <x v="0"/>
    <x v="0"/>
    <s v="PS"/>
    <x v="1"/>
    <m/>
    <m/>
    <m/>
  </r>
  <r>
    <n v="1394"/>
    <s v="MATRIZ"/>
    <x v="5"/>
    <x v="7"/>
    <x v="7"/>
    <s v="SERVIÇO"/>
    <x v="323"/>
    <x v="9"/>
    <n v="128524.2"/>
    <n v="119784.56"/>
    <x v="58"/>
    <x v="27"/>
    <x v="68"/>
    <x v="0"/>
    <n v="0"/>
    <x v="0"/>
    <x v="0"/>
    <s v="PS"/>
    <x v="1"/>
    <m/>
    <m/>
    <m/>
  </r>
  <r>
    <n v="1394"/>
    <s v="MATRIZ"/>
    <x v="5"/>
    <x v="7"/>
    <x v="7"/>
    <s v="SERVIÇO"/>
    <x v="324"/>
    <x v="9"/>
    <n v="111600.22"/>
    <n v="104011.41"/>
    <x v="10"/>
    <x v="29"/>
    <x v="92"/>
    <x v="0"/>
    <n v="0"/>
    <x v="0"/>
    <x v="0"/>
    <s v="PS"/>
    <x v="1"/>
    <m/>
    <m/>
    <m/>
  </r>
  <r>
    <n v="1394"/>
    <s v="MATRIZ"/>
    <x v="5"/>
    <x v="7"/>
    <x v="7"/>
    <s v="SERVIÇO"/>
    <x v="325"/>
    <x v="9"/>
    <n v="283355.11"/>
    <n v="264086.96000000002"/>
    <x v="92"/>
    <x v="31"/>
    <x v="93"/>
    <x v="0"/>
    <n v="0"/>
    <x v="0"/>
    <x v="0"/>
    <s v="PS"/>
    <x v="1"/>
    <m/>
    <m/>
    <m/>
  </r>
  <r>
    <n v="1394"/>
    <s v="MATRIZ"/>
    <x v="5"/>
    <x v="7"/>
    <x v="7"/>
    <s v="SERVIÇO"/>
    <x v="326"/>
    <x v="9"/>
    <n v="85000"/>
    <n v="79220"/>
    <x v="92"/>
    <x v="29"/>
    <x v="92"/>
    <x v="0"/>
    <n v="0"/>
    <x v="0"/>
    <x v="0"/>
    <s v="PS"/>
    <x v="1"/>
    <m/>
    <m/>
    <m/>
  </r>
  <r>
    <n v="1394"/>
    <s v="MATRIZ"/>
    <x v="5"/>
    <x v="7"/>
    <x v="7"/>
    <s v="SERVIÇO"/>
    <x v="327"/>
    <x v="9"/>
    <n v="22096.36"/>
    <n v="20593.8"/>
    <x v="93"/>
    <x v="31"/>
    <x v="79"/>
    <x v="0"/>
    <n v="0"/>
    <x v="0"/>
    <x v="0"/>
    <s v="PS"/>
    <x v="1"/>
    <m/>
    <m/>
    <m/>
  </r>
  <r>
    <n v="1394"/>
    <s v="MATRIZ"/>
    <x v="5"/>
    <x v="7"/>
    <x v="7"/>
    <s v="SERVIÇO"/>
    <x v="328"/>
    <x v="9"/>
    <n v="127355.8"/>
    <n v="118695.6"/>
    <x v="94"/>
    <x v="31"/>
    <x v="79"/>
    <x v="0"/>
    <n v="0"/>
    <x v="0"/>
    <x v="0"/>
    <s v="PS"/>
    <x v="1"/>
    <m/>
    <m/>
    <m/>
  </r>
  <r>
    <n v="1394"/>
    <s v="MATRIZ"/>
    <x v="5"/>
    <x v="7"/>
    <x v="7"/>
    <s v="SERVIÇO"/>
    <x v="329"/>
    <x v="9"/>
    <n v="222403.39"/>
    <n v="207279.96"/>
    <x v="95"/>
    <x v="10"/>
    <x v="94"/>
    <x v="0"/>
    <n v="0"/>
    <x v="0"/>
    <x v="0"/>
    <s v="PS"/>
    <x v="1"/>
    <m/>
    <m/>
    <m/>
  </r>
  <r>
    <n v="1360"/>
    <s v="SP"/>
    <x v="3"/>
    <x v="8"/>
    <x v="8"/>
    <s v="SERVIÇO"/>
    <x v="330"/>
    <x v="9"/>
    <n v="25592.32"/>
    <n v="24018.400000000001"/>
    <x v="96"/>
    <x v="32"/>
    <x v="74"/>
    <x v="0"/>
    <m/>
    <x v="0"/>
    <x v="1"/>
    <s v="FS"/>
    <x v="2"/>
    <m/>
    <m/>
    <m/>
  </r>
  <r>
    <n v="1360"/>
    <s v="SP"/>
    <x v="3"/>
    <x v="8"/>
    <x v="8"/>
    <s v="SERVIÇO"/>
    <x v="331"/>
    <x v="9"/>
    <n v="35963.199999999997"/>
    <n v="33751.46"/>
    <x v="96"/>
    <x v="32"/>
    <x v="74"/>
    <x v="0"/>
    <m/>
    <x v="0"/>
    <x v="1"/>
    <s v="FS"/>
    <x v="2"/>
    <m/>
    <m/>
    <m/>
  </r>
  <r>
    <n v="1360"/>
    <s v="SP"/>
    <x v="3"/>
    <x v="8"/>
    <x v="8"/>
    <s v="SERVIÇO"/>
    <x v="332"/>
    <x v="9"/>
    <n v="13699.2"/>
    <n v="12856.7"/>
    <x v="87"/>
    <x v="32"/>
    <x v="74"/>
    <x v="0"/>
    <m/>
    <x v="0"/>
    <x v="1"/>
    <s v="FS"/>
    <x v="2"/>
    <m/>
    <m/>
    <m/>
  </r>
  <r>
    <n v="1360"/>
    <s v="SP"/>
    <x v="3"/>
    <x v="8"/>
    <x v="8"/>
    <s v="SERVIÇO"/>
    <x v="333"/>
    <x v="9"/>
    <n v="57540.800000000003"/>
    <n v="54002.04"/>
    <x v="77"/>
    <x v="32"/>
    <x v="74"/>
    <x v="0"/>
    <m/>
    <x v="0"/>
    <x v="1"/>
    <s v="FS"/>
    <x v="2"/>
    <m/>
    <m/>
    <m/>
  </r>
  <r>
    <n v="1360"/>
    <s v="SP"/>
    <x v="3"/>
    <x v="8"/>
    <x v="8"/>
    <s v="SERVIÇO"/>
    <x v="334"/>
    <x v="9"/>
    <n v="45432"/>
    <n v="42637.93"/>
    <x v="77"/>
    <x v="32"/>
    <x v="74"/>
    <x v="0"/>
    <m/>
    <x v="0"/>
    <x v="1"/>
    <s v="FS"/>
    <x v="2"/>
    <m/>
    <m/>
    <m/>
  </r>
  <r>
    <n v="1360"/>
    <s v="SP"/>
    <x v="3"/>
    <x v="8"/>
    <x v="8"/>
    <s v="SERVIÇO"/>
    <x v="335"/>
    <x v="9"/>
    <n v="66791.87"/>
    <n v="62684.160000000003"/>
    <x v="77"/>
    <x v="32"/>
    <x v="74"/>
    <x v="0"/>
    <m/>
    <x v="0"/>
    <x v="1"/>
    <s v="FS"/>
    <x v="2"/>
    <m/>
    <m/>
    <m/>
  </r>
  <r>
    <n v="1360"/>
    <s v="SP"/>
    <x v="3"/>
    <x v="8"/>
    <x v="8"/>
    <s v="SERVIÇO"/>
    <x v="336"/>
    <x v="9"/>
    <n v="60728"/>
    <n v="56993.23"/>
    <x v="77"/>
    <x v="32"/>
    <x v="74"/>
    <x v="0"/>
    <m/>
    <x v="0"/>
    <x v="1"/>
    <s v="FS"/>
    <x v="2"/>
    <m/>
    <m/>
    <m/>
  </r>
  <r>
    <n v="1360"/>
    <s v="SP"/>
    <x v="3"/>
    <x v="8"/>
    <x v="8"/>
    <s v="SERVIÇO"/>
    <x v="337"/>
    <x v="9"/>
    <n v="30112"/>
    <n v="28260.11"/>
    <x v="77"/>
    <x v="32"/>
    <x v="74"/>
    <x v="0"/>
    <m/>
    <x v="0"/>
    <x v="1"/>
    <s v="FS"/>
    <x v="2"/>
    <m/>
    <m/>
    <m/>
  </r>
  <r>
    <n v="1360"/>
    <s v="SP"/>
    <x v="3"/>
    <x v="8"/>
    <x v="8"/>
    <s v="SERVIÇO"/>
    <x v="338"/>
    <x v="9"/>
    <n v="81472.44"/>
    <n v="76461.89"/>
    <x v="77"/>
    <x v="32"/>
    <x v="74"/>
    <x v="0"/>
    <m/>
    <x v="0"/>
    <x v="1"/>
    <s v="FS"/>
    <x v="2"/>
    <m/>
    <m/>
    <m/>
  </r>
  <r>
    <n v="1360"/>
    <s v="SP"/>
    <x v="3"/>
    <x v="8"/>
    <x v="8"/>
    <s v="SERVIÇO"/>
    <x v="339"/>
    <x v="9"/>
    <n v="114626.56"/>
    <n v="107577.02"/>
    <x v="86"/>
    <x v="32"/>
    <x v="74"/>
    <x v="0"/>
    <m/>
    <x v="0"/>
    <x v="1"/>
    <s v="FS"/>
    <x v="2"/>
    <m/>
    <m/>
    <m/>
  </r>
  <r>
    <n v="1360"/>
    <s v="SP"/>
    <x v="3"/>
    <x v="8"/>
    <x v="8"/>
    <s v="SERVIÇO"/>
    <x v="340"/>
    <x v="9"/>
    <n v="75657.600000000006"/>
    <n v="71004.66"/>
    <x v="86"/>
    <x v="32"/>
    <x v="74"/>
    <x v="0"/>
    <m/>
    <x v="0"/>
    <x v="1"/>
    <s v="FS"/>
    <x v="2"/>
    <m/>
    <m/>
    <m/>
  </r>
  <r>
    <n v="1360"/>
    <s v="SP"/>
    <x v="3"/>
    <x v="8"/>
    <x v="8"/>
    <s v="SERVIÇO"/>
    <x v="341"/>
    <x v="9"/>
    <n v="40668.800000000003"/>
    <n v="38167.67"/>
    <x v="86"/>
    <x v="32"/>
    <x v="74"/>
    <x v="0"/>
    <m/>
    <x v="0"/>
    <x v="1"/>
    <s v="FS"/>
    <x v="2"/>
    <m/>
    <m/>
    <m/>
  </r>
  <r>
    <n v="1360"/>
    <s v="SP"/>
    <x v="3"/>
    <x v="8"/>
    <x v="8"/>
    <s v="SERVIÇO"/>
    <x v="342"/>
    <x v="9"/>
    <n v="15640"/>
    <n v="14678.14"/>
    <x v="86"/>
    <x v="32"/>
    <x v="74"/>
    <x v="0"/>
    <m/>
    <x v="0"/>
    <x v="1"/>
    <s v="FS"/>
    <x v="2"/>
    <m/>
    <m/>
    <m/>
  </r>
  <r>
    <n v="1360"/>
    <s v="SP"/>
    <x v="3"/>
    <x v="8"/>
    <x v="8"/>
    <s v="SERVIÇO"/>
    <x v="343"/>
    <x v="9"/>
    <n v="119952"/>
    <n v="112574.95"/>
    <x v="86"/>
    <x v="28"/>
    <x v="55"/>
    <x v="0"/>
    <m/>
    <x v="0"/>
    <x v="1"/>
    <s v="FS"/>
    <x v="2"/>
    <m/>
    <m/>
    <m/>
  </r>
  <r>
    <n v="1360"/>
    <s v="SP"/>
    <x v="3"/>
    <x v="8"/>
    <x v="8"/>
    <s v="SERVIÇO"/>
    <x v="344"/>
    <x v="9"/>
    <n v="15525.76"/>
    <n v="14570.93"/>
    <x v="83"/>
    <x v="24"/>
    <x v="36"/>
    <x v="0"/>
    <m/>
    <x v="0"/>
    <x v="1"/>
    <s v="FS"/>
    <x v="2"/>
    <m/>
    <m/>
    <m/>
  </r>
  <r>
    <n v="1360"/>
    <s v="SP"/>
    <x v="3"/>
    <x v="8"/>
    <x v="8"/>
    <s v="SERVIÇO"/>
    <x v="345"/>
    <x v="9"/>
    <n v="10522.4"/>
    <n v="9875.2800000000007"/>
    <x v="54"/>
    <x v="24"/>
    <x v="36"/>
    <x v="0"/>
    <m/>
    <x v="0"/>
    <x v="1"/>
    <s v="FS"/>
    <x v="2"/>
    <m/>
    <m/>
    <m/>
  </r>
  <r>
    <n v="1360"/>
    <s v="SP"/>
    <x v="3"/>
    <x v="8"/>
    <x v="8"/>
    <s v="SERVIÇO"/>
    <x v="346"/>
    <x v="9"/>
    <n v="2914.8"/>
    <n v="2735.55"/>
    <x v="54"/>
    <x v="24"/>
    <x v="36"/>
    <x v="0"/>
    <m/>
    <x v="0"/>
    <x v="1"/>
    <s v="FS"/>
    <x v="2"/>
    <m/>
    <m/>
    <m/>
  </r>
  <r>
    <n v="1387"/>
    <s v="SP"/>
    <x v="3"/>
    <x v="8"/>
    <x v="47"/>
    <s v="SERVIÇO"/>
    <x v="347"/>
    <x v="9"/>
    <n v="30648"/>
    <n v="28763.15"/>
    <x v="96"/>
    <x v="32"/>
    <x v="74"/>
    <x v="0"/>
    <m/>
    <x v="0"/>
    <x v="0"/>
    <s v="FS"/>
    <x v="2"/>
    <m/>
    <m/>
    <m/>
  </r>
  <r>
    <n v="1387"/>
    <s v="SP"/>
    <x v="3"/>
    <x v="8"/>
    <x v="47"/>
    <s v="SERVIÇO"/>
    <x v="348"/>
    <x v="9"/>
    <n v="24912.799999999999"/>
    <n v="23380.67"/>
    <x v="77"/>
    <x v="32"/>
    <x v="74"/>
    <x v="0"/>
    <m/>
    <x v="0"/>
    <x v="0"/>
    <s v="FS"/>
    <x v="2"/>
    <m/>
    <m/>
    <m/>
  </r>
  <r>
    <n v="1387"/>
    <s v="SP"/>
    <x v="3"/>
    <x v="8"/>
    <x v="47"/>
    <s v="SERVIÇO"/>
    <x v="349"/>
    <x v="9"/>
    <n v="55477.52"/>
    <n v="52065.65"/>
    <x v="86"/>
    <x v="32"/>
    <x v="74"/>
    <x v="0"/>
    <m/>
    <x v="0"/>
    <x v="0"/>
    <s v="FS"/>
    <x v="2"/>
    <m/>
    <m/>
    <m/>
  </r>
  <r>
    <n v="1387"/>
    <s v="SP"/>
    <x v="3"/>
    <x v="8"/>
    <x v="47"/>
    <s v="SERVIÇO"/>
    <x v="350"/>
    <x v="9"/>
    <n v="40600"/>
    <n v="38103.1"/>
    <x v="83"/>
    <x v="5"/>
    <x v="85"/>
    <x v="0"/>
    <m/>
    <x v="0"/>
    <x v="0"/>
    <s v="FS"/>
    <x v="2"/>
    <m/>
    <m/>
    <m/>
  </r>
  <r>
    <n v="1470"/>
    <s v="MATRIZ"/>
    <x v="1"/>
    <x v="24"/>
    <x v="35"/>
    <s v="SERVIÇO"/>
    <x v="351"/>
    <x v="9"/>
    <n v="36700"/>
    <n v="33708.949999999997"/>
    <x v="70"/>
    <x v="3"/>
    <x v="41"/>
    <x v="0"/>
    <n v="0"/>
    <x v="0"/>
    <x v="0"/>
    <s v="UT"/>
    <x v="1"/>
    <m/>
    <m/>
    <m/>
  </r>
  <r>
    <n v="1287"/>
    <s v="HUB"/>
    <x v="6"/>
    <x v="25"/>
    <x v="36"/>
    <s v="SERVIÇO"/>
    <x v="352"/>
    <x v="9"/>
    <n v="128598.96"/>
    <n v="115353.27"/>
    <x v="82"/>
    <x v="4"/>
    <x v="95"/>
    <x v="0"/>
    <n v="0"/>
    <x v="0"/>
    <x v="1"/>
    <s v="PS"/>
    <x v="3"/>
    <m/>
    <m/>
    <m/>
  </r>
  <r>
    <n v="1273"/>
    <s v="HUB"/>
    <x v="6"/>
    <x v="25"/>
    <x v="37"/>
    <s v="SERVIÇO"/>
    <x v="353"/>
    <x v="9"/>
    <n v="513355.19"/>
    <n v="460479.61"/>
    <x v="91"/>
    <x v="29"/>
    <x v="87"/>
    <x v="0"/>
    <n v="0"/>
    <x v="0"/>
    <x v="0"/>
    <s v="PS"/>
    <x v="3"/>
    <m/>
    <m/>
    <m/>
  </r>
  <r>
    <n v="1277"/>
    <s v="HUB"/>
    <x v="6"/>
    <x v="25"/>
    <x v="38"/>
    <s v="SERVIÇO"/>
    <x v="354"/>
    <x v="9"/>
    <n v="154365.24"/>
    <n v="138465.63"/>
    <x v="55"/>
    <x v="27"/>
    <x v="54"/>
    <x v="0"/>
    <n v="0"/>
    <x v="0"/>
    <x v="0"/>
    <s v="PS"/>
    <x v="3"/>
    <m/>
    <m/>
    <m/>
  </r>
  <r>
    <n v="1483"/>
    <s v="MATRIZ"/>
    <x v="1"/>
    <x v="9"/>
    <x v="9"/>
    <s v="SERVIÇO"/>
    <x v="355"/>
    <x v="9"/>
    <n v="53591.199999999997"/>
    <n v="49911.21"/>
    <x v="70"/>
    <x v="29"/>
    <x v="96"/>
    <x v="0"/>
    <n v="0"/>
    <x v="0"/>
    <x v="0"/>
    <s v="UT"/>
    <x v="0"/>
    <m/>
    <m/>
    <m/>
  </r>
  <r>
    <n v="1483"/>
    <s v="MATRIZ"/>
    <x v="1"/>
    <x v="9"/>
    <x v="9"/>
    <s v="SERVIÇO"/>
    <x v="356"/>
    <x v="9"/>
    <n v="28856.799999999999"/>
    <n v="26062.11"/>
    <x v="70"/>
    <x v="28"/>
    <x v="81"/>
    <x v="0"/>
    <n v="0"/>
    <x v="0"/>
    <x v="0"/>
    <s v="UT"/>
    <x v="0"/>
    <m/>
    <m/>
    <m/>
  </r>
  <r>
    <n v="1275"/>
    <s v="SP"/>
    <x v="4"/>
    <x v="26"/>
    <x v="40"/>
    <s v="SERVIÇO"/>
    <x v="357"/>
    <x v="9"/>
    <n v="7600"/>
    <n v="7132.6"/>
    <x v="83"/>
    <x v="32"/>
    <x v="74"/>
    <x v="0"/>
    <n v="0"/>
    <x v="0"/>
    <x v="1"/>
    <s v="FS"/>
    <x v="0"/>
    <m/>
    <m/>
    <m/>
  </r>
  <r>
    <n v="1479"/>
    <s v="SP"/>
    <x v="4"/>
    <x v="26"/>
    <x v="41"/>
    <s v="SERVIÇO"/>
    <x v="358"/>
    <x v="9"/>
    <n v="26040"/>
    <n v="24438.54"/>
    <x v="62"/>
    <x v="29"/>
    <x v="92"/>
    <x v="0"/>
    <n v="0"/>
    <x v="0"/>
    <x v="2"/>
    <s v="FS"/>
    <x v="0"/>
    <m/>
    <m/>
    <m/>
  </r>
  <r>
    <n v="1497"/>
    <s v="MATRIZ"/>
    <x v="2"/>
    <x v="2"/>
    <x v="49"/>
    <s v="SERVIÇO"/>
    <x v="359"/>
    <x v="11"/>
    <n v="17681.61"/>
    <n v="15621.7"/>
    <x v="33"/>
    <x v="24"/>
    <x v="36"/>
    <x v="0"/>
    <m/>
    <x v="0"/>
    <x v="0"/>
    <s v="MS"/>
    <x v="1"/>
    <m/>
    <m/>
    <m/>
  </r>
  <r>
    <n v="1497"/>
    <s v="MATRIZ"/>
    <x v="2"/>
    <x v="2"/>
    <x v="49"/>
    <s v="SERVIÇO"/>
    <x v="360"/>
    <x v="11"/>
    <n v="12221.48"/>
    <n v="10797.69"/>
    <x v="97"/>
    <x v="24"/>
    <x v="36"/>
    <x v="0"/>
    <m/>
    <x v="0"/>
    <x v="0"/>
    <s v="MS"/>
    <x v="1"/>
    <m/>
    <m/>
    <m/>
  </r>
  <r>
    <n v="1497"/>
    <s v="MATRIZ"/>
    <x v="2"/>
    <x v="2"/>
    <x v="49"/>
    <s v="SERVIÇO"/>
    <x v="361"/>
    <x v="11"/>
    <n v="1326"/>
    <n v="1171.52"/>
    <x v="97"/>
    <x v="24"/>
    <x v="36"/>
    <x v="0"/>
    <m/>
    <x v="0"/>
    <x v="0"/>
    <s v="MS"/>
    <x v="1"/>
    <m/>
    <m/>
    <m/>
  </r>
  <r>
    <n v="1478"/>
    <s v="SP"/>
    <x v="3"/>
    <x v="10"/>
    <x v="10"/>
    <s v="SERVIÇO"/>
    <x v="362"/>
    <x v="11"/>
    <n v="76256.009999999995"/>
    <n v="71566.27"/>
    <x v="33"/>
    <x v="35"/>
    <x v="90"/>
    <x v="0"/>
    <m/>
    <x v="0"/>
    <x v="1"/>
    <s v="FS"/>
    <x v="2"/>
    <m/>
    <m/>
    <m/>
  </r>
  <r>
    <n v="1391"/>
    <s v="SP"/>
    <x v="3"/>
    <x v="11"/>
    <x v="11"/>
    <s v="SERVIÇO"/>
    <x v="363"/>
    <x v="11"/>
    <n v="33260.25"/>
    <n v="31214.75"/>
    <x v="94"/>
    <x v="4"/>
    <x v="95"/>
    <x v="0"/>
    <n v="0"/>
    <x v="0"/>
    <x v="1"/>
    <s v="FS"/>
    <x v="2"/>
    <m/>
    <m/>
    <m/>
  </r>
  <r>
    <n v="1391"/>
    <s v="SP"/>
    <x v="3"/>
    <x v="11"/>
    <x v="11"/>
    <s v="SERVIÇO"/>
    <x v="364"/>
    <x v="11"/>
    <n v="84335.7"/>
    <n v="79149.05"/>
    <x v="94"/>
    <x v="4"/>
    <x v="95"/>
    <x v="0"/>
    <n v="0"/>
    <x v="0"/>
    <x v="1"/>
    <s v="FS"/>
    <x v="2"/>
    <m/>
    <m/>
    <m/>
  </r>
  <r>
    <n v="1391"/>
    <s v="SP"/>
    <x v="3"/>
    <x v="11"/>
    <x v="11"/>
    <s v="SERVIÇO"/>
    <x v="365"/>
    <x v="11"/>
    <n v="67715.8"/>
    <n v="63551.28"/>
    <x v="85"/>
    <x v="24"/>
    <x v="82"/>
    <x v="0"/>
    <n v="0"/>
    <x v="0"/>
    <x v="1"/>
    <s v="FS"/>
    <x v="2"/>
    <m/>
    <m/>
    <m/>
  </r>
  <r>
    <n v="1391"/>
    <s v="SP"/>
    <x v="3"/>
    <x v="11"/>
    <x v="11"/>
    <s v="SERVIÇO"/>
    <x v="366"/>
    <x v="11"/>
    <n v="14589.82"/>
    <n v="13692.54"/>
    <x v="85"/>
    <x v="24"/>
    <x v="82"/>
    <x v="0"/>
    <n v="0"/>
    <x v="0"/>
    <x v="1"/>
    <s v="FS"/>
    <x v="2"/>
    <m/>
    <m/>
    <m/>
  </r>
  <r>
    <n v="1391"/>
    <s v="SP"/>
    <x v="3"/>
    <x v="11"/>
    <x v="11"/>
    <s v="SERVIÇO"/>
    <x v="367"/>
    <x v="11"/>
    <n v="231252.32"/>
    <n v="217030.31"/>
    <x v="85"/>
    <x v="24"/>
    <x v="82"/>
    <x v="0"/>
    <n v="0"/>
    <x v="0"/>
    <x v="1"/>
    <s v="FS"/>
    <x v="2"/>
    <m/>
    <m/>
    <m/>
  </r>
  <r>
    <n v="1391"/>
    <s v="SP"/>
    <x v="3"/>
    <x v="11"/>
    <x v="11"/>
    <s v="SERVIÇO"/>
    <x v="368"/>
    <x v="11"/>
    <n v="3806.04"/>
    <n v="3571.97"/>
    <x v="85"/>
    <x v="24"/>
    <x v="82"/>
    <x v="0"/>
    <n v="0"/>
    <x v="0"/>
    <x v="1"/>
    <s v="FS"/>
    <x v="2"/>
    <m/>
    <m/>
    <m/>
  </r>
  <r>
    <n v="1391"/>
    <s v="SP"/>
    <x v="3"/>
    <x v="11"/>
    <x v="11"/>
    <s v="SERVIÇO"/>
    <x v="369"/>
    <x v="11"/>
    <n v="25738.05"/>
    <n v="24155.16"/>
    <x v="85"/>
    <x v="24"/>
    <x v="82"/>
    <x v="0"/>
    <n v="0"/>
    <x v="0"/>
    <x v="1"/>
    <s v="FS"/>
    <x v="2"/>
    <m/>
    <m/>
    <m/>
  </r>
  <r>
    <n v="1391"/>
    <s v="SP"/>
    <x v="3"/>
    <x v="11"/>
    <x v="11"/>
    <s v="SERVIÇO"/>
    <x v="370"/>
    <x v="11"/>
    <n v="26015.82"/>
    <n v="24415.84"/>
    <x v="85"/>
    <x v="24"/>
    <x v="82"/>
    <x v="0"/>
    <n v="0"/>
    <x v="0"/>
    <x v="1"/>
    <s v="FS"/>
    <x v="2"/>
    <m/>
    <m/>
    <m/>
  </r>
  <r>
    <n v="1294"/>
    <s v="SP"/>
    <x v="3"/>
    <x v="11"/>
    <x v="12"/>
    <s v="SERVIÇO"/>
    <x v="371"/>
    <x v="11"/>
    <n v="9175.0300000000007"/>
    <n v="8610.76"/>
    <x v="98"/>
    <x v="4"/>
    <x v="88"/>
    <x v="0"/>
    <n v="0"/>
    <x v="0"/>
    <x v="1"/>
    <s v="FS"/>
    <x v="2"/>
    <m/>
    <m/>
    <m/>
  </r>
  <r>
    <n v="1294"/>
    <s v="SP"/>
    <x v="3"/>
    <x v="11"/>
    <x v="12"/>
    <s v="SERVIÇO"/>
    <x v="372"/>
    <x v="11"/>
    <n v="192543.12"/>
    <n v="180701.71"/>
    <x v="99"/>
    <x v="4"/>
    <x v="97"/>
    <x v="0"/>
    <n v="0"/>
    <x v="0"/>
    <x v="1"/>
    <s v="FS"/>
    <x v="2"/>
    <m/>
    <m/>
    <m/>
  </r>
  <r>
    <n v="1294"/>
    <s v="SP"/>
    <x v="3"/>
    <x v="11"/>
    <x v="12"/>
    <s v="SERVIÇO"/>
    <x v="373"/>
    <x v="11"/>
    <n v="168840"/>
    <n v="158456.34"/>
    <x v="94"/>
    <x v="4"/>
    <x v="95"/>
    <x v="0"/>
    <n v="0"/>
    <x v="0"/>
    <x v="1"/>
    <s v="FS"/>
    <x v="2"/>
    <m/>
    <m/>
    <m/>
  </r>
  <r>
    <n v="1294"/>
    <s v="SP"/>
    <x v="3"/>
    <x v="11"/>
    <x v="12"/>
    <s v="SERVIÇO"/>
    <x v="374"/>
    <x v="11"/>
    <n v="378885"/>
    <n v="355583.57"/>
    <x v="94"/>
    <x v="4"/>
    <x v="95"/>
    <x v="0"/>
    <n v="0"/>
    <x v="0"/>
    <x v="1"/>
    <s v="FS"/>
    <x v="2"/>
    <m/>
    <m/>
    <m/>
  </r>
  <r>
    <n v="1294"/>
    <s v="SP"/>
    <x v="3"/>
    <x v="11"/>
    <x v="12"/>
    <s v="SERVIÇO"/>
    <x v="375"/>
    <x v="11"/>
    <n v="13537.5"/>
    <n v="12704.95"/>
    <x v="85"/>
    <x v="24"/>
    <x v="82"/>
    <x v="0"/>
    <n v="0"/>
    <x v="0"/>
    <x v="1"/>
    <s v="FS"/>
    <x v="2"/>
    <m/>
    <m/>
    <m/>
  </r>
  <r>
    <n v="1294"/>
    <s v="SP"/>
    <x v="3"/>
    <x v="11"/>
    <x v="12"/>
    <s v="SERVIÇO"/>
    <x v="376"/>
    <x v="11"/>
    <n v="8504"/>
    <n v="7981"/>
    <x v="85"/>
    <x v="24"/>
    <x v="82"/>
    <x v="0"/>
    <n v="0"/>
    <x v="0"/>
    <x v="1"/>
    <s v="FS"/>
    <x v="2"/>
    <m/>
    <m/>
    <m/>
  </r>
  <r>
    <n v="1294"/>
    <s v="SP"/>
    <x v="3"/>
    <x v="11"/>
    <x v="12"/>
    <s v="SERVIÇO"/>
    <x v="377"/>
    <x v="11"/>
    <n v="53781"/>
    <n v="50473.46"/>
    <x v="60"/>
    <x v="24"/>
    <x v="61"/>
    <x v="0"/>
    <n v="0"/>
    <x v="0"/>
    <x v="1"/>
    <s v="FS"/>
    <x v="2"/>
    <m/>
    <m/>
    <m/>
  </r>
  <r>
    <n v="1294"/>
    <s v="SP"/>
    <x v="3"/>
    <x v="11"/>
    <x v="12"/>
    <s v="SERVIÇO"/>
    <x v="378"/>
    <x v="11"/>
    <n v="42272.42"/>
    <n v="39672.660000000003"/>
    <x v="100"/>
    <x v="5"/>
    <x v="98"/>
    <x v="0"/>
    <n v="0"/>
    <x v="0"/>
    <x v="1"/>
    <s v="FS"/>
    <x v="2"/>
    <m/>
    <m/>
    <m/>
  </r>
  <r>
    <n v="1285"/>
    <s v="SP"/>
    <x v="3"/>
    <x v="11"/>
    <x v="14"/>
    <s v="SERVIÇO"/>
    <x v="379"/>
    <x v="11"/>
    <n v="21582.58"/>
    <n v="20255.25"/>
    <x v="101"/>
    <x v="24"/>
    <x v="82"/>
    <x v="0"/>
    <n v="0"/>
    <x v="0"/>
    <x v="1"/>
    <s v="FS"/>
    <x v="2"/>
    <m/>
    <m/>
    <m/>
  </r>
  <r>
    <n v="1285"/>
    <s v="SP"/>
    <x v="3"/>
    <x v="11"/>
    <x v="14"/>
    <s v="SERVIÇO"/>
    <x v="380"/>
    <x v="11"/>
    <n v="14026.17"/>
    <n v="13163.56"/>
    <x v="81"/>
    <x v="24"/>
    <x v="36"/>
    <x v="0"/>
    <n v="0"/>
    <x v="0"/>
    <x v="1"/>
    <s v="FS"/>
    <x v="2"/>
    <m/>
    <m/>
    <m/>
  </r>
  <r>
    <n v="1292"/>
    <s v="SP"/>
    <x v="3"/>
    <x v="3"/>
    <x v="3"/>
    <s v="SERVIÇO"/>
    <x v="381"/>
    <x v="11"/>
    <n v="4656.58"/>
    <n v="4370.2"/>
    <x v="82"/>
    <x v="31"/>
    <x v="79"/>
    <x v="0"/>
    <n v="0"/>
    <x v="0"/>
    <x v="1"/>
    <s v="FS"/>
    <x v="2"/>
    <m/>
    <m/>
    <m/>
  </r>
  <r>
    <n v="1292"/>
    <s v="SP"/>
    <x v="3"/>
    <x v="3"/>
    <x v="3"/>
    <s v="SERVIÇO"/>
    <x v="382"/>
    <x v="11"/>
    <n v="60707.37"/>
    <n v="56973.87"/>
    <x v="98"/>
    <x v="4"/>
    <x v="88"/>
    <x v="0"/>
    <n v="0"/>
    <x v="0"/>
    <x v="1"/>
    <s v="FS"/>
    <x v="2"/>
    <m/>
    <m/>
    <m/>
  </r>
  <r>
    <n v="1292"/>
    <s v="SP"/>
    <x v="3"/>
    <x v="3"/>
    <x v="3"/>
    <s v="SERVIÇO"/>
    <x v="383"/>
    <x v="11"/>
    <n v="34633.19"/>
    <n v="32503.25"/>
    <x v="98"/>
    <x v="4"/>
    <x v="88"/>
    <x v="0"/>
    <n v="0"/>
    <x v="0"/>
    <x v="1"/>
    <s v="FS"/>
    <x v="2"/>
    <m/>
    <m/>
    <m/>
  </r>
  <r>
    <n v="1292"/>
    <s v="SP"/>
    <x v="3"/>
    <x v="3"/>
    <x v="3"/>
    <s v="SERVIÇO"/>
    <x v="384"/>
    <x v="11"/>
    <n v="46853.99"/>
    <n v="43972.47"/>
    <x v="98"/>
    <x v="4"/>
    <x v="88"/>
    <x v="0"/>
    <n v="0"/>
    <x v="0"/>
    <x v="1"/>
    <s v="FS"/>
    <x v="2"/>
    <m/>
    <m/>
    <m/>
  </r>
  <r>
    <n v="1292"/>
    <s v="SP"/>
    <x v="3"/>
    <x v="3"/>
    <x v="3"/>
    <s v="SERVIÇO"/>
    <x v="385"/>
    <x v="11"/>
    <n v="31008"/>
    <n v="29101.01"/>
    <x v="98"/>
    <x v="4"/>
    <x v="88"/>
    <x v="0"/>
    <n v="0"/>
    <x v="0"/>
    <x v="1"/>
    <s v="FS"/>
    <x v="2"/>
    <m/>
    <m/>
    <m/>
  </r>
  <r>
    <n v="1292"/>
    <s v="SP"/>
    <x v="3"/>
    <x v="3"/>
    <x v="3"/>
    <s v="SERVIÇO"/>
    <x v="386"/>
    <x v="11"/>
    <n v="51968.72"/>
    <n v="48772.639999999999"/>
    <x v="60"/>
    <x v="24"/>
    <x v="61"/>
    <x v="0"/>
    <n v="0"/>
    <x v="0"/>
    <x v="1"/>
    <s v="FS"/>
    <x v="2"/>
    <m/>
    <m/>
    <m/>
  </r>
  <r>
    <n v="1484"/>
    <s v="SP"/>
    <x v="3"/>
    <x v="3"/>
    <x v="42"/>
    <s v="SERVIÇO"/>
    <x v="387"/>
    <x v="11"/>
    <n v="36570.74"/>
    <n v="34321.64"/>
    <x v="97"/>
    <x v="4"/>
    <x v="5"/>
    <x v="0"/>
    <n v="0"/>
    <x v="0"/>
    <x v="2"/>
    <s v="FS"/>
    <x v="2"/>
    <m/>
    <m/>
    <m/>
  </r>
  <r>
    <n v="1398"/>
    <s v="MATRIZ"/>
    <x v="1"/>
    <x v="1"/>
    <x v="1"/>
    <s v="SERVIÇO"/>
    <x v="388"/>
    <x v="11"/>
    <n v="48000"/>
    <n v="45048"/>
    <x v="97"/>
    <x v="5"/>
    <x v="85"/>
    <x v="0"/>
    <n v="0"/>
    <x v="0"/>
    <x v="0"/>
    <s v="UT"/>
    <x v="0"/>
    <m/>
    <m/>
    <m/>
  </r>
  <r>
    <n v="1398"/>
    <s v="MATRIZ"/>
    <x v="1"/>
    <x v="1"/>
    <x v="1"/>
    <s v="SERVIÇO"/>
    <x v="389"/>
    <x v="11"/>
    <n v="17902.11"/>
    <n v="16801.13"/>
    <x v="102"/>
    <x v="36"/>
    <x v="99"/>
    <x v="0"/>
    <n v="0"/>
    <x v="0"/>
    <x v="0"/>
    <s v="UT"/>
    <x v="0"/>
    <m/>
    <m/>
    <m/>
  </r>
  <r>
    <n v="1398"/>
    <s v="MATRIZ"/>
    <x v="1"/>
    <x v="1"/>
    <x v="1"/>
    <s v="SERVIÇO"/>
    <x v="390"/>
    <x v="11"/>
    <n v="15308.3"/>
    <n v="14366.85"/>
    <x v="103"/>
    <x v="37"/>
    <x v="100"/>
    <x v="0"/>
    <n v="0"/>
    <x v="0"/>
    <x v="0"/>
    <s v="UT"/>
    <x v="0"/>
    <m/>
    <m/>
    <m/>
  </r>
  <r>
    <n v="1398"/>
    <s v="MATRIZ"/>
    <x v="1"/>
    <x v="1"/>
    <x v="1"/>
    <s v="SERVIÇO"/>
    <x v="391"/>
    <x v="11"/>
    <n v="22241.65"/>
    <n v="20873.79"/>
    <x v="104"/>
    <x v="22"/>
    <x v="101"/>
    <x v="0"/>
    <n v="0"/>
    <x v="0"/>
    <x v="0"/>
    <s v="UT"/>
    <x v="0"/>
    <m/>
    <m/>
    <m/>
  </r>
  <r>
    <n v="1398"/>
    <s v="MATRIZ"/>
    <x v="1"/>
    <x v="1"/>
    <x v="1"/>
    <s v="SERVIÇO"/>
    <x v="392"/>
    <x v="11"/>
    <n v="52194.6"/>
    <n v="48984.63"/>
    <x v="103"/>
    <x v="37"/>
    <x v="100"/>
    <x v="0"/>
    <n v="0"/>
    <x v="0"/>
    <x v="0"/>
    <s v="UT"/>
    <x v="0"/>
    <m/>
    <m/>
    <m/>
  </r>
  <r>
    <n v="1393"/>
    <s v="MATRIZ"/>
    <x v="2"/>
    <x v="27"/>
    <x v="15"/>
    <s v="SERVIÇO"/>
    <x v="393"/>
    <x v="11"/>
    <n v="158659.24"/>
    <n v="142316.48000000001"/>
    <x v="105"/>
    <x v="5"/>
    <x v="102"/>
    <x v="0"/>
    <m/>
    <x v="0"/>
    <x v="0"/>
    <s v="PS"/>
    <x v="1"/>
    <m/>
    <m/>
    <m/>
  </r>
  <r>
    <n v="1393"/>
    <s v="MATRIZ"/>
    <x v="2"/>
    <x v="27"/>
    <x v="15"/>
    <s v="SERVIÇO"/>
    <x v="394"/>
    <x v="11"/>
    <n v="432751.13"/>
    <n v="388178.64"/>
    <x v="105"/>
    <x v="5"/>
    <x v="102"/>
    <x v="0"/>
    <m/>
    <x v="0"/>
    <x v="0"/>
    <s v="PS"/>
    <x v="1"/>
    <m/>
    <m/>
    <m/>
  </r>
  <r>
    <n v="1476"/>
    <s v="MATRIZ"/>
    <x v="2"/>
    <x v="13"/>
    <x v="16"/>
    <s v="SERVIÇO"/>
    <x v="395"/>
    <x v="11"/>
    <n v="615.64"/>
    <n v="552.23"/>
    <x v="93"/>
    <x v="4"/>
    <x v="97"/>
    <x v="0"/>
    <m/>
    <x v="0"/>
    <x v="0"/>
    <s v="PS"/>
    <x v="1"/>
    <m/>
    <m/>
    <m/>
  </r>
  <r>
    <n v="1476"/>
    <s v="MATRIZ"/>
    <x v="2"/>
    <x v="13"/>
    <x v="16"/>
    <s v="SERVIÇO"/>
    <x v="396"/>
    <x v="11"/>
    <n v="318628.40000000002"/>
    <n v="285809.68"/>
    <x v="59"/>
    <x v="4"/>
    <x v="97"/>
    <x v="0"/>
    <m/>
    <x v="0"/>
    <x v="0"/>
    <s v="PS"/>
    <x v="1"/>
    <m/>
    <m/>
    <m/>
  </r>
  <r>
    <n v="1296"/>
    <s v="MATRIZ"/>
    <x v="0"/>
    <x v="4"/>
    <x v="34"/>
    <s v="SERVIÇO"/>
    <x v="397"/>
    <x v="11"/>
    <n v="365158.43"/>
    <n v="329920.64000000001"/>
    <x v="82"/>
    <x v="31"/>
    <x v="83"/>
    <x v="0"/>
    <m/>
    <x v="0"/>
    <x v="0"/>
    <s v="UT"/>
    <x v="0"/>
    <m/>
    <m/>
    <m/>
  </r>
  <r>
    <n v="1296"/>
    <s v="MATRIZ"/>
    <x v="0"/>
    <x v="4"/>
    <x v="34"/>
    <s v="SERVIÇO"/>
    <x v="398"/>
    <x v="11"/>
    <n v="462378.86"/>
    <n v="417759.3"/>
    <x v="82"/>
    <x v="31"/>
    <x v="83"/>
    <x v="0"/>
    <m/>
    <x v="0"/>
    <x v="0"/>
    <s v="UT"/>
    <x v="0"/>
    <m/>
    <m/>
    <m/>
  </r>
  <r>
    <n v="1300"/>
    <s v="HUB"/>
    <x v="0"/>
    <x v="4"/>
    <x v="4"/>
    <s v="SERVIÇO"/>
    <x v="399"/>
    <x v="11"/>
    <n v="306544.94"/>
    <n v="276963.36"/>
    <x v="105"/>
    <x v="34"/>
    <x v="103"/>
    <x v="0"/>
    <n v="0"/>
    <x v="0"/>
    <x v="0"/>
    <s v="UT"/>
    <x v="0"/>
    <m/>
    <m/>
    <m/>
  </r>
  <r>
    <n v="1300"/>
    <s v="HUB"/>
    <x v="0"/>
    <x v="4"/>
    <x v="4"/>
    <s v="SERVIÇO"/>
    <x v="400"/>
    <x v="11"/>
    <n v="35127.120000000003"/>
    <n v="31737.35"/>
    <x v="105"/>
    <x v="34"/>
    <x v="103"/>
    <x v="0"/>
    <n v="0"/>
    <x v="0"/>
    <x v="0"/>
    <s v="UT"/>
    <x v="0"/>
    <m/>
    <m/>
    <m/>
  </r>
  <r>
    <n v="1290"/>
    <s v="MATRIZ"/>
    <x v="2"/>
    <x v="14"/>
    <x v="17"/>
    <s v="SERVIÇO"/>
    <x v="401"/>
    <x v="11"/>
    <n v="53175.27"/>
    <n v="46980.35"/>
    <x v="59"/>
    <x v="35"/>
    <x v="104"/>
    <x v="0"/>
    <n v="0"/>
    <x v="0"/>
    <x v="0"/>
    <s v="UT"/>
    <x v="1"/>
    <m/>
    <m/>
    <m/>
  </r>
  <r>
    <n v="1490"/>
    <s v="MATRIZ"/>
    <x v="2"/>
    <x v="14"/>
    <x v="43"/>
    <s v="SERVIÇO"/>
    <x v="402"/>
    <x v="11"/>
    <n v="2300"/>
    <n v="2032.05"/>
    <x v="97"/>
    <x v="35"/>
    <x v="90"/>
    <x v="0"/>
    <n v="0"/>
    <x v="0"/>
    <x v="0"/>
    <s v="UT"/>
    <x v="1"/>
    <m/>
    <m/>
    <m/>
  </r>
  <r>
    <n v="1480"/>
    <s v="SP"/>
    <x v="4"/>
    <x v="31"/>
    <x v="48"/>
    <s v="SERVIÇO"/>
    <x v="403"/>
    <x v="11"/>
    <n v="321034.56"/>
    <n v="301290.93"/>
    <x v="45"/>
    <x v="35"/>
    <x v="105"/>
    <x v="0"/>
    <m/>
    <x v="0"/>
    <x v="1"/>
    <s v="FS"/>
    <x v="0"/>
    <m/>
    <m/>
    <m/>
  </r>
  <r>
    <n v="1475"/>
    <s v="MATRIZ"/>
    <x v="6"/>
    <x v="15"/>
    <x v="18"/>
    <s v="SERVIÇO"/>
    <x v="404"/>
    <x v="11"/>
    <n v="67387.39"/>
    <n v="60446.49"/>
    <x v="98"/>
    <x v="24"/>
    <x v="36"/>
    <x v="0"/>
    <n v="0"/>
    <x v="0"/>
    <x v="1"/>
    <s v="PS"/>
    <x v="3"/>
    <m/>
    <m/>
    <m/>
  </r>
  <r>
    <n v="1472"/>
    <s v="SP"/>
    <x v="3"/>
    <x v="28"/>
    <x v="44"/>
    <s v="SERVIÇO"/>
    <x v="405"/>
    <x v="11"/>
    <n v="78132.600000000006"/>
    <n v="73327.44"/>
    <x v="33"/>
    <x v="29"/>
    <x v="87"/>
    <x v="0"/>
    <m/>
    <x v="0"/>
    <x v="2"/>
    <s v="FS"/>
    <x v="2"/>
    <m/>
    <m/>
    <m/>
  </r>
  <r>
    <n v="1378"/>
    <s v="MATRIZ"/>
    <x v="4"/>
    <x v="5"/>
    <x v="5"/>
    <s v="SERVIÇO"/>
    <x v="406"/>
    <x v="11"/>
    <n v="4281.29"/>
    <n v="4017.99"/>
    <x v="106"/>
    <x v="34"/>
    <x v="106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407"/>
    <x v="11"/>
    <n v="38395.360000000001"/>
    <n v="34440.629999999997"/>
    <x v="33"/>
    <x v="34"/>
    <x v="84"/>
    <x v="0"/>
    <m/>
    <x v="0"/>
    <x v="0"/>
    <s v="PS"/>
    <x v="1"/>
    <m/>
    <m/>
    <m/>
  </r>
  <r>
    <n v="1358"/>
    <s v="MATRIZ"/>
    <x v="2"/>
    <x v="16"/>
    <x v="19"/>
    <s v="SERVIÇO"/>
    <x v="408"/>
    <x v="11"/>
    <n v="85164.92"/>
    <n v="76392.929999999993"/>
    <x v="85"/>
    <x v="5"/>
    <x v="69"/>
    <x v="0"/>
    <n v="0"/>
    <x v="0"/>
    <x v="0"/>
    <s v="PS"/>
    <x v="1"/>
    <m/>
    <m/>
    <m/>
  </r>
  <r>
    <n v="1358"/>
    <s v="MATRIZ"/>
    <x v="2"/>
    <x v="16"/>
    <x v="19"/>
    <s v="SERVIÇO"/>
    <x v="409"/>
    <x v="11"/>
    <n v="14614.8"/>
    <n v="13109.47"/>
    <x v="85"/>
    <x v="34"/>
    <x v="107"/>
    <x v="0"/>
    <n v="0"/>
    <x v="0"/>
    <x v="0"/>
    <s v="PS"/>
    <x v="1"/>
    <m/>
    <m/>
    <m/>
  </r>
  <r>
    <n v="1473"/>
    <s v="MATRIZ"/>
    <x v="2"/>
    <x v="17"/>
    <x v="20"/>
    <s v="SERVIÇO"/>
    <x v="410"/>
    <x v="11"/>
    <n v="225302.23"/>
    <n v="209981.68"/>
    <x v="107"/>
    <x v="36"/>
    <x v="108"/>
    <x v="0"/>
    <n v="0"/>
    <x v="0"/>
    <x v="0"/>
    <s v="PS"/>
    <x v="1"/>
    <m/>
    <m/>
    <m/>
  </r>
  <r>
    <n v="1462"/>
    <s v="MATRIZ"/>
    <x v="1"/>
    <x v="18"/>
    <x v="21"/>
    <s v="SERVIÇO"/>
    <x v="411"/>
    <x v="11"/>
    <n v="800"/>
    <n v="750.8"/>
    <x v="97"/>
    <x v="29"/>
    <x v="59"/>
    <x v="0"/>
    <n v="0"/>
    <x v="0"/>
    <x v="0"/>
    <s v="MS"/>
    <x v="0"/>
    <m/>
    <m/>
    <m/>
  </r>
  <r>
    <n v="1390"/>
    <s v="HUB"/>
    <x v="0"/>
    <x v="0"/>
    <x v="0"/>
    <s v="SERVIÇO"/>
    <x v="412"/>
    <x v="4"/>
    <n v="147325.76000000001"/>
    <n v="130162.3"/>
    <x v="108"/>
    <x v="22"/>
    <x v="89"/>
    <x v="0"/>
    <m/>
    <x v="0"/>
    <x v="0"/>
    <s v="UT"/>
    <x v="0"/>
    <m/>
    <m/>
    <m/>
  </r>
  <r>
    <n v="1260"/>
    <s v="SP"/>
    <x v="4"/>
    <x v="19"/>
    <x v="22"/>
    <s v="SERVIÇO"/>
    <x v="413"/>
    <x v="11"/>
    <n v="10914"/>
    <n v="10242.790000000001"/>
    <x v="33"/>
    <x v="4"/>
    <x v="88"/>
    <x v="0"/>
    <n v="0"/>
    <x v="0"/>
    <x v="1"/>
    <s v="MS"/>
    <x v="0"/>
    <m/>
    <m/>
    <m/>
  </r>
  <r>
    <n v="1487"/>
    <s v="SP"/>
    <x v="4"/>
    <x v="30"/>
    <x v="46"/>
    <s v="SERVIÇO"/>
    <x v="414"/>
    <x v="11"/>
    <n v="3198"/>
    <n v="3001.32"/>
    <x v="33"/>
    <x v="30"/>
    <x v="60"/>
    <x v="0"/>
    <n v="0"/>
    <x v="0"/>
    <x v="2"/>
    <s v="FS"/>
    <x v="0"/>
    <m/>
    <m/>
    <m/>
  </r>
  <r>
    <n v="1485"/>
    <s v="SP"/>
    <x v="4"/>
    <x v="30"/>
    <x v="50"/>
    <s v="SERVIÇO"/>
    <x v="415"/>
    <x v="11"/>
    <n v="30030.639999999999"/>
    <n v="28183.75"/>
    <x v="93"/>
    <x v="38"/>
    <x v="109"/>
    <x v="0"/>
    <m/>
    <x v="0"/>
    <x v="1"/>
    <s v="FS"/>
    <x v="0"/>
    <m/>
    <m/>
    <m/>
  </r>
  <r>
    <n v="1482"/>
    <s v="MATRIZ"/>
    <x v="0"/>
    <x v="4"/>
    <x v="23"/>
    <s v="SERVIÇO"/>
    <x v="416"/>
    <x v="11"/>
    <n v="39000"/>
    <n v="35236.5"/>
    <x v="59"/>
    <x v="35"/>
    <x v="90"/>
    <x v="0"/>
    <m/>
    <x v="0"/>
    <x v="0"/>
    <s v="UT"/>
    <x v="0"/>
    <m/>
    <m/>
    <m/>
  </r>
  <r>
    <n v="1262"/>
    <s v="SP"/>
    <x v="4"/>
    <x v="20"/>
    <x v="24"/>
    <s v="SERVIÇO"/>
    <x v="417"/>
    <x v="11"/>
    <n v="7575.9"/>
    <n v="7109.98"/>
    <x v="109"/>
    <x v="24"/>
    <x v="61"/>
    <x v="0"/>
    <n v="0"/>
    <x v="0"/>
    <x v="1"/>
    <s v="FS"/>
    <x v="0"/>
    <m/>
    <m/>
    <m/>
  </r>
  <r>
    <n v="1262"/>
    <s v="SP"/>
    <x v="4"/>
    <x v="20"/>
    <x v="24"/>
    <s v="SERVIÇO"/>
    <x v="418"/>
    <x v="11"/>
    <n v="63476.98"/>
    <n v="59573.15"/>
    <x v="109"/>
    <x v="24"/>
    <x v="61"/>
    <x v="0"/>
    <n v="0"/>
    <x v="0"/>
    <x v="1"/>
    <s v="FS"/>
    <x v="0"/>
    <m/>
    <m/>
    <m/>
  </r>
  <r>
    <n v="1262"/>
    <s v="SP"/>
    <x v="4"/>
    <x v="20"/>
    <x v="24"/>
    <s v="SERVIÇO"/>
    <x v="419"/>
    <x v="11"/>
    <n v="17677.099999999999"/>
    <n v="16589.96"/>
    <x v="109"/>
    <x v="24"/>
    <x v="61"/>
    <x v="0"/>
    <n v="0"/>
    <x v="0"/>
    <x v="1"/>
    <s v="FS"/>
    <x v="0"/>
    <m/>
    <m/>
    <m/>
  </r>
  <r>
    <n v="1262"/>
    <s v="SP"/>
    <x v="4"/>
    <x v="20"/>
    <x v="24"/>
    <s v="SERVIÇO"/>
    <x v="420"/>
    <x v="11"/>
    <n v="19709.759999999998"/>
    <n v="18497.61"/>
    <x v="109"/>
    <x v="24"/>
    <x v="61"/>
    <x v="0"/>
    <n v="0"/>
    <x v="0"/>
    <x v="1"/>
    <s v="FS"/>
    <x v="0"/>
    <m/>
    <m/>
    <m/>
  </r>
  <r>
    <n v="1262"/>
    <s v="SP"/>
    <x v="4"/>
    <x v="20"/>
    <x v="24"/>
    <s v="SERVIÇO"/>
    <x v="421"/>
    <x v="11"/>
    <n v="14677.24"/>
    <n v="13774.59"/>
    <x v="109"/>
    <x v="24"/>
    <x v="61"/>
    <x v="0"/>
    <n v="0"/>
    <x v="0"/>
    <x v="1"/>
    <s v="FS"/>
    <x v="0"/>
    <m/>
    <m/>
    <m/>
  </r>
  <r>
    <n v="1269"/>
    <s v="SP"/>
    <x v="4"/>
    <x v="20"/>
    <x v="25"/>
    <s v="SERVIÇO"/>
    <x v="422"/>
    <x v="11"/>
    <n v="6655.99"/>
    <n v="6246.65"/>
    <x v="109"/>
    <x v="24"/>
    <x v="61"/>
    <x v="0"/>
    <n v="0"/>
    <x v="0"/>
    <x v="0"/>
    <s v="FS"/>
    <x v="0"/>
    <m/>
    <m/>
    <m/>
  </r>
  <r>
    <n v="1269"/>
    <s v="SP"/>
    <x v="4"/>
    <x v="20"/>
    <x v="25"/>
    <s v="SERVIÇO"/>
    <x v="423"/>
    <x v="11"/>
    <n v="10876.23"/>
    <n v="10207.34"/>
    <x v="109"/>
    <x v="24"/>
    <x v="61"/>
    <x v="0"/>
    <n v="0"/>
    <x v="0"/>
    <x v="0"/>
    <s v="FS"/>
    <x v="0"/>
    <m/>
    <m/>
    <m/>
  </r>
  <r>
    <n v="1269"/>
    <s v="SP"/>
    <x v="4"/>
    <x v="20"/>
    <x v="25"/>
    <s v="SERVIÇO"/>
    <x v="424"/>
    <x v="11"/>
    <n v="30699.4"/>
    <n v="28811.39"/>
    <x v="109"/>
    <x v="24"/>
    <x v="61"/>
    <x v="0"/>
    <n v="0"/>
    <x v="0"/>
    <x v="0"/>
    <s v="FS"/>
    <x v="0"/>
    <m/>
    <m/>
    <m/>
  </r>
  <r>
    <n v="1269"/>
    <s v="SP"/>
    <x v="4"/>
    <x v="20"/>
    <x v="25"/>
    <s v="SERVIÇO"/>
    <x v="425"/>
    <x v="11"/>
    <n v="198578.23"/>
    <n v="186365.67"/>
    <x v="109"/>
    <x v="24"/>
    <x v="61"/>
    <x v="0"/>
    <n v="0"/>
    <x v="0"/>
    <x v="0"/>
    <s v="FS"/>
    <x v="0"/>
    <m/>
    <m/>
    <m/>
  </r>
  <r>
    <n v="1400"/>
    <s v="SP"/>
    <x v="7"/>
    <x v="21"/>
    <x v="26"/>
    <s v="SERVIÇO"/>
    <x v="426"/>
    <x v="11"/>
    <n v="711481.47"/>
    <n v="642823.51"/>
    <x v="105"/>
    <x v="30"/>
    <x v="60"/>
    <x v="0"/>
    <n v="0"/>
    <x v="0"/>
    <x v="1"/>
    <s v="UT"/>
    <x v="2"/>
    <m/>
    <m/>
    <m/>
  </r>
  <r>
    <n v="1400"/>
    <s v="SP"/>
    <x v="7"/>
    <x v="21"/>
    <x v="26"/>
    <s v="SERVIÇO"/>
    <x v="427"/>
    <x v="11"/>
    <n v="77751.44"/>
    <n v="70248.429999999993"/>
    <x v="105"/>
    <x v="30"/>
    <x v="60"/>
    <x v="0"/>
    <n v="0"/>
    <x v="0"/>
    <x v="1"/>
    <s v="UT"/>
    <x v="2"/>
    <m/>
    <m/>
    <m/>
  </r>
  <r>
    <n v="1366"/>
    <s v="HUB"/>
    <x v="7"/>
    <x v="21"/>
    <x v="27"/>
    <s v="SERVIÇO"/>
    <x v="428"/>
    <x v="11"/>
    <n v="347113.33"/>
    <n v="313616.84999999998"/>
    <x v="106"/>
    <x v="30"/>
    <x v="60"/>
    <x v="0"/>
    <n v="0"/>
    <x v="0"/>
    <x v="0"/>
    <s v="UT"/>
    <x v="2"/>
    <m/>
    <m/>
    <m/>
  </r>
  <r>
    <n v="1388"/>
    <s v="SP"/>
    <x v="7"/>
    <x v="21"/>
    <x v="28"/>
    <s v="SERVIÇO"/>
    <x v="429"/>
    <x v="11"/>
    <n v="167338.09"/>
    <n v="151189.97"/>
    <x v="94"/>
    <x v="30"/>
    <x v="60"/>
    <x v="0"/>
    <n v="0"/>
    <x v="0"/>
    <x v="1"/>
    <s v="UT"/>
    <x v="2"/>
    <m/>
    <m/>
    <m/>
  </r>
  <r>
    <n v="1298"/>
    <s v="HUB"/>
    <x v="8"/>
    <x v="22"/>
    <x v="29"/>
    <s v="SERVIÇO"/>
    <x v="430"/>
    <x v="11"/>
    <n v="275594.28999999998"/>
    <n v="258645.25"/>
    <x v="105"/>
    <x v="24"/>
    <x v="36"/>
    <x v="0"/>
    <n v="0"/>
    <x v="0"/>
    <x v="0"/>
    <s v="PS"/>
    <x v="0"/>
    <m/>
    <m/>
    <m/>
  </r>
  <r>
    <n v="1289"/>
    <s v="HUB"/>
    <x v="6"/>
    <x v="23"/>
    <x v="30"/>
    <s v="SERVIÇO"/>
    <x v="431"/>
    <x v="11"/>
    <n v="288674.12"/>
    <n v="269044.28000000003"/>
    <x v="99"/>
    <x v="24"/>
    <x v="36"/>
    <x v="0"/>
    <m/>
    <x v="0"/>
    <x v="0"/>
    <s v="PS"/>
    <x v="3"/>
    <m/>
    <m/>
    <m/>
  </r>
  <r>
    <n v="1288"/>
    <s v="HUB"/>
    <x v="6"/>
    <x v="23"/>
    <x v="31"/>
    <s v="SERVIÇO"/>
    <x v="432"/>
    <x v="11"/>
    <n v="379368"/>
    <n v="353570.98"/>
    <x v="99"/>
    <x v="24"/>
    <x v="82"/>
    <x v="0"/>
    <m/>
    <x v="0"/>
    <x v="1"/>
    <s v="PS"/>
    <x v="3"/>
    <m/>
    <m/>
    <m/>
  </r>
  <r>
    <n v="1271"/>
    <s v="HUB"/>
    <x v="6"/>
    <x v="23"/>
    <x v="32"/>
    <s v="SERVIÇO"/>
    <x v="433"/>
    <x v="11"/>
    <n v="255597.54"/>
    <n v="238216.91"/>
    <x v="99"/>
    <x v="4"/>
    <x v="95"/>
    <x v="0"/>
    <n v="0"/>
    <x v="0"/>
    <x v="0"/>
    <s v="PS"/>
    <x v="3"/>
    <m/>
    <m/>
    <m/>
  </r>
  <r>
    <n v="1299"/>
    <s v="HUB"/>
    <x v="6"/>
    <x v="23"/>
    <x v="33"/>
    <s v="SERVIÇO"/>
    <x v="434"/>
    <x v="11"/>
    <n v="1020096"/>
    <n v="950729.47"/>
    <x v="85"/>
    <x v="24"/>
    <x v="36"/>
    <x v="0"/>
    <n v="0"/>
    <x v="0"/>
    <x v="1"/>
    <s v="PS"/>
    <x v="3"/>
    <m/>
    <m/>
    <m/>
  </r>
  <r>
    <n v="1394"/>
    <s v="MATRIZ"/>
    <x v="5"/>
    <x v="7"/>
    <x v="7"/>
    <s v="SERVIÇO"/>
    <x v="435"/>
    <x v="11"/>
    <n v="73671.48"/>
    <n v="68661.820000000007"/>
    <x v="59"/>
    <x v="31"/>
    <x v="93"/>
    <x v="0"/>
    <n v="0"/>
    <x v="0"/>
    <x v="0"/>
    <s v="PS"/>
    <x v="1"/>
    <m/>
    <m/>
    <m/>
  </r>
  <r>
    <n v="1394"/>
    <s v="MATRIZ"/>
    <x v="5"/>
    <x v="7"/>
    <x v="7"/>
    <s v="SERVIÇO"/>
    <x v="436"/>
    <x v="11"/>
    <n v="85000"/>
    <n v="79220"/>
    <x v="94"/>
    <x v="24"/>
    <x v="36"/>
    <x v="0"/>
    <n v="0"/>
    <x v="0"/>
    <x v="0"/>
    <s v="PS"/>
    <x v="1"/>
    <m/>
    <m/>
    <m/>
  </r>
  <r>
    <n v="1394"/>
    <s v="MATRIZ"/>
    <x v="5"/>
    <x v="7"/>
    <x v="7"/>
    <s v="SERVIÇO"/>
    <x v="437"/>
    <x v="11"/>
    <n v="283355.11"/>
    <n v="264086.96000000002"/>
    <x v="94"/>
    <x v="24"/>
    <x v="36"/>
    <x v="0"/>
    <n v="0"/>
    <x v="0"/>
    <x v="0"/>
    <s v="PS"/>
    <x v="1"/>
    <m/>
    <m/>
    <m/>
  </r>
  <r>
    <n v="1394"/>
    <s v="MATRIZ"/>
    <x v="5"/>
    <x v="7"/>
    <x v="7"/>
    <s v="SERVIÇO"/>
    <x v="438"/>
    <x v="11"/>
    <n v="16701.95"/>
    <n v="15566.22"/>
    <x v="94"/>
    <x v="30"/>
    <x v="60"/>
    <x v="0"/>
    <n v="0"/>
    <x v="0"/>
    <x v="0"/>
    <s v="PS"/>
    <x v="1"/>
    <m/>
    <m/>
    <m/>
  </r>
  <r>
    <n v="1394"/>
    <s v="MATRIZ"/>
    <x v="5"/>
    <x v="7"/>
    <x v="7"/>
    <s v="SERVIÇO"/>
    <x v="439"/>
    <x v="11"/>
    <n v="111600.22"/>
    <n v="104011.41"/>
    <x v="85"/>
    <x v="24"/>
    <x v="61"/>
    <x v="0"/>
    <n v="0"/>
    <x v="0"/>
    <x v="0"/>
    <s v="PS"/>
    <x v="1"/>
    <m/>
    <m/>
    <m/>
  </r>
  <r>
    <n v="1394"/>
    <s v="MATRIZ"/>
    <x v="5"/>
    <x v="7"/>
    <x v="7"/>
    <s v="SERVIÇO"/>
    <x v="440"/>
    <x v="11"/>
    <n v="134177.92000000001"/>
    <n v="125053.82"/>
    <x v="106"/>
    <x v="24"/>
    <x v="36"/>
    <x v="0"/>
    <n v="0"/>
    <x v="0"/>
    <x v="0"/>
    <s v="PS"/>
    <x v="1"/>
    <m/>
    <m/>
    <m/>
  </r>
  <r>
    <n v="1394"/>
    <s v="MATRIZ"/>
    <x v="5"/>
    <x v="7"/>
    <x v="7"/>
    <s v="SERVIÇO"/>
    <x v="441"/>
    <x v="11"/>
    <n v="222403.39"/>
    <n v="207279.96"/>
    <x v="110"/>
    <x v="39"/>
    <x v="110"/>
    <x v="0"/>
    <n v="0"/>
    <x v="0"/>
    <x v="0"/>
    <s v="PS"/>
    <x v="1"/>
    <m/>
    <m/>
    <m/>
  </r>
  <r>
    <n v="1394"/>
    <s v="MATRIZ"/>
    <x v="5"/>
    <x v="7"/>
    <x v="7"/>
    <s v="SERVIÇO"/>
    <x v="442"/>
    <x v="11"/>
    <n v="127355.8"/>
    <n v="118695.6"/>
    <x v="111"/>
    <x v="24"/>
    <x v="36"/>
    <x v="0"/>
    <n v="0"/>
    <x v="0"/>
    <x v="0"/>
    <s v="PS"/>
    <x v="1"/>
    <m/>
    <m/>
    <m/>
  </r>
  <r>
    <n v="1360"/>
    <s v="SP"/>
    <x v="3"/>
    <x v="8"/>
    <x v="8"/>
    <s v="SERVIÇO"/>
    <x v="443"/>
    <x v="11"/>
    <n v="32366.880000000001"/>
    <n v="30376.32"/>
    <x v="112"/>
    <x v="24"/>
    <x v="36"/>
    <x v="0"/>
    <m/>
    <x v="0"/>
    <x v="1"/>
    <s v="FS"/>
    <x v="2"/>
    <m/>
    <m/>
    <m/>
  </r>
  <r>
    <n v="1360"/>
    <s v="SP"/>
    <x v="3"/>
    <x v="8"/>
    <x v="8"/>
    <s v="SERVIÇO"/>
    <x v="444"/>
    <x v="11"/>
    <n v="17488.8"/>
    <n v="16413.240000000002"/>
    <x v="112"/>
    <x v="24"/>
    <x v="36"/>
    <x v="0"/>
    <m/>
    <x v="0"/>
    <x v="1"/>
    <s v="FS"/>
    <x v="2"/>
    <m/>
    <m/>
    <m/>
  </r>
  <r>
    <n v="1360"/>
    <s v="SP"/>
    <x v="3"/>
    <x v="8"/>
    <x v="8"/>
    <s v="SERVIÇO"/>
    <x v="445"/>
    <x v="11"/>
    <n v="23033.09"/>
    <n v="21616.55"/>
    <x v="112"/>
    <x v="24"/>
    <x v="36"/>
    <x v="0"/>
    <m/>
    <x v="0"/>
    <x v="1"/>
    <s v="FS"/>
    <x v="2"/>
    <m/>
    <m/>
    <m/>
  </r>
  <r>
    <n v="1360"/>
    <s v="SP"/>
    <x v="3"/>
    <x v="8"/>
    <x v="8"/>
    <s v="SERVIÇO"/>
    <x v="446"/>
    <x v="11"/>
    <n v="30112"/>
    <n v="28260.11"/>
    <x v="112"/>
    <x v="24"/>
    <x v="36"/>
    <x v="0"/>
    <m/>
    <x v="0"/>
    <x v="1"/>
    <s v="FS"/>
    <x v="2"/>
    <m/>
    <m/>
    <m/>
  </r>
  <r>
    <n v="1360"/>
    <s v="SP"/>
    <x v="3"/>
    <x v="8"/>
    <x v="8"/>
    <s v="SERVIÇO"/>
    <x v="447"/>
    <x v="11"/>
    <n v="70502.78"/>
    <n v="66166.86"/>
    <x v="112"/>
    <x v="24"/>
    <x v="36"/>
    <x v="0"/>
    <m/>
    <x v="0"/>
    <x v="1"/>
    <s v="FS"/>
    <x v="2"/>
    <m/>
    <m/>
    <m/>
  </r>
  <r>
    <n v="1360"/>
    <s v="SP"/>
    <x v="3"/>
    <x v="8"/>
    <x v="8"/>
    <s v="SERVIÇO"/>
    <x v="448"/>
    <x v="11"/>
    <n v="27100.799999999999"/>
    <n v="25434.1"/>
    <x v="112"/>
    <x v="24"/>
    <x v="36"/>
    <x v="0"/>
    <m/>
    <x v="0"/>
    <x v="1"/>
    <s v="FS"/>
    <x v="2"/>
    <m/>
    <m/>
    <m/>
  </r>
  <r>
    <n v="1360"/>
    <s v="SP"/>
    <x v="3"/>
    <x v="8"/>
    <x v="8"/>
    <s v="SERVIÇO"/>
    <x v="449"/>
    <x v="11"/>
    <n v="108733.78"/>
    <n v="102046.65"/>
    <x v="112"/>
    <x v="36"/>
    <x v="111"/>
    <x v="0"/>
    <m/>
    <x v="0"/>
    <x v="1"/>
    <s v="FS"/>
    <x v="2"/>
    <m/>
    <m/>
    <m/>
  </r>
  <r>
    <n v="1360"/>
    <s v="SP"/>
    <x v="3"/>
    <x v="8"/>
    <x v="8"/>
    <s v="SERVIÇO"/>
    <x v="450"/>
    <x v="11"/>
    <n v="40888.800000000003"/>
    <n v="38374.14"/>
    <x v="89"/>
    <x v="24"/>
    <x v="36"/>
    <x v="0"/>
    <m/>
    <x v="0"/>
    <x v="1"/>
    <s v="FS"/>
    <x v="2"/>
    <m/>
    <m/>
    <m/>
  </r>
  <r>
    <n v="1360"/>
    <s v="SP"/>
    <x v="3"/>
    <x v="8"/>
    <x v="8"/>
    <s v="SERVIÇO"/>
    <x v="451"/>
    <x v="11"/>
    <n v="60112.68"/>
    <n v="56415.75"/>
    <x v="89"/>
    <x v="24"/>
    <x v="36"/>
    <x v="0"/>
    <m/>
    <x v="0"/>
    <x v="1"/>
    <s v="FS"/>
    <x v="2"/>
    <m/>
    <m/>
    <m/>
  </r>
  <r>
    <n v="1360"/>
    <s v="SP"/>
    <x v="3"/>
    <x v="8"/>
    <x v="8"/>
    <s v="SERVIÇO"/>
    <x v="452"/>
    <x v="11"/>
    <n v="41991.199999999997"/>
    <n v="39408.74"/>
    <x v="89"/>
    <x v="24"/>
    <x v="36"/>
    <x v="0"/>
    <m/>
    <x v="0"/>
    <x v="1"/>
    <s v="FS"/>
    <x v="2"/>
    <m/>
    <m/>
    <m/>
  </r>
  <r>
    <n v="1360"/>
    <s v="SP"/>
    <x v="3"/>
    <x v="8"/>
    <x v="8"/>
    <s v="SERVIÇO"/>
    <x v="453"/>
    <x v="11"/>
    <n v="81029.119999999995"/>
    <n v="76045.83"/>
    <x v="89"/>
    <x v="24"/>
    <x v="36"/>
    <x v="0"/>
    <m/>
    <x v="0"/>
    <x v="1"/>
    <s v="FS"/>
    <x v="2"/>
    <m/>
    <m/>
    <m/>
  </r>
  <r>
    <n v="1360"/>
    <s v="SP"/>
    <x v="3"/>
    <x v="8"/>
    <x v="8"/>
    <s v="SERVIÇO"/>
    <x v="454"/>
    <x v="11"/>
    <n v="65211.839999999997"/>
    <n v="61201.3"/>
    <x v="91"/>
    <x v="24"/>
    <x v="36"/>
    <x v="0"/>
    <m/>
    <x v="0"/>
    <x v="1"/>
    <s v="FS"/>
    <x v="2"/>
    <m/>
    <m/>
    <m/>
  </r>
  <r>
    <n v="1360"/>
    <s v="SP"/>
    <x v="3"/>
    <x v="8"/>
    <x v="8"/>
    <s v="SERVIÇO"/>
    <x v="455"/>
    <x v="11"/>
    <n v="59031.360000000001"/>
    <n v="55400.94"/>
    <x v="88"/>
    <x v="24"/>
    <x v="36"/>
    <x v="0"/>
    <m/>
    <x v="0"/>
    <x v="1"/>
    <s v="FS"/>
    <x v="2"/>
    <m/>
    <m/>
    <m/>
  </r>
  <r>
    <n v="1387"/>
    <s v="SP"/>
    <x v="3"/>
    <x v="8"/>
    <x v="47"/>
    <s v="SERVIÇO"/>
    <x v="456"/>
    <x v="11"/>
    <n v="36540"/>
    <n v="34292.79"/>
    <x v="112"/>
    <x v="5"/>
    <x v="85"/>
    <x v="0"/>
    <m/>
    <x v="0"/>
    <x v="0"/>
    <s v="FS"/>
    <x v="2"/>
    <m/>
    <m/>
    <m/>
  </r>
  <r>
    <n v="1387"/>
    <s v="SP"/>
    <x v="3"/>
    <x v="8"/>
    <x v="47"/>
    <s v="SERVIÇO"/>
    <x v="457"/>
    <x v="11"/>
    <n v="29059.200000000001"/>
    <n v="27272.06"/>
    <x v="112"/>
    <x v="24"/>
    <x v="36"/>
    <x v="0"/>
    <m/>
    <x v="0"/>
    <x v="0"/>
    <s v="FS"/>
    <x v="2"/>
    <m/>
    <m/>
    <m/>
  </r>
  <r>
    <n v="1387"/>
    <s v="SP"/>
    <x v="3"/>
    <x v="8"/>
    <x v="47"/>
    <s v="SERVIÇO"/>
    <x v="458"/>
    <x v="11"/>
    <n v="36713.599999999999"/>
    <n v="34455.71"/>
    <x v="112"/>
    <x v="24"/>
    <x v="36"/>
    <x v="0"/>
    <m/>
    <x v="0"/>
    <x v="0"/>
    <s v="FS"/>
    <x v="2"/>
    <m/>
    <m/>
    <m/>
  </r>
  <r>
    <n v="1387"/>
    <s v="SP"/>
    <x v="3"/>
    <x v="8"/>
    <x v="47"/>
    <s v="SERVIÇO"/>
    <x v="459"/>
    <x v="11"/>
    <n v="43345.52"/>
    <n v="40679.760000000002"/>
    <x v="112"/>
    <x v="24"/>
    <x v="36"/>
    <x v="0"/>
    <m/>
    <x v="0"/>
    <x v="0"/>
    <s v="FS"/>
    <x v="2"/>
    <m/>
    <m/>
    <m/>
  </r>
  <r>
    <n v="1387"/>
    <s v="SP"/>
    <x v="3"/>
    <x v="8"/>
    <x v="47"/>
    <s v="SERVIÇO"/>
    <x v="460"/>
    <x v="11"/>
    <n v="27583.200000000001"/>
    <n v="25886.83"/>
    <x v="91"/>
    <x v="24"/>
    <x v="36"/>
    <x v="0"/>
    <m/>
    <x v="0"/>
    <x v="0"/>
    <s v="FS"/>
    <x v="2"/>
    <m/>
    <m/>
    <m/>
  </r>
  <r>
    <n v="1470"/>
    <s v="MATRIZ"/>
    <x v="1"/>
    <x v="24"/>
    <x v="35"/>
    <s v="SERVIÇO"/>
    <x v="461"/>
    <x v="11"/>
    <n v="36700"/>
    <n v="33708.949999999997"/>
    <x v="97"/>
    <x v="31"/>
    <x v="66"/>
    <x v="0"/>
    <n v="0"/>
    <x v="0"/>
    <x v="0"/>
    <s v="UT"/>
    <x v="1"/>
    <m/>
    <m/>
    <m/>
  </r>
  <r>
    <n v="1287"/>
    <s v="HUB"/>
    <x v="6"/>
    <x v="25"/>
    <x v="36"/>
    <s v="SERVIÇO"/>
    <x v="462"/>
    <x v="11"/>
    <n v="37164.18"/>
    <n v="33336.269999999997"/>
    <x v="113"/>
    <x v="38"/>
    <x v="112"/>
    <x v="0"/>
    <n v="0"/>
    <x v="0"/>
    <x v="1"/>
    <s v="PS"/>
    <x v="3"/>
    <m/>
    <m/>
    <m/>
  </r>
  <r>
    <n v="1273"/>
    <s v="HUB"/>
    <x v="6"/>
    <x v="25"/>
    <x v="37"/>
    <s v="SERVIÇO"/>
    <x v="463"/>
    <x v="11"/>
    <n v="38313.629999999997"/>
    <n v="34367.33"/>
    <x v="113"/>
    <x v="38"/>
    <x v="112"/>
    <x v="0"/>
    <n v="0"/>
    <x v="0"/>
    <x v="0"/>
    <s v="PS"/>
    <x v="3"/>
    <m/>
    <m/>
    <m/>
  </r>
  <r>
    <n v="1273"/>
    <s v="HUB"/>
    <x v="6"/>
    <x v="25"/>
    <x v="37"/>
    <s v="SERVIÇO"/>
    <x v="464"/>
    <x v="11"/>
    <n v="453692.21"/>
    <n v="406961.91"/>
    <x v="113"/>
    <x v="38"/>
    <x v="112"/>
    <x v="0"/>
    <n v="0"/>
    <x v="0"/>
    <x v="0"/>
    <s v="PS"/>
    <x v="3"/>
    <m/>
    <m/>
    <m/>
  </r>
  <r>
    <n v="1277"/>
    <s v="HUB"/>
    <x v="6"/>
    <x v="25"/>
    <x v="38"/>
    <s v="SERVIÇO"/>
    <x v="465"/>
    <x v="11"/>
    <n v="154365.24"/>
    <n v="138465.63"/>
    <x v="60"/>
    <x v="35"/>
    <x v="90"/>
    <x v="0"/>
    <n v="0"/>
    <x v="0"/>
    <x v="0"/>
    <s v="PS"/>
    <x v="3"/>
    <m/>
    <m/>
    <m/>
  </r>
  <r>
    <n v="1483"/>
    <s v="MATRIZ"/>
    <x v="1"/>
    <x v="9"/>
    <x v="9"/>
    <s v="SERVIÇO"/>
    <x v="466"/>
    <x v="11"/>
    <n v="53591.199999999997"/>
    <n v="49527.08"/>
    <x v="97"/>
    <x v="38"/>
    <x v="113"/>
    <x v="0"/>
    <n v="0"/>
    <x v="0"/>
    <x v="0"/>
    <s v="UT"/>
    <x v="0"/>
    <m/>
    <m/>
    <m/>
  </r>
  <r>
    <n v="1483"/>
    <s v="MATRIZ"/>
    <x v="1"/>
    <x v="9"/>
    <x v="9"/>
    <s v="SERVIÇO"/>
    <x v="467"/>
    <x v="11"/>
    <n v="28856.799999999999"/>
    <n v="27082.11"/>
    <x v="97"/>
    <x v="40"/>
    <x v="114"/>
    <x v="0"/>
    <n v="0"/>
    <x v="0"/>
    <x v="0"/>
    <s v="UT"/>
    <x v="0"/>
    <m/>
    <m/>
    <m/>
  </r>
  <r>
    <n v="1275"/>
    <s v="SP"/>
    <x v="4"/>
    <x v="26"/>
    <x v="40"/>
    <s v="SERVIÇO"/>
    <x v="468"/>
    <x v="11"/>
    <n v="16767.240000000002"/>
    <n v="15736.05"/>
    <x v="82"/>
    <x v="24"/>
    <x v="61"/>
    <x v="0"/>
    <n v="0"/>
    <x v="0"/>
    <x v="1"/>
    <s v="FS"/>
    <x v="0"/>
    <m/>
    <m/>
    <m/>
  </r>
  <r>
    <n v="1479"/>
    <s v="SP"/>
    <x v="4"/>
    <x v="26"/>
    <x v="41"/>
    <s v="SERVIÇO"/>
    <x v="469"/>
    <x v="11"/>
    <n v="26040"/>
    <n v="24438.54"/>
    <x v="82"/>
    <x v="35"/>
    <x v="105"/>
    <x v="0"/>
    <n v="0"/>
    <x v="0"/>
    <x v="2"/>
    <s v="FS"/>
    <x v="0"/>
    <m/>
    <m/>
    <m/>
  </r>
  <r>
    <n v="1455"/>
    <s v="MATRIZ"/>
    <x v="2"/>
    <x v="2"/>
    <x v="2"/>
    <s v="SERVIÇO"/>
    <x v="470"/>
    <x v="13"/>
    <n v="54003.39"/>
    <n v="47712"/>
    <x v="100"/>
    <x v="36"/>
    <x v="111"/>
    <x v="0"/>
    <m/>
    <x v="0"/>
    <x v="0"/>
    <s v="MS"/>
    <x v="1"/>
    <m/>
    <m/>
    <m/>
  </r>
  <r>
    <n v="1489"/>
    <s v="SP"/>
    <x v="4"/>
    <x v="32"/>
    <x v="51"/>
    <s v="SERVIÇO"/>
    <x v="471"/>
    <x v="13"/>
    <n v="42812.21"/>
    <n v="40179.26"/>
    <x v="113"/>
    <x v="38"/>
    <x v="109"/>
    <x v="0"/>
    <m/>
    <x v="0"/>
    <x v="2"/>
    <s v="FS"/>
    <x v="0"/>
    <m/>
    <m/>
    <m/>
  </r>
  <r>
    <n v="1478"/>
    <s v="SP"/>
    <x v="3"/>
    <x v="10"/>
    <x v="10"/>
    <s v="SERVIÇO"/>
    <x v="472"/>
    <x v="13"/>
    <n v="76256.009999999995"/>
    <n v="71566.27"/>
    <x v="100"/>
    <x v="38"/>
    <x v="112"/>
    <x v="0"/>
    <m/>
    <x v="0"/>
    <x v="1"/>
    <s v="FS"/>
    <x v="2"/>
    <m/>
    <m/>
    <m/>
  </r>
  <r>
    <n v="1391"/>
    <s v="SP"/>
    <x v="3"/>
    <x v="11"/>
    <x v="11"/>
    <s v="SERVIÇO"/>
    <x v="473"/>
    <x v="13"/>
    <n v="81965.789999999994"/>
    <n v="76924.89"/>
    <x v="114"/>
    <x v="36"/>
    <x v="99"/>
    <x v="0"/>
    <n v="0"/>
    <x v="0"/>
    <x v="1"/>
    <s v="FS"/>
    <x v="2"/>
    <m/>
    <m/>
    <m/>
  </r>
  <r>
    <n v="1391"/>
    <s v="SP"/>
    <x v="3"/>
    <x v="11"/>
    <x v="11"/>
    <s v="SERVIÇO"/>
    <x v="474"/>
    <x v="13"/>
    <n v="60896.639999999999"/>
    <n v="57151.5"/>
    <x v="114"/>
    <x v="36"/>
    <x v="99"/>
    <x v="0"/>
    <n v="0"/>
    <x v="0"/>
    <x v="1"/>
    <s v="FS"/>
    <x v="2"/>
    <m/>
    <m/>
    <m/>
  </r>
  <r>
    <n v="1391"/>
    <s v="SP"/>
    <x v="3"/>
    <x v="11"/>
    <x v="11"/>
    <s v="SERVIÇO"/>
    <x v="475"/>
    <x v="13"/>
    <n v="13796.9"/>
    <n v="12948.39"/>
    <x v="114"/>
    <x v="36"/>
    <x v="99"/>
    <x v="0"/>
    <n v="0"/>
    <x v="0"/>
    <x v="1"/>
    <s v="FS"/>
    <x v="2"/>
    <m/>
    <m/>
    <m/>
  </r>
  <r>
    <n v="1391"/>
    <s v="SP"/>
    <x v="3"/>
    <x v="11"/>
    <x v="11"/>
    <s v="SERVIÇO"/>
    <x v="476"/>
    <x v="13"/>
    <n v="214882.68"/>
    <n v="201667.4"/>
    <x v="114"/>
    <x v="36"/>
    <x v="99"/>
    <x v="0"/>
    <n v="0"/>
    <x v="0"/>
    <x v="1"/>
    <s v="FS"/>
    <x v="2"/>
    <m/>
    <m/>
    <m/>
  </r>
  <r>
    <n v="1391"/>
    <s v="SP"/>
    <x v="3"/>
    <x v="11"/>
    <x v="11"/>
    <s v="SERVIÇO"/>
    <x v="477"/>
    <x v="13"/>
    <n v="129318.39"/>
    <n v="121365.3"/>
    <x v="114"/>
    <x v="36"/>
    <x v="99"/>
    <x v="0"/>
    <n v="0"/>
    <x v="0"/>
    <x v="1"/>
    <s v="FS"/>
    <x v="2"/>
    <m/>
    <m/>
    <m/>
  </r>
  <r>
    <n v="1391"/>
    <s v="SP"/>
    <x v="3"/>
    <x v="11"/>
    <x v="11"/>
    <s v="SERVIÇO"/>
    <x v="478"/>
    <x v="13"/>
    <n v="1453.86"/>
    <n v="1364.45"/>
    <x v="114"/>
    <x v="36"/>
    <x v="99"/>
    <x v="0"/>
    <n v="0"/>
    <x v="0"/>
    <x v="1"/>
    <s v="FS"/>
    <x v="2"/>
    <m/>
    <m/>
    <m/>
  </r>
  <r>
    <n v="1391"/>
    <s v="SP"/>
    <x v="3"/>
    <x v="11"/>
    <x v="11"/>
    <s v="SERVIÇO"/>
    <x v="479"/>
    <x v="13"/>
    <n v="29313.599999999999"/>
    <n v="27510.82"/>
    <x v="115"/>
    <x v="36"/>
    <x v="115"/>
    <x v="0"/>
    <n v="0"/>
    <x v="0"/>
    <x v="1"/>
    <s v="FS"/>
    <x v="2"/>
    <m/>
    <m/>
    <m/>
  </r>
  <r>
    <n v="1391"/>
    <s v="SP"/>
    <x v="3"/>
    <x v="11"/>
    <x v="11"/>
    <s v="SERVIÇO"/>
    <x v="480"/>
    <x v="13"/>
    <n v="175414.71"/>
    <n v="164626.71"/>
    <x v="115"/>
    <x v="36"/>
    <x v="115"/>
    <x v="0"/>
    <n v="0"/>
    <x v="0"/>
    <x v="1"/>
    <s v="FS"/>
    <x v="2"/>
    <m/>
    <m/>
    <m/>
  </r>
  <r>
    <n v="1391"/>
    <s v="SP"/>
    <x v="3"/>
    <x v="11"/>
    <x v="11"/>
    <s v="SERVIÇO"/>
    <x v="481"/>
    <x v="13"/>
    <n v="28225.18"/>
    <n v="26489.33"/>
    <x v="116"/>
    <x v="36"/>
    <x v="111"/>
    <x v="0"/>
    <n v="0"/>
    <x v="0"/>
    <x v="1"/>
    <s v="FS"/>
    <x v="2"/>
    <m/>
    <m/>
    <m/>
  </r>
  <r>
    <n v="1391"/>
    <s v="SP"/>
    <x v="3"/>
    <x v="11"/>
    <x v="11"/>
    <s v="SERVIÇO"/>
    <x v="482"/>
    <x v="13"/>
    <n v="244313.49"/>
    <n v="229288.21"/>
    <x v="117"/>
    <x v="39"/>
    <x v="116"/>
    <x v="0"/>
    <n v="0"/>
    <x v="0"/>
    <x v="1"/>
    <s v="FS"/>
    <x v="2"/>
    <m/>
    <m/>
    <m/>
  </r>
  <r>
    <n v="1294"/>
    <s v="SP"/>
    <x v="3"/>
    <x v="11"/>
    <x v="12"/>
    <s v="SERVIÇO"/>
    <x v="483"/>
    <x v="13"/>
    <n v="13537.5"/>
    <n v="12704.95"/>
    <x v="114"/>
    <x v="36"/>
    <x v="99"/>
    <x v="0"/>
    <n v="0"/>
    <x v="0"/>
    <x v="1"/>
    <s v="FS"/>
    <x v="2"/>
    <m/>
    <m/>
    <m/>
  </r>
  <r>
    <n v="1294"/>
    <s v="SP"/>
    <x v="3"/>
    <x v="11"/>
    <x v="12"/>
    <s v="SERVIÇO"/>
    <x v="484"/>
    <x v="13"/>
    <n v="26727.98"/>
    <n v="25084.21"/>
    <x v="114"/>
    <x v="36"/>
    <x v="99"/>
    <x v="0"/>
    <n v="0"/>
    <x v="0"/>
    <x v="1"/>
    <s v="FS"/>
    <x v="2"/>
    <m/>
    <m/>
    <m/>
  </r>
  <r>
    <n v="1294"/>
    <s v="SP"/>
    <x v="3"/>
    <x v="11"/>
    <x v="12"/>
    <s v="SERVIÇO"/>
    <x v="485"/>
    <x v="13"/>
    <n v="57366.400000000001"/>
    <n v="53838.36"/>
    <x v="114"/>
    <x v="36"/>
    <x v="99"/>
    <x v="0"/>
    <n v="0"/>
    <x v="0"/>
    <x v="1"/>
    <s v="FS"/>
    <x v="2"/>
    <m/>
    <m/>
    <m/>
  </r>
  <r>
    <n v="1294"/>
    <s v="SP"/>
    <x v="3"/>
    <x v="11"/>
    <x v="12"/>
    <s v="SERVIÇO"/>
    <x v="486"/>
    <x v="13"/>
    <n v="9175.0300000000007"/>
    <n v="8610.76"/>
    <x v="114"/>
    <x v="36"/>
    <x v="99"/>
    <x v="0"/>
    <n v="0"/>
    <x v="0"/>
    <x v="1"/>
    <s v="FS"/>
    <x v="2"/>
    <m/>
    <m/>
    <m/>
  </r>
  <r>
    <n v="1294"/>
    <s v="SP"/>
    <x v="3"/>
    <x v="11"/>
    <x v="12"/>
    <s v="SERVIÇO"/>
    <x v="487"/>
    <x v="13"/>
    <n v="83465.62"/>
    <n v="78332.490000000005"/>
    <x v="115"/>
    <x v="36"/>
    <x v="115"/>
    <x v="0"/>
    <n v="0"/>
    <x v="0"/>
    <x v="1"/>
    <s v="FS"/>
    <x v="2"/>
    <m/>
    <m/>
    <m/>
  </r>
  <r>
    <n v="1294"/>
    <s v="SP"/>
    <x v="3"/>
    <x v="11"/>
    <x v="12"/>
    <s v="SERVIÇO"/>
    <x v="488"/>
    <x v="13"/>
    <n v="3594.94"/>
    <n v="3373.86"/>
    <x v="118"/>
    <x v="36"/>
    <x v="117"/>
    <x v="0"/>
    <n v="0"/>
    <x v="0"/>
    <x v="1"/>
    <s v="FS"/>
    <x v="2"/>
    <m/>
    <m/>
    <m/>
  </r>
  <r>
    <n v="1294"/>
    <s v="SP"/>
    <x v="3"/>
    <x v="11"/>
    <x v="12"/>
    <s v="SERVIÇO"/>
    <x v="489"/>
    <x v="13"/>
    <n v="290646"/>
    <n v="272771.27"/>
    <x v="118"/>
    <x v="36"/>
    <x v="117"/>
    <x v="0"/>
    <n v="0"/>
    <x v="0"/>
    <x v="1"/>
    <s v="FS"/>
    <x v="2"/>
    <m/>
    <m/>
    <m/>
  </r>
  <r>
    <n v="1294"/>
    <s v="SP"/>
    <x v="3"/>
    <x v="11"/>
    <x v="12"/>
    <s v="SERVIÇO"/>
    <x v="490"/>
    <x v="13"/>
    <n v="41842.06"/>
    <n v="39268.769999999997"/>
    <x v="15"/>
    <x v="36"/>
    <x v="108"/>
    <x v="0"/>
    <n v="0"/>
    <x v="0"/>
    <x v="1"/>
    <s v="FS"/>
    <x v="2"/>
    <m/>
    <m/>
    <m/>
  </r>
  <r>
    <n v="1294"/>
    <s v="SP"/>
    <x v="3"/>
    <x v="11"/>
    <x v="12"/>
    <s v="SERVIÇO"/>
    <x v="491"/>
    <x v="13"/>
    <n v="120977.01"/>
    <n v="113536.92"/>
    <x v="116"/>
    <x v="36"/>
    <x v="111"/>
    <x v="0"/>
    <n v="0"/>
    <x v="0"/>
    <x v="1"/>
    <s v="FS"/>
    <x v="2"/>
    <m/>
    <m/>
    <m/>
  </r>
  <r>
    <n v="1294"/>
    <s v="SP"/>
    <x v="3"/>
    <x v="11"/>
    <x v="12"/>
    <s v="SERVIÇO"/>
    <x v="492"/>
    <x v="13"/>
    <n v="189744"/>
    <n v="178074.74"/>
    <x v="116"/>
    <x v="36"/>
    <x v="111"/>
    <x v="0"/>
    <n v="0"/>
    <x v="0"/>
    <x v="1"/>
    <s v="FS"/>
    <x v="2"/>
    <m/>
    <m/>
    <m/>
  </r>
  <r>
    <n v="1294"/>
    <s v="SP"/>
    <x v="3"/>
    <x v="11"/>
    <x v="12"/>
    <s v="SERVIÇO"/>
    <x v="493"/>
    <x v="13"/>
    <n v="76996.19"/>
    <n v="72260.929999999993"/>
    <x v="119"/>
    <x v="36"/>
    <x v="111"/>
    <x v="0"/>
    <n v="0"/>
    <x v="0"/>
    <x v="1"/>
    <s v="FS"/>
    <x v="2"/>
    <m/>
    <m/>
    <m/>
  </r>
  <r>
    <n v="1294"/>
    <s v="SP"/>
    <x v="3"/>
    <x v="11"/>
    <x v="12"/>
    <s v="SERVIÇO"/>
    <x v="494"/>
    <x v="13"/>
    <n v="6831.35"/>
    <n v="6411.22"/>
    <x v="119"/>
    <x v="38"/>
    <x v="113"/>
    <x v="0"/>
    <n v="0"/>
    <x v="0"/>
    <x v="1"/>
    <s v="FS"/>
    <x v="2"/>
    <m/>
    <m/>
    <m/>
  </r>
  <r>
    <n v="1294"/>
    <s v="SP"/>
    <x v="3"/>
    <x v="11"/>
    <x v="12"/>
    <s v="SERVIÇO"/>
    <x v="495"/>
    <x v="13"/>
    <n v="965.79"/>
    <n v="906.39"/>
    <x v="120"/>
    <x v="38"/>
    <x v="118"/>
    <x v="0"/>
    <n v="0"/>
    <x v="0"/>
    <x v="1"/>
    <s v="FS"/>
    <x v="2"/>
    <m/>
    <m/>
    <m/>
  </r>
  <r>
    <n v="1285"/>
    <s v="SP"/>
    <x v="3"/>
    <x v="11"/>
    <x v="14"/>
    <s v="SERVIÇO"/>
    <x v="496"/>
    <x v="13"/>
    <n v="7089.08"/>
    <n v="6653.1"/>
    <x v="121"/>
    <x v="36"/>
    <x v="117"/>
    <x v="0"/>
    <n v="0"/>
    <x v="0"/>
    <x v="1"/>
    <s v="FS"/>
    <x v="2"/>
    <m/>
    <m/>
    <m/>
  </r>
  <r>
    <n v="1285"/>
    <s v="SP"/>
    <x v="3"/>
    <x v="11"/>
    <x v="14"/>
    <s v="SERVIÇO"/>
    <x v="497"/>
    <x v="13"/>
    <n v="25534.32"/>
    <n v="23963.96"/>
    <x v="121"/>
    <x v="36"/>
    <x v="117"/>
    <x v="0"/>
    <n v="0"/>
    <x v="0"/>
    <x v="1"/>
    <s v="FS"/>
    <x v="2"/>
    <m/>
    <m/>
    <m/>
  </r>
  <r>
    <n v="1292"/>
    <s v="SP"/>
    <x v="3"/>
    <x v="3"/>
    <x v="3"/>
    <s v="SERVIÇO"/>
    <x v="498"/>
    <x v="13"/>
    <n v="18585.560000000001"/>
    <n v="17442.55"/>
    <x v="100"/>
    <x v="5"/>
    <x v="98"/>
    <x v="0"/>
    <n v="0"/>
    <x v="0"/>
    <x v="1"/>
    <s v="FS"/>
    <x v="2"/>
    <m/>
    <m/>
    <m/>
  </r>
  <r>
    <n v="1292"/>
    <s v="SP"/>
    <x v="3"/>
    <x v="3"/>
    <x v="3"/>
    <s v="SERVIÇO"/>
    <x v="499"/>
    <x v="13"/>
    <n v="14604.87"/>
    <n v="13706.67"/>
    <x v="100"/>
    <x v="5"/>
    <x v="98"/>
    <x v="0"/>
    <n v="0"/>
    <x v="0"/>
    <x v="1"/>
    <s v="FS"/>
    <x v="2"/>
    <m/>
    <m/>
    <m/>
  </r>
  <r>
    <n v="1292"/>
    <s v="SP"/>
    <x v="3"/>
    <x v="3"/>
    <x v="3"/>
    <s v="SERVIÇO"/>
    <x v="500"/>
    <x v="13"/>
    <n v="11844.08"/>
    <n v="11115.67"/>
    <x v="100"/>
    <x v="5"/>
    <x v="98"/>
    <x v="0"/>
    <n v="0"/>
    <x v="0"/>
    <x v="1"/>
    <s v="FS"/>
    <x v="2"/>
    <m/>
    <m/>
    <m/>
  </r>
  <r>
    <n v="1292"/>
    <s v="SP"/>
    <x v="3"/>
    <x v="3"/>
    <x v="3"/>
    <s v="SERVIÇO"/>
    <x v="501"/>
    <x v="13"/>
    <n v="31008"/>
    <n v="29101.01"/>
    <x v="122"/>
    <x v="5"/>
    <x v="69"/>
    <x v="0"/>
    <n v="0"/>
    <x v="0"/>
    <x v="1"/>
    <s v="FS"/>
    <x v="2"/>
    <m/>
    <m/>
    <m/>
  </r>
  <r>
    <n v="1292"/>
    <s v="SP"/>
    <x v="3"/>
    <x v="3"/>
    <x v="3"/>
    <s v="SERVIÇO"/>
    <x v="502"/>
    <x v="13"/>
    <n v="34633.19"/>
    <n v="32503.25"/>
    <x v="114"/>
    <x v="36"/>
    <x v="99"/>
    <x v="0"/>
    <n v="0"/>
    <x v="0"/>
    <x v="1"/>
    <s v="FS"/>
    <x v="2"/>
    <m/>
    <m/>
    <m/>
  </r>
  <r>
    <n v="1292"/>
    <s v="SP"/>
    <x v="3"/>
    <x v="3"/>
    <x v="3"/>
    <s v="SERVIÇO"/>
    <x v="503"/>
    <x v="13"/>
    <n v="1470.52"/>
    <n v="1380.08"/>
    <x v="114"/>
    <x v="36"/>
    <x v="99"/>
    <x v="0"/>
    <n v="0"/>
    <x v="0"/>
    <x v="1"/>
    <s v="FS"/>
    <x v="2"/>
    <m/>
    <m/>
    <m/>
  </r>
  <r>
    <n v="1292"/>
    <s v="SP"/>
    <x v="3"/>
    <x v="3"/>
    <x v="3"/>
    <s v="SERVIÇO"/>
    <x v="504"/>
    <x v="13"/>
    <n v="134253.73000000001"/>
    <n v="125997.12"/>
    <x v="115"/>
    <x v="36"/>
    <x v="111"/>
    <x v="0"/>
    <n v="0"/>
    <x v="0"/>
    <x v="1"/>
    <s v="FS"/>
    <x v="2"/>
    <m/>
    <m/>
    <m/>
  </r>
  <r>
    <n v="1292"/>
    <s v="SP"/>
    <x v="3"/>
    <x v="3"/>
    <x v="3"/>
    <s v="SERVIÇO"/>
    <x v="505"/>
    <x v="13"/>
    <n v="55680"/>
    <n v="52255.68"/>
    <x v="115"/>
    <x v="36"/>
    <x v="115"/>
    <x v="0"/>
    <n v="0"/>
    <x v="0"/>
    <x v="1"/>
    <s v="FS"/>
    <x v="2"/>
    <m/>
    <m/>
    <m/>
  </r>
  <r>
    <n v="1292"/>
    <s v="SP"/>
    <x v="3"/>
    <x v="3"/>
    <x v="3"/>
    <s v="SERVIÇO"/>
    <x v="506"/>
    <x v="13"/>
    <n v="46853.99"/>
    <n v="43972.47"/>
    <x v="115"/>
    <x v="36"/>
    <x v="115"/>
    <x v="0"/>
    <n v="0"/>
    <x v="0"/>
    <x v="1"/>
    <s v="FS"/>
    <x v="2"/>
    <m/>
    <m/>
    <m/>
  </r>
  <r>
    <n v="1292"/>
    <s v="SP"/>
    <x v="3"/>
    <x v="3"/>
    <x v="3"/>
    <s v="SERVIÇO"/>
    <x v="507"/>
    <x v="13"/>
    <n v="61996"/>
    <n v="58183.25"/>
    <x v="15"/>
    <x v="36"/>
    <x v="108"/>
    <x v="0"/>
    <n v="0"/>
    <x v="0"/>
    <x v="1"/>
    <s v="FS"/>
    <x v="2"/>
    <m/>
    <m/>
    <m/>
  </r>
  <r>
    <n v="1292"/>
    <s v="SP"/>
    <x v="3"/>
    <x v="3"/>
    <x v="3"/>
    <s v="SERVIÇO"/>
    <x v="508"/>
    <x v="13"/>
    <n v="60707.37"/>
    <n v="56973.87"/>
    <x v="15"/>
    <x v="36"/>
    <x v="108"/>
    <x v="0"/>
    <n v="0"/>
    <x v="0"/>
    <x v="1"/>
    <s v="FS"/>
    <x v="2"/>
    <m/>
    <m/>
    <m/>
  </r>
  <r>
    <n v="1292"/>
    <s v="SP"/>
    <x v="3"/>
    <x v="3"/>
    <x v="3"/>
    <s v="SERVIÇO"/>
    <x v="509"/>
    <x v="13"/>
    <n v="12330.05"/>
    <n v="11571.75"/>
    <x v="123"/>
    <x v="41"/>
    <x v="119"/>
    <x v="0"/>
    <n v="0"/>
    <x v="0"/>
    <x v="1"/>
    <s v="FS"/>
    <x v="2"/>
    <m/>
    <m/>
    <m/>
  </r>
  <r>
    <n v="1484"/>
    <s v="SP"/>
    <x v="3"/>
    <x v="3"/>
    <x v="42"/>
    <s v="SERVIÇO"/>
    <x v="510"/>
    <x v="13"/>
    <n v="36570.74"/>
    <n v="34321.64"/>
    <x v="115"/>
    <x v="36"/>
    <x v="115"/>
    <x v="0"/>
    <n v="0"/>
    <x v="0"/>
    <x v="2"/>
    <s v="FS"/>
    <x v="2"/>
    <m/>
    <m/>
    <m/>
  </r>
  <r>
    <n v="1398"/>
    <s v="MATRIZ"/>
    <x v="1"/>
    <x v="1"/>
    <x v="1"/>
    <s v="SERVIÇO"/>
    <x v="511"/>
    <x v="13"/>
    <n v="5562"/>
    <n v="5219.9399999999996"/>
    <x v="90"/>
    <x v="40"/>
    <x v="120"/>
    <x v="0"/>
    <n v="0"/>
    <x v="0"/>
    <x v="0"/>
    <s v="UT"/>
    <x v="0"/>
    <m/>
    <m/>
    <m/>
  </r>
  <r>
    <n v="1398"/>
    <s v="MATRIZ"/>
    <x v="1"/>
    <x v="1"/>
    <x v="1"/>
    <s v="SERVIÇO"/>
    <x v="512"/>
    <x v="13"/>
    <n v="48000"/>
    <n v="45048"/>
    <x v="100"/>
    <x v="5"/>
    <x v="85"/>
    <x v="0"/>
    <n v="0"/>
    <x v="0"/>
    <x v="0"/>
    <s v="UT"/>
    <x v="0"/>
    <m/>
    <m/>
    <m/>
  </r>
  <r>
    <n v="1398"/>
    <s v="MATRIZ"/>
    <x v="1"/>
    <x v="1"/>
    <x v="1"/>
    <s v="SERVIÇO"/>
    <x v="513"/>
    <x v="13"/>
    <n v="26093.54"/>
    <n v="24488.79"/>
    <x v="122"/>
    <x v="10"/>
    <x v="121"/>
    <x v="0"/>
    <n v="0"/>
    <x v="0"/>
    <x v="0"/>
    <s v="UT"/>
    <x v="0"/>
    <m/>
    <m/>
    <m/>
  </r>
  <r>
    <n v="1398"/>
    <s v="MATRIZ"/>
    <x v="1"/>
    <x v="1"/>
    <x v="1"/>
    <s v="SERVIÇO"/>
    <x v="514"/>
    <x v="13"/>
    <n v="75919.81"/>
    <n v="71250.740000000005"/>
    <x v="103"/>
    <x v="37"/>
    <x v="100"/>
    <x v="0"/>
    <n v="0"/>
    <x v="0"/>
    <x v="0"/>
    <s v="UT"/>
    <x v="0"/>
    <m/>
    <m/>
    <m/>
  </r>
  <r>
    <n v="1393"/>
    <s v="MATRIZ"/>
    <x v="2"/>
    <x v="27"/>
    <x v="15"/>
    <s v="SERVIÇO"/>
    <x v="515"/>
    <x v="13"/>
    <n v="446627.93"/>
    <n v="400625.25"/>
    <x v="120"/>
    <x v="10"/>
    <x v="122"/>
    <x v="0"/>
    <m/>
    <x v="0"/>
    <x v="0"/>
    <s v="PS"/>
    <x v="1"/>
    <m/>
    <m/>
    <m/>
  </r>
  <r>
    <n v="1476"/>
    <s v="MATRIZ"/>
    <x v="2"/>
    <x v="13"/>
    <x v="16"/>
    <s v="SERVIÇO"/>
    <x v="516"/>
    <x v="13"/>
    <n v="318628.40000000002"/>
    <n v="285809.68"/>
    <x v="124"/>
    <x v="5"/>
    <x v="102"/>
    <x v="0"/>
    <m/>
    <x v="0"/>
    <x v="0"/>
    <s v="PS"/>
    <x v="1"/>
    <m/>
    <m/>
    <m/>
  </r>
  <r>
    <n v="1476"/>
    <s v="MATRIZ"/>
    <x v="2"/>
    <x v="13"/>
    <x v="16"/>
    <s v="SERVIÇO"/>
    <x v="517"/>
    <x v="13"/>
    <n v="315.01"/>
    <n v="282.56"/>
    <x v="124"/>
    <x v="5"/>
    <x v="98"/>
    <x v="0"/>
    <m/>
    <x v="0"/>
    <x v="0"/>
    <s v="PS"/>
    <x v="1"/>
    <m/>
    <m/>
    <m/>
  </r>
  <r>
    <n v="1296"/>
    <s v="MATRIZ"/>
    <x v="0"/>
    <x v="4"/>
    <x v="34"/>
    <s v="SERVIÇO"/>
    <x v="518"/>
    <x v="13"/>
    <n v="462378.86"/>
    <n v="424694.98"/>
    <x v="115"/>
    <x v="5"/>
    <x v="102"/>
    <x v="0"/>
    <m/>
    <x v="0"/>
    <x v="0"/>
    <s v="UT"/>
    <x v="0"/>
    <m/>
    <m/>
    <m/>
  </r>
  <r>
    <n v="1296"/>
    <s v="MATRIZ"/>
    <x v="0"/>
    <x v="4"/>
    <x v="34"/>
    <s v="SERVIÇO"/>
    <x v="519"/>
    <x v="13"/>
    <n v="369617.83"/>
    <n v="339493.98"/>
    <x v="125"/>
    <x v="39"/>
    <x v="123"/>
    <x v="0"/>
    <m/>
    <x v="0"/>
    <x v="0"/>
    <s v="UT"/>
    <x v="0"/>
    <m/>
    <m/>
    <m/>
  </r>
  <r>
    <n v="1300"/>
    <s v="HUB"/>
    <x v="0"/>
    <x v="4"/>
    <x v="4"/>
    <s v="SERVIÇO"/>
    <x v="520"/>
    <x v="13"/>
    <n v="332447.14"/>
    <n v="305352.7"/>
    <x v="90"/>
    <x v="40"/>
    <x v="120"/>
    <x v="0"/>
    <n v="0"/>
    <x v="0"/>
    <x v="0"/>
    <s v="UT"/>
    <x v="0"/>
    <m/>
    <m/>
    <m/>
  </r>
  <r>
    <n v="1300"/>
    <s v="HUB"/>
    <x v="0"/>
    <x v="4"/>
    <x v="4"/>
    <s v="SERVIÇO"/>
    <x v="521"/>
    <x v="13"/>
    <n v="35127.120000000003"/>
    <n v="32264.26"/>
    <x v="90"/>
    <x v="40"/>
    <x v="120"/>
    <x v="0"/>
    <n v="0"/>
    <x v="0"/>
    <x v="0"/>
    <s v="UT"/>
    <x v="0"/>
    <m/>
    <m/>
    <m/>
  </r>
  <r>
    <n v="1290"/>
    <s v="MATRIZ"/>
    <x v="2"/>
    <x v="14"/>
    <x v="17"/>
    <s v="SERVIÇO"/>
    <x v="522"/>
    <x v="13"/>
    <n v="53175.27"/>
    <n v="46980.35"/>
    <x v="124"/>
    <x v="38"/>
    <x v="112"/>
    <x v="0"/>
    <n v="0"/>
    <x v="0"/>
    <x v="0"/>
    <s v="UT"/>
    <x v="1"/>
    <m/>
    <m/>
    <m/>
  </r>
  <r>
    <n v="1490"/>
    <s v="MATRIZ"/>
    <x v="2"/>
    <x v="14"/>
    <x v="43"/>
    <s v="SERVIÇO"/>
    <x v="523"/>
    <x v="13"/>
    <n v="2300"/>
    <n v="2032.05"/>
    <x v="115"/>
    <x v="10"/>
    <x v="122"/>
    <x v="0"/>
    <n v="0"/>
    <x v="0"/>
    <x v="0"/>
    <s v="UT"/>
    <x v="1"/>
    <m/>
    <m/>
    <m/>
  </r>
  <r>
    <n v="1480"/>
    <s v="SP"/>
    <x v="4"/>
    <x v="31"/>
    <x v="48"/>
    <s v="SERVIÇO"/>
    <x v="524"/>
    <x v="13"/>
    <n v="339684.24"/>
    <n v="318793.65000000002"/>
    <x v="126"/>
    <x v="36"/>
    <x v="108"/>
    <x v="0"/>
    <m/>
    <x v="0"/>
    <x v="1"/>
    <s v="FS"/>
    <x v="0"/>
    <m/>
    <m/>
    <m/>
  </r>
  <r>
    <n v="1475"/>
    <s v="MATRIZ"/>
    <x v="6"/>
    <x v="15"/>
    <x v="18"/>
    <s v="SERVIÇO"/>
    <x v="525"/>
    <x v="13"/>
    <n v="67387.39"/>
    <n v="60446.49"/>
    <x v="127"/>
    <x v="5"/>
    <x v="98"/>
    <x v="0"/>
    <n v="0"/>
    <x v="0"/>
    <x v="1"/>
    <s v="PS"/>
    <x v="3"/>
    <m/>
    <m/>
    <m/>
  </r>
  <r>
    <n v="1472"/>
    <s v="SP"/>
    <x v="3"/>
    <x v="28"/>
    <x v="44"/>
    <s v="SERVIÇO"/>
    <x v="526"/>
    <x v="13"/>
    <n v="101744.1"/>
    <n v="95486.84"/>
    <x v="113"/>
    <x v="34"/>
    <x v="124"/>
    <x v="0"/>
    <m/>
    <x v="0"/>
    <x v="2"/>
    <s v="FS"/>
    <x v="2"/>
    <m/>
    <m/>
    <m/>
  </r>
  <r>
    <n v="1378"/>
    <s v="MATRIZ"/>
    <x v="4"/>
    <x v="5"/>
    <x v="5"/>
    <s v="SERVIÇO"/>
    <x v="527"/>
    <x v="13"/>
    <n v="4281.29"/>
    <n v="4017.99"/>
    <x v="126"/>
    <x v="10"/>
    <x v="121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528"/>
    <x v="13"/>
    <n v="38395.360000000001"/>
    <n v="34440.629999999997"/>
    <x v="113"/>
    <x v="34"/>
    <x v="107"/>
    <x v="0"/>
    <n v="0"/>
    <x v="0"/>
    <x v="0"/>
    <s v="PS"/>
    <x v="1"/>
    <m/>
    <m/>
    <m/>
  </r>
  <r>
    <n v="1358"/>
    <s v="MATRIZ"/>
    <x v="2"/>
    <x v="16"/>
    <x v="19"/>
    <s v="SERVIÇO"/>
    <x v="529"/>
    <x v="13"/>
    <n v="15890.83"/>
    <n v="14254.07"/>
    <x v="128"/>
    <x v="39"/>
    <x v="110"/>
    <x v="0"/>
    <n v="0"/>
    <x v="0"/>
    <x v="0"/>
    <s v="PS"/>
    <x v="1"/>
    <m/>
    <m/>
    <m/>
  </r>
  <r>
    <n v="1358"/>
    <s v="MATRIZ"/>
    <x v="2"/>
    <x v="16"/>
    <x v="19"/>
    <s v="SERVIÇO"/>
    <x v="530"/>
    <x v="13"/>
    <n v="85164.92"/>
    <n v="76392.929999999993"/>
    <x v="108"/>
    <x v="39"/>
    <x v="110"/>
    <x v="0"/>
    <n v="0"/>
    <x v="0"/>
    <x v="0"/>
    <s v="PS"/>
    <x v="1"/>
    <m/>
    <m/>
    <m/>
  </r>
  <r>
    <n v="1473"/>
    <s v="MATRIZ"/>
    <x v="2"/>
    <x v="17"/>
    <x v="20"/>
    <s v="SERVIÇO"/>
    <x v="531"/>
    <x v="13"/>
    <n v="218090.58"/>
    <n v="203260.42"/>
    <x v="129"/>
    <x v="39"/>
    <x v="110"/>
    <x v="0"/>
    <n v="0"/>
    <x v="0"/>
    <x v="0"/>
    <s v="PS"/>
    <x v="1"/>
    <m/>
    <m/>
    <m/>
  </r>
  <r>
    <n v="1462"/>
    <s v="MATRIZ"/>
    <x v="1"/>
    <x v="18"/>
    <x v="21"/>
    <s v="SERVIÇO"/>
    <x v="532"/>
    <x v="13"/>
    <n v="800"/>
    <n v="750.8"/>
    <x v="100"/>
    <x v="35"/>
    <x v="105"/>
    <x v="0"/>
    <n v="0"/>
    <x v="0"/>
    <x v="0"/>
    <s v="MS"/>
    <x v="0"/>
    <m/>
    <m/>
    <m/>
  </r>
  <r>
    <n v="1390"/>
    <s v="HUB"/>
    <x v="0"/>
    <x v="0"/>
    <x v="0"/>
    <s v="SERVIÇO"/>
    <x v="533"/>
    <x v="14"/>
    <n v="147345.19"/>
    <n v="130179.48"/>
    <x v="27"/>
    <x v="16"/>
    <x v="50"/>
    <x v="0"/>
    <m/>
    <x v="0"/>
    <x v="0"/>
    <s v="UT"/>
    <x v="0"/>
    <m/>
    <m/>
    <m/>
  </r>
  <r>
    <n v="1390"/>
    <s v="HUB"/>
    <x v="0"/>
    <x v="0"/>
    <x v="0"/>
    <s v="SERVIÇO"/>
    <x v="534"/>
    <x v="5"/>
    <n v="147364.62"/>
    <n v="130196.64"/>
    <x v="130"/>
    <x v="16"/>
    <x v="50"/>
    <x v="0"/>
    <m/>
    <x v="0"/>
    <x v="0"/>
    <s v="UT"/>
    <x v="0"/>
    <m/>
    <m/>
    <m/>
  </r>
  <r>
    <n v="1260"/>
    <s v="SP"/>
    <x v="4"/>
    <x v="19"/>
    <x v="22"/>
    <s v="SERVIÇO"/>
    <x v="535"/>
    <x v="13"/>
    <n v="10914"/>
    <n v="10242.790000000001"/>
    <x v="113"/>
    <x v="5"/>
    <x v="6"/>
    <x v="0"/>
    <n v="0"/>
    <x v="0"/>
    <x v="1"/>
    <s v="MS"/>
    <x v="0"/>
    <m/>
    <m/>
    <m/>
  </r>
  <r>
    <n v="1485"/>
    <s v="SP"/>
    <x v="4"/>
    <x v="30"/>
    <x v="50"/>
    <s v="SERVIÇO"/>
    <x v="536"/>
    <x v="13"/>
    <n v="24807.919999999998"/>
    <n v="23282.23"/>
    <x v="114"/>
    <x v="5"/>
    <x v="69"/>
    <x v="0"/>
    <n v="0"/>
    <x v="0"/>
    <x v="1"/>
    <s v="FS"/>
    <x v="0"/>
    <m/>
    <m/>
    <m/>
  </r>
  <r>
    <n v="1482"/>
    <s v="MATRIZ"/>
    <x v="0"/>
    <x v="4"/>
    <x v="23"/>
    <s v="SERVIÇO"/>
    <x v="537"/>
    <x v="13"/>
    <n v="39000"/>
    <n v="35236.5"/>
    <x v="122"/>
    <x v="38"/>
    <x v="109"/>
    <x v="0"/>
    <m/>
    <x v="0"/>
    <x v="0"/>
    <s v="UT"/>
    <x v="0"/>
    <m/>
    <m/>
    <m/>
  </r>
  <r>
    <n v="1262"/>
    <s v="SP"/>
    <x v="4"/>
    <x v="20"/>
    <x v="24"/>
    <s v="SERVIÇO"/>
    <x v="538"/>
    <x v="13"/>
    <n v="6823.9"/>
    <n v="6404.23"/>
    <x v="131"/>
    <x v="36"/>
    <x v="108"/>
    <x v="0"/>
    <n v="0"/>
    <x v="0"/>
    <x v="1"/>
    <s v="FS"/>
    <x v="0"/>
    <m/>
    <m/>
    <m/>
  </r>
  <r>
    <n v="1262"/>
    <s v="SP"/>
    <x v="4"/>
    <x v="20"/>
    <x v="24"/>
    <s v="SERVIÇO"/>
    <x v="539"/>
    <x v="13"/>
    <n v="57443.17"/>
    <n v="53910.41"/>
    <x v="131"/>
    <x v="36"/>
    <x v="108"/>
    <x v="0"/>
    <n v="0"/>
    <x v="0"/>
    <x v="1"/>
    <s v="FS"/>
    <x v="0"/>
    <m/>
    <m/>
    <m/>
  </r>
  <r>
    <n v="1262"/>
    <s v="SP"/>
    <x v="4"/>
    <x v="20"/>
    <x v="24"/>
    <s v="SERVIÇO"/>
    <x v="540"/>
    <x v="13"/>
    <n v="15922.43"/>
    <n v="14943.2"/>
    <x v="131"/>
    <x v="36"/>
    <x v="108"/>
    <x v="0"/>
    <n v="0"/>
    <x v="0"/>
    <x v="1"/>
    <s v="FS"/>
    <x v="0"/>
    <m/>
    <m/>
    <m/>
  </r>
  <r>
    <n v="1262"/>
    <s v="SP"/>
    <x v="4"/>
    <x v="20"/>
    <x v="24"/>
    <s v="SERVIÇO"/>
    <x v="541"/>
    <x v="13"/>
    <n v="17832.64"/>
    <n v="16735.93"/>
    <x v="131"/>
    <x v="36"/>
    <x v="108"/>
    <x v="0"/>
    <n v="0"/>
    <x v="0"/>
    <x v="1"/>
    <s v="FS"/>
    <x v="0"/>
    <m/>
    <m/>
    <m/>
  </r>
  <r>
    <n v="1262"/>
    <s v="SP"/>
    <x v="4"/>
    <x v="20"/>
    <x v="24"/>
    <s v="SERVIÇO"/>
    <x v="542"/>
    <x v="13"/>
    <n v="25860.69"/>
    <n v="24270.26"/>
    <x v="131"/>
    <x v="36"/>
    <x v="108"/>
    <x v="0"/>
    <n v="0"/>
    <x v="0"/>
    <x v="1"/>
    <s v="FS"/>
    <x v="0"/>
    <m/>
    <m/>
    <m/>
  </r>
  <r>
    <n v="1269"/>
    <s v="SP"/>
    <x v="4"/>
    <x v="20"/>
    <x v="25"/>
    <s v="SERVIÇO"/>
    <x v="543"/>
    <x v="13"/>
    <n v="6655.99"/>
    <n v="6246.65"/>
    <x v="131"/>
    <x v="36"/>
    <x v="108"/>
    <x v="0"/>
    <n v="0"/>
    <x v="0"/>
    <x v="0"/>
    <s v="FS"/>
    <x v="0"/>
    <m/>
    <m/>
    <m/>
  </r>
  <r>
    <n v="1269"/>
    <s v="SP"/>
    <x v="4"/>
    <x v="20"/>
    <x v="25"/>
    <s v="SERVIÇO"/>
    <x v="544"/>
    <x v="13"/>
    <n v="10876.23"/>
    <n v="10207.35"/>
    <x v="131"/>
    <x v="36"/>
    <x v="108"/>
    <x v="0"/>
    <n v="0"/>
    <x v="0"/>
    <x v="0"/>
    <s v="FS"/>
    <x v="0"/>
    <m/>
    <m/>
    <m/>
  </r>
  <r>
    <n v="1269"/>
    <s v="SP"/>
    <x v="4"/>
    <x v="20"/>
    <x v="25"/>
    <s v="SERVIÇO"/>
    <x v="545"/>
    <x v="13"/>
    <n v="30699.4"/>
    <n v="28811.39"/>
    <x v="131"/>
    <x v="36"/>
    <x v="108"/>
    <x v="0"/>
    <n v="0"/>
    <x v="0"/>
    <x v="0"/>
    <s v="FS"/>
    <x v="0"/>
    <m/>
    <m/>
    <m/>
  </r>
  <r>
    <n v="1269"/>
    <s v="SP"/>
    <x v="4"/>
    <x v="20"/>
    <x v="25"/>
    <s v="SERVIÇO"/>
    <x v="546"/>
    <x v="13"/>
    <n v="198578.23"/>
    <n v="186365.67"/>
    <x v="131"/>
    <x v="36"/>
    <x v="108"/>
    <x v="0"/>
    <n v="0"/>
    <x v="0"/>
    <x v="0"/>
    <s v="FS"/>
    <x v="0"/>
    <m/>
    <m/>
    <m/>
  </r>
  <r>
    <n v="1400"/>
    <s v="SP"/>
    <x v="7"/>
    <x v="21"/>
    <x v="26"/>
    <s v="SERVIÇO"/>
    <x v="547"/>
    <x v="13"/>
    <n v="64688.72"/>
    <n v="58446.25"/>
    <x v="116"/>
    <x v="38"/>
    <x v="112"/>
    <x v="0"/>
    <n v="0"/>
    <x v="0"/>
    <x v="1"/>
    <s v="UT"/>
    <x v="2"/>
    <m/>
    <m/>
    <m/>
  </r>
  <r>
    <n v="1400"/>
    <s v="SP"/>
    <x v="7"/>
    <x v="21"/>
    <x v="26"/>
    <s v="SERVIÇO"/>
    <x v="548"/>
    <x v="13"/>
    <n v="77751.44"/>
    <n v="70248.44"/>
    <x v="116"/>
    <x v="38"/>
    <x v="112"/>
    <x v="0"/>
    <n v="0"/>
    <x v="0"/>
    <x v="1"/>
    <s v="UT"/>
    <x v="2"/>
    <m/>
    <m/>
    <m/>
  </r>
  <r>
    <n v="1366"/>
    <s v="HUB"/>
    <x v="7"/>
    <x v="21"/>
    <x v="27"/>
    <s v="SERVIÇO"/>
    <x v="549"/>
    <x v="13"/>
    <n v="328484.2"/>
    <n v="296785.38"/>
    <x v="132"/>
    <x v="10"/>
    <x v="94"/>
    <x v="0"/>
    <n v="0"/>
    <x v="0"/>
    <x v="0"/>
    <s v="UT"/>
    <x v="2"/>
    <m/>
    <m/>
    <m/>
  </r>
  <r>
    <n v="1388"/>
    <s v="SP"/>
    <x v="7"/>
    <x v="21"/>
    <x v="28"/>
    <s v="SERVIÇO"/>
    <x v="550"/>
    <x v="13"/>
    <n v="227498.57"/>
    <n v="205544.95999999999"/>
    <x v="133"/>
    <x v="20"/>
    <x v="31"/>
    <x v="0"/>
    <n v="0"/>
    <x v="0"/>
    <x v="1"/>
    <s v="UT"/>
    <x v="2"/>
    <m/>
    <m/>
    <m/>
  </r>
  <r>
    <n v="1289"/>
    <s v="HUB"/>
    <x v="6"/>
    <x v="23"/>
    <x v="30"/>
    <s v="SERVIÇO"/>
    <x v="551"/>
    <x v="13"/>
    <n v="288674.12"/>
    <n v="269044.28000000003"/>
    <x v="114"/>
    <x v="36"/>
    <x v="99"/>
    <x v="0"/>
    <m/>
    <x v="0"/>
    <x v="0"/>
    <s v="PS"/>
    <x v="3"/>
    <m/>
    <m/>
    <m/>
  </r>
  <r>
    <n v="1289"/>
    <s v="HUB"/>
    <x v="6"/>
    <x v="23"/>
    <x v="30"/>
    <s v="SERVIÇO"/>
    <x v="552"/>
    <x v="13"/>
    <n v="157241.24"/>
    <n v="146548.84"/>
    <x v="134"/>
    <x v="39"/>
    <x v="123"/>
    <x v="0"/>
    <m/>
    <x v="0"/>
    <x v="0"/>
    <s v="PS"/>
    <x v="3"/>
    <m/>
    <m/>
    <m/>
  </r>
  <r>
    <n v="1288"/>
    <s v="HUB"/>
    <x v="6"/>
    <x v="23"/>
    <x v="31"/>
    <s v="SERVIÇO"/>
    <x v="553"/>
    <x v="13"/>
    <n v="379367.63"/>
    <n v="353570.63"/>
    <x v="114"/>
    <x v="5"/>
    <x v="102"/>
    <x v="0"/>
    <m/>
    <x v="0"/>
    <x v="1"/>
    <s v="PS"/>
    <x v="3"/>
    <m/>
    <m/>
    <m/>
  </r>
  <r>
    <n v="1271"/>
    <s v="HUB"/>
    <x v="6"/>
    <x v="23"/>
    <x v="32"/>
    <s v="SERVIÇO"/>
    <x v="554"/>
    <x v="13"/>
    <n v="255597.54"/>
    <n v="238216.91"/>
    <x v="124"/>
    <x v="5"/>
    <x v="102"/>
    <x v="0"/>
    <n v="0"/>
    <x v="0"/>
    <x v="0"/>
    <s v="PS"/>
    <x v="3"/>
    <m/>
    <m/>
    <m/>
  </r>
  <r>
    <n v="1299"/>
    <s v="HUB"/>
    <x v="6"/>
    <x v="23"/>
    <x v="33"/>
    <s v="SERVIÇO"/>
    <x v="555"/>
    <x v="13"/>
    <n v="1020096"/>
    <n v="950729.47"/>
    <x v="114"/>
    <x v="5"/>
    <x v="69"/>
    <x v="0"/>
    <n v="0"/>
    <x v="0"/>
    <x v="1"/>
    <s v="PS"/>
    <x v="3"/>
    <m/>
    <m/>
    <m/>
  </r>
  <r>
    <n v="1394"/>
    <s v="MATRIZ"/>
    <x v="5"/>
    <x v="7"/>
    <x v="7"/>
    <s v="SERVIÇO"/>
    <x v="556"/>
    <x v="13"/>
    <n v="19502.89"/>
    <n v="18176.689999999999"/>
    <x v="124"/>
    <x v="34"/>
    <x v="103"/>
    <x v="0"/>
    <n v="0"/>
    <x v="0"/>
    <x v="0"/>
    <s v="PS"/>
    <x v="1"/>
    <m/>
    <m/>
    <m/>
  </r>
  <r>
    <n v="1394"/>
    <s v="MATRIZ"/>
    <x v="5"/>
    <x v="7"/>
    <x v="7"/>
    <s v="SERVIÇO"/>
    <x v="557"/>
    <x v="13"/>
    <n v="84858.04"/>
    <n v="79087.69"/>
    <x v="114"/>
    <x v="5"/>
    <x v="85"/>
    <x v="0"/>
    <n v="0"/>
    <x v="0"/>
    <x v="0"/>
    <s v="PS"/>
    <x v="1"/>
    <m/>
    <m/>
    <m/>
  </r>
  <r>
    <n v="1394"/>
    <s v="MATRIZ"/>
    <x v="5"/>
    <x v="7"/>
    <x v="7"/>
    <s v="SERVIÇO"/>
    <x v="558"/>
    <x v="13"/>
    <n v="111600.22"/>
    <n v="104011.41"/>
    <x v="115"/>
    <x v="5"/>
    <x v="85"/>
    <x v="0"/>
    <n v="0"/>
    <x v="0"/>
    <x v="0"/>
    <s v="PS"/>
    <x v="1"/>
    <m/>
    <m/>
    <m/>
  </r>
  <r>
    <n v="1394"/>
    <s v="MATRIZ"/>
    <x v="5"/>
    <x v="7"/>
    <x v="7"/>
    <s v="SERVIÇO"/>
    <x v="559"/>
    <x v="13"/>
    <n v="85000"/>
    <n v="79220"/>
    <x v="90"/>
    <x v="36"/>
    <x v="99"/>
    <x v="0"/>
    <n v="0"/>
    <x v="0"/>
    <x v="0"/>
    <s v="PS"/>
    <x v="1"/>
    <m/>
    <m/>
    <m/>
  </r>
  <r>
    <n v="1394"/>
    <s v="MATRIZ"/>
    <x v="5"/>
    <x v="7"/>
    <x v="7"/>
    <s v="SERVIÇO"/>
    <x v="560"/>
    <x v="13"/>
    <n v="283355.11"/>
    <n v="264086.96000000002"/>
    <x v="119"/>
    <x v="36"/>
    <x v="108"/>
    <x v="0"/>
    <n v="0"/>
    <x v="0"/>
    <x v="0"/>
    <s v="PS"/>
    <x v="1"/>
    <m/>
    <m/>
    <m/>
  </r>
  <r>
    <n v="1394"/>
    <s v="MATRIZ"/>
    <x v="5"/>
    <x v="7"/>
    <x v="7"/>
    <s v="SERVIÇO"/>
    <x v="561"/>
    <x v="13"/>
    <n v="178140.34"/>
    <n v="166026.79"/>
    <x v="131"/>
    <x v="38"/>
    <x v="113"/>
    <x v="0"/>
    <n v="0"/>
    <x v="0"/>
    <x v="0"/>
    <s v="PS"/>
    <x v="1"/>
    <m/>
    <m/>
    <m/>
  </r>
  <r>
    <n v="1394"/>
    <s v="MATRIZ"/>
    <x v="5"/>
    <x v="7"/>
    <x v="7"/>
    <s v="SERVIÇO"/>
    <x v="562"/>
    <x v="13"/>
    <n v="127355.8"/>
    <n v="118695.6"/>
    <x v="135"/>
    <x v="10"/>
    <x v="125"/>
    <x v="0"/>
    <n v="0"/>
    <x v="0"/>
    <x v="0"/>
    <s v="PS"/>
    <x v="1"/>
    <m/>
    <m/>
    <m/>
  </r>
  <r>
    <n v="1394"/>
    <s v="MATRIZ"/>
    <x v="5"/>
    <x v="7"/>
    <x v="7"/>
    <s v="SERVIÇO"/>
    <x v="563"/>
    <x v="13"/>
    <n v="222403.39"/>
    <n v="207279.96"/>
    <x v="136"/>
    <x v="41"/>
    <x v="126"/>
    <x v="0"/>
    <n v="0"/>
    <x v="0"/>
    <x v="0"/>
    <s v="PS"/>
    <x v="1"/>
    <m/>
    <m/>
    <m/>
  </r>
  <r>
    <n v="1360"/>
    <s v="SP"/>
    <x v="3"/>
    <x v="8"/>
    <x v="8"/>
    <s v="SERVIÇO"/>
    <x v="564"/>
    <x v="13"/>
    <n v="141265.84"/>
    <n v="132577.99"/>
    <x v="111"/>
    <x v="5"/>
    <x v="69"/>
    <x v="0"/>
    <m/>
    <x v="0"/>
    <x v="1"/>
    <s v="FS"/>
    <x v="2"/>
    <m/>
    <m/>
    <m/>
  </r>
  <r>
    <n v="1360"/>
    <s v="SP"/>
    <x v="3"/>
    <x v="8"/>
    <x v="8"/>
    <s v="SERVIÇO"/>
    <x v="565"/>
    <x v="13"/>
    <n v="93477.8"/>
    <n v="87728.91"/>
    <x v="111"/>
    <x v="13"/>
    <x v="127"/>
    <x v="0"/>
    <m/>
    <x v="0"/>
    <x v="1"/>
    <s v="FS"/>
    <x v="2"/>
    <m/>
    <m/>
    <m/>
  </r>
  <r>
    <n v="1360"/>
    <s v="SP"/>
    <x v="3"/>
    <x v="8"/>
    <x v="8"/>
    <s v="SERVIÇO"/>
    <x v="566"/>
    <x v="13"/>
    <n v="65704"/>
    <n v="61663.199999999997"/>
    <x v="107"/>
    <x v="36"/>
    <x v="111"/>
    <x v="0"/>
    <m/>
    <x v="0"/>
    <x v="1"/>
    <s v="FS"/>
    <x v="2"/>
    <m/>
    <m/>
    <m/>
  </r>
  <r>
    <n v="1360"/>
    <s v="SP"/>
    <x v="3"/>
    <x v="8"/>
    <x v="8"/>
    <s v="SERVIÇO"/>
    <x v="567"/>
    <x v="13"/>
    <n v="72457.600000000006"/>
    <n v="68001.460000000006"/>
    <x v="107"/>
    <x v="36"/>
    <x v="111"/>
    <x v="0"/>
    <m/>
    <x v="0"/>
    <x v="1"/>
    <s v="FS"/>
    <x v="2"/>
    <m/>
    <m/>
    <m/>
  </r>
  <r>
    <n v="1360"/>
    <s v="SP"/>
    <x v="3"/>
    <x v="8"/>
    <x v="8"/>
    <s v="SERVIÇO"/>
    <x v="568"/>
    <x v="13"/>
    <n v="26224"/>
    <n v="24611.22"/>
    <x v="131"/>
    <x v="39"/>
    <x v="116"/>
    <x v="0"/>
    <m/>
    <x v="0"/>
    <x v="1"/>
    <s v="FS"/>
    <x v="2"/>
    <m/>
    <m/>
    <m/>
  </r>
  <r>
    <n v="1360"/>
    <s v="SP"/>
    <x v="3"/>
    <x v="8"/>
    <x v="8"/>
    <s v="SERVIÇO"/>
    <x v="569"/>
    <x v="13"/>
    <n v="133070.39999999999"/>
    <n v="124886.57"/>
    <x v="120"/>
    <x v="39"/>
    <x v="116"/>
    <x v="0"/>
    <m/>
    <x v="0"/>
    <x v="1"/>
    <s v="FS"/>
    <x v="2"/>
    <m/>
    <m/>
    <m/>
  </r>
  <r>
    <n v="1360"/>
    <s v="SP"/>
    <x v="3"/>
    <x v="8"/>
    <x v="8"/>
    <s v="SERVIÇO"/>
    <x v="570"/>
    <x v="13"/>
    <n v="10808"/>
    <n v="10143.31"/>
    <x v="137"/>
    <x v="39"/>
    <x v="116"/>
    <x v="0"/>
    <m/>
    <x v="0"/>
    <x v="1"/>
    <s v="FS"/>
    <x v="2"/>
    <m/>
    <m/>
    <m/>
  </r>
  <r>
    <n v="1360"/>
    <s v="SP"/>
    <x v="3"/>
    <x v="8"/>
    <x v="8"/>
    <s v="SERVIÇO"/>
    <x v="571"/>
    <x v="13"/>
    <n v="81404.800000000003"/>
    <n v="76398.41"/>
    <x v="128"/>
    <x v="39"/>
    <x v="116"/>
    <x v="0"/>
    <m/>
    <x v="0"/>
    <x v="1"/>
    <s v="FS"/>
    <x v="2"/>
    <m/>
    <m/>
    <m/>
  </r>
  <r>
    <n v="1360"/>
    <s v="SP"/>
    <x v="3"/>
    <x v="8"/>
    <x v="8"/>
    <s v="SERVIÇO"/>
    <x v="572"/>
    <x v="13"/>
    <n v="53936"/>
    <n v="50618.94"/>
    <x v="128"/>
    <x v="39"/>
    <x v="116"/>
    <x v="0"/>
    <m/>
    <x v="0"/>
    <x v="1"/>
    <s v="FS"/>
    <x v="2"/>
    <m/>
    <m/>
    <m/>
  </r>
  <r>
    <n v="1360"/>
    <s v="SP"/>
    <x v="3"/>
    <x v="8"/>
    <x v="8"/>
    <s v="SERVIÇO"/>
    <x v="573"/>
    <x v="13"/>
    <n v="57634.400000000001"/>
    <n v="54089.89"/>
    <x v="129"/>
    <x v="39"/>
    <x v="116"/>
    <x v="0"/>
    <m/>
    <x v="0"/>
    <x v="1"/>
    <s v="FS"/>
    <x v="2"/>
    <m/>
    <m/>
    <m/>
  </r>
  <r>
    <n v="1387"/>
    <s v="SP"/>
    <x v="3"/>
    <x v="8"/>
    <x v="47"/>
    <s v="SERVIÇO"/>
    <x v="574"/>
    <x v="13"/>
    <n v="30648"/>
    <n v="28763.15"/>
    <x v="111"/>
    <x v="10"/>
    <x v="122"/>
    <x v="0"/>
    <m/>
    <x v="0"/>
    <x v="0"/>
    <s v="FS"/>
    <x v="2"/>
    <m/>
    <m/>
    <m/>
  </r>
  <r>
    <n v="1387"/>
    <s v="SP"/>
    <x v="3"/>
    <x v="8"/>
    <x v="47"/>
    <s v="SERVIÇO"/>
    <x v="575"/>
    <x v="13"/>
    <n v="14423.2"/>
    <n v="13536.17"/>
    <x v="138"/>
    <x v="36"/>
    <x v="99"/>
    <x v="0"/>
    <m/>
    <x v="0"/>
    <x v="0"/>
    <s v="FS"/>
    <x v="2"/>
    <m/>
    <m/>
    <m/>
  </r>
  <r>
    <n v="1387"/>
    <s v="SP"/>
    <x v="3"/>
    <x v="8"/>
    <x v="47"/>
    <s v="SERVIÇO"/>
    <x v="576"/>
    <x v="13"/>
    <n v="40600"/>
    <n v="38103.1"/>
    <x v="121"/>
    <x v="36"/>
    <x v="111"/>
    <x v="0"/>
    <m/>
    <x v="0"/>
    <x v="0"/>
    <s v="FS"/>
    <x v="2"/>
    <m/>
    <m/>
    <m/>
  </r>
  <r>
    <n v="1387"/>
    <s v="SP"/>
    <x v="3"/>
    <x v="8"/>
    <x v="47"/>
    <s v="SERVIÇO"/>
    <x v="577"/>
    <x v="13"/>
    <n v="32288"/>
    <n v="30302.29"/>
    <x v="131"/>
    <x v="39"/>
    <x v="116"/>
    <x v="0"/>
    <m/>
    <x v="0"/>
    <x v="0"/>
    <s v="FS"/>
    <x v="2"/>
    <m/>
    <m/>
    <m/>
  </r>
  <r>
    <n v="1387"/>
    <s v="SP"/>
    <x v="3"/>
    <x v="8"/>
    <x v="47"/>
    <s v="SERVIÇO"/>
    <x v="578"/>
    <x v="13"/>
    <n v="50416.800000000003"/>
    <n v="47316.17"/>
    <x v="120"/>
    <x v="39"/>
    <x v="116"/>
    <x v="0"/>
    <m/>
    <x v="0"/>
    <x v="0"/>
    <s v="FS"/>
    <x v="2"/>
    <m/>
    <m/>
    <m/>
  </r>
  <r>
    <n v="1387"/>
    <s v="SP"/>
    <x v="3"/>
    <x v="8"/>
    <x v="47"/>
    <s v="SERVIÇO"/>
    <x v="579"/>
    <x v="13"/>
    <n v="40600"/>
    <n v="38103.1"/>
    <x v="139"/>
    <x v="39"/>
    <x v="116"/>
    <x v="0"/>
    <m/>
    <x v="0"/>
    <x v="0"/>
    <s v="FS"/>
    <x v="2"/>
    <m/>
    <m/>
    <m/>
  </r>
  <r>
    <n v="1470"/>
    <s v="MATRIZ"/>
    <x v="1"/>
    <x v="24"/>
    <x v="35"/>
    <s v="SERVIÇO"/>
    <x v="580"/>
    <x v="13"/>
    <n v="36700"/>
    <n v="33708.949999999997"/>
    <x v="100"/>
    <x v="34"/>
    <x v="103"/>
    <x v="0"/>
    <n v="0"/>
    <x v="0"/>
    <x v="0"/>
    <s v="UT"/>
    <x v="1"/>
    <m/>
    <m/>
    <m/>
  </r>
  <r>
    <n v="1273"/>
    <s v="HUB"/>
    <x v="6"/>
    <x v="25"/>
    <x v="37"/>
    <s v="SERVIÇO"/>
    <x v="581"/>
    <x v="13"/>
    <n v="617803.57999999996"/>
    <n v="554169.81000000006"/>
    <x v="119"/>
    <x v="10"/>
    <x v="125"/>
    <x v="0"/>
    <n v="0"/>
    <x v="0"/>
    <x v="0"/>
    <s v="PS"/>
    <x v="3"/>
    <m/>
    <m/>
    <m/>
  </r>
  <r>
    <n v="1273"/>
    <s v="HUB"/>
    <x v="6"/>
    <x v="25"/>
    <x v="37"/>
    <s v="SERVIÇO"/>
    <x v="582"/>
    <x v="15"/>
    <n v="94887.420000000042"/>
    <m/>
    <x v="140"/>
    <x v="42"/>
    <x v="128"/>
    <x v="1"/>
    <n v="0"/>
    <x v="0"/>
    <x v="0"/>
    <s v="PS"/>
    <x v="3"/>
    <m/>
    <m/>
    <m/>
  </r>
  <r>
    <n v="1277"/>
    <s v="HUB"/>
    <x v="6"/>
    <x v="25"/>
    <x v="38"/>
    <s v="SERVIÇO"/>
    <x v="583"/>
    <x v="13"/>
    <n v="154365.24"/>
    <n v="138465.63"/>
    <x v="119"/>
    <x v="10"/>
    <x v="13"/>
    <x v="0"/>
    <n v="0"/>
    <x v="0"/>
    <x v="0"/>
    <s v="PS"/>
    <x v="3"/>
    <m/>
    <m/>
    <m/>
  </r>
  <r>
    <n v="1268"/>
    <s v="SP"/>
    <x v="4"/>
    <x v="6"/>
    <x v="39"/>
    <s v="SERVIÇO"/>
    <x v="584"/>
    <x v="13"/>
    <n v="99705.76"/>
    <n v="93573.87"/>
    <x v="15"/>
    <x v="36"/>
    <x v="115"/>
    <x v="0"/>
    <n v="0"/>
    <x v="0"/>
    <x v="1"/>
    <s v="FS"/>
    <x v="0"/>
    <m/>
    <m/>
    <m/>
  </r>
  <r>
    <n v="1268"/>
    <s v="SP"/>
    <x v="4"/>
    <x v="6"/>
    <x v="39"/>
    <s v="SERVIÇO"/>
    <x v="585"/>
    <x v="13"/>
    <n v="1161883.8"/>
    <n v="1090427.94"/>
    <x v="15"/>
    <x v="36"/>
    <x v="108"/>
    <x v="0"/>
    <n v="0"/>
    <x v="0"/>
    <x v="1"/>
    <s v="FS"/>
    <x v="0"/>
    <m/>
    <m/>
    <m/>
  </r>
  <r>
    <n v="1268"/>
    <s v="SP"/>
    <x v="4"/>
    <x v="6"/>
    <x v="39"/>
    <s v="SERVIÇO"/>
    <x v="586"/>
    <x v="13"/>
    <n v="87714.73"/>
    <n v="82320.28"/>
    <x v="15"/>
    <x v="36"/>
    <x v="108"/>
    <x v="0"/>
    <n v="0"/>
    <x v="0"/>
    <x v="1"/>
    <s v="FS"/>
    <x v="0"/>
    <m/>
    <m/>
    <m/>
  </r>
  <r>
    <n v="1483"/>
    <s v="MATRIZ"/>
    <x v="1"/>
    <x v="9"/>
    <x v="9"/>
    <s v="SERVIÇO"/>
    <x v="587"/>
    <x v="13"/>
    <n v="53591.199999999997"/>
    <n v="49527.08"/>
    <x v="100"/>
    <x v="10"/>
    <x v="122"/>
    <x v="0"/>
    <n v="0"/>
    <x v="0"/>
    <x v="0"/>
    <s v="UT"/>
    <x v="0"/>
    <m/>
    <m/>
    <m/>
  </r>
  <r>
    <n v="1483"/>
    <s v="MATRIZ"/>
    <x v="1"/>
    <x v="9"/>
    <x v="9"/>
    <s v="SERVIÇO"/>
    <x v="588"/>
    <x v="13"/>
    <n v="28856.799999999999"/>
    <n v="27082.11"/>
    <x v="100"/>
    <x v="40"/>
    <x v="114"/>
    <x v="0"/>
    <n v="0"/>
    <x v="0"/>
    <x v="0"/>
    <s v="UT"/>
    <x v="0"/>
    <m/>
    <m/>
    <m/>
  </r>
  <r>
    <n v="1275"/>
    <s v="SP"/>
    <x v="4"/>
    <x v="26"/>
    <x v="40"/>
    <s v="SERVIÇO"/>
    <x v="589"/>
    <x v="13"/>
    <n v="16767.240000000002"/>
    <n v="15736.05"/>
    <x v="113"/>
    <x v="36"/>
    <x v="108"/>
    <x v="0"/>
    <n v="0"/>
    <x v="0"/>
    <x v="1"/>
    <s v="FS"/>
    <x v="0"/>
    <m/>
    <m/>
    <m/>
  </r>
  <r>
    <n v="1479"/>
    <s v="SP"/>
    <x v="4"/>
    <x v="26"/>
    <x v="41"/>
    <s v="SERVIÇO"/>
    <x v="590"/>
    <x v="13"/>
    <n v="26040"/>
    <n v="24438.54"/>
    <x v="113"/>
    <x v="36"/>
    <x v="108"/>
    <x v="0"/>
    <n v="0"/>
    <x v="0"/>
    <x v="2"/>
    <s v="FS"/>
    <x v="0"/>
    <m/>
    <m/>
    <m/>
  </r>
  <r>
    <n v="1298"/>
    <s v="HUB"/>
    <x v="8"/>
    <x v="22"/>
    <x v="29"/>
    <s v="SERVIÇO"/>
    <x v="591"/>
    <x v="13"/>
    <n v="275594.28999999998"/>
    <n v="258645.25"/>
    <x v="118"/>
    <x v="5"/>
    <x v="69"/>
    <x v="0"/>
    <n v="0"/>
    <x v="0"/>
    <x v="0"/>
    <s v="PS"/>
    <x v="0"/>
    <m/>
    <m/>
    <m/>
  </r>
  <r>
    <n v="1455"/>
    <s v="MATRIZ"/>
    <x v="2"/>
    <x v="2"/>
    <x v="2"/>
    <s v="SERVIÇO"/>
    <x v="592"/>
    <x v="4"/>
    <n v="54003.39"/>
    <n v="47712"/>
    <x v="141"/>
    <x v="43"/>
    <x v="129"/>
    <x v="0"/>
    <m/>
    <x v="0"/>
    <x v="0"/>
    <s v="MS"/>
    <x v="1"/>
    <m/>
    <m/>
    <m/>
  </r>
  <r>
    <n v="1489"/>
    <s v="SP"/>
    <x v="4"/>
    <x v="32"/>
    <x v="51"/>
    <s v="SERVIÇO"/>
    <x v="593"/>
    <x v="4"/>
    <n v="42812.21"/>
    <n v="40179.26"/>
    <x v="141"/>
    <x v="41"/>
    <x v="130"/>
    <x v="0"/>
    <m/>
    <x v="0"/>
    <x v="2"/>
    <s v="FS"/>
    <x v="0"/>
    <m/>
    <m/>
    <m/>
  </r>
  <r>
    <n v="1478"/>
    <s v="SP"/>
    <x v="3"/>
    <x v="10"/>
    <x v="10"/>
    <s v="SERVIÇO"/>
    <x v="594"/>
    <x v="4"/>
    <n v="76256.009999999995"/>
    <n v="71566.27"/>
    <x v="128"/>
    <x v="39"/>
    <x v="123"/>
    <x v="0"/>
    <m/>
    <x v="0"/>
    <x v="1"/>
    <s v="FS"/>
    <x v="2"/>
    <m/>
    <m/>
    <m/>
  </r>
  <r>
    <n v="1499"/>
    <s v="MATRIZ"/>
    <x v="3"/>
    <x v="33"/>
    <x v="52"/>
    <s v="SERVIÇO"/>
    <x v="595"/>
    <x v="4"/>
    <n v="52900"/>
    <n v="49646.65"/>
    <x v="142"/>
    <x v="20"/>
    <x v="75"/>
    <x v="0"/>
    <n v="0"/>
    <x v="0"/>
    <x v="1"/>
    <s v="MS"/>
    <x v="2"/>
    <m/>
    <m/>
    <m/>
  </r>
  <r>
    <n v="1391"/>
    <s v="SP"/>
    <x v="3"/>
    <x v="11"/>
    <x v="11"/>
    <s v="SERVIÇO"/>
    <x v="596"/>
    <x v="4"/>
    <n v="155376.51"/>
    <n v="145820.85"/>
    <x v="117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597"/>
    <x v="4"/>
    <n v="95468.17"/>
    <n v="89596.88"/>
    <x v="117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598"/>
    <x v="4"/>
    <n v="270546.01"/>
    <n v="253907.43"/>
    <x v="117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599"/>
    <x v="4"/>
    <n v="75234.3"/>
    <n v="70607.399999999994"/>
    <x v="110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600"/>
    <x v="4"/>
    <n v="107703.84"/>
    <n v="101080.05"/>
    <x v="110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601"/>
    <x v="4"/>
    <n v="3392.34"/>
    <n v="3183.71"/>
    <x v="110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602"/>
    <x v="4"/>
    <n v="8315.3700000000008"/>
    <n v="7803.98"/>
    <x v="110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603"/>
    <x v="4"/>
    <n v="12600.12"/>
    <n v="11825.21"/>
    <x v="110"/>
    <x v="39"/>
    <x v="116"/>
    <x v="0"/>
    <n v="0"/>
    <x v="0"/>
    <x v="1"/>
    <s v="FS"/>
    <x v="2"/>
    <m/>
    <m/>
    <m/>
  </r>
  <r>
    <n v="1391"/>
    <s v="SP"/>
    <x v="3"/>
    <x v="11"/>
    <x v="11"/>
    <s v="SERVIÇO"/>
    <x v="604"/>
    <x v="4"/>
    <n v="30779.279999999999"/>
    <n v="28886.35"/>
    <x v="143"/>
    <x v="39"/>
    <x v="131"/>
    <x v="0"/>
    <n v="0"/>
    <x v="0"/>
    <x v="1"/>
    <s v="FS"/>
    <x v="2"/>
    <m/>
    <m/>
    <m/>
  </r>
  <r>
    <n v="1294"/>
    <s v="SP"/>
    <x v="3"/>
    <x v="11"/>
    <x v="12"/>
    <s v="SERVIÇO"/>
    <x v="605"/>
    <x v="4"/>
    <n v="13537.5"/>
    <n v="12704.95"/>
    <x v="135"/>
    <x v="10"/>
    <x v="94"/>
    <x v="0"/>
    <n v="0"/>
    <x v="0"/>
    <x v="1"/>
    <s v="FS"/>
    <x v="2"/>
    <m/>
    <m/>
    <m/>
  </r>
  <r>
    <n v="1294"/>
    <s v="SP"/>
    <x v="3"/>
    <x v="11"/>
    <x v="12"/>
    <s v="SERVIÇO"/>
    <x v="606"/>
    <x v="4"/>
    <n v="13537.5"/>
    <n v="12704.95"/>
    <x v="135"/>
    <x v="10"/>
    <x v="94"/>
    <x v="0"/>
    <n v="0"/>
    <x v="0"/>
    <x v="1"/>
    <s v="FS"/>
    <x v="2"/>
    <m/>
    <m/>
    <m/>
  </r>
  <r>
    <n v="1294"/>
    <s v="SP"/>
    <x v="3"/>
    <x v="11"/>
    <x v="12"/>
    <s v="SERVIÇO"/>
    <x v="607"/>
    <x v="4"/>
    <n v="126601.58"/>
    <n v="118815.59"/>
    <x v="95"/>
    <x v="40"/>
    <x v="132"/>
    <x v="0"/>
    <n v="0"/>
    <x v="0"/>
    <x v="1"/>
    <s v="FS"/>
    <x v="2"/>
    <m/>
    <m/>
    <m/>
  </r>
  <r>
    <n v="1294"/>
    <s v="SP"/>
    <x v="3"/>
    <x v="11"/>
    <x v="12"/>
    <s v="SERVIÇO"/>
    <x v="608"/>
    <x v="4"/>
    <n v="176880"/>
    <n v="166001.88"/>
    <x v="117"/>
    <x v="39"/>
    <x v="116"/>
    <x v="0"/>
    <n v="0"/>
    <x v="0"/>
    <x v="1"/>
    <s v="FS"/>
    <x v="2"/>
    <m/>
    <m/>
    <m/>
  </r>
  <r>
    <n v="1294"/>
    <s v="SP"/>
    <x v="3"/>
    <x v="11"/>
    <x v="12"/>
    <s v="SERVIÇO"/>
    <x v="609"/>
    <x v="4"/>
    <n v="200696.16"/>
    <n v="188353.35"/>
    <x v="117"/>
    <x v="39"/>
    <x v="116"/>
    <x v="0"/>
    <n v="0"/>
    <x v="0"/>
    <x v="1"/>
    <s v="FS"/>
    <x v="2"/>
    <m/>
    <m/>
    <m/>
  </r>
  <r>
    <n v="1294"/>
    <s v="SP"/>
    <x v="3"/>
    <x v="11"/>
    <x v="12"/>
    <s v="SERVIÇO"/>
    <x v="610"/>
    <x v="4"/>
    <n v="43190.28"/>
    <n v="40534.080000000002"/>
    <x v="110"/>
    <x v="39"/>
    <x v="116"/>
    <x v="0"/>
    <n v="0"/>
    <x v="0"/>
    <x v="1"/>
    <s v="FS"/>
    <x v="2"/>
    <m/>
    <m/>
    <m/>
  </r>
  <r>
    <n v="1294"/>
    <s v="SP"/>
    <x v="3"/>
    <x v="11"/>
    <x v="12"/>
    <s v="SERVIÇO"/>
    <x v="611"/>
    <x v="4"/>
    <n v="322404"/>
    <n v="302576.15000000002"/>
    <x v="143"/>
    <x v="39"/>
    <x v="131"/>
    <x v="0"/>
    <n v="0"/>
    <x v="0"/>
    <x v="1"/>
    <s v="FS"/>
    <x v="2"/>
    <m/>
    <m/>
    <m/>
  </r>
  <r>
    <n v="1285"/>
    <s v="SP"/>
    <x v="3"/>
    <x v="11"/>
    <x v="14"/>
    <s v="SERVIÇO"/>
    <x v="612"/>
    <x v="4"/>
    <n v="25339.38"/>
    <n v="23781.01"/>
    <x v="134"/>
    <x v="39"/>
    <x v="116"/>
    <x v="0"/>
    <n v="0"/>
    <x v="0"/>
    <x v="1"/>
    <s v="FS"/>
    <x v="2"/>
    <m/>
    <m/>
    <m/>
  </r>
  <r>
    <n v="1285"/>
    <s v="SP"/>
    <x v="3"/>
    <x v="11"/>
    <x v="14"/>
    <s v="SERVIÇO"/>
    <x v="613"/>
    <x v="4"/>
    <n v="1828.59"/>
    <n v="1716.13"/>
    <x v="134"/>
    <x v="39"/>
    <x v="116"/>
    <x v="0"/>
    <n v="0"/>
    <x v="0"/>
    <x v="1"/>
    <s v="FS"/>
    <x v="2"/>
    <m/>
    <m/>
    <m/>
  </r>
  <r>
    <n v="1285"/>
    <s v="SP"/>
    <x v="3"/>
    <x v="11"/>
    <x v="14"/>
    <s v="SERVIÇO"/>
    <x v="614"/>
    <x v="4"/>
    <n v="21273.89"/>
    <n v="19965.54"/>
    <x v="134"/>
    <x v="39"/>
    <x v="116"/>
    <x v="0"/>
    <n v="0"/>
    <x v="0"/>
    <x v="1"/>
    <s v="FS"/>
    <x v="2"/>
    <m/>
    <m/>
    <m/>
  </r>
  <r>
    <n v="1292"/>
    <s v="SP"/>
    <x v="3"/>
    <x v="3"/>
    <x v="3"/>
    <s v="SERVIÇO"/>
    <x v="615"/>
    <x v="4"/>
    <n v="34633.19"/>
    <n v="32503.25"/>
    <x v="108"/>
    <x v="39"/>
    <x v="110"/>
    <x v="0"/>
    <n v="0"/>
    <x v="0"/>
    <x v="1"/>
    <s v="FS"/>
    <x v="2"/>
    <m/>
    <m/>
    <m/>
  </r>
  <r>
    <n v="1292"/>
    <s v="SP"/>
    <x v="3"/>
    <x v="3"/>
    <x v="3"/>
    <s v="SERVIÇO"/>
    <x v="616"/>
    <x v="4"/>
    <n v="31008"/>
    <n v="29101.01"/>
    <x v="117"/>
    <x v="39"/>
    <x v="116"/>
    <x v="0"/>
    <n v="0"/>
    <x v="0"/>
    <x v="1"/>
    <s v="FS"/>
    <x v="2"/>
    <m/>
    <m/>
    <m/>
  </r>
  <r>
    <n v="1292"/>
    <s v="SP"/>
    <x v="3"/>
    <x v="3"/>
    <x v="3"/>
    <s v="SERVIÇO"/>
    <x v="617"/>
    <x v="4"/>
    <n v="134253.73000000001"/>
    <n v="125997.12"/>
    <x v="110"/>
    <x v="39"/>
    <x v="116"/>
    <x v="0"/>
    <n v="0"/>
    <x v="0"/>
    <x v="1"/>
    <s v="FS"/>
    <x v="2"/>
    <m/>
    <m/>
    <m/>
  </r>
  <r>
    <n v="1292"/>
    <s v="SP"/>
    <x v="3"/>
    <x v="3"/>
    <x v="3"/>
    <s v="SERVIÇO"/>
    <x v="618"/>
    <x v="4"/>
    <n v="57072"/>
    <n v="53562.07"/>
    <x v="144"/>
    <x v="43"/>
    <x v="129"/>
    <x v="0"/>
    <n v="0"/>
    <x v="0"/>
    <x v="1"/>
    <s v="FS"/>
    <x v="2"/>
    <m/>
    <m/>
    <m/>
  </r>
  <r>
    <n v="1292"/>
    <s v="SP"/>
    <x v="3"/>
    <x v="3"/>
    <x v="3"/>
    <s v="SERVIÇO"/>
    <x v="619"/>
    <x v="4"/>
    <n v="60707.37"/>
    <n v="56973.87"/>
    <x v="144"/>
    <x v="43"/>
    <x v="129"/>
    <x v="0"/>
    <n v="0"/>
    <x v="0"/>
    <x v="1"/>
    <s v="FS"/>
    <x v="2"/>
    <m/>
    <m/>
    <m/>
  </r>
  <r>
    <n v="1292"/>
    <s v="SP"/>
    <x v="3"/>
    <x v="3"/>
    <x v="3"/>
    <s v="SERVIÇO"/>
    <x v="620"/>
    <x v="4"/>
    <n v="130191.6"/>
    <n v="122184.82"/>
    <x v="144"/>
    <x v="43"/>
    <x v="129"/>
    <x v="0"/>
    <n v="0"/>
    <x v="0"/>
    <x v="1"/>
    <s v="FS"/>
    <x v="2"/>
    <m/>
    <m/>
    <m/>
  </r>
  <r>
    <n v="1484"/>
    <s v="SP"/>
    <x v="3"/>
    <x v="3"/>
    <x v="42"/>
    <s v="SERVIÇO"/>
    <x v="621"/>
    <x v="4"/>
    <n v="36570.74"/>
    <n v="34321.64"/>
    <x v="129"/>
    <x v="39"/>
    <x v="123"/>
    <x v="0"/>
    <n v="0"/>
    <x v="0"/>
    <x v="2"/>
    <s v="FS"/>
    <x v="2"/>
    <m/>
    <m/>
    <m/>
  </r>
  <r>
    <n v="1398"/>
    <s v="MATRIZ"/>
    <x v="1"/>
    <x v="1"/>
    <x v="1"/>
    <s v="SERVIÇO"/>
    <x v="622"/>
    <x v="4"/>
    <n v="48000"/>
    <n v="45048"/>
    <x v="141"/>
    <x v="22"/>
    <x v="133"/>
    <x v="0"/>
    <n v="0"/>
    <x v="0"/>
    <x v="0"/>
    <s v="UT"/>
    <x v="0"/>
    <m/>
    <m/>
    <m/>
  </r>
  <r>
    <n v="1398"/>
    <s v="MATRIZ"/>
    <x v="1"/>
    <x v="1"/>
    <x v="1"/>
    <s v="SERVIÇO"/>
    <x v="623"/>
    <x v="4"/>
    <n v="22241.65"/>
    <n v="20873.79"/>
    <x v="103"/>
    <x v="37"/>
    <x v="100"/>
    <x v="0"/>
    <n v="0"/>
    <x v="0"/>
    <x v="0"/>
    <s v="UT"/>
    <x v="0"/>
    <m/>
    <m/>
    <m/>
  </r>
  <r>
    <n v="1398"/>
    <s v="MATRIZ"/>
    <x v="1"/>
    <x v="1"/>
    <x v="1"/>
    <s v="SERVIÇO"/>
    <x v="4"/>
    <x v="4"/>
    <n v="5286.4358018114008"/>
    <n v="4961.32"/>
    <x v="4"/>
    <x v="1"/>
    <x v="22"/>
    <x v="0"/>
    <n v="0"/>
    <x v="0"/>
    <x v="0"/>
    <s v="UT"/>
    <x v="0"/>
    <m/>
    <m/>
    <m/>
  </r>
  <r>
    <n v="1398"/>
    <s v="MATRIZ"/>
    <x v="1"/>
    <x v="1"/>
    <x v="1"/>
    <s v="SERVIÇO"/>
    <x v="4"/>
    <x v="4"/>
    <n v="20531.539690996269"/>
    <n v="19268.849999999999"/>
    <x v="4"/>
    <x v="44"/>
    <x v="134"/>
    <x v="0"/>
    <n v="0"/>
    <x v="0"/>
    <x v="0"/>
    <s v="UT"/>
    <x v="0"/>
    <m/>
    <m/>
    <m/>
  </r>
  <r>
    <n v="1398"/>
    <s v="MATRIZ"/>
    <x v="4"/>
    <x v="1"/>
    <x v="1"/>
    <s v="SERVIÇO"/>
    <x v="624"/>
    <x v="16"/>
    <n v="48000"/>
    <n v="45048"/>
    <x v="145"/>
    <x v="45"/>
    <x v="135"/>
    <x v="0"/>
    <m/>
    <x v="0"/>
    <x v="0"/>
    <s v="UT"/>
    <x v="0"/>
    <m/>
    <m/>
    <m/>
  </r>
  <r>
    <n v="1398"/>
    <s v="MATRIZ"/>
    <x v="1"/>
    <x v="1"/>
    <x v="1"/>
    <s v="SERVIÇO"/>
    <x v="625"/>
    <x v="4"/>
    <n v="75919.81"/>
    <n v="71250.740000000005"/>
    <x v="103"/>
    <x v="37"/>
    <x v="100"/>
    <x v="0"/>
    <n v="0"/>
    <x v="0"/>
    <x v="0"/>
    <s v="UT"/>
    <x v="0"/>
    <m/>
    <m/>
    <m/>
  </r>
  <r>
    <n v="1393"/>
    <s v="MATRIZ"/>
    <x v="2"/>
    <x v="27"/>
    <x v="15"/>
    <s v="SERVIÇO"/>
    <x v="626"/>
    <x v="4"/>
    <n v="457087.98"/>
    <n v="410007.92"/>
    <x v="143"/>
    <x v="46"/>
    <x v="136"/>
    <x v="0"/>
    <n v="0"/>
    <x v="0"/>
    <x v="0"/>
    <s v="PS"/>
    <x v="1"/>
    <m/>
    <m/>
    <m/>
  </r>
  <r>
    <n v="1476"/>
    <s v="MATRIZ"/>
    <x v="2"/>
    <x v="13"/>
    <x v="16"/>
    <s v="SERVIÇO"/>
    <x v="627"/>
    <x v="4"/>
    <n v="318628.40000000002"/>
    <n v="285809.68"/>
    <x v="143"/>
    <x v="46"/>
    <x v="136"/>
    <x v="0"/>
    <m/>
    <x v="0"/>
    <x v="0"/>
    <s v="PS"/>
    <x v="1"/>
    <m/>
    <m/>
    <m/>
  </r>
  <r>
    <n v="1476"/>
    <s v="MATRIZ"/>
    <x v="2"/>
    <x v="13"/>
    <x v="16"/>
    <s v="SERVIÇO"/>
    <x v="628"/>
    <x v="4"/>
    <n v="404.13"/>
    <n v="362.51"/>
    <x v="143"/>
    <x v="46"/>
    <x v="136"/>
    <x v="0"/>
    <m/>
    <x v="0"/>
    <x v="0"/>
    <s v="PS"/>
    <x v="1"/>
    <m/>
    <m/>
    <m/>
  </r>
  <r>
    <n v="1296"/>
    <s v="MATRIZ"/>
    <x v="0"/>
    <x v="4"/>
    <x v="34"/>
    <s v="SERVIÇO"/>
    <x v="629"/>
    <x v="4"/>
    <n v="344136.04"/>
    <n v="316088.96000000002"/>
    <x v="125"/>
    <x v="41"/>
    <x v="130"/>
    <x v="0"/>
    <m/>
    <x v="0"/>
    <x v="0"/>
    <s v="UT"/>
    <x v="0"/>
    <m/>
    <m/>
    <m/>
  </r>
  <r>
    <n v="1296"/>
    <s v="MATRIZ"/>
    <x v="0"/>
    <x v="4"/>
    <x v="34"/>
    <s v="SERVIÇO"/>
    <x v="630"/>
    <x v="4"/>
    <n v="462378.86"/>
    <n v="424694.98"/>
    <x v="125"/>
    <x v="39"/>
    <x v="123"/>
    <x v="0"/>
    <m/>
    <x v="0"/>
    <x v="0"/>
    <s v="UT"/>
    <x v="0"/>
    <m/>
    <m/>
    <m/>
  </r>
  <r>
    <n v="1300"/>
    <s v="HUB"/>
    <x v="0"/>
    <x v="4"/>
    <x v="4"/>
    <s v="SERVIÇO"/>
    <x v="631"/>
    <x v="4"/>
    <n v="319851.14"/>
    <n v="293783.28000000003"/>
    <x v="123"/>
    <x v="13"/>
    <x v="137"/>
    <x v="0"/>
    <n v="0"/>
    <x v="0"/>
    <x v="0"/>
    <s v="UT"/>
    <x v="0"/>
    <m/>
    <m/>
    <m/>
  </r>
  <r>
    <n v="1300"/>
    <s v="HUB"/>
    <x v="0"/>
    <x v="4"/>
    <x v="4"/>
    <s v="SERVIÇO"/>
    <x v="632"/>
    <x v="4"/>
    <n v="35127.120000000003"/>
    <n v="32264.26"/>
    <x v="4"/>
    <x v="20"/>
    <x v="75"/>
    <x v="0"/>
    <n v="0"/>
    <x v="0"/>
    <x v="0"/>
    <s v="UT"/>
    <x v="0"/>
    <m/>
    <m/>
    <m/>
  </r>
  <r>
    <n v="1290"/>
    <s v="MATRIZ"/>
    <x v="2"/>
    <x v="14"/>
    <x v="17"/>
    <s v="SERVIÇO"/>
    <x v="633"/>
    <x v="4"/>
    <n v="53175.27"/>
    <n v="46980.35"/>
    <x v="95"/>
    <x v="46"/>
    <x v="136"/>
    <x v="0"/>
    <n v="0"/>
    <x v="0"/>
    <x v="0"/>
    <s v="UT"/>
    <x v="1"/>
    <m/>
    <m/>
    <m/>
  </r>
  <r>
    <n v="1490"/>
    <s v="MATRIZ"/>
    <x v="2"/>
    <x v="14"/>
    <x v="43"/>
    <s v="SERVIÇO"/>
    <x v="634"/>
    <x v="4"/>
    <n v="2300"/>
    <n v="2032.05"/>
    <x v="95"/>
    <x v="46"/>
    <x v="136"/>
    <x v="0"/>
    <n v="0"/>
    <x v="0"/>
    <x v="0"/>
    <s v="UT"/>
    <x v="1"/>
    <m/>
    <m/>
    <m/>
  </r>
  <r>
    <n v="1480"/>
    <s v="SP"/>
    <x v="4"/>
    <x v="31"/>
    <x v="48"/>
    <s v="SERVIÇO"/>
    <x v="635"/>
    <x v="4"/>
    <n v="276669.15999999997"/>
    <n v="259654.01"/>
    <x v="141"/>
    <x v="39"/>
    <x v="123"/>
    <x v="0"/>
    <m/>
    <x v="0"/>
    <x v="1"/>
    <s v="FS"/>
    <x v="0"/>
    <m/>
    <m/>
    <m/>
  </r>
  <r>
    <n v="1480"/>
    <s v="SP"/>
    <x v="4"/>
    <x v="31"/>
    <x v="48"/>
    <s v="SERVIÇO"/>
    <x v="636"/>
    <x v="4"/>
    <n v="40182.239999999998"/>
    <n v="37711.040000000001"/>
    <x v="110"/>
    <x v="39"/>
    <x v="123"/>
    <x v="0"/>
    <m/>
    <x v="0"/>
    <x v="1"/>
    <s v="FS"/>
    <x v="0"/>
    <m/>
    <m/>
    <m/>
  </r>
  <r>
    <n v="1475"/>
    <s v="MATRIZ"/>
    <x v="6"/>
    <x v="15"/>
    <x v="18"/>
    <s v="SERVIÇO"/>
    <x v="637"/>
    <x v="4"/>
    <n v="68083.960000000006"/>
    <n v="61071.31"/>
    <x v="117"/>
    <x v="39"/>
    <x v="110"/>
    <x v="0"/>
    <n v="0"/>
    <x v="0"/>
    <x v="1"/>
    <s v="PS"/>
    <x v="3"/>
    <m/>
    <m/>
    <m/>
  </r>
  <r>
    <n v="1475"/>
    <s v="MATRIZ"/>
    <x v="6"/>
    <x v="15"/>
    <x v="18"/>
    <s v="SERVIÇO"/>
    <x v="638"/>
    <x v="4"/>
    <n v="8858.83"/>
    <n v="7946.37"/>
    <x v="110"/>
    <x v="41"/>
    <x v="130"/>
    <x v="0"/>
    <n v="0"/>
    <x v="0"/>
    <x v="1"/>
    <s v="PS"/>
    <x v="3"/>
    <m/>
    <m/>
    <m/>
  </r>
  <r>
    <n v="1472"/>
    <s v="SP"/>
    <x v="3"/>
    <x v="28"/>
    <x v="44"/>
    <s v="SERVIÇO"/>
    <x v="639"/>
    <x v="4"/>
    <n v="115676.9"/>
    <n v="108562.77"/>
    <x v="132"/>
    <x v="10"/>
    <x v="94"/>
    <x v="0"/>
    <m/>
    <x v="0"/>
    <x v="2"/>
    <s v="FS"/>
    <x v="2"/>
    <m/>
    <m/>
    <m/>
  </r>
  <r>
    <n v="1378"/>
    <s v="MATRIZ"/>
    <x v="4"/>
    <x v="5"/>
    <x v="5"/>
    <s v="SERVIÇO"/>
    <x v="640"/>
    <x v="4"/>
    <n v="4281.29"/>
    <n v="4017.99"/>
    <x v="123"/>
    <x v="46"/>
    <x v="138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641"/>
    <x v="4"/>
    <n v="38395.360000000001"/>
    <n v="34440.629999999997"/>
    <x v="132"/>
    <x v="10"/>
    <x v="94"/>
    <x v="0"/>
    <n v="0"/>
    <x v="0"/>
    <x v="0"/>
    <s v="PS"/>
    <x v="1"/>
    <m/>
    <m/>
    <m/>
  </r>
  <r>
    <n v="1358"/>
    <s v="MATRIZ"/>
    <x v="2"/>
    <x v="16"/>
    <x v="19"/>
    <s v="SERVIÇO"/>
    <x v="642"/>
    <x v="4"/>
    <n v="85164.92"/>
    <n v="76392.929999999993"/>
    <x v="143"/>
    <x v="13"/>
    <x v="139"/>
    <x v="0"/>
    <n v="0"/>
    <x v="0"/>
    <x v="0"/>
    <s v="PS"/>
    <x v="1"/>
    <m/>
    <m/>
    <m/>
  </r>
  <r>
    <n v="1358"/>
    <s v="MATRIZ"/>
    <x v="2"/>
    <x v="16"/>
    <x v="19"/>
    <s v="SERVIÇO"/>
    <x v="643"/>
    <x v="4"/>
    <n v="7307.4"/>
    <n v="6554.73"/>
    <x v="143"/>
    <x v="13"/>
    <x v="139"/>
    <x v="0"/>
    <n v="0"/>
    <x v="0"/>
    <x v="0"/>
    <s v="PS"/>
    <x v="1"/>
    <m/>
    <m/>
    <m/>
  </r>
  <r>
    <n v="1473"/>
    <s v="MATRIZ"/>
    <x v="2"/>
    <x v="17"/>
    <x v="20"/>
    <s v="SERVIÇO"/>
    <x v="644"/>
    <x v="4"/>
    <n v="225302.23"/>
    <n v="209915.8"/>
    <x v="125"/>
    <x v="41"/>
    <x v="126"/>
    <x v="0"/>
    <m/>
    <x v="0"/>
    <x v="0"/>
    <s v="PS"/>
    <x v="1"/>
    <m/>
    <m/>
    <m/>
  </r>
  <r>
    <n v="1462"/>
    <s v="MATRIZ"/>
    <x v="1"/>
    <x v="18"/>
    <x v="21"/>
    <s v="SERVIÇO"/>
    <x v="645"/>
    <x v="4"/>
    <n v="800"/>
    <n v="750.8"/>
    <x v="141"/>
    <x v="38"/>
    <x v="118"/>
    <x v="0"/>
    <n v="0"/>
    <x v="0"/>
    <x v="0"/>
    <s v="MS"/>
    <x v="0"/>
    <m/>
    <m/>
    <m/>
  </r>
  <r>
    <n v="1390"/>
    <s v="HUB"/>
    <x v="0"/>
    <x v="0"/>
    <x v="0"/>
    <s v="SERVIÇO"/>
    <x v="646"/>
    <x v="6"/>
    <n v="147656.07"/>
    <n v="130454.15"/>
    <x v="5"/>
    <x v="16"/>
    <x v="50"/>
    <x v="0"/>
    <n v="0"/>
    <x v="0"/>
    <x v="0"/>
    <s v="UT"/>
    <x v="0"/>
    <m/>
    <m/>
    <m/>
  </r>
  <r>
    <n v="1260"/>
    <s v="SP"/>
    <x v="4"/>
    <x v="19"/>
    <x v="22"/>
    <s v="SERVIÇO"/>
    <x v="647"/>
    <x v="4"/>
    <n v="10914"/>
    <n v="10242.790000000001"/>
    <x v="132"/>
    <x v="39"/>
    <x v="116"/>
    <x v="0"/>
    <n v="0"/>
    <x v="0"/>
    <x v="1"/>
    <s v="MS"/>
    <x v="0"/>
    <m/>
    <m/>
    <m/>
  </r>
  <r>
    <n v="1485"/>
    <s v="SP"/>
    <x v="4"/>
    <x v="30"/>
    <x v="50"/>
    <s v="SERVIÇO"/>
    <x v="648"/>
    <x v="4"/>
    <n v="27419.279999999999"/>
    <n v="25732.99"/>
    <x v="132"/>
    <x v="39"/>
    <x v="123"/>
    <x v="0"/>
    <n v="0"/>
    <x v="0"/>
    <x v="1"/>
    <s v="FS"/>
    <x v="0"/>
    <m/>
    <m/>
    <m/>
  </r>
  <r>
    <n v="1482"/>
    <s v="MATRIZ"/>
    <x v="0"/>
    <x v="4"/>
    <x v="23"/>
    <s v="SERVIÇO"/>
    <x v="649"/>
    <x v="4"/>
    <n v="39000"/>
    <n v="35236.5"/>
    <x v="95"/>
    <x v="39"/>
    <x v="123"/>
    <x v="0"/>
    <m/>
    <x v="0"/>
    <x v="0"/>
    <s v="UT"/>
    <x v="0"/>
    <m/>
    <m/>
    <m/>
  </r>
  <r>
    <n v="1262"/>
    <s v="SP"/>
    <x v="4"/>
    <x v="20"/>
    <x v="24"/>
    <s v="SERVIÇO"/>
    <x v="650"/>
    <x v="4"/>
    <n v="28774.95"/>
    <n v="27005.29"/>
    <x v="136"/>
    <x v="39"/>
    <x v="123"/>
    <x v="0"/>
    <n v="0"/>
    <x v="0"/>
    <x v="1"/>
    <s v="FS"/>
    <x v="0"/>
    <m/>
    <m/>
    <m/>
  </r>
  <r>
    <n v="1262"/>
    <s v="SP"/>
    <x v="4"/>
    <x v="20"/>
    <x v="24"/>
    <s v="SERVIÇO"/>
    <x v="651"/>
    <x v="4"/>
    <n v="20648.32"/>
    <n v="19378.46"/>
    <x v="136"/>
    <x v="39"/>
    <x v="123"/>
    <x v="0"/>
    <n v="0"/>
    <x v="0"/>
    <x v="1"/>
    <s v="FS"/>
    <x v="0"/>
    <m/>
    <m/>
    <m/>
  </r>
  <r>
    <n v="1262"/>
    <s v="SP"/>
    <x v="4"/>
    <x v="20"/>
    <x v="24"/>
    <s v="SERVIÇO"/>
    <x v="652"/>
    <x v="4"/>
    <n v="18710.580000000002"/>
    <n v="17559.87"/>
    <x v="136"/>
    <x v="39"/>
    <x v="123"/>
    <x v="0"/>
    <n v="0"/>
    <x v="0"/>
    <x v="1"/>
    <s v="FS"/>
    <x v="0"/>
    <m/>
    <m/>
    <m/>
  </r>
  <r>
    <n v="1262"/>
    <s v="SP"/>
    <x v="4"/>
    <x v="20"/>
    <x v="24"/>
    <s v="SERVIÇO"/>
    <x v="653"/>
    <x v="4"/>
    <n v="8018.82"/>
    <n v="7525.67"/>
    <x v="136"/>
    <x v="39"/>
    <x v="123"/>
    <x v="0"/>
    <n v="0"/>
    <x v="0"/>
    <x v="1"/>
    <s v="FS"/>
    <x v="0"/>
    <m/>
    <m/>
    <m/>
  </r>
  <r>
    <n v="1262"/>
    <s v="SP"/>
    <x v="4"/>
    <x v="20"/>
    <x v="24"/>
    <s v="SERVIÇO"/>
    <x v="654"/>
    <x v="4"/>
    <n v="65448.94"/>
    <n v="61423.83"/>
    <x v="136"/>
    <x v="39"/>
    <x v="123"/>
    <x v="0"/>
    <n v="0"/>
    <x v="0"/>
    <x v="1"/>
    <s v="FS"/>
    <x v="0"/>
    <m/>
    <m/>
    <m/>
  </r>
  <r>
    <n v="1269"/>
    <s v="SP"/>
    <x v="4"/>
    <x v="20"/>
    <x v="25"/>
    <s v="SERVIÇO"/>
    <x v="655"/>
    <x v="4"/>
    <n v="30699.4"/>
    <n v="28811.39"/>
    <x v="136"/>
    <x v="39"/>
    <x v="123"/>
    <x v="0"/>
    <n v="0"/>
    <x v="0"/>
    <x v="0"/>
    <s v="FS"/>
    <x v="0"/>
    <m/>
    <m/>
    <m/>
  </r>
  <r>
    <n v="1269"/>
    <s v="SP"/>
    <x v="4"/>
    <x v="20"/>
    <x v="25"/>
    <s v="SERVIÇO"/>
    <x v="656"/>
    <x v="4"/>
    <n v="6655.99"/>
    <n v="6246.65"/>
    <x v="136"/>
    <x v="39"/>
    <x v="123"/>
    <x v="0"/>
    <n v="0"/>
    <x v="0"/>
    <x v="0"/>
    <s v="FS"/>
    <x v="0"/>
    <m/>
    <m/>
    <m/>
  </r>
  <r>
    <n v="1269"/>
    <s v="SP"/>
    <x v="4"/>
    <x v="20"/>
    <x v="25"/>
    <s v="SERVIÇO"/>
    <x v="657"/>
    <x v="4"/>
    <n v="10876.23"/>
    <n v="10207.34"/>
    <x v="136"/>
    <x v="39"/>
    <x v="123"/>
    <x v="0"/>
    <n v="0"/>
    <x v="0"/>
    <x v="0"/>
    <s v="FS"/>
    <x v="0"/>
    <m/>
    <m/>
    <m/>
  </r>
  <r>
    <n v="1269"/>
    <s v="SP"/>
    <x v="4"/>
    <x v="20"/>
    <x v="25"/>
    <s v="SERVIÇO"/>
    <x v="658"/>
    <x v="4"/>
    <n v="198578.23"/>
    <n v="186365.67"/>
    <x v="136"/>
    <x v="39"/>
    <x v="123"/>
    <x v="0"/>
    <n v="0"/>
    <x v="0"/>
    <x v="0"/>
    <s v="FS"/>
    <x v="0"/>
    <m/>
    <m/>
    <m/>
  </r>
  <r>
    <n v="1400"/>
    <s v="SP"/>
    <x v="7"/>
    <x v="21"/>
    <x v="26"/>
    <s v="SERVIÇO"/>
    <x v="659"/>
    <x v="4"/>
    <n v="77751.44"/>
    <n v="70248.429999999993"/>
    <x v="143"/>
    <x v="41"/>
    <x v="130"/>
    <x v="0"/>
    <n v="0"/>
    <x v="0"/>
    <x v="1"/>
    <s v="UT"/>
    <x v="2"/>
    <m/>
    <m/>
    <m/>
  </r>
  <r>
    <n v="1400"/>
    <s v="SP"/>
    <x v="7"/>
    <x v="21"/>
    <x v="26"/>
    <s v="SERVIÇO"/>
    <x v="660"/>
    <x v="13"/>
    <n v="521197.7"/>
    <n v="470902.12"/>
    <x v="146"/>
    <x v="16"/>
    <x v="50"/>
    <x v="0"/>
    <m/>
    <x v="0"/>
    <x v="1"/>
    <s v="UT"/>
    <x v="2"/>
    <m/>
    <m/>
    <m/>
  </r>
  <r>
    <n v="1400"/>
    <s v="SP"/>
    <x v="7"/>
    <x v="21"/>
    <x v="26"/>
    <s v="SERVIÇO"/>
    <x v="661"/>
    <x v="4"/>
    <n v="528436.46"/>
    <n v="477442.34"/>
    <x v="146"/>
    <x v="16"/>
    <x v="50"/>
    <x v="0"/>
    <m/>
    <x v="0"/>
    <x v="1"/>
    <s v="UT"/>
    <x v="2"/>
    <m/>
    <m/>
    <m/>
  </r>
  <r>
    <n v="1366"/>
    <s v="HUB"/>
    <x v="7"/>
    <x v="21"/>
    <x v="27"/>
    <s v="SERVIÇO"/>
    <x v="662"/>
    <x v="4"/>
    <n v="340150.71"/>
    <n v="307326.14"/>
    <x v="125"/>
    <x v="41"/>
    <x v="130"/>
    <x v="0"/>
    <n v="0"/>
    <x v="0"/>
    <x v="0"/>
    <s v="UT"/>
    <x v="2"/>
    <m/>
    <m/>
    <m/>
  </r>
  <r>
    <n v="1388"/>
    <s v="SP"/>
    <x v="7"/>
    <x v="21"/>
    <x v="28"/>
    <s v="SERVIÇO"/>
    <x v="663"/>
    <x v="4"/>
    <n v="162071.75"/>
    <n v="146431.82999999999"/>
    <x v="133"/>
    <x v="20"/>
    <x v="31"/>
    <x v="0"/>
    <n v="0"/>
    <x v="0"/>
    <x v="1"/>
    <s v="UT"/>
    <x v="2"/>
    <m/>
    <m/>
    <m/>
  </r>
  <r>
    <n v="1298"/>
    <s v="HUB"/>
    <x v="8"/>
    <x v="22"/>
    <x v="29"/>
    <s v="SERVIÇO"/>
    <x v="664"/>
    <x v="4"/>
    <n v="275594.28999999998"/>
    <n v="258645.25"/>
    <x v="123"/>
    <x v="39"/>
    <x v="123"/>
    <x v="0"/>
    <n v="0"/>
    <x v="0"/>
    <x v="0"/>
    <s v="PS"/>
    <x v="0"/>
    <m/>
    <m/>
    <m/>
  </r>
  <r>
    <n v="1289"/>
    <s v="HUB"/>
    <x v="6"/>
    <x v="23"/>
    <x v="30"/>
    <s v="SERVIÇO"/>
    <x v="665"/>
    <x v="4"/>
    <n v="288631.78000000003"/>
    <n v="269004.81"/>
    <x v="110"/>
    <x v="39"/>
    <x v="110"/>
    <x v="0"/>
    <m/>
    <x v="0"/>
    <x v="0"/>
    <s v="PS"/>
    <x v="3"/>
    <m/>
    <m/>
    <m/>
  </r>
  <r>
    <n v="1288"/>
    <s v="HUB"/>
    <x v="6"/>
    <x v="23"/>
    <x v="31"/>
    <s v="SERVIÇO"/>
    <x v="666"/>
    <x v="4"/>
    <n v="393627.06"/>
    <n v="366860.42"/>
    <x v="108"/>
    <x v="39"/>
    <x v="110"/>
    <x v="0"/>
    <m/>
    <x v="0"/>
    <x v="1"/>
    <s v="PS"/>
    <x v="3"/>
    <m/>
    <m/>
    <m/>
  </r>
  <r>
    <n v="1288"/>
    <s v="HUB"/>
    <x v="6"/>
    <x v="23"/>
    <x v="31"/>
    <s v="SERVIÇO"/>
    <x v="667"/>
    <x v="4"/>
    <n v="219449.92"/>
    <n v="204527.32"/>
    <x v="143"/>
    <x v="39"/>
    <x v="123"/>
    <x v="0"/>
    <m/>
    <x v="0"/>
    <x v="1"/>
    <s v="PS"/>
    <x v="3"/>
    <m/>
    <m/>
    <m/>
  </r>
  <r>
    <n v="1271"/>
    <s v="HUB"/>
    <x v="6"/>
    <x v="23"/>
    <x v="32"/>
    <s v="SERVIÇO"/>
    <x v="668"/>
    <x v="4"/>
    <n v="255597.54"/>
    <n v="238216.91"/>
    <x v="117"/>
    <x v="39"/>
    <x v="110"/>
    <x v="0"/>
    <n v="0"/>
    <x v="0"/>
    <x v="0"/>
    <s v="PS"/>
    <x v="3"/>
    <m/>
    <m/>
    <m/>
  </r>
  <r>
    <n v="1299"/>
    <s v="HUB"/>
    <x v="6"/>
    <x v="23"/>
    <x v="33"/>
    <s v="SERVIÇO"/>
    <x v="669"/>
    <x v="4"/>
    <n v="1020096"/>
    <n v="950729.47"/>
    <x v="108"/>
    <x v="40"/>
    <x v="140"/>
    <x v="0"/>
    <n v="0"/>
    <x v="0"/>
    <x v="1"/>
    <s v="PS"/>
    <x v="3"/>
    <m/>
    <m/>
    <m/>
  </r>
  <r>
    <n v="1394"/>
    <s v="MATRIZ"/>
    <x v="5"/>
    <x v="7"/>
    <x v="7"/>
    <s v="SERVIÇO"/>
    <x v="670"/>
    <x v="4"/>
    <n v="91705.61"/>
    <n v="85469.63"/>
    <x v="108"/>
    <x v="40"/>
    <x v="120"/>
    <x v="0"/>
    <n v="0"/>
    <x v="0"/>
    <x v="0"/>
    <s v="PS"/>
    <x v="1"/>
    <m/>
    <m/>
    <m/>
  </r>
  <r>
    <n v="1394"/>
    <s v="MATRIZ"/>
    <x v="5"/>
    <x v="7"/>
    <x v="7"/>
    <s v="SERVIÇO"/>
    <x v="637"/>
    <x v="4"/>
    <n v="117291.83"/>
    <n v="109315.98"/>
    <x v="117"/>
    <x v="39"/>
    <x v="123"/>
    <x v="0"/>
    <n v="0"/>
    <x v="0"/>
    <x v="0"/>
    <s v="PS"/>
    <x v="1"/>
    <m/>
    <m/>
    <m/>
  </r>
  <r>
    <n v="1394"/>
    <s v="MATRIZ"/>
    <x v="5"/>
    <x v="7"/>
    <x v="7"/>
    <s v="SERVIÇO"/>
    <x v="671"/>
    <x v="4"/>
    <n v="193066.28"/>
    <n v="179937.77"/>
    <x v="143"/>
    <x v="41"/>
    <x v="119"/>
    <x v="0"/>
    <n v="0"/>
    <x v="0"/>
    <x v="0"/>
    <s v="PS"/>
    <x v="1"/>
    <m/>
    <m/>
    <m/>
  </r>
  <r>
    <n v="1394"/>
    <s v="MATRIZ"/>
    <x v="5"/>
    <x v="7"/>
    <x v="7"/>
    <s v="SERVIÇO"/>
    <x v="672"/>
    <x v="4"/>
    <n v="89335"/>
    <n v="83260.22"/>
    <x v="143"/>
    <x v="39"/>
    <x v="132"/>
    <x v="0"/>
    <n v="0"/>
    <x v="0"/>
    <x v="0"/>
    <s v="PS"/>
    <x v="1"/>
    <m/>
    <m/>
    <m/>
  </r>
  <r>
    <n v="1394"/>
    <s v="MATRIZ"/>
    <x v="5"/>
    <x v="7"/>
    <x v="7"/>
    <s v="SERVIÇO"/>
    <x v="673"/>
    <x v="4"/>
    <n v="297806.21999999997"/>
    <n v="277555.40000000002"/>
    <x v="143"/>
    <x v="43"/>
    <x v="129"/>
    <x v="0"/>
    <n v="0"/>
    <x v="0"/>
    <x v="0"/>
    <s v="PS"/>
    <x v="1"/>
    <m/>
    <m/>
    <m/>
  </r>
  <r>
    <n v="1394"/>
    <s v="MATRIZ"/>
    <x v="5"/>
    <x v="7"/>
    <x v="7"/>
    <s v="SERVIÇO"/>
    <x v="674"/>
    <x v="4"/>
    <n v="133850.94"/>
    <n v="124749.07"/>
    <x v="144"/>
    <x v="41"/>
    <x v="126"/>
    <x v="0"/>
    <n v="0"/>
    <x v="0"/>
    <x v="0"/>
    <s v="PS"/>
    <x v="1"/>
    <m/>
    <m/>
    <m/>
  </r>
  <r>
    <n v="1394"/>
    <s v="MATRIZ"/>
    <x v="5"/>
    <x v="7"/>
    <x v="7"/>
    <s v="SERVIÇO"/>
    <x v="675"/>
    <x v="4"/>
    <n v="17881.25"/>
    <n v="16665.32"/>
    <x v="103"/>
    <x v="13"/>
    <x v="18"/>
    <x v="0"/>
    <n v="0"/>
    <x v="0"/>
    <x v="0"/>
    <s v="PS"/>
    <x v="1"/>
    <m/>
    <m/>
    <m/>
  </r>
  <r>
    <n v="1394"/>
    <s v="MATRIZ"/>
    <x v="5"/>
    <x v="7"/>
    <x v="7"/>
    <s v="SERVIÇO"/>
    <x v="676"/>
    <x v="4"/>
    <n v="233745.96"/>
    <n v="217851.23"/>
    <x v="4"/>
    <x v="13"/>
    <x v="137"/>
    <x v="0"/>
    <n v="0"/>
    <x v="0"/>
    <x v="0"/>
    <s v="PS"/>
    <x v="1"/>
    <m/>
    <m/>
    <m/>
  </r>
  <r>
    <n v="1500"/>
    <s v="SP"/>
    <x v="3"/>
    <x v="8"/>
    <x v="53"/>
    <s v="SERVIÇO"/>
    <x v="677"/>
    <x v="4"/>
    <n v="31621.38"/>
    <n v="29676.67"/>
    <x v="147"/>
    <x v="39"/>
    <x v="116"/>
    <x v="0"/>
    <m/>
    <x v="0"/>
    <x v="2"/>
    <s v="FS"/>
    <x v="2"/>
    <m/>
    <m/>
    <m/>
  </r>
  <r>
    <n v="1360"/>
    <s v="SP"/>
    <x v="3"/>
    <x v="8"/>
    <x v="8"/>
    <s v="SERVIÇO"/>
    <x v="678"/>
    <x v="4"/>
    <n v="54348.800000000003"/>
    <n v="51006.35"/>
    <x v="119"/>
    <x v="39"/>
    <x v="116"/>
    <x v="0"/>
    <m/>
    <x v="0"/>
    <x v="1"/>
    <s v="FS"/>
    <x v="2"/>
    <m/>
    <m/>
    <m/>
  </r>
  <r>
    <n v="1360"/>
    <s v="SP"/>
    <x v="3"/>
    <x v="8"/>
    <x v="8"/>
    <s v="SERVIÇO"/>
    <x v="679"/>
    <x v="4"/>
    <n v="174774.39999999999"/>
    <n v="164025.78"/>
    <x v="119"/>
    <x v="39"/>
    <x v="116"/>
    <x v="0"/>
    <m/>
    <x v="0"/>
    <x v="1"/>
    <s v="FS"/>
    <x v="2"/>
    <m/>
    <m/>
    <m/>
  </r>
  <r>
    <n v="1360"/>
    <s v="SP"/>
    <x v="3"/>
    <x v="8"/>
    <x v="8"/>
    <s v="SERVIÇO"/>
    <x v="680"/>
    <x v="4"/>
    <n v="72457.600000000006"/>
    <n v="68001.460000000006"/>
    <x v="131"/>
    <x v="39"/>
    <x v="116"/>
    <x v="0"/>
    <m/>
    <x v="0"/>
    <x v="1"/>
    <s v="FS"/>
    <x v="2"/>
    <m/>
    <m/>
    <m/>
  </r>
  <r>
    <n v="1360"/>
    <s v="SP"/>
    <x v="3"/>
    <x v="8"/>
    <x v="8"/>
    <s v="SERVIÇO"/>
    <x v="681"/>
    <x v="4"/>
    <n v="26224"/>
    <n v="24611.22"/>
    <x v="131"/>
    <x v="39"/>
    <x v="116"/>
    <x v="0"/>
    <m/>
    <x v="0"/>
    <x v="1"/>
    <s v="FS"/>
    <x v="2"/>
    <m/>
    <m/>
    <m/>
  </r>
  <r>
    <n v="1360"/>
    <s v="SP"/>
    <x v="3"/>
    <x v="8"/>
    <x v="8"/>
    <s v="SERVIÇO"/>
    <x v="682"/>
    <x v="4"/>
    <n v="37369.599999999999"/>
    <n v="35071.370000000003"/>
    <x v="131"/>
    <x v="39"/>
    <x v="116"/>
    <x v="0"/>
    <m/>
    <x v="0"/>
    <x v="1"/>
    <s v="FS"/>
    <x v="2"/>
    <m/>
    <m/>
    <m/>
  </r>
  <r>
    <n v="1360"/>
    <s v="SP"/>
    <x v="3"/>
    <x v="8"/>
    <x v="8"/>
    <s v="SERVIÇO"/>
    <x v="683"/>
    <x v="4"/>
    <n v="37369.599999999999"/>
    <n v="35071.370000000003"/>
    <x v="131"/>
    <x v="39"/>
    <x v="116"/>
    <x v="0"/>
    <m/>
    <x v="0"/>
    <x v="1"/>
    <s v="FS"/>
    <x v="2"/>
    <m/>
    <m/>
    <m/>
  </r>
  <r>
    <n v="1360"/>
    <s v="SP"/>
    <x v="3"/>
    <x v="8"/>
    <x v="8"/>
    <s v="SERVIÇO"/>
    <x v="684"/>
    <x v="4"/>
    <n v="65704"/>
    <n v="61663.199999999997"/>
    <x v="120"/>
    <x v="39"/>
    <x v="116"/>
    <x v="0"/>
    <m/>
    <x v="0"/>
    <x v="1"/>
    <s v="FS"/>
    <x v="2"/>
    <m/>
    <m/>
    <m/>
  </r>
  <r>
    <n v="1360"/>
    <s v="SP"/>
    <x v="3"/>
    <x v="8"/>
    <x v="8"/>
    <s v="SERVIÇO"/>
    <x v="685"/>
    <x v="4"/>
    <n v="30880"/>
    <n v="28980.880000000001"/>
    <x v="137"/>
    <x v="39"/>
    <x v="116"/>
    <x v="0"/>
    <m/>
    <x v="0"/>
    <x v="1"/>
    <s v="FS"/>
    <x v="2"/>
    <m/>
    <m/>
    <m/>
  </r>
  <r>
    <n v="1360"/>
    <s v="SP"/>
    <x v="3"/>
    <x v="8"/>
    <x v="8"/>
    <s v="SERVIÇO"/>
    <x v="686"/>
    <x v="4"/>
    <n v="81404.800000000003"/>
    <n v="76398.41"/>
    <x v="128"/>
    <x v="39"/>
    <x v="116"/>
    <x v="0"/>
    <m/>
    <x v="0"/>
    <x v="1"/>
    <s v="FS"/>
    <x v="2"/>
    <m/>
    <m/>
    <m/>
  </r>
  <r>
    <n v="1360"/>
    <s v="SP"/>
    <x v="3"/>
    <x v="8"/>
    <x v="8"/>
    <s v="SERVIÇO"/>
    <x v="687"/>
    <x v="4"/>
    <n v="53936"/>
    <n v="50618.94"/>
    <x v="128"/>
    <x v="39"/>
    <x v="116"/>
    <x v="0"/>
    <m/>
    <x v="0"/>
    <x v="1"/>
    <s v="FS"/>
    <x v="2"/>
    <m/>
    <m/>
    <m/>
  </r>
  <r>
    <n v="1360"/>
    <s v="SP"/>
    <x v="3"/>
    <x v="8"/>
    <x v="8"/>
    <s v="SERVIÇO"/>
    <x v="688"/>
    <x v="4"/>
    <n v="104232"/>
    <n v="97821.73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689"/>
    <x v="4"/>
    <n v="43676.800000000003"/>
    <n v="40990.68"/>
    <x v="129"/>
    <x v="39"/>
    <x v="116"/>
    <x v="0"/>
    <m/>
    <x v="0"/>
    <x v="1"/>
    <s v="FS"/>
    <x v="2"/>
    <m/>
    <m/>
    <m/>
  </r>
  <r>
    <n v="1387"/>
    <s v="SP"/>
    <x v="3"/>
    <x v="8"/>
    <x v="47"/>
    <s v="SERVIÇO"/>
    <x v="690"/>
    <x v="4"/>
    <n v="28390.32"/>
    <n v="26644.32"/>
    <x v="119"/>
    <x v="39"/>
    <x v="116"/>
    <x v="0"/>
    <m/>
    <x v="0"/>
    <x v="0"/>
    <s v="FS"/>
    <x v="2"/>
    <m/>
    <m/>
    <m/>
  </r>
  <r>
    <n v="1387"/>
    <s v="SP"/>
    <x v="3"/>
    <x v="8"/>
    <x v="47"/>
    <s v="SERVIÇO"/>
    <x v="691"/>
    <x v="4"/>
    <n v="32288"/>
    <n v="30302.29"/>
    <x v="131"/>
    <x v="39"/>
    <x v="116"/>
    <x v="0"/>
    <m/>
    <x v="0"/>
    <x v="0"/>
    <s v="FS"/>
    <x v="2"/>
    <m/>
    <m/>
    <m/>
  </r>
  <r>
    <n v="1387"/>
    <s v="SP"/>
    <x v="3"/>
    <x v="8"/>
    <x v="47"/>
    <s v="SERVIÇO"/>
    <x v="692"/>
    <x v="4"/>
    <n v="27535.200000000001"/>
    <n v="25841.78"/>
    <x v="131"/>
    <x v="39"/>
    <x v="116"/>
    <x v="0"/>
    <m/>
    <x v="0"/>
    <x v="0"/>
    <s v="FS"/>
    <x v="2"/>
    <m/>
    <m/>
    <m/>
  </r>
  <r>
    <n v="1387"/>
    <s v="SP"/>
    <x v="3"/>
    <x v="8"/>
    <x v="47"/>
    <s v="SERVIÇO"/>
    <x v="693"/>
    <x v="4"/>
    <n v="77455.199999999997"/>
    <n v="72691.7"/>
    <x v="117"/>
    <x v="39"/>
    <x v="116"/>
    <x v="0"/>
    <m/>
    <x v="0"/>
    <x v="0"/>
    <s v="FS"/>
    <x v="2"/>
    <m/>
    <m/>
    <m/>
  </r>
  <r>
    <n v="1470"/>
    <s v="MATRIZ"/>
    <x v="1"/>
    <x v="24"/>
    <x v="35"/>
    <s v="SERVIÇO"/>
    <x v="694"/>
    <x v="4"/>
    <n v="36700"/>
    <n v="33708.949999999997"/>
    <x v="141"/>
    <x v="40"/>
    <x v="120"/>
    <x v="0"/>
    <n v="0"/>
    <x v="0"/>
    <x v="0"/>
    <s v="UT"/>
    <x v="1"/>
    <m/>
    <m/>
    <m/>
  </r>
  <r>
    <n v="1273"/>
    <s v="HUB"/>
    <x v="6"/>
    <x v="25"/>
    <x v="37"/>
    <s v="SERVIÇO"/>
    <x v="695"/>
    <x v="4"/>
    <n v="647604.16"/>
    <n v="580900.93000000005"/>
    <x v="144"/>
    <x v="41"/>
    <x v="141"/>
    <x v="0"/>
    <n v="0"/>
    <x v="0"/>
    <x v="0"/>
    <s v="PS"/>
    <x v="3"/>
    <m/>
    <m/>
    <m/>
  </r>
  <r>
    <n v="1277"/>
    <s v="HUB"/>
    <x v="6"/>
    <x v="25"/>
    <x v="38"/>
    <s v="SERVIÇO"/>
    <x v="696"/>
    <x v="4"/>
    <n v="154365.24"/>
    <n v="138465.63"/>
    <x v="110"/>
    <x v="41"/>
    <x v="141"/>
    <x v="0"/>
    <n v="0"/>
    <x v="0"/>
    <x v="0"/>
    <s v="PS"/>
    <x v="3"/>
    <m/>
    <m/>
    <m/>
  </r>
  <r>
    <n v="1268"/>
    <s v="SP"/>
    <x v="4"/>
    <x v="6"/>
    <x v="39"/>
    <s v="SERVIÇO"/>
    <x v="697"/>
    <x v="4"/>
    <n v="82737"/>
    <n v="77648.67"/>
    <x v="100"/>
    <x v="36"/>
    <x v="111"/>
    <x v="0"/>
    <n v="0"/>
    <x v="0"/>
    <x v="1"/>
    <s v="FS"/>
    <x v="0"/>
    <m/>
    <m/>
    <m/>
  </r>
  <r>
    <n v="1268"/>
    <s v="SP"/>
    <x v="4"/>
    <x v="6"/>
    <x v="39"/>
    <s v="SERVIÇO"/>
    <x v="698"/>
    <x v="4"/>
    <n v="117873"/>
    <n v="110623.81"/>
    <x v="117"/>
    <x v="39"/>
    <x v="142"/>
    <x v="0"/>
    <n v="0"/>
    <x v="0"/>
    <x v="1"/>
    <s v="FS"/>
    <x v="0"/>
    <m/>
    <m/>
    <m/>
  </r>
  <r>
    <n v="1268"/>
    <s v="SP"/>
    <x v="4"/>
    <x v="6"/>
    <x v="39"/>
    <s v="SERVIÇO"/>
    <x v="699"/>
    <x v="4"/>
    <n v="66317.960000000006"/>
    <n v="62239.42"/>
    <x v="143"/>
    <x v="39"/>
    <x v="123"/>
    <x v="0"/>
    <n v="0"/>
    <x v="0"/>
    <x v="1"/>
    <s v="FS"/>
    <x v="0"/>
    <m/>
    <m/>
    <m/>
  </r>
  <r>
    <n v="1268"/>
    <s v="SP"/>
    <x v="4"/>
    <x v="6"/>
    <x v="39"/>
    <s v="SERVIÇO"/>
    <x v="700"/>
    <x v="4"/>
    <n v="1176952.8"/>
    <n v="1104570.2"/>
    <x v="143"/>
    <x v="39"/>
    <x v="123"/>
    <x v="0"/>
    <n v="0"/>
    <x v="0"/>
    <x v="1"/>
    <s v="FS"/>
    <x v="0"/>
    <m/>
    <m/>
    <m/>
  </r>
  <r>
    <n v="1268"/>
    <s v="SP"/>
    <x v="4"/>
    <x v="6"/>
    <x v="39"/>
    <s v="SERVIÇO"/>
    <x v="701"/>
    <x v="4"/>
    <n v="90380.56"/>
    <n v="84822.15"/>
    <x v="143"/>
    <x v="39"/>
    <x v="123"/>
    <x v="0"/>
    <n v="0"/>
    <x v="0"/>
    <x v="1"/>
    <s v="FS"/>
    <x v="0"/>
    <m/>
    <m/>
    <m/>
  </r>
  <r>
    <n v="1268"/>
    <s v="SP"/>
    <x v="4"/>
    <x v="6"/>
    <x v="39"/>
    <s v="SERVIÇO"/>
    <x v="702"/>
    <x v="4"/>
    <n v="50295.73"/>
    <n v="47202.54"/>
    <x v="143"/>
    <x v="39"/>
    <x v="123"/>
    <x v="0"/>
    <n v="0"/>
    <x v="0"/>
    <x v="1"/>
    <s v="FS"/>
    <x v="0"/>
    <m/>
    <m/>
    <m/>
  </r>
  <r>
    <n v="1483"/>
    <s v="MATRIZ"/>
    <x v="1"/>
    <x v="9"/>
    <x v="9"/>
    <s v="SERVIÇO"/>
    <x v="703"/>
    <x v="4"/>
    <n v="53591.199999999997"/>
    <n v="49527.08"/>
    <x v="141"/>
    <x v="46"/>
    <x v="143"/>
    <x v="0"/>
    <n v="0"/>
    <x v="0"/>
    <x v="0"/>
    <s v="UT"/>
    <x v="0"/>
    <m/>
    <m/>
    <m/>
  </r>
  <r>
    <n v="1483"/>
    <s v="MATRIZ"/>
    <x v="1"/>
    <x v="9"/>
    <x v="9"/>
    <s v="SERVIÇO"/>
    <x v="704"/>
    <x v="4"/>
    <n v="28856.799999999999"/>
    <n v="25552.11"/>
    <x v="141"/>
    <x v="46"/>
    <x v="143"/>
    <x v="0"/>
    <n v="0"/>
    <x v="0"/>
    <x v="0"/>
    <s v="UT"/>
    <x v="0"/>
    <m/>
    <m/>
    <m/>
  </r>
  <r>
    <n v="1275"/>
    <s v="SP"/>
    <x v="4"/>
    <x v="26"/>
    <x v="40"/>
    <s v="SERVIÇO"/>
    <x v="705"/>
    <x v="4"/>
    <n v="16767.240000000002"/>
    <n v="15736.05"/>
    <x v="141"/>
    <x v="43"/>
    <x v="129"/>
    <x v="0"/>
    <n v="0"/>
    <x v="0"/>
    <x v="1"/>
    <s v="FS"/>
    <x v="0"/>
    <m/>
    <m/>
    <m/>
  </r>
  <r>
    <n v="1479"/>
    <s v="SP"/>
    <x v="4"/>
    <x v="26"/>
    <x v="41"/>
    <s v="SERVIÇO"/>
    <x v="706"/>
    <x v="4"/>
    <n v="26040"/>
    <n v="24438.54"/>
    <x v="141"/>
    <x v="43"/>
    <x v="129"/>
    <x v="0"/>
    <n v="0"/>
    <x v="0"/>
    <x v="2"/>
    <s v="FS"/>
    <x v="0"/>
    <m/>
    <m/>
    <m/>
  </r>
  <r>
    <n v="1455"/>
    <s v="MATRIZ"/>
    <x v="2"/>
    <x v="2"/>
    <x v="2"/>
    <s v="SERVIÇO"/>
    <x v="707"/>
    <x v="14"/>
    <n v="54003.39"/>
    <n v="47712"/>
    <x v="22"/>
    <x v="20"/>
    <x v="29"/>
    <x v="0"/>
    <m/>
    <x v="0"/>
    <x v="0"/>
    <s v="MS"/>
    <x v="1"/>
    <m/>
    <m/>
    <m/>
  </r>
  <r>
    <n v="1455"/>
    <s v="MATRIZ"/>
    <x v="2"/>
    <x v="2"/>
    <x v="2"/>
    <s v="SERVIÇO"/>
    <x v="708"/>
    <x v="14"/>
    <n v="3432"/>
    <n v="3032.17"/>
    <x v="22"/>
    <x v="20"/>
    <x v="29"/>
    <x v="0"/>
    <m/>
    <x v="0"/>
    <x v="0"/>
    <s v="MS"/>
    <x v="1"/>
    <m/>
    <m/>
    <m/>
  </r>
  <r>
    <n v="1497"/>
    <s v="MATRIZ"/>
    <x v="2"/>
    <x v="2"/>
    <x v="49"/>
    <s v="SERVIÇO"/>
    <x v="709"/>
    <x v="14"/>
    <n v="5472.8"/>
    <n v="4835.22"/>
    <x v="142"/>
    <x v="20"/>
    <x v="29"/>
    <x v="0"/>
    <m/>
    <x v="0"/>
    <x v="0"/>
    <s v="MS"/>
    <x v="1"/>
    <m/>
    <m/>
    <m/>
  </r>
  <r>
    <n v="1489"/>
    <s v="SP"/>
    <x v="4"/>
    <x v="32"/>
    <x v="51"/>
    <s v="SERVIÇO"/>
    <x v="710"/>
    <x v="14"/>
    <n v="42812.21"/>
    <n v="40179.26"/>
    <x v="148"/>
    <x v="19"/>
    <x v="144"/>
    <x v="0"/>
    <m/>
    <x v="0"/>
    <x v="2"/>
    <s v="FS"/>
    <x v="0"/>
    <m/>
    <m/>
    <m/>
  </r>
  <r>
    <n v="1478"/>
    <s v="SP"/>
    <x v="3"/>
    <x v="10"/>
    <x v="10"/>
    <s v="SERVIÇO"/>
    <x v="711"/>
    <x v="14"/>
    <n v="91208.01"/>
    <n v="85598.720000000001"/>
    <x v="149"/>
    <x v="20"/>
    <x v="29"/>
    <x v="0"/>
    <m/>
    <x v="0"/>
    <x v="1"/>
    <s v="FS"/>
    <x v="2"/>
    <m/>
    <m/>
    <m/>
  </r>
  <r>
    <n v="1499"/>
    <s v="MATRIZ"/>
    <x v="3"/>
    <x v="33"/>
    <x v="52"/>
    <s v="SERVIÇO"/>
    <x v="595"/>
    <x v="14"/>
    <n v="52900"/>
    <n v="49646.65"/>
    <x v="142"/>
    <x v="20"/>
    <x v="75"/>
    <x v="0"/>
    <n v="0"/>
    <x v="0"/>
    <x v="1"/>
    <s v="MS"/>
    <x v="2"/>
    <m/>
    <m/>
    <m/>
  </r>
  <r>
    <n v="1391"/>
    <s v="SP"/>
    <x v="3"/>
    <x v="11"/>
    <x v="11"/>
    <s v="SERVIÇO"/>
    <x v="712"/>
    <x v="14"/>
    <n v="209666.12"/>
    <n v="196771.66"/>
    <x v="142"/>
    <x v="18"/>
    <x v="27"/>
    <x v="0"/>
    <n v="0"/>
    <x v="0"/>
    <x v="1"/>
    <s v="FS"/>
    <x v="2"/>
    <m/>
    <m/>
    <m/>
  </r>
  <r>
    <n v="1391"/>
    <s v="SP"/>
    <x v="3"/>
    <x v="11"/>
    <x v="11"/>
    <s v="SERVIÇO"/>
    <x v="713"/>
    <x v="14"/>
    <n v="264202.61"/>
    <n v="247954.15"/>
    <x v="142"/>
    <x v="18"/>
    <x v="27"/>
    <x v="0"/>
    <n v="0"/>
    <x v="0"/>
    <x v="1"/>
    <s v="FS"/>
    <x v="2"/>
    <m/>
    <m/>
    <m/>
  </r>
  <r>
    <n v="1391"/>
    <s v="SP"/>
    <x v="3"/>
    <x v="11"/>
    <x v="11"/>
    <s v="SERVIÇO"/>
    <x v="714"/>
    <x v="14"/>
    <n v="228078.72"/>
    <n v="214051.88"/>
    <x v="142"/>
    <x v="18"/>
    <x v="27"/>
    <x v="0"/>
    <n v="0"/>
    <x v="0"/>
    <x v="1"/>
    <s v="FS"/>
    <x v="2"/>
    <m/>
    <m/>
    <m/>
  </r>
  <r>
    <n v="1391"/>
    <s v="SP"/>
    <x v="3"/>
    <x v="11"/>
    <x v="11"/>
    <s v="SERVIÇO"/>
    <x v="715"/>
    <x v="14"/>
    <n v="36831.120000000003"/>
    <n v="34566"/>
    <x v="142"/>
    <x v="18"/>
    <x v="27"/>
    <x v="0"/>
    <n v="0"/>
    <x v="0"/>
    <x v="1"/>
    <s v="FS"/>
    <x v="2"/>
    <m/>
    <m/>
    <m/>
  </r>
  <r>
    <n v="1391"/>
    <s v="SP"/>
    <x v="3"/>
    <x v="11"/>
    <x v="11"/>
    <s v="SERVIÇO"/>
    <x v="716"/>
    <x v="14"/>
    <n v="94986.11"/>
    <n v="89144.47"/>
    <x v="23"/>
    <x v="18"/>
    <x v="25"/>
    <x v="0"/>
    <n v="0"/>
    <x v="0"/>
    <x v="1"/>
    <s v="FS"/>
    <x v="2"/>
    <m/>
    <m/>
    <m/>
  </r>
  <r>
    <n v="1391"/>
    <s v="SP"/>
    <x v="3"/>
    <x v="11"/>
    <x v="11"/>
    <s v="SERVIÇO"/>
    <x v="717"/>
    <x v="14"/>
    <n v="27847.919999999998"/>
    <n v="26135.27"/>
    <x v="23"/>
    <x v="18"/>
    <x v="25"/>
    <x v="0"/>
    <n v="0"/>
    <x v="0"/>
    <x v="1"/>
    <s v="FS"/>
    <x v="2"/>
    <m/>
    <m/>
    <m/>
  </r>
  <r>
    <n v="1391"/>
    <s v="SP"/>
    <x v="3"/>
    <x v="11"/>
    <x v="11"/>
    <s v="SERVIÇO"/>
    <x v="718"/>
    <x v="14"/>
    <n v="141684.71"/>
    <n v="132971.1"/>
    <x v="133"/>
    <x v="20"/>
    <x v="28"/>
    <x v="0"/>
    <n v="0"/>
    <x v="0"/>
    <x v="1"/>
    <s v="FS"/>
    <x v="2"/>
    <m/>
    <m/>
    <m/>
  </r>
  <r>
    <n v="1294"/>
    <s v="SP"/>
    <x v="3"/>
    <x v="11"/>
    <x v="12"/>
    <s v="SERVIÇO"/>
    <x v="719"/>
    <x v="14"/>
    <n v="3562.53"/>
    <n v="3343.43"/>
    <x v="150"/>
    <x v="46"/>
    <x v="136"/>
    <x v="0"/>
    <n v="0"/>
    <x v="0"/>
    <x v="1"/>
    <s v="FS"/>
    <x v="2"/>
    <m/>
    <m/>
    <m/>
  </r>
  <r>
    <n v="1294"/>
    <s v="SP"/>
    <x v="3"/>
    <x v="11"/>
    <x v="12"/>
    <s v="SERVIÇO"/>
    <x v="720"/>
    <x v="14"/>
    <n v="193280.5"/>
    <n v="181393.75"/>
    <x v="142"/>
    <x v="18"/>
    <x v="27"/>
    <x v="0"/>
    <n v="0"/>
    <x v="0"/>
    <x v="1"/>
    <s v="FS"/>
    <x v="2"/>
    <m/>
    <m/>
    <m/>
  </r>
  <r>
    <n v="1294"/>
    <s v="SP"/>
    <x v="3"/>
    <x v="11"/>
    <x v="12"/>
    <s v="SERVIÇO"/>
    <x v="721"/>
    <x v="14"/>
    <n v="181704"/>
    <n v="170529.2"/>
    <x v="133"/>
    <x v="20"/>
    <x v="28"/>
    <x v="0"/>
    <n v="0"/>
    <x v="0"/>
    <x v="1"/>
    <s v="FS"/>
    <x v="2"/>
    <m/>
    <m/>
    <m/>
  </r>
  <r>
    <n v="1294"/>
    <s v="SP"/>
    <x v="3"/>
    <x v="11"/>
    <x v="12"/>
    <s v="SERVIÇO"/>
    <x v="722"/>
    <x v="14"/>
    <n v="280194"/>
    <n v="262962.07"/>
    <x v="133"/>
    <x v="20"/>
    <x v="28"/>
    <x v="0"/>
    <n v="0"/>
    <x v="0"/>
    <x v="1"/>
    <s v="FS"/>
    <x v="2"/>
    <m/>
    <m/>
    <m/>
  </r>
  <r>
    <n v="1294"/>
    <s v="SP"/>
    <x v="3"/>
    <x v="11"/>
    <x v="12"/>
    <s v="SERVIÇO"/>
    <x v="723"/>
    <x v="14"/>
    <n v="136954.01"/>
    <n v="128531.34"/>
    <x v="151"/>
    <x v="20"/>
    <x v="31"/>
    <x v="0"/>
    <n v="0"/>
    <x v="0"/>
    <x v="1"/>
    <s v="FS"/>
    <x v="2"/>
    <m/>
    <m/>
    <m/>
  </r>
  <r>
    <n v="1294"/>
    <s v="SP"/>
    <x v="3"/>
    <x v="11"/>
    <x v="12"/>
    <s v="SERVIÇO"/>
    <x v="724"/>
    <x v="14"/>
    <n v="17761.52"/>
    <n v="16669.189999999999"/>
    <x v="151"/>
    <x v="20"/>
    <x v="31"/>
    <x v="0"/>
    <n v="0"/>
    <x v="0"/>
    <x v="1"/>
    <s v="FS"/>
    <x v="2"/>
    <m/>
    <m/>
    <m/>
  </r>
  <r>
    <n v="1285"/>
    <s v="SP"/>
    <x v="3"/>
    <x v="11"/>
    <x v="14"/>
    <s v="SERVIÇO"/>
    <x v="725"/>
    <x v="14"/>
    <n v="25534.32"/>
    <n v="23963.96"/>
    <x v="21"/>
    <x v="20"/>
    <x v="75"/>
    <x v="0"/>
    <n v="0"/>
    <x v="0"/>
    <x v="1"/>
    <s v="FS"/>
    <x v="2"/>
    <m/>
    <m/>
    <m/>
  </r>
  <r>
    <n v="1285"/>
    <s v="SP"/>
    <x v="3"/>
    <x v="11"/>
    <x v="14"/>
    <s v="SERVIÇO"/>
    <x v="726"/>
    <x v="14"/>
    <n v="9803.48"/>
    <n v="9200.57"/>
    <x v="21"/>
    <x v="20"/>
    <x v="75"/>
    <x v="0"/>
    <n v="0"/>
    <x v="0"/>
    <x v="1"/>
    <s v="FS"/>
    <x v="2"/>
    <m/>
    <m/>
    <m/>
  </r>
  <r>
    <n v="1292"/>
    <s v="SP"/>
    <x v="3"/>
    <x v="3"/>
    <x v="3"/>
    <s v="SERVIÇO"/>
    <x v="727"/>
    <x v="14"/>
    <n v="116552.48"/>
    <n v="109384.5"/>
    <x v="24"/>
    <x v="20"/>
    <x v="75"/>
    <x v="0"/>
    <n v="0"/>
    <x v="0"/>
    <x v="1"/>
    <s v="FS"/>
    <x v="2"/>
    <m/>
    <m/>
    <m/>
  </r>
  <r>
    <n v="1292"/>
    <s v="SP"/>
    <x v="3"/>
    <x v="3"/>
    <x v="3"/>
    <s v="SERVIÇO"/>
    <x v="728"/>
    <x v="14"/>
    <n v="134253.73000000001"/>
    <n v="125997.12"/>
    <x v="24"/>
    <x v="20"/>
    <x v="75"/>
    <x v="0"/>
    <n v="0"/>
    <x v="0"/>
    <x v="1"/>
    <s v="FS"/>
    <x v="2"/>
    <m/>
    <m/>
    <m/>
  </r>
  <r>
    <n v="1292"/>
    <s v="SP"/>
    <x v="3"/>
    <x v="3"/>
    <x v="3"/>
    <s v="SERVIÇO"/>
    <x v="729"/>
    <x v="14"/>
    <n v="34633.19"/>
    <n v="32503.25"/>
    <x v="24"/>
    <x v="20"/>
    <x v="75"/>
    <x v="0"/>
    <n v="0"/>
    <x v="0"/>
    <x v="1"/>
    <s v="FS"/>
    <x v="2"/>
    <m/>
    <m/>
    <m/>
  </r>
  <r>
    <n v="1292"/>
    <s v="SP"/>
    <x v="3"/>
    <x v="3"/>
    <x v="3"/>
    <s v="SERVIÇO"/>
    <x v="730"/>
    <x v="14"/>
    <n v="31008"/>
    <n v="29101.01"/>
    <x v="133"/>
    <x v="20"/>
    <x v="28"/>
    <x v="0"/>
    <n v="0"/>
    <x v="0"/>
    <x v="1"/>
    <s v="FS"/>
    <x v="2"/>
    <m/>
    <m/>
    <m/>
  </r>
  <r>
    <n v="1292"/>
    <s v="SP"/>
    <x v="3"/>
    <x v="3"/>
    <x v="3"/>
    <s v="SERVIÇO"/>
    <x v="731"/>
    <x v="14"/>
    <n v="33408"/>
    <n v="31353.41"/>
    <x v="26"/>
    <x v="19"/>
    <x v="145"/>
    <x v="0"/>
    <n v="0"/>
    <x v="0"/>
    <x v="1"/>
    <s v="FS"/>
    <x v="2"/>
    <m/>
    <m/>
    <m/>
  </r>
  <r>
    <n v="1484"/>
    <s v="SP"/>
    <x v="3"/>
    <x v="3"/>
    <x v="42"/>
    <s v="SERVIÇO"/>
    <x v="732"/>
    <x v="14"/>
    <n v="36570.74"/>
    <n v="34321.64"/>
    <x v="152"/>
    <x v="20"/>
    <x v="29"/>
    <x v="0"/>
    <n v="0"/>
    <x v="0"/>
    <x v="2"/>
    <s v="FS"/>
    <x v="2"/>
    <m/>
    <m/>
    <m/>
  </r>
  <r>
    <n v="1484"/>
    <s v="SP"/>
    <x v="3"/>
    <x v="3"/>
    <x v="42"/>
    <s v="SERVIÇO"/>
    <x v="733"/>
    <x v="14"/>
    <n v="15398.24"/>
    <n v="14451.25"/>
    <x v="152"/>
    <x v="20"/>
    <x v="29"/>
    <x v="0"/>
    <n v="0"/>
    <x v="0"/>
    <x v="2"/>
    <s v="FS"/>
    <x v="2"/>
    <m/>
    <m/>
    <m/>
  </r>
  <r>
    <n v="1398"/>
    <s v="MATRIZ"/>
    <x v="1"/>
    <x v="1"/>
    <x v="1"/>
    <s v="SERVIÇO"/>
    <x v="734"/>
    <x v="14"/>
    <n v="5562"/>
    <n v="5219.9399999999996"/>
    <x v="153"/>
    <x v="37"/>
    <x v="100"/>
    <x v="0"/>
    <n v="0"/>
    <x v="0"/>
    <x v="0"/>
    <s v="UT"/>
    <x v="0"/>
    <m/>
    <m/>
    <m/>
  </r>
  <r>
    <n v="1398"/>
    <s v="MATRIZ"/>
    <x v="1"/>
    <x v="1"/>
    <x v="1"/>
    <s v="SERVIÇO"/>
    <x v="735"/>
    <x v="14"/>
    <n v="26093.54"/>
    <n v="24488.79"/>
    <x v="154"/>
    <x v="37"/>
    <x v="146"/>
    <x v="0"/>
    <n v="0"/>
    <x v="0"/>
    <x v="0"/>
    <s v="UT"/>
    <x v="0"/>
    <m/>
    <m/>
    <m/>
  </r>
  <r>
    <n v="1398"/>
    <s v="MATRIZ"/>
    <x v="1"/>
    <x v="1"/>
    <x v="1"/>
    <s v="SERVIÇO"/>
    <x v="736"/>
    <x v="14"/>
    <n v="48000"/>
    <n v="45048"/>
    <x v="133"/>
    <x v="47"/>
    <x v="147"/>
    <x v="0"/>
    <n v="0"/>
    <x v="0"/>
    <x v="0"/>
    <s v="UT"/>
    <x v="0"/>
    <m/>
    <m/>
    <m/>
  </r>
  <r>
    <n v="1398"/>
    <s v="MATRIZ"/>
    <x v="1"/>
    <x v="1"/>
    <x v="1"/>
    <s v="SERVIÇO"/>
    <x v="737"/>
    <x v="14"/>
    <n v="20181.879999999903"/>
    <n v="20873.79"/>
    <x v="153"/>
    <x v="48"/>
    <x v="148"/>
    <x v="0"/>
    <n v="0"/>
    <x v="0"/>
    <x v="0"/>
    <s v="UT"/>
    <x v="0"/>
    <m/>
    <m/>
    <m/>
  </r>
  <r>
    <n v="1398"/>
    <s v="MATRIZ"/>
    <x v="1"/>
    <x v="1"/>
    <x v="1"/>
    <s v="SERVIÇO"/>
    <x v="738"/>
    <x v="14"/>
    <n v="75919.81"/>
    <n v="71250.740000000005"/>
    <x v="153"/>
    <x v="48"/>
    <x v="148"/>
    <x v="0"/>
    <n v="0"/>
    <x v="0"/>
    <x v="0"/>
    <s v="UT"/>
    <x v="0"/>
    <m/>
    <m/>
    <m/>
  </r>
  <r>
    <n v="1393"/>
    <s v="MATRIZ"/>
    <x v="2"/>
    <x v="27"/>
    <x v="15"/>
    <s v="SERVIÇO"/>
    <x v="739"/>
    <x v="14"/>
    <n v="464317.66"/>
    <n v="416492.94"/>
    <x v="142"/>
    <x v="21"/>
    <x v="30"/>
    <x v="0"/>
    <n v="0"/>
    <x v="0"/>
    <x v="0"/>
    <s v="PS"/>
    <x v="1"/>
    <m/>
    <m/>
    <m/>
  </r>
  <r>
    <n v="1476"/>
    <s v="MATRIZ"/>
    <x v="2"/>
    <x v="13"/>
    <x v="16"/>
    <s v="SERVIÇO"/>
    <x v="740"/>
    <x v="14"/>
    <n v="318628.40000000002"/>
    <n v="285809.68"/>
    <x v="149"/>
    <x v="18"/>
    <x v="149"/>
    <x v="0"/>
    <m/>
    <x v="0"/>
    <x v="0"/>
    <s v="PS"/>
    <x v="1"/>
    <m/>
    <m/>
    <m/>
  </r>
  <r>
    <n v="1296"/>
    <s v="MATRIZ"/>
    <x v="0"/>
    <x v="4"/>
    <x v="34"/>
    <s v="SERVIÇO"/>
    <x v="741"/>
    <x v="14"/>
    <n v="142287.91"/>
    <n v="130691.44"/>
    <x v="25"/>
    <x v="20"/>
    <x v="75"/>
    <x v="0"/>
    <m/>
    <x v="0"/>
    <x v="0"/>
    <s v="UT"/>
    <x v="0"/>
    <m/>
    <m/>
    <m/>
  </r>
  <r>
    <n v="1296"/>
    <s v="MATRIZ"/>
    <x v="0"/>
    <x v="4"/>
    <x v="34"/>
    <s v="SERVIÇO"/>
    <x v="742"/>
    <x v="14"/>
    <n v="330619.28999999998"/>
    <n v="303673.81"/>
    <x v="25"/>
    <x v="20"/>
    <x v="75"/>
    <x v="0"/>
    <m/>
    <x v="0"/>
    <x v="0"/>
    <s v="UT"/>
    <x v="0"/>
    <m/>
    <m/>
    <m/>
  </r>
  <r>
    <n v="1296"/>
    <s v="MATRIZ"/>
    <x v="0"/>
    <x v="4"/>
    <x v="34"/>
    <s v="SERVIÇO"/>
    <x v="743"/>
    <x v="14"/>
    <n v="308252.58"/>
    <n v="283129.99"/>
    <x v="25"/>
    <x v="20"/>
    <x v="75"/>
    <x v="0"/>
    <m/>
    <x v="0"/>
    <x v="0"/>
    <s v="UT"/>
    <x v="0"/>
    <m/>
    <m/>
    <m/>
  </r>
  <r>
    <n v="1300"/>
    <s v="HUB"/>
    <x v="0"/>
    <x v="4"/>
    <x v="4"/>
    <s v="SERVIÇO"/>
    <x v="744"/>
    <x v="14"/>
    <n v="35127.120000000003"/>
    <n v="32264.26"/>
    <x v="149"/>
    <x v="19"/>
    <x v="26"/>
    <x v="0"/>
    <n v="0"/>
    <x v="0"/>
    <x v="0"/>
    <s v="UT"/>
    <x v="0"/>
    <m/>
    <m/>
    <m/>
  </r>
  <r>
    <n v="1300"/>
    <s v="HUB"/>
    <x v="0"/>
    <x v="4"/>
    <x v="4"/>
    <s v="SERVIÇO"/>
    <x v="745"/>
    <x v="14"/>
    <n v="287717.94"/>
    <n v="264268.92"/>
    <x v="152"/>
    <x v="49"/>
    <x v="150"/>
    <x v="0"/>
    <n v="0"/>
    <x v="0"/>
    <x v="0"/>
    <s v="UT"/>
    <x v="0"/>
    <m/>
    <m/>
    <m/>
  </r>
  <r>
    <n v="1300"/>
    <s v="HUB"/>
    <x v="0"/>
    <x v="4"/>
    <x v="4"/>
    <s v="SERVIÇO"/>
    <x v="746"/>
    <x v="14"/>
    <n v="35127.120000000003"/>
    <n v="32264.26"/>
    <x v="155"/>
    <x v="50"/>
    <x v="151"/>
    <x v="0"/>
    <n v="0"/>
    <x v="0"/>
    <x v="0"/>
    <s v="UT"/>
    <x v="0"/>
    <m/>
    <m/>
    <m/>
  </r>
  <r>
    <n v="1290"/>
    <s v="MATRIZ"/>
    <x v="2"/>
    <x v="14"/>
    <x v="17"/>
    <s v="SERVIÇO"/>
    <x v="747"/>
    <x v="14"/>
    <n v="53175.27"/>
    <n v="46980.35"/>
    <x v="156"/>
    <x v="19"/>
    <x v="26"/>
    <x v="0"/>
    <n v="0"/>
    <x v="0"/>
    <x v="0"/>
    <s v="UT"/>
    <x v="1"/>
    <m/>
    <m/>
    <m/>
  </r>
  <r>
    <n v="1490"/>
    <s v="MATRIZ"/>
    <x v="2"/>
    <x v="14"/>
    <x v="43"/>
    <s v="SERVIÇO"/>
    <x v="748"/>
    <x v="14"/>
    <n v="2300"/>
    <n v="2032.05"/>
    <x v="156"/>
    <x v="19"/>
    <x v="144"/>
    <x v="0"/>
    <n v="0"/>
    <x v="0"/>
    <x v="0"/>
    <s v="UT"/>
    <x v="1"/>
    <m/>
    <m/>
    <m/>
  </r>
  <r>
    <n v="1480"/>
    <s v="SP"/>
    <x v="4"/>
    <x v="31"/>
    <x v="48"/>
    <s v="SERVIÇO"/>
    <x v="749"/>
    <x v="14"/>
    <n v="329664.71999999997"/>
    <n v="309390.34000000003"/>
    <x v="24"/>
    <x v="20"/>
    <x v="29"/>
    <x v="0"/>
    <m/>
    <x v="0"/>
    <x v="1"/>
    <s v="FS"/>
    <x v="0"/>
    <m/>
    <m/>
    <m/>
  </r>
  <r>
    <n v="1475"/>
    <s v="MATRIZ"/>
    <x v="6"/>
    <x v="15"/>
    <x v="18"/>
    <s v="SERVIÇO"/>
    <x v="750"/>
    <x v="14"/>
    <n v="70696.11"/>
    <n v="63414.42"/>
    <x v="156"/>
    <x v="13"/>
    <x v="152"/>
    <x v="0"/>
    <n v="0"/>
    <x v="0"/>
    <x v="1"/>
    <s v="PS"/>
    <x v="3"/>
    <m/>
    <m/>
    <m/>
  </r>
  <r>
    <n v="1472"/>
    <s v="SP"/>
    <x v="3"/>
    <x v="28"/>
    <x v="44"/>
    <s v="SERVIÇO"/>
    <x v="751"/>
    <x v="14"/>
    <n v="80422.2"/>
    <n v="75476.240000000005"/>
    <x v="22"/>
    <x v="18"/>
    <x v="153"/>
    <x v="0"/>
    <m/>
    <x v="0"/>
    <x v="2"/>
    <s v="FS"/>
    <x v="2"/>
    <m/>
    <m/>
    <m/>
  </r>
  <r>
    <n v="1378"/>
    <s v="MATRIZ"/>
    <x v="4"/>
    <x v="5"/>
    <x v="5"/>
    <s v="SERVIÇO"/>
    <x v="752"/>
    <x v="14"/>
    <n v="4281.29"/>
    <n v="4017.99"/>
    <x v="25"/>
    <x v="51"/>
    <x v="154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753"/>
    <x v="14"/>
    <n v="38395.360000000001"/>
    <n v="34440.629999999997"/>
    <x v="22"/>
    <x v="13"/>
    <x v="139"/>
    <x v="0"/>
    <n v="0"/>
    <x v="0"/>
    <x v="0"/>
    <s v="PS"/>
    <x v="1"/>
    <m/>
    <m/>
    <m/>
  </r>
  <r>
    <n v="1358"/>
    <s v="MATRIZ"/>
    <x v="2"/>
    <x v="16"/>
    <x v="19"/>
    <s v="SERVIÇO"/>
    <x v="754"/>
    <x v="14"/>
    <n v="89150.64"/>
    <n v="79968.13"/>
    <x v="133"/>
    <x v="51"/>
    <x v="155"/>
    <x v="0"/>
    <n v="0"/>
    <x v="0"/>
    <x v="0"/>
    <s v="PS"/>
    <x v="1"/>
    <m/>
    <m/>
    <m/>
  </r>
  <r>
    <n v="1358"/>
    <s v="MATRIZ"/>
    <x v="2"/>
    <x v="16"/>
    <x v="19"/>
    <s v="SERVIÇO"/>
    <x v="755"/>
    <x v="14"/>
    <n v="8736.76"/>
    <n v="7836.87"/>
    <x v="133"/>
    <x v="51"/>
    <x v="156"/>
    <x v="0"/>
    <n v="0"/>
    <x v="0"/>
    <x v="0"/>
    <s v="PS"/>
    <x v="1"/>
    <m/>
    <m/>
    <m/>
  </r>
  <r>
    <n v="1473"/>
    <s v="MATRIZ"/>
    <x v="2"/>
    <x v="17"/>
    <x v="20"/>
    <s v="SERVIÇO"/>
    <x v="756"/>
    <x v="14"/>
    <n v="225527.76"/>
    <n v="207875.76"/>
    <x v="155"/>
    <x v="51"/>
    <x v="157"/>
    <x v="0"/>
    <n v="0"/>
    <x v="0"/>
    <x v="0"/>
    <s v="PS"/>
    <x v="1"/>
    <m/>
    <m/>
    <m/>
  </r>
  <r>
    <n v="1462"/>
    <s v="MATRIZ"/>
    <x v="1"/>
    <x v="18"/>
    <x v="21"/>
    <s v="SERVIÇO"/>
    <x v="757"/>
    <x v="14"/>
    <n v="1342.67"/>
    <n v="1260.0899999999999"/>
    <x v="130"/>
    <x v="51"/>
    <x v="156"/>
    <x v="0"/>
    <n v="0"/>
    <x v="0"/>
    <x v="0"/>
    <s v="MS"/>
    <x v="0"/>
    <m/>
    <m/>
    <m/>
  </r>
  <r>
    <n v="1390"/>
    <s v="HUB"/>
    <x v="0"/>
    <x v="0"/>
    <x v="0"/>
    <s v="SERVIÇO"/>
    <x v="0"/>
    <x v="0"/>
    <n v="34342.573333333334"/>
    <n v="32301.82"/>
    <x v="0"/>
    <x v="52"/>
    <x v="158"/>
    <x v="0"/>
    <n v="0"/>
    <x v="0"/>
    <x v="0"/>
    <s v="UT"/>
    <x v="0"/>
    <s v="SIM"/>
    <s v="RECUPERAÇÃO JUDICIAL"/>
    <m/>
  </r>
  <r>
    <n v="1260"/>
    <s v="SP"/>
    <x v="4"/>
    <x v="19"/>
    <x v="22"/>
    <s v="SERVIÇO"/>
    <x v="758"/>
    <x v="14"/>
    <n v="10914"/>
    <n v="10242.790000000001"/>
    <x v="22"/>
    <x v="18"/>
    <x v="27"/>
    <x v="0"/>
    <n v="0"/>
    <x v="0"/>
    <x v="1"/>
    <s v="MS"/>
    <x v="0"/>
    <m/>
    <m/>
    <m/>
  </r>
  <r>
    <n v="1485"/>
    <s v="SP"/>
    <x v="4"/>
    <x v="30"/>
    <x v="50"/>
    <s v="SERVIÇO"/>
    <x v="759"/>
    <x v="14"/>
    <n v="27092.86"/>
    <n v="25426.65"/>
    <x v="155"/>
    <x v="53"/>
    <x v="159"/>
    <x v="0"/>
    <m/>
    <x v="0"/>
    <x v="1"/>
    <s v="FS"/>
    <x v="0"/>
    <m/>
    <m/>
    <m/>
  </r>
  <r>
    <n v="1482"/>
    <s v="MATRIZ"/>
    <x v="0"/>
    <x v="4"/>
    <x v="23"/>
    <s v="SERVIÇO"/>
    <x v="760"/>
    <x v="14"/>
    <n v="39000"/>
    <n v="35236.5"/>
    <x v="156"/>
    <x v="20"/>
    <x v="29"/>
    <x v="0"/>
    <m/>
    <x v="0"/>
    <x v="0"/>
    <s v="UT"/>
    <x v="0"/>
    <m/>
    <m/>
    <m/>
  </r>
  <r>
    <n v="1262"/>
    <s v="SP"/>
    <x v="4"/>
    <x v="20"/>
    <x v="24"/>
    <s v="SERVIÇO"/>
    <x v="761"/>
    <x v="14"/>
    <n v="4945.8100000000004"/>
    <n v="4641.6400000000003"/>
    <x v="157"/>
    <x v="20"/>
    <x v="31"/>
    <x v="0"/>
    <n v="0"/>
    <x v="0"/>
    <x v="1"/>
    <s v="FS"/>
    <x v="0"/>
    <m/>
    <m/>
    <m/>
  </r>
  <r>
    <n v="1262"/>
    <s v="SP"/>
    <x v="4"/>
    <x v="20"/>
    <x v="24"/>
    <s v="SERVIÇO"/>
    <x v="762"/>
    <x v="14"/>
    <n v="32021.86"/>
    <n v="30052.51"/>
    <x v="157"/>
    <x v="20"/>
    <x v="31"/>
    <x v="0"/>
    <n v="0"/>
    <x v="0"/>
    <x v="1"/>
    <s v="FS"/>
    <x v="0"/>
    <m/>
    <m/>
    <m/>
  </r>
  <r>
    <n v="1262"/>
    <s v="SP"/>
    <x v="4"/>
    <x v="20"/>
    <x v="24"/>
    <s v="SERVIÇO"/>
    <x v="763"/>
    <x v="14"/>
    <n v="18782.93"/>
    <n v="17627.78"/>
    <x v="157"/>
    <x v="20"/>
    <x v="31"/>
    <x v="0"/>
    <n v="0"/>
    <x v="0"/>
    <x v="1"/>
    <s v="FS"/>
    <x v="0"/>
    <m/>
    <m/>
    <m/>
  </r>
  <r>
    <n v="1262"/>
    <s v="SP"/>
    <x v="4"/>
    <x v="20"/>
    <x v="24"/>
    <s v="SERVIÇO"/>
    <x v="764"/>
    <x v="14"/>
    <n v="17258.98"/>
    <n v="16197.56"/>
    <x v="157"/>
    <x v="20"/>
    <x v="31"/>
    <x v="0"/>
    <n v="0"/>
    <x v="0"/>
    <x v="1"/>
    <s v="FS"/>
    <x v="0"/>
    <m/>
    <m/>
    <m/>
  </r>
  <r>
    <n v="1262"/>
    <s v="SP"/>
    <x v="4"/>
    <x v="20"/>
    <x v="24"/>
    <s v="SERVIÇO"/>
    <x v="765"/>
    <x v="14"/>
    <n v="57945.79"/>
    <n v="54382.12"/>
    <x v="157"/>
    <x v="20"/>
    <x v="31"/>
    <x v="0"/>
    <n v="0"/>
    <x v="0"/>
    <x v="1"/>
    <s v="FS"/>
    <x v="0"/>
    <m/>
    <m/>
    <m/>
  </r>
  <r>
    <n v="1262"/>
    <s v="SP"/>
    <x v="4"/>
    <x v="20"/>
    <x v="24"/>
    <s v="SERVIÇO"/>
    <x v="766"/>
    <x v="14"/>
    <n v="7396.7"/>
    <n v="6941.8"/>
    <x v="157"/>
    <x v="20"/>
    <x v="31"/>
    <x v="0"/>
    <n v="0"/>
    <x v="0"/>
    <x v="1"/>
    <s v="FS"/>
    <x v="0"/>
    <m/>
    <m/>
    <m/>
  </r>
  <r>
    <n v="1269"/>
    <s v="SP"/>
    <x v="4"/>
    <x v="20"/>
    <x v="25"/>
    <s v="SERVIÇO"/>
    <x v="767"/>
    <x v="14"/>
    <n v="198578.23"/>
    <n v="186365.67"/>
    <x v="157"/>
    <x v="20"/>
    <x v="31"/>
    <x v="0"/>
    <n v="0"/>
    <x v="0"/>
    <x v="0"/>
    <s v="FS"/>
    <x v="0"/>
    <m/>
    <m/>
    <m/>
  </r>
  <r>
    <n v="1269"/>
    <s v="SP"/>
    <x v="4"/>
    <x v="20"/>
    <x v="25"/>
    <s v="SERVIÇO"/>
    <x v="768"/>
    <x v="14"/>
    <n v="10876.23"/>
    <n v="10207.35"/>
    <x v="157"/>
    <x v="20"/>
    <x v="31"/>
    <x v="0"/>
    <n v="0"/>
    <x v="0"/>
    <x v="0"/>
    <s v="FS"/>
    <x v="0"/>
    <m/>
    <m/>
    <m/>
  </r>
  <r>
    <n v="1269"/>
    <s v="SP"/>
    <x v="4"/>
    <x v="20"/>
    <x v="25"/>
    <s v="SERVIÇO"/>
    <x v="769"/>
    <x v="14"/>
    <n v="6655.99"/>
    <n v="6246.65"/>
    <x v="157"/>
    <x v="20"/>
    <x v="31"/>
    <x v="0"/>
    <n v="0"/>
    <x v="0"/>
    <x v="0"/>
    <s v="FS"/>
    <x v="0"/>
    <m/>
    <m/>
    <m/>
  </r>
  <r>
    <n v="1269"/>
    <s v="SP"/>
    <x v="4"/>
    <x v="20"/>
    <x v="25"/>
    <s v="SERVIÇO"/>
    <x v="770"/>
    <x v="14"/>
    <n v="30699.4"/>
    <n v="28811.39"/>
    <x v="157"/>
    <x v="20"/>
    <x v="31"/>
    <x v="0"/>
    <n v="0"/>
    <x v="0"/>
    <x v="0"/>
    <s v="FS"/>
    <x v="0"/>
    <m/>
    <m/>
    <m/>
  </r>
  <r>
    <n v="1400"/>
    <s v="SP"/>
    <x v="7"/>
    <x v="21"/>
    <x v="26"/>
    <s v="SERVIÇO"/>
    <x v="771"/>
    <x v="14"/>
    <n v="77751.44"/>
    <n v="70248.44"/>
    <x v="158"/>
    <x v="19"/>
    <x v="160"/>
    <x v="0"/>
    <n v="0"/>
    <x v="0"/>
    <x v="1"/>
    <s v="UT"/>
    <x v="2"/>
    <m/>
    <m/>
    <m/>
  </r>
  <r>
    <n v="1400"/>
    <s v="SP"/>
    <x v="7"/>
    <x v="21"/>
    <x v="26"/>
    <s v="SERVIÇO"/>
    <x v="772"/>
    <x v="14"/>
    <n v="471529.37"/>
    <n v="426026.79"/>
    <x v="146"/>
    <x v="16"/>
    <x v="50"/>
    <x v="0"/>
    <m/>
    <x v="0"/>
    <x v="1"/>
    <s v="UT"/>
    <x v="2"/>
    <m/>
    <m/>
    <m/>
  </r>
  <r>
    <n v="1366"/>
    <s v="HUB"/>
    <x v="7"/>
    <x v="21"/>
    <x v="27"/>
    <s v="SERVIÇO"/>
    <x v="773"/>
    <x v="14"/>
    <n v="328350.03000000003"/>
    <n v="296664.25"/>
    <x v="158"/>
    <x v="19"/>
    <x v="160"/>
    <x v="0"/>
    <n v="0"/>
    <x v="0"/>
    <x v="0"/>
    <s v="UT"/>
    <x v="2"/>
    <m/>
    <m/>
    <m/>
  </r>
  <r>
    <n v="1388"/>
    <s v="SP"/>
    <x v="7"/>
    <x v="21"/>
    <x v="28"/>
    <s v="SERVIÇO"/>
    <x v="774"/>
    <x v="14"/>
    <n v="180632.85"/>
    <n v="163201.78"/>
    <x v="158"/>
    <x v="19"/>
    <x v="160"/>
    <x v="0"/>
    <n v="0"/>
    <x v="0"/>
    <x v="1"/>
    <s v="UT"/>
    <x v="2"/>
    <m/>
    <m/>
    <m/>
  </r>
  <r>
    <n v="1298"/>
    <s v="HUB"/>
    <x v="8"/>
    <x v="22"/>
    <x v="29"/>
    <s v="SERVIÇO"/>
    <x v="775"/>
    <x v="14"/>
    <n v="275594.28999999998"/>
    <n v="258645.25"/>
    <x v="151"/>
    <x v="18"/>
    <x v="25"/>
    <x v="0"/>
    <n v="0"/>
    <x v="0"/>
    <x v="0"/>
    <s v="PS"/>
    <x v="0"/>
    <m/>
    <m/>
    <m/>
  </r>
  <r>
    <n v="1289"/>
    <s v="HUB"/>
    <x v="6"/>
    <x v="23"/>
    <x v="30"/>
    <s v="SERVIÇO"/>
    <x v="776"/>
    <x v="14"/>
    <n v="257289.7"/>
    <n v="239794"/>
    <x v="22"/>
    <x v="13"/>
    <x v="127"/>
    <x v="0"/>
    <m/>
    <x v="0"/>
    <x v="0"/>
    <s v="PS"/>
    <x v="3"/>
    <m/>
    <m/>
    <m/>
  </r>
  <r>
    <n v="1288"/>
    <s v="HUB"/>
    <x v="6"/>
    <x v="23"/>
    <x v="31"/>
    <s v="SERVIÇO"/>
    <x v="777"/>
    <x v="14"/>
    <n v="393626.28"/>
    <n v="366859.69"/>
    <x v="156"/>
    <x v="13"/>
    <x v="127"/>
    <x v="0"/>
    <m/>
    <x v="0"/>
    <x v="1"/>
    <s v="PS"/>
    <x v="3"/>
    <m/>
    <m/>
    <m/>
  </r>
  <r>
    <n v="1271"/>
    <s v="HUB"/>
    <x v="6"/>
    <x v="23"/>
    <x v="32"/>
    <s v="SERVIÇO"/>
    <x v="778"/>
    <x v="14"/>
    <n v="255597.54"/>
    <n v="238216.91"/>
    <x v="142"/>
    <x v="13"/>
    <x v="127"/>
    <x v="0"/>
    <n v="0"/>
    <x v="0"/>
    <x v="0"/>
    <s v="PS"/>
    <x v="3"/>
    <m/>
    <m/>
    <m/>
  </r>
  <r>
    <n v="1299"/>
    <s v="HUB"/>
    <x v="6"/>
    <x v="23"/>
    <x v="33"/>
    <s v="SERVIÇO"/>
    <x v="779"/>
    <x v="14"/>
    <n v="1020096"/>
    <n v="950729.47"/>
    <x v="156"/>
    <x v="13"/>
    <x v="152"/>
    <x v="0"/>
    <n v="0"/>
    <x v="0"/>
    <x v="1"/>
    <s v="PS"/>
    <x v="3"/>
    <m/>
    <m/>
    <m/>
  </r>
  <r>
    <n v="1394"/>
    <s v="MATRIZ"/>
    <x v="5"/>
    <x v="7"/>
    <x v="7"/>
    <s v="SERVIÇO"/>
    <x v="780"/>
    <x v="14"/>
    <n v="76253.39"/>
    <n v="71068.160000000003"/>
    <x v="149"/>
    <x v="18"/>
    <x v="153"/>
    <x v="0"/>
    <n v="0"/>
    <x v="0"/>
    <x v="0"/>
    <s v="PS"/>
    <x v="1"/>
    <m/>
    <m/>
    <m/>
  </r>
  <r>
    <n v="1394"/>
    <s v="MATRIZ"/>
    <x v="5"/>
    <x v="7"/>
    <x v="7"/>
    <s v="SERVIÇO"/>
    <x v="781"/>
    <x v="14"/>
    <n v="117291.83"/>
    <n v="109315.98"/>
    <x v="142"/>
    <x v="18"/>
    <x v="153"/>
    <x v="0"/>
    <n v="0"/>
    <x v="0"/>
    <x v="0"/>
    <s v="PS"/>
    <x v="1"/>
    <m/>
    <m/>
    <m/>
  </r>
  <r>
    <n v="1394"/>
    <s v="MATRIZ"/>
    <x v="5"/>
    <x v="7"/>
    <x v="7"/>
    <s v="SERVIÇO"/>
    <x v="782"/>
    <x v="14"/>
    <n v="151907.14000000001"/>
    <n v="141577.46"/>
    <x v="151"/>
    <x v="20"/>
    <x v="75"/>
    <x v="0"/>
    <n v="0"/>
    <x v="0"/>
    <x v="0"/>
    <s v="PS"/>
    <x v="1"/>
    <m/>
    <m/>
    <m/>
  </r>
  <r>
    <n v="1394"/>
    <s v="MATRIZ"/>
    <x v="5"/>
    <x v="7"/>
    <x v="7"/>
    <s v="SERVIÇO"/>
    <x v="783"/>
    <x v="14"/>
    <n v="133850.94"/>
    <n v="124749.07"/>
    <x v="151"/>
    <x v="20"/>
    <x v="28"/>
    <x v="0"/>
    <n v="0"/>
    <x v="0"/>
    <x v="0"/>
    <s v="PS"/>
    <x v="1"/>
    <m/>
    <m/>
    <m/>
  </r>
  <r>
    <n v="1394"/>
    <s v="MATRIZ"/>
    <x v="5"/>
    <x v="7"/>
    <x v="7"/>
    <s v="SERVIÇO"/>
    <x v="784"/>
    <x v="14"/>
    <n v="297806.21999999997"/>
    <n v="277555.40000000002"/>
    <x v="25"/>
    <x v="20"/>
    <x v="31"/>
    <x v="0"/>
    <n v="0"/>
    <x v="0"/>
    <x v="0"/>
    <s v="PS"/>
    <x v="1"/>
    <m/>
    <m/>
    <m/>
  </r>
  <r>
    <n v="1394"/>
    <s v="MATRIZ"/>
    <x v="5"/>
    <x v="7"/>
    <x v="7"/>
    <s v="SERVIÇO"/>
    <x v="785"/>
    <x v="14"/>
    <n v="89335"/>
    <n v="83260.22"/>
    <x v="25"/>
    <x v="20"/>
    <x v="31"/>
    <x v="0"/>
    <n v="0"/>
    <x v="0"/>
    <x v="0"/>
    <s v="PS"/>
    <x v="1"/>
    <m/>
    <m/>
    <m/>
  </r>
  <r>
    <n v="1394"/>
    <s v="MATRIZ"/>
    <x v="5"/>
    <x v="7"/>
    <x v="7"/>
    <s v="SERVIÇO"/>
    <x v="786"/>
    <x v="14"/>
    <n v="18317.38"/>
    <n v="17071.8"/>
    <x v="27"/>
    <x v="20"/>
    <x v="31"/>
    <x v="0"/>
    <n v="0"/>
    <x v="0"/>
    <x v="0"/>
    <s v="PS"/>
    <x v="1"/>
    <m/>
    <m/>
    <m/>
  </r>
  <r>
    <n v="1394"/>
    <s v="MATRIZ"/>
    <x v="5"/>
    <x v="7"/>
    <x v="7"/>
    <s v="SERVIÇO"/>
    <x v="787"/>
    <x v="14"/>
    <n v="226733.58"/>
    <n v="211315.7"/>
    <x v="26"/>
    <x v="20"/>
    <x v="31"/>
    <x v="0"/>
    <n v="0"/>
    <x v="0"/>
    <x v="0"/>
    <s v="PS"/>
    <x v="1"/>
    <m/>
    <m/>
    <m/>
  </r>
  <r>
    <n v="1394"/>
    <s v="MATRIZ"/>
    <x v="5"/>
    <x v="7"/>
    <x v="7"/>
    <s v="SERVIÇO"/>
    <x v="788"/>
    <x v="12"/>
    <n v="27680.2"/>
    <n v="25797.95"/>
    <x v="159"/>
    <x v="16"/>
    <x v="161"/>
    <x v="0"/>
    <n v="0"/>
    <x v="0"/>
    <x v="0"/>
    <s v="PS"/>
    <x v="1"/>
    <m/>
    <m/>
    <m/>
  </r>
  <r>
    <n v="1394"/>
    <s v="MATRIZ"/>
    <x v="5"/>
    <x v="7"/>
    <x v="7"/>
    <s v="SERVIÇO"/>
    <x v="789"/>
    <x v="12"/>
    <n v="37439.58"/>
    <n v="34893.69"/>
    <x v="159"/>
    <x v="16"/>
    <x v="161"/>
    <x v="0"/>
    <n v="0"/>
    <x v="0"/>
    <x v="0"/>
    <s v="PS"/>
    <x v="1"/>
    <m/>
    <m/>
    <m/>
  </r>
  <r>
    <n v="1500"/>
    <s v="SP"/>
    <x v="3"/>
    <x v="8"/>
    <x v="53"/>
    <s v="SERVIÇO"/>
    <x v="790"/>
    <x v="14"/>
    <n v="75100.77"/>
    <n v="70482.070000000007"/>
    <x v="117"/>
    <x v="39"/>
    <x v="116"/>
    <x v="0"/>
    <m/>
    <x v="0"/>
    <x v="2"/>
    <s v="FS"/>
    <x v="2"/>
    <m/>
    <m/>
    <m/>
  </r>
  <r>
    <n v="1360"/>
    <s v="SP"/>
    <x v="3"/>
    <x v="8"/>
    <x v="8"/>
    <s v="SERVIÇO"/>
    <x v="791"/>
    <x v="14"/>
    <n v="51239.199999999997"/>
    <n v="48087.99"/>
    <x v="108"/>
    <x v="39"/>
    <x v="116"/>
    <x v="0"/>
    <m/>
    <x v="0"/>
    <x v="1"/>
    <s v="FS"/>
    <x v="2"/>
    <m/>
    <m/>
    <m/>
  </r>
  <r>
    <n v="1360"/>
    <s v="SP"/>
    <x v="3"/>
    <x v="8"/>
    <x v="8"/>
    <s v="SERVIÇO"/>
    <x v="792"/>
    <x v="14"/>
    <n v="79277.759999999995"/>
    <n v="74402.17"/>
    <x v="108"/>
    <x v="39"/>
    <x v="116"/>
    <x v="0"/>
    <m/>
    <x v="0"/>
    <x v="1"/>
    <s v="FS"/>
    <x v="2"/>
    <m/>
    <m/>
    <m/>
  </r>
  <r>
    <n v="1360"/>
    <s v="SP"/>
    <x v="3"/>
    <x v="8"/>
    <x v="8"/>
    <s v="SERVIÇO"/>
    <x v="793"/>
    <x v="14"/>
    <n v="133200.07999999999"/>
    <n v="125008.28"/>
    <x v="108"/>
    <x v="39"/>
    <x v="116"/>
    <x v="0"/>
    <m/>
    <x v="0"/>
    <x v="1"/>
    <s v="FS"/>
    <x v="2"/>
    <m/>
    <m/>
    <m/>
  </r>
  <r>
    <n v="1360"/>
    <s v="SP"/>
    <x v="3"/>
    <x v="8"/>
    <x v="8"/>
    <s v="SERVIÇO"/>
    <x v="794"/>
    <x v="14"/>
    <n v="24912.799999999999"/>
    <n v="23380.67"/>
    <x v="108"/>
    <x v="39"/>
    <x v="116"/>
    <x v="0"/>
    <m/>
    <x v="0"/>
    <x v="1"/>
    <s v="FS"/>
    <x v="2"/>
    <m/>
    <m/>
    <m/>
  </r>
  <r>
    <n v="1360"/>
    <s v="SP"/>
    <x v="3"/>
    <x v="8"/>
    <x v="8"/>
    <s v="SERVIÇO"/>
    <x v="795"/>
    <x v="14"/>
    <n v="27668.48"/>
    <n v="27668.48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796"/>
    <x v="14"/>
    <n v="137533.72"/>
    <n v="129075.39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797"/>
    <x v="14"/>
    <n v="68834.720000000001"/>
    <n v="64601.38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798"/>
    <x v="14"/>
    <n v="62418.8"/>
    <n v="58580.05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799"/>
    <x v="14"/>
    <n v="29336"/>
    <n v="27531.84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800"/>
    <x v="14"/>
    <n v="95620.4"/>
    <n v="89739.75"/>
    <x v="117"/>
    <x v="39"/>
    <x v="116"/>
    <x v="0"/>
    <m/>
    <x v="0"/>
    <x v="1"/>
    <s v="FS"/>
    <x v="2"/>
    <m/>
    <m/>
    <m/>
  </r>
  <r>
    <n v="1360"/>
    <s v="SP"/>
    <x v="3"/>
    <x v="8"/>
    <x v="8"/>
    <s v="SERVIÇO"/>
    <x v="801"/>
    <x v="14"/>
    <n v="18684.8"/>
    <n v="17535.689999999999"/>
    <x v="110"/>
    <x v="39"/>
    <x v="116"/>
    <x v="0"/>
    <m/>
    <x v="0"/>
    <x v="1"/>
    <s v="FS"/>
    <x v="2"/>
    <m/>
    <m/>
    <m/>
  </r>
  <r>
    <n v="1360"/>
    <s v="SP"/>
    <x v="3"/>
    <x v="8"/>
    <x v="8"/>
    <s v="SERVIÇO"/>
    <x v="802"/>
    <x v="14"/>
    <n v="90756.160000000003"/>
    <n v="85174.66"/>
    <x v="129"/>
    <x v="39"/>
    <x v="116"/>
    <x v="0"/>
    <m/>
    <x v="0"/>
    <x v="1"/>
    <s v="FS"/>
    <x v="2"/>
    <m/>
    <m/>
    <m/>
  </r>
  <r>
    <n v="1360"/>
    <s v="SP"/>
    <x v="3"/>
    <x v="8"/>
    <x v="8"/>
    <s v="SERVIÇO"/>
    <x v="803"/>
    <x v="14"/>
    <n v="35501.120000000003"/>
    <n v="33317.800000000003"/>
    <x v="103"/>
    <x v="18"/>
    <x v="25"/>
    <x v="0"/>
    <m/>
    <x v="0"/>
    <x v="1"/>
    <s v="FS"/>
    <x v="2"/>
    <m/>
    <m/>
    <m/>
  </r>
  <r>
    <n v="1298"/>
    <s v="HUB"/>
    <x v="8"/>
    <x v="22"/>
    <x v="29"/>
    <s v="SERVIÇO"/>
    <x v="804"/>
    <x v="17"/>
    <n v="294000.96000000002"/>
    <n v="275919.90000000002"/>
    <x v="160"/>
    <x v="54"/>
    <x v="162"/>
    <x v="0"/>
    <n v="0"/>
    <x v="0"/>
    <x v="0"/>
    <s v="PS"/>
    <x v="0"/>
    <m/>
    <m/>
    <m/>
  </r>
  <r>
    <n v="1387"/>
    <s v="SP"/>
    <x v="3"/>
    <x v="8"/>
    <x v="47"/>
    <s v="SERVIÇO"/>
    <x v="805"/>
    <x v="14"/>
    <n v="38570"/>
    <n v="36197.94"/>
    <x v="108"/>
    <x v="39"/>
    <x v="116"/>
    <x v="0"/>
    <m/>
    <x v="0"/>
    <x v="0"/>
    <s v="FS"/>
    <x v="2"/>
    <m/>
    <m/>
    <m/>
  </r>
  <r>
    <n v="1387"/>
    <s v="SP"/>
    <x v="3"/>
    <x v="8"/>
    <x v="47"/>
    <s v="SERVIÇO"/>
    <x v="806"/>
    <x v="14"/>
    <n v="25686.48"/>
    <n v="24106.77"/>
    <x v="108"/>
    <x v="39"/>
    <x v="116"/>
    <x v="0"/>
    <m/>
    <x v="0"/>
    <x v="0"/>
    <s v="FS"/>
    <x v="2"/>
    <m/>
    <m/>
    <m/>
  </r>
  <r>
    <n v="1387"/>
    <s v="SP"/>
    <x v="3"/>
    <x v="8"/>
    <x v="47"/>
    <s v="SERVIÇO"/>
    <x v="807"/>
    <x v="14"/>
    <n v="76103.28"/>
    <n v="71422.929999999993"/>
    <x v="117"/>
    <x v="39"/>
    <x v="116"/>
    <x v="0"/>
    <m/>
    <x v="0"/>
    <x v="0"/>
    <s v="FS"/>
    <x v="2"/>
    <m/>
    <m/>
    <m/>
  </r>
  <r>
    <n v="1387"/>
    <s v="SP"/>
    <x v="3"/>
    <x v="8"/>
    <x v="47"/>
    <s v="SERVIÇO"/>
    <x v="808"/>
    <x v="14"/>
    <n v="8571.36"/>
    <n v="8044.23"/>
    <x v="148"/>
    <x v="37"/>
    <x v="146"/>
    <x v="0"/>
    <m/>
    <x v="0"/>
    <x v="0"/>
    <s v="FS"/>
    <x v="2"/>
    <m/>
    <m/>
    <m/>
  </r>
  <r>
    <n v="1470"/>
    <s v="MATRIZ"/>
    <x v="1"/>
    <x v="24"/>
    <x v="35"/>
    <s v="SERVIÇO"/>
    <x v="809"/>
    <x v="14"/>
    <n v="36700"/>
    <n v="33708.949999999997"/>
    <x v="133"/>
    <x v="20"/>
    <x v="29"/>
    <x v="0"/>
    <n v="0"/>
    <x v="0"/>
    <x v="0"/>
    <s v="UT"/>
    <x v="1"/>
    <m/>
    <m/>
    <m/>
  </r>
  <r>
    <n v="1273"/>
    <s v="HUB"/>
    <x v="6"/>
    <x v="25"/>
    <x v="37"/>
    <s v="SERVIÇO"/>
    <x v="810"/>
    <x v="14"/>
    <n v="568914.26"/>
    <n v="510316.09"/>
    <x v="26"/>
    <x v="51"/>
    <x v="157"/>
    <x v="0"/>
    <n v="0"/>
    <x v="0"/>
    <x v="0"/>
    <s v="PS"/>
    <x v="3"/>
    <m/>
    <m/>
    <m/>
  </r>
  <r>
    <n v="1277"/>
    <s v="HUB"/>
    <x v="6"/>
    <x v="25"/>
    <x v="38"/>
    <s v="SERVIÇO"/>
    <x v="811"/>
    <x v="14"/>
    <n v="154365.24"/>
    <n v="138465.63"/>
    <x v="161"/>
    <x v="19"/>
    <x v="163"/>
    <x v="0"/>
    <n v="0"/>
    <x v="0"/>
    <x v="0"/>
    <s v="PS"/>
    <x v="3"/>
    <m/>
    <m/>
    <m/>
  </r>
  <r>
    <n v="1268"/>
    <s v="SP"/>
    <x v="4"/>
    <x v="6"/>
    <x v="39"/>
    <s v="SERVIÇO"/>
    <x v="812"/>
    <x v="14"/>
    <n v="82737"/>
    <n v="77648.679999999993"/>
    <x v="141"/>
    <x v="43"/>
    <x v="129"/>
    <x v="0"/>
    <n v="0"/>
    <x v="0"/>
    <x v="1"/>
    <s v="FS"/>
    <x v="0"/>
    <m/>
    <m/>
    <m/>
  </r>
  <r>
    <n v="1268"/>
    <s v="SP"/>
    <x v="4"/>
    <x v="6"/>
    <x v="39"/>
    <s v="SERVIÇO"/>
    <x v="813"/>
    <x v="14"/>
    <n v="82737"/>
    <n v="77648.679999999993"/>
    <x v="156"/>
    <x v="20"/>
    <x v="28"/>
    <x v="0"/>
    <n v="0"/>
    <x v="0"/>
    <x v="1"/>
    <s v="FS"/>
    <x v="0"/>
    <m/>
    <m/>
    <m/>
  </r>
  <r>
    <n v="1268"/>
    <s v="SP"/>
    <x v="4"/>
    <x v="6"/>
    <x v="39"/>
    <s v="SERVIÇO"/>
    <x v="814"/>
    <x v="14"/>
    <n v="134712"/>
    <n v="126427.21"/>
    <x v="149"/>
    <x v="18"/>
    <x v="164"/>
    <x v="0"/>
    <n v="0"/>
    <x v="0"/>
    <x v="1"/>
    <s v="FS"/>
    <x v="0"/>
    <m/>
    <m/>
    <m/>
  </r>
  <r>
    <n v="1268"/>
    <s v="SP"/>
    <x v="4"/>
    <x v="6"/>
    <x v="39"/>
    <s v="SERVIÇO"/>
    <x v="815"/>
    <x v="14"/>
    <n v="40342.400000000001"/>
    <n v="37861.339999999997"/>
    <x v="133"/>
    <x v="20"/>
    <x v="29"/>
    <x v="0"/>
    <n v="0"/>
    <x v="0"/>
    <x v="1"/>
    <s v="FS"/>
    <x v="0"/>
    <m/>
    <m/>
    <m/>
  </r>
  <r>
    <n v="1268"/>
    <s v="SP"/>
    <x v="4"/>
    <x v="6"/>
    <x v="39"/>
    <s v="SERVIÇO"/>
    <x v="816"/>
    <x v="14"/>
    <n v="78307.600000000006"/>
    <n v="73491.69"/>
    <x v="133"/>
    <x v="20"/>
    <x v="29"/>
    <x v="0"/>
    <n v="0"/>
    <x v="0"/>
    <x v="1"/>
    <s v="FS"/>
    <x v="0"/>
    <m/>
    <m/>
    <m/>
  </r>
  <r>
    <n v="1268"/>
    <s v="SP"/>
    <x v="4"/>
    <x v="6"/>
    <x v="39"/>
    <s v="SERVIÇO"/>
    <x v="817"/>
    <x v="14"/>
    <n v="1175596.22"/>
    <n v="1103297.05"/>
    <x v="133"/>
    <x v="20"/>
    <x v="29"/>
    <x v="0"/>
    <n v="0"/>
    <x v="0"/>
    <x v="1"/>
    <s v="FS"/>
    <x v="0"/>
    <m/>
    <m/>
    <m/>
  </r>
  <r>
    <n v="1268"/>
    <s v="SP"/>
    <x v="4"/>
    <x v="6"/>
    <x v="39"/>
    <s v="SERVIÇO"/>
    <x v="818"/>
    <x v="14"/>
    <n v="100686.39999999999"/>
    <n v="94494.18"/>
    <x v="133"/>
    <x v="20"/>
    <x v="29"/>
    <x v="0"/>
    <n v="0"/>
    <x v="0"/>
    <x v="1"/>
    <s v="FS"/>
    <x v="0"/>
    <m/>
    <m/>
    <m/>
  </r>
  <r>
    <n v="1483"/>
    <s v="MATRIZ"/>
    <x v="1"/>
    <x v="9"/>
    <x v="9"/>
    <s v="SERVIÇO"/>
    <x v="819"/>
    <x v="14"/>
    <n v="53591.199999999997"/>
    <n v="49527.08"/>
    <x v="133"/>
    <x v="51"/>
    <x v="165"/>
    <x v="0"/>
    <n v="0"/>
    <x v="0"/>
    <x v="0"/>
    <s v="UT"/>
    <x v="0"/>
    <m/>
    <m/>
    <m/>
  </r>
  <r>
    <n v="1483"/>
    <s v="MATRIZ"/>
    <x v="1"/>
    <x v="9"/>
    <x v="9"/>
    <s v="SERVIÇO"/>
    <x v="820"/>
    <x v="14"/>
    <n v="28856.799999999999"/>
    <n v="26062.11"/>
    <x v="133"/>
    <x v="22"/>
    <x v="166"/>
    <x v="0"/>
    <n v="0"/>
    <x v="0"/>
    <x v="0"/>
    <s v="UT"/>
    <x v="0"/>
    <m/>
    <m/>
    <m/>
  </r>
  <r>
    <n v="1275"/>
    <s v="SP"/>
    <x v="4"/>
    <x v="26"/>
    <x v="40"/>
    <s v="SERVIÇO"/>
    <x v="821"/>
    <x v="14"/>
    <n v="16767.240000000002"/>
    <n v="15736.05"/>
    <x v="148"/>
    <x v="20"/>
    <x v="29"/>
    <x v="0"/>
    <n v="0"/>
    <x v="0"/>
    <x v="1"/>
    <s v="FS"/>
    <x v="0"/>
    <m/>
    <m/>
    <m/>
  </r>
  <r>
    <n v="1479"/>
    <s v="SP"/>
    <x v="4"/>
    <x v="26"/>
    <x v="41"/>
    <s v="SERVIÇO"/>
    <x v="822"/>
    <x v="14"/>
    <n v="14880"/>
    <n v="13964.88"/>
    <x v="148"/>
    <x v="20"/>
    <x v="29"/>
    <x v="0"/>
    <n v="0"/>
    <x v="0"/>
    <x v="2"/>
    <s v="FS"/>
    <x v="0"/>
    <m/>
    <m/>
    <m/>
  </r>
  <r>
    <n v="1455"/>
    <s v="MATRIZ"/>
    <x v="2"/>
    <x v="2"/>
    <x v="2"/>
    <s v="SERVIÇO"/>
    <x v="823"/>
    <x v="5"/>
    <n v="54003.39"/>
    <n v="47712"/>
    <x v="155"/>
    <x v="44"/>
    <x v="167"/>
    <x v="0"/>
    <m/>
    <x v="0"/>
    <x v="0"/>
    <s v="MS"/>
    <x v="1"/>
    <m/>
    <m/>
    <m/>
  </r>
  <r>
    <n v="1489"/>
    <s v="SP"/>
    <x v="4"/>
    <x v="32"/>
    <x v="51"/>
    <s v="SERVIÇO"/>
    <x v="824"/>
    <x v="5"/>
    <n v="42812.21"/>
    <n v="40179.26"/>
    <x v="162"/>
    <x v="44"/>
    <x v="168"/>
    <x v="0"/>
    <m/>
    <x v="0"/>
    <x v="2"/>
    <s v="FS"/>
    <x v="0"/>
    <m/>
    <m/>
    <m/>
  </r>
  <r>
    <n v="1357"/>
    <s v="SP"/>
    <x v="4"/>
    <x v="34"/>
    <x v="54"/>
    <s v="SERVIÇO"/>
    <x v="825"/>
    <x v="5"/>
    <n v="14150.77"/>
    <n v="13281.56"/>
    <x v="162"/>
    <x v="54"/>
    <x v="162"/>
    <x v="0"/>
    <m/>
    <x v="0"/>
    <x v="1"/>
    <s v="FS"/>
    <x v="0"/>
    <m/>
    <m/>
    <m/>
  </r>
  <r>
    <n v="1478"/>
    <s v="SP"/>
    <x v="3"/>
    <x v="10"/>
    <x v="10"/>
    <s v="SERVIÇO"/>
    <x v="826"/>
    <x v="5"/>
    <n v="20754.55"/>
    <n v="19478.14"/>
    <x v="163"/>
    <x v="44"/>
    <x v="167"/>
    <x v="0"/>
    <m/>
    <x v="0"/>
    <x v="1"/>
    <s v="FS"/>
    <x v="2"/>
    <m/>
    <m/>
    <m/>
  </r>
  <r>
    <n v="1478"/>
    <s v="SP"/>
    <x v="3"/>
    <x v="10"/>
    <x v="10"/>
    <s v="SERVIÇO"/>
    <x v="827"/>
    <x v="5"/>
    <n v="29087.69"/>
    <n v="27298.79"/>
    <x v="163"/>
    <x v="44"/>
    <x v="167"/>
    <x v="0"/>
    <m/>
    <x v="0"/>
    <x v="1"/>
    <s v="FS"/>
    <x v="2"/>
    <m/>
    <m/>
    <m/>
  </r>
  <r>
    <n v="1478"/>
    <s v="SP"/>
    <x v="3"/>
    <x v="10"/>
    <x v="10"/>
    <s v="SERVIÇO"/>
    <x v="828"/>
    <x v="5"/>
    <n v="13993.56"/>
    <n v="13132.95"/>
    <x v="163"/>
    <x v="44"/>
    <x v="167"/>
    <x v="0"/>
    <m/>
    <x v="0"/>
    <x v="1"/>
    <s v="FS"/>
    <x v="2"/>
    <m/>
    <m/>
    <m/>
  </r>
  <r>
    <n v="1478"/>
    <s v="SP"/>
    <x v="3"/>
    <x v="10"/>
    <x v="10"/>
    <s v="SERVIÇO"/>
    <x v="829"/>
    <x v="5"/>
    <n v="26413.8"/>
    <n v="24789.35"/>
    <x v="163"/>
    <x v="44"/>
    <x v="167"/>
    <x v="0"/>
    <m/>
    <x v="0"/>
    <x v="1"/>
    <s v="FS"/>
    <x v="2"/>
    <m/>
    <m/>
    <m/>
  </r>
  <r>
    <n v="1499"/>
    <s v="MATRIZ"/>
    <x v="3"/>
    <x v="33"/>
    <x v="52"/>
    <s v="SERVIÇO"/>
    <x v="830"/>
    <x v="5"/>
    <n v="52900"/>
    <n v="49646.65"/>
    <x v="164"/>
    <x v="37"/>
    <x v="169"/>
    <x v="0"/>
    <n v="0"/>
    <x v="0"/>
    <x v="1"/>
    <s v="MS"/>
    <x v="2"/>
    <m/>
    <m/>
    <m/>
  </r>
  <r>
    <n v="1391"/>
    <s v="SP"/>
    <x v="3"/>
    <x v="11"/>
    <x v="11"/>
    <s v="SERVIÇO"/>
    <x v="831"/>
    <x v="5"/>
    <n v="117149.53"/>
    <n v="109944.84"/>
    <x v="163"/>
    <x v="37"/>
    <x v="100"/>
    <x v="0"/>
    <n v="0"/>
    <x v="0"/>
    <x v="1"/>
    <s v="FS"/>
    <x v="2"/>
    <m/>
    <m/>
    <m/>
  </r>
  <r>
    <n v="1391"/>
    <s v="SP"/>
    <x v="3"/>
    <x v="11"/>
    <x v="11"/>
    <s v="SERVIÇO"/>
    <x v="832"/>
    <x v="5"/>
    <n v="126870.48"/>
    <n v="119067.94"/>
    <x v="130"/>
    <x v="37"/>
    <x v="169"/>
    <x v="0"/>
    <n v="0"/>
    <x v="0"/>
    <x v="1"/>
    <s v="FS"/>
    <x v="2"/>
    <m/>
    <m/>
    <m/>
  </r>
  <r>
    <n v="1391"/>
    <s v="SP"/>
    <x v="3"/>
    <x v="11"/>
    <x v="11"/>
    <s v="SERVIÇO"/>
    <x v="833"/>
    <x v="5"/>
    <n v="152052.48000000001"/>
    <n v="142701.25"/>
    <x v="165"/>
    <x v="37"/>
    <x v="146"/>
    <x v="0"/>
    <n v="0"/>
    <x v="0"/>
    <x v="1"/>
    <s v="FS"/>
    <x v="2"/>
    <m/>
    <m/>
    <m/>
  </r>
  <r>
    <n v="1391"/>
    <s v="SP"/>
    <x v="3"/>
    <x v="11"/>
    <x v="11"/>
    <s v="SERVIÇO"/>
    <x v="834"/>
    <x v="5"/>
    <n v="293858.01"/>
    <n v="275785.74"/>
    <x v="165"/>
    <x v="37"/>
    <x v="146"/>
    <x v="0"/>
    <n v="0"/>
    <x v="0"/>
    <x v="1"/>
    <s v="FS"/>
    <x v="2"/>
    <m/>
    <m/>
    <m/>
  </r>
  <r>
    <n v="1391"/>
    <s v="SP"/>
    <x v="3"/>
    <x v="11"/>
    <x v="11"/>
    <s v="SERVIÇO"/>
    <x v="835"/>
    <x v="5"/>
    <n v="151942.25"/>
    <n v="142597.81"/>
    <x v="165"/>
    <x v="37"/>
    <x v="146"/>
    <x v="0"/>
    <n v="0"/>
    <x v="0"/>
    <x v="1"/>
    <s v="FS"/>
    <x v="2"/>
    <m/>
    <m/>
    <m/>
  </r>
  <r>
    <n v="1391"/>
    <s v="SP"/>
    <x v="3"/>
    <x v="11"/>
    <x v="11"/>
    <s v="SERVIÇO"/>
    <x v="836"/>
    <x v="5"/>
    <n v="11725.44"/>
    <n v="11004.33"/>
    <x v="165"/>
    <x v="37"/>
    <x v="146"/>
    <x v="0"/>
    <n v="0"/>
    <x v="0"/>
    <x v="1"/>
    <s v="FS"/>
    <x v="2"/>
    <m/>
    <m/>
    <m/>
  </r>
  <r>
    <n v="1391"/>
    <s v="SP"/>
    <x v="3"/>
    <x v="11"/>
    <x v="11"/>
    <s v="SERVIÇO"/>
    <x v="837"/>
    <x v="5"/>
    <n v="113460.48"/>
    <n v="106482.66"/>
    <x v="166"/>
    <x v="37"/>
    <x v="170"/>
    <x v="0"/>
    <n v="0"/>
    <x v="0"/>
    <x v="1"/>
    <s v="FS"/>
    <x v="2"/>
    <m/>
    <m/>
    <m/>
  </r>
  <r>
    <n v="1391"/>
    <s v="SP"/>
    <x v="3"/>
    <x v="11"/>
    <x v="11"/>
    <s v="SERVIÇO"/>
    <x v="838"/>
    <x v="5"/>
    <n v="42646.559999999998"/>
    <n v="40023.79"/>
    <x v="166"/>
    <x v="37"/>
    <x v="170"/>
    <x v="0"/>
    <n v="0"/>
    <x v="0"/>
    <x v="1"/>
    <s v="FS"/>
    <x v="2"/>
    <m/>
    <m/>
    <m/>
  </r>
  <r>
    <n v="1391"/>
    <s v="SP"/>
    <x v="3"/>
    <x v="11"/>
    <x v="11"/>
    <s v="SERVIÇO"/>
    <x v="839"/>
    <x v="5"/>
    <n v="204716.49"/>
    <n v="192126.42"/>
    <x v="166"/>
    <x v="37"/>
    <x v="170"/>
    <x v="0"/>
    <n v="0"/>
    <x v="0"/>
    <x v="1"/>
    <s v="FS"/>
    <x v="2"/>
    <m/>
    <m/>
    <m/>
  </r>
  <r>
    <n v="1391"/>
    <s v="SP"/>
    <x v="3"/>
    <x v="11"/>
    <x v="11"/>
    <s v="SERVIÇO"/>
    <x v="840"/>
    <x v="5"/>
    <n v="1111.48"/>
    <n v="1043.1400000000001"/>
    <x v="167"/>
    <x v="44"/>
    <x v="167"/>
    <x v="0"/>
    <n v="0"/>
    <x v="0"/>
    <x v="1"/>
    <s v="FS"/>
    <x v="2"/>
    <m/>
    <m/>
    <m/>
  </r>
  <r>
    <n v="1294"/>
    <s v="SP"/>
    <x v="3"/>
    <x v="11"/>
    <x v="12"/>
    <s v="SERVIÇO"/>
    <x v="841"/>
    <x v="5"/>
    <n v="212256"/>
    <n v="199202.26"/>
    <x v="163"/>
    <x v="37"/>
    <x v="100"/>
    <x v="0"/>
    <n v="0"/>
    <x v="0"/>
    <x v="1"/>
    <s v="FS"/>
    <x v="2"/>
    <m/>
    <m/>
    <m/>
  </r>
  <r>
    <n v="1294"/>
    <s v="SP"/>
    <x v="3"/>
    <x v="11"/>
    <x v="12"/>
    <s v="SERVIÇO"/>
    <x v="842"/>
    <x v="5"/>
    <n v="228465.44"/>
    <n v="214414.82"/>
    <x v="165"/>
    <x v="37"/>
    <x v="146"/>
    <x v="0"/>
    <n v="0"/>
    <x v="0"/>
    <x v="1"/>
    <s v="FS"/>
    <x v="2"/>
    <m/>
    <m/>
    <m/>
  </r>
  <r>
    <n v="1294"/>
    <s v="SP"/>
    <x v="3"/>
    <x v="11"/>
    <x v="12"/>
    <s v="SERVIÇO"/>
    <x v="843"/>
    <x v="5"/>
    <n v="185528.51"/>
    <n v="174118.5"/>
    <x v="165"/>
    <x v="37"/>
    <x v="146"/>
    <x v="0"/>
    <n v="0"/>
    <x v="0"/>
    <x v="1"/>
    <s v="FS"/>
    <x v="2"/>
    <m/>
    <m/>
    <m/>
  </r>
  <r>
    <n v="1294"/>
    <s v="SP"/>
    <x v="3"/>
    <x v="11"/>
    <x v="12"/>
    <s v="SERVIÇO"/>
    <x v="844"/>
    <x v="5"/>
    <n v="167314.19"/>
    <n v="157024.37"/>
    <x v="165"/>
    <x v="37"/>
    <x v="146"/>
    <x v="0"/>
    <n v="0"/>
    <x v="0"/>
    <x v="1"/>
    <s v="FS"/>
    <x v="2"/>
    <m/>
    <m/>
    <m/>
  </r>
  <r>
    <n v="1294"/>
    <s v="SP"/>
    <x v="3"/>
    <x v="11"/>
    <x v="12"/>
    <s v="SERVIÇO"/>
    <x v="845"/>
    <x v="5"/>
    <n v="166765.92000000001"/>
    <n v="156509.81"/>
    <x v="165"/>
    <x v="37"/>
    <x v="146"/>
    <x v="0"/>
    <n v="0"/>
    <x v="0"/>
    <x v="1"/>
    <s v="FS"/>
    <x v="2"/>
    <m/>
    <m/>
    <m/>
  </r>
  <r>
    <n v="1294"/>
    <s v="SP"/>
    <x v="3"/>
    <x v="11"/>
    <x v="12"/>
    <s v="SERVIÇO"/>
    <x v="846"/>
    <x v="5"/>
    <n v="165207.51"/>
    <n v="155047.25"/>
    <x v="165"/>
    <x v="37"/>
    <x v="146"/>
    <x v="0"/>
    <n v="0"/>
    <x v="0"/>
    <x v="1"/>
    <s v="FS"/>
    <x v="2"/>
    <m/>
    <m/>
    <m/>
  </r>
  <r>
    <n v="1294"/>
    <s v="SP"/>
    <x v="3"/>
    <x v="11"/>
    <x v="12"/>
    <s v="SERVIÇO"/>
    <x v="847"/>
    <x v="5"/>
    <n v="274566"/>
    <n v="257680.19"/>
    <x v="168"/>
    <x v="37"/>
    <x v="170"/>
    <x v="0"/>
    <n v="0"/>
    <x v="0"/>
    <x v="1"/>
    <s v="FS"/>
    <x v="2"/>
    <m/>
    <m/>
    <m/>
  </r>
  <r>
    <n v="1285"/>
    <s v="SP"/>
    <x v="3"/>
    <x v="11"/>
    <x v="14"/>
    <s v="SERVIÇO"/>
    <x v="848"/>
    <x v="5"/>
    <n v="13375.12"/>
    <n v="12552.55"/>
    <x v="154"/>
    <x v="37"/>
    <x v="146"/>
    <x v="0"/>
    <n v="0"/>
    <x v="0"/>
    <x v="1"/>
    <s v="FS"/>
    <x v="2"/>
    <m/>
    <m/>
    <m/>
  </r>
  <r>
    <n v="1285"/>
    <s v="SP"/>
    <x v="3"/>
    <x v="11"/>
    <x v="14"/>
    <s v="SERVIÇO"/>
    <x v="849"/>
    <x v="5"/>
    <n v="25534.32"/>
    <n v="23963.97"/>
    <x v="169"/>
    <x v="48"/>
    <x v="171"/>
    <x v="0"/>
    <n v="0"/>
    <x v="0"/>
    <x v="1"/>
    <s v="FS"/>
    <x v="2"/>
    <m/>
    <m/>
    <m/>
  </r>
  <r>
    <n v="1292"/>
    <s v="SP"/>
    <x v="3"/>
    <x v="3"/>
    <x v="3"/>
    <s v="SERVIÇO"/>
    <x v="850"/>
    <x v="5"/>
    <n v="136391.20000000001"/>
    <n v="128003.14"/>
    <x v="165"/>
    <x v="37"/>
    <x v="146"/>
    <x v="0"/>
    <n v="0"/>
    <x v="0"/>
    <x v="1"/>
    <s v="FS"/>
    <x v="2"/>
    <m/>
    <m/>
    <m/>
  </r>
  <r>
    <n v="1292"/>
    <s v="SP"/>
    <x v="3"/>
    <x v="3"/>
    <x v="3"/>
    <s v="SERVIÇO"/>
    <x v="851"/>
    <x v="5"/>
    <n v="34633.19"/>
    <n v="32503.24"/>
    <x v="166"/>
    <x v="37"/>
    <x v="170"/>
    <x v="0"/>
    <n v="0"/>
    <x v="0"/>
    <x v="1"/>
    <s v="FS"/>
    <x v="2"/>
    <m/>
    <m/>
    <m/>
  </r>
  <r>
    <n v="1292"/>
    <s v="SP"/>
    <x v="3"/>
    <x v="3"/>
    <x v="3"/>
    <s v="SERVIÇO"/>
    <x v="852"/>
    <x v="5"/>
    <n v="134253.73000000001"/>
    <n v="125997.12"/>
    <x v="168"/>
    <x v="37"/>
    <x v="172"/>
    <x v="0"/>
    <n v="0"/>
    <x v="0"/>
    <x v="1"/>
    <s v="FS"/>
    <x v="2"/>
    <m/>
    <m/>
    <m/>
  </r>
  <r>
    <n v="1292"/>
    <s v="SP"/>
    <x v="3"/>
    <x v="3"/>
    <x v="3"/>
    <s v="SERVIÇO"/>
    <x v="853"/>
    <x v="5"/>
    <n v="31008"/>
    <n v="29101.01"/>
    <x v="168"/>
    <x v="37"/>
    <x v="172"/>
    <x v="0"/>
    <n v="0"/>
    <x v="0"/>
    <x v="1"/>
    <s v="FS"/>
    <x v="2"/>
    <m/>
    <m/>
    <m/>
  </r>
  <r>
    <n v="1292"/>
    <s v="SP"/>
    <x v="3"/>
    <x v="3"/>
    <x v="3"/>
    <s v="SERVIÇO"/>
    <x v="854"/>
    <x v="5"/>
    <n v="16152.4"/>
    <n v="15159.02"/>
    <x v="168"/>
    <x v="44"/>
    <x v="168"/>
    <x v="0"/>
    <n v="0"/>
    <x v="0"/>
    <x v="1"/>
    <s v="FS"/>
    <x v="2"/>
    <m/>
    <m/>
    <m/>
  </r>
  <r>
    <n v="1484"/>
    <s v="SP"/>
    <x v="3"/>
    <x v="3"/>
    <x v="42"/>
    <s v="SERVIÇO"/>
    <x v="855"/>
    <x v="5"/>
    <n v="36601.06"/>
    <n v="34350.089999999997"/>
    <x v="163"/>
    <x v="37"/>
    <x v="172"/>
    <x v="0"/>
    <n v="0"/>
    <x v="0"/>
    <x v="2"/>
    <s v="FS"/>
    <x v="2"/>
    <m/>
    <m/>
    <m/>
  </r>
  <r>
    <n v="1484"/>
    <s v="SP"/>
    <x v="3"/>
    <x v="3"/>
    <x v="42"/>
    <s v="SERVIÇO"/>
    <x v="856"/>
    <x v="5"/>
    <n v="61248"/>
    <n v="57481.25"/>
    <x v="165"/>
    <x v="37"/>
    <x v="146"/>
    <x v="0"/>
    <n v="0"/>
    <x v="0"/>
    <x v="2"/>
    <s v="FS"/>
    <x v="2"/>
    <m/>
    <m/>
    <m/>
  </r>
  <r>
    <n v="1398"/>
    <s v="MATRIZ"/>
    <x v="1"/>
    <x v="1"/>
    <x v="1"/>
    <s v="SERVIÇO"/>
    <x v="857"/>
    <x v="5"/>
    <n v="48000"/>
    <n v="45048"/>
    <x v="164"/>
    <x v="47"/>
    <x v="147"/>
    <x v="0"/>
    <n v="0"/>
    <x v="0"/>
    <x v="0"/>
    <s v="UT"/>
    <x v="0"/>
    <m/>
    <m/>
    <m/>
  </r>
  <r>
    <n v="1398"/>
    <s v="MATRIZ"/>
    <x v="1"/>
    <x v="1"/>
    <x v="1"/>
    <s v="SERVIÇO"/>
    <x v="858"/>
    <x v="5"/>
    <n v="26093.54"/>
    <n v="24488.78"/>
    <x v="170"/>
    <x v="49"/>
    <x v="173"/>
    <x v="0"/>
    <n v="0"/>
    <x v="0"/>
    <x v="0"/>
    <s v="UT"/>
    <x v="0"/>
    <m/>
    <m/>
    <m/>
  </r>
  <r>
    <n v="1398"/>
    <s v="MATRIZ"/>
    <x v="1"/>
    <x v="1"/>
    <x v="1"/>
    <s v="SERVIÇO"/>
    <x v="859"/>
    <x v="12"/>
    <n v="75919.81"/>
    <n v="71250.740000000005"/>
    <x v="171"/>
    <x v="33"/>
    <x v="78"/>
    <x v="0"/>
    <n v="0"/>
    <x v="0"/>
    <x v="0"/>
    <s v="UT"/>
    <x v="0"/>
    <m/>
    <m/>
    <m/>
  </r>
  <r>
    <n v="1398"/>
    <s v="MATRIZ"/>
    <x v="1"/>
    <x v="1"/>
    <x v="1"/>
    <s v="SERVIÇO"/>
    <x v="860"/>
    <x v="5"/>
    <n v="5562"/>
    <n v="5219.9399999999996"/>
    <x v="172"/>
    <x v="55"/>
    <x v="174"/>
    <x v="0"/>
    <n v="0"/>
    <x v="0"/>
    <x v="0"/>
    <s v="UT"/>
    <x v="0"/>
    <m/>
    <m/>
    <m/>
  </r>
  <r>
    <n v="1398"/>
    <s v="MATRIZ"/>
    <x v="1"/>
    <x v="1"/>
    <x v="1"/>
    <s v="SERVIÇO"/>
    <x v="861"/>
    <x v="18"/>
    <n v="3202.73"/>
    <n v="2927.12"/>
    <x v="173"/>
    <x v="9"/>
    <x v="175"/>
    <x v="0"/>
    <n v="0"/>
    <x v="0"/>
    <x v="0"/>
    <s v="UT"/>
    <x v="0"/>
    <m/>
    <m/>
    <m/>
  </r>
  <r>
    <n v="1393"/>
    <s v="MATRIZ"/>
    <x v="2"/>
    <x v="27"/>
    <x v="15"/>
    <s v="SERVIÇO"/>
    <x v="862"/>
    <x v="5"/>
    <n v="473894.04"/>
    <n v="425082.96"/>
    <x v="130"/>
    <x v="44"/>
    <x v="176"/>
    <x v="0"/>
    <n v="0"/>
    <x v="0"/>
    <x v="0"/>
    <s v="PS"/>
    <x v="1"/>
    <m/>
    <m/>
    <m/>
  </r>
  <r>
    <n v="1476"/>
    <s v="MATRIZ"/>
    <x v="2"/>
    <x v="13"/>
    <x v="16"/>
    <s v="SERVIÇO"/>
    <x v="863"/>
    <x v="5"/>
    <n v="495.3"/>
    <n v="444.28"/>
    <x v="164"/>
    <x v="37"/>
    <x v="172"/>
    <x v="0"/>
    <m/>
    <x v="0"/>
    <x v="0"/>
    <s v="PS"/>
    <x v="1"/>
    <m/>
    <m/>
    <m/>
  </r>
  <r>
    <n v="1476"/>
    <s v="MATRIZ"/>
    <x v="2"/>
    <x v="13"/>
    <x v="16"/>
    <s v="SERVIÇO"/>
    <x v="864"/>
    <x v="5"/>
    <n v="318628.40000000002"/>
    <n v="285809.68"/>
    <x v="163"/>
    <x v="37"/>
    <x v="172"/>
    <x v="0"/>
    <m/>
    <x v="0"/>
    <x v="0"/>
    <s v="PS"/>
    <x v="1"/>
    <m/>
    <m/>
    <m/>
  </r>
  <r>
    <n v="1296"/>
    <s v="MATRIZ"/>
    <x v="0"/>
    <x v="4"/>
    <x v="34"/>
    <s v="SERVIÇO"/>
    <x v="865"/>
    <x v="5"/>
    <n v="818703.81"/>
    <n v="751979.46"/>
    <x v="130"/>
    <x v="37"/>
    <x v="169"/>
    <x v="0"/>
    <m/>
    <x v="0"/>
    <x v="0"/>
    <s v="UT"/>
    <x v="0"/>
    <m/>
    <m/>
    <m/>
  </r>
  <r>
    <n v="1300"/>
    <s v="HUB"/>
    <x v="0"/>
    <x v="4"/>
    <x v="4"/>
    <s v="SERVIÇO"/>
    <x v="866"/>
    <x v="5"/>
    <n v="287717.94"/>
    <n v="264268.92"/>
    <x v="168"/>
    <x v="22"/>
    <x v="32"/>
    <x v="0"/>
    <n v="0"/>
    <x v="0"/>
    <x v="0"/>
    <s v="UT"/>
    <x v="0"/>
    <m/>
    <m/>
    <m/>
  </r>
  <r>
    <n v="1290"/>
    <s v="MATRIZ"/>
    <x v="2"/>
    <x v="14"/>
    <x v="17"/>
    <s v="SERVIÇO"/>
    <x v="867"/>
    <x v="5"/>
    <n v="53175.27"/>
    <n v="46980.35"/>
    <x v="174"/>
    <x v="50"/>
    <x v="151"/>
    <x v="0"/>
    <n v="0"/>
    <x v="0"/>
    <x v="0"/>
    <s v="UT"/>
    <x v="1"/>
    <m/>
    <m/>
    <m/>
  </r>
  <r>
    <n v="1490"/>
    <s v="MATRIZ"/>
    <x v="2"/>
    <x v="14"/>
    <x v="43"/>
    <s v="SERVIÇO"/>
    <x v="868"/>
    <x v="5"/>
    <n v="2300"/>
    <n v="2032.05"/>
    <x v="163"/>
    <x v="50"/>
    <x v="151"/>
    <x v="0"/>
    <n v="0"/>
    <x v="0"/>
    <x v="0"/>
    <s v="UT"/>
    <x v="1"/>
    <m/>
    <m/>
    <m/>
  </r>
  <r>
    <n v="1480"/>
    <s v="SP"/>
    <x v="4"/>
    <x v="31"/>
    <x v="48"/>
    <s v="SERVIÇO"/>
    <x v="869"/>
    <x v="5"/>
    <n v="331667.28000000003"/>
    <n v="311269.74"/>
    <x v="170"/>
    <x v="37"/>
    <x v="170"/>
    <x v="0"/>
    <m/>
    <x v="0"/>
    <x v="1"/>
    <s v="FS"/>
    <x v="0"/>
    <m/>
    <m/>
    <m/>
  </r>
  <r>
    <n v="1475"/>
    <s v="MATRIZ"/>
    <x v="6"/>
    <x v="15"/>
    <x v="18"/>
    <s v="SERVIÇO"/>
    <x v="870"/>
    <x v="5"/>
    <n v="70696.11"/>
    <n v="63414.42"/>
    <x v="155"/>
    <x v="51"/>
    <x v="165"/>
    <x v="0"/>
    <n v="0"/>
    <x v="0"/>
    <x v="1"/>
    <s v="PS"/>
    <x v="3"/>
    <m/>
    <m/>
    <m/>
  </r>
  <r>
    <n v="1472"/>
    <s v="SP"/>
    <x v="3"/>
    <x v="28"/>
    <x v="44"/>
    <s v="SERVIÇO"/>
    <x v="871"/>
    <x v="5"/>
    <n v="100742.39999999999"/>
    <n v="94546.74"/>
    <x v="175"/>
    <x v="19"/>
    <x v="26"/>
    <x v="0"/>
    <m/>
    <x v="0"/>
    <x v="2"/>
    <s v="FS"/>
    <x v="2"/>
    <m/>
    <m/>
    <m/>
  </r>
  <r>
    <n v="1378"/>
    <s v="MATRIZ"/>
    <x v="4"/>
    <x v="5"/>
    <x v="5"/>
    <s v="SERVIÇO"/>
    <x v="872"/>
    <x v="5"/>
    <n v="4281.29"/>
    <n v="4017.99"/>
    <x v="176"/>
    <x v="50"/>
    <x v="151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873"/>
    <x v="5"/>
    <n v="38395.360000000001"/>
    <n v="34440.629999999997"/>
    <x v="158"/>
    <x v="22"/>
    <x v="166"/>
    <x v="0"/>
    <n v="0"/>
    <x v="0"/>
    <x v="0"/>
    <s v="PS"/>
    <x v="1"/>
    <m/>
    <m/>
    <m/>
  </r>
  <r>
    <n v="1358"/>
    <s v="MATRIZ"/>
    <x v="2"/>
    <x v="16"/>
    <x v="19"/>
    <s v="SERVIÇO"/>
    <x v="874"/>
    <x v="5"/>
    <n v="89150.64"/>
    <n v="79968.13"/>
    <x v="168"/>
    <x v="37"/>
    <x v="172"/>
    <x v="0"/>
    <n v="0"/>
    <x v="0"/>
    <x v="0"/>
    <s v="PS"/>
    <x v="1"/>
    <m/>
    <m/>
    <m/>
  </r>
  <r>
    <n v="1358"/>
    <s v="MATRIZ"/>
    <x v="2"/>
    <x v="16"/>
    <x v="19"/>
    <s v="SERVIÇO"/>
    <x v="875"/>
    <x v="5"/>
    <n v="8202.98"/>
    <n v="7358.08"/>
    <x v="168"/>
    <x v="49"/>
    <x v="177"/>
    <x v="0"/>
    <n v="0"/>
    <x v="0"/>
    <x v="0"/>
    <s v="PS"/>
    <x v="1"/>
    <m/>
    <m/>
    <m/>
  </r>
  <r>
    <n v="1473"/>
    <s v="MATRIZ"/>
    <x v="2"/>
    <x v="17"/>
    <x v="20"/>
    <s v="SERVIÇO"/>
    <x v="876"/>
    <x v="5"/>
    <n v="55544.98"/>
    <n v="51767.92"/>
    <x v="177"/>
    <x v="49"/>
    <x v="177"/>
    <x v="0"/>
    <n v="0"/>
    <x v="0"/>
    <x v="0"/>
    <s v="PS"/>
    <x v="1"/>
    <m/>
    <m/>
    <m/>
  </r>
  <r>
    <n v="1473"/>
    <s v="MATRIZ"/>
    <x v="2"/>
    <x v="17"/>
    <x v="20"/>
    <s v="SERVIÇO"/>
    <x v="877"/>
    <x v="5"/>
    <n v="236280.79"/>
    <n v="220180.69"/>
    <x v="178"/>
    <x v="47"/>
    <x v="178"/>
    <x v="0"/>
    <n v="0"/>
    <x v="0"/>
    <x v="0"/>
    <s v="PS"/>
    <x v="1"/>
    <m/>
    <m/>
    <m/>
  </r>
  <r>
    <n v="1462"/>
    <s v="MATRIZ"/>
    <x v="1"/>
    <x v="18"/>
    <x v="21"/>
    <s v="SERVIÇO"/>
    <x v="878"/>
    <x v="5"/>
    <n v="1342.67"/>
    <n v="1260.0899999999999"/>
    <x v="130"/>
    <x v="51"/>
    <x v="157"/>
    <x v="0"/>
    <n v="0"/>
    <x v="0"/>
    <x v="0"/>
    <s v="MS"/>
    <x v="0"/>
    <m/>
    <m/>
    <m/>
  </r>
  <r>
    <n v="1390"/>
    <s v="HUB"/>
    <x v="0"/>
    <x v="0"/>
    <x v="0"/>
    <s v="SERVIÇO"/>
    <x v="0"/>
    <x v="0"/>
    <n v="34342.573333333334"/>
    <n v="32301.82"/>
    <x v="0"/>
    <x v="52"/>
    <x v="158"/>
    <x v="0"/>
    <n v="0"/>
    <x v="0"/>
    <x v="0"/>
    <s v="UT"/>
    <x v="0"/>
    <s v="SIM"/>
    <s v="RECUPERAÇÃO JUDICIAL"/>
    <m/>
  </r>
  <r>
    <n v="1260"/>
    <s v="SP"/>
    <x v="4"/>
    <x v="19"/>
    <x v="22"/>
    <s v="SERVIÇO"/>
    <x v="879"/>
    <x v="5"/>
    <n v="10914"/>
    <n v="10242.790000000001"/>
    <x v="158"/>
    <x v="22"/>
    <x v="166"/>
    <x v="0"/>
    <n v="0"/>
    <x v="0"/>
    <x v="1"/>
    <s v="MS"/>
    <x v="0"/>
    <m/>
    <m/>
    <m/>
  </r>
  <r>
    <n v="1485"/>
    <s v="SP"/>
    <x v="4"/>
    <x v="30"/>
    <x v="50"/>
    <s v="SERVIÇO"/>
    <x v="880"/>
    <x v="5"/>
    <n v="27092.86"/>
    <n v="25426.65"/>
    <x v="155"/>
    <x v="53"/>
    <x v="159"/>
    <x v="0"/>
    <m/>
    <x v="0"/>
    <x v="1"/>
    <s v="FS"/>
    <x v="0"/>
    <m/>
    <m/>
    <m/>
  </r>
  <r>
    <n v="1482"/>
    <s v="MATRIZ"/>
    <x v="0"/>
    <x v="4"/>
    <x v="23"/>
    <s v="SERVIÇO"/>
    <x v="881"/>
    <x v="5"/>
    <n v="39000"/>
    <n v="35236.5"/>
    <x v="158"/>
    <x v="37"/>
    <x v="172"/>
    <x v="0"/>
    <m/>
    <x v="0"/>
    <x v="0"/>
    <s v="UT"/>
    <x v="0"/>
    <m/>
    <m/>
    <m/>
  </r>
  <r>
    <n v="1262"/>
    <s v="SP"/>
    <x v="4"/>
    <x v="20"/>
    <x v="24"/>
    <s v="SERVIÇO"/>
    <x v="882"/>
    <x v="5"/>
    <n v="32213.51"/>
    <n v="30232.37"/>
    <x v="179"/>
    <x v="37"/>
    <x v="172"/>
    <x v="0"/>
    <n v="0"/>
    <x v="0"/>
    <x v="1"/>
    <s v="FS"/>
    <x v="0"/>
    <m/>
    <m/>
    <m/>
  </r>
  <r>
    <n v="1360"/>
    <s v="SP"/>
    <x v="3"/>
    <x v="8"/>
    <x v="8"/>
    <s v="SERVIÇO"/>
    <x v="883"/>
    <x v="14"/>
    <n v="26435.279999999999"/>
    <n v="24809.51"/>
    <x v="148"/>
    <x v="37"/>
    <x v="146"/>
    <x v="0"/>
    <m/>
    <x v="0"/>
    <x v="1"/>
    <s v="FS"/>
    <x v="2"/>
    <m/>
    <m/>
    <m/>
  </r>
  <r>
    <n v="1262"/>
    <s v="SP"/>
    <x v="4"/>
    <x v="20"/>
    <x v="24"/>
    <s v="SERVIÇO"/>
    <x v="884"/>
    <x v="5"/>
    <n v="12185.04"/>
    <n v="11435.66"/>
    <x v="179"/>
    <x v="37"/>
    <x v="172"/>
    <x v="0"/>
    <n v="0"/>
    <x v="0"/>
    <x v="1"/>
    <s v="FS"/>
    <x v="0"/>
    <m/>
    <m/>
    <m/>
  </r>
  <r>
    <n v="1262"/>
    <s v="SP"/>
    <x v="4"/>
    <x v="20"/>
    <x v="24"/>
    <s v="SERVIÇO"/>
    <x v="885"/>
    <x v="5"/>
    <n v="55484.9"/>
    <n v="52072.58"/>
    <x v="179"/>
    <x v="37"/>
    <x v="172"/>
    <x v="0"/>
    <n v="0"/>
    <x v="0"/>
    <x v="1"/>
    <s v="FS"/>
    <x v="0"/>
    <m/>
    <m/>
    <m/>
  </r>
  <r>
    <n v="1262"/>
    <s v="SP"/>
    <x v="4"/>
    <x v="20"/>
    <x v="24"/>
    <s v="SERVIÇO"/>
    <x v="886"/>
    <x v="5"/>
    <n v="5222.16"/>
    <n v="4901.01"/>
    <x v="179"/>
    <x v="37"/>
    <x v="172"/>
    <x v="0"/>
    <n v="0"/>
    <x v="0"/>
    <x v="1"/>
    <s v="FS"/>
    <x v="0"/>
    <m/>
    <m/>
    <m/>
  </r>
  <r>
    <n v="1269"/>
    <s v="SP"/>
    <x v="4"/>
    <x v="20"/>
    <x v="25"/>
    <s v="SERVIÇO"/>
    <x v="887"/>
    <x v="5"/>
    <n v="198578.23"/>
    <n v="186365.67"/>
    <x v="179"/>
    <x v="37"/>
    <x v="172"/>
    <x v="0"/>
    <n v="0"/>
    <x v="0"/>
    <x v="0"/>
    <s v="FS"/>
    <x v="0"/>
    <m/>
    <m/>
    <m/>
  </r>
  <r>
    <n v="1269"/>
    <s v="SP"/>
    <x v="4"/>
    <x v="20"/>
    <x v="25"/>
    <s v="SERVIÇO"/>
    <x v="888"/>
    <x v="5"/>
    <n v="9979.68"/>
    <n v="9365.92"/>
    <x v="179"/>
    <x v="37"/>
    <x v="172"/>
    <x v="0"/>
    <n v="0"/>
    <x v="0"/>
    <x v="0"/>
    <s v="FS"/>
    <x v="0"/>
    <m/>
    <m/>
    <m/>
  </r>
  <r>
    <n v="1269"/>
    <s v="SP"/>
    <x v="4"/>
    <x v="20"/>
    <x v="25"/>
    <s v="SERVIÇO"/>
    <x v="889"/>
    <x v="5"/>
    <n v="10876.23"/>
    <n v="10207.34"/>
    <x v="179"/>
    <x v="37"/>
    <x v="172"/>
    <x v="0"/>
    <n v="0"/>
    <x v="0"/>
    <x v="0"/>
    <s v="FS"/>
    <x v="0"/>
    <m/>
    <m/>
    <m/>
  </r>
  <r>
    <n v="1269"/>
    <s v="SP"/>
    <x v="4"/>
    <x v="20"/>
    <x v="25"/>
    <s v="SERVIÇO"/>
    <x v="890"/>
    <x v="5"/>
    <n v="6655.99"/>
    <n v="6246.65"/>
    <x v="179"/>
    <x v="37"/>
    <x v="172"/>
    <x v="0"/>
    <n v="0"/>
    <x v="0"/>
    <x v="0"/>
    <s v="FS"/>
    <x v="0"/>
    <m/>
    <m/>
    <m/>
  </r>
  <r>
    <n v="1269"/>
    <s v="SP"/>
    <x v="4"/>
    <x v="20"/>
    <x v="25"/>
    <s v="SERVIÇO"/>
    <x v="891"/>
    <x v="5"/>
    <n v="30699.39"/>
    <n v="28811.38"/>
    <x v="179"/>
    <x v="37"/>
    <x v="172"/>
    <x v="0"/>
    <n v="0"/>
    <x v="0"/>
    <x v="0"/>
    <s v="FS"/>
    <x v="0"/>
    <m/>
    <m/>
    <m/>
  </r>
  <r>
    <n v="1400"/>
    <s v="SP"/>
    <x v="7"/>
    <x v="21"/>
    <x v="26"/>
    <s v="SERVIÇO"/>
    <x v="892"/>
    <x v="5"/>
    <n v="77751.44"/>
    <n v="70248.429999999993"/>
    <x v="167"/>
    <x v="44"/>
    <x v="168"/>
    <x v="0"/>
    <m/>
    <x v="0"/>
    <x v="1"/>
    <s v="UT"/>
    <x v="2"/>
    <m/>
    <m/>
    <m/>
  </r>
  <r>
    <n v="1400"/>
    <s v="SP"/>
    <x v="7"/>
    <x v="21"/>
    <x v="26"/>
    <s v="SERVIÇO"/>
    <x v="893"/>
    <x v="5"/>
    <n v="524581.19999999995"/>
    <n v="473959.12"/>
    <x v="146"/>
    <x v="16"/>
    <x v="50"/>
    <x v="0"/>
    <m/>
    <x v="0"/>
    <x v="1"/>
    <s v="UT"/>
    <x v="2"/>
    <m/>
    <m/>
    <m/>
  </r>
  <r>
    <n v="1366"/>
    <s v="HUB"/>
    <x v="7"/>
    <x v="21"/>
    <x v="27"/>
    <s v="SERVIÇO"/>
    <x v="894"/>
    <x v="5"/>
    <n v="338807.37"/>
    <n v="306112.39"/>
    <x v="167"/>
    <x v="44"/>
    <x v="168"/>
    <x v="0"/>
    <n v="0"/>
    <x v="0"/>
    <x v="0"/>
    <s v="UT"/>
    <x v="2"/>
    <m/>
    <m/>
    <m/>
  </r>
  <r>
    <n v="1388"/>
    <s v="SP"/>
    <x v="7"/>
    <x v="21"/>
    <x v="28"/>
    <s v="SERVIÇO"/>
    <x v="895"/>
    <x v="5"/>
    <n v="189134.02"/>
    <n v="170882.6"/>
    <x v="18"/>
    <x v="56"/>
    <x v="179"/>
    <x v="0"/>
    <m/>
    <x v="0"/>
    <x v="1"/>
    <s v="UT"/>
    <x v="2"/>
    <m/>
    <m/>
    <m/>
  </r>
  <r>
    <n v="1298"/>
    <s v="HUB"/>
    <x v="8"/>
    <x v="22"/>
    <x v="29"/>
    <s v="SERVIÇO"/>
    <x v="896"/>
    <x v="5"/>
    <n v="275594.28999999998"/>
    <n v="258645.25"/>
    <x v="179"/>
    <x v="37"/>
    <x v="172"/>
    <x v="0"/>
    <m/>
    <x v="0"/>
    <x v="0"/>
    <s v="PS"/>
    <x v="0"/>
    <m/>
    <m/>
    <m/>
  </r>
  <r>
    <n v="1289"/>
    <s v="HUB"/>
    <x v="6"/>
    <x v="23"/>
    <x v="30"/>
    <s v="SERVIÇO"/>
    <x v="897"/>
    <x v="5"/>
    <n v="288631.78000000003"/>
    <n v="269004.81"/>
    <x v="130"/>
    <x v="37"/>
    <x v="169"/>
    <x v="0"/>
    <m/>
    <x v="0"/>
    <x v="0"/>
    <s v="PS"/>
    <x v="3"/>
    <m/>
    <m/>
    <m/>
  </r>
  <r>
    <n v="1288"/>
    <s v="HUB"/>
    <x v="6"/>
    <x v="23"/>
    <x v="31"/>
    <s v="SERVIÇO"/>
    <x v="898"/>
    <x v="5"/>
    <n v="378334.86"/>
    <n v="352608.09"/>
    <x v="130"/>
    <x v="22"/>
    <x v="101"/>
    <x v="0"/>
    <m/>
    <x v="0"/>
    <x v="1"/>
    <s v="PS"/>
    <x v="3"/>
    <m/>
    <m/>
    <m/>
  </r>
  <r>
    <n v="1288"/>
    <s v="HUB"/>
    <x v="6"/>
    <x v="23"/>
    <x v="31"/>
    <s v="SERVIÇO"/>
    <x v="898"/>
    <x v="5"/>
    <n v="15290.359999999986"/>
    <n v="14250.619999999995"/>
    <x v="130"/>
    <x v="48"/>
    <x v="171"/>
    <x v="0"/>
    <m/>
    <x v="0"/>
    <x v="1"/>
    <s v="PS"/>
    <x v="3"/>
    <m/>
    <m/>
    <m/>
  </r>
  <r>
    <n v="1271"/>
    <s v="HUB"/>
    <x v="6"/>
    <x v="23"/>
    <x v="32"/>
    <s v="SERVIÇO"/>
    <x v="899"/>
    <x v="5"/>
    <n v="255597.54"/>
    <n v="238216.91"/>
    <x v="174"/>
    <x v="51"/>
    <x v="155"/>
    <x v="0"/>
    <n v="0"/>
    <x v="0"/>
    <x v="0"/>
    <s v="PS"/>
    <x v="3"/>
    <m/>
    <m/>
    <m/>
  </r>
  <r>
    <n v="1299"/>
    <s v="HUB"/>
    <x v="6"/>
    <x v="23"/>
    <x v="33"/>
    <s v="SERVIÇO"/>
    <x v="900"/>
    <x v="5"/>
    <n v="611958.6587982832"/>
    <n v="570345.47"/>
    <x v="130"/>
    <x v="50"/>
    <x v="180"/>
    <x v="0"/>
    <m/>
    <x v="0"/>
    <x v="1"/>
    <s v="PS"/>
    <x v="3"/>
    <m/>
    <m/>
    <m/>
  </r>
  <r>
    <n v="1299"/>
    <s v="HUB"/>
    <x v="6"/>
    <x v="23"/>
    <x v="33"/>
    <s v="SERVIÇO"/>
    <x v="900"/>
    <x v="5"/>
    <n v="408137.33905579394"/>
    <n v="380384"/>
    <x v="130"/>
    <x v="50"/>
    <x v="180"/>
    <x v="0"/>
    <m/>
    <x v="0"/>
    <x v="1"/>
    <s v="PS"/>
    <x v="3"/>
    <m/>
    <m/>
    <m/>
  </r>
  <r>
    <n v="1394"/>
    <s v="MATRIZ"/>
    <x v="5"/>
    <x v="7"/>
    <x v="7"/>
    <s v="SERVIÇO"/>
    <x v="901"/>
    <x v="5"/>
    <n v="117291.83"/>
    <n v="109315.98"/>
    <x v="174"/>
    <x v="51"/>
    <x v="165"/>
    <x v="0"/>
    <n v="0"/>
    <x v="0"/>
    <x v="0"/>
    <s v="PS"/>
    <x v="1"/>
    <m/>
    <m/>
    <m/>
  </r>
  <r>
    <n v="1394"/>
    <s v="MATRIZ"/>
    <x v="5"/>
    <x v="7"/>
    <x v="7"/>
    <s v="SERVIÇO"/>
    <x v="902"/>
    <x v="5"/>
    <n v="99263.77"/>
    <n v="92513.83"/>
    <x v="174"/>
    <x v="22"/>
    <x v="32"/>
    <x v="0"/>
    <n v="0"/>
    <x v="0"/>
    <x v="0"/>
    <s v="PS"/>
    <x v="1"/>
    <m/>
    <m/>
    <m/>
  </r>
  <r>
    <n v="1394"/>
    <s v="MATRIZ"/>
    <x v="5"/>
    <x v="7"/>
    <x v="7"/>
    <s v="SERVIÇO"/>
    <x v="903"/>
    <x v="5"/>
    <n v="20934.14"/>
    <n v="19510.62"/>
    <x v="166"/>
    <x v="37"/>
    <x v="170"/>
    <x v="0"/>
    <n v="0"/>
    <x v="0"/>
    <x v="0"/>
    <s v="PS"/>
    <x v="1"/>
    <m/>
    <m/>
    <m/>
  </r>
  <r>
    <n v="1394"/>
    <s v="MATRIZ"/>
    <x v="5"/>
    <x v="7"/>
    <x v="7"/>
    <s v="SERVIÇO"/>
    <x v="904"/>
    <x v="5"/>
    <n v="297806.21999999997"/>
    <n v="277555.40000000002"/>
    <x v="167"/>
    <x v="37"/>
    <x v="146"/>
    <x v="0"/>
    <n v="0"/>
    <x v="0"/>
    <x v="0"/>
    <s v="PS"/>
    <x v="1"/>
    <m/>
    <m/>
    <m/>
  </r>
  <r>
    <n v="1394"/>
    <s v="MATRIZ"/>
    <x v="5"/>
    <x v="7"/>
    <x v="7"/>
    <s v="SERVIÇO"/>
    <x v="905"/>
    <x v="5"/>
    <n v="89335"/>
    <n v="83260.22"/>
    <x v="167"/>
    <x v="22"/>
    <x v="101"/>
    <x v="0"/>
    <n v="0"/>
    <x v="0"/>
    <x v="0"/>
    <s v="PS"/>
    <x v="1"/>
    <m/>
    <m/>
    <m/>
  </r>
  <r>
    <n v="1394"/>
    <s v="MATRIZ"/>
    <x v="5"/>
    <x v="7"/>
    <x v="7"/>
    <s v="SERVIÇO"/>
    <x v="906"/>
    <x v="5"/>
    <n v="199315.68"/>
    <n v="185762.22"/>
    <x v="170"/>
    <x v="37"/>
    <x v="146"/>
    <x v="0"/>
    <n v="0"/>
    <x v="0"/>
    <x v="0"/>
    <s v="PS"/>
    <x v="1"/>
    <m/>
    <m/>
    <m/>
  </r>
  <r>
    <n v="1394"/>
    <s v="MATRIZ"/>
    <x v="5"/>
    <x v="7"/>
    <x v="7"/>
    <s v="SERVIÇO"/>
    <x v="907"/>
    <x v="5"/>
    <n v="133850.94"/>
    <n v="124749.07"/>
    <x v="180"/>
    <x v="44"/>
    <x v="181"/>
    <x v="0"/>
    <n v="0"/>
    <x v="0"/>
    <x v="0"/>
    <s v="PS"/>
    <x v="1"/>
    <m/>
    <m/>
    <m/>
  </r>
  <r>
    <n v="1394"/>
    <s v="MATRIZ"/>
    <x v="5"/>
    <x v="7"/>
    <x v="7"/>
    <s v="SERVIÇO"/>
    <x v="908"/>
    <x v="5"/>
    <n v="233745.96"/>
    <n v="217851.23"/>
    <x v="181"/>
    <x v="49"/>
    <x v="173"/>
    <x v="0"/>
    <n v="0"/>
    <x v="0"/>
    <x v="0"/>
    <s v="PS"/>
    <x v="1"/>
    <m/>
    <m/>
    <m/>
  </r>
  <r>
    <n v="1500"/>
    <s v="SP"/>
    <x v="3"/>
    <x v="8"/>
    <x v="53"/>
    <s v="SERVIÇO"/>
    <x v="909"/>
    <x v="5"/>
    <n v="17786.88"/>
    <n v="16692.990000000002"/>
    <x v="161"/>
    <x v="37"/>
    <x v="146"/>
    <x v="0"/>
    <m/>
    <x v="0"/>
    <x v="2"/>
    <s v="FS"/>
    <x v="2"/>
    <m/>
    <m/>
    <m/>
  </r>
  <r>
    <n v="1500"/>
    <s v="SP"/>
    <x v="3"/>
    <x v="8"/>
    <x v="53"/>
    <s v="SERVIÇO"/>
    <x v="910"/>
    <x v="5"/>
    <n v="45455.360000000001"/>
    <n v="42659.86"/>
    <x v="154"/>
    <x v="37"/>
    <x v="146"/>
    <x v="0"/>
    <m/>
    <x v="0"/>
    <x v="2"/>
    <s v="FS"/>
    <x v="2"/>
    <m/>
    <m/>
    <m/>
  </r>
  <r>
    <n v="1500"/>
    <s v="SP"/>
    <x v="3"/>
    <x v="8"/>
    <x v="53"/>
    <s v="SERVIÇO"/>
    <x v="911"/>
    <x v="5"/>
    <n v="51385.02"/>
    <n v="48224.84"/>
    <x v="154"/>
    <x v="37"/>
    <x v="146"/>
    <x v="0"/>
    <m/>
    <x v="0"/>
    <x v="2"/>
    <s v="FS"/>
    <x v="2"/>
    <m/>
    <m/>
    <m/>
  </r>
  <r>
    <n v="1360"/>
    <s v="SP"/>
    <x v="3"/>
    <x v="8"/>
    <x v="8"/>
    <s v="SERVIÇO"/>
    <x v="912"/>
    <x v="5"/>
    <n v="182024.48"/>
    <n v="170829.97"/>
    <x v="157"/>
    <x v="37"/>
    <x v="146"/>
    <x v="0"/>
    <m/>
    <x v="0"/>
    <x v="1"/>
    <s v="FS"/>
    <x v="2"/>
    <m/>
    <m/>
    <m/>
  </r>
  <r>
    <n v="1360"/>
    <s v="SP"/>
    <x v="3"/>
    <x v="8"/>
    <x v="8"/>
    <s v="SERVIÇO"/>
    <x v="913"/>
    <x v="5"/>
    <n v="46640"/>
    <n v="43771.63"/>
    <x v="157"/>
    <x v="37"/>
    <x v="146"/>
    <x v="0"/>
    <m/>
    <x v="0"/>
    <x v="1"/>
    <s v="FS"/>
    <x v="2"/>
    <m/>
    <m/>
    <m/>
  </r>
  <r>
    <n v="1360"/>
    <s v="SP"/>
    <x v="3"/>
    <x v="8"/>
    <x v="8"/>
    <s v="SERVIÇO"/>
    <x v="914"/>
    <x v="5"/>
    <n v="28846.400000000001"/>
    <n v="27072.34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15"/>
    <x v="5"/>
    <n v="202030.56"/>
    <n v="189605.66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16"/>
    <x v="5"/>
    <n v="25160"/>
    <n v="23612.65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17"/>
    <x v="5"/>
    <n v="694.4"/>
    <n v="651.70000000000005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18"/>
    <x v="5"/>
    <n v="72788.69"/>
    <n v="68312.179999999993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19"/>
    <x v="5"/>
    <n v="13896"/>
    <n v="13041.4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20"/>
    <x v="5"/>
    <n v="45989.440000000002"/>
    <n v="43161.1"/>
    <x v="161"/>
    <x v="37"/>
    <x v="146"/>
    <x v="0"/>
    <m/>
    <x v="0"/>
    <x v="1"/>
    <s v="FS"/>
    <x v="2"/>
    <m/>
    <m/>
    <m/>
  </r>
  <r>
    <n v="1360"/>
    <s v="SP"/>
    <x v="3"/>
    <x v="8"/>
    <x v="8"/>
    <s v="SERVIÇO"/>
    <x v="921"/>
    <x v="5"/>
    <n v="72274.399999999994"/>
    <n v="67829.53"/>
    <x v="182"/>
    <x v="37"/>
    <x v="146"/>
    <x v="0"/>
    <m/>
    <x v="0"/>
    <x v="1"/>
    <s v="FS"/>
    <x v="2"/>
    <m/>
    <m/>
    <m/>
  </r>
  <r>
    <n v="1360"/>
    <s v="SP"/>
    <x v="3"/>
    <x v="8"/>
    <x v="8"/>
    <s v="SERVIÇO"/>
    <x v="922"/>
    <x v="5"/>
    <n v="68015.199999999997"/>
    <n v="63832.26"/>
    <x v="182"/>
    <x v="37"/>
    <x v="146"/>
    <x v="0"/>
    <m/>
    <x v="0"/>
    <x v="1"/>
    <s v="FS"/>
    <x v="2"/>
    <m/>
    <m/>
    <m/>
  </r>
  <r>
    <n v="1360"/>
    <s v="SP"/>
    <x v="3"/>
    <x v="8"/>
    <x v="8"/>
    <s v="SERVIÇO"/>
    <x v="923"/>
    <x v="5"/>
    <n v="79055.679999999993"/>
    <n v="74193.75"/>
    <x v="182"/>
    <x v="37"/>
    <x v="146"/>
    <x v="0"/>
    <m/>
    <x v="0"/>
    <x v="1"/>
    <s v="FS"/>
    <x v="2"/>
    <m/>
    <m/>
    <m/>
  </r>
  <r>
    <n v="1360"/>
    <s v="SP"/>
    <x v="3"/>
    <x v="8"/>
    <x v="8"/>
    <s v="SERVIÇO"/>
    <x v="924"/>
    <x v="5"/>
    <n v="110209.36"/>
    <n v="103431.49"/>
    <x v="182"/>
    <x v="37"/>
    <x v="146"/>
    <x v="0"/>
    <m/>
    <x v="0"/>
    <x v="1"/>
    <s v="FS"/>
    <x v="2"/>
    <m/>
    <m/>
    <m/>
  </r>
  <r>
    <n v="1360"/>
    <s v="SP"/>
    <x v="3"/>
    <x v="8"/>
    <x v="8"/>
    <s v="SERVIÇO"/>
    <x v="925"/>
    <x v="5"/>
    <n v="87403.66"/>
    <n v="82028.34"/>
    <x v="182"/>
    <x v="37"/>
    <x v="146"/>
    <x v="0"/>
    <m/>
    <x v="0"/>
    <x v="1"/>
    <s v="FS"/>
    <x v="2"/>
    <m/>
    <m/>
    <m/>
  </r>
  <r>
    <n v="1360"/>
    <s v="SP"/>
    <x v="3"/>
    <x v="8"/>
    <x v="8"/>
    <s v="SERVIÇO"/>
    <x v="926"/>
    <x v="5"/>
    <n v="30880"/>
    <n v="28980.880000000001"/>
    <x v="154"/>
    <x v="37"/>
    <x v="146"/>
    <x v="0"/>
    <m/>
    <x v="0"/>
    <x v="1"/>
    <s v="FS"/>
    <x v="2"/>
    <m/>
    <m/>
    <m/>
  </r>
  <r>
    <n v="1360"/>
    <s v="SP"/>
    <x v="3"/>
    <x v="8"/>
    <x v="8"/>
    <s v="SERVIÇO"/>
    <x v="927"/>
    <x v="5"/>
    <n v="33968"/>
    <n v="31878.97"/>
    <x v="154"/>
    <x v="37"/>
    <x v="146"/>
    <x v="0"/>
    <m/>
    <x v="0"/>
    <x v="1"/>
    <s v="FS"/>
    <x v="2"/>
    <m/>
    <m/>
    <m/>
  </r>
  <r>
    <n v="1360"/>
    <s v="SP"/>
    <x v="3"/>
    <x v="8"/>
    <x v="8"/>
    <s v="SERVIÇO"/>
    <x v="928"/>
    <x v="5"/>
    <n v="39238.080000000002"/>
    <n v="36824.94"/>
    <x v="183"/>
    <x v="44"/>
    <x v="167"/>
    <x v="0"/>
    <m/>
    <x v="0"/>
    <x v="1"/>
    <s v="FS"/>
    <x v="2"/>
    <m/>
    <m/>
    <m/>
  </r>
  <r>
    <n v="1360"/>
    <s v="SP"/>
    <x v="3"/>
    <x v="8"/>
    <x v="8"/>
    <s v="SERVIÇO"/>
    <x v="929"/>
    <x v="5"/>
    <n v="12254.21"/>
    <n v="11500.58"/>
    <x v="9"/>
    <x v="55"/>
    <x v="182"/>
    <x v="0"/>
    <m/>
    <x v="0"/>
    <x v="1"/>
    <s v="FS"/>
    <x v="2"/>
    <m/>
    <m/>
    <m/>
  </r>
  <r>
    <n v="1387"/>
    <s v="SP"/>
    <x v="3"/>
    <x v="8"/>
    <x v="47"/>
    <s v="SERVIÇO"/>
    <x v="930"/>
    <x v="5"/>
    <n v="29920"/>
    <n v="28079.919999999998"/>
    <x v="161"/>
    <x v="37"/>
    <x v="146"/>
    <x v="0"/>
    <m/>
    <x v="0"/>
    <x v="0"/>
    <s v="FS"/>
    <x v="2"/>
    <m/>
    <m/>
    <m/>
  </r>
  <r>
    <n v="1387"/>
    <s v="SP"/>
    <x v="3"/>
    <x v="8"/>
    <x v="47"/>
    <s v="SERVIÇO"/>
    <x v="931"/>
    <x v="5"/>
    <n v="82559.839999999997"/>
    <n v="77482.399999999994"/>
    <x v="182"/>
    <x v="37"/>
    <x v="146"/>
    <x v="0"/>
    <m/>
    <x v="0"/>
    <x v="0"/>
    <s v="FS"/>
    <x v="2"/>
    <m/>
    <m/>
    <m/>
  </r>
  <r>
    <n v="1387"/>
    <s v="SP"/>
    <x v="3"/>
    <x v="8"/>
    <x v="47"/>
    <s v="SERVIÇO"/>
    <x v="932"/>
    <x v="5"/>
    <n v="29742.240000000002"/>
    <n v="27913.1"/>
    <x v="161"/>
    <x v="37"/>
    <x v="146"/>
    <x v="0"/>
    <m/>
    <x v="0"/>
    <x v="0"/>
    <s v="FS"/>
    <x v="2"/>
    <m/>
    <m/>
    <m/>
  </r>
  <r>
    <n v="1389"/>
    <s v="MATRIZ"/>
    <x v="1"/>
    <x v="35"/>
    <x v="55"/>
    <s v="SERVIÇO"/>
    <x v="933"/>
    <x v="5"/>
    <n v="1177.6500000000001"/>
    <n v="1105.23"/>
    <x v="24"/>
    <x v="13"/>
    <x v="137"/>
    <x v="0"/>
    <n v="0"/>
    <x v="0"/>
    <x v="0"/>
    <s v="ALL"/>
    <x v="4"/>
    <m/>
    <m/>
    <m/>
  </r>
  <r>
    <n v="1470"/>
    <s v="MATRIZ"/>
    <x v="1"/>
    <x v="24"/>
    <x v="35"/>
    <s v="SERVIÇO"/>
    <x v="934"/>
    <x v="5"/>
    <n v="36700"/>
    <n v="33708.949999999997"/>
    <x v="163"/>
    <x v="37"/>
    <x v="172"/>
    <x v="0"/>
    <n v="0"/>
    <x v="0"/>
    <x v="0"/>
    <s v="UT"/>
    <x v="1"/>
    <m/>
    <m/>
    <m/>
  </r>
  <r>
    <n v="1273"/>
    <s v="HUB"/>
    <x v="6"/>
    <x v="25"/>
    <x v="37"/>
    <s v="SERVIÇO"/>
    <x v="935"/>
    <x v="5"/>
    <n v="572666.5"/>
    <n v="513681.85"/>
    <x v="170"/>
    <x v="44"/>
    <x v="176"/>
    <x v="0"/>
    <n v="0"/>
    <x v="0"/>
    <x v="0"/>
    <s v="PS"/>
    <x v="3"/>
    <m/>
    <m/>
    <m/>
  </r>
  <r>
    <n v="1277"/>
    <s v="HUB"/>
    <x v="6"/>
    <x v="25"/>
    <x v="38"/>
    <s v="SERVIÇO"/>
    <x v="936"/>
    <x v="5"/>
    <n v="134447.14000000001"/>
    <n v="120599.09"/>
    <x v="5"/>
    <x v="47"/>
    <x v="183"/>
    <x v="0"/>
    <m/>
    <x v="0"/>
    <x v="0"/>
    <s v="PS"/>
    <x v="3"/>
    <m/>
    <m/>
    <m/>
  </r>
  <r>
    <n v="1277"/>
    <s v="HUB"/>
    <x v="6"/>
    <x v="25"/>
    <x v="38"/>
    <s v="SERVIÇO"/>
    <x v="937"/>
    <x v="5"/>
    <n v="20954.12"/>
    <n v="18795.849999999999"/>
    <x v="176"/>
    <x v="56"/>
    <x v="184"/>
    <x v="0"/>
    <m/>
    <x v="0"/>
    <x v="0"/>
    <s v="PS"/>
    <x v="3"/>
    <m/>
    <m/>
    <m/>
  </r>
  <r>
    <n v="1268"/>
    <s v="SP"/>
    <x v="4"/>
    <x v="6"/>
    <x v="39"/>
    <s v="SERVIÇO"/>
    <x v="938"/>
    <x v="5"/>
    <n v="30310.2"/>
    <n v="28446.12"/>
    <x v="174"/>
    <x v="37"/>
    <x v="100"/>
    <x v="0"/>
    <n v="0"/>
    <x v="0"/>
    <x v="1"/>
    <s v="FS"/>
    <x v="0"/>
    <m/>
    <m/>
    <m/>
  </r>
  <r>
    <n v="1268"/>
    <s v="SP"/>
    <x v="4"/>
    <x v="6"/>
    <x v="39"/>
    <s v="SERVIÇO"/>
    <x v="939"/>
    <x v="5"/>
    <n v="48769.84"/>
    <n v="45770.49"/>
    <x v="168"/>
    <x v="37"/>
    <x v="170"/>
    <x v="0"/>
    <n v="0"/>
    <x v="0"/>
    <x v="1"/>
    <s v="FS"/>
    <x v="0"/>
    <m/>
    <m/>
    <m/>
  </r>
  <r>
    <n v="1268"/>
    <s v="SP"/>
    <x v="4"/>
    <x v="6"/>
    <x v="39"/>
    <s v="SERVIÇO"/>
    <x v="940"/>
    <x v="5"/>
    <n v="145255.51999999999"/>
    <n v="136322.31"/>
    <x v="168"/>
    <x v="37"/>
    <x v="170"/>
    <x v="0"/>
    <n v="0"/>
    <x v="0"/>
    <x v="1"/>
    <s v="FS"/>
    <x v="0"/>
    <m/>
    <m/>
    <m/>
  </r>
  <r>
    <n v="1268"/>
    <s v="SP"/>
    <x v="4"/>
    <x v="6"/>
    <x v="39"/>
    <s v="SERVIÇO"/>
    <x v="941"/>
    <x v="5"/>
    <n v="1193868.51"/>
    <n v="1120445.5900000001"/>
    <x v="168"/>
    <x v="37"/>
    <x v="170"/>
    <x v="0"/>
    <n v="0"/>
    <x v="0"/>
    <x v="1"/>
    <s v="FS"/>
    <x v="0"/>
    <m/>
    <m/>
    <m/>
  </r>
  <r>
    <n v="1268"/>
    <s v="SP"/>
    <x v="4"/>
    <x v="6"/>
    <x v="39"/>
    <s v="SERVIÇO"/>
    <x v="942"/>
    <x v="5"/>
    <n v="110755.04"/>
    <n v="103943.6"/>
    <x v="168"/>
    <x v="37"/>
    <x v="170"/>
    <x v="0"/>
    <n v="0"/>
    <x v="0"/>
    <x v="1"/>
    <s v="FS"/>
    <x v="0"/>
    <m/>
    <m/>
    <m/>
  </r>
  <r>
    <n v="1268"/>
    <s v="SP"/>
    <x v="4"/>
    <x v="6"/>
    <x v="39"/>
    <s v="SERVIÇO"/>
    <x v="943"/>
    <x v="5"/>
    <n v="51503.92"/>
    <n v="48336.43"/>
    <x v="168"/>
    <x v="37"/>
    <x v="170"/>
    <x v="0"/>
    <n v="0"/>
    <x v="0"/>
    <x v="1"/>
    <s v="FS"/>
    <x v="0"/>
    <m/>
    <m/>
    <m/>
  </r>
  <r>
    <n v="1483"/>
    <s v="MATRIZ"/>
    <x v="1"/>
    <x v="9"/>
    <x v="9"/>
    <s v="SERVIÇO"/>
    <x v="944"/>
    <x v="5"/>
    <n v="53591.199999999997"/>
    <n v="49527.08"/>
    <x v="164"/>
    <x v="49"/>
    <x v="185"/>
    <x v="0"/>
    <n v="0"/>
    <x v="0"/>
    <x v="0"/>
    <s v="UT"/>
    <x v="0"/>
    <m/>
    <m/>
    <m/>
  </r>
  <r>
    <n v="1483"/>
    <s v="MATRIZ"/>
    <x v="1"/>
    <x v="9"/>
    <x v="9"/>
    <s v="SERVIÇO"/>
    <x v="945"/>
    <x v="5"/>
    <n v="28856.799999999999"/>
    <n v="27082.11"/>
    <x v="164"/>
    <x v="44"/>
    <x v="181"/>
    <x v="0"/>
    <n v="0"/>
    <x v="0"/>
    <x v="0"/>
    <s v="UT"/>
    <x v="0"/>
    <m/>
    <m/>
    <m/>
  </r>
  <r>
    <n v="1275"/>
    <s v="SP"/>
    <x v="4"/>
    <x v="26"/>
    <x v="40"/>
    <s v="SERVIÇO"/>
    <x v="946"/>
    <x v="5"/>
    <n v="16767.240000000002"/>
    <n v="15736.05"/>
    <x v="155"/>
    <x v="37"/>
    <x v="172"/>
    <x v="0"/>
    <n v="0"/>
    <x v="0"/>
    <x v="1"/>
    <s v="FS"/>
    <x v="0"/>
    <m/>
    <m/>
    <m/>
  </r>
  <r>
    <n v="1479"/>
    <s v="SP"/>
    <x v="4"/>
    <x v="26"/>
    <x v="41"/>
    <s v="SERVIÇO"/>
    <x v="947"/>
    <x v="5"/>
    <n v="26040"/>
    <n v="24438.54"/>
    <x v="155"/>
    <x v="37"/>
    <x v="172"/>
    <x v="0"/>
    <n v="0"/>
    <x v="0"/>
    <x v="2"/>
    <s v="FS"/>
    <x v="0"/>
    <m/>
    <m/>
    <m/>
  </r>
  <r>
    <n v="1455"/>
    <s v="MATRIZ"/>
    <x v="2"/>
    <x v="2"/>
    <x v="2"/>
    <s v="SERVIÇO"/>
    <x v="948"/>
    <x v="6"/>
    <n v="54003.39"/>
    <n v="47712"/>
    <x v="177"/>
    <x v="53"/>
    <x v="159"/>
    <x v="0"/>
    <m/>
    <x v="0"/>
    <x v="0"/>
    <s v="MS"/>
    <x v="1"/>
    <m/>
    <m/>
    <m/>
  </r>
  <r>
    <n v="1489"/>
    <s v="SP"/>
    <x v="4"/>
    <x v="32"/>
    <x v="51"/>
    <s v="SERVIÇO"/>
    <x v="949"/>
    <x v="6"/>
    <n v="42812.21"/>
    <n v="40179.26"/>
    <x v="177"/>
    <x v="26"/>
    <x v="52"/>
    <x v="0"/>
    <m/>
    <x v="0"/>
    <x v="2"/>
    <s v="FS"/>
    <x v="0"/>
    <m/>
    <m/>
    <m/>
  </r>
  <r>
    <n v="1357"/>
    <s v="SP"/>
    <x v="4"/>
    <x v="34"/>
    <x v="54"/>
    <s v="SERVIÇO"/>
    <x v="950"/>
    <x v="6"/>
    <n v="14150.77"/>
    <n v="13280.5"/>
    <x v="184"/>
    <x v="57"/>
    <x v="186"/>
    <x v="0"/>
    <m/>
    <x v="0"/>
    <x v="1"/>
    <s v="FS"/>
    <x v="0"/>
    <m/>
    <m/>
    <m/>
  </r>
  <r>
    <n v="1357"/>
    <s v="SP"/>
    <x v="4"/>
    <x v="34"/>
    <x v="54"/>
    <s v="SERVIÇO"/>
    <x v="951"/>
    <x v="19"/>
    <n v="17625.599999999999"/>
    <n v="16541.62"/>
    <x v="185"/>
    <x v="58"/>
    <x v="187"/>
    <x v="0"/>
    <m/>
    <x v="0"/>
    <x v="1"/>
    <s v="FS"/>
    <x v="0"/>
    <m/>
    <m/>
    <m/>
  </r>
  <r>
    <n v="1357"/>
    <s v="SP"/>
    <x v="4"/>
    <x v="34"/>
    <x v="54"/>
    <s v="SERVIÇO"/>
    <x v="952"/>
    <x v="20"/>
    <n v="23133.599999999999"/>
    <n v="21710.880000000001"/>
    <x v="186"/>
    <x v="59"/>
    <x v="188"/>
    <x v="0"/>
    <m/>
    <x v="0"/>
    <x v="1"/>
    <s v="FS"/>
    <x v="0"/>
    <m/>
    <m/>
    <m/>
  </r>
  <r>
    <n v="1357"/>
    <s v="SP"/>
    <x v="4"/>
    <x v="34"/>
    <x v="54"/>
    <s v="SERVIÇO"/>
    <x v="953"/>
    <x v="20"/>
    <n v="32166"/>
    <n v="30187.79"/>
    <x v="187"/>
    <x v="59"/>
    <x v="189"/>
    <x v="0"/>
    <m/>
    <x v="0"/>
    <x v="1"/>
    <s v="FS"/>
    <x v="0"/>
    <m/>
    <m/>
    <m/>
  </r>
  <r>
    <n v="1357"/>
    <s v="SP"/>
    <x v="4"/>
    <x v="34"/>
    <x v="54"/>
    <s v="SERVIÇO"/>
    <x v="954"/>
    <x v="21"/>
    <n v="32166"/>
    <n v="30187.79"/>
    <x v="188"/>
    <x v="60"/>
    <x v="190"/>
    <x v="0"/>
    <m/>
    <x v="0"/>
    <x v="1"/>
    <s v="FS"/>
    <x v="0"/>
    <m/>
    <m/>
    <m/>
  </r>
  <r>
    <n v="1357"/>
    <s v="SP"/>
    <x v="4"/>
    <x v="34"/>
    <x v="54"/>
    <s v="SERVIÇO"/>
    <x v="955"/>
    <x v="21"/>
    <n v="66036.97"/>
    <n v="61975.7"/>
    <x v="188"/>
    <x v="61"/>
    <x v="191"/>
    <x v="0"/>
    <m/>
    <x v="0"/>
    <x v="1"/>
    <s v="FS"/>
    <x v="0"/>
    <m/>
    <m/>
    <m/>
  </r>
  <r>
    <n v="1357"/>
    <s v="SP"/>
    <x v="4"/>
    <x v="34"/>
    <x v="54"/>
    <s v="SERVIÇO"/>
    <x v="956"/>
    <x v="21"/>
    <n v="19415.7"/>
    <n v="18221.63"/>
    <x v="188"/>
    <x v="45"/>
    <x v="135"/>
    <x v="0"/>
    <m/>
    <x v="0"/>
    <x v="1"/>
    <s v="FS"/>
    <x v="0"/>
    <m/>
    <m/>
    <m/>
  </r>
  <r>
    <n v="1357"/>
    <s v="SP"/>
    <x v="4"/>
    <x v="34"/>
    <x v="54"/>
    <s v="SERVIÇO"/>
    <x v="957"/>
    <x v="21"/>
    <n v="5361"/>
    <n v="5031.29"/>
    <x v="189"/>
    <x v="62"/>
    <x v="192"/>
    <x v="0"/>
    <m/>
    <x v="0"/>
    <x v="1"/>
    <s v="FS"/>
    <x v="0"/>
    <m/>
    <m/>
    <m/>
  </r>
  <r>
    <n v="1357"/>
    <s v="SP"/>
    <x v="4"/>
    <x v="34"/>
    <x v="54"/>
    <s v="SERVIÇO"/>
    <x v="958"/>
    <x v="22"/>
    <n v="47176.800000000003"/>
    <n v="44275.43"/>
    <x v="190"/>
    <x v="63"/>
    <x v="193"/>
    <x v="0"/>
    <m/>
    <x v="0"/>
    <x v="1"/>
    <s v="FS"/>
    <x v="0"/>
    <m/>
    <m/>
    <m/>
  </r>
  <r>
    <n v="1357"/>
    <s v="SP"/>
    <x v="4"/>
    <x v="34"/>
    <x v="54"/>
    <s v="SERVIÇO"/>
    <x v="959"/>
    <x v="22"/>
    <n v="24920.95"/>
    <n v="23388.31"/>
    <x v="190"/>
    <x v="63"/>
    <x v="194"/>
    <x v="0"/>
    <m/>
    <x v="0"/>
    <x v="1"/>
    <s v="FS"/>
    <x v="0"/>
    <m/>
    <m/>
    <m/>
  </r>
  <r>
    <n v="1357"/>
    <s v="SP"/>
    <x v="4"/>
    <x v="34"/>
    <x v="54"/>
    <s v="SERVIÇO"/>
    <x v="960"/>
    <x v="23"/>
    <n v="18227.400000000001"/>
    <n v="17106.43"/>
    <x v="191"/>
    <x v="64"/>
    <x v="195"/>
    <x v="0"/>
    <m/>
    <x v="0"/>
    <x v="1"/>
    <s v="FS"/>
    <x v="0"/>
    <m/>
    <m/>
    <m/>
  </r>
  <r>
    <n v="1357"/>
    <s v="SP"/>
    <x v="4"/>
    <x v="34"/>
    <x v="54"/>
    <s v="SERVIÇO"/>
    <x v="961"/>
    <x v="23"/>
    <n v="27522"/>
    <n v="25829.4"/>
    <x v="191"/>
    <x v="64"/>
    <x v="195"/>
    <x v="0"/>
    <m/>
    <x v="0"/>
    <x v="1"/>
    <s v="FS"/>
    <x v="0"/>
    <m/>
    <m/>
    <m/>
  </r>
  <r>
    <n v="1357"/>
    <s v="SP"/>
    <x v="4"/>
    <x v="34"/>
    <x v="54"/>
    <s v="SERVIÇO"/>
    <x v="962"/>
    <x v="23"/>
    <n v="22032"/>
    <n v="20677.03"/>
    <x v="191"/>
    <x v="64"/>
    <x v="195"/>
    <x v="0"/>
    <m/>
    <x v="0"/>
    <x v="1"/>
    <s v="FS"/>
    <x v="0"/>
    <m/>
    <m/>
    <m/>
  </r>
  <r>
    <n v="1357"/>
    <s v="SP"/>
    <x v="4"/>
    <x v="34"/>
    <x v="54"/>
    <s v="SERVIÇO"/>
    <x v="582"/>
    <x v="23"/>
    <n v="24235"/>
    <n v="20677.03"/>
    <x v="192"/>
    <x v="65"/>
    <x v="128"/>
    <x v="1"/>
    <m/>
    <x v="0"/>
    <x v="1"/>
    <s v="FS"/>
    <x v="0"/>
    <m/>
    <m/>
    <m/>
  </r>
  <r>
    <n v="1357"/>
    <s v="SP"/>
    <x v="4"/>
    <x v="34"/>
    <x v="54"/>
    <s v="SERVIÇO"/>
    <x v="582"/>
    <x v="24"/>
    <n v="46267"/>
    <m/>
    <x v="192"/>
    <x v="66"/>
    <x v="128"/>
    <x v="1"/>
    <m/>
    <x v="0"/>
    <x v="1"/>
    <s v="FS"/>
    <x v="0"/>
    <m/>
    <m/>
    <m/>
  </r>
  <r>
    <n v="1478"/>
    <s v="SP"/>
    <x v="3"/>
    <x v="10"/>
    <x v="10"/>
    <s v="SERVIÇO"/>
    <x v="963"/>
    <x v="6"/>
    <n v="13993.56"/>
    <n v="13132.95"/>
    <x v="193"/>
    <x v="53"/>
    <x v="159"/>
    <x v="0"/>
    <m/>
    <x v="0"/>
    <x v="1"/>
    <s v="FS"/>
    <x v="2"/>
    <m/>
    <m/>
    <m/>
  </r>
  <r>
    <n v="1478"/>
    <s v="SP"/>
    <x v="3"/>
    <x v="10"/>
    <x v="10"/>
    <s v="SERVIÇO"/>
    <x v="964"/>
    <x v="6"/>
    <n v="29087.69"/>
    <n v="27298.79"/>
    <x v="193"/>
    <x v="53"/>
    <x v="159"/>
    <x v="0"/>
    <m/>
    <x v="0"/>
    <x v="1"/>
    <s v="FS"/>
    <x v="2"/>
    <m/>
    <m/>
    <m/>
  </r>
  <r>
    <n v="1478"/>
    <s v="SP"/>
    <x v="3"/>
    <x v="10"/>
    <x v="10"/>
    <s v="SERVIÇO"/>
    <x v="965"/>
    <x v="6"/>
    <n v="26413.8"/>
    <n v="24789.35"/>
    <x v="193"/>
    <x v="53"/>
    <x v="159"/>
    <x v="0"/>
    <m/>
    <x v="0"/>
    <x v="1"/>
    <s v="FS"/>
    <x v="2"/>
    <m/>
    <m/>
    <m/>
  </r>
  <r>
    <n v="1478"/>
    <s v="SP"/>
    <x v="3"/>
    <x v="10"/>
    <x v="10"/>
    <s v="SERVIÇO"/>
    <x v="966"/>
    <x v="6"/>
    <n v="20754.55"/>
    <n v="19478.14"/>
    <x v="193"/>
    <x v="53"/>
    <x v="159"/>
    <x v="0"/>
    <m/>
    <x v="0"/>
    <x v="1"/>
    <s v="FS"/>
    <x v="2"/>
    <m/>
    <m/>
    <m/>
  </r>
  <r>
    <n v="1499"/>
    <s v="MATRIZ"/>
    <x v="3"/>
    <x v="33"/>
    <x v="52"/>
    <s v="SERVIÇO"/>
    <x v="967"/>
    <x v="6"/>
    <n v="52900"/>
    <n v="49646.65"/>
    <x v="9"/>
    <x v="56"/>
    <x v="184"/>
    <x v="0"/>
    <n v="0"/>
    <x v="0"/>
    <x v="1"/>
    <s v="MS"/>
    <x v="2"/>
    <m/>
    <m/>
    <m/>
  </r>
  <r>
    <n v="1499"/>
    <s v="MATRIZ"/>
    <x v="3"/>
    <x v="33"/>
    <x v="52"/>
    <s v="SERVIÇO"/>
    <x v="968"/>
    <x v="6"/>
    <n v="8744"/>
    <n v="8206.24"/>
    <x v="194"/>
    <x v="52"/>
    <x v="196"/>
    <x v="0"/>
    <n v="0"/>
    <x v="0"/>
    <x v="1"/>
    <s v="MS"/>
    <x v="2"/>
    <m/>
    <m/>
    <m/>
  </r>
  <r>
    <n v="1391"/>
    <s v="SP"/>
    <x v="3"/>
    <x v="11"/>
    <x v="11"/>
    <s v="SERVIÇO"/>
    <x v="969"/>
    <x v="6"/>
    <n v="102110.06"/>
    <n v="95830.29"/>
    <x v="172"/>
    <x v="48"/>
    <x v="148"/>
    <x v="0"/>
    <n v="0"/>
    <x v="0"/>
    <x v="1"/>
    <s v="FS"/>
    <x v="2"/>
    <m/>
    <m/>
    <m/>
  </r>
  <r>
    <n v="1391"/>
    <s v="SP"/>
    <x v="3"/>
    <x v="11"/>
    <x v="11"/>
    <s v="SERVIÇO"/>
    <x v="970"/>
    <x v="6"/>
    <n v="167099.34"/>
    <n v="156822.73000000001"/>
    <x v="172"/>
    <x v="48"/>
    <x v="148"/>
    <x v="0"/>
    <n v="0"/>
    <x v="0"/>
    <x v="1"/>
    <s v="FS"/>
    <x v="2"/>
    <m/>
    <m/>
    <m/>
  </r>
  <r>
    <n v="1391"/>
    <s v="SP"/>
    <x v="3"/>
    <x v="11"/>
    <x v="11"/>
    <s v="SERVIÇO"/>
    <x v="971"/>
    <x v="6"/>
    <n v="254846.1"/>
    <n v="239173.07"/>
    <x v="172"/>
    <x v="48"/>
    <x v="148"/>
    <x v="0"/>
    <n v="0"/>
    <x v="0"/>
    <x v="1"/>
    <s v="FS"/>
    <x v="2"/>
    <m/>
    <m/>
    <m/>
  </r>
  <r>
    <n v="1391"/>
    <s v="SP"/>
    <x v="3"/>
    <x v="11"/>
    <x v="11"/>
    <s v="SERVIÇO"/>
    <x v="972"/>
    <x v="6"/>
    <n v="17269.2"/>
    <n v="16207.14"/>
    <x v="195"/>
    <x v="48"/>
    <x v="197"/>
    <x v="0"/>
    <n v="0"/>
    <x v="0"/>
    <x v="1"/>
    <s v="FS"/>
    <x v="2"/>
    <m/>
    <m/>
    <m/>
  </r>
  <r>
    <n v="1391"/>
    <s v="SP"/>
    <x v="3"/>
    <x v="11"/>
    <x v="11"/>
    <s v="SERVIÇO"/>
    <x v="973"/>
    <x v="6"/>
    <n v="126870.48"/>
    <n v="119067.95"/>
    <x v="196"/>
    <x v="48"/>
    <x v="171"/>
    <x v="0"/>
    <n v="0"/>
    <x v="0"/>
    <x v="1"/>
    <s v="FS"/>
    <x v="2"/>
    <m/>
    <m/>
    <m/>
  </r>
  <r>
    <n v="1391"/>
    <s v="SP"/>
    <x v="3"/>
    <x v="11"/>
    <x v="11"/>
    <s v="SERVIÇO"/>
    <x v="974"/>
    <x v="6"/>
    <n v="232436.4"/>
    <n v="218141.56"/>
    <x v="196"/>
    <x v="48"/>
    <x v="171"/>
    <x v="0"/>
    <n v="0"/>
    <x v="0"/>
    <x v="1"/>
    <s v="FS"/>
    <x v="2"/>
    <m/>
    <m/>
    <m/>
  </r>
  <r>
    <n v="1391"/>
    <s v="SP"/>
    <x v="3"/>
    <x v="11"/>
    <x v="11"/>
    <s v="SERVIÇO"/>
    <x v="975"/>
    <x v="6"/>
    <n v="126870.48"/>
    <n v="119067.95"/>
    <x v="196"/>
    <x v="48"/>
    <x v="171"/>
    <x v="0"/>
    <n v="0"/>
    <x v="0"/>
    <x v="1"/>
    <s v="FS"/>
    <x v="2"/>
    <m/>
    <m/>
    <m/>
  </r>
  <r>
    <n v="1391"/>
    <s v="SP"/>
    <x v="3"/>
    <x v="11"/>
    <x v="11"/>
    <s v="SERVIÇO"/>
    <x v="976"/>
    <x v="6"/>
    <n v="134788.62"/>
    <n v="126499.12"/>
    <x v="181"/>
    <x v="48"/>
    <x v="198"/>
    <x v="0"/>
    <n v="0"/>
    <x v="0"/>
    <x v="1"/>
    <s v="FS"/>
    <x v="2"/>
    <m/>
    <m/>
    <m/>
  </r>
  <r>
    <n v="1391"/>
    <s v="SP"/>
    <x v="3"/>
    <x v="11"/>
    <x v="11"/>
    <s v="SERVIÇO"/>
    <x v="977"/>
    <x v="6"/>
    <n v="30779.279999999999"/>
    <n v="28886.35"/>
    <x v="197"/>
    <x v="53"/>
    <x v="199"/>
    <x v="0"/>
    <n v="0"/>
    <x v="0"/>
    <x v="1"/>
    <s v="FS"/>
    <x v="2"/>
    <m/>
    <m/>
    <m/>
  </r>
  <r>
    <n v="1391"/>
    <s v="SP"/>
    <x v="3"/>
    <x v="11"/>
    <x v="11"/>
    <s v="SERVIÇO"/>
    <x v="978"/>
    <x v="6"/>
    <n v="29077.200000000001"/>
    <n v="27288.95"/>
    <x v="197"/>
    <x v="53"/>
    <x v="199"/>
    <x v="0"/>
    <n v="0"/>
    <x v="0"/>
    <x v="1"/>
    <s v="FS"/>
    <x v="2"/>
    <m/>
    <m/>
    <m/>
  </r>
  <r>
    <n v="1294"/>
    <s v="SP"/>
    <x v="3"/>
    <x v="11"/>
    <x v="12"/>
    <s v="SERVIÇO"/>
    <x v="979"/>
    <x v="6"/>
    <n v="13192.46"/>
    <n v="12381.13"/>
    <x v="5"/>
    <x v="48"/>
    <x v="200"/>
    <x v="0"/>
    <n v="0"/>
    <x v="0"/>
    <x v="1"/>
    <s v="FS"/>
    <x v="2"/>
    <m/>
    <m/>
    <m/>
  </r>
  <r>
    <n v="1294"/>
    <s v="SP"/>
    <x v="3"/>
    <x v="11"/>
    <x v="12"/>
    <s v="SERVIÇO"/>
    <x v="980"/>
    <x v="6"/>
    <n v="167314.19"/>
    <n v="157024.37"/>
    <x v="5"/>
    <x v="48"/>
    <x v="200"/>
    <x v="0"/>
    <n v="0"/>
    <x v="0"/>
    <x v="1"/>
    <s v="FS"/>
    <x v="2"/>
    <m/>
    <m/>
    <m/>
  </r>
  <r>
    <n v="1294"/>
    <s v="SP"/>
    <x v="3"/>
    <x v="11"/>
    <x v="12"/>
    <s v="SERVIÇO"/>
    <x v="981"/>
    <x v="6"/>
    <n v="166765.92000000001"/>
    <n v="156509.81"/>
    <x v="5"/>
    <x v="48"/>
    <x v="200"/>
    <x v="0"/>
    <n v="0"/>
    <x v="0"/>
    <x v="1"/>
    <s v="FS"/>
    <x v="2"/>
    <m/>
    <m/>
    <m/>
  </r>
  <r>
    <n v="1294"/>
    <s v="SP"/>
    <x v="3"/>
    <x v="11"/>
    <x v="12"/>
    <s v="SERVIÇO"/>
    <x v="982"/>
    <x v="6"/>
    <n v="91673.4"/>
    <n v="86035.49"/>
    <x v="5"/>
    <x v="48"/>
    <x v="200"/>
    <x v="0"/>
    <n v="0"/>
    <x v="0"/>
    <x v="1"/>
    <s v="FS"/>
    <x v="2"/>
    <m/>
    <m/>
    <m/>
  </r>
  <r>
    <n v="1294"/>
    <s v="SP"/>
    <x v="3"/>
    <x v="11"/>
    <x v="12"/>
    <s v="SERVIÇO"/>
    <x v="983"/>
    <x v="6"/>
    <n v="185528.51"/>
    <n v="174118.49"/>
    <x v="5"/>
    <x v="48"/>
    <x v="200"/>
    <x v="0"/>
    <n v="0"/>
    <x v="0"/>
    <x v="1"/>
    <s v="FS"/>
    <x v="2"/>
    <m/>
    <m/>
    <m/>
  </r>
  <r>
    <n v="1294"/>
    <s v="SP"/>
    <x v="3"/>
    <x v="11"/>
    <x v="12"/>
    <s v="SERVIÇO"/>
    <x v="984"/>
    <x v="6"/>
    <n v="139002.92000000001"/>
    <n v="130454.24"/>
    <x v="181"/>
    <x v="48"/>
    <x v="198"/>
    <x v="0"/>
    <n v="0"/>
    <x v="0"/>
    <x v="1"/>
    <s v="FS"/>
    <x v="2"/>
    <m/>
    <m/>
    <m/>
  </r>
  <r>
    <n v="1294"/>
    <s v="SP"/>
    <x v="3"/>
    <x v="11"/>
    <x v="12"/>
    <s v="SERVIÇO"/>
    <x v="985"/>
    <x v="6"/>
    <n v="202608"/>
    <n v="190147.61"/>
    <x v="181"/>
    <x v="48"/>
    <x v="198"/>
    <x v="0"/>
    <n v="0"/>
    <x v="0"/>
    <x v="1"/>
    <s v="FS"/>
    <x v="2"/>
    <m/>
    <m/>
    <m/>
  </r>
  <r>
    <n v="1294"/>
    <s v="SP"/>
    <x v="3"/>
    <x v="11"/>
    <x v="12"/>
    <s v="SERVIÇO"/>
    <x v="986"/>
    <x v="6"/>
    <n v="181920.64000000001"/>
    <n v="170732.52"/>
    <x v="181"/>
    <x v="48"/>
    <x v="198"/>
    <x v="0"/>
    <n v="0"/>
    <x v="0"/>
    <x v="1"/>
    <s v="FS"/>
    <x v="2"/>
    <m/>
    <m/>
    <m/>
  </r>
  <r>
    <n v="1294"/>
    <s v="SP"/>
    <x v="3"/>
    <x v="11"/>
    <x v="12"/>
    <s v="SERVIÇO"/>
    <x v="987"/>
    <x v="6"/>
    <n v="128748.48"/>
    <n v="120830.45"/>
    <x v="181"/>
    <x v="48"/>
    <x v="198"/>
    <x v="0"/>
    <n v="0"/>
    <x v="0"/>
    <x v="1"/>
    <s v="FS"/>
    <x v="2"/>
    <m/>
    <m/>
    <m/>
  </r>
  <r>
    <n v="1294"/>
    <s v="SP"/>
    <x v="3"/>
    <x v="11"/>
    <x v="12"/>
    <s v="SERVIÇO"/>
    <x v="988"/>
    <x v="6"/>
    <n v="276165.96000000002"/>
    <n v="259181.75"/>
    <x v="197"/>
    <x v="53"/>
    <x v="199"/>
    <x v="0"/>
    <n v="0"/>
    <x v="0"/>
    <x v="1"/>
    <s v="FS"/>
    <x v="2"/>
    <m/>
    <m/>
    <m/>
  </r>
  <r>
    <n v="1292"/>
    <s v="SP"/>
    <x v="3"/>
    <x v="3"/>
    <x v="3"/>
    <s v="SERVIÇO"/>
    <x v="989"/>
    <x v="6"/>
    <n v="58290"/>
    <n v="54705.16"/>
    <x v="181"/>
    <x v="48"/>
    <x v="198"/>
    <x v="0"/>
    <n v="0"/>
    <x v="0"/>
    <x v="1"/>
    <s v="FS"/>
    <x v="2"/>
    <m/>
    <m/>
    <m/>
  </r>
  <r>
    <n v="1292"/>
    <s v="SP"/>
    <x v="3"/>
    <x v="3"/>
    <x v="3"/>
    <s v="SERVIÇO"/>
    <x v="990"/>
    <x v="6"/>
    <n v="48434.61"/>
    <n v="45455.88"/>
    <x v="177"/>
    <x v="49"/>
    <x v="150"/>
    <x v="0"/>
    <n v="0"/>
    <x v="0"/>
    <x v="1"/>
    <s v="FS"/>
    <x v="2"/>
    <m/>
    <m/>
    <m/>
  </r>
  <r>
    <n v="1292"/>
    <s v="SP"/>
    <x v="3"/>
    <x v="3"/>
    <x v="3"/>
    <s v="SERVIÇO"/>
    <x v="991"/>
    <x v="6"/>
    <n v="31008"/>
    <n v="29101.01"/>
    <x v="196"/>
    <x v="48"/>
    <x v="171"/>
    <x v="0"/>
    <n v="0"/>
    <x v="0"/>
    <x v="1"/>
    <s v="FS"/>
    <x v="2"/>
    <m/>
    <m/>
    <m/>
  </r>
  <r>
    <n v="1292"/>
    <s v="SP"/>
    <x v="3"/>
    <x v="3"/>
    <x v="3"/>
    <s v="SERVIÇO"/>
    <x v="992"/>
    <x v="6"/>
    <n v="34633.19"/>
    <n v="32503.25"/>
    <x v="197"/>
    <x v="53"/>
    <x v="199"/>
    <x v="0"/>
    <n v="0"/>
    <x v="0"/>
    <x v="1"/>
    <s v="FS"/>
    <x v="2"/>
    <m/>
    <m/>
    <m/>
  </r>
  <r>
    <n v="1292"/>
    <s v="SP"/>
    <x v="3"/>
    <x v="3"/>
    <x v="3"/>
    <s v="SERVIÇO"/>
    <x v="993"/>
    <x v="6"/>
    <n v="124611.96"/>
    <n v="116948.32"/>
    <x v="198"/>
    <x v="53"/>
    <x v="159"/>
    <x v="0"/>
    <n v="0"/>
    <x v="0"/>
    <x v="1"/>
    <s v="FS"/>
    <x v="2"/>
    <m/>
    <m/>
    <m/>
  </r>
  <r>
    <n v="1292"/>
    <s v="SP"/>
    <x v="3"/>
    <x v="3"/>
    <x v="3"/>
    <s v="SERVIÇO"/>
    <x v="994"/>
    <x v="6"/>
    <n v="48434.61"/>
    <n v="45455.88"/>
    <x v="198"/>
    <x v="53"/>
    <x v="159"/>
    <x v="0"/>
    <n v="0"/>
    <x v="0"/>
    <x v="1"/>
    <s v="FS"/>
    <x v="2"/>
    <m/>
    <m/>
    <m/>
  </r>
  <r>
    <n v="1484"/>
    <s v="SP"/>
    <x v="3"/>
    <x v="3"/>
    <x v="42"/>
    <s v="SERVIÇO"/>
    <x v="995"/>
    <x v="6"/>
    <n v="36601.06"/>
    <n v="34350.089999999997"/>
    <x v="195"/>
    <x v="48"/>
    <x v="198"/>
    <x v="0"/>
    <n v="0"/>
    <x v="0"/>
    <x v="2"/>
    <s v="FS"/>
    <x v="2"/>
    <m/>
    <m/>
    <m/>
  </r>
  <r>
    <n v="1398"/>
    <s v="MATRIZ"/>
    <x v="1"/>
    <x v="1"/>
    <x v="1"/>
    <s v="SERVIÇO"/>
    <x v="996"/>
    <x v="25"/>
    <n v="1671.12"/>
    <n v="1463.56"/>
    <x v="199"/>
    <x v="9"/>
    <x v="175"/>
    <x v="0"/>
    <n v="0"/>
    <x v="0"/>
    <x v="0"/>
    <s v="UT"/>
    <x v="0"/>
    <m/>
    <m/>
    <m/>
  </r>
  <r>
    <n v="1398"/>
    <s v="MATRIZ"/>
    <x v="1"/>
    <x v="1"/>
    <x v="1"/>
    <s v="SERVIÇO"/>
    <x v="997"/>
    <x v="6"/>
    <n v="26093.54"/>
    <n v="24488.79"/>
    <x v="5"/>
    <x v="55"/>
    <x v="201"/>
    <x v="0"/>
    <n v="0"/>
    <x v="0"/>
    <x v="0"/>
    <s v="UT"/>
    <x v="0"/>
    <m/>
    <m/>
    <m/>
  </r>
  <r>
    <n v="1398"/>
    <s v="MATRIZ"/>
    <x v="4"/>
    <x v="1"/>
    <x v="1"/>
    <s v="SERVIÇO"/>
    <x v="998"/>
    <x v="26"/>
    <n v="1671.12"/>
    <n v="1463.56"/>
    <x v="200"/>
    <x v="9"/>
    <x v="175"/>
    <x v="0"/>
    <n v="0"/>
    <x v="0"/>
    <x v="0"/>
    <s v="UT"/>
    <x v="0"/>
    <m/>
    <m/>
    <m/>
  </r>
  <r>
    <n v="1398"/>
    <s v="MATRIZ"/>
    <x v="4"/>
    <x v="1"/>
    <x v="1"/>
    <s v="SERVIÇO"/>
    <x v="999"/>
    <x v="27"/>
    <n v="1671.1199999999953"/>
    <n v="1463.5599999999977"/>
    <x v="201"/>
    <x v="9"/>
    <x v="175"/>
    <x v="0"/>
    <n v="0"/>
    <x v="0"/>
    <x v="0"/>
    <s v="UT"/>
    <x v="0"/>
    <m/>
    <m/>
    <m/>
  </r>
  <r>
    <n v="1393"/>
    <s v="MATRIZ"/>
    <x v="2"/>
    <x v="27"/>
    <x v="15"/>
    <s v="SERVIÇO"/>
    <x v="1000"/>
    <x v="6"/>
    <n v="475106.24"/>
    <n v="426170.3"/>
    <x v="5"/>
    <x v="55"/>
    <x v="202"/>
    <x v="0"/>
    <n v="0"/>
    <x v="0"/>
    <x v="0"/>
    <s v="PS"/>
    <x v="1"/>
    <m/>
    <m/>
    <m/>
  </r>
  <r>
    <n v="1476"/>
    <s v="MATRIZ"/>
    <x v="2"/>
    <x v="13"/>
    <x v="16"/>
    <s v="SERVIÇO"/>
    <x v="1001"/>
    <x v="6"/>
    <n v="318628.40000000002"/>
    <n v="285809.68"/>
    <x v="193"/>
    <x v="53"/>
    <x v="199"/>
    <x v="0"/>
    <m/>
    <x v="0"/>
    <x v="0"/>
    <s v="PS"/>
    <x v="1"/>
    <m/>
    <m/>
    <m/>
  </r>
  <r>
    <n v="1476"/>
    <s v="MATRIZ"/>
    <x v="2"/>
    <x v="13"/>
    <x v="16"/>
    <s v="SERVIÇO"/>
    <x v="1002"/>
    <x v="6"/>
    <n v="273.12"/>
    <n v="244.99"/>
    <x v="193"/>
    <x v="53"/>
    <x v="199"/>
    <x v="0"/>
    <m/>
    <x v="0"/>
    <x v="0"/>
    <s v="PS"/>
    <x v="1"/>
    <m/>
    <m/>
    <m/>
  </r>
  <r>
    <n v="1296"/>
    <s v="MATRIZ"/>
    <x v="8"/>
    <x v="4"/>
    <x v="34"/>
    <s v="SERVIÇO"/>
    <x v="1003"/>
    <x v="6"/>
    <n v="35000"/>
    <n v="32147.5"/>
    <x v="7"/>
    <x v="55"/>
    <x v="174"/>
    <x v="0"/>
    <m/>
    <x v="0"/>
    <x v="0"/>
    <s v="UT"/>
    <x v="0"/>
    <m/>
    <m/>
    <m/>
  </r>
  <r>
    <n v="1262"/>
    <s v="SP"/>
    <x v="4"/>
    <x v="20"/>
    <x v="24"/>
    <s v="SERVIÇO"/>
    <x v="1004"/>
    <x v="5"/>
    <n v="15016.96"/>
    <n v="14093.42"/>
    <x v="179"/>
    <x v="37"/>
    <x v="172"/>
    <x v="0"/>
    <n v="0"/>
    <x v="0"/>
    <x v="1"/>
    <s v="FS"/>
    <x v="0"/>
    <m/>
    <m/>
    <m/>
  </r>
  <r>
    <n v="1300"/>
    <s v="HUB"/>
    <x v="8"/>
    <x v="4"/>
    <x v="4"/>
    <s v="SERVIÇO"/>
    <x v="1005"/>
    <x v="6"/>
    <n v="287717.94"/>
    <n v="264268.92"/>
    <x v="181"/>
    <x v="67"/>
    <x v="203"/>
    <x v="0"/>
    <n v="0"/>
    <x v="0"/>
    <x v="0"/>
    <s v="UT"/>
    <x v="0"/>
    <m/>
    <m/>
    <m/>
  </r>
  <r>
    <n v="1300"/>
    <s v="HUB"/>
    <x v="8"/>
    <x v="4"/>
    <x v="4"/>
    <s v="SERVIÇO"/>
    <x v="1006"/>
    <x v="6"/>
    <n v="35127.120000000003"/>
    <n v="32264.26"/>
    <x v="197"/>
    <x v="47"/>
    <x v="204"/>
    <x v="0"/>
    <n v="0"/>
    <x v="0"/>
    <x v="0"/>
    <s v="UT"/>
    <x v="0"/>
    <m/>
    <m/>
    <m/>
  </r>
  <r>
    <n v="1290"/>
    <s v="MATRIZ"/>
    <x v="2"/>
    <x v="14"/>
    <x v="17"/>
    <s v="SERVIÇO"/>
    <x v="1007"/>
    <x v="6"/>
    <n v="53175.27"/>
    <n v="46980.35"/>
    <x v="193"/>
    <x v="55"/>
    <x v="174"/>
    <x v="0"/>
    <n v="0"/>
    <x v="0"/>
    <x v="0"/>
    <s v="UT"/>
    <x v="1"/>
    <m/>
    <m/>
    <m/>
  </r>
  <r>
    <n v="1490"/>
    <s v="MATRIZ"/>
    <x v="2"/>
    <x v="14"/>
    <x v="43"/>
    <s v="SERVIÇO"/>
    <x v="1008"/>
    <x v="6"/>
    <n v="2300"/>
    <n v="2032.05"/>
    <x v="193"/>
    <x v="55"/>
    <x v="174"/>
    <x v="0"/>
    <n v="0"/>
    <x v="0"/>
    <x v="0"/>
    <s v="UT"/>
    <x v="1"/>
    <m/>
    <m/>
    <m/>
  </r>
  <r>
    <n v="1480"/>
    <s v="SP"/>
    <x v="4"/>
    <x v="31"/>
    <x v="56"/>
    <s v="SERVIÇO"/>
    <x v="1009"/>
    <x v="6"/>
    <n v="323657.03999999998"/>
    <n v="303752.13"/>
    <x v="52"/>
    <x v="53"/>
    <x v="159"/>
    <x v="0"/>
    <m/>
    <x v="0"/>
    <x v="1"/>
    <s v="FS"/>
    <x v="0"/>
    <m/>
    <m/>
    <m/>
  </r>
  <r>
    <n v="1475"/>
    <s v="MATRIZ"/>
    <x v="6"/>
    <x v="15"/>
    <x v="18"/>
    <s v="SERVIÇO"/>
    <x v="1010"/>
    <x v="6"/>
    <n v="70696.11"/>
    <n v="63414.42"/>
    <x v="193"/>
    <x v="49"/>
    <x v="173"/>
    <x v="0"/>
    <n v="0"/>
    <x v="0"/>
    <x v="1"/>
    <s v="PS"/>
    <x v="3"/>
    <m/>
    <m/>
    <m/>
  </r>
  <r>
    <n v="1472"/>
    <s v="SP"/>
    <x v="3"/>
    <x v="28"/>
    <x v="44"/>
    <s v="SERVIÇO"/>
    <x v="1011"/>
    <x v="6"/>
    <n v="93301.2"/>
    <n v="87563.17"/>
    <x v="177"/>
    <x v="50"/>
    <x v="205"/>
    <x v="0"/>
    <m/>
    <x v="0"/>
    <x v="2"/>
    <s v="FS"/>
    <x v="2"/>
    <m/>
    <m/>
    <m/>
  </r>
  <r>
    <n v="1378"/>
    <s v="MATRIZ"/>
    <x v="4"/>
    <x v="5"/>
    <x v="5"/>
    <s v="SERVIÇO"/>
    <x v="1012"/>
    <x v="6"/>
    <n v="4281.29"/>
    <n v="4017.99"/>
    <x v="52"/>
    <x v="55"/>
    <x v="182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1013"/>
    <x v="6"/>
    <n v="38395.360000000001"/>
    <n v="34440.629999999997"/>
    <x v="177"/>
    <x v="50"/>
    <x v="180"/>
    <x v="0"/>
    <n v="0"/>
    <x v="0"/>
    <x v="0"/>
    <s v="PS"/>
    <x v="1"/>
    <m/>
    <m/>
    <m/>
  </r>
  <r>
    <n v="1358"/>
    <s v="MATRIZ"/>
    <x v="2"/>
    <x v="16"/>
    <x v="19"/>
    <s v="SERVIÇO"/>
    <x v="1014"/>
    <x v="6"/>
    <n v="89150.64"/>
    <n v="79968.13"/>
    <x v="195"/>
    <x v="53"/>
    <x v="199"/>
    <x v="0"/>
    <n v="0"/>
    <x v="0"/>
    <x v="0"/>
    <s v="PS"/>
    <x v="1"/>
    <m/>
    <m/>
    <m/>
  </r>
  <r>
    <n v="1473"/>
    <s v="MATRIZ"/>
    <x v="2"/>
    <x v="17"/>
    <x v="20"/>
    <s v="SERVIÇO"/>
    <x v="1015"/>
    <x v="6"/>
    <n v="236280.79"/>
    <n v="220213.69"/>
    <x v="202"/>
    <x v="56"/>
    <x v="206"/>
    <x v="0"/>
    <n v="0"/>
    <x v="0"/>
    <x v="0"/>
    <s v="PS"/>
    <x v="1"/>
    <m/>
    <m/>
    <m/>
  </r>
  <r>
    <n v="1462"/>
    <s v="MATRIZ"/>
    <x v="1"/>
    <x v="1"/>
    <x v="21"/>
    <s v="SERVIÇO"/>
    <x v="1016"/>
    <x v="6"/>
    <n v="1342.67"/>
    <n v="1260.0899999999999"/>
    <x v="7"/>
    <x v="44"/>
    <x v="134"/>
    <x v="0"/>
    <n v="0"/>
    <x v="0"/>
    <x v="0"/>
    <s v="UT"/>
    <x v="0"/>
    <m/>
    <m/>
    <m/>
  </r>
  <r>
    <n v="1390"/>
    <s v="HUB"/>
    <x v="8"/>
    <x v="0"/>
    <x v="0"/>
    <s v="SERVIÇO"/>
    <x v="0"/>
    <x v="0"/>
    <n v="34342.573333333334"/>
    <n v="32301.82"/>
    <x v="0"/>
    <x v="52"/>
    <x v="158"/>
    <x v="0"/>
    <n v="0"/>
    <x v="0"/>
    <x v="0"/>
    <s v="UT"/>
    <x v="0"/>
    <s v="SIM"/>
    <s v="RECUPERAÇÃO JUDICIAL"/>
    <m/>
  </r>
  <r>
    <n v="1260"/>
    <s v="SP"/>
    <x v="4"/>
    <x v="19"/>
    <x v="22"/>
    <s v="SERVIÇO"/>
    <x v="1017"/>
    <x v="6"/>
    <n v="10914"/>
    <n v="10242.790000000001"/>
    <x v="177"/>
    <x v="48"/>
    <x v="200"/>
    <x v="0"/>
    <n v="0"/>
    <x v="0"/>
    <x v="1"/>
    <s v="MS"/>
    <x v="0"/>
    <m/>
    <m/>
    <m/>
  </r>
  <r>
    <n v="1485"/>
    <s v="SP"/>
    <x v="4"/>
    <x v="30"/>
    <x v="57"/>
    <s v="SERVIÇO"/>
    <x v="1018"/>
    <x v="6"/>
    <n v="30030.639999999999"/>
    <n v="28183.75"/>
    <x v="177"/>
    <x v="67"/>
    <x v="207"/>
    <x v="0"/>
    <m/>
    <x v="0"/>
    <x v="1"/>
    <s v="FS"/>
    <x v="0"/>
    <m/>
    <m/>
    <m/>
  </r>
  <r>
    <n v="1485"/>
    <s v="SP"/>
    <x v="4"/>
    <x v="30"/>
    <x v="57"/>
    <s v="SERVIÇO"/>
    <x v="1019"/>
    <x v="6"/>
    <n v="7834.08"/>
    <n v="7352.29"/>
    <x v="9"/>
    <x v="68"/>
    <x v="208"/>
    <x v="0"/>
    <n v="0"/>
    <x v="0"/>
    <x v="1"/>
    <s v="FS"/>
    <x v="0"/>
    <m/>
    <m/>
    <m/>
  </r>
  <r>
    <n v="1506"/>
    <s v="SP"/>
    <x v="4"/>
    <x v="30"/>
    <x v="58"/>
    <s v="SERVIÇO"/>
    <x v="1020"/>
    <x v="17"/>
    <n v="39163.519999999997"/>
    <n v="36754.959999999999"/>
    <x v="146"/>
    <x v="58"/>
    <x v="209"/>
    <x v="0"/>
    <n v="0"/>
    <x v="0"/>
    <x v="2"/>
    <s v="FS"/>
    <x v="0"/>
    <m/>
    <m/>
    <m/>
  </r>
  <r>
    <n v="1482"/>
    <s v="MATRIZ"/>
    <x v="8"/>
    <x v="4"/>
    <x v="23"/>
    <s v="SERVIÇO"/>
    <x v="1021"/>
    <x v="6"/>
    <n v="39000"/>
    <n v="35236.5"/>
    <x v="172"/>
    <x v="53"/>
    <x v="159"/>
    <x v="0"/>
    <m/>
    <x v="0"/>
    <x v="0"/>
    <s v="UT"/>
    <x v="0"/>
    <m/>
    <m/>
    <m/>
  </r>
  <r>
    <n v="1262"/>
    <s v="SP"/>
    <x v="4"/>
    <x v="20"/>
    <x v="24"/>
    <s v="SERVIÇO"/>
    <x v="1022"/>
    <x v="6"/>
    <n v="28509.83"/>
    <n v="26756.48"/>
    <x v="203"/>
    <x v="53"/>
    <x v="159"/>
    <x v="0"/>
    <n v="0"/>
    <x v="0"/>
    <x v="1"/>
    <s v="FS"/>
    <x v="0"/>
    <m/>
    <m/>
    <m/>
  </r>
  <r>
    <n v="1262"/>
    <s v="SP"/>
    <x v="4"/>
    <x v="20"/>
    <x v="24"/>
    <s v="SERVIÇO"/>
    <x v="1023"/>
    <x v="6"/>
    <n v="19716.8"/>
    <n v="18504.22"/>
    <x v="203"/>
    <x v="53"/>
    <x v="159"/>
    <x v="0"/>
    <n v="0"/>
    <x v="0"/>
    <x v="1"/>
    <s v="FS"/>
    <x v="0"/>
    <m/>
    <m/>
    <m/>
  </r>
  <r>
    <n v="1262"/>
    <s v="SP"/>
    <x v="4"/>
    <x v="20"/>
    <x v="24"/>
    <s v="SERVIÇO"/>
    <x v="1024"/>
    <x v="6"/>
    <n v="10802.27"/>
    <n v="10137.94"/>
    <x v="203"/>
    <x v="53"/>
    <x v="159"/>
    <x v="0"/>
    <n v="0"/>
    <x v="0"/>
    <x v="1"/>
    <s v="FS"/>
    <x v="0"/>
    <m/>
    <m/>
    <m/>
  </r>
  <r>
    <n v="1262"/>
    <s v="SP"/>
    <x v="4"/>
    <x v="20"/>
    <x v="24"/>
    <s v="SERVIÇO"/>
    <x v="1025"/>
    <x v="6"/>
    <n v="63128.47"/>
    <n v="59246.07"/>
    <x v="203"/>
    <x v="53"/>
    <x v="159"/>
    <x v="0"/>
    <n v="0"/>
    <x v="0"/>
    <x v="1"/>
    <s v="FS"/>
    <x v="0"/>
    <m/>
    <m/>
    <m/>
  </r>
  <r>
    <n v="1262"/>
    <s v="SP"/>
    <x v="4"/>
    <x v="20"/>
    <x v="24"/>
    <s v="SERVIÇO"/>
    <x v="1026"/>
    <x v="6"/>
    <n v="4629.54"/>
    <n v="4344.82"/>
    <x v="203"/>
    <x v="53"/>
    <x v="159"/>
    <x v="0"/>
    <n v="0"/>
    <x v="0"/>
    <x v="1"/>
    <s v="FS"/>
    <x v="0"/>
    <m/>
    <m/>
    <m/>
  </r>
  <r>
    <n v="1269"/>
    <s v="SP"/>
    <x v="4"/>
    <x v="20"/>
    <x v="25"/>
    <s v="SERVIÇO"/>
    <x v="1027"/>
    <x v="6"/>
    <n v="198578.23"/>
    <n v="186365.67"/>
    <x v="203"/>
    <x v="53"/>
    <x v="159"/>
    <x v="0"/>
    <n v="0"/>
    <x v="0"/>
    <x v="0"/>
    <s v="FS"/>
    <x v="0"/>
    <m/>
    <m/>
    <m/>
  </r>
  <r>
    <n v="1269"/>
    <s v="SP"/>
    <x v="4"/>
    <x v="20"/>
    <x v="25"/>
    <s v="SERVIÇO"/>
    <x v="1028"/>
    <x v="6"/>
    <n v="10876.23"/>
    <n v="10207.34"/>
    <x v="203"/>
    <x v="53"/>
    <x v="159"/>
    <x v="0"/>
    <n v="0"/>
    <x v="0"/>
    <x v="0"/>
    <s v="FS"/>
    <x v="0"/>
    <m/>
    <m/>
    <m/>
  </r>
  <r>
    <n v="1269"/>
    <s v="SP"/>
    <x v="4"/>
    <x v="20"/>
    <x v="25"/>
    <s v="SERVIÇO"/>
    <x v="1029"/>
    <x v="6"/>
    <n v="6655.99"/>
    <n v="6246.65"/>
    <x v="203"/>
    <x v="53"/>
    <x v="159"/>
    <x v="0"/>
    <n v="0"/>
    <x v="0"/>
    <x v="0"/>
    <s v="FS"/>
    <x v="0"/>
    <m/>
    <m/>
    <m/>
  </r>
  <r>
    <n v="1269"/>
    <s v="SP"/>
    <x v="4"/>
    <x v="20"/>
    <x v="25"/>
    <s v="SERVIÇO"/>
    <x v="1030"/>
    <x v="6"/>
    <n v="30699.39"/>
    <n v="28811.38"/>
    <x v="203"/>
    <x v="53"/>
    <x v="159"/>
    <x v="0"/>
    <n v="0"/>
    <x v="0"/>
    <x v="0"/>
    <s v="FS"/>
    <x v="0"/>
    <m/>
    <m/>
    <m/>
  </r>
  <r>
    <n v="1400"/>
    <s v="SP"/>
    <x v="7"/>
    <x v="21"/>
    <x v="26"/>
    <s v="SERVIÇO"/>
    <x v="1031"/>
    <x v="6"/>
    <n v="77751.44"/>
    <n v="70248.429999999993"/>
    <x v="18"/>
    <x v="56"/>
    <x v="179"/>
    <x v="0"/>
    <m/>
    <x v="0"/>
    <x v="1"/>
    <s v="UT"/>
    <x v="2"/>
    <m/>
    <m/>
    <m/>
  </r>
  <r>
    <n v="1400"/>
    <s v="SP"/>
    <x v="7"/>
    <x v="21"/>
    <x v="26"/>
    <s v="SERVIÇO"/>
    <x v="1032"/>
    <x v="6"/>
    <n v="516722.79"/>
    <n v="466859.04"/>
    <x v="146"/>
    <x v="16"/>
    <x v="50"/>
    <x v="0"/>
    <m/>
    <x v="0"/>
    <x v="1"/>
    <s v="UT"/>
    <x v="2"/>
    <m/>
    <m/>
    <m/>
  </r>
  <r>
    <n v="1366"/>
    <s v="HUB"/>
    <x v="7"/>
    <x v="21"/>
    <x v="27"/>
    <s v="SERVIÇO"/>
    <x v="1033"/>
    <x v="6"/>
    <n v="297531.55"/>
    <n v="268819.76"/>
    <x v="204"/>
    <x v="67"/>
    <x v="210"/>
    <x v="0"/>
    <n v="0"/>
    <x v="0"/>
    <x v="0"/>
    <s v="UT"/>
    <x v="2"/>
    <m/>
    <m/>
    <m/>
  </r>
  <r>
    <n v="1501"/>
    <s v="SP"/>
    <x v="7"/>
    <x v="21"/>
    <x v="59"/>
    <s v="SERVIÇO"/>
    <x v="1034"/>
    <x v="6"/>
    <n v="292069.58"/>
    <n v="263884.87"/>
    <x v="205"/>
    <x v="9"/>
    <x v="211"/>
    <x v="0"/>
    <n v="0"/>
    <x v="0"/>
    <x v="0"/>
    <s v="UT"/>
    <x v="2"/>
    <m/>
    <m/>
    <m/>
  </r>
  <r>
    <n v="1388"/>
    <s v="SP"/>
    <x v="7"/>
    <x v="21"/>
    <x v="28"/>
    <s v="SERVIÇO"/>
    <x v="1035"/>
    <x v="6"/>
    <n v="183507.12"/>
    <n v="165798.69"/>
    <x v="18"/>
    <x v="56"/>
    <x v="179"/>
    <x v="0"/>
    <m/>
    <x v="0"/>
    <x v="1"/>
    <s v="UT"/>
    <x v="2"/>
    <m/>
    <m/>
    <m/>
  </r>
  <r>
    <n v="1494"/>
    <s v="SP"/>
    <x v="4"/>
    <x v="6"/>
    <x v="60"/>
    <s v="SERVIÇO"/>
    <x v="1036"/>
    <x v="6"/>
    <n v="36951.599999999999"/>
    <n v="34679.08"/>
    <x v="181"/>
    <x v="53"/>
    <x v="199"/>
    <x v="0"/>
    <n v="0"/>
    <x v="0"/>
    <x v="2"/>
    <s v="FS"/>
    <x v="0"/>
    <m/>
    <m/>
    <m/>
  </r>
  <r>
    <n v="1298"/>
    <s v="HUB"/>
    <x v="8"/>
    <x v="22"/>
    <x v="29"/>
    <s v="SERVIÇO"/>
    <x v="1037"/>
    <x v="6"/>
    <n v="275594.28999999998"/>
    <n v="258645.25"/>
    <x v="195"/>
    <x v="48"/>
    <x v="198"/>
    <x v="0"/>
    <n v="0"/>
    <x v="0"/>
    <x v="0"/>
    <s v="PS"/>
    <x v="0"/>
    <m/>
    <m/>
    <m/>
  </r>
  <r>
    <n v="1289"/>
    <s v="HUB"/>
    <x v="6"/>
    <x v="23"/>
    <x v="30"/>
    <s v="SERVIÇO"/>
    <x v="1038"/>
    <x v="6"/>
    <n v="288631.78000000003"/>
    <n v="269004.81"/>
    <x v="5"/>
    <x v="26"/>
    <x v="212"/>
    <x v="0"/>
    <m/>
    <x v="0"/>
    <x v="0"/>
    <s v="PS"/>
    <x v="3"/>
    <m/>
    <m/>
    <m/>
  </r>
  <r>
    <n v="1288"/>
    <s v="HUB"/>
    <x v="6"/>
    <x v="23"/>
    <x v="31"/>
    <s v="SERVIÇO"/>
    <x v="1039"/>
    <x v="6"/>
    <n v="393625.11"/>
    <n v="366858.6"/>
    <x v="5"/>
    <x v="55"/>
    <x v="202"/>
    <x v="0"/>
    <m/>
    <x v="0"/>
    <x v="1"/>
    <s v="PS"/>
    <x v="3"/>
    <m/>
    <m/>
    <m/>
  </r>
  <r>
    <n v="1271"/>
    <s v="HUB"/>
    <x v="6"/>
    <x v="23"/>
    <x v="32"/>
    <s v="SERVIÇO"/>
    <x v="1040"/>
    <x v="6"/>
    <n v="255597.54"/>
    <n v="238216.91"/>
    <x v="5"/>
    <x v="49"/>
    <x v="177"/>
    <x v="0"/>
    <n v="0"/>
    <x v="0"/>
    <x v="0"/>
    <s v="PS"/>
    <x v="3"/>
    <m/>
    <m/>
    <m/>
  </r>
  <r>
    <n v="1299"/>
    <s v="HUB"/>
    <x v="6"/>
    <x v="23"/>
    <x v="33"/>
    <s v="SERVIÇO"/>
    <x v="1041"/>
    <x v="6"/>
    <n v="1020096"/>
    <n v="950729.47"/>
    <x v="206"/>
    <x v="67"/>
    <x v="207"/>
    <x v="0"/>
    <m/>
    <x v="0"/>
    <x v="1"/>
    <s v="PS"/>
    <x v="3"/>
    <m/>
    <m/>
    <m/>
  </r>
  <r>
    <n v="1394"/>
    <s v="MATRIZ"/>
    <x v="5"/>
    <x v="7"/>
    <x v="7"/>
    <s v="SERVIÇO"/>
    <x v="1042"/>
    <x v="6"/>
    <n v="89018.28"/>
    <n v="82965.03"/>
    <x v="193"/>
    <x v="50"/>
    <x v="180"/>
    <x v="0"/>
    <n v="0"/>
    <x v="0"/>
    <x v="0"/>
    <s v="PS"/>
    <x v="1"/>
    <m/>
    <m/>
    <m/>
  </r>
  <r>
    <n v="1394"/>
    <s v="MATRIZ"/>
    <x v="5"/>
    <x v="7"/>
    <x v="7"/>
    <s v="SERVIÇO"/>
    <x v="1043"/>
    <x v="6"/>
    <n v="11012.23"/>
    <n v="10263.4"/>
    <x v="181"/>
    <x v="49"/>
    <x v="173"/>
    <x v="0"/>
    <n v="0"/>
    <x v="0"/>
    <x v="0"/>
    <s v="PS"/>
    <x v="1"/>
    <m/>
    <m/>
    <m/>
  </r>
  <r>
    <n v="1394"/>
    <s v="MATRIZ"/>
    <x v="5"/>
    <x v="7"/>
    <x v="7"/>
    <s v="SERVIÇO"/>
    <x v="1044"/>
    <x v="6"/>
    <n v="234609.58"/>
    <n v="218656.13"/>
    <x v="181"/>
    <x v="48"/>
    <x v="148"/>
    <x v="0"/>
    <n v="0"/>
    <x v="0"/>
    <x v="0"/>
    <s v="PS"/>
    <x v="1"/>
    <m/>
    <m/>
    <m/>
  </r>
  <r>
    <n v="1394"/>
    <s v="MATRIZ"/>
    <x v="5"/>
    <x v="7"/>
    <x v="7"/>
    <s v="SERVIÇO"/>
    <x v="1045"/>
    <x v="6"/>
    <n v="117291.83"/>
    <n v="109315.98"/>
    <x v="198"/>
    <x v="48"/>
    <x v="148"/>
    <x v="0"/>
    <n v="0"/>
    <x v="0"/>
    <x v="0"/>
    <s v="PS"/>
    <x v="1"/>
    <m/>
    <m/>
    <m/>
  </r>
  <r>
    <n v="1394"/>
    <s v="MATRIZ"/>
    <x v="5"/>
    <x v="7"/>
    <x v="7"/>
    <s v="SERVIÇO"/>
    <x v="1046"/>
    <x v="6"/>
    <n v="133850.94"/>
    <n v="124749.07"/>
    <x v="52"/>
    <x v="48"/>
    <x v="197"/>
    <x v="0"/>
    <n v="0"/>
    <x v="0"/>
    <x v="0"/>
    <s v="PS"/>
    <x v="1"/>
    <m/>
    <m/>
    <m/>
  </r>
  <r>
    <n v="1394"/>
    <s v="MATRIZ"/>
    <x v="5"/>
    <x v="7"/>
    <x v="7"/>
    <s v="SERVIÇO"/>
    <x v="1047"/>
    <x v="6"/>
    <n v="297806.21999999997"/>
    <n v="277555.40000000002"/>
    <x v="207"/>
    <x v="48"/>
    <x v="198"/>
    <x v="0"/>
    <n v="0"/>
    <x v="0"/>
    <x v="0"/>
    <s v="PS"/>
    <x v="1"/>
    <m/>
    <m/>
    <m/>
  </r>
  <r>
    <n v="1394"/>
    <s v="MATRIZ"/>
    <x v="5"/>
    <x v="7"/>
    <x v="7"/>
    <s v="SERVIÇO"/>
    <x v="1048"/>
    <x v="6"/>
    <n v="89335"/>
    <n v="83260.22"/>
    <x v="207"/>
    <x v="48"/>
    <x v="198"/>
    <x v="0"/>
    <n v="0"/>
    <x v="0"/>
    <x v="0"/>
    <s v="PS"/>
    <x v="1"/>
    <m/>
    <m/>
    <m/>
  </r>
  <r>
    <n v="1500"/>
    <s v="SP"/>
    <x v="3"/>
    <x v="8"/>
    <x v="53"/>
    <s v="SERVIÇO"/>
    <x v="1049"/>
    <x v="6"/>
    <n v="39507.279999999999"/>
    <n v="37077.589999999997"/>
    <x v="208"/>
    <x v="26"/>
    <x v="52"/>
    <x v="0"/>
    <m/>
    <x v="0"/>
    <x v="2"/>
    <s v="FS"/>
    <x v="2"/>
    <m/>
    <m/>
    <m/>
  </r>
  <r>
    <n v="1500"/>
    <s v="SP"/>
    <x v="3"/>
    <x v="8"/>
    <x v="53"/>
    <s v="SERVIÇO"/>
    <x v="1050"/>
    <x v="6"/>
    <n v="41502.720000000001"/>
    <n v="38950.31"/>
    <x v="209"/>
    <x v="26"/>
    <x v="52"/>
    <x v="0"/>
    <m/>
    <x v="0"/>
    <x v="2"/>
    <s v="FS"/>
    <x v="2"/>
    <m/>
    <m/>
    <m/>
  </r>
  <r>
    <n v="1360"/>
    <s v="SP"/>
    <x v="3"/>
    <x v="8"/>
    <x v="8"/>
    <s v="SERVIÇO"/>
    <x v="1051"/>
    <x v="6"/>
    <n v="85475.04"/>
    <n v="80218.320000000007"/>
    <x v="208"/>
    <x v="26"/>
    <x v="52"/>
    <x v="0"/>
    <m/>
    <x v="0"/>
    <x v="1"/>
    <s v="FS"/>
    <x v="2"/>
    <m/>
    <m/>
    <m/>
  </r>
  <r>
    <n v="1360"/>
    <s v="SP"/>
    <x v="3"/>
    <x v="8"/>
    <x v="8"/>
    <s v="SERVIÇO"/>
    <x v="1052"/>
    <x v="6"/>
    <n v="39835.599999999999"/>
    <n v="37385.71"/>
    <x v="208"/>
    <x v="26"/>
    <x v="52"/>
    <x v="0"/>
    <m/>
    <x v="0"/>
    <x v="1"/>
    <s v="FS"/>
    <x v="2"/>
    <m/>
    <m/>
    <m/>
  </r>
  <r>
    <n v="1360"/>
    <s v="SP"/>
    <x v="3"/>
    <x v="8"/>
    <x v="8"/>
    <s v="SERVIÇO"/>
    <x v="1053"/>
    <x v="6"/>
    <n v="200034.24"/>
    <n v="187732.14"/>
    <x v="208"/>
    <x v="26"/>
    <x v="52"/>
    <x v="0"/>
    <m/>
    <x v="0"/>
    <x v="1"/>
    <s v="FS"/>
    <x v="2"/>
    <m/>
    <m/>
    <m/>
  </r>
  <r>
    <n v="1360"/>
    <s v="SP"/>
    <x v="3"/>
    <x v="8"/>
    <x v="8"/>
    <s v="SERVIÇO"/>
    <x v="1054"/>
    <x v="6"/>
    <n v="27535.200000000001"/>
    <n v="25841.78"/>
    <x v="208"/>
    <x v="55"/>
    <x v="182"/>
    <x v="0"/>
    <m/>
    <x v="0"/>
    <x v="1"/>
    <s v="FS"/>
    <x v="2"/>
    <m/>
    <m/>
    <m/>
  </r>
  <r>
    <n v="1360"/>
    <s v="SP"/>
    <x v="3"/>
    <x v="8"/>
    <x v="8"/>
    <s v="SERVIÇO"/>
    <x v="1055"/>
    <x v="6"/>
    <n v="41069.279999999999"/>
    <n v="38543.519999999997"/>
    <x v="208"/>
    <x v="26"/>
    <x v="52"/>
    <x v="0"/>
    <m/>
    <x v="0"/>
    <x v="1"/>
    <s v="FS"/>
    <x v="2"/>
    <m/>
    <m/>
    <m/>
  </r>
  <r>
    <n v="1360"/>
    <s v="SP"/>
    <x v="3"/>
    <x v="8"/>
    <x v="8"/>
    <s v="SERVIÇO"/>
    <x v="1056"/>
    <x v="6"/>
    <n v="33416"/>
    <n v="31360.92"/>
    <x v="208"/>
    <x v="26"/>
    <x v="52"/>
    <x v="0"/>
    <m/>
    <x v="0"/>
    <x v="1"/>
    <s v="FS"/>
    <x v="2"/>
    <m/>
    <m/>
    <m/>
  </r>
  <r>
    <n v="1360"/>
    <s v="SP"/>
    <x v="3"/>
    <x v="8"/>
    <x v="8"/>
    <s v="SERVIÇO"/>
    <x v="1057"/>
    <x v="6"/>
    <n v="127217.28"/>
    <n v="119393.42"/>
    <x v="208"/>
    <x v="26"/>
    <x v="52"/>
    <x v="0"/>
    <m/>
    <x v="0"/>
    <x v="1"/>
    <s v="FS"/>
    <x v="2"/>
    <m/>
    <m/>
    <m/>
  </r>
  <r>
    <n v="1360"/>
    <s v="SP"/>
    <x v="3"/>
    <x v="8"/>
    <x v="8"/>
    <s v="SERVIÇO"/>
    <x v="1058"/>
    <x v="6"/>
    <n v="39238.080000000002"/>
    <n v="36824.94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59"/>
    <x v="6"/>
    <n v="36123.599999999999"/>
    <n v="33902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60"/>
    <x v="6"/>
    <n v="37320"/>
    <n v="35024.82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61"/>
    <x v="6"/>
    <n v="23504"/>
    <n v="22058.5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62"/>
    <x v="6"/>
    <n v="149975.67999999999"/>
    <n v="140752.17000000001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63"/>
    <x v="6"/>
    <n v="87403.66"/>
    <n v="82028.34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64"/>
    <x v="6"/>
    <n v="1175.2"/>
    <n v="1102.92"/>
    <x v="180"/>
    <x v="26"/>
    <x v="52"/>
    <x v="0"/>
    <m/>
    <x v="0"/>
    <x v="1"/>
    <s v="FS"/>
    <x v="2"/>
    <m/>
    <m/>
    <m/>
  </r>
  <r>
    <n v="1360"/>
    <s v="SP"/>
    <x v="3"/>
    <x v="8"/>
    <x v="8"/>
    <s v="SERVIÇO"/>
    <x v="1065"/>
    <x v="6"/>
    <n v="11800.8"/>
    <n v="11075.05"/>
    <x v="169"/>
    <x v="55"/>
    <x v="182"/>
    <x v="0"/>
    <m/>
    <x v="0"/>
    <x v="1"/>
    <s v="FS"/>
    <x v="2"/>
    <m/>
    <m/>
    <m/>
  </r>
  <r>
    <n v="1360"/>
    <s v="SP"/>
    <x v="3"/>
    <x v="8"/>
    <x v="8"/>
    <s v="SERVIÇO"/>
    <x v="1066"/>
    <x v="6"/>
    <n v="25828.799999999999"/>
    <n v="24240.33"/>
    <x v="169"/>
    <x v="53"/>
    <x v="199"/>
    <x v="0"/>
    <m/>
    <x v="0"/>
    <x v="1"/>
    <s v="FS"/>
    <x v="2"/>
    <m/>
    <m/>
    <m/>
  </r>
  <r>
    <n v="1360"/>
    <s v="SP"/>
    <x v="3"/>
    <x v="8"/>
    <x v="8"/>
    <s v="SERVIÇO"/>
    <x v="1067"/>
    <x v="6"/>
    <n v="68989.2"/>
    <n v="64746.36"/>
    <x v="169"/>
    <x v="26"/>
    <x v="52"/>
    <x v="0"/>
    <m/>
    <x v="0"/>
    <x v="1"/>
    <s v="FS"/>
    <x v="2"/>
    <m/>
    <m/>
    <m/>
  </r>
  <r>
    <n v="1360"/>
    <s v="SP"/>
    <x v="3"/>
    <x v="8"/>
    <x v="8"/>
    <s v="SERVIÇO"/>
    <x v="1068"/>
    <x v="6"/>
    <n v="32424"/>
    <n v="30429.919999999998"/>
    <x v="209"/>
    <x v="26"/>
    <x v="52"/>
    <x v="0"/>
    <m/>
    <x v="0"/>
    <x v="1"/>
    <s v="FS"/>
    <x v="2"/>
    <m/>
    <m/>
    <m/>
  </r>
  <r>
    <n v="1360"/>
    <s v="SP"/>
    <x v="3"/>
    <x v="8"/>
    <x v="8"/>
    <s v="SERVIÇO"/>
    <x v="1069"/>
    <x v="6"/>
    <n v="32424"/>
    <n v="30429.919999999998"/>
    <x v="209"/>
    <x v="26"/>
    <x v="52"/>
    <x v="0"/>
    <m/>
    <x v="0"/>
    <x v="1"/>
    <s v="FS"/>
    <x v="2"/>
    <m/>
    <m/>
    <m/>
  </r>
  <r>
    <n v="1360"/>
    <s v="SP"/>
    <x v="3"/>
    <x v="8"/>
    <x v="8"/>
    <s v="SERVIÇO"/>
    <x v="1070"/>
    <x v="6"/>
    <n v="31652"/>
    <n v="29705.4"/>
    <x v="209"/>
    <x v="26"/>
    <x v="52"/>
    <x v="0"/>
    <m/>
    <x v="0"/>
    <x v="1"/>
    <s v="FS"/>
    <x v="2"/>
    <m/>
    <m/>
    <m/>
  </r>
  <r>
    <n v="1360"/>
    <s v="SP"/>
    <x v="3"/>
    <x v="8"/>
    <x v="8"/>
    <s v="SERVIÇO"/>
    <x v="1071"/>
    <x v="6"/>
    <n v="209559.67999999999"/>
    <n v="196671.75"/>
    <x v="181"/>
    <x v="26"/>
    <x v="212"/>
    <x v="0"/>
    <m/>
    <x v="0"/>
    <x v="1"/>
    <s v="FS"/>
    <x v="2"/>
    <m/>
    <m/>
    <m/>
  </r>
  <r>
    <n v="1360"/>
    <s v="SP"/>
    <x v="3"/>
    <x v="8"/>
    <x v="8"/>
    <s v="SERVIÇO"/>
    <x v="1072"/>
    <x v="6"/>
    <n v="28846.400000000001"/>
    <n v="27072.35"/>
    <x v="181"/>
    <x v="26"/>
    <x v="212"/>
    <x v="0"/>
    <m/>
    <x v="0"/>
    <x v="1"/>
    <s v="FS"/>
    <x v="2"/>
    <m/>
    <m/>
    <m/>
  </r>
  <r>
    <n v="1360"/>
    <s v="SP"/>
    <x v="3"/>
    <x v="8"/>
    <x v="8"/>
    <s v="SERVIÇO"/>
    <x v="1073"/>
    <x v="6"/>
    <n v="28846.400000000001"/>
    <n v="27072.35"/>
    <x v="181"/>
    <x v="26"/>
    <x v="212"/>
    <x v="0"/>
    <m/>
    <x v="0"/>
    <x v="1"/>
    <s v="FS"/>
    <x v="2"/>
    <m/>
    <m/>
    <m/>
  </r>
  <r>
    <n v="1360"/>
    <s v="SP"/>
    <x v="3"/>
    <x v="8"/>
    <x v="8"/>
    <s v="SERVIÇO"/>
    <x v="1074"/>
    <x v="6"/>
    <n v="25854.400000000001"/>
    <n v="24264.36"/>
    <x v="181"/>
    <x v="26"/>
    <x v="212"/>
    <x v="0"/>
    <m/>
    <x v="0"/>
    <x v="1"/>
    <s v="FS"/>
    <x v="2"/>
    <m/>
    <m/>
    <m/>
  </r>
  <r>
    <n v="1360"/>
    <s v="SP"/>
    <x v="3"/>
    <x v="8"/>
    <x v="8"/>
    <s v="SERVIÇO"/>
    <x v="1075"/>
    <x v="6"/>
    <n v="186200.95999999999"/>
    <n v="174749.6"/>
    <x v="181"/>
    <x v="26"/>
    <x v="212"/>
    <x v="0"/>
    <m/>
    <x v="0"/>
    <x v="1"/>
    <s v="FS"/>
    <x v="2"/>
    <m/>
    <m/>
    <m/>
  </r>
  <r>
    <n v="1360"/>
    <s v="SP"/>
    <x v="3"/>
    <x v="8"/>
    <x v="8"/>
    <s v="SERVIÇO"/>
    <x v="1076"/>
    <x v="6"/>
    <n v="64125.599999999999"/>
    <n v="60181.87"/>
    <x v="181"/>
    <x v="26"/>
    <x v="212"/>
    <x v="0"/>
    <m/>
    <x v="0"/>
    <x v="1"/>
    <s v="FS"/>
    <x v="2"/>
    <m/>
    <m/>
    <m/>
  </r>
  <r>
    <n v="1360"/>
    <s v="SP"/>
    <x v="3"/>
    <x v="8"/>
    <x v="8"/>
    <s v="SERVIÇO"/>
    <x v="1077"/>
    <x v="6"/>
    <n v="4858"/>
    <n v="4559.2299999999996"/>
    <x v="8"/>
    <x v="55"/>
    <x v="182"/>
    <x v="0"/>
    <m/>
    <x v="0"/>
    <x v="1"/>
    <s v="FS"/>
    <x v="2"/>
    <m/>
    <m/>
    <m/>
  </r>
  <r>
    <n v="1360"/>
    <s v="SP"/>
    <x v="3"/>
    <x v="8"/>
    <x v="8"/>
    <s v="SERVIÇO"/>
    <x v="1078"/>
    <x v="6"/>
    <n v="63027.44"/>
    <n v="59151.26"/>
    <x v="9"/>
    <x v="55"/>
    <x v="182"/>
    <x v="0"/>
    <m/>
    <x v="0"/>
    <x v="1"/>
    <s v="FS"/>
    <x v="2"/>
    <m/>
    <m/>
    <m/>
  </r>
  <r>
    <n v="1387"/>
    <s v="SP"/>
    <x v="3"/>
    <x v="8"/>
    <x v="47"/>
    <s v="SERVIÇO"/>
    <x v="1079"/>
    <x v="6"/>
    <n v="28390.32"/>
    <n v="26644.32"/>
    <x v="208"/>
    <x v="26"/>
    <x v="52"/>
    <x v="0"/>
    <m/>
    <x v="0"/>
    <x v="0"/>
    <s v="FS"/>
    <x v="2"/>
    <m/>
    <m/>
    <m/>
  </r>
  <r>
    <n v="1387"/>
    <s v="SP"/>
    <x v="3"/>
    <x v="8"/>
    <x v="47"/>
    <s v="SERVIÇO"/>
    <x v="1080"/>
    <x v="6"/>
    <n v="42630"/>
    <n v="40008.25"/>
    <x v="208"/>
    <x v="26"/>
    <x v="52"/>
    <x v="0"/>
    <m/>
    <x v="0"/>
    <x v="0"/>
    <s v="FS"/>
    <x v="2"/>
    <m/>
    <m/>
    <m/>
  </r>
  <r>
    <n v="1387"/>
    <s v="SP"/>
    <x v="3"/>
    <x v="8"/>
    <x v="47"/>
    <s v="SERVIÇO"/>
    <x v="1081"/>
    <x v="6"/>
    <n v="44660"/>
    <n v="41913.410000000003"/>
    <x v="208"/>
    <x v="26"/>
    <x v="52"/>
    <x v="0"/>
    <m/>
    <x v="0"/>
    <x v="0"/>
    <s v="FS"/>
    <x v="2"/>
    <m/>
    <m/>
    <m/>
  </r>
  <r>
    <n v="1387"/>
    <s v="SP"/>
    <x v="3"/>
    <x v="8"/>
    <x v="47"/>
    <s v="SERVIÇO"/>
    <x v="1082"/>
    <x v="6"/>
    <n v="78807.12"/>
    <n v="73960.479999999996"/>
    <x v="180"/>
    <x v="26"/>
    <x v="52"/>
    <x v="0"/>
    <m/>
    <x v="0"/>
    <x v="0"/>
    <s v="FS"/>
    <x v="2"/>
    <m/>
    <m/>
    <m/>
  </r>
  <r>
    <n v="1387"/>
    <s v="SP"/>
    <x v="3"/>
    <x v="8"/>
    <x v="47"/>
    <s v="SERVIÇO"/>
    <x v="1083"/>
    <x v="6"/>
    <n v="29920"/>
    <n v="28079.93"/>
    <x v="180"/>
    <x v="26"/>
    <x v="52"/>
    <x v="0"/>
    <m/>
    <x v="0"/>
    <x v="0"/>
    <s v="FS"/>
    <x v="2"/>
    <m/>
    <m/>
    <m/>
  </r>
  <r>
    <n v="1387"/>
    <s v="SP"/>
    <x v="3"/>
    <x v="8"/>
    <x v="47"/>
    <s v="SERVIÇO"/>
    <x v="1084"/>
    <x v="6"/>
    <n v="24360"/>
    <n v="22861.86"/>
    <x v="181"/>
    <x v="26"/>
    <x v="212"/>
    <x v="0"/>
    <m/>
    <x v="0"/>
    <x v="0"/>
    <s v="FS"/>
    <x v="2"/>
    <m/>
    <m/>
    <m/>
  </r>
  <r>
    <n v="1387"/>
    <s v="SP"/>
    <x v="3"/>
    <x v="8"/>
    <x v="47"/>
    <s v="SERVIÇO"/>
    <x v="1085"/>
    <x v="6"/>
    <n v="29920"/>
    <n v="28079.919999999998"/>
    <x v="181"/>
    <x v="26"/>
    <x v="212"/>
    <x v="0"/>
    <m/>
    <x v="0"/>
    <x v="0"/>
    <s v="FS"/>
    <x v="2"/>
    <m/>
    <m/>
    <m/>
  </r>
  <r>
    <n v="1470"/>
    <s v="MATRIZ"/>
    <x v="2"/>
    <x v="24"/>
    <x v="35"/>
    <s v="SERVIÇO"/>
    <x v="1086"/>
    <x v="6"/>
    <n v="36700"/>
    <n v="33708.949999999997"/>
    <x v="7"/>
    <x v="49"/>
    <x v="213"/>
    <x v="0"/>
    <n v="0"/>
    <x v="0"/>
    <x v="0"/>
    <s v="MS"/>
    <x v="1"/>
    <m/>
    <m/>
    <m/>
  </r>
  <r>
    <n v="1273"/>
    <s v="HUB"/>
    <x v="6"/>
    <x v="25"/>
    <x v="37"/>
    <s v="SERVIÇO"/>
    <x v="1087"/>
    <x v="6"/>
    <n v="571783.62"/>
    <n v="512889.91"/>
    <x v="196"/>
    <x v="48"/>
    <x v="148"/>
    <x v="0"/>
    <n v="0"/>
    <x v="0"/>
    <x v="0"/>
    <s v="PS"/>
    <x v="3"/>
    <m/>
    <m/>
    <m/>
  </r>
  <r>
    <n v="1277"/>
    <s v="HUB"/>
    <x v="6"/>
    <x v="25"/>
    <x v="38"/>
    <s v="SERVIÇO"/>
    <x v="1088"/>
    <x v="6"/>
    <n v="162394.43"/>
    <n v="145667.79999999999"/>
    <x v="9"/>
    <x v="7"/>
    <x v="214"/>
    <x v="0"/>
    <m/>
    <x v="0"/>
    <x v="0"/>
    <s v="PS"/>
    <x v="3"/>
    <m/>
    <m/>
    <m/>
  </r>
  <r>
    <n v="1268"/>
    <s v="SP"/>
    <x v="4"/>
    <x v="6"/>
    <x v="39"/>
    <s v="SERVIÇO"/>
    <x v="1089"/>
    <x v="6"/>
    <n v="293308.59999999998"/>
    <n v="275270.12"/>
    <x v="181"/>
    <x v="53"/>
    <x v="199"/>
    <x v="0"/>
    <n v="0"/>
    <x v="0"/>
    <x v="1"/>
    <s v="FS"/>
    <x v="0"/>
    <m/>
    <m/>
    <m/>
  </r>
  <r>
    <n v="1268"/>
    <s v="SP"/>
    <x v="4"/>
    <x v="6"/>
    <x v="39"/>
    <s v="SERVIÇO"/>
    <x v="1090"/>
    <x v="6"/>
    <n v="42359.519999999997"/>
    <n v="39754.410000000003"/>
    <x v="181"/>
    <x v="53"/>
    <x v="199"/>
    <x v="0"/>
    <n v="0"/>
    <x v="0"/>
    <x v="1"/>
    <s v="FS"/>
    <x v="0"/>
    <m/>
    <m/>
    <m/>
  </r>
  <r>
    <n v="1268"/>
    <s v="SP"/>
    <x v="4"/>
    <x v="6"/>
    <x v="39"/>
    <s v="SERVIÇO"/>
    <x v="1091"/>
    <x v="6"/>
    <n v="107115.28"/>
    <n v="100527.69"/>
    <x v="181"/>
    <x v="53"/>
    <x v="199"/>
    <x v="0"/>
    <n v="0"/>
    <x v="0"/>
    <x v="1"/>
    <s v="FS"/>
    <x v="0"/>
    <m/>
    <m/>
    <m/>
  </r>
  <r>
    <n v="1268"/>
    <s v="SP"/>
    <x v="4"/>
    <x v="6"/>
    <x v="39"/>
    <s v="SERVIÇO"/>
    <x v="1092"/>
    <x v="6"/>
    <n v="1058150.3999999999"/>
    <n v="993074.15"/>
    <x v="181"/>
    <x v="53"/>
    <x v="199"/>
    <x v="0"/>
    <n v="0"/>
    <x v="0"/>
    <x v="1"/>
    <s v="FS"/>
    <x v="0"/>
    <m/>
    <m/>
    <m/>
  </r>
  <r>
    <n v="1483"/>
    <s v="MATRIZ"/>
    <x v="4"/>
    <x v="9"/>
    <x v="9"/>
    <s v="SERVIÇO"/>
    <x v="1093"/>
    <x v="6"/>
    <n v="53591.199999999997"/>
    <n v="49527.08"/>
    <x v="7"/>
    <x v="55"/>
    <x v="215"/>
    <x v="0"/>
    <n v="0"/>
    <x v="0"/>
    <x v="0"/>
    <s v="MS"/>
    <x v="0"/>
    <m/>
    <m/>
    <m/>
  </r>
  <r>
    <n v="1483"/>
    <s v="MATRIZ"/>
    <x v="4"/>
    <x v="9"/>
    <x v="9"/>
    <s v="SERVIÇO"/>
    <x v="1094"/>
    <x v="6"/>
    <n v="28856.799999999999"/>
    <n v="25450.11"/>
    <x v="7"/>
    <x v="55"/>
    <x v="215"/>
    <x v="0"/>
    <n v="0"/>
    <x v="0"/>
    <x v="0"/>
    <s v="MS"/>
    <x v="0"/>
    <m/>
    <m/>
    <m/>
  </r>
  <r>
    <n v="1275"/>
    <s v="SP"/>
    <x v="4"/>
    <x v="26"/>
    <x v="40"/>
    <s v="SERVIÇO"/>
    <x v="1095"/>
    <x v="6"/>
    <n v="16767.240000000002"/>
    <n v="15736.05"/>
    <x v="184"/>
    <x v="53"/>
    <x v="199"/>
    <x v="0"/>
    <n v="0"/>
    <x v="0"/>
    <x v="1"/>
    <s v="FS"/>
    <x v="0"/>
    <m/>
    <m/>
    <m/>
  </r>
  <r>
    <n v="1479"/>
    <s v="SP"/>
    <x v="4"/>
    <x v="26"/>
    <x v="41"/>
    <s v="SERVIÇO"/>
    <x v="1096"/>
    <x v="6"/>
    <n v="13640"/>
    <n v="12801.14"/>
    <x v="177"/>
    <x v="53"/>
    <x v="199"/>
    <x v="0"/>
    <n v="0"/>
    <x v="0"/>
    <x v="2"/>
    <s v="FS"/>
    <x v="0"/>
    <m/>
    <m/>
    <m/>
  </r>
  <r>
    <n v="1455"/>
    <s v="MATRIZ"/>
    <x v="2"/>
    <x v="2"/>
    <x v="2"/>
    <s v="SERVIÇO"/>
    <x v="1097"/>
    <x v="7"/>
    <n v="54003.39"/>
    <n v="47712"/>
    <x v="9"/>
    <x v="67"/>
    <x v="210"/>
    <x v="0"/>
    <m/>
    <x v="0"/>
    <x v="0"/>
    <s v="MS"/>
    <x v="1"/>
    <m/>
    <m/>
    <m/>
  </r>
  <r>
    <n v="1489"/>
    <s v="SP"/>
    <x v="4"/>
    <x v="32"/>
    <x v="51"/>
    <s v="SERVIÇO"/>
    <x v="1098"/>
    <x v="7"/>
    <n v="42812.21"/>
    <n v="40179.26"/>
    <x v="210"/>
    <x v="6"/>
    <x v="17"/>
    <x v="0"/>
    <m/>
    <x v="0"/>
    <x v="2"/>
    <s v="FS"/>
    <x v="0"/>
    <m/>
    <m/>
    <m/>
  </r>
  <r>
    <n v="1478"/>
    <s v="SP"/>
    <x v="3"/>
    <x v="10"/>
    <x v="10"/>
    <s v="SERVIÇO"/>
    <x v="1099"/>
    <x v="7"/>
    <n v="26413.8"/>
    <n v="24789.35"/>
    <x v="210"/>
    <x v="67"/>
    <x v="216"/>
    <x v="0"/>
    <m/>
    <x v="0"/>
    <x v="1"/>
    <s v="FS"/>
    <x v="2"/>
    <m/>
    <m/>
    <m/>
  </r>
  <r>
    <n v="1478"/>
    <s v="SP"/>
    <x v="3"/>
    <x v="10"/>
    <x v="10"/>
    <s v="SERVIÇO"/>
    <x v="1100"/>
    <x v="7"/>
    <n v="13993.56"/>
    <n v="13132.95"/>
    <x v="210"/>
    <x v="67"/>
    <x v="216"/>
    <x v="0"/>
    <m/>
    <x v="0"/>
    <x v="1"/>
    <s v="FS"/>
    <x v="2"/>
    <m/>
    <m/>
    <m/>
  </r>
  <r>
    <n v="1478"/>
    <s v="SP"/>
    <x v="3"/>
    <x v="10"/>
    <x v="10"/>
    <s v="SERVIÇO"/>
    <x v="1101"/>
    <x v="7"/>
    <n v="29087.69"/>
    <n v="27298.79"/>
    <x v="210"/>
    <x v="67"/>
    <x v="216"/>
    <x v="0"/>
    <m/>
    <x v="0"/>
    <x v="1"/>
    <s v="FS"/>
    <x v="2"/>
    <m/>
    <m/>
    <m/>
  </r>
  <r>
    <n v="1478"/>
    <s v="SP"/>
    <x v="3"/>
    <x v="10"/>
    <x v="10"/>
    <s v="SERVIÇO"/>
    <x v="1102"/>
    <x v="7"/>
    <n v="20754.55"/>
    <n v="19478.14"/>
    <x v="210"/>
    <x v="67"/>
    <x v="203"/>
    <x v="0"/>
    <m/>
    <x v="0"/>
    <x v="1"/>
    <s v="FS"/>
    <x v="2"/>
    <m/>
    <m/>
    <m/>
  </r>
  <r>
    <n v="1499"/>
    <s v="MATRIZ"/>
    <x v="3"/>
    <x v="33"/>
    <x v="52"/>
    <s v="SERVIÇO"/>
    <x v="1103"/>
    <x v="7"/>
    <n v="52900"/>
    <n v="49646.65"/>
    <x v="14"/>
    <x v="56"/>
    <x v="217"/>
    <x v="0"/>
    <n v="0"/>
    <x v="0"/>
    <x v="1"/>
    <s v="MS"/>
    <x v="2"/>
    <m/>
    <m/>
    <m/>
  </r>
  <r>
    <n v="1499"/>
    <s v="MATRIZ"/>
    <x v="3"/>
    <x v="33"/>
    <x v="52"/>
    <s v="SERVIÇO"/>
    <x v="1104"/>
    <x v="7"/>
    <n v="52464.7"/>
    <n v="49238.12"/>
    <x v="194"/>
    <x v="52"/>
    <x v="196"/>
    <x v="0"/>
    <n v="0"/>
    <x v="0"/>
    <x v="1"/>
    <s v="MS"/>
    <x v="2"/>
    <m/>
    <m/>
    <m/>
  </r>
  <r>
    <n v="1391"/>
    <s v="SP"/>
    <x v="3"/>
    <x v="11"/>
    <x v="11"/>
    <s v="SERVIÇO"/>
    <x v="1105"/>
    <x v="7"/>
    <n v="170954.63"/>
    <n v="160440.92000000001"/>
    <x v="211"/>
    <x v="56"/>
    <x v="184"/>
    <x v="0"/>
    <n v="0"/>
    <x v="0"/>
    <x v="1"/>
    <s v="FS"/>
    <x v="2"/>
    <m/>
    <m/>
    <m/>
  </r>
  <r>
    <n v="1391"/>
    <s v="SP"/>
    <x v="3"/>
    <x v="11"/>
    <x v="11"/>
    <s v="SERVIÇO"/>
    <x v="1106"/>
    <x v="7"/>
    <n v="16867.5"/>
    <n v="15830.15"/>
    <x v="212"/>
    <x v="56"/>
    <x v="217"/>
    <x v="0"/>
    <n v="0"/>
    <x v="0"/>
    <x v="1"/>
    <s v="FS"/>
    <x v="2"/>
    <m/>
    <m/>
    <m/>
  </r>
  <r>
    <n v="1391"/>
    <s v="SP"/>
    <x v="3"/>
    <x v="11"/>
    <x v="11"/>
    <s v="SERVIÇO"/>
    <x v="1107"/>
    <x v="7"/>
    <n v="74833.2"/>
    <n v="70230.960000000006"/>
    <x v="212"/>
    <x v="56"/>
    <x v="217"/>
    <x v="0"/>
    <n v="0"/>
    <x v="0"/>
    <x v="1"/>
    <s v="FS"/>
    <x v="2"/>
    <m/>
    <m/>
    <m/>
  </r>
  <r>
    <n v="1391"/>
    <s v="SP"/>
    <x v="3"/>
    <x v="11"/>
    <x v="11"/>
    <s v="SERVIÇO"/>
    <x v="1108"/>
    <x v="7"/>
    <n v="32244.959999999999"/>
    <n v="30261.9"/>
    <x v="212"/>
    <x v="56"/>
    <x v="217"/>
    <x v="0"/>
    <n v="0"/>
    <x v="0"/>
    <x v="1"/>
    <s v="FS"/>
    <x v="2"/>
    <m/>
    <m/>
    <m/>
  </r>
  <r>
    <n v="1391"/>
    <s v="SP"/>
    <x v="3"/>
    <x v="11"/>
    <x v="11"/>
    <s v="SERVIÇO"/>
    <x v="1109"/>
    <x v="7"/>
    <n v="140052.78"/>
    <n v="131439.54"/>
    <x v="212"/>
    <x v="56"/>
    <x v="217"/>
    <x v="0"/>
    <n v="0"/>
    <x v="0"/>
    <x v="1"/>
    <s v="FS"/>
    <x v="2"/>
    <m/>
    <m/>
    <m/>
  </r>
  <r>
    <n v="1391"/>
    <s v="SP"/>
    <x v="3"/>
    <x v="11"/>
    <x v="11"/>
    <s v="SERVIÇO"/>
    <x v="1110"/>
    <x v="7"/>
    <n v="153914.23999999999"/>
    <n v="144448.51999999999"/>
    <x v="212"/>
    <x v="56"/>
    <x v="217"/>
    <x v="0"/>
    <n v="0"/>
    <x v="0"/>
    <x v="1"/>
    <s v="FS"/>
    <x v="2"/>
    <m/>
    <m/>
    <m/>
  </r>
  <r>
    <n v="1391"/>
    <s v="SP"/>
    <x v="3"/>
    <x v="11"/>
    <x v="11"/>
    <s v="SERVIÇO"/>
    <x v="1111"/>
    <x v="7"/>
    <n v="22654.71"/>
    <n v="21261.45"/>
    <x v="202"/>
    <x v="67"/>
    <x v="203"/>
    <x v="0"/>
    <n v="0"/>
    <x v="0"/>
    <x v="1"/>
    <s v="FS"/>
    <x v="2"/>
    <m/>
    <m/>
    <m/>
  </r>
  <r>
    <n v="1391"/>
    <s v="SP"/>
    <x v="3"/>
    <x v="11"/>
    <x v="11"/>
    <s v="SERVIÇO"/>
    <x v="1112"/>
    <x v="7"/>
    <n v="126870.48"/>
    <n v="119067.94"/>
    <x v="202"/>
    <x v="67"/>
    <x v="203"/>
    <x v="0"/>
    <n v="0"/>
    <x v="0"/>
    <x v="1"/>
    <s v="FS"/>
    <x v="2"/>
    <m/>
    <m/>
    <m/>
  </r>
  <r>
    <n v="1391"/>
    <s v="SP"/>
    <x v="3"/>
    <x v="11"/>
    <x v="11"/>
    <s v="SERVIÇO"/>
    <x v="1113"/>
    <x v="7"/>
    <n v="741547.47"/>
    <n v="695942.3"/>
    <x v="202"/>
    <x v="67"/>
    <x v="203"/>
    <x v="0"/>
    <n v="0"/>
    <x v="0"/>
    <x v="1"/>
    <s v="FS"/>
    <x v="2"/>
    <m/>
    <m/>
    <m/>
  </r>
  <r>
    <n v="1391"/>
    <s v="SP"/>
    <x v="3"/>
    <x v="11"/>
    <x v="11"/>
    <s v="SERVIÇO"/>
    <x v="1114"/>
    <x v="7"/>
    <n v="121700.95"/>
    <n v="114216.35"/>
    <x v="213"/>
    <x v="67"/>
    <x v="216"/>
    <x v="0"/>
    <n v="0"/>
    <x v="0"/>
    <x v="1"/>
    <s v="FS"/>
    <x v="2"/>
    <m/>
    <m/>
    <m/>
  </r>
  <r>
    <n v="1391"/>
    <s v="SP"/>
    <x v="3"/>
    <x v="11"/>
    <x v="11"/>
    <s v="SERVIÇO"/>
    <x v="1115"/>
    <x v="7"/>
    <n v="197787.02"/>
    <n v="185623.11"/>
    <x v="213"/>
    <x v="67"/>
    <x v="216"/>
    <x v="0"/>
    <n v="0"/>
    <x v="0"/>
    <x v="1"/>
    <s v="FS"/>
    <x v="2"/>
    <m/>
    <m/>
    <m/>
  </r>
  <r>
    <n v="1294"/>
    <s v="SP"/>
    <x v="3"/>
    <x v="11"/>
    <x v="12"/>
    <s v="SERVIÇO"/>
    <x v="1116"/>
    <x v="7"/>
    <n v="114434.78"/>
    <n v="107397.04"/>
    <x v="211"/>
    <x v="56"/>
    <x v="184"/>
    <x v="0"/>
    <n v="0"/>
    <x v="0"/>
    <x v="1"/>
    <s v="FS"/>
    <x v="2"/>
    <m/>
    <m/>
    <m/>
  </r>
  <r>
    <n v="1294"/>
    <s v="SP"/>
    <x v="3"/>
    <x v="11"/>
    <x v="12"/>
    <s v="SERVIÇO"/>
    <x v="1117"/>
    <x v="7"/>
    <n v="272817.3"/>
    <n v="256039.04000000001"/>
    <x v="212"/>
    <x v="56"/>
    <x v="217"/>
    <x v="0"/>
    <n v="0"/>
    <x v="0"/>
    <x v="1"/>
    <s v="FS"/>
    <x v="2"/>
    <m/>
    <m/>
    <m/>
  </r>
  <r>
    <n v="1294"/>
    <s v="SP"/>
    <x v="3"/>
    <x v="11"/>
    <x v="12"/>
    <s v="SERVIÇO"/>
    <x v="1118"/>
    <x v="7"/>
    <n v="167364.26999999999"/>
    <n v="157071.37"/>
    <x v="213"/>
    <x v="67"/>
    <x v="216"/>
    <x v="0"/>
    <n v="0"/>
    <x v="0"/>
    <x v="1"/>
    <s v="FS"/>
    <x v="2"/>
    <m/>
    <m/>
    <m/>
  </r>
  <r>
    <n v="1294"/>
    <s v="SP"/>
    <x v="3"/>
    <x v="11"/>
    <x v="12"/>
    <s v="SERVIÇO"/>
    <x v="1119"/>
    <x v="7"/>
    <n v="167314.19"/>
    <n v="157024.37"/>
    <x v="213"/>
    <x v="67"/>
    <x v="216"/>
    <x v="0"/>
    <n v="0"/>
    <x v="0"/>
    <x v="1"/>
    <s v="FS"/>
    <x v="2"/>
    <m/>
    <m/>
    <m/>
  </r>
  <r>
    <n v="1294"/>
    <s v="SP"/>
    <x v="3"/>
    <x v="11"/>
    <x v="12"/>
    <s v="SERVIÇO"/>
    <x v="1120"/>
    <x v="7"/>
    <n v="166765.92000000001"/>
    <n v="156509.81"/>
    <x v="213"/>
    <x v="67"/>
    <x v="216"/>
    <x v="0"/>
    <n v="0"/>
    <x v="0"/>
    <x v="1"/>
    <s v="FS"/>
    <x v="2"/>
    <m/>
    <m/>
    <m/>
  </r>
  <r>
    <n v="1294"/>
    <s v="SP"/>
    <x v="3"/>
    <x v="11"/>
    <x v="12"/>
    <s v="SERVIÇO"/>
    <x v="1121"/>
    <x v="7"/>
    <n v="185528.51"/>
    <n v="174118.5"/>
    <x v="213"/>
    <x v="67"/>
    <x v="216"/>
    <x v="0"/>
    <n v="0"/>
    <x v="0"/>
    <x v="1"/>
    <s v="FS"/>
    <x v="2"/>
    <m/>
    <m/>
    <m/>
  </r>
  <r>
    <n v="1294"/>
    <s v="SP"/>
    <x v="3"/>
    <x v="11"/>
    <x v="12"/>
    <s v="SERVIÇO"/>
    <x v="1122"/>
    <x v="7"/>
    <n v="215271"/>
    <n v="202031.83"/>
    <x v="214"/>
    <x v="67"/>
    <x v="218"/>
    <x v="0"/>
    <n v="0"/>
    <x v="0"/>
    <x v="1"/>
    <s v="FS"/>
    <x v="2"/>
    <m/>
    <m/>
    <m/>
  </r>
  <r>
    <n v="1294"/>
    <s v="SP"/>
    <x v="3"/>
    <x v="11"/>
    <x v="12"/>
    <s v="SERVIÇO"/>
    <x v="1123"/>
    <x v="7"/>
    <n v="13192.46"/>
    <n v="12381.12"/>
    <x v="214"/>
    <x v="67"/>
    <x v="218"/>
    <x v="0"/>
    <n v="0"/>
    <x v="0"/>
    <x v="1"/>
    <s v="FS"/>
    <x v="2"/>
    <m/>
    <m/>
    <m/>
  </r>
  <r>
    <n v="1294"/>
    <s v="SP"/>
    <x v="3"/>
    <x v="11"/>
    <x v="12"/>
    <s v="SERVIÇO"/>
    <x v="1124"/>
    <x v="7"/>
    <n v="13192.46"/>
    <n v="12381.12"/>
    <x v="214"/>
    <x v="67"/>
    <x v="218"/>
    <x v="0"/>
    <n v="0"/>
    <x v="0"/>
    <x v="1"/>
    <s v="FS"/>
    <x v="2"/>
    <m/>
    <m/>
    <m/>
  </r>
  <r>
    <n v="1294"/>
    <s v="SP"/>
    <x v="3"/>
    <x v="11"/>
    <x v="12"/>
    <s v="SERVIÇO"/>
    <x v="1125"/>
    <x v="7"/>
    <n v="247341.23"/>
    <n v="232129.74"/>
    <x v="214"/>
    <x v="67"/>
    <x v="218"/>
    <x v="0"/>
    <n v="0"/>
    <x v="0"/>
    <x v="1"/>
    <s v="FS"/>
    <x v="2"/>
    <m/>
    <m/>
    <m/>
  </r>
  <r>
    <n v="1294"/>
    <s v="SP"/>
    <x v="3"/>
    <x v="11"/>
    <x v="12"/>
    <s v="SERVIÇO"/>
    <x v="1126"/>
    <x v="7"/>
    <n v="181920.64000000001"/>
    <n v="170732.52"/>
    <x v="6"/>
    <x v="67"/>
    <x v="210"/>
    <x v="0"/>
    <n v="0"/>
    <x v="0"/>
    <x v="1"/>
    <s v="FS"/>
    <x v="2"/>
    <m/>
    <m/>
    <m/>
  </r>
  <r>
    <n v="1294"/>
    <s v="SP"/>
    <x v="3"/>
    <x v="11"/>
    <x v="12"/>
    <s v="SERVIÇO"/>
    <x v="1127"/>
    <x v="7"/>
    <n v="19968.05"/>
    <n v="18740.02"/>
    <x v="6"/>
    <x v="67"/>
    <x v="210"/>
    <x v="0"/>
    <n v="0"/>
    <x v="0"/>
    <x v="1"/>
    <s v="FS"/>
    <x v="2"/>
    <m/>
    <m/>
    <m/>
  </r>
  <r>
    <n v="1285"/>
    <s v="SP"/>
    <x v="3"/>
    <x v="11"/>
    <x v="14"/>
    <s v="SERVIÇO"/>
    <x v="1128"/>
    <x v="7"/>
    <n v="14477.09"/>
    <n v="13586.75"/>
    <x v="215"/>
    <x v="67"/>
    <x v="203"/>
    <x v="0"/>
    <n v="0"/>
    <x v="0"/>
    <x v="1"/>
    <s v="FS"/>
    <x v="2"/>
    <m/>
    <m/>
    <m/>
  </r>
  <r>
    <n v="1285"/>
    <s v="SP"/>
    <x v="3"/>
    <x v="11"/>
    <x v="14"/>
    <s v="SERVIÇO"/>
    <x v="1129"/>
    <x v="7"/>
    <n v="27966.16"/>
    <n v="26246.240000000002"/>
    <x v="216"/>
    <x v="67"/>
    <x v="210"/>
    <x v="0"/>
    <n v="0"/>
    <x v="0"/>
    <x v="1"/>
    <s v="FS"/>
    <x v="2"/>
    <m/>
    <m/>
    <m/>
  </r>
  <r>
    <n v="1292"/>
    <s v="SP"/>
    <x v="3"/>
    <x v="3"/>
    <x v="3"/>
    <s v="SERVIÇO"/>
    <x v="1130"/>
    <x v="7"/>
    <n v="31008"/>
    <n v="29101.01"/>
    <x v="210"/>
    <x v="56"/>
    <x v="219"/>
    <x v="0"/>
    <n v="0"/>
    <x v="0"/>
    <x v="1"/>
    <s v="FS"/>
    <x v="2"/>
    <m/>
    <m/>
    <m/>
  </r>
  <r>
    <n v="1292"/>
    <s v="SP"/>
    <x v="3"/>
    <x v="3"/>
    <x v="3"/>
    <s v="SERVIÇO"/>
    <x v="1131"/>
    <x v="7"/>
    <n v="126157"/>
    <n v="118398.34"/>
    <x v="212"/>
    <x v="56"/>
    <x v="217"/>
    <x v="0"/>
    <n v="0"/>
    <x v="0"/>
    <x v="1"/>
    <s v="FS"/>
    <x v="2"/>
    <m/>
    <m/>
    <m/>
  </r>
  <r>
    <n v="1292"/>
    <s v="SP"/>
    <x v="3"/>
    <x v="3"/>
    <x v="3"/>
    <s v="SERVIÇO"/>
    <x v="1132"/>
    <x v="7"/>
    <n v="6137.45"/>
    <n v="5760"/>
    <x v="18"/>
    <x v="7"/>
    <x v="220"/>
    <x v="0"/>
    <n v="0"/>
    <x v="0"/>
    <x v="1"/>
    <s v="FS"/>
    <x v="2"/>
    <m/>
    <m/>
    <m/>
  </r>
  <r>
    <n v="1292"/>
    <s v="SP"/>
    <x v="3"/>
    <x v="3"/>
    <x v="3"/>
    <s v="SERVIÇO"/>
    <x v="1133"/>
    <x v="7"/>
    <n v="6137.45"/>
    <n v="5760"/>
    <x v="18"/>
    <x v="7"/>
    <x v="220"/>
    <x v="0"/>
    <n v="0"/>
    <x v="0"/>
    <x v="1"/>
    <s v="FS"/>
    <x v="2"/>
    <m/>
    <m/>
    <m/>
  </r>
  <r>
    <n v="1292"/>
    <s v="SP"/>
    <x v="3"/>
    <x v="3"/>
    <x v="3"/>
    <s v="SERVIÇO"/>
    <x v="1134"/>
    <x v="7"/>
    <n v="6137.45"/>
    <n v="5760"/>
    <x v="18"/>
    <x v="7"/>
    <x v="220"/>
    <x v="0"/>
    <n v="0"/>
    <x v="0"/>
    <x v="1"/>
    <s v="FS"/>
    <x v="2"/>
    <m/>
    <m/>
    <m/>
  </r>
  <r>
    <n v="1292"/>
    <s v="SP"/>
    <x v="3"/>
    <x v="3"/>
    <x v="3"/>
    <s v="SERVIÇO"/>
    <x v="1135"/>
    <x v="7"/>
    <n v="6137.45"/>
    <n v="5760"/>
    <x v="18"/>
    <x v="7"/>
    <x v="220"/>
    <x v="0"/>
    <n v="0"/>
    <x v="0"/>
    <x v="1"/>
    <s v="FS"/>
    <x v="2"/>
    <m/>
    <m/>
    <m/>
  </r>
  <r>
    <n v="1292"/>
    <s v="SP"/>
    <x v="3"/>
    <x v="3"/>
    <x v="3"/>
    <s v="SERVIÇO"/>
    <x v="1136"/>
    <x v="7"/>
    <n v="54288"/>
    <n v="50949.29"/>
    <x v="18"/>
    <x v="56"/>
    <x v="179"/>
    <x v="0"/>
    <n v="0"/>
    <x v="0"/>
    <x v="1"/>
    <s v="FS"/>
    <x v="2"/>
    <m/>
    <m/>
    <m/>
  </r>
  <r>
    <n v="1292"/>
    <s v="SP"/>
    <x v="3"/>
    <x v="3"/>
    <x v="3"/>
    <s v="SERVIÇO"/>
    <x v="1137"/>
    <x v="7"/>
    <n v="34633.19"/>
    <n v="32503.25"/>
    <x v="213"/>
    <x v="67"/>
    <x v="216"/>
    <x v="0"/>
    <n v="0"/>
    <x v="0"/>
    <x v="1"/>
    <s v="FS"/>
    <x v="2"/>
    <m/>
    <m/>
    <m/>
  </r>
  <r>
    <n v="1507"/>
    <s v="SP"/>
    <x v="3"/>
    <x v="3"/>
    <x v="61"/>
    <s v="SERVIÇO"/>
    <x v="1138"/>
    <x v="7"/>
    <n v="48434.61"/>
    <n v="45455.88"/>
    <x v="210"/>
    <x v="47"/>
    <x v="183"/>
    <x v="0"/>
    <n v="0"/>
    <x v="0"/>
    <x v="1"/>
    <s v="FS"/>
    <x v="2"/>
    <m/>
    <m/>
    <m/>
  </r>
  <r>
    <n v="1507"/>
    <s v="SP"/>
    <x v="3"/>
    <x v="3"/>
    <x v="61"/>
    <s v="SERVIÇO"/>
    <x v="1139"/>
    <x v="7"/>
    <n v="48434.61"/>
    <n v="45455.88"/>
    <x v="210"/>
    <x v="47"/>
    <x v="183"/>
    <x v="0"/>
    <n v="0"/>
    <x v="0"/>
    <x v="1"/>
    <s v="FS"/>
    <x v="2"/>
    <m/>
    <m/>
    <m/>
  </r>
  <r>
    <n v="1484"/>
    <s v="SP"/>
    <x v="3"/>
    <x v="3"/>
    <x v="42"/>
    <s v="SERVIÇO"/>
    <x v="1140"/>
    <x v="7"/>
    <n v="42265.08"/>
    <n v="39665.78"/>
    <x v="14"/>
    <x v="7"/>
    <x v="221"/>
    <x v="0"/>
    <n v="0"/>
    <x v="0"/>
    <x v="2"/>
    <s v="FS"/>
    <x v="2"/>
    <m/>
    <m/>
    <m/>
  </r>
  <r>
    <n v="1484"/>
    <s v="SP"/>
    <x v="3"/>
    <x v="3"/>
    <x v="42"/>
    <s v="SERVIÇO"/>
    <x v="1141"/>
    <x v="7"/>
    <n v="36601.06"/>
    <n v="34350.089999999997"/>
    <x v="14"/>
    <x v="47"/>
    <x v="183"/>
    <x v="0"/>
    <n v="0"/>
    <x v="0"/>
    <x v="2"/>
    <s v="FS"/>
    <x v="2"/>
    <m/>
    <m/>
    <m/>
  </r>
  <r>
    <n v="1398"/>
    <s v="MATRIZ"/>
    <x v="4"/>
    <x v="1"/>
    <x v="1"/>
    <s v="SERVIÇO"/>
    <x v="1142"/>
    <x v="28"/>
    <n v="1309.3599999999999"/>
    <n v="1146.71"/>
    <x v="217"/>
    <x v="9"/>
    <x v="175"/>
    <x v="0"/>
    <n v="0"/>
    <x v="0"/>
    <x v="0"/>
    <s v="UT"/>
    <x v="0"/>
    <m/>
    <m/>
    <m/>
  </r>
  <r>
    <n v="1398"/>
    <s v="MATRIZ"/>
    <x v="4"/>
    <x v="1"/>
    <x v="1"/>
    <s v="SERVIÇO"/>
    <x v="1143"/>
    <x v="1"/>
    <n v="1309.3599999999999"/>
    <n v="1146.71"/>
    <x v="218"/>
    <x v="9"/>
    <x v="175"/>
    <x v="0"/>
    <n v="0"/>
    <x v="0"/>
    <x v="0"/>
    <s v="UT"/>
    <x v="0"/>
    <m/>
    <m/>
    <m/>
  </r>
  <r>
    <n v="1398"/>
    <s v="MATRIZ"/>
    <x v="4"/>
    <x v="1"/>
    <x v="1"/>
    <s v="SERVIÇO"/>
    <x v="12"/>
    <x v="2"/>
    <n v="1309.3599999999999"/>
    <n v="1146.71"/>
    <x v="12"/>
    <x v="9"/>
    <x v="175"/>
    <x v="0"/>
    <n v="0"/>
    <x v="0"/>
    <x v="0"/>
    <s v="UT"/>
    <x v="0"/>
    <m/>
    <m/>
    <m/>
  </r>
  <r>
    <n v="1398"/>
    <s v="MATRIZ"/>
    <x v="4"/>
    <x v="1"/>
    <x v="1"/>
    <s v="SERVIÇO"/>
    <x v="21"/>
    <x v="3"/>
    <n v="1309.3599999999999"/>
    <n v="1146.71"/>
    <x v="17"/>
    <x v="9"/>
    <x v="175"/>
    <x v="0"/>
    <n v="0"/>
    <x v="0"/>
    <x v="0"/>
    <s v="UT"/>
    <x v="0"/>
    <m/>
    <m/>
    <m/>
  </r>
  <r>
    <n v="1393"/>
    <s v="MATRIZ"/>
    <x v="2"/>
    <x v="27"/>
    <x v="15"/>
    <s v="SERVIÇO"/>
    <x v="1144"/>
    <x v="7"/>
    <n v="466135.96"/>
    <n v="418123.95"/>
    <x v="6"/>
    <x v="6"/>
    <x v="222"/>
    <x v="0"/>
    <m/>
    <x v="0"/>
    <x v="0"/>
    <s v="PS"/>
    <x v="1"/>
    <m/>
    <m/>
    <m/>
  </r>
  <r>
    <n v="1476"/>
    <s v="MATRIZ"/>
    <x v="2"/>
    <x v="13"/>
    <x v="16"/>
    <s v="SERVIÇO"/>
    <x v="1145"/>
    <x v="7"/>
    <n v="318628.40000000002"/>
    <n v="285809.68"/>
    <x v="219"/>
    <x v="56"/>
    <x v="184"/>
    <x v="0"/>
    <m/>
    <x v="0"/>
    <x v="0"/>
    <s v="PS"/>
    <x v="1"/>
    <m/>
    <m/>
    <m/>
  </r>
  <r>
    <n v="1476"/>
    <s v="MATRIZ"/>
    <x v="2"/>
    <x v="13"/>
    <x v="16"/>
    <s v="SERVIÇO"/>
    <x v="1146"/>
    <x v="7"/>
    <n v="479.29"/>
    <n v="429.91"/>
    <x v="219"/>
    <x v="56"/>
    <x v="184"/>
    <x v="0"/>
    <m/>
    <x v="0"/>
    <x v="0"/>
    <s v="PS"/>
    <x v="1"/>
    <m/>
    <m/>
    <m/>
  </r>
  <r>
    <n v="1296"/>
    <s v="MATRIZ"/>
    <x v="8"/>
    <x v="4"/>
    <x v="34"/>
    <s v="SERVIÇO"/>
    <x v="1147"/>
    <x v="7"/>
    <n v="917050.68"/>
    <n v="842311.05"/>
    <x v="220"/>
    <x v="67"/>
    <x v="203"/>
    <x v="0"/>
    <m/>
    <x v="0"/>
    <x v="0"/>
    <s v="UT"/>
    <x v="0"/>
    <m/>
    <m/>
    <m/>
  </r>
  <r>
    <n v="1300"/>
    <s v="HUB"/>
    <x v="8"/>
    <x v="4"/>
    <x v="4"/>
    <s v="SERVIÇO"/>
    <x v="1148"/>
    <x v="7"/>
    <n v="35682.61"/>
    <n v="32774.47"/>
    <x v="210"/>
    <x v="6"/>
    <x v="222"/>
    <x v="0"/>
    <n v="0"/>
    <x v="0"/>
    <x v="0"/>
    <s v="UT"/>
    <x v="0"/>
    <m/>
    <m/>
    <m/>
  </r>
  <r>
    <n v="1300"/>
    <s v="HUB"/>
    <x v="8"/>
    <x v="4"/>
    <x v="4"/>
    <s v="SERVIÇO"/>
    <x v="1149"/>
    <x v="7"/>
    <n v="287717.94"/>
    <n v="264268.92"/>
    <x v="213"/>
    <x v="69"/>
    <x v="223"/>
    <x v="0"/>
    <n v="0"/>
    <x v="0"/>
    <x v="0"/>
    <s v="UT"/>
    <x v="0"/>
    <m/>
    <m/>
    <m/>
  </r>
  <r>
    <n v="1290"/>
    <s v="MATRIZ"/>
    <x v="2"/>
    <x v="14"/>
    <x v="17"/>
    <s v="SERVIÇO"/>
    <x v="1150"/>
    <x v="7"/>
    <n v="53175.27"/>
    <n v="46980.35"/>
    <x v="212"/>
    <x v="6"/>
    <x v="222"/>
    <x v="0"/>
    <n v="0"/>
    <x v="0"/>
    <x v="0"/>
    <s v="UT"/>
    <x v="1"/>
    <m/>
    <m/>
    <m/>
  </r>
  <r>
    <n v="1490"/>
    <s v="MATRIZ"/>
    <x v="2"/>
    <x v="14"/>
    <x v="43"/>
    <s v="SERVIÇO"/>
    <x v="1151"/>
    <x v="7"/>
    <n v="2300"/>
    <n v="2032.05"/>
    <x v="219"/>
    <x v="7"/>
    <x v="8"/>
    <x v="0"/>
    <n v="0"/>
    <x v="0"/>
    <x v="0"/>
    <s v="UT"/>
    <x v="1"/>
    <m/>
    <m/>
    <m/>
  </r>
  <r>
    <n v="1480"/>
    <s v="SP"/>
    <x v="4"/>
    <x v="31"/>
    <x v="56"/>
    <s v="SERVIÇO"/>
    <x v="1152"/>
    <x v="7"/>
    <n v="493114"/>
    <n v="462787.48"/>
    <x v="212"/>
    <x v="6"/>
    <x v="224"/>
    <x v="0"/>
    <m/>
    <x v="0"/>
    <x v="1"/>
    <s v="FS"/>
    <x v="0"/>
    <m/>
    <m/>
    <m/>
  </r>
  <r>
    <n v="1511"/>
    <s v="MATRIZ"/>
    <x v="1"/>
    <x v="36"/>
    <x v="62"/>
    <s v="SERVIÇO"/>
    <x v="1153"/>
    <x v="7"/>
    <n v="9520"/>
    <n v="8934.52"/>
    <x v="221"/>
    <x v="55"/>
    <x v="174"/>
    <x v="0"/>
    <n v="0"/>
    <x v="0"/>
    <x v="0"/>
    <s v="PS"/>
    <x v="0"/>
    <m/>
    <m/>
    <m/>
  </r>
  <r>
    <n v="1511"/>
    <s v="MATRIZ"/>
    <x v="1"/>
    <x v="36"/>
    <x v="62"/>
    <s v="SERVIÇO"/>
    <x v="1154"/>
    <x v="19"/>
    <n v="32220"/>
    <n v="30238.47"/>
    <x v="222"/>
    <x v="70"/>
    <x v="225"/>
    <x v="0"/>
    <n v="0"/>
    <x v="0"/>
    <x v="0"/>
    <s v="PS"/>
    <x v="0"/>
    <m/>
    <m/>
    <m/>
  </r>
  <r>
    <n v="1475"/>
    <s v="MATRIZ"/>
    <x v="6"/>
    <x v="15"/>
    <x v="18"/>
    <s v="SERVIÇO"/>
    <x v="1155"/>
    <x v="7"/>
    <n v="70696.11"/>
    <n v="63414.42"/>
    <x v="211"/>
    <x v="47"/>
    <x v="183"/>
    <x v="0"/>
    <n v="0"/>
    <x v="0"/>
    <x v="1"/>
    <s v="PS"/>
    <x v="3"/>
    <m/>
    <m/>
    <m/>
  </r>
  <r>
    <n v="1472"/>
    <s v="SP"/>
    <x v="3"/>
    <x v="28"/>
    <x v="44"/>
    <s v="SERVIÇO"/>
    <x v="1156"/>
    <x v="7"/>
    <n v="57597.75"/>
    <n v="54055.48"/>
    <x v="221"/>
    <x v="55"/>
    <x v="174"/>
    <x v="0"/>
    <m/>
    <x v="0"/>
    <x v="2"/>
    <s v="FS"/>
    <x v="2"/>
    <m/>
    <m/>
    <m/>
  </r>
  <r>
    <n v="1378"/>
    <s v="MATRIZ"/>
    <x v="4"/>
    <x v="5"/>
    <x v="5"/>
    <s v="SERVIÇO"/>
    <x v="1157"/>
    <x v="7"/>
    <n v="4281.29"/>
    <n v="4017.99"/>
    <x v="223"/>
    <x v="6"/>
    <x v="7"/>
    <x v="0"/>
    <n v="0"/>
    <x v="0"/>
    <x v="2"/>
    <s v="FS"/>
    <x v="0"/>
    <s v="SIM"/>
    <m/>
    <m/>
  </r>
  <r>
    <n v="1247"/>
    <s v="MATRIZ"/>
    <x v="2"/>
    <x v="29"/>
    <x v="45"/>
    <s v="SERVIÇO"/>
    <x v="1158"/>
    <x v="7"/>
    <n v="38395.360000000001"/>
    <n v="34440.629999999997"/>
    <x v="214"/>
    <x v="67"/>
    <x v="216"/>
    <x v="0"/>
    <n v="0"/>
    <x v="0"/>
    <x v="0"/>
    <s v="PS"/>
    <x v="1"/>
    <m/>
    <m/>
    <m/>
  </r>
  <r>
    <n v="1358"/>
    <s v="MATRIZ"/>
    <x v="2"/>
    <x v="16"/>
    <x v="19"/>
    <s v="SERVIÇO"/>
    <x v="1159"/>
    <x v="7"/>
    <n v="89150.64"/>
    <n v="79968.13"/>
    <x v="18"/>
    <x v="7"/>
    <x v="8"/>
    <x v="0"/>
    <m/>
    <x v="0"/>
    <x v="0"/>
    <s v="PS"/>
    <x v="1"/>
    <m/>
    <m/>
    <m/>
  </r>
  <r>
    <n v="1358"/>
    <s v="MATRIZ"/>
    <x v="2"/>
    <x v="16"/>
    <x v="19"/>
    <s v="SERVIÇO"/>
    <x v="1160"/>
    <x v="7"/>
    <n v="7437.65"/>
    <n v="6671.57"/>
    <x v="213"/>
    <x v="6"/>
    <x v="17"/>
    <x v="0"/>
    <n v="0"/>
    <x v="0"/>
    <x v="0"/>
    <s v="PS"/>
    <x v="1"/>
    <m/>
    <m/>
    <m/>
  </r>
  <r>
    <n v="1358"/>
    <s v="MATRIZ"/>
    <x v="2"/>
    <x v="16"/>
    <x v="19"/>
    <s v="SERVIÇO"/>
    <x v="1161"/>
    <x v="7"/>
    <n v="23097.040000000001"/>
    <n v="20718.04"/>
    <x v="213"/>
    <x v="7"/>
    <x v="8"/>
    <x v="0"/>
    <m/>
    <x v="0"/>
    <x v="0"/>
    <s v="PS"/>
    <x v="1"/>
    <m/>
    <m/>
    <m/>
  </r>
  <r>
    <n v="1358"/>
    <s v="MATRIZ"/>
    <x v="2"/>
    <x v="16"/>
    <x v="19"/>
    <s v="SERVIÇO"/>
    <x v="1162"/>
    <x v="7"/>
    <n v="7649.4"/>
    <n v="6861.51"/>
    <x v="213"/>
    <x v="6"/>
    <x v="222"/>
    <x v="0"/>
    <n v="0"/>
    <x v="0"/>
    <x v="0"/>
    <s v="PS"/>
    <x v="1"/>
    <m/>
    <m/>
    <m/>
  </r>
  <r>
    <n v="1473"/>
    <s v="MATRIZ"/>
    <x v="2"/>
    <x v="17"/>
    <x v="20"/>
    <s v="SERVIÇO"/>
    <x v="1163"/>
    <x v="7"/>
    <n v="236280.79"/>
    <n v="217610.34"/>
    <x v="171"/>
    <x v="16"/>
    <x v="21"/>
    <x v="0"/>
    <m/>
    <x v="0"/>
    <x v="0"/>
    <s v="PS"/>
    <x v="1"/>
    <m/>
    <m/>
    <m/>
  </r>
  <r>
    <n v="1462"/>
    <s v="MATRIZ"/>
    <x v="1"/>
    <x v="1"/>
    <x v="21"/>
    <s v="SERVIÇO"/>
    <x v="1164"/>
    <x v="7"/>
    <n v="800"/>
    <n v="750.8"/>
    <x v="9"/>
    <x v="55"/>
    <x v="182"/>
    <x v="0"/>
    <n v="0"/>
    <x v="0"/>
    <x v="0"/>
    <s v="UT"/>
    <x v="0"/>
    <m/>
    <m/>
    <m/>
  </r>
  <r>
    <n v="1292"/>
    <s v="SP"/>
    <x v="3"/>
    <x v="3"/>
    <x v="3"/>
    <s v="SERVIÇO"/>
    <x v="1165"/>
    <x v="12"/>
    <n v="132926.39999999999"/>
    <n v="124751.42"/>
    <x v="224"/>
    <x v="16"/>
    <x v="161"/>
    <x v="0"/>
    <m/>
    <x v="0"/>
    <x v="1"/>
    <s v="FS"/>
    <x v="2"/>
    <m/>
    <m/>
    <m/>
  </r>
  <r>
    <n v="1260"/>
    <s v="SP"/>
    <x v="4"/>
    <x v="19"/>
    <x v="22"/>
    <s v="SERVIÇO"/>
    <x v="1166"/>
    <x v="7"/>
    <n v="10914"/>
    <n v="10242.790000000001"/>
    <x v="9"/>
    <x v="67"/>
    <x v="218"/>
    <x v="0"/>
    <n v="0"/>
    <x v="0"/>
    <x v="1"/>
    <s v="MS"/>
    <x v="0"/>
    <m/>
    <m/>
    <m/>
  </r>
  <r>
    <n v="1506"/>
    <s v="SP"/>
    <x v="4"/>
    <x v="30"/>
    <x v="58"/>
    <s v="SERVIÇO"/>
    <x v="1167"/>
    <x v="29"/>
    <n v="35603.199999999997"/>
    <n v="33413.599999999999"/>
    <x v="225"/>
    <x v="71"/>
    <x v="226"/>
    <x v="0"/>
    <n v="0"/>
    <x v="0"/>
    <x v="2"/>
    <s v="FS"/>
    <x v="0"/>
    <m/>
    <m/>
    <m/>
  </r>
  <r>
    <n v="1506"/>
    <s v="SP"/>
    <x v="4"/>
    <x v="30"/>
    <x v="58"/>
    <s v="SERVIÇO"/>
    <x v="1168"/>
    <x v="30"/>
    <n v="37383.360000000001"/>
    <n v="35084.29"/>
    <x v="226"/>
    <x v="72"/>
    <x v="227"/>
    <x v="0"/>
    <m/>
    <x v="0"/>
    <x v="2"/>
    <s v="FS"/>
    <x v="0"/>
    <m/>
    <m/>
    <m/>
  </r>
  <r>
    <n v="1506"/>
    <s v="SP"/>
    <x v="4"/>
    <x v="30"/>
    <x v="58"/>
    <s v="SERVIÇO"/>
    <x v="1169"/>
    <x v="21"/>
    <n v="35603.199999999997"/>
    <n v="33413.599999999999"/>
    <x v="227"/>
    <x v="63"/>
    <x v="228"/>
    <x v="0"/>
    <n v="0"/>
    <x v="0"/>
    <x v="2"/>
    <s v="FS"/>
    <x v="0"/>
    <m/>
    <m/>
    <m/>
  </r>
  <r>
    <n v="1506"/>
    <s v="SP"/>
    <x v="4"/>
    <x v="30"/>
    <x v="58"/>
    <s v="SERVIÇO"/>
    <x v="1170"/>
    <x v="22"/>
    <n v="35603.199999999997"/>
    <n v="33413.599999999999"/>
    <x v="228"/>
    <x v="73"/>
    <x v="229"/>
    <x v="0"/>
    <n v="0"/>
    <x v="0"/>
    <x v="2"/>
    <s v="FS"/>
    <x v="0"/>
    <m/>
    <m/>
    <m/>
  </r>
  <r>
    <n v="1506"/>
    <s v="SP"/>
    <x v="4"/>
    <x v="30"/>
    <x v="58"/>
    <s v="SERVIÇO"/>
    <x v="1171"/>
    <x v="23"/>
    <n v="37383.360000000001"/>
    <n v="35084.28"/>
    <x v="229"/>
    <x v="66"/>
    <x v="128"/>
    <x v="2"/>
    <n v="0"/>
    <x v="0"/>
    <x v="2"/>
    <s v="FS"/>
    <x v="0"/>
    <m/>
    <m/>
    <m/>
  </r>
  <r>
    <n v="1485"/>
    <s v="SP"/>
    <x v="4"/>
    <x v="30"/>
    <x v="57"/>
    <s v="SERVIÇO"/>
    <x v="1172"/>
    <x v="7"/>
    <n v="53404.800000000003"/>
    <n v="50120.41"/>
    <x v="230"/>
    <x v="69"/>
    <x v="230"/>
    <x v="0"/>
    <n v="0"/>
    <x v="0"/>
    <x v="1"/>
    <s v="FS"/>
    <x v="0"/>
    <m/>
    <m/>
    <m/>
  </r>
  <r>
    <n v="1482"/>
    <s v="MATRIZ"/>
    <x v="8"/>
    <x v="4"/>
    <x v="23"/>
    <s v="SERVIÇO"/>
    <x v="1173"/>
    <x v="7"/>
    <n v="39000"/>
    <n v="35236.5"/>
    <x v="212"/>
    <x v="6"/>
    <x v="17"/>
    <x v="0"/>
    <m/>
    <x v="0"/>
    <x v="0"/>
    <s v="UT"/>
    <x v="0"/>
    <m/>
    <m/>
    <m/>
  </r>
  <r>
    <n v="1262"/>
    <s v="SP"/>
    <x v="4"/>
    <x v="20"/>
    <x v="24"/>
    <s v="SERVIÇO"/>
    <x v="1174"/>
    <x v="7"/>
    <n v="28299.01"/>
    <n v="26558.62"/>
    <x v="231"/>
    <x v="67"/>
    <x v="210"/>
    <x v="0"/>
    <n v="0"/>
    <x v="0"/>
    <x v="1"/>
    <s v="FS"/>
    <x v="0"/>
    <m/>
    <m/>
    <m/>
  </r>
  <r>
    <n v="1262"/>
    <s v="SP"/>
    <x v="4"/>
    <x v="20"/>
    <x v="24"/>
    <s v="SERVIÇO"/>
    <x v="1175"/>
    <x v="7"/>
    <n v="21811.68"/>
    <n v="20470.25"/>
    <x v="231"/>
    <x v="67"/>
    <x v="210"/>
    <x v="0"/>
    <n v="0"/>
    <x v="0"/>
    <x v="1"/>
    <s v="FS"/>
    <x v="0"/>
    <m/>
    <m/>
    <m/>
  </r>
  <r>
    <n v="1262"/>
    <s v="SP"/>
    <x v="4"/>
    <x v="20"/>
    <x v="24"/>
    <s v="SERVIÇO"/>
    <x v="1176"/>
    <x v="7"/>
    <n v="18080.830000000002"/>
    <n v="16968.86"/>
    <x v="231"/>
    <x v="67"/>
    <x v="210"/>
    <x v="0"/>
    <n v="0"/>
    <x v="0"/>
    <x v="1"/>
    <s v="FS"/>
    <x v="0"/>
    <m/>
    <m/>
    <m/>
  </r>
  <r>
    <n v="1262"/>
    <s v="SP"/>
    <x v="4"/>
    <x v="20"/>
    <x v="24"/>
    <s v="SERVIÇO"/>
    <x v="1177"/>
    <x v="7"/>
    <n v="65393.83"/>
    <n v="61372.11"/>
    <x v="231"/>
    <x v="67"/>
    <x v="210"/>
    <x v="0"/>
    <n v="0"/>
    <x v="0"/>
    <x v="1"/>
    <s v="FS"/>
    <x v="0"/>
    <m/>
    <m/>
    <m/>
  </r>
  <r>
    <n v="1262"/>
    <s v="SP"/>
    <x v="4"/>
    <x v="20"/>
    <x v="24"/>
    <s v="SERVIÇO"/>
    <x v="1178"/>
    <x v="7"/>
    <n v="7748.93"/>
    <n v="7272.37"/>
    <x v="231"/>
    <x v="67"/>
    <x v="210"/>
    <x v="0"/>
    <n v="0"/>
    <x v="0"/>
    <x v="1"/>
    <s v="FS"/>
    <x v="0"/>
    <m/>
    <m/>
    <m/>
  </r>
  <r>
    <n v="1269"/>
    <s v="SP"/>
    <x v="4"/>
    <x v="20"/>
    <x v="25"/>
    <s v="SERVIÇO"/>
    <x v="1179"/>
    <x v="7"/>
    <n v="256578.23"/>
    <n v="240798.67"/>
    <x v="231"/>
    <x v="67"/>
    <x v="210"/>
    <x v="0"/>
    <n v="0"/>
    <x v="0"/>
    <x v="0"/>
    <s v="FS"/>
    <x v="0"/>
    <m/>
    <m/>
    <m/>
  </r>
  <r>
    <n v="1269"/>
    <s v="SP"/>
    <x v="4"/>
    <x v="20"/>
    <x v="25"/>
    <s v="SERVIÇO"/>
    <x v="1180"/>
    <x v="7"/>
    <n v="10876.23"/>
    <n v="10207.34"/>
    <x v="231"/>
    <x v="67"/>
    <x v="210"/>
    <x v="0"/>
    <n v="0"/>
    <x v="0"/>
    <x v="0"/>
    <s v="FS"/>
    <x v="0"/>
    <m/>
    <m/>
    <m/>
  </r>
  <r>
    <n v="1269"/>
    <s v="SP"/>
    <x v="4"/>
    <x v="20"/>
    <x v="25"/>
    <s v="SERVIÇO"/>
    <x v="1181"/>
    <x v="7"/>
    <n v="6655.99"/>
    <n v="6246.65"/>
    <x v="231"/>
    <x v="67"/>
    <x v="210"/>
    <x v="0"/>
    <n v="0"/>
    <x v="0"/>
    <x v="0"/>
    <s v="FS"/>
    <x v="0"/>
    <m/>
    <m/>
    <m/>
  </r>
  <r>
    <n v="1269"/>
    <s v="SP"/>
    <x v="4"/>
    <x v="20"/>
    <x v="25"/>
    <s v="SERVIÇO"/>
    <x v="1182"/>
    <x v="7"/>
    <n v="30699.39"/>
    <n v="28811.38"/>
    <x v="231"/>
    <x v="67"/>
    <x v="210"/>
    <x v="0"/>
    <n v="0"/>
    <x v="0"/>
    <x v="0"/>
    <s v="FS"/>
    <x v="0"/>
    <m/>
    <m/>
    <m/>
  </r>
  <r>
    <n v="1400"/>
    <s v="SP"/>
    <x v="7"/>
    <x v="21"/>
    <x v="26"/>
    <s v="SERVIÇO"/>
    <x v="1183"/>
    <x v="7"/>
    <n v="77751.44"/>
    <n v="70248.429999999993"/>
    <x v="145"/>
    <x v="9"/>
    <x v="211"/>
    <x v="0"/>
    <m/>
    <x v="0"/>
    <x v="1"/>
    <s v="UT"/>
    <x v="2"/>
    <m/>
    <m/>
    <m/>
  </r>
  <r>
    <n v="1400"/>
    <s v="SP"/>
    <x v="7"/>
    <x v="21"/>
    <x v="26"/>
    <s v="SERVIÇO"/>
    <x v="1184"/>
    <x v="7"/>
    <n v="408831.74"/>
    <n v="369379.47"/>
    <x v="146"/>
    <x v="16"/>
    <x v="50"/>
    <x v="0"/>
    <m/>
    <x v="0"/>
    <x v="1"/>
    <s v="UT"/>
    <x v="2"/>
    <m/>
    <m/>
    <m/>
  </r>
  <r>
    <n v="1501"/>
    <s v="SP"/>
    <x v="7"/>
    <x v="21"/>
    <x v="59"/>
    <s v="SERVIÇO"/>
    <x v="1185"/>
    <x v="7"/>
    <n v="428751"/>
    <n v="387376.51"/>
    <x v="205"/>
    <x v="9"/>
    <x v="211"/>
    <x v="0"/>
    <n v="0"/>
    <x v="0"/>
    <x v="0"/>
    <s v="UT"/>
    <x v="2"/>
    <m/>
    <m/>
    <m/>
  </r>
  <r>
    <n v="1388"/>
    <s v="SP"/>
    <x v="7"/>
    <x v="21"/>
    <x v="28"/>
    <s v="SERVIÇO"/>
    <x v="1186"/>
    <x v="7"/>
    <n v="205887.45"/>
    <n v="186019.32"/>
    <x v="145"/>
    <x v="9"/>
    <x v="211"/>
    <x v="0"/>
    <m/>
    <x v="0"/>
    <x v="1"/>
    <s v="UT"/>
    <x v="2"/>
    <m/>
    <m/>
    <m/>
  </r>
  <r>
    <n v="1298"/>
    <s v="HUB"/>
    <x v="8"/>
    <x v="22"/>
    <x v="29"/>
    <s v="SERVIÇO"/>
    <x v="1187"/>
    <x v="7"/>
    <n v="279997.09000000003"/>
    <n v="262777.28000000003"/>
    <x v="220"/>
    <x v="67"/>
    <x v="207"/>
    <x v="0"/>
    <n v="0"/>
    <x v="0"/>
    <x v="0"/>
    <s v="PS"/>
    <x v="0"/>
    <m/>
    <m/>
    <m/>
  </r>
  <r>
    <n v="1289"/>
    <s v="HUB"/>
    <x v="6"/>
    <x v="23"/>
    <x v="30"/>
    <s v="SERVIÇO"/>
    <x v="1188"/>
    <x v="7"/>
    <n v="288631.78000000003"/>
    <n v="269004.81"/>
    <x v="6"/>
    <x v="67"/>
    <x v="203"/>
    <x v="0"/>
    <m/>
    <x v="0"/>
    <x v="0"/>
    <s v="PS"/>
    <x v="3"/>
    <m/>
    <m/>
    <m/>
  </r>
  <r>
    <n v="1288"/>
    <s v="HUB"/>
    <x v="6"/>
    <x v="23"/>
    <x v="31"/>
    <s v="SERVIÇO"/>
    <x v="1189"/>
    <x v="7"/>
    <n v="393560.01"/>
    <n v="366797.93"/>
    <x v="79"/>
    <x v="6"/>
    <x v="224"/>
    <x v="0"/>
    <m/>
    <x v="0"/>
    <x v="1"/>
    <s v="PS"/>
    <x v="3"/>
    <m/>
    <m/>
    <m/>
  </r>
  <r>
    <n v="1271"/>
    <s v="HUB"/>
    <x v="6"/>
    <x v="23"/>
    <x v="32"/>
    <s v="SERVIÇO"/>
    <x v="1190"/>
    <x v="7"/>
    <n v="255597.54"/>
    <n v="238216.91"/>
    <x v="214"/>
    <x v="67"/>
    <x v="203"/>
    <x v="0"/>
    <n v="0"/>
    <x v="0"/>
    <x v="0"/>
    <s v="PS"/>
    <x v="3"/>
    <m/>
    <m/>
    <m/>
  </r>
  <r>
    <n v="1394"/>
    <s v="MATRIZ"/>
    <x v="5"/>
    <x v="7"/>
    <x v="7"/>
    <s v="SERVIÇO"/>
    <x v="1191"/>
    <x v="7"/>
    <n v="226733.57"/>
    <n v="211315.69"/>
    <x v="18"/>
    <x v="56"/>
    <x v="219"/>
    <x v="0"/>
    <n v="0"/>
    <x v="0"/>
    <x v="0"/>
    <s v="PS"/>
    <x v="1"/>
    <m/>
    <m/>
    <m/>
  </r>
  <r>
    <n v="1394"/>
    <s v="MATRIZ"/>
    <x v="5"/>
    <x v="7"/>
    <x v="7"/>
    <s v="SERVIÇO"/>
    <x v="1192"/>
    <x v="7"/>
    <n v="117291.83"/>
    <n v="109315.98"/>
    <x v="213"/>
    <x v="56"/>
    <x v="184"/>
    <x v="0"/>
    <n v="0"/>
    <x v="0"/>
    <x v="0"/>
    <s v="PS"/>
    <x v="1"/>
    <m/>
    <m/>
    <m/>
  </r>
  <r>
    <n v="1394"/>
    <s v="MATRIZ"/>
    <x v="5"/>
    <x v="7"/>
    <x v="7"/>
    <s v="SERVIÇO"/>
    <x v="1193"/>
    <x v="7"/>
    <n v="13956.1"/>
    <n v="13007.09"/>
    <x v="214"/>
    <x v="67"/>
    <x v="216"/>
    <x v="0"/>
    <n v="0"/>
    <x v="0"/>
    <x v="0"/>
    <s v="PS"/>
    <x v="1"/>
    <m/>
    <m/>
    <m/>
  </r>
  <r>
    <n v="1394"/>
    <s v="MATRIZ"/>
    <x v="5"/>
    <x v="7"/>
    <x v="7"/>
    <s v="SERVIÇO"/>
    <x v="1194"/>
    <x v="7"/>
    <n v="89335"/>
    <n v="83260.22"/>
    <x v="220"/>
    <x v="56"/>
    <x v="217"/>
    <x v="0"/>
    <n v="0"/>
    <x v="0"/>
    <x v="0"/>
    <s v="PS"/>
    <x v="1"/>
    <m/>
    <m/>
    <m/>
  </r>
  <r>
    <n v="1394"/>
    <s v="MATRIZ"/>
    <x v="5"/>
    <x v="7"/>
    <x v="7"/>
    <s v="SERVIÇO"/>
    <x v="1195"/>
    <x v="7"/>
    <n v="297806.21999999997"/>
    <n v="277555.40000000002"/>
    <x v="220"/>
    <x v="67"/>
    <x v="216"/>
    <x v="0"/>
    <n v="0"/>
    <x v="0"/>
    <x v="0"/>
    <s v="PS"/>
    <x v="1"/>
    <m/>
    <m/>
    <m/>
  </r>
  <r>
    <n v="1394"/>
    <s v="MATRIZ"/>
    <x v="5"/>
    <x v="7"/>
    <x v="7"/>
    <s v="SERVIÇO"/>
    <x v="1196"/>
    <x v="7"/>
    <n v="97752.15"/>
    <n v="91105.01"/>
    <x v="220"/>
    <x v="56"/>
    <x v="206"/>
    <x v="0"/>
    <n v="0"/>
    <x v="0"/>
    <x v="0"/>
    <s v="PS"/>
    <x v="1"/>
    <m/>
    <m/>
    <m/>
  </r>
  <r>
    <n v="1394"/>
    <s v="MATRIZ"/>
    <x v="5"/>
    <x v="7"/>
    <x v="7"/>
    <s v="SERVIÇO"/>
    <x v="1197"/>
    <x v="7"/>
    <n v="195140.88"/>
    <n v="181871.3"/>
    <x v="232"/>
    <x v="56"/>
    <x v="206"/>
    <x v="0"/>
    <n v="0"/>
    <x v="0"/>
    <x v="0"/>
    <s v="PS"/>
    <x v="1"/>
    <m/>
    <m/>
    <m/>
  </r>
  <r>
    <n v="1394"/>
    <s v="MATRIZ"/>
    <x v="5"/>
    <x v="7"/>
    <x v="7"/>
    <s v="SERVIÇO"/>
    <x v="1198"/>
    <x v="7"/>
    <n v="133850.94"/>
    <n v="124749.07"/>
    <x v="233"/>
    <x v="6"/>
    <x v="7"/>
    <x v="0"/>
    <m/>
    <x v="0"/>
    <x v="0"/>
    <s v="PS"/>
    <x v="1"/>
    <m/>
    <m/>
    <m/>
  </r>
  <r>
    <n v="1500"/>
    <s v="SP"/>
    <x v="3"/>
    <x v="8"/>
    <x v="53"/>
    <s v="SERVIÇO"/>
    <x v="1199"/>
    <x v="7"/>
    <n v="43479.040000000001"/>
    <n v="40805.07"/>
    <x v="198"/>
    <x v="26"/>
    <x v="212"/>
    <x v="0"/>
    <m/>
    <x v="0"/>
    <x v="2"/>
    <s v="FS"/>
    <x v="2"/>
    <m/>
    <m/>
    <m/>
  </r>
  <r>
    <n v="1360"/>
    <s v="SP"/>
    <x v="3"/>
    <x v="8"/>
    <x v="8"/>
    <s v="SERVIÇO"/>
    <x v="1200"/>
    <x v="7"/>
    <n v="29534"/>
    <n v="27717.66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1"/>
    <x v="7"/>
    <n v="18460.400000000001"/>
    <n v="17325.09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2"/>
    <x v="7"/>
    <n v="43024.959999999999"/>
    <n v="40378.93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3"/>
    <x v="7"/>
    <n v="74687.679999999993"/>
    <n v="70094.38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4"/>
    <x v="7"/>
    <n v="42320"/>
    <n v="39717.32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5"/>
    <x v="7"/>
    <n v="152900.16"/>
    <n v="143496.81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6"/>
    <x v="7"/>
    <n v="72274.399999999994"/>
    <n v="67829.53"/>
    <x v="197"/>
    <x v="26"/>
    <x v="212"/>
    <x v="0"/>
    <m/>
    <x v="0"/>
    <x v="1"/>
    <s v="FS"/>
    <x v="2"/>
    <m/>
    <m/>
    <m/>
  </r>
  <r>
    <n v="1360"/>
    <s v="SP"/>
    <x v="3"/>
    <x v="8"/>
    <x v="8"/>
    <s v="SERVIÇO"/>
    <x v="1207"/>
    <x v="7"/>
    <n v="19371.599999999999"/>
    <n v="18180.240000000002"/>
    <x v="198"/>
    <x v="26"/>
    <x v="212"/>
    <x v="0"/>
    <m/>
    <x v="0"/>
    <x v="1"/>
    <s v="FS"/>
    <x v="2"/>
    <m/>
    <m/>
    <m/>
  </r>
  <r>
    <n v="1360"/>
    <s v="SP"/>
    <x v="3"/>
    <x v="8"/>
    <x v="8"/>
    <s v="SERVIÇO"/>
    <x v="1208"/>
    <x v="7"/>
    <n v="19668"/>
    <n v="18458.419999999998"/>
    <x v="198"/>
    <x v="26"/>
    <x v="212"/>
    <x v="0"/>
    <m/>
    <x v="0"/>
    <x v="1"/>
    <s v="FS"/>
    <x v="2"/>
    <m/>
    <m/>
    <m/>
  </r>
  <r>
    <n v="1360"/>
    <s v="SP"/>
    <x v="3"/>
    <x v="8"/>
    <x v="8"/>
    <s v="SERVIÇO"/>
    <x v="1209"/>
    <x v="7"/>
    <n v="33968"/>
    <n v="31878.97"/>
    <x v="198"/>
    <x v="26"/>
    <x v="212"/>
    <x v="0"/>
    <m/>
    <x v="0"/>
    <x v="1"/>
    <s v="FS"/>
    <x v="2"/>
    <m/>
    <m/>
    <m/>
  </r>
  <r>
    <n v="1360"/>
    <s v="SP"/>
    <x v="3"/>
    <x v="8"/>
    <x v="8"/>
    <s v="SERVIÇO"/>
    <x v="1210"/>
    <x v="7"/>
    <n v="36757.599999999999"/>
    <n v="34497.01"/>
    <x v="52"/>
    <x v="26"/>
    <x v="212"/>
    <x v="0"/>
    <m/>
    <x v="0"/>
    <x v="1"/>
    <s v="FS"/>
    <x v="2"/>
    <m/>
    <m/>
    <m/>
  </r>
  <r>
    <n v="1360"/>
    <s v="SP"/>
    <x v="3"/>
    <x v="8"/>
    <x v="8"/>
    <s v="SERVIÇO"/>
    <x v="1211"/>
    <x v="7"/>
    <n v="41106.559999999998"/>
    <n v="38578.5"/>
    <x v="52"/>
    <x v="26"/>
    <x v="212"/>
    <x v="0"/>
    <m/>
    <x v="0"/>
    <x v="1"/>
    <s v="FS"/>
    <x v="2"/>
    <m/>
    <m/>
    <m/>
  </r>
  <r>
    <n v="1360"/>
    <s v="SP"/>
    <x v="3"/>
    <x v="8"/>
    <x v="8"/>
    <s v="SERVIÇO"/>
    <x v="1212"/>
    <x v="7"/>
    <n v="39835.599999999999"/>
    <n v="37385.71"/>
    <x v="8"/>
    <x v="55"/>
    <x v="182"/>
    <x v="0"/>
    <m/>
    <x v="0"/>
    <x v="1"/>
    <s v="FS"/>
    <x v="2"/>
    <m/>
    <m/>
    <m/>
  </r>
  <r>
    <n v="1360"/>
    <s v="SP"/>
    <x v="3"/>
    <x v="8"/>
    <x v="8"/>
    <s v="SERVIÇO"/>
    <x v="1213"/>
    <x v="7"/>
    <n v="33968"/>
    <n v="31878.97"/>
    <x v="8"/>
    <x v="55"/>
    <x v="182"/>
    <x v="0"/>
    <m/>
    <x v="0"/>
    <x v="1"/>
    <s v="FS"/>
    <x v="2"/>
    <m/>
    <m/>
    <m/>
  </r>
  <r>
    <n v="1360"/>
    <s v="SP"/>
    <x v="3"/>
    <x v="8"/>
    <x v="8"/>
    <s v="SERVIÇO"/>
    <x v="1214"/>
    <x v="7"/>
    <n v="33968"/>
    <n v="31878.97"/>
    <x v="8"/>
    <x v="55"/>
    <x v="182"/>
    <x v="0"/>
    <m/>
    <x v="0"/>
    <x v="1"/>
    <s v="FS"/>
    <x v="2"/>
    <m/>
    <m/>
    <m/>
  </r>
  <r>
    <n v="1360"/>
    <s v="SP"/>
    <x v="3"/>
    <x v="8"/>
    <x v="8"/>
    <s v="SERVIÇO"/>
    <x v="1215"/>
    <x v="7"/>
    <n v="36125"/>
    <n v="33903.31"/>
    <x v="221"/>
    <x v="55"/>
    <x v="182"/>
    <x v="0"/>
    <m/>
    <x v="0"/>
    <x v="1"/>
    <s v="FS"/>
    <x v="2"/>
    <m/>
    <m/>
    <m/>
  </r>
  <r>
    <n v="1360"/>
    <s v="SP"/>
    <x v="3"/>
    <x v="8"/>
    <x v="8"/>
    <s v="SERVIÇO"/>
    <x v="1216"/>
    <x v="7"/>
    <n v="56289.52"/>
    <n v="52827.71"/>
    <x v="9"/>
    <x v="55"/>
    <x v="182"/>
    <x v="0"/>
    <m/>
    <x v="0"/>
    <x v="1"/>
    <s v="FS"/>
    <x v="2"/>
    <m/>
    <m/>
    <m/>
  </r>
  <r>
    <n v="1360"/>
    <s v="SP"/>
    <x v="3"/>
    <x v="8"/>
    <x v="8"/>
    <s v="SERVIÇO"/>
    <x v="1217"/>
    <x v="7"/>
    <n v="87403.66"/>
    <n v="82028.34"/>
    <x v="230"/>
    <x v="9"/>
    <x v="175"/>
    <x v="0"/>
    <m/>
    <x v="0"/>
    <x v="1"/>
    <s v="FS"/>
    <x v="2"/>
    <m/>
    <m/>
    <m/>
  </r>
  <r>
    <n v="1387"/>
    <s v="SP"/>
    <x v="3"/>
    <x v="8"/>
    <x v="47"/>
    <s v="SERVIÇO"/>
    <x v="1218"/>
    <x v="7"/>
    <n v="29742.240000000002"/>
    <n v="27913.1"/>
    <x v="197"/>
    <x v="26"/>
    <x v="212"/>
    <x v="0"/>
    <m/>
    <x v="0"/>
    <x v="0"/>
    <s v="FS"/>
    <x v="2"/>
    <m/>
    <m/>
    <m/>
  </r>
  <r>
    <n v="1387"/>
    <s v="SP"/>
    <x v="3"/>
    <x v="8"/>
    <x v="47"/>
    <s v="SERVIÇO"/>
    <x v="1219"/>
    <x v="7"/>
    <n v="82559.839999999997"/>
    <n v="77482.399999999994"/>
    <x v="197"/>
    <x v="26"/>
    <x v="212"/>
    <x v="0"/>
    <m/>
    <x v="0"/>
    <x v="0"/>
    <s v="FS"/>
    <x v="2"/>
    <m/>
    <m/>
    <m/>
  </r>
  <r>
    <n v="1387"/>
    <s v="SP"/>
    <x v="3"/>
    <x v="8"/>
    <x v="47"/>
    <s v="SERVIÇO"/>
    <x v="1220"/>
    <x v="7"/>
    <n v="35516.800000000003"/>
    <n v="33332.51"/>
    <x v="197"/>
    <x v="26"/>
    <x v="212"/>
    <x v="0"/>
    <m/>
    <x v="0"/>
    <x v="0"/>
    <s v="FS"/>
    <x v="2"/>
    <m/>
    <m/>
    <m/>
  </r>
  <r>
    <n v="1470"/>
    <s v="MATRIZ"/>
    <x v="2"/>
    <x v="24"/>
    <x v="35"/>
    <s v="SERVIÇO"/>
    <x v="1221"/>
    <x v="7"/>
    <n v="36700"/>
    <n v="33708.949999999997"/>
    <x v="14"/>
    <x v="67"/>
    <x v="207"/>
    <x v="0"/>
    <n v="0"/>
    <x v="0"/>
    <x v="0"/>
    <s v="MS"/>
    <x v="1"/>
    <m/>
    <m/>
    <m/>
  </r>
  <r>
    <n v="1273"/>
    <s v="HUB"/>
    <x v="6"/>
    <x v="25"/>
    <x v="37"/>
    <s v="SERVIÇO"/>
    <x v="1222"/>
    <x v="7"/>
    <n v="573770.1"/>
    <n v="514671.79"/>
    <x v="223"/>
    <x v="7"/>
    <x v="220"/>
    <x v="0"/>
    <n v="0"/>
    <x v="0"/>
    <x v="0"/>
    <s v="PS"/>
    <x v="3"/>
    <m/>
    <m/>
    <m/>
  </r>
  <r>
    <n v="1277"/>
    <s v="HUB"/>
    <x v="6"/>
    <x v="25"/>
    <x v="38"/>
    <s v="SERVIÇO"/>
    <x v="1223"/>
    <x v="7"/>
    <n v="162394.43"/>
    <n v="145667.79999999999"/>
    <x v="234"/>
    <x v="54"/>
    <x v="231"/>
    <x v="0"/>
    <m/>
    <x v="0"/>
    <x v="0"/>
    <s v="PS"/>
    <x v="3"/>
    <m/>
    <m/>
    <m/>
  </r>
  <r>
    <n v="1268"/>
    <s v="SP"/>
    <x v="4"/>
    <x v="6"/>
    <x v="39"/>
    <s v="SERVIÇO"/>
    <x v="1224"/>
    <x v="7"/>
    <n v="38711.199999999997"/>
    <n v="36330.46"/>
    <x v="213"/>
    <x v="67"/>
    <x v="210"/>
    <x v="0"/>
    <n v="0"/>
    <x v="0"/>
    <x v="1"/>
    <s v="FS"/>
    <x v="0"/>
    <m/>
    <m/>
    <m/>
  </r>
  <r>
    <n v="1268"/>
    <s v="SP"/>
    <x v="4"/>
    <x v="6"/>
    <x v="39"/>
    <s v="SERVIÇO"/>
    <x v="1225"/>
    <x v="7"/>
    <n v="1206305.1299999999"/>
    <n v="1132117.3600000001"/>
    <x v="213"/>
    <x v="67"/>
    <x v="210"/>
    <x v="0"/>
    <n v="0"/>
    <x v="0"/>
    <x v="1"/>
    <s v="FS"/>
    <x v="0"/>
    <m/>
    <m/>
    <m/>
  </r>
  <r>
    <n v="1268"/>
    <s v="SP"/>
    <x v="4"/>
    <x v="6"/>
    <x v="39"/>
    <s v="SERVIÇO"/>
    <x v="1226"/>
    <x v="7"/>
    <n v="54424.12"/>
    <n v="51077.04"/>
    <x v="213"/>
    <x v="67"/>
    <x v="210"/>
    <x v="0"/>
    <n v="0"/>
    <x v="0"/>
    <x v="1"/>
    <s v="FS"/>
    <x v="0"/>
    <m/>
    <m/>
    <m/>
  </r>
  <r>
    <n v="1268"/>
    <s v="SP"/>
    <x v="4"/>
    <x v="6"/>
    <x v="39"/>
    <s v="SERVIÇO"/>
    <x v="1227"/>
    <x v="7"/>
    <n v="280377.92"/>
    <n v="263134.69"/>
    <x v="213"/>
    <x v="67"/>
    <x v="210"/>
    <x v="0"/>
    <n v="0"/>
    <x v="0"/>
    <x v="1"/>
    <s v="FS"/>
    <x v="0"/>
    <m/>
    <m/>
    <m/>
  </r>
  <r>
    <n v="1268"/>
    <s v="SP"/>
    <x v="4"/>
    <x v="6"/>
    <x v="39"/>
    <s v="SERVIÇO"/>
    <x v="1228"/>
    <x v="7"/>
    <n v="113369.84"/>
    <n v="106397.59"/>
    <x v="213"/>
    <x v="67"/>
    <x v="210"/>
    <x v="0"/>
    <n v="0"/>
    <x v="0"/>
    <x v="1"/>
    <s v="FS"/>
    <x v="0"/>
    <m/>
    <m/>
    <m/>
  </r>
  <r>
    <n v="1483"/>
    <s v="MATRIZ"/>
    <x v="4"/>
    <x v="9"/>
    <x v="9"/>
    <s v="SERVIÇO"/>
    <x v="1229"/>
    <x v="7"/>
    <n v="53591.199999999997"/>
    <n v="49527.08"/>
    <x v="9"/>
    <x v="6"/>
    <x v="224"/>
    <x v="0"/>
    <n v="0"/>
    <x v="0"/>
    <x v="0"/>
    <s v="MS"/>
    <x v="0"/>
    <m/>
    <m/>
    <m/>
  </r>
  <r>
    <n v="1483"/>
    <s v="MATRIZ"/>
    <x v="4"/>
    <x v="9"/>
    <x v="9"/>
    <s v="SERVIÇO"/>
    <x v="1230"/>
    <x v="7"/>
    <n v="28856.799999999999"/>
    <n v="27082.11"/>
    <x v="9"/>
    <x v="67"/>
    <x v="218"/>
    <x v="0"/>
    <n v="0"/>
    <x v="0"/>
    <x v="0"/>
    <s v="MS"/>
    <x v="0"/>
    <m/>
    <m/>
    <m/>
  </r>
  <r>
    <n v="1275"/>
    <s v="SP"/>
    <x v="4"/>
    <x v="26"/>
    <x v="40"/>
    <s v="SERVIÇO"/>
    <x v="1231"/>
    <x v="7"/>
    <n v="16767.240000000002"/>
    <n v="15736.05"/>
    <x v="14"/>
    <x v="67"/>
    <x v="210"/>
    <x v="0"/>
    <n v="0"/>
    <x v="0"/>
    <x v="1"/>
    <s v="FS"/>
    <x v="0"/>
    <m/>
    <m/>
    <m/>
  </r>
  <r>
    <n v="1479"/>
    <s v="SP"/>
    <x v="4"/>
    <x v="26"/>
    <x v="41"/>
    <s v="SERVIÇO"/>
    <x v="1232"/>
    <x v="7"/>
    <n v="26040"/>
    <n v="24438.54"/>
    <x v="210"/>
    <x v="67"/>
    <x v="210"/>
    <x v="0"/>
    <n v="0"/>
    <x v="0"/>
    <x v="2"/>
    <s v="FS"/>
    <x v="0"/>
    <m/>
    <m/>
    <m/>
  </r>
  <r>
    <n v="1455"/>
    <s v="MATRIZ"/>
    <x v="2"/>
    <x v="2"/>
    <x v="2"/>
    <s v="SERVIÇO"/>
    <x v="1233"/>
    <x v="12"/>
    <n v="56875.77"/>
    <n v="50249.74"/>
    <x v="145"/>
    <x v="16"/>
    <x v="232"/>
    <x v="0"/>
    <m/>
    <x v="0"/>
    <x v="0"/>
    <s v="MS"/>
    <x v="1"/>
    <m/>
    <m/>
    <m/>
  </r>
  <r>
    <n v="1455"/>
    <s v="MATRIZ"/>
    <x v="2"/>
    <x v="2"/>
    <x v="2"/>
    <s v="SERVIÇO"/>
    <x v="1234"/>
    <x v="12"/>
    <n v="9575.9"/>
    <n v="8460.2999999999993"/>
    <x v="235"/>
    <x v="16"/>
    <x v="232"/>
    <x v="0"/>
    <m/>
    <x v="0"/>
    <x v="0"/>
    <s v="MS"/>
    <x v="1"/>
    <m/>
    <m/>
    <m/>
  </r>
  <r>
    <n v="1489"/>
    <s v="SP"/>
    <x v="4"/>
    <x v="32"/>
    <x v="51"/>
    <s v="SERVIÇO"/>
    <x v="1235"/>
    <x v="12"/>
    <n v="42812.21"/>
    <n v="40179.26"/>
    <x v="235"/>
    <x v="16"/>
    <x v="50"/>
    <x v="0"/>
    <m/>
    <x v="0"/>
    <x v="2"/>
    <s v="FS"/>
    <x v="0"/>
    <m/>
    <m/>
    <m/>
  </r>
  <r>
    <n v="1489"/>
    <s v="SP"/>
    <x v="4"/>
    <x v="32"/>
    <x v="51"/>
    <s v="SERVIÇO"/>
    <x v="1236"/>
    <x v="17"/>
    <n v="42812.21"/>
    <n v="40179.26"/>
    <x v="146"/>
    <x v="70"/>
    <x v="225"/>
    <x v="0"/>
    <m/>
    <x v="0"/>
    <x v="2"/>
    <s v="FS"/>
    <x v="0"/>
    <m/>
    <m/>
    <m/>
  </r>
  <r>
    <n v="1489"/>
    <s v="SP"/>
    <x v="4"/>
    <x v="32"/>
    <x v="51"/>
    <s v="SERVIÇO"/>
    <x v="1237"/>
    <x v="19"/>
    <n v="42812.21"/>
    <n v="40179.26"/>
    <x v="225"/>
    <x v="74"/>
    <x v="233"/>
    <x v="0"/>
    <m/>
    <x v="0"/>
    <x v="2"/>
    <s v="FS"/>
    <x v="0"/>
    <m/>
    <m/>
    <m/>
  </r>
  <r>
    <n v="1489"/>
    <s v="SP"/>
    <x v="4"/>
    <x v="32"/>
    <x v="51"/>
    <s v="SERVIÇO"/>
    <x v="1238"/>
    <x v="30"/>
    <n v="44525"/>
    <n v="41786.71"/>
    <x v="236"/>
    <x v="71"/>
    <x v="226"/>
    <x v="0"/>
    <m/>
    <x v="0"/>
    <x v="2"/>
    <s v="FS"/>
    <x v="0"/>
    <m/>
    <m/>
    <m/>
  </r>
  <r>
    <n v="1489"/>
    <s v="SP"/>
    <x v="4"/>
    <x v="32"/>
    <x v="51"/>
    <s v="SERVIÇO"/>
    <x v="1239"/>
    <x v="21"/>
    <n v="44525"/>
    <n v="41786.71"/>
    <x v="188"/>
    <x v="75"/>
    <x v="234"/>
    <x v="0"/>
    <m/>
    <x v="0"/>
    <x v="2"/>
    <s v="FS"/>
    <x v="0"/>
    <m/>
    <m/>
    <m/>
  </r>
  <r>
    <n v="1489"/>
    <s v="SP"/>
    <x v="4"/>
    <x v="32"/>
    <x v="51"/>
    <s v="SERVIÇO"/>
    <x v="1240"/>
    <x v="22"/>
    <n v="44525"/>
    <n v="41786.71"/>
    <x v="228"/>
    <x v="76"/>
    <x v="235"/>
    <x v="0"/>
    <m/>
    <x v="0"/>
    <x v="2"/>
    <s v="FS"/>
    <x v="0"/>
    <m/>
    <m/>
    <m/>
  </r>
  <r>
    <n v="1489"/>
    <s v="SP"/>
    <x v="4"/>
    <x v="32"/>
    <x v="51"/>
    <s v="SERVIÇO"/>
    <x v="1241"/>
    <x v="23"/>
    <n v="44525"/>
    <n v="41786.71"/>
    <x v="237"/>
    <x v="64"/>
    <x v="236"/>
    <x v="0"/>
    <m/>
    <x v="0"/>
    <x v="2"/>
    <s v="FS"/>
    <x v="0"/>
    <m/>
    <m/>
    <m/>
  </r>
  <r>
    <n v="1489"/>
    <s v="SP"/>
    <x v="4"/>
    <x v="32"/>
    <x v="51"/>
    <s v="SERVIÇO"/>
    <x v="1242"/>
    <x v="24"/>
    <n v="44525"/>
    <n v="41786.71"/>
    <x v="238"/>
    <x v="77"/>
    <x v="128"/>
    <x v="2"/>
    <m/>
    <x v="0"/>
    <x v="2"/>
    <s v="FS"/>
    <x v="0"/>
    <m/>
    <m/>
    <m/>
  </r>
  <r>
    <n v="1478"/>
    <s v="SP"/>
    <x v="3"/>
    <x v="10"/>
    <x v="10"/>
    <s v="SERVIÇO"/>
    <x v="1243"/>
    <x v="12"/>
    <n v="13993.56"/>
    <n v="13132.95"/>
    <x v="239"/>
    <x v="16"/>
    <x v="21"/>
    <x v="0"/>
    <m/>
    <x v="0"/>
    <x v="1"/>
    <s v="FS"/>
    <x v="2"/>
    <m/>
    <m/>
    <m/>
  </r>
  <r>
    <n v="1478"/>
    <s v="SP"/>
    <x v="3"/>
    <x v="10"/>
    <x v="10"/>
    <s v="SERVIÇO"/>
    <x v="1244"/>
    <x v="12"/>
    <n v="29087.69"/>
    <n v="27298.79"/>
    <x v="239"/>
    <x v="16"/>
    <x v="21"/>
    <x v="0"/>
    <m/>
    <x v="0"/>
    <x v="1"/>
    <s v="FS"/>
    <x v="2"/>
    <m/>
    <m/>
    <m/>
  </r>
  <r>
    <n v="1478"/>
    <s v="SP"/>
    <x v="3"/>
    <x v="10"/>
    <x v="10"/>
    <s v="SERVIÇO"/>
    <x v="1245"/>
    <x v="12"/>
    <n v="16351.92"/>
    <n v="15346.27"/>
    <x v="239"/>
    <x v="16"/>
    <x v="21"/>
    <x v="0"/>
    <m/>
    <x v="0"/>
    <x v="1"/>
    <s v="FS"/>
    <x v="2"/>
    <m/>
    <m/>
    <m/>
  </r>
  <r>
    <n v="1478"/>
    <s v="SP"/>
    <x v="3"/>
    <x v="10"/>
    <x v="10"/>
    <s v="SERVIÇO"/>
    <x v="1246"/>
    <x v="12"/>
    <n v="20754.55"/>
    <n v="19478.14"/>
    <x v="239"/>
    <x v="16"/>
    <x v="21"/>
    <x v="0"/>
    <m/>
    <x v="0"/>
    <x v="1"/>
    <s v="FS"/>
    <x v="2"/>
    <m/>
    <m/>
    <m/>
  </r>
  <r>
    <n v="1499"/>
    <s v="MATRIZ"/>
    <x v="3"/>
    <x v="33"/>
    <x v="52"/>
    <s v="SERVIÇO"/>
    <x v="1247"/>
    <x v="12"/>
    <n v="52900"/>
    <n v="49646.65"/>
    <x v="240"/>
    <x v="9"/>
    <x v="175"/>
    <x v="0"/>
    <n v="0"/>
    <x v="0"/>
    <x v="1"/>
    <s v="MS"/>
    <x v="2"/>
    <m/>
    <m/>
    <m/>
  </r>
  <r>
    <n v="1391"/>
    <s v="SP"/>
    <x v="3"/>
    <x v="11"/>
    <x v="11"/>
    <s v="SERVIÇO"/>
    <x v="1248"/>
    <x v="12"/>
    <n v="741547.47"/>
    <n v="695942.3"/>
    <x v="239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49"/>
    <x v="12"/>
    <n v="117708.05"/>
    <n v="110469.01"/>
    <x v="239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50"/>
    <x v="12"/>
    <n v="117708.05"/>
    <n v="110469.01"/>
    <x v="239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51"/>
    <x v="12"/>
    <n v="146532.54"/>
    <n v="137520.79"/>
    <x v="240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52"/>
    <x v="12"/>
    <n v="122096.72"/>
    <n v="114587.77"/>
    <x v="240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53"/>
    <x v="12"/>
    <n v="88513.43"/>
    <n v="83069.86"/>
    <x v="240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54"/>
    <x v="12"/>
    <n v="63103.95"/>
    <n v="59223.06"/>
    <x v="240"/>
    <x v="69"/>
    <x v="230"/>
    <x v="0"/>
    <n v="0"/>
    <x v="0"/>
    <x v="1"/>
    <s v="FS"/>
    <x v="2"/>
    <m/>
    <m/>
    <m/>
  </r>
  <r>
    <n v="1391"/>
    <s v="SP"/>
    <x v="3"/>
    <x v="11"/>
    <x v="11"/>
    <s v="SERVIÇO"/>
    <x v="1255"/>
    <x v="12"/>
    <n v="186897.84"/>
    <n v="175403.62"/>
    <x v="194"/>
    <x v="9"/>
    <x v="11"/>
    <x v="0"/>
    <n v="0"/>
    <x v="0"/>
    <x v="1"/>
    <s v="FS"/>
    <x v="2"/>
    <m/>
    <m/>
    <m/>
  </r>
  <r>
    <n v="1391"/>
    <s v="SP"/>
    <x v="3"/>
    <x v="11"/>
    <x v="11"/>
    <s v="SERVIÇO"/>
    <x v="1256"/>
    <x v="12"/>
    <n v="78723.45"/>
    <n v="73881.960000000006"/>
    <x v="194"/>
    <x v="9"/>
    <x v="11"/>
    <x v="0"/>
    <n v="0"/>
    <x v="0"/>
    <x v="1"/>
    <s v="FS"/>
    <x v="2"/>
    <m/>
    <m/>
    <m/>
  </r>
  <r>
    <n v="1391"/>
    <s v="SP"/>
    <x v="3"/>
    <x v="11"/>
    <x v="11"/>
    <s v="SERVIÇO"/>
    <x v="1257"/>
    <x v="12"/>
    <n v="33710.639999999999"/>
    <n v="31637.439999999999"/>
    <x v="241"/>
    <x v="9"/>
    <x v="237"/>
    <x v="0"/>
    <n v="0"/>
    <x v="0"/>
    <x v="1"/>
    <s v="FS"/>
    <x v="2"/>
    <m/>
    <m/>
    <m/>
  </r>
  <r>
    <n v="1391"/>
    <s v="SP"/>
    <x v="3"/>
    <x v="11"/>
    <x v="11"/>
    <s v="SERVIÇO"/>
    <x v="1258"/>
    <x v="12"/>
    <n v="86671.2"/>
    <n v="81340.92"/>
    <x v="241"/>
    <x v="9"/>
    <x v="237"/>
    <x v="0"/>
    <n v="0"/>
    <x v="0"/>
    <x v="1"/>
    <s v="FS"/>
    <x v="2"/>
    <m/>
    <m/>
    <m/>
  </r>
  <r>
    <n v="1391"/>
    <s v="SP"/>
    <x v="3"/>
    <x v="11"/>
    <x v="11"/>
    <s v="SERVIÇO"/>
    <x v="1259"/>
    <x v="12"/>
    <n v="51687.68"/>
    <n v="48508.88"/>
    <x v="241"/>
    <x v="9"/>
    <x v="237"/>
    <x v="0"/>
    <n v="0"/>
    <x v="0"/>
    <x v="1"/>
    <s v="FS"/>
    <x v="2"/>
    <m/>
    <m/>
    <m/>
  </r>
  <r>
    <n v="1294"/>
    <s v="SP"/>
    <x v="3"/>
    <x v="11"/>
    <x v="12"/>
    <s v="SERVIÇO"/>
    <x v="1260"/>
    <x v="12"/>
    <n v="19968.05"/>
    <n v="18740.02"/>
    <x v="230"/>
    <x v="6"/>
    <x v="222"/>
    <x v="0"/>
    <n v="0"/>
    <x v="0"/>
    <x v="1"/>
    <s v="FS"/>
    <x v="2"/>
    <m/>
    <m/>
    <m/>
  </r>
  <r>
    <n v="1294"/>
    <s v="SP"/>
    <x v="3"/>
    <x v="11"/>
    <x v="12"/>
    <s v="SERVIÇO"/>
    <x v="1261"/>
    <x v="12"/>
    <n v="220026.66"/>
    <n v="206495.02"/>
    <x v="241"/>
    <x v="9"/>
    <x v="237"/>
    <x v="0"/>
    <n v="0"/>
    <x v="0"/>
    <x v="1"/>
    <s v="FS"/>
    <x v="2"/>
    <m/>
    <m/>
    <m/>
  </r>
  <r>
    <n v="1294"/>
    <s v="SP"/>
    <x v="3"/>
    <x v="11"/>
    <x v="12"/>
    <s v="SERVIÇO"/>
    <x v="1262"/>
    <x v="12"/>
    <n v="123696.3"/>
    <n v="116088.98"/>
    <x v="242"/>
    <x v="9"/>
    <x v="211"/>
    <x v="0"/>
    <n v="0"/>
    <x v="0"/>
    <x v="1"/>
    <s v="FS"/>
    <x v="2"/>
    <m/>
    <m/>
    <m/>
  </r>
  <r>
    <n v="1294"/>
    <s v="SP"/>
    <x v="3"/>
    <x v="11"/>
    <x v="12"/>
    <s v="SERVIÇO"/>
    <x v="1263"/>
    <x v="12"/>
    <n v="247341.23"/>
    <n v="232129.74"/>
    <x v="242"/>
    <x v="9"/>
    <x v="211"/>
    <x v="0"/>
    <n v="0"/>
    <x v="0"/>
    <x v="1"/>
    <s v="FS"/>
    <x v="2"/>
    <m/>
    <m/>
    <m/>
  </r>
  <r>
    <n v="1294"/>
    <s v="SP"/>
    <x v="3"/>
    <x v="11"/>
    <x v="12"/>
    <s v="SERVIÇO"/>
    <x v="1264"/>
    <x v="12"/>
    <n v="116871.65"/>
    <n v="109684.05"/>
    <x v="242"/>
    <x v="9"/>
    <x v="211"/>
    <x v="0"/>
    <n v="0"/>
    <x v="0"/>
    <x v="1"/>
    <s v="FS"/>
    <x v="2"/>
    <m/>
    <m/>
    <m/>
  </r>
  <r>
    <n v="1294"/>
    <s v="SP"/>
    <x v="3"/>
    <x v="11"/>
    <x v="12"/>
    <s v="SERVIÇO"/>
    <x v="1265"/>
    <x v="12"/>
    <n v="167314.19"/>
    <n v="157024.37"/>
    <x v="243"/>
    <x v="9"/>
    <x v="12"/>
    <x v="0"/>
    <n v="0"/>
    <x v="0"/>
    <x v="1"/>
    <s v="FS"/>
    <x v="2"/>
    <m/>
    <m/>
    <m/>
  </r>
  <r>
    <n v="1294"/>
    <s v="SP"/>
    <x v="3"/>
    <x v="11"/>
    <x v="12"/>
    <s v="SERVIÇO"/>
    <x v="1266"/>
    <x v="12"/>
    <n v="185528.51"/>
    <n v="174118.49"/>
    <x v="243"/>
    <x v="9"/>
    <x v="12"/>
    <x v="0"/>
    <n v="0"/>
    <x v="0"/>
    <x v="1"/>
    <s v="FS"/>
    <x v="2"/>
    <m/>
    <m/>
    <m/>
  </r>
  <r>
    <n v="1294"/>
    <s v="SP"/>
    <x v="3"/>
    <x v="11"/>
    <x v="12"/>
    <s v="SERVIÇO"/>
    <x v="1267"/>
    <x v="12"/>
    <n v="86759.91"/>
    <n v="81424.17"/>
    <x v="243"/>
    <x v="9"/>
    <x v="12"/>
    <x v="0"/>
    <n v="0"/>
    <x v="0"/>
    <x v="1"/>
    <s v="FS"/>
    <x v="2"/>
    <m/>
    <m/>
    <m/>
  </r>
  <r>
    <n v="1294"/>
    <s v="SP"/>
    <x v="3"/>
    <x v="11"/>
    <x v="12"/>
    <s v="SERVIÇO"/>
    <x v="1268"/>
    <x v="12"/>
    <n v="86759.91"/>
    <n v="81424.17"/>
    <x v="243"/>
    <x v="9"/>
    <x v="12"/>
    <x v="0"/>
    <n v="0"/>
    <x v="0"/>
    <x v="1"/>
    <s v="FS"/>
    <x v="2"/>
    <m/>
    <m/>
    <m/>
  </r>
  <r>
    <n v="1294"/>
    <s v="SP"/>
    <x v="3"/>
    <x v="11"/>
    <x v="12"/>
    <s v="SERVIÇO"/>
    <x v="1269"/>
    <x v="12"/>
    <n v="181920.64000000001"/>
    <n v="170732.52"/>
    <x v="244"/>
    <x v="16"/>
    <x v="238"/>
    <x v="0"/>
    <n v="0"/>
    <x v="0"/>
    <x v="1"/>
    <s v="FS"/>
    <x v="2"/>
    <m/>
    <m/>
    <m/>
  </r>
  <r>
    <n v="1294"/>
    <s v="SP"/>
    <x v="3"/>
    <x v="11"/>
    <x v="12"/>
    <s v="SERVIÇO"/>
    <x v="1270"/>
    <x v="12"/>
    <n v="53988.63"/>
    <n v="50668.33"/>
    <x v="224"/>
    <x v="16"/>
    <x v="161"/>
    <x v="0"/>
    <n v="0"/>
    <x v="0"/>
    <x v="1"/>
    <s v="FS"/>
    <x v="2"/>
    <m/>
    <m/>
    <m/>
  </r>
  <r>
    <n v="1294"/>
    <s v="SP"/>
    <x v="3"/>
    <x v="11"/>
    <x v="12"/>
    <s v="SERVIÇO"/>
    <x v="1271"/>
    <x v="12"/>
    <n v="192382.64"/>
    <n v="180551.11"/>
    <x v="224"/>
    <x v="16"/>
    <x v="161"/>
    <x v="0"/>
    <n v="0"/>
    <x v="0"/>
    <x v="1"/>
    <s v="FS"/>
    <x v="2"/>
    <m/>
    <m/>
    <m/>
  </r>
  <r>
    <n v="1285"/>
    <s v="SP"/>
    <x v="3"/>
    <x v="11"/>
    <x v="14"/>
    <s v="SERVIÇO"/>
    <x v="1272"/>
    <x v="12"/>
    <n v="25534.32"/>
    <n v="23963.96"/>
    <x v="245"/>
    <x v="9"/>
    <x v="175"/>
    <x v="0"/>
    <n v="0"/>
    <x v="0"/>
    <x v="1"/>
    <s v="FS"/>
    <x v="2"/>
    <m/>
    <m/>
    <m/>
  </r>
  <r>
    <n v="1292"/>
    <s v="SP"/>
    <x v="3"/>
    <x v="3"/>
    <x v="3"/>
    <s v="SERVIÇO"/>
    <x v="1273"/>
    <x v="12"/>
    <n v="34633.19"/>
    <n v="32503.24"/>
    <x v="241"/>
    <x v="9"/>
    <x v="237"/>
    <x v="0"/>
    <n v="0"/>
    <x v="0"/>
    <x v="1"/>
    <s v="FS"/>
    <x v="2"/>
    <m/>
    <m/>
    <m/>
  </r>
  <r>
    <n v="1292"/>
    <s v="SP"/>
    <x v="3"/>
    <x v="3"/>
    <x v="3"/>
    <s v="SERVIÇO"/>
    <x v="1274"/>
    <x v="12"/>
    <n v="31008"/>
    <n v="29101.01"/>
    <x v="241"/>
    <x v="9"/>
    <x v="237"/>
    <x v="0"/>
    <n v="0"/>
    <x v="0"/>
    <x v="1"/>
    <s v="FS"/>
    <x v="2"/>
    <m/>
    <m/>
    <m/>
  </r>
  <r>
    <n v="1292"/>
    <s v="SP"/>
    <x v="3"/>
    <x v="3"/>
    <x v="3"/>
    <s v="SERVIÇO"/>
    <x v="1275"/>
    <x v="12"/>
    <n v="27095.59"/>
    <n v="25429.22"/>
    <x v="205"/>
    <x v="9"/>
    <x v="175"/>
    <x v="0"/>
    <n v="0"/>
    <x v="0"/>
    <x v="1"/>
    <s v="FS"/>
    <x v="2"/>
    <m/>
    <m/>
    <m/>
  </r>
  <r>
    <n v="1292"/>
    <s v="SP"/>
    <x v="3"/>
    <x v="3"/>
    <x v="3"/>
    <s v="SERVIÇO"/>
    <x v="1276"/>
    <x v="12"/>
    <n v="27095.59"/>
    <n v="25429.22"/>
    <x v="205"/>
    <x v="9"/>
    <x v="175"/>
    <x v="0"/>
    <n v="0"/>
    <x v="0"/>
    <x v="1"/>
    <s v="FS"/>
    <x v="2"/>
    <m/>
    <m/>
    <m/>
  </r>
  <r>
    <n v="1292"/>
    <s v="SP"/>
    <x v="3"/>
    <x v="3"/>
    <x v="3"/>
    <s v="SERVIÇO"/>
    <x v="1277"/>
    <x v="12"/>
    <n v="27095.59"/>
    <n v="25429.22"/>
    <x v="205"/>
    <x v="9"/>
    <x v="175"/>
    <x v="0"/>
    <n v="0"/>
    <x v="0"/>
    <x v="1"/>
    <s v="FS"/>
    <x v="2"/>
    <m/>
    <m/>
    <m/>
  </r>
  <r>
    <n v="1292"/>
    <s v="SP"/>
    <x v="3"/>
    <x v="3"/>
    <x v="3"/>
    <s v="SERVIÇO"/>
    <x v="1278"/>
    <x v="12"/>
    <n v="57072"/>
    <n v="53562.07"/>
    <x v="243"/>
    <x v="9"/>
    <x v="12"/>
    <x v="0"/>
    <m/>
    <x v="0"/>
    <x v="1"/>
    <s v="FS"/>
    <x v="2"/>
    <m/>
    <m/>
    <m/>
  </r>
  <r>
    <n v="1507"/>
    <s v="SP"/>
    <x v="3"/>
    <x v="3"/>
    <x v="61"/>
    <s v="SERVIÇO"/>
    <x v="1279"/>
    <x v="12"/>
    <n v="140554.46"/>
    <n v="131910.35999999999"/>
    <x v="145"/>
    <x v="69"/>
    <x v="239"/>
    <x v="0"/>
    <n v="0"/>
    <x v="0"/>
    <x v="1"/>
    <s v="FS"/>
    <x v="2"/>
    <m/>
    <m/>
    <m/>
  </r>
  <r>
    <n v="1507"/>
    <s v="SP"/>
    <x v="3"/>
    <x v="3"/>
    <x v="61"/>
    <s v="SERVIÇO"/>
    <x v="1280"/>
    <x v="12"/>
    <n v="140554.46"/>
    <n v="131910.35999999999"/>
    <x v="145"/>
    <x v="69"/>
    <x v="239"/>
    <x v="0"/>
    <n v="0"/>
    <x v="0"/>
    <x v="1"/>
    <s v="FS"/>
    <x v="2"/>
    <m/>
    <m/>
    <m/>
  </r>
  <r>
    <n v="1507"/>
    <s v="SP"/>
    <x v="3"/>
    <x v="3"/>
    <x v="61"/>
    <s v="SERVIÇO"/>
    <x v="1281"/>
    <x v="12"/>
    <n v="140554.46"/>
    <n v="131910.35999999999"/>
    <x v="145"/>
    <x v="8"/>
    <x v="240"/>
    <x v="0"/>
    <n v="0"/>
    <x v="0"/>
    <x v="1"/>
    <s v="FS"/>
    <x v="2"/>
    <m/>
    <m/>
    <m/>
  </r>
  <r>
    <n v="1507"/>
    <s v="SP"/>
    <x v="3"/>
    <x v="3"/>
    <x v="61"/>
    <s v="SERVIÇO"/>
    <x v="1282"/>
    <x v="12"/>
    <n v="28856.02"/>
    <n v="27081.38"/>
    <x v="145"/>
    <x v="69"/>
    <x v="239"/>
    <x v="0"/>
    <n v="0"/>
    <x v="0"/>
    <x v="1"/>
    <s v="FS"/>
    <x v="2"/>
    <m/>
    <m/>
    <m/>
  </r>
  <r>
    <n v="1507"/>
    <s v="SP"/>
    <x v="3"/>
    <x v="3"/>
    <x v="61"/>
    <s v="SERVIÇO"/>
    <x v="1283"/>
    <x v="12"/>
    <n v="28856.02"/>
    <n v="27081.38"/>
    <x v="145"/>
    <x v="69"/>
    <x v="239"/>
    <x v="0"/>
    <n v="0"/>
    <x v="0"/>
    <x v="1"/>
    <s v="FS"/>
    <x v="2"/>
    <m/>
    <m/>
    <m/>
  </r>
  <r>
    <n v="1507"/>
    <s v="SP"/>
    <x v="3"/>
    <x v="3"/>
    <x v="61"/>
    <s v="SERVIÇO"/>
    <x v="1284"/>
    <x v="12"/>
    <n v="28856.02"/>
    <n v="27081.38"/>
    <x v="145"/>
    <x v="8"/>
    <x v="240"/>
    <x v="0"/>
    <n v="0"/>
    <x v="0"/>
    <x v="1"/>
    <s v="FS"/>
    <x v="2"/>
    <m/>
    <m/>
    <m/>
  </r>
  <r>
    <n v="1507"/>
    <s v="SP"/>
    <x v="3"/>
    <x v="3"/>
    <x v="61"/>
    <s v="SERVIÇO"/>
    <x v="1285"/>
    <x v="17"/>
    <n v="15295.14"/>
    <n v="14354.49"/>
    <x v="246"/>
    <x v="57"/>
    <x v="241"/>
    <x v="0"/>
    <n v="0"/>
    <x v="0"/>
    <x v="1"/>
    <s v="FS"/>
    <x v="2"/>
    <m/>
    <m/>
    <m/>
  </r>
  <r>
    <n v="1507"/>
    <s v="SP"/>
    <x v="3"/>
    <x v="3"/>
    <x v="61"/>
    <s v="SERVIÇO"/>
    <x v="1286"/>
    <x v="12"/>
    <n v="140554.46"/>
    <n v="131910.35999999999"/>
    <x v="247"/>
    <x v="33"/>
    <x v="242"/>
    <x v="0"/>
    <n v="0"/>
    <x v="0"/>
    <x v="1"/>
    <s v="FS"/>
    <x v="2"/>
    <m/>
    <m/>
    <m/>
  </r>
  <r>
    <n v="1507"/>
    <s v="SP"/>
    <x v="3"/>
    <x v="3"/>
    <x v="61"/>
    <s v="SERVIÇO"/>
    <x v="1287"/>
    <x v="12"/>
    <n v="28856.02"/>
    <n v="27081.38"/>
    <x v="247"/>
    <x v="33"/>
    <x v="242"/>
    <x v="0"/>
    <n v="0"/>
    <x v="0"/>
    <x v="1"/>
    <s v="FS"/>
    <x v="2"/>
    <m/>
    <m/>
    <m/>
  </r>
  <r>
    <n v="1507"/>
    <s v="SP"/>
    <x v="3"/>
    <x v="3"/>
    <x v="61"/>
    <s v="SERVIÇO"/>
    <x v="1288"/>
    <x v="19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89"/>
    <x v="19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0"/>
    <x v="19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1"/>
    <x v="19"/>
    <n v="13216.9"/>
    <n v="12404.06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2"/>
    <x v="20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3"/>
    <x v="20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4"/>
    <x v="20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5"/>
    <x v="20"/>
    <n v="13216.9"/>
    <n v="12404.06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6"/>
    <x v="31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7"/>
    <x v="31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8"/>
    <x v="31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299"/>
    <x v="32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300"/>
    <x v="32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301"/>
    <x v="32"/>
    <n v="13216.92"/>
    <n v="12404.08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302"/>
    <x v="32"/>
    <n v="13216.9"/>
    <n v="12404.06"/>
    <x v="186"/>
    <x v="68"/>
    <x v="243"/>
    <x v="0"/>
    <n v="0"/>
    <x v="0"/>
    <x v="1"/>
    <s v="FS"/>
    <x v="2"/>
    <m/>
    <m/>
    <m/>
  </r>
  <r>
    <n v="1507"/>
    <s v="SP"/>
    <x v="3"/>
    <x v="3"/>
    <x v="61"/>
    <s v="SERVIÇO"/>
    <x v="1303"/>
    <x v="31"/>
    <n v="13216.9"/>
    <n v="12404.06"/>
    <x v="248"/>
    <x v="68"/>
    <x v="208"/>
    <x v="0"/>
    <n v="0"/>
    <x v="0"/>
    <x v="1"/>
    <s v="FS"/>
    <x v="2"/>
    <m/>
    <m/>
    <m/>
  </r>
  <r>
    <n v="1507"/>
    <s v="SP"/>
    <x v="3"/>
    <x v="3"/>
    <x v="61"/>
    <s v="SERVIÇO"/>
    <x v="1304"/>
    <x v="20"/>
    <n v="30933.4"/>
    <n v="29031"/>
    <x v="249"/>
    <x v="59"/>
    <x v="189"/>
    <x v="0"/>
    <n v="0"/>
    <x v="0"/>
    <x v="1"/>
    <s v="FS"/>
    <x v="2"/>
    <m/>
    <m/>
    <m/>
  </r>
  <r>
    <n v="1507"/>
    <s v="SP"/>
    <x v="3"/>
    <x v="3"/>
    <x v="61"/>
    <s v="SERVIÇO"/>
    <x v="1305"/>
    <x v="20"/>
    <n v="30933.4"/>
    <n v="29031"/>
    <x v="249"/>
    <x v="59"/>
    <x v="189"/>
    <x v="0"/>
    <n v="0"/>
    <x v="0"/>
    <x v="1"/>
    <s v="FS"/>
    <x v="2"/>
    <m/>
    <m/>
    <m/>
  </r>
  <r>
    <n v="1507"/>
    <s v="SP"/>
    <x v="3"/>
    <x v="3"/>
    <x v="61"/>
    <s v="SERVIÇO"/>
    <x v="1306"/>
    <x v="20"/>
    <n v="30933.4"/>
    <n v="29031"/>
    <x v="249"/>
    <x v="59"/>
    <x v="189"/>
    <x v="0"/>
    <n v="0"/>
    <x v="0"/>
    <x v="1"/>
    <s v="FS"/>
    <x v="2"/>
    <m/>
    <m/>
    <m/>
  </r>
  <r>
    <n v="1507"/>
    <s v="SP"/>
    <x v="3"/>
    <x v="3"/>
    <x v="61"/>
    <s v="SERVIÇO"/>
    <x v="1307"/>
    <x v="20"/>
    <n v="6074.97"/>
    <n v="5701.36"/>
    <x v="249"/>
    <x v="59"/>
    <x v="189"/>
    <x v="0"/>
    <n v="0"/>
    <x v="0"/>
    <x v="1"/>
    <s v="FS"/>
    <x v="2"/>
    <m/>
    <m/>
    <m/>
  </r>
  <r>
    <n v="1507"/>
    <s v="SP"/>
    <x v="3"/>
    <x v="3"/>
    <x v="61"/>
    <s v="SERVIÇO"/>
    <x v="1308"/>
    <x v="20"/>
    <n v="30933.41"/>
    <n v="29031.01"/>
    <x v="249"/>
    <x v="59"/>
    <x v="189"/>
    <x v="0"/>
    <n v="0"/>
    <x v="0"/>
    <x v="1"/>
    <s v="FS"/>
    <x v="2"/>
    <m/>
    <m/>
    <m/>
  </r>
  <r>
    <n v="1507"/>
    <s v="SP"/>
    <x v="3"/>
    <x v="3"/>
    <x v="61"/>
    <s v="SERVIÇO"/>
    <x v="1309"/>
    <x v="20"/>
    <n v="32039"/>
    <n v="30068.6"/>
    <x v="249"/>
    <x v="59"/>
    <x v="189"/>
    <x v="0"/>
    <n v="0"/>
    <x v="0"/>
    <x v="1"/>
    <s v="FS"/>
    <x v="2"/>
    <m/>
    <m/>
    <m/>
  </r>
  <r>
    <n v="1507"/>
    <s v="SP"/>
    <x v="3"/>
    <x v="3"/>
    <x v="61"/>
    <s v="SERVIÇO"/>
    <x v="1310"/>
    <x v="20"/>
    <n v="29590.400000000001"/>
    <n v="27770.59"/>
    <x v="250"/>
    <x v="59"/>
    <x v="244"/>
    <x v="0"/>
    <n v="0"/>
    <x v="0"/>
    <x v="1"/>
    <s v="FS"/>
    <x v="2"/>
    <m/>
    <m/>
    <m/>
  </r>
  <r>
    <n v="1507"/>
    <s v="SP"/>
    <x v="3"/>
    <x v="3"/>
    <x v="61"/>
    <s v="SERVIÇO"/>
    <x v="1311"/>
    <x v="21"/>
    <n v="30933.4"/>
    <n v="29031"/>
    <x v="189"/>
    <x v="60"/>
    <x v="245"/>
    <x v="0"/>
    <n v="0"/>
    <x v="0"/>
    <x v="1"/>
    <s v="FS"/>
    <x v="2"/>
    <m/>
    <m/>
    <m/>
  </r>
  <r>
    <n v="1507"/>
    <s v="SP"/>
    <x v="3"/>
    <x v="3"/>
    <x v="61"/>
    <s v="SERVIÇO"/>
    <x v="1312"/>
    <x v="21"/>
    <n v="30933.4"/>
    <n v="29031"/>
    <x v="189"/>
    <x v="60"/>
    <x v="245"/>
    <x v="0"/>
    <n v="0"/>
    <x v="0"/>
    <x v="1"/>
    <s v="FS"/>
    <x v="2"/>
    <m/>
    <m/>
    <m/>
  </r>
  <r>
    <n v="1507"/>
    <s v="SP"/>
    <x v="3"/>
    <x v="3"/>
    <x v="61"/>
    <s v="SERVIÇO"/>
    <x v="1313"/>
    <x v="21"/>
    <n v="30933.4"/>
    <n v="29031.01"/>
    <x v="189"/>
    <x v="60"/>
    <x v="245"/>
    <x v="0"/>
    <n v="0"/>
    <x v="0"/>
    <x v="1"/>
    <s v="FS"/>
    <x v="2"/>
    <m/>
    <m/>
    <m/>
  </r>
  <r>
    <n v="1507"/>
    <s v="SP"/>
    <x v="3"/>
    <x v="3"/>
    <x v="61"/>
    <s v="SERVIÇO"/>
    <x v="1314"/>
    <x v="21"/>
    <n v="30933.41"/>
    <n v="29031"/>
    <x v="189"/>
    <x v="60"/>
    <x v="245"/>
    <x v="0"/>
    <n v="0"/>
    <x v="0"/>
    <x v="1"/>
    <s v="FS"/>
    <x v="2"/>
    <m/>
    <m/>
    <m/>
  </r>
  <r>
    <n v="1507"/>
    <s v="SP"/>
    <x v="3"/>
    <x v="3"/>
    <x v="61"/>
    <s v="SERVIÇO"/>
    <x v="1315"/>
    <x v="22"/>
    <n v="13216.92"/>
    <n v="12404.08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16"/>
    <x v="22"/>
    <n v="13216.9"/>
    <n v="12404.06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17"/>
    <x v="22"/>
    <n v="13216.92"/>
    <n v="12404.08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18"/>
    <x v="22"/>
    <n v="13216.92"/>
    <n v="12404.08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19"/>
    <x v="22"/>
    <n v="13216.92"/>
    <n v="12404.08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20"/>
    <x v="22"/>
    <n v="13216.9"/>
    <n v="12404.06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21"/>
    <x v="22"/>
    <n v="13216.92"/>
    <n v="12404.08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22"/>
    <x v="22"/>
    <n v="13216.92"/>
    <n v="12404.08"/>
    <x v="251"/>
    <x v="78"/>
    <x v="246"/>
    <x v="0"/>
    <n v="0"/>
    <x v="0"/>
    <x v="1"/>
    <s v="FS"/>
    <x v="2"/>
    <m/>
    <m/>
    <m/>
  </r>
  <r>
    <n v="1507"/>
    <s v="SP"/>
    <x v="3"/>
    <x v="3"/>
    <x v="61"/>
    <s v="SERVIÇO"/>
    <x v="1323"/>
    <x v="22"/>
    <n v="30933.41"/>
    <n v="29031.01"/>
    <x v="252"/>
    <x v="63"/>
    <x v="247"/>
    <x v="0"/>
    <n v="0"/>
    <x v="0"/>
    <x v="1"/>
    <s v="FS"/>
    <x v="2"/>
    <m/>
    <m/>
    <m/>
  </r>
  <r>
    <n v="1507"/>
    <s v="SP"/>
    <x v="3"/>
    <x v="3"/>
    <x v="61"/>
    <s v="SERVIÇO"/>
    <x v="1324"/>
    <x v="22"/>
    <n v="30933.4"/>
    <n v="29031"/>
    <x v="252"/>
    <x v="63"/>
    <x v="247"/>
    <x v="0"/>
    <n v="0"/>
    <x v="0"/>
    <x v="1"/>
    <s v="FS"/>
    <x v="2"/>
    <m/>
    <m/>
    <m/>
  </r>
  <r>
    <n v="1507"/>
    <s v="SP"/>
    <x v="3"/>
    <x v="3"/>
    <x v="61"/>
    <s v="SERVIÇO"/>
    <x v="1325"/>
    <x v="22"/>
    <n v="30933.4"/>
    <n v="29031"/>
    <x v="252"/>
    <x v="63"/>
    <x v="247"/>
    <x v="0"/>
    <n v="0"/>
    <x v="0"/>
    <x v="1"/>
    <s v="FS"/>
    <x v="2"/>
    <m/>
    <m/>
    <m/>
  </r>
  <r>
    <n v="1507"/>
    <s v="SP"/>
    <x v="3"/>
    <x v="3"/>
    <x v="61"/>
    <s v="SERVIÇO"/>
    <x v="1326"/>
    <x v="22"/>
    <n v="30933.4"/>
    <n v="29031"/>
    <x v="252"/>
    <x v="63"/>
    <x v="247"/>
    <x v="0"/>
    <n v="0"/>
    <x v="0"/>
    <x v="1"/>
    <s v="FS"/>
    <x v="2"/>
    <m/>
    <m/>
    <m/>
  </r>
  <r>
    <n v="1507"/>
    <s v="SP"/>
    <x v="3"/>
    <x v="3"/>
    <x v="61"/>
    <s v="SERVIÇO"/>
    <x v="1327"/>
    <x v="23"/>
    <n v="30933.4"/>
    <n v="29031"/>
    <x v="253"/>
    <x v="64"/>
    <x v="236"/>
    <x v="0"/>
    <n v="0"/>
    <x v="0"/>
    <x v="1"/>
    <s v="FS"/>
    <x v="2"/>
    <m/>
    <m/>
    <m/>
  </r>
  <r>
    <n v="1507"/>
    <s v="SP"/>
    <x v="3"/>
    <x v="3"/>
    <x v="61"/>
    <s v="SERVIÇO"/>
    <x v="1328"/>
    <x v="23"/>
    <n v="30933.4"/>
    <n v="29031"/>
    <x v="253"/>
    <x v="64"/>
    <x v="236"/>
    <x v="0"/>
    <n v="0"/>
    <x v="0"/>
    <x v="1"/>
    <s v="FS"/>
    <x v="2"/>
    <m/>
    <m/>
    <m/>
  </r>
  <r>
    <n v="1507"/>
    <s v="SP"/>
    <x v="3"/>
    <x v="3"/>
    <x v="61"/>
    <s v="SERVIÇO"/>
    <x v="1329"/>
    <x v="23"/>
    <n v="30933.4"/>
    <n v="29031"/>
    <x v="253"/>
    <x v="64"/>
    <x v="236"/>
    <x v="0"/>
    <n v="0"/>
    <x v="0"/>
    <x v="1"/>
    <s v="FS"/>
    <x v="2"/>
    <m/>
    <m/>
    <m/>
  </r>
  <r>
    <n v="1507"/>
    <s v="SP"/>
    <x v="3"/>
    <x v="3"/>
    <x v="61"/>
    <s v="SERVIÇO"/>
    <x v="1330"/>
    <x v="23"/>
    <n v="30933.41"/>
    <n v="29031.01"/>
    <x v="253"/>
    <x v="64"/>
    <x v="236"/>
    <x v="0"/>
    <n v="0"/>
    <x v="0"/>
    <x v="1"/>
    <s v="FS"/>
    <x v="2"/>
    <m/>
    <m/>
    <m/>
  </r>
  <r>
    <n v="1507"/>
    <s v="SP"/>
    <x v="3"/>
    <x v="3"/>
    <x v="61"/>
    <s v="SERVIÇO"/>
    <x v="1331"/>
    <x v="23"/>
    <n v="13216.92"/>
    <n v="12404.08"/>
    <x v="253"/>
    <x v="73"/>
    <x v="128"/>
    <x v="2"/>
    <n v="0"/>
    <x v="0"/>
    <x v="1"/>
    <s v="FS"/>
    <x v="2"/>
    <m/>
    <m/>
    <m/>
  </r>
  <r>
    <n v="1507"/>
    <s v="SP"/>
    <x v="3"/>
    <x v="3"/>
    <x v="61"/>
    <s v="SERVIÇO"/>
    <x v="1332"/>
    <x v="23"/>
    <n v="13216.92"/>
    <n v="12404.08"/>
    <x v="253"/>
    <x v="73"/>
    <x v="128"/>
    <x v="2"/>
    <n v="0"/>
    <x v="0"/>
    <x v="1"/>
    <s v="FS"/>
    <x v="2"/>
    <m/>
    <m/>
    <m/>
  </r>
  <r>
    <n v="1507"/>
    <s v="SP"/>
    <x v="3"/>
    <x v="3"/>
    <x v="61"/>
    <s v="SERVIÇO"/>
    <x v="1333"/>
    <x v="23"/>
    <n v="13216.92"/>
    <n v="12404.08"/>
    <x v="253"/>
    <x v="73"/>
    <x v="128"/>
    <x v="2"/>
    <n v="0"/>
    <x v="0"/>
    <x v="1"/>
    <s v="FS"/>
    <x v="2"/>
    <m/>
    <m/>
    <m/>
  </r>
  <r>
    <n v="1507"/>
    <s v="SP"/>
    <x v="3"/>
    <x v="3"/>
    <x v="61"/>
    <s v="SERVIÇO"/>
    <x v="1334"/>
    <x v="23"/>
    <n v="13216.9"/>
    <n v="12404.06"/>
    <x v="253"/>
    <x v="73"/>
    <x v="128"/>
    <x v="2"/>
    <n v="0"/>
    <x v="0"/>
    <x v="1"/>
    <s v="FS"/>
    <x v="2"/>
    <m/>
    <m/>
    <m/>
  </r>
  <r>
    <n v="1507"/>
    <s v="SP"/>
    <x v="3"/>
    <x v="3"/>
    <x v="61"/>
    <s v="SERVIÇO"/>
    <x v="582"/>
    <x v="24"/>
    <n v="550000"/>
    <m/>
    <x v="254"/>
    <x v="79"/>
    <x v="128"/>
    <x v="1"/>
    <n v="0"/>
    <x v="0"/>
    <x v="1"/>
    <s v="FS"/>
    <x v="2"/>
    <m/>
    <m/>
    <m/>
  </r>
  <r>
    <n v="1507"/>
    <s v="SP"/>
    <x v="3"/>
    <x v="3"/>
    <x v="61"/>
    <s v="SERVIÇO"/>
    <x v="582"/>
    <x v="33"/>
    <n v="350000"/>
    <m/>
    <x v="192"/>
    <x v="80"/>
    <x v="128"/>
    <x v="1"/>
    <n v="0"/>
    <x v="0"/>
    <x v="1"/>
    <s v="FS"/>
    <x v="2"/>
    <m/>
    <m/>
    <m/>
  </r>
  <r>
    <n v="1512"/>
    <s v="SP"/>
    <x v="3"/>
    <x v="3"/>
    <x v="63"/>
    <s v="SERVIÇO"/>
    <x v="1335"/>
    <x v="20"/>
    <n v="640.45000000000005"/>
    <n v="601.05999999999995"/>
    <x v="187"/>
    <x v="68"/>
    <x v="248"/>
    <x v="0"/>
    <n v="0"/>
    <x v="0"/>
    <x v="0"/>
    <s v="FS"/>
    <x v="2"/>
    <m/>
    <m/>
    <m/>
  </r>
  <r>
    <n v="1512"/>
    <s v="SP"/>
    <x v="3"/>
    <x v="3"/>
    <x v="63"/>
    <s v="SERVIÇO"/>
    <x v="1336"/>
    <x v="20"/>
    <n v="17292.11"/>
    <n v="16228.65"/>
    <x v="187"/>
    <x v="68"/>
    <x v="248"/>
    <x v="0"/>
    <n v="0"/>
    <x v="0"/>
    <x v="0"/>
    <s v="FS"/>
    <x v="2"/>
    <m/>
    <m/>
    <m/>
  </r>
  <r>
    <n v="1512"/>
    <s v="SP"/>
    <x v="3"/>
    <x v="3"/>
    <x v="63"/>
    <s v="SERVIÇO"/>
    <x v="1337"/>
    <x v="20"/>
    <n v="37786.46"/>
    <n v="35462.589999999997"/>
    <x v="187"/>
    <x v="68"/>
    <x v="248"/>
    <x v="0"/>
    <n v="0"/>
    <x v="0"/>
    <x v="0"/>
    <s v="FS"/>
    <x v="2"/>
    <m/>
    <m/>
    <m/>
  </r>
  <r>
    <n v="1512"/>
    <s v="SP"/>
    <x v="3"/>
    <x v="3"/>
    <x v="63"/>
    <s v="SERVIÇO"/>
    <x v="1338"/>
    <x v="20"/>
    <n v="8325.83"/>
    <n v="7813.79"/>
    <x v="187"/>
    <x v="68"/>
    <x v="248"/>
    <x v="0"/>
    <n v="0"/>
    <x v="0"/>
    <x v="0"/>
    <s v="FS"/>
    <x v="2"/>
    <m/>
    <m/>
    <m/>
  </r>
  <r>
    <n v="1512"/>
    <s v="SP"/>
    <x v="3"/>
    <x v="3"/>
    <x v="63"/>
    <s v="SERVIÇO"/>
    <x v="1339"/>
    <x v="22"/>
    <n v="37786.46"/>
    <n v="35462.589999999997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0"/>
    <x v="22"/>
    <n v="17292.11"/>
    <n v="16228.65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1"/>
    <x v="22"/>
    <n v="640.45000000000005"/>
    <n v="601.05999999999995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2"/>
    <x v="22"/>
    <n v="8325.83"/>
    <n v="7813.79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3"/>
    <x v="22"/>
    <n v="640.45000000000005"/>
    <n v="601.05999999999995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4"/>
    <x v="22"/>
    <n v="8325.83"/>
    <n v="7813.79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5"/>
    <x v="22"/>
    <n v="37786.46"/>
    <n v="35462.589999999997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6"/>
    <x v="22"/>
    <n v="37786.46"/>
    <n v="35462.589999999997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7"/>
    <x v="22"/>
    <n v="17292.11"/>
    <n v="16228.65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8"/>
    <x v="22"/>
    <n v="640.45000000000005"/>
    <n v="601.05999999999995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49"/>
    <x v="22"/>
    <n v="8325.83"/>
    <n v="7813.79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50"/>
    <x v="22"/>
    <n v="17292.11"/>
    <n v="16228.65"/>
    <x v="255"/>
    <x v="78"/>
    <x v="249"/>
    <x v="0"/>
    <n v="0"/>
    <x v="0"/>
    <x v="0"/>
    <s v="FS"/>
    <x v="2"/>
    <m/>
    <m/>
    <m/>
  </r>
  <r>
    <n v="1512"/>
    <s v="SP"/>
    <x v="3"/>
    <x v="3"/>
    <x v="63"/>
    <s v="SERVIÇO"/>
    <x v="1351"/>
    <x v="23"/>
    <n v="4550.55"/>
    <n v="4270.6899999999996"/>
    <x v="253"/>
    <x v="64"/>
    <x v="236"/>
    <x v="0"/>
    <n v="0"/>
    <x v="0"/>
    <x v="0"/>
    <s v="FS"/>
    <x v="2"/>
    <m/>
    <m/>
    <m/>
  </r>
  <r>
    <n v="1512"/>
    <s v="SP"/>
    <x v="3"/>
    <x v="3"/>
    <x v="63"/>
    <s v="SERVIÇO"/>
    <x v="1352"/>
    <x v="23"/>
    <n v="168.54"/>
    <n v="158.16999999999999"/>
    <x v="253"/>
    <x v="64"/>
    <x v="236"/>
    <x v="0"/>
    <n v="0"/>
    <x v="0"/>
    <x v="0"/>
    <s v="FS"/>
    <x v="2"/>
    <m/>
    <m/>
    <m/>
  </r>
  <r>
    <n v="1512"/>
    <s v="SP"/>
    <x v="3"/>
    <x v="3"/>
    <x v="63"/>
    <s v="SERVIÇO"/>
    <x v="1353"/>
    <x v="23"/>
    <n v="2191.0100000000002"/>
    <n v="2056.2600000000002"/>
    <x v="253"/>
    <x v="64"/>
    <x v="236"/>
    <x v="0"/>
    <n v="0"/>
    <x v="0"/>
    <x v="0"/>
    <s v="FS"/>
    <x v="2"/>
    <m/>
    <m/>
    <m/>
  </r>
  <r>
    <n v="1512"/>
    <s v="SP"/>
    <x v="3"/>
    <x v="3"/>
    <x v="63"/>
    <s v="SERVIÇO"/>
    <x v="1354"/>
    <x v="23"/>
    <n v="9943.7900000000009"/>
    <n v="9332.24"/>
    <x v="253"/>
    <x v="64"/>
    <x v="236"/>
    <x v="0"/>
    <n v="0"/>
    <x v="0"/>
    <x v="0"/>
    <s v="FS"/>
    <x v="2"/>
    <m/>
    <m/>
    <m/>
  </r>
  <r>
    <n v="1512"/>
    <s v="SP"/>
    <x v="3"/>
    <x v="3"/>
    <x v="63"/>
    <s v="SERVIÇO"/>
    <x v="582"/>
    <x v="24"/>
    <n v="64045"/>
    <m/>
    <x v="192"/>
    <x v="77"/>
    <x v="128"/>
    <x v="1"/>
    <n v="0"/>
    <x v="0"/>
    <x v="0"/>
    <s v="FS"/>
    <x v="2"/>
    <m/>
    <m/>
    <m/>
  </r>
  <r>
    <n v="1512"/>
    <s v="SP"/>
    <x v="3"/>
    <x v="3"/>
    <x v="63"/>
    <s v="SERVIÇO"/>
    <x v="1355"/>
    <x v="21"/>
    <n v="8325.83"/>
    <n v="7813.79"/>
    <x v="256"/>
    <x v="62"/>
    <x v="192"/>
    <x v="0"/>
    <n v="0"/>
    <x v="0"/>
    <x v="0"/>
    <s v="FS"/>
    <x v="2"/>
    <m/>
    <m/>
    <m/>
  </r>
  <r>
    <n v="1512"/>
    <s v="SP"/>
    <x v="3"/>
    <x v="3"/>
    <x v="63"/>
    <s v="SERVIÇO"/>
    <x v="1356"/>
    <x v="21"/>
    <n v="640.45000000000005"/>
    <n v="601.05999999999995"/>
    <x v="256"/>
    <x v="62"/>
    <x v="192"/>
    <x v="0"/>
    <n v="0"/>
    <x v="0"/>
    <x v="0"/>
    <s v="FS"/>
    <x v="2"/>
    <m/>
    <m/>
    <m/>
  </r>
  <r>
    <n v="1512"/>
    <s v="SP"/>
    <x v="3"/>
    <x v="3"/>
    <x v="63"/>
    <s v="SERVIÇO"/>
    <x v="1357"/>
    <x v="21"/>
    <n v="37786.46"/>
    <n v="35462.589999999997"/>
    <x v="256"/>
    <x v="62"/>
    <x v="192"/>
    <x v="0"/>
    <n v="0"/>
    <x v="0"/>
    <x v="0"/>
    <s v="FS"/>
    <x v="2"/>
    <m/>
    <m/>
    <m/>
  </r>
  <r>
    <n v="1512"/>
    <s v="SP"/>
    <x v="3"/>
    <x v="3"/>
    <x v="63"/>
    <s v="SERVIÇO"/>
    <x v="1358"/>
    <x v="21"/>
    <n v="17292.11"/>
    <n v="16228.65"/>
    <x v="256"/>
    <x v="62"/>
    <x v="192"/>
    <x v="0"/>
    <n v="0"/>
    <x v="0"/>
    <x v="0"/>
    <s v="FS"/>
    <x v="2"/>
    <m/>
    <m/>
    <m/>
  </r>
  <r>
    <n v="1507"/>
    <s v="SP"/>
    <x v="3"/>
    <x v="3"/>
    <x v="61"/>
    <s v="SERVIÇO"/>
    <x v="1359"/>
    <x v="12"/>
    <n v="48434.61"/>
    <n v="45455.88"/>
    <x v="145"/>
    <x v="69"/>
    <x v="239"/>
    <x v="0"/>
    <n v="0"/>
    <x v="0"/>
    <x v="1"/>
    <s v="FS"/>
    <x v="2"/>
    <m/>
    <m/>
    <m/>
  </r>
  <r>
    <n v="1507"/>
    <s v="SP"/>
    <x v="3"/>
    <x v="3"/>
    <x v="61"/>
    <s v="SERVIÇO"/>
    <x v="1360"/>
    <x v="12"/>
    <n v="48434.61"/>
    <n v="45455.88"/>
    <x v="145"/>
    <x v="69"/>
    <x v="239"/>
    <x v="0"/>
    <n v="0"/>
    <x v="0"/>
    <x v="1"/>
    <s v="FS"/>
    <x v="2"/>
    <m/>
    <m/>
    <m/>
  </r>
  <r>
    <n v="1292"/>
    <s v="SP"/>
    <x v="3"/>
    <x v="3"/>
    <x v="3"/>
    <s v="SERVIÇO"/>
    <x v="1361"/>
    <x v="12"/>
    <n v="119185.65"/>
    <n v="111855.74"/>
    <x v="257"/>
    <x v="16"/>
    <x v="232"/>
    <x v="0"/>
    <m/>
    <x v="0"/>
    <x v="1"/>
    <s v="FS"/>
    <x v="2"/>
    <m/>
    <m/>
    <m/>
  </r>
  <r>
    <n v="1387"/>
    <s v="SP"/>
    <x v="3"/>
    <x v="8"/>
    <x v="47"/>
    <s v="SERVIÇO"/>
    <x v="1362"/>
    <x v="17"/>
    <n v="74751.360000000001"/>
    <n v="70154.16"/>
    <x v="146"/>
    <x v="54"/>
    <x v="250"/>
    <x v="0"/>
    <m/>
    <x v="0"/>
    <x v="0"/>
    <s v="FS"/>
    <x v="2"/>
    <m/>
    <m/>
    <m/>
  </r>
  <r>
    <n v="1292"/>
    <s v="SP"/>
    <x v="3"/>
    <x v="3"/>
    <x v="3"/>
    <s v="SERVIÇO"/>
    <x v="1363"/>
    <x v="12"/>
    <n v="6137.45"/>
    <n v="5760"/>
    <x v="224"/>
    <x v="16"/>
    <x v="161"/>
    <x v="0"/>
    <m/>
    <x v="0"/>
    <x v="1"/>
    <s v="FS"/>
    <x v="2"/>
    <m/>
    <m/>
    <m/>
  </r>
  <r>
    <n v="1292"/>
    <s v="SP"/>
    <x v="3"/>
    <x v="3"/>
    <x v="3"/>
    <s v="SERVIÇO"/>
    <x v="1364"/>
    <x v="12"/>
    <n v="6137.45"/>
    <n v="5760"/>
    <x v="224"/>
    <x v="16"/>
    <x v="161"/>
    <x v="0"/>
    <m/>
    <x v="0"/>
    <x v="1"/>
    <s v="FS"/>
    <x v="2"/>
    <m/>
    <m/>
    <m/>
  </r>
  <r>
    <n v="1292"/>
    <s v="SP"/>
    <x v="3"/>
    <x v="3"/>
    <x v="3"/>
    <s v="SERVIÇO"/>
    <x v="1365"/>
    <x v="12"/>
    <n v="6137.45"/>
    <n v="5760"/>
    <x v="224"/>
    <x v="16"/>
    <x v="161"/>
    <x v="0"/>
    <m/>
    <x v="0"/>
    <x v="1"/>
    <s v="FS"/>
    <x v="2"/>
    <m/>
    <m/>
    <m/>
  </r>
  <r>
    <n v="1292"/>
    <s v="SP"/>
    <x v="3"/>
    <x v="3"/>
    <x v="3"/>
    <s v="SERVIÇO"/>
    <x v="1366"/>
    <x v="12"/>
    <n v="6137.45"/>
    <n v="5760"/>
    <x v="224"/>
    <x v="16"/>
    <x v="161"/>
    <x v="0"/>
    <m/>
    <x v="0"/>
    <x v="1"/>
    <s v="FS"/>
    <x v="2"/>
    <m/>
    <m/>
    <m/>
  </r>
  <r>
    <n v="1484"/>
    <s v="SP"/>
    <x v="3"/>
    <x v="3"/>
    <x v="42"/>
    <s v="SERVIÇO"/>
    <x v="1367"/>
    <x v="12"/>
    <n v="36601.06"/>
    <n v="34350.089999999997"/>
    <x v="224"/>
    <x v="16"/>
    <x v="161"/>
    <x v="0"/>
    <n v="0"/>
    <x v="0"/>
    <x v="2"/>
    <s v="FS"/>
    <x v="2"/>
    <m/>
    <m/>
    <m/>
  </r>
  <r>
    <n v="1484"/>
    <s v="SP"/>
    <x v="3"/>
    <x v="3"/>
    <x v="42"/>
    <s v="SERVIÇO"/>
    <x v="1368"/>
    <x v="12"/>
    <n v="42265.08"/>
    <n v="39665.769999999997"/>
    <x v="224"/>
    <x v="54"/>
    <x v="231"/>
    <x v="0"/>
    <n v="0"/>
    <x v="0"/>
    <x v="2"/>
    <s v="FS"/>
    <x v="2"/>
    <m/>
    <m/>
    <m/>
  </r>
  <r>
    <n v="1398"/>
    <s v="MATRIZ"/>
    <x v="4"/>
    <x v="1"/>
    <x v="1"/>
    <s v="SERVIÇO"/>
    <x v="1369"/>
    <x v="6"/>
    <n v="22241.65"/>
    <n v="20873.79"/>
    <x v="213"/>
    <x v="54"/>
    <x v="250"/>
    <x v="0"/>
    <n v="0"/>
    <x v="0"/>
    <x v="0"/>
    <s v="UT"/>
    <x v="0"/>
    <m/>
    <m/>
    <m/>
  </r>
  <r>
    <n v="1398"/>
    <s v="MATRIZ"/>
    <x v="4"/>
    <x v="1"/>
    <x v="1"/>
    <s v="SERVIÇO"/>
    <x v="1370"/>
    <x v="7"/>
    <n v="22241.65"/>
    <n v="20873.79"/>
    <x v="6"/>
    <x v="54"/>
    <x v="250"/>
    <x v="0"/>
    <n v="0"/>
    <x v="0"/>
    <x v="0"/>
    <s v="UT"/>
    <x v="0"/>
    <m/>
    <m/>
    <m/>
  </r>
  <r>
    <n v="1398"/>
    <s v="MATRIZ"/>
    <x v="4"/>
    <x v="1"/>
    <x v="1"/>
    <s v="SERVIÇO"/>
    <x v="1371"/>
    <x v="12"/>
    <n v="40000"/>
    <n v="37540"/>
    <x v="232"/>
    <x v="69"/>
    <x v="251"/>
    <x v="0"/>
    <n v="0"/>
    <x v="0"/>
    <x v="0"/>
    <s v="UT"/>
    <x v="0"/>
    <m/>
    <m/>
    <m/>
  </r>
  <r>
    <n v="1398"/>
    <s v="MATRIZ"/>
    <x v="4"/>
    <x v="1"/>
    <x v="1"/>
    <s v="SERVIÇO"/>
    <x v="1372"/>
    <x v="12"/>
    <n v="38934"/>
    <n v="36539.56"/>
    <x v="231"/>
    <x v="69"/>
    <x v="230"/>
    <x v="0"/>
    <n v="0"/>
    <x v="0"/>
    <x v="0"/>
    <s v="UT"/>
    <x v="0"/>
    <m/>
    <m/>
    <m/>
  </r>
  <r>
    <n v="1398"/>
    <s v="MATRIZ"/>
    <x v="4"/>
    <x v="1"/>
    <x v="1"/>
    <s v="SERVIÇO"/>
    <x v="1373"/>
    <x v="12"/>
    <n v="26093.54"/>
    <n v="24488.79"/>
    <x v="243"/>
    <x v="54"/>
    <x v="250"/>
    <x v="0"/>
    <n v="0"/>
    <x v="0"/>
    <x v="0"/>
    <s v="UT"/>
    <x v="0"/>
    <m/>
    <m/>
    <m/>
  </r>
  <r>
    <n v="1398"/>
    <s v="MATRIZ"/>
    <x v="4"/>
    <x v="1"/>
    <x v="1"/>
    <s v="SERVIÇO"/>
    <x v="1374"/>
    <x v="34"/>
    <n v="25600"/>
    <n v="24025.599999999999"/>
    <x v="244"/>
    <x v="71"/>
    <x v="252"/>
    <x v="0"/>
    <n v="0"/>
    <x v="0"/>
    <x v="0"/>
    <s v="UT"/>
    <x v="0"/>
    <m/>
    <m/>
    <m/>
  </r>
  <r>
    <n v="1398"/>
    <s v="MATRIZ"/>
    <x v="4"/>
    <x v="1"/>
    <x v="1"/>
    <s v="SERVIÇO"/>
    <x v="1375"/>
    <x v="17"/>
    <n v="13916.55"/>
    <n v="13060.68"/>
    <x v="159"/>
    <x v="52"/>
    <x v="253"/>
    <x v="0"/>
    <n v="0"/>
    <x v="0"/>
    <x v="0"/>
    <s v="UT"/>
    <x v="0"/>
    <m/>
    <m/>
    <m/>
  </r>
  <r>
    <n v="1398"/>
    <s v="MATRIZ"/>
    <x v="4"/>
    <x v="1"/>
    <x v="1"/>
    <s v="SERVIÇO"/>
    <x v="1376"/>
    <x v="17"/>
    <n v="40490.559999999998"/>
    <n v="38000.39"/>
    <x v="258"/>
    <x v="81"/>
    <x v="254"/>
    <x v="0"/>
    <n v="0"/>
    <x v="0"/>
    <x v="0"/>
    <s v="UT"/>
    <x v="0"/>
    <m/>
    <m/>
    <m/>
  </r>
  <r>
    <n v="1398"/>
    <s v="MATRIZ"/>
    <x v="4"/>
    <x v="1"/>
    <x v="1"/>
    <s v="SERVIÇO"/>
    <x v="1377"/>
    <x v="17"/>
    <n v="11862.21"/>
    <n v="11132.69"/>
    <x v="258"/>
    <x v="81"/>
    <x v="254"/>
    <x v="0"/>
    <n v="0"/>
    <x v="0"/>
    <x v="0"/>
    <s v="UT"/>
    <x v="0"/>
    <m/>
    <m/>
    <m/>
  </r>
  <r>
    <n v="1391"/>
    <s v="SP"/>
    <x v="3"/>
    <x v="11"/>
    <x v="11"/>
    <s v="SERVIÇO"/>
    <x v="1378"/>
    <x v="17"/>
    <n v="105978.6"/>
    <n v="99460.92"/>
    <x v="160"/>
    <x v="54"/>
    <x v="255"/>
    <x v="0"/>
    <n v="0"/>
    <x v="0"/>
    <x v="1"/>
    <s v="FS"/>
    <x v="2"/>
    <m/>
    <m/>
    <m/>
  </r>
  <r>
    <n v="1393"/>
    <s v="MATRIZ"/>
    <x v="2"/>
    <x v="27"/>
    <x v="15"/>
    <s v="SERVIÇO"/>
    <x v="1379"/>
    <x v="12"/>
    <n v="468378.53"/>
    <n v="420135.54"/>
    <x v="242"/>
    <x v="16"/>
    <x v="161"/>
    <x v="0"/>
    <n v="0"/>
    <x v="0"/>
    <x v="0"/>
    <s v="PS"/>
    <x v="1"/>
    <m/>
    <m/>
    <m/>
  </r>
  <r>
    <n v="1476"/>
    <s v="MATRIZ"/>
    <x v="2"/>
    <x v="13"/>
    <x v="16"/>
    <s v="SERVIÇO"/>
    <x v="1380"/>
    <x v="12"/>
    <n v="3445.36"/>
    <n v="3090.48"/>
    <x v="241"/>
    <x v="54"/>
    <x v="231"/>
    <x v="0"/>
    <m/>
    <x v="0"/>
    <x v="0"/>
    <s v="PS"/>
    <x v="1"/>
    <m/>
    <m/>
    <m/>
  </r>
  <r>
    <n v="1476"/>
    <s v="MATRIZ"/>
    <x v="2"/>
    <x v="13"/>
    <x v="16"/>
    <s v="SERVIÇO"/>
    <x v="1381"/>
    <x v="12"/>
    <n v="334117.52"/>
    <n v="299703.42"/>
    <x v="241"/>
    <x v="16"/>
    <x v="161"/>
    <x v="0"/>
    <m/>
    <x v="0"/>
    <x v="0"/>
    <s v="PS"/>
    <x v="1"/>
    <m/>
    <m/>
    <m/>
  </r>
  <r>
    <n v="1296"/>
    <s v="MATRIZ"/>
    <x v="8"/>
    <x v="4"/>
    <x v="34"/>
    <s v="SERVIÇO"/>
    <x v="1382"/>
    <x v="12"/>
    <n v="894735.18"/>
    <n v="821814.26"/>
    <x v="259"/>
    <x v="52"/>
    <x v="253"/>
    <x v="0"/>
    <m/>
    <x v="0"/>
    <x v="0"/>
    <s v="UT"/>
    <x v="0"/>
    <m/>
    <m/>
    <m/>
  </r>
  <r>
    <n v="1300"/>
    <s v="HUB"/>
    <x v="8"/>
    <x v="4"/>
    <x v="4"/>
    <s v="SERVIÇO"/>
    <x v="1383"/>
    <x v="12"/>
    <n v="37210.160000000003"/>
    <n v="34177.53"/>
    <x v="194"/>
    <x v="8"/>
    <x v="240"/>
    <x v="0"/>
    <n v="0"/>
    <x v="0"/>
    <x v="0"/>
    <s v="UT"/>
    <x v="0"/>
    <m/>
    <m/>
    <m/>
  </r>
  <r>
    <n v="1300"/>
    <s v="HUB"/>
    <x v="8"/>
    <x v="4"/>
    <x v="4"/>
    <s v="SERVIÇO"/>
    <x v="1384"/>
    <x v="12"/>
    <n v="287717.94"/>
    <n v="264268.92"/>
    <x v="257"/>
    <x v="54"/>
    <x v="231"/>
    <x v="0"/>
    <n v="0"/>
    <x v="0"/>
    <x v="0"/>
    <s v="UT"/>
    <x v="0"/>
    <m/>
    <m/>
    <m/>
  </r>
  <r>
    <n v="1290"/>
    <s v="MATRIZ"/>
    <x v="2"/>
    <x v="14"/>
    <x v="17"/>
    <s v="SERVIÇO"/>
    <x v="1385"/>
    <x v="12"/>
    <n v="10835.2"/>
    <n v="9572.9"/>
    <x v="240"/>
    <x v="8"/>
    <x v="240"/>
    <x v="0"/>
    <n v="0"/>
    <x v="0"/>
    <x v="0"/>
    <s v="UT"/>
    <x v="1"/>
    <m/>
    <m/>
    <m/>
  </r>
  <r>
    <n v="1290"/>
    <s v="MATRIZ"/>
    <x v="2"/>
    <x v="14"/>
    <x v="17"/>
    <s v="SERVIÇO"/>
    <x v="1386"/>
    <x v="12"/>
    <n v="55929.99"/>
    <n v="49414.15"/>
    <x v="240"/>
    <x v="8"/>
    <x v="240"/>
    <x v="0"/>
    <n v="0"/>
    <x v="0"/>
    <x v="0"/>
    <s v="UT"/>
    <x v="1"/>
    <m/>
    <m/>
    <m/>
  </r>
  <r>
    <n v="1490"/>
    <s v="MATRIZ"/>
    <x v="2"/>
    <x v="14"/>
    <x v="43"/>
    <s v="SERVIÇO"/>
    <x v="1387"/>
    <x v="12"/>
    <n v="2300"/>
    <n v="2032.05"/>
    <x v="194"/>
    <x v="8"/>
    <x v="240"/>
    <x v="0"/>
    <n v="0"/>
    <x v="0"/>
    <x v="0"/>
    <s v="UT"/>
    <x v="1"/>
    <m/>
    <m/>
    <m/>
  </r>
  <r>
    <n v="1480"/>
    <s v="SP"/>
    <x v="4"/>
    <x v="31"/>
    <x v="56"/>
    <s v="SERVIÇO"/>
    <x v="1388"/>
    <x v="12"/>
    <n v="514141"/>
    <n v="482521.32"/>
    <x v="205"/>
    <x v="8"/>
    <x v="240"/>
    <x v="0"/>
    <m/>
    <x v="0"/>
    <x v="1"/>
    <s v="FS"/>
    <x v="0"/>
    <m/>
    <m/>
    <m/>
  </r>
  <r>
    <n v="1475"/>
    <s v="MATRIZ"/>
    <x v="6"/>
    <x v="15"/>
    <x v="18"/>
    <s v="SERVIÇO"/>
    <x v="1389"/>
    <x v="12"/>
    <n v="86064.83"/>
    <n v="77200.149999999994"/>
    <x v="194"/>
    <x v="9"/>
    <x v="175"/>
    <x v="0"/>
    <n v="0"/>
    <x v="0"/>
    <x v="1"/>
    <s v="PS"/>
    <x v="3"/>
    <m/>
    <m/>
    <m/>
  </r>
  <r>
    <n v="1472"/>
    <s v="SP"/>
    <x v="3"/>
    <x v="28"/>
    <x v="44"/>
    <s v="SERVIÇO"/>
    <x v="1390"/>
    <x v="12"/>
    <n v="60316.65"/>
    <n v="56607.17"/>
    <x v="145"/>
    <x v="7"/>
    <x v="8"/>
    <x v="0"/>
    <m/>
    <x v="0"/>
    <x v="2"/>
    <s v="FS"/>
    <x v="2"/>
    <m/>
    <m/>
    <m/>
  </r>
  <r>
    <n v="1378"/>
    <s v="MATRIZ"/>
    <x v="4"/>
    <x v="5"/>
    <x v="5"/>
    <s v="SERVIÇO"/>
    <x v="1391"/>
    <x v="12"/>
    <n v="4281.29"/>
    <n v="4017.99"/>
    <x v="159"/>
    <x v="54"/>
    <x v="231"/>
    <x v="0"/>
    <n v="0"/>
    <x v="0"/>
    <x v="2"/>
    <s v="FS"/>
    <x v="0"/>
    <s v="SIM"/>
    <s v="FATURADO - A RECEBER"/>
    <m/>
  </r>
  <r>
    <n v="1247"/>
    <s v="MATRIZ"/>
    <x v="2"/>
    <x v="29"/>
    <x v="45"/>
    <s v="SERVIÇO"/>
    <x v="1392"/>
    <x v="12"/>
    <n v="38395.360000000001"/>
    <n v="34440.629999999997"/>
    <x v="235"/>
    <x v="69"/>
    <x v="239"/>
    <x v="0"/>
    <n v="0"/>
    <x v="0"/>
    <x v="0"/>
    <s v="PS"/>
    <x v="1"/>
    <m/>
    <m/>
    <m/>
  </r>
  <r>
    <n v="1358"/>
    <s v="MATRIZ"/>
    <x v="2"/>
    <x v="16"/>
    <x v="19"/>
    <s v="SERVIÇO"/>
    <x v="1393"/>
    <x v="12"/>
    <n v="89150.64"/>
    <n v="79968.13"/>
    <x v="243"/>
    <x v="16"/>
    <x v="50"/>
    <x v="0"/>
    <m/>
    <x v="0"/>
    <x v="0"/>
    <s v="PS"/>
    <x v="1"/>
    <m/>
    <m/>
    <m/>
  </r>
  <r>
    <n v="1358"/>
    <s v="MATRIZ"/>
    <x v="2"/>
    <x v="16"/>
    <x v="19"/>
    <s v="SERVIÇO"/>
    <x v="1394"/>
    <x v="12"/>
    <n v="7649.4"/>
    <n v="6861.51"/>
    <x v="159"/>
    <x v="8"/>
    <x v="256"/>
    <x v="0"/>
    <m/>
    <x v="0"/>
    <x v="0"/>
    <s v="PS"/>
    <x v="1"/>
    <m/>
    <m/>
    <m/>
  </r>
  <r>
    <n v="1473"/>
    <s v="MATRIZ"/>
    <x v="2"/>
    <x v="17"/>
    <x v="20"/>
    <s v="SERVIÇO"/>
    <x v="1395"/>
    <x v="12"/>
    <n v="236280.79"/>
    <n v="220210.23"/>
    <x v="234"/>
    <x v="54"/>
    <x v="162"/>
    <x v="0"/>
    <n v="0"/>
    <x v="0"/>
    <x v="0"/>
    <s v="PS"/>
    <x v="1"/>
    <m/>
    <m/>
    <m/>
  </r>
  <r>
    <n v="1462"/>
    <s v="MATRIZ"/>
    <x v="1"/>
    <x v="1"/>
    <x v="21"/>
    <s v="SERVIÇO"/>
    <x v="1396"/>
    <x v="12"/>
    <n v="800"/>
    <n v="750.8"/>
    <x v="145"/>
    <x v="6"/>
    <x v="7"/>
    <x v="0"/>
    <n v="0"/>
    <x v="0"/>
    <x v="0"/>
    <s v="UT"/>
    <x v="0"/>
    <m/>
    <m/>
    <m/>
  </r>
  <r>
    <n v="1390"/>
    <s v="HUB"/>
    <x v="8"/>
    <x v="0"/>
    <x v="0"/>
    <s v="SERVIÇO"/>
    <x v="1397"/>
    <x v="16"/>
    <n v="146995.45000000001"/>
    <n v="129870.48"/>
    <x v="159"/>
    <x v="71"/>
    <x v="257"/>
    <x v="0"/>
    <m/>
    <x v="0"/>
    <x v="0"/>
    <s v="UT"/>
    <x v="0"/>
    <m/>
    <m/>
    <m/>
  </r>
  <r>
    <n v="1390"/>
    <s v="HUB"/>
    <x v="8"/>
    <x v="0"/>
    <x v="0"/>
    <s v="SERVIÇO"/>
    <x v="1398"/>
    <x v="34"/>
    <n v="147014.88"/>
    <n v="129887.65"/>
    <x v="260"/>
    <x v="60"/>
    <x v="258"/>
    <x v="0"/>
    <m/>
    <x v="0"/>
    <x v="0"/>
    <s v="UT"/>
    <x v="0"/>
    <m/>
    <m/>
    <m/>
  </r>
  <r>
    <n v="1390"/>
    <s v="HUB"/>
    <x v="8"/>
    <x v="0"/>
    <x v="0"/>
    <s v="SERVIÇO"/>
    <x v="1399"/>
    <x v="29"/>
    <n v="120533.74"/>
    <n v="106491.56"/>
    <x v="261"/>
    <x v="60"/>
    <x v="258"/>
    <x v="0"/>
    <m/>
    <x v="0"/>
    <x v="0"/>
    <s v="UT"/>
    <x v="0"/>
    <m/>
    <m/>
    <m/>
  </r>
  <r>
    <n v="1390"/>
    <s v="HUB"/>
    <x v="8"/>
    <x v="0"/>
    <x v="0"/>
    <s v="SERVIÇO"/>
    <x v="1400"/>
    <x v="30"/>
    <n v="94052.6"/>
    <n v="83095.47"/>
    <x v="262"/>
    <x v="82"/>
    <x v="259"/>
    <x v="0"/>
    <m/>
    <x v="0"/>
    <x v="0"/>
    <s v="UT"/>
    <x v="0"/>
    <m/>
    <m/>
    <m/>
  </r>
  <r>
    <n v="1390"/>
    <s v="HUB"/>
    <x v="8"/>
    <x v="0"/>
    <x v="0"/>
    <s v="SERVIÇO"/>
    <x v="1401"/>
    <x v="21"/>
    <n v="94072.03"/>
    <n v="83112.639999999999"/>
    <x v="263"/>
    <x v="82"/>
    <x v="259"/>
    <x v="0"/>
    <m/>
    <x v="0"/>
    <x v="0"/>
    <s v="UT"/>
    <x v="0"/>
    <m/>
    <m/>
    <m/>
  </r>
  <r>
    <n v="1390"/>
    <s v="HUB"/>
    <x v="8"/>
    <x v="0"/>
    <x v="0"/>
    <s v="SERVIÇO"/>
    <x v="1402"/>
    <x v="22"/>
    <n v="94072.03"/>
    <n v="83112.639999999999"/>
    <x v="264"/>
    <x v="66"/>
    <x v="128"/>
    <x v="2"/>
    <m/>
    <x v="0"/>
    <x v="0"/>
    <s v="UT"/>
    <x v="0"/>
    <m/>
    <m/>
    <m/>
  </r>
  <r>
    <n v="1390"/>
    <s v="HUB"/>
    <x v="8"/>
    <x v="0"/>
    <x v="0"/>
    <s v="SERVIÇO"/>
    <x v="1403"/>
    <x v="23"/>
    <n v="25620.82"/>
    <n v="22635.99"/>
    <x v="265"/>
    <x v="80"/>
    <x v="128"/>
    <x v="2"/>
    <m/>
    <x v="0"/>
    <x v="0"/>
    <s v="UT"/>
    <x v="0"/>
    <m/>
    <m/>
    <m/>
  </r>
  <r>
    <n v="1390"/>
    <s v="HUB"/>
    <x v="8"/>
    <x v="0"/>
    <x v="0"/>
    <s v="SERVIÇO"/>
    <x v="1404"/>
    <x v="23"/>
    <n v="16000"/>
    <n v="14136"/>
    <x v="265"/>
    <x v="80"/>
    <x v="128"/>
    <x v="2"/>
    <m/>
    <x v="0"/>
    <x v="0"/>
    <s v="UT"/>
    <x v="0"/>
    <m/>
    <m/>
    <m/>
  </r>
  <r>
    <n v="1260"/>
    <s v="SP"/>
    <x v="4"/>
    <x v="19"/>
    <x v="22"/>
    <s v="SERVIÇO"/>
    <x v="1405"/>
    <x v="12"/>
    <n v="10914"/>
    <n v="10242.790000000001"/>
    <x v="145"/>
    <x v="9"/>
    <x v="175"/>
    <x v="0"/>
    <n v="0"/>
    <x v="0"/>
    <x v="1"/>
    <s v="MS"/>
    <x v="0"/>
    <m/>
    <m/>
    <m/>
  </r>
  <r>
    <n v="1482"/>
    <s v="MATRIZ"/>
    <x v="8"/>
    <x v="4"/>
    <x v="23"/>
    <s v="SERVIÇO"/>
    <x v="1406"/>
    <x v="12"/>
    <n v="39000"/>
    <n v="35236.5"/>
    <x v="240"/>
    <x v="16"/>
    <x v="161"/>
    <x v="0"/>
    <m/>
    <x v="0"/>
    <x v="0"/>
    <s v="UT"/>
    <x v="0"/>
    <m/>
    <m/>
    <m/>
  </r>
  <r>
    <n v="1262"/>
    <s v="SP"/>
    <x v="4"/>
    <x v="20"/>
    <x v="24"/>
    <s v="SERVIÇO"/>
    <x v="1407"/>
    <x v="12"/>
    <n v="37838.49"/>
    <n v="35511.43"/>
    <x v="171"/>
    <x v="9"/>
    <x v="12"/>
    <x v="0"/>
    <n v="0"/>
    <x v="0"/>
    <x v="1"/>
    <s v="FS"/>
    <x v="0"/>
    <m/>
    <m/>
    <m/>
  </r>
  <r>
    <n v="1262"/>
    <s v="SP"/>
    <x v="4"/>
    <x v="20"/>
    <x v="24"/>
    <s v="SERVIÇO"/>
    <x v="1408"/>
    <x v="12"/>
    <n v="22804.36"/>
    <n v="21401.89"/>
    <x v="171"/>
    <x v="9"/>
    <x v="12"/>
    <x v="0"/>
    <n v="0"/>
    <x v="0"/>
    <x v="1"/>
    <s v="FS"/>
    <x v="0"/>
    <m/>
    <m/>
    <m/>
  </r>
  <r>
    <n v="1262"/>
    <s v="SP"/>
    <x v="4"/>
    <x v="20"/>
    <x v="24"/>
    <s v="SERVIÇO"/>
    <x v="1409"/>
    <x v="12"/>
    <n v="19097.88"/>
    <n v="17923.349999999999"/>
    <x v="171"/>
    <x v="9"/>
    <x v="12"/>
    <x v="0"/>
    <n v="0"/>
    <x v="0"/>
    <x v="1"/>
    <s v="FS"/>
    <x v="0"/>
    <m/>
    <m/>
    <m/>
  </r>
  <r>
    <n v="1262"/>
    <s v="SP"/>
    <x v="4"/>
    <x v="20"/>
    <x v="24"/>
    <s v="SERVIÇO"/>
    <x v="1410"/>
    <x v="12"/>
    <n v="59313.83"/>
    <n v="55666.03"/>
    <x v="171"/>
    <x v="9"/>
    <x v="12"/>
    <x v="0"/>
    <n v="0"/>
    <x v="0"/>
    <x v="1"/>
    <s v="FS"/>
    <x v="0"/>
    <m/>
    <m/>
    <m/>
  </r>
  <r>
    <n v="1262"/>
    <s v="SP"/>
    <x v="4"/>
    <x v="20"/>
    <x v="24"/>
    <s v="SERVIÇO"/>
    <x v="1411"/>
    <x v="12"/>
    <n v="8184.81"/>
    <n v="7681.45"/>
    <x v="171"/>
    <x v="9"/>
    <x v="12"/>
    <x v="0"/>
    <n v="0"/>
    <x v="0"/>
    <x v="1"/>
    <s v="FS"/>
    <x v="0"/>
    <m/>
    <m/>
    <m/>
  </r>
  <r>
    <n v="1269"/>
    <s v="SP"/>
    <x v="4"/>
    <x v="20"/>
    <x v="25"/>
    <s v="SERVIÇO"/>
    <x v="1412"/>
    <x v="12"/>
    <n v="256578.23"/>
    <n v="240798.67"/>
    <x v="171"/>
    <x v="9"/>
    <x v="12"/>
    <x v="0"/>
    <n v="0"/>
    <x v="0"/>
    <x v="0"/>
    <s v="FS"/>
    <x v="0"/>
    <m/>
    <m/>
    <m/>
  </r>
  <r>
    <n v="1269"/>
    <s v="SP"/>
    <x v="4"/>
    <x v="20"/>
    <x v="25"/>
    <s v="SERVIÇO"/>
    <x v="1413"/>
    <x v="12"/>
    <n v="10876.23"/>
    <n v="10207.34"/>
    <x v="171"/>
    <x v="9"/>
    <x v="12"/>
    <x v="0"/>
    <n v="0"/>
    <x v="0"/>
    <x v="0"/>
    <s v="FS"/>
    <x v="0"/>
    <m/>
    <m/>
    <m/>
  </r>
  <r>
    <n v="1269"/>
    <s v="SP"/>
    <x v="4"/>
    <x v="20"/>
    <x v="25"/>
    <s v="SERVIÇO"/>
    <x v="1414"/>
    <x v="12"/>
    <n v="6655.99"/>
    <n v="6246.65"/>
    <x v="171"/>
    <x v="9"/>
    <x v="12"/>
    <x v="0"/>
    <n v="0"/>
    <x v="0"/>
    <x v="0"/>
    <s v="FS"/>
    <x v="0"/>
    <m/>
    <m/>
    <m/>
  </r>
  <r>
    <n v="1269"/>
    <s v="SP"/>
    <x v="4"/>
    <x v="20"/>
    <x v="25"/>
    <s v="SERVIÇO"/>
    <x v="1415"/>
    <x v="12"/>
    <n v="30699.39"/>
    <n v="28811.38"/>
    <x v="171"/>
    <x v="9"/>
    <x v="12"/>
    <x v="0"/>
    <n v="0"/>
    <x v="0"/>
    <x v="0"/>
    <s v="FS"/>
    <x v="0"/>
    <m/>
    <m/>
    <m/>
  </r>
  <r>
    <n v="1400"/>
    <s v="SP"/>
    <x v="7"/>
    <x v="21"/>
    <x v="26"/>
    <s v="SERVIÇO"/>
    <x v="1416"/>
    <x v="12"/>
    <n v="77751.44"/>
    <n v="70248.44"/>
    <x v="171"/>
    <x v="16"/>
    <x v="50"/>
    <x v="0"/>
    <m/>
    <x v="0"/>
    <x v="1"/>
    <s v="UT"/>
    <x v="2"/>
    <m/>
    <m/>
    <m/>
  </r>
  <r>
    <n v="1400"/>
    <s v="SP"/>
    <x v="7"/>
    <x v="21"/>
    <x v="26"/>
    <s v="SERVIÇO"/>
    <x v="1417"/>
    <x v="12"/>
    <n v="578936.85"/>
    <n v="523069.44"/>
    <x v="146"/>
    <x v="16"/>
    <x v="50"/>
    <x v="0"/>
    <m/>
    <x v="0"/>
    <x v="1"/>
    <s v="UT"/>
    <x v="2"/>
    <m/>
    <m/>
    <m/>
  </r>
  <r>
    <n v="1400"/>
    <s v="SP"/>
    <x v="7"/>
    <x v="21"/>
    <x v="26"/>
    <s v="SERVIÇO"/>
    <x v="1418"/>
    <x v="17"/>
    <n v="639761.97"/>
    <n v="578024.93999999994"/>
    <x v="234"/>
    <x v="54"/>
    <x v="255"/>
    <x v="0"/>
    <m/>
    <x v="0"/>
    <x v="1"/>
    <s v="UT"/>
    <x v="2"/>
    <m/>
    <m/>
    <m/>
  </r>
  <r>
    <n v="1501"/>
    <s v="SP"/>
    <x v="7"/>
    <x v="21"/>
    <x v="59"/>
    <s v="SERVIÇO"/>
    <x v="1419"/>
    <x v="12"/>
    <n v="428275"/>
    <n v="386946.45"/>
    <x v="171"/>
    <x v="16"/>
    <x v="50"/>
    <x v="0"/>
    <n v="0"/>
    <x v="0"/>
    <x v="0"/>
    <s v="UT"/>
    <x v="2"/>
    <m/>
    <m/>
    <m/>
  </r>
  <r>
    <n v="1501"/>
    <s v="SP"/>
    <x v="7"/>
    <x v="21"/>
    <x v="59"/>
    <s v="SERVIÇO"/>
    <x v="1420"/>
    <x v="17"/>
    <n v="620073.25"/>
    <n v="560236.18000000005"/>
    <x v="246"/>
    <x v="54"/>
    <x v="255"/>
    <x v="0"/>
    <m/>
    <x v="0"/>
    <x v="0"/>
    <s v="UT"/>
    <x v="2"/>
    <m/>
    <m/>
    <m/>
  </r>
  <r>
    <n v="1501"/>
    <s v="SP"/>
    <x v="7"/>
    <x v="21"/>
    <x v="59"/>
    <s v="SERVIÇO"/>
    <x v="1421"/>
    <x v="19"/>
    <n v="446333.25"/>
    <n v="403262.09"/>
    <x v="266"/>
    <x v="74"/>
    <x v="260"/>
    <x v="0"/>
    <m/>
    <x v="0"/>
    <x v="0"/>
    <s v="UT"/>
    <x v="2"/>
    <m/>
    <m/>
    <m/>
  </r>
  <r>
    <n v="1501"/>
    <s v="SP"/>
    <x v="7"/>
    <x v="21"/>
    <x v="59"/>
    <s v="SERVIÇO"/>
    <x v="1422"/>
    <x v="30"/>
    <n v="454812"/>
    <n v="410922.64"/>
    <x v="262"/>
    <x v="71"/>
    <x v="261"/>
    <x v="0"/>
    <m/>
    <x v="0"/>
    <x v="0"/>
    <s v="UT"/>
    <x v="2"/>
    <m/>
    <m/>
    <m/>
  </r>
  <r>
    <n v="1501"/>
    <s v="SP"/>
    <x v="7"/>
    <x v="21"/>
    <x v="59"/>
    <s v="SERVIÇO"/>
    <x v="1423"/>
    <x v="21"/>
    <n v="464808"/>
    <n v="419954.02"/>
    <x v="267"/>
    <x v="60"/>
    <x v="258"/>
    <x v="0"/>
    <m/>
    <x v="0"/>
    <x v="0"/>
    <s v="UT"/>
    <x v="2"/>
    <m/>
    <m/>
    <m/>
  </r>
  <r>
    <n v="1501"/>
    <s v="SP"/>
    <x v="7"/>
    <x v="21"/>
    <x v="59"/>
    <s v="SERVIÇO"/>
    <x v="1424"/>
    <x v="22"/>
    <n v="464808"/>
    <n v="419954.03"/>
    <x v="229"/>
    <x v="73"/>
    <x v="128"/>
    <x v="2"/>
    <m/>
    <x v="0"/>
    <x v="0"/>
    <s v="UT"/>
    <x v="2"/>
    <m/>
    <m/>
    <m/>
  </r>
  <r>
    <n v="1501"/>
    <s v="SP"/>
    <x v="7"/>
    <x v="21"/>
    <x v="59"/>
    <s v="SERVIÇO"/>
    <x v="1425"/>
    <x v="23"/>
    <n v="487656"/>
    <n v="440597.2"/>
    <x v="268"/>
    <x v="83"/>
    <x v="128"/>
    <x v="2"/>
    <m/>
    <x v="0"/>
    <x v="0"/>
    <s v="UT"/>
    <x v="2"/>
    <m/>
    <m/>
    <m/>
  </r>
  <r>
    <n v="1501"/>
    <s v="SP"/>
    <x v="7"/>
    <x v="21"/>
    <x v="59"/>
    <s v="SERVIÇO"/>
    <x v="582"/>
    <x v="24"/>
    <n v="487400"/>
    <n v="440597.2"/>
    <x v="268"/>
    <x v="65"/>
    <x v="128"/>
    <x v="1"/>
    <m/>
    <x v="0"/>
    <x v="0"/>
    <s v="UT"/>
    <x v="2"/>
    <m/>
    <m/>
    <m/>
  </r>
  <r>
    <n v="1388"/>
    <s v="SP"/>
    <x v="7"/>
    <x v="21"/>
    <x v="28"/>
    <s v="SERVIÇO"/>
    <x v="1426"/>
    <x v="12"/>
    <n v="319606.86"/>
    <n v="288764.79999999999"/>
    <x v="171"/>
    <x v="16"/>
    <x v="50"/>
    <x v="0"/>
    <m/>
    <x v="0"/>
    <x v="1"/>
    <s v="UT"/>
    <x v="2"/>
    <m/>
    <m/>
    <m/>
  </r>
  <r>
    <n v="1388"/>
    <s v="SP"/>
    <x v="7"/>
    <x v="21"/>
    <x v="28"/>
    <s v="SERVIÇO"/>
    <x v="1427"/>
    <x v="17"/>
    <n v="191527.36"/>
    <n v="173044.98"/>
    <x v="246"/>
    <x v="54"/>
    <x v="255"/>
    <x v="0"/>
    <m/>
    <x v="0"/>
    <x v="1"/>
    <s v="UT"/>
    <x v="2"/>
    <m/>
    <m/>
    <m/>
  </r>
  <r>
    <n v="1388"/>
    <s v="SP"/>
    <x v="7"/>
    <x v="21"/>
    <x v="28"/>
    <s v="SERVIÇO"/>
    <x v="582"/>
    <x v="29"/>
    <n v="200000"/>
    <n v="173044.98"/>
    <x v="269"/>
    <x v="73"/>
    <x v="128"/>
    <x v="1"/>
    <m/>
    <x v="0"/>
    <x v="1"/>
    <s v="UT"/>
    <x v="2"/>
    <m/>
    <m/>
    <m/>
  </r>
  <r>
    <n v="1388"/>
    <s v="SP"/>
    <x v="7"/>
    <x v="21"/>
    <x v="28"/>
    <s v="SERVIÇO"/>
    <x v="582"/>
    <x v="30"/>
    <n v="200000"/>
    <n v="173044.98"/>
    <x v="270"/>
    <x v="73"/>
    <x v="128"/>
    <x v="1"/>
    <m/>
    <x v="0"/>
    <x v="1"/>
    <s v="UT"/>
    <x v="2"/>
    <m/>
    <m/>
    <m/>
  </r>
  <r>
    <n v="1388"/>
    <s v="SP"/>
    <x v="7"/>
    <x v="21"/>
    <x v="28"/>
    <s v="SERVIÇO"/>
    <x v="582"/>
    <x v="21"/>
    <n v="400000"/>
    <n v="173044.98"/>
    <x v="271"/>
    <x v="73"/>
    <x v="128"/>
    <x v="1"/>
    <m/>
    <x v="0"/>
    <x v="1"/>
    <s v="UT"/>
    <x v="2"/>
    <m/>
    <m/>
    <m/>
  </r>
  <r>
    <n v="1388"/>
    <s v="SP"/>
    <x v="7"/>
    <x v="21"/>
    <x v="28"/>
    <s v="SERVIÇO"/>
    <x v="582"/>
    <x v="22"/>
    <n v="220000"/>
    <n v="173044.98"/>
    <x v="272"/>
    <x v="65"/>
    <x v="128"/>
    <x v="1"/>
    <m/>
    <x v="0"/>
    <x v="1"/>
    <s v="UT"/>
    <x v="2"/>
    <m/>
    <m/>
    <m/>
  </r>
  <r>
    <n v="1388"/>
    <s v="SP"/>
    <x v="7"/>
    <x v="21"/>
    <x v="28"/>
    <s v="SERVIÇO"/>
    <x v="582"/>
    <x v="23"/>
    <n v="220000"/>
    <n v="173044.98"/>
    <x v="273"/>
    <x v="65"/>
    <x v="128"/>
    <x v="1"/>
    <m/>
    <x v="0"/>
    <x v="1"/>
    <s v="UT"/>
    <x v="2"/>
    <m/>
    <m/>
    <m/>
  </r>
  <r>
    <n v="1298"/>
    <s v="HUB"/>
    <x v="8"/>
    <x v="22"/>
    <x v="29"/>
    <s v="SERVIÇO"/>
    <x v="1428"/>
    <x v="12"/>
    <n v="64756.13"/>
    <n v="60773.64"/>
    <x v="9"/>
    <x v="67"/>
    <x v="207"/>
    <x v="0"/>
    <n v="0"/>
    <x v="0"/>
    <x v="0"/>
    <s v="PS"/>
    <x v="0"/>
    <m/>
    <m/>
    <m/>
  </r>
  <r>
    <n v="1298"/>
    <s v="HUB"/>
    <x v="8"/>
    <x v="22"/>
    <x v="29"/>
    <s v="SERVIÇO"/>
    <x v="1429"/>
    <x v="12"/>
    <n v="39057.21"/>
    <n v="36655.19"/>
    <x v="9"/>
    <x v="67"/>
    <x v="207"/>
    <x v="0"/>
    <n v="0"/>
    <x v="0"/>
    <x v="0"/>
    <s v="PS"/>
    <x v="0"/>
    <m/>
    <m/>
    <m/>
  </r>
  <r>
    <n v="1298"/>
    <s v="HUB"/>
    <x v="8"/>
    <x v="22"/>
    <x v="29"/>
    <s v="SERVIÇO"/>
    <x v="1430"/>
    <x v="12"/>
    <n v="294000.96000000002"/>
    <n v="275919.90000000002"/>
    <x v="257"/>
    <x v="9"/>
    <x v="12"/>
    <x v="0"/>
    <n v="0"/>
    <x v="0"/>
    <x v="0"/>
    <s v="PS"/>
    <x v="0"/>
    <m/>
    <m/>
    <m/>
  </r>
  <r>
    <n v="1288"/>
    <s v="HUB"/>
    <x v="6"/>
    <x v="23"/>
    <x v="31"/>
    <s v="SERVIÇO"/>
    <x v="1431"/>
    <x v="17"/>
    <n v="393506.36"/>
    <n v="366747.92"/>
    <x v="274"/>
    <x v="52"/>
    <x v="262"/>
    <x v="0"/>
    <m/>
    <x v="0"/>
    <x v="1"/>
    <s v="PS"/>
    <x v="3"/>
    <m/>
    <m/>
    <m/>
  </r>
  <r>
    <n v="1393"/>
    <s v="MATRIZ"/>
    <x v="2"/>
    <x v="27"/>
    <x v="15"/>
    <s v="SERVIÇO"/>
    <x v="1432"/>
    <x v="22"/>
    <n v="466200.21"/>
    <n v="418181.59"/>
    <x v="275"/>
    <x v="84"/>
    <x v="263"/>
    <x v="0"/>
    <m/>
    <x v="0"/>
    <x v="0"/>
    <s v="PS"/>
    <x v="1"/>
    <m/>
    <m/>
    <m/>
  </r>
  <r>
    <n v="1455"/>
    <s v="MATRIZ"/>
    <x v="2"/>
    <x v="2"/>
    <x v="2"/>
    <s v="SERVIÇO"/>
    <x v="1433"/>
    <x v="23"/>
    <n v="888.93"/>
    <n v="785.37"/>
    <x v="276"/>
    <x v="77"/>
    <x v="128"/>
    <x v="2"/>
    <m/>
    <x v="0"/>
    <x v="0"/>
    <s v="MS"/>
    <x v="1"/>
    <m/>
    <m/>
    <m/>
  </r>
  <r>
    <n v="1455"/>
    <s v="MATRIZ"/>
    <x v="2"/>
    <x v="2"/>
    <x v="2"/>
    <s v="SERVIÇO"/>
    <x v="1434"/>
    <x v="23"/>
    <n v="56875.77"/>
    <n v="50249.74"/>
    <x v="229"/>
    <x v="73"/>
    <x v="229"/>
    <x v="0"/>
    <m/>
    <x v="0"/>
    <x v="0"/>
    <s v="MS"/>
    <x v="1"/>
    <m/>
    <m/>
    <m/>
  </r>
  <r>
    <n v="1393"/>
    <s v="MATRIZ"/>
    <x v="2"/>
    <x v="27"/>
    <x v="15"/>
    <s v="SERVIÇO"/>
    <x v="582"/>
    <x v="24"/>
    <n v="469000"/>
    <m/>
    <x v="277"/>
    <x v="65"/>
    <x v="128"/>
    <x v="1"/>
    <m/>
    <x v="0"/>
    <x v="0"/>
    <s v="PS"/>
    <x v="1"/>
    <m/>
    <m/>
    <m/>
  </r>
  <r>
    <n v="1288"/>
    <s v="HUB"/>
    <x v="6"/>
    <x v="23"/>
    <x v="31"/>
    <s v="SERVIÇO"/>
    <x v="1435"/>
    <x v="30"/>
    <n v="393510.19"/>
    <n v="366751.5"/>
    <x v="262"/>
    <x v="71"/>
    <x v="252"/>
    <x v="0"/>
    <m/>
    <x v="0"/>
    <x v="1"/>
    <s v="PS"/>
    <x v="3"/>
    <m/>
    <m/>
    <m/>
  </r>
  <r>
    <n v="1288"/>
    <s v="HUB"/>
    <x v="6"/>
    <x v="23"/>
    <x v="31"/>
    <s v="SERVIÇO"/>
    <x v="1436"/>
    <x v="21"/>
    <n v="393590.17"/>
    <n v="366826.04"/>
    <x v="278"/>
    <x v="72"/>
    <x v="264"/>
    <x v="0"/>
    <m/>
    <x v="0"/>
    <x v="1"/>
    <s v="PS"/>
    <x v="3"/>
    <m/>
    <m/>
    <m/>
  </r>
  <r>
    <n v="1289"/>
    <s v="HUB"/>
    <x v="6"/>
    <x v="23"/>
    <x v="30"/>
    <s v="SERVIÇO"/>
    <x v="1437"/>
    <x v="12"/>
    <n v="301917.75"/>
    <n v="281387.34000000003"/>
    <x v="50"/>
    <x v="16"/>
    <x v="21"/>
    <x v="0"/>
    <m/>
    <x v="0"/>
    <x v="0"/>
    <s v="PS"/>
    <x v="3"/>
    <m/>
    <m/>
    <m/>
  </r>
  <r>
    <n v="1289"/>
    <s v="HUB"/>
    <x v="6"/>
    <x v="23"/>
    <x v="30"/>
    <s v="SERVIÇO"/>
    <x v="1438"/>
    <x v="17"/>
    <n v="301917.75"/>
    <n v="281387.34000000003"/>
    <x v="258"/>
    <x v="54"/>
    <x v="255"/>
    <x v="0"/>
    <m/>
    <x v="0"/>
    <x v="0"/>
    <s v="PS"/>
    <x v="3"/>
    <m/>
    <m/>
    <m/>
  </r>
  <r>
    <n v="1289"/>
    <s v="HUB"/>
    <x v="6"/>
    <x v="23"/>
    <x v="30"/>
    <s v="SERVIÇO"/>
    <x v="1002"/>
    <x v="29"/>
    <n v="301917.75"/>
    <n v="281387.34000000003"/>
    <x v="279"/>
    <x v="61"/>
    <x v="191"/>
    <x v="0"/>
    <m/>
    <x v="0"/>
    <x v="0"/>
    <s v="PS"/>
    <x v="3"/>
    <m/>
    <m/>
    <m/>
  </r>
  <r>
    <n v="1289"/>
    <s v="HUB"/>
    <x v="6"/>
    <x v="23"/>
    <x v="30"/>
    <s v="SERVIÇO"/>
    <x v="1439"/>
    <x v="30"/>
    <n v="301917.75"/>
    <n v="281387.34000000003"/>
    <x v="262"/>
    <x v="85"/>
    <x v="265"/>
    <x v="0"/>
    <m/>
    <x v="0"/>
    <x v="0"/>
    <s v="PS"/>
    <x v="3"/>
    <m/>
    <m/>
    <m/>
  </r>
  <r>
    <n v="1289"/>
    <s v="HUB"/>
    <x v="6"/>
    <x v="23"/>
    <x v="30"/>
    <s v="SERVIÇO"/>
    <x v="1440"/>
    <x v="21"/>
    <n v="301917.75"/>
    <n v="281387.34000000003"/>
    <x v="278"/>
    <x v="75"/>
    <x v="234"/>
    <x v="0"/>
    <m/>
    <x v="0"/>
    <x v="0"/>
    <s v="PS"/>
    <x v="3"/>
    <m/>
    <m/>
    <m/>
  </r>
  <r>
    <n v="1476"/>
    <s v="MATRIZ"/>
    <x v="2"/>
    <x v="13"/>
    <x v="16"/>
    <s v="SERVIÇO"/>
    <x v="582"/>
    <x v="24"/>
    <n v="369184"/>
    <n v="331158.67"/>
    <x v="192"/>
    <x v="65"/>
    <x v="128"/>
    <x v="1"/>
    <m/>
    <x v="0"/>
    <x v="0"/>
    <s v="PS"/>
    <x v="1"/>
    <m/>
    <m/>
    <m/>
  </r>
  <r>
    <n v="1525"/>
    <s v="MATRIZ"/>
    <x v="2"/>
    <x v="29"/>
    <x v="64"/>
    <s v="SERVIÇO"/>
    <x v="1441"/>
    <x v="23"/>
    <n v="1308.6150490730652"/>
    <n v="1200"/>
    <x v="280"/>
    <x v="73"/>
    <x v="128"/>
    <x v="2"/>
    <n v="0"/>
    <x v="0"/>
    <x v="0"/>
    <s v="PS"/>
    <x v="1"/>
    <m/>
    <m/>
    <m/>
  </r>
  <r>
    <n v="1394"/>
    <s v="MATRIZ"/>
    <x v="5"/>
    <x v="7"/>
    <x v="7"/>
    <s v="SERVIÇO"/>
    <x v="1442"/>
    <x v="12"/>
    <n v="66511.77"/>
    <n v="61988.959999999999"/>
    <x v="257"/>
    <x v="9"/>
    <x v="175"/>
    <x v="0"/>
    <n v="0"/>
    <x v="0"/>
    <x v="0"/>
    <s v="PS"/>
    <x v="1"/>
    <m/>
    <m/>
    <m/>
  </r>
  <r>
    <n v="1394"/>
    <s v="MATRIZ"/>
    <x v="5"/>
    <x v="7"/>
    <x v="7"/>
    <s v="SERVIÇO"/>
    <x v="1443"/>
    <x v="12"/>
    <n v="117291.83"/>
    <n v="109315.98"/>
    <x v="257"/>
    <x v="9"/>
    <x v="175"/>
    <x v="0"/>
    <n v="0"/>
    <x v="0"/>
    <x v="0"/>
    <s v="PS"/>
    <x v="1"/>
    <m/>
    <m/>
    <m/>
  </r>
  <r>
    <n v="1394"/>
    <s v="MATRIZ"/>
    <x v="5"/>
    <x v="7"/>
    <x v="7"/>
    <s v="SERVIÇO"/>
    <x v="1444"/>
    <x v="12"/>
    <n v="8722.56"/>
    <n v="8129.43"/>
    <x v="244"/>
    <x v="9"/>
    <x v="12"/>
    <x v="0"/>
    <m/>
    <x v="0"/>
    <x v="0"/>
    <s v="PS"/>
    <x v="1"/>
    <m/>
    <m/>
    <m/>
  </r>
  <r>
    <n v="1394"/>
    <s v="MATRIZ"/>
    <x v="5"/>
    <x v="7"/>
    <x v="7"/>
    <s v="SERVIÇO"/>
    <x v="1445"/>
    <x v="7"/>
    <n v="233745.96"/>
    <n v="217851.23"/>
    <x v="224"/>
    <x v="9"/>
    <x v="12"/>
    <x v="0"/>
    <m/>
    <x v="0"/>
    <x v="0"/>
    <s v="PS"/>
    <x v="1"/>
    <m/>
    <m/>
    <m/>
  </r>
  <r>
    <n v="1394"/>
    <s v="MATRIZ"/>
    <x v="5"/>
    <x v="7"/>
    <x v="7"/>
    <s v="SERVIÇO"/>
    <x v="1446"/>
    <x v="12"/>
    <n v="94087.62"/>
    <n v="87689.66"/>
    <x v="171"/>
    <x v="16"/>
    <x v="232"/>
    <x v="0"/>
    <m/>
    <x v="0"/>
    <x v="0"/>
    <s v="PS"/>
    <x v="1"/>
    <m/>
    <m/>
    <m/>
  </r>
  <r>
    <n v="1394"/>
    <s v="MATRIZ"/>
    <x v="5"/>
    <x v="7"/>
    <x v="7"/>
    <s v="SERVIÇO"/>
    <x v="1447"/>
    <x v="12"/>
    <n v="194679.83"/>
    <n v="181441.6"/>
    <x v="171"/>
    <x v="16"/>
    <x v="161"/>
    <x v="0"/>
    <m/>
    <x v="0"/>
    <x v="0"/>
    <s v="PS"/>
    <x v="1"/>
    <m/>
    <m/>
    <m/>
  </r>
  <r>
    <n v="1394"/>
    <s v="MATRIZ"/>
    <x v="5"/>
    <x v="7"/>
    <x v="7"/>
    <s v="SERVIÇO"/>
    <x v="1448"/>
    <x v="12"/>
    <n v="140971.81"/>
    <n v="131385.72"/>
    <x v="281"/>
    <x v="16"/>
    <x v="238"/>
    <x v="0"/>
    <m/>
    <x v="0"/>
    <x v="0"/>
    <s v="PS"/>
    <x v="1"/>
    <m/>
    <m/>
    <m/>
  </r>
  <r>
    <n v="1394"/>
    <s v="MATRIZ"/>
    <x v="5"/>
    <x v="7"/>
    <x v="7"/>
    <s v="SERVIÇO"/>
    <x v="1449"/>
    <x v="12"/>
    <n v="313649.51"/>
    <n v="292321.34000000003"/>
    <x v="50"/>
    <x v="16"/>
    <x v="50"/>
    <x v="0"/>
    <m/>
    <x v="0"/>
    <x v="0"/>
    <s v="PS"/>
    <x v="1"/>
    <m/>
    <m/>
    <m/>
  </r>
  <r>
    <n v="1500"/>
    <s v="SP"/>
    <x v="3"/>
    <x v="8"/>
    <x v="53"/>
    <s v="SERVIÇO"/>
    <x v="1450"/>
    <x v="12"/>
    <n v="17786.88"/>
    <n v="16692.990000000002"/>
    <x v="282"/>
    <x v="9"/>
    <x v="175"/>
    <x v="0"/>
    <m/>
    <x v="0"/>
    <x v="2"/>
    <s v="FS"/>
    <x v="2"/>
    <m/>
    <m/>
    <m/>
  </r>
  <r>
    <n v="1360"/>
    <s v="SP"/>
    <x v="3"/>
    <x v="8"/>
    <x v="8"/>
    <s v="SERVIÇO"/>
    <x v="1451"/>
    <x v="12"/>
    <n v="27029.599999999999"/>
    <n v="25367.279999999999"/>
    <x v="211"/>
    <x v="9"/>
    <x v="175"/>
    <x v="0"/>
    <m/>
    <x v="0"/>
    <x v="1"/>
    <s v="FS"/>
    <x v="2"/>
    <m/>
    <m/>
    <m/>
  </r>
  <r>
    <n v="1360"/>
    <s v="SP"/>
    <x v="3"/>
    <x v="8"/>
    <x v="8"/>
    <s v="SERVIÇO"/>
    <x v="1452"/>
    <x v="12"/>
    <n v="160817.84"/>
    <n v="150927.53"/>
    <x v="211"/>
    <x v="9"/>
    <x v="175"/>
    <x v="0"/>
    <m/>
    <x v="0"/>
    <x v="1"/>
    <s v="FS"/>
    <x v="2"/>
    <m/>
    <m/>
    <m/>
  </r>
  <r>
    <n v="1360"/>
    <s v="SP"/>
    <x v="3"/>
    <x v="8"/>
    <x v="8"/>
    <s v="SERVIÇO"/>
    <x v="1453"/>
    <x v="12"/>
    <n v="44693.599999999999"/>
    <n v="41944.94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54"/>
    <x v="12"/>
    <n v="204269.12"/>
    <n v="191706.57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55"/>
    <x v="12"/>
    <n v="58910.720000000001"/>
    <n v="55287.71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56"/>
    <x v="12"/>
    <n v="24360"/>
    <n v="22861.86"/>
    <x v="230"/>
    <x v="8"/>
    <x v="266"/>
    <x v="0"/>
    <m/>
    <x v="0"/>
    <x v="1"/>
    <s v="FS"/>
    <x v="2"/>
    <m/>
    <m/>
    <m/>
  </r>
  <r>
    <n v="1360"/>
    <s v="SP"/>
    <x v="3"/>
    <x v="8"/>
    <x v="8"/>
    <s v="SERVIÇO"/>
    <x v="1457"/>
    <x v="12"/>
    <n v="26224"/>
    <n v="24611.22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58"/>
    <x v="12"/>
    <n v="87403.66"/>
    <n v="82028.34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59"/>
    <x v="12"/>
    <n v="67040.399999999994"/>
    <n v="62917.42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60"/>
    <x v="12"/>
    <n v="75559.600000000006"/>
    <n v="70912.679999999993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61"/>
    <x v="12"/>
    <n v="30157.599999999999"/>
    <n v="28302.91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62"/>
    <x v="12"/>
    <n v="29703.119999999999"/>
    <n v="27876.38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63"/>
    <x v="12"/>
    <n v="21264"/>
    <n v="19956.259999999998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64"/>
    <x v="12"/>
    <n v="72500"/>
    <n v="68041.25"/>
    <x v="230"/>
    <x v="9"/>
    <x v="175"/>
    <x v="0"/>
    <m/>
    <x v="0"/>
    <x v="1"/>
    <s v="FS"/>
    <x v="2"/>
    <m/>
    <m/>
    <m/>
  </r>
  <r>
    <n v="1360"/>
    <s v="SP"/>
    <x v="3"/>
    <x v="8"/>
    <x v="8"/>
    <s v="SERVIÇO"/>
    <x v="1465"/>
    <x v="12"/>
    <n v="157629.12"/>
    <n v="147934.93"/>
    <x v="79"/>
    <x v="9"/>
    <x v="175"/>
    <x v="0"/>
    <m/>
    <x v="0"/>
    <x v="1"/>
    <s v="FS"/>
    <x v="2"/>
    <m/>
    <m/>
    <m/>
  </r>
  <r>
    <n v="1360"/>
    <s v="SP"/>
    <x v="3"/>
    <x v="8"/>
    <x v="8"/>
    <s v="SERVIÇO"/>
    <x v="1466"/>
    <x v="12"/>
    <n v="35512"/>
    <n v="33328.01"/>
    <x v="282"/>
    <x v="9"/>
    <x v="175"/>
    <x v="0"/>
    <m/>
    <x v="0"/>
    <x v="1"/>
    <s v="FS"/>
    <x v="2"/>
    <m/>
    <m/>
    <m/>
  </r>
  <r>
    <n v="1360"/>
    <s v="SP"/>
    <x v="3"/>
    <x v="8"/>
    <x v="8"/>
    <s v="SERVIÇO"/>
    <x v="1467"/>
    <x v="12"/>
    <n v="35512"/>
    <n v="33328.01"/>
    <x v="282"/>
    <x v="9"/>
    <x v="175"/>
    <x v="0"/>
    <m/>
    <x v="0"/>
    <x v="1"/>
    <s v="FS"/>
    <x v="2"/>
    <m/>
    <m/>
    <m/>
  </r>
  <r>
    <n v="1360"/>
    <s v="SP"/>
    <x v="3"/>
    <x v="8"/>
    <x v="8"/>
    <s v="SERVIÇO"/>
    <x v="1468"/>
    <x v="12"/>
    <n v="42975.040000000001"/>
    <n v="40332.07"/>
    <x v="282"/>
    <x v="9"/>
    <x v="175"/>
    <x v="0"/>
    <m/>
    <x v="0"/>
    <x v="1"/>
    <s v="FS"/>
    <x v="2"/>
    <m/>
    <m/>
    <m/>
  </r>
  <r>
    <n v="1360"/>
    <s v="SP"/>
    <x v="3"/>
    <x v="8"/>
    <x v="8"/>
    <s v="SERVIÇO"/>
    <x v="1469"/>
    <x v="12"/>
    <n v="127486.24"/>
    <n v="119645.84"/>
    <x v="282"/>
    <x v="9"/>
    <x v="175"/>
    <x v="0"/>
    <m/>
    <x v="0"/>
    <x v="1"/>
    <s v="FS"/>
    <x v="2"/>
    <m/>
    <m/>
    <m/>
  </r>
  <r>
    <n v="1360"/>
    <s v="SP"/>
    <x v="3"/>
    <x v="8"/>
    <x v="8"/>
    <s v="SERVIÇO"/>
    <x v="1470"/>
    <x v="12"/>
    <n v="13896"/>
    <n v="13041.4"/>
    <x v="282"/>
    <x v="9"/>
    <x v="175"/>
    <x v="0"/>
    <m/>
    <x v="0"/>
    <x v="1"/>
    <s v="FS"/>
    <x v="2"/>
    <m/>
    <m/>
    <m/>
  </r>
  <r>
    <n v="1360"/>
    <s v="SP"/>
    <x v="3"/>
    <x v="8"/>
    <x v="8"/>
    <s v="SERVIÇO"/>
    <x v="1471"/>
    <x v="12"/>
    <n v="37986.800000000003"/>
    <n v="35650.620000000003"/>
    <x v="283"/>
    <x v="9"/>
    <x v="211"/>
    <x v="0"/>
    <m/>
    <x v="0"/>
    <x v="1"/>
    <s v="FS"/>
    <x v="2"/>
    <m/>
    <m/>
    <m/>
  </r>
  <r>
    <n v="1360"/>
    <s v="SP"/>
    <x v="3"/>
    <x v="8"/>
    <x v="8"/>
    <s v="SERVIÇO"/>
    <x v="1472"/>
    <x v="12"/>
    <n v="30157.599999999999"/>
    <n v="28302.91"/>
    <x v="283"/>
    <x v="9"/>
    <x v="211"/>
    <x v="0"/>
    <m/>
    <x v="0"/>
    <x v="1"/>
    <s v="FS"/>
    <x v="2"/>
    <m/>
    <m/>
    <m/>
  </r>
  <r>
    <n v="1360"/>
    <s v="SP"/>
    <x v="3"/>
    <x v="8"/>
    <x v="8"/>
    <s v="SERVIÇO"/>
    <x v="1473"/>
    <x v="12"/>
    <n v="15640"/>
    <n v="14678.14"/>
    <x v="283"/>
    <x v="9"/>
    <x v="211"/>
    <x v="0"/>
    <m/>
    <x v="0"/>
    <x v="1"/>
    <s v="FS"/>
    <x v="2"/>
    <m/>
    <m/>
    <m/>
  </r>
  <r>
    <n v="1360"/>
    <s v="SP"/>
    <x v="3"/>
    <x v="8"/>
    <x v="8"/>
    <s v="SERVIÇO"/>
    <x v="1474"/>
    <x v="12"/>
    <n v="44980.639999999999"/>
    <n v="42214.33"/>
    <x v="233"/>
    <x v="9"/>
    <x v="12"/>
    <x v="0"/>
    <m/>
    <x v="0"/>
    <x v="1"/>
    <s v="FS"/>
    <x v="2"/>
    <m/>
    <m/>
    <m/>
  </r>
  <r>
    <n v="1360"/>
    <s v="SP"/>
    <x v="3"/>
    <x v="8"/>
    <x v="8"/>
    <s v="SERVIÇO"/>
    <x v="1475"/>
    <x v="12"/>
    <n v="14829.12"/>
    <n v="13917.13"/>
    <x v="233"/>
    <x v="9"/>
    <x v="12"/>
    <x v="0"/>
    <m/>
    <x v="0"/>
    <x v="1"/>
    <s v="FS"/>
    <x v="2"/>
    <m/>
    <m/>
    <m/>
  </r>
  <r>
    <n v="1360"/>
    <s v="SP"/>
    <x v="3"/>
    <x v="8"/>
    <x v="8"/>
    <s v="SERVIÇO"/>
    <x v="1476"/>
    <x v="12"/>
    <n v="38428.400000000001"/>
    <n v="36065.06"/>
    <x v="239"/>
    <x v="54"/>
    <x v="250"/>
    <x v="0"/>
    <m/>
    <x v="0"/>
    <x v="1"/>
    <s v="FS"/>
    <x v="2"/>
    <m/>
    <m/>
    <m/>
  </r>
  <r>
    <n v="1360"/>
    <s v="SP"/>
    <x v="3"/>
    <x v="8"/>
    <x v="8"/>
    <s v="SERVIÇO"/>
    <x v="1477"/>
    <x v="17"/>
    <n v="30074.400000000001"/>
    <n v="28224.83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78"/>
    <x v="17"/>
    <n v="153352.32000000001"/>
    <n v="143921.16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79"/>
    <x v="17"/>
    <n v="24912.799999999999"/>
    <n v="23380.67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0"/>
    <x v="17"/>
    <n v="24912.799999999999"/>
    <n v="23380.67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1"/>
    <x v="17"/>
    <n v="23245.919999999998"/>
    <n v="21816.29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2"/>
    <x v="17"/>
    <n v="23601.599999999999"/>
    <n v="22150.1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3"/>
    <x v="17"/>
    <n v="80843.199999999997"/>
    <n v="75871.34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4"/>
    <x v="17"/>
    <n v="125857.44"/>
    <n v="118117.22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5"/>
    <x v="17"/>
    <n v="35463.4"/>
    <n v="33282.410000000003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6"/>
    <x v="17"/>
    <n v="30395.52"/>
    <n v="28526.19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7"/>
    <x v="17"/>
    <n v="72500"/>
    <n v="68041.25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8"/>
    <x v="17"/>
    <n v="61222.1"/>
    <n v="57456.95"/>
    <x v="50"/>
    <x v="54"/>
    <x v="250"/>
    <x v="0"/>
    <m/>
    <x v="0"/>
    <x v="1"/>
    <s v="FS"/>
    <x v="2"/>
    <m/>
    <m/>
    <m/>
  </r>
  <r>
    <n v="1360"/>
    <s v="SP"/>
    <x v="3"/>
    <x v="8"/>
    <x v="8"/>
    <s v="SERVIÇO"/>
    <x v="1489"/>
    <x v="17"/>
    <n v="33632.639999999999"/>
    <n v="31564.23"/>
    <x v="159"/>
    <x v="54"/>
    <x v="250"/>
    <x v="0"/>
    <m/>
    <x v="0"/>
    <x v="1"/>
    <s v="FS"/>
    <x v="2"/>
    <m/>
    <m/>
    <m/>
  </r>
  <r>
    <n v="1360"/>
    <s v="SP"/>
    <x v="3"/>
    <x v="8"/>
    <x v="8"/>
    <s v="SERVIÇO"/>
    <x v="1490"/>
    <x v="17"/>
    <n v="27792"/>
    <n v="26082.79"/>
    <x v="284"/>
    <x v="54"/>
    <x v="250"/>
    <x v="0"/>
    <m/>
    <x v="0"/>
    <x v="1"/>
    <s v="FS"/>
    <x v="2"/>
    <m/>
    <m/>
    <m/>
  </r>
  <r>
    <n v="1360"/>
    <s v="SP"/>
    <x v="3"/>
    <x v="8"/>
    <x v="8"/>
    <s v="SERVIÇO"/>
    <x v="1491"/>
    <x v="17"/>
    <n v="69955.199999999997"/>
    <n v="65652.95"/>
    <x v="284"/>
    <x v="54"/>
    <x v="250"/>
    <x v="0"/>
    <m/>
    <x v="0"/>
    <x v="1"/>
    <s v="FS"/>
    <x v="2"/>
    <m/>
    <m/>
    <m/>
  </r>
  <r>
    <n v="1360"/>
    <s v="SP"/>
    <x v="3"/>
    <x v="8"/>
    <x v="8"/>
    <s v="SERVIÇO"/>
    <x v="1492"/>
    <x v="17"/>
    <n v="170508.96"/>
    <n v="160022.66"/>
    <x v="285"/>
    <x v="54"/>
    <x v="250"/>
    <x v="0"/>
    <m/>
    <x v="0"/>
    <x v="1"/>
    <s v="FS"/>
    <x v="2"/>
    <m/>
    <m/>
    <m/>
  </r>
  <r>
    <n v="1360"/>
    <s v="SP"/>
    <x v="3"/>
    <x v="8"/>
    <x v="8"/>
    <s v="SERVIÇO"/>
    <x v="1493"/>
    <x v="17"/>
    <n v="60900"/>
    <n v="57154.65"/>
    <x v="285"/>
    <x v="54"/>
    <x v="250"/>
    <x v="0"/>
    <m/>
    <x v="0"/>
    <x v="1"/>
    <s v="FS"/>
    <x v="2"/>
    <m/>
    <m/>
    <m/>
  </r>
  <r>
    <n v="1360"/>
    <s v="SP"/>
    <x v="3"/>
    <x v="8"/>
    <x v="8"/>
    <s v="SERVIÇO"/>
    <x v="1494"/>
    <x v="17"/>
    <n v="40611.199999999997"/>
    <n v="38113.61"/>
    <x v="146"/>
    <x v="54"/>
    <x v="250"/>
    <x v="0"/>
    <m/>
    <x v="0"/>
    <x v="1"/>
    <s v="FS"/>
    <x v="2"/>
    <m/>
    <m/>
    <m/>
  </r>
  <r>
    <n v="1360"/>
    <s v="SP"/>
    <x v="3"/>
    <x v="8"/>
    <x v="8"/>
    <s v="SERVIÇO"/>
    <x v="1495"/>
    <x v="17"/>
    <n v="12240"/>
    <n v="11487.24"/>
    <x v="146"/>
    <x v="54"/>
    <x v="250"/>
    <x v="0"/>
    <m/>
    <x v="0"/>
    <x v="1"/>
    <s v="FS"/>
    <x v="2"/>
    <m/>
    <m/>
    <m/>
  </r>
  <r>
    <n v="1360"/>
    <s v="SP"/>
    <x v="3"/>
    <x v="8"/>
    <x v="8"/>
    <s v="SERVIÇO"/>
    <x v="1496"/>
    <x v="17"/>
    <n v="162622.72"/>
    <n v="152621.42000000001"/>
    <x v="146"/>
    <x v="54"/>
    <x v="250"/>
    <x v="0"/>
    <m/>
    <x v="0"/>
    <x v="1"/>
    <s v="FS"/>
    <x v="2"/>
    <m/>
    <m/>
    <m/>
  </r>
  <r>
    <n v="1387"/>
    <s v="SP"/>
    <x v="3"/>
    <x v="8"/>
    <x v="47"/>
    <s v="SERVIÇO"/>
    <x v="1497"/>
    <x v="17"/>
    <n v="26362.44"/>
    <n v="24741.15"/>
    <x v="50"/>
    <x v="54"/>
    <x v="250"/>
    <x v="0"/>
    <m/>
    <x v="0"/>
    <x v="0"/>
    <s v="FS"/>
    <x v="2"/>
    <m/>
    <m/>
    <m/>
  </r>
  <r>
    <n v="1387"/>
    <s v="SP"/>
    <x v="3"/>
    <x v="8"/>
    <x v="47"/>
    <s v="SERVIÇO"/>
    <x v="1498"/>
    <x v="12"/>
    <n v="46690"/>
    <n v="43818.559999999998"/>
    <x v="159"/>
    <x v="54"/>
    <x v="250"/>
    <x v="0"/>
    <m/>
    <x v="0"/>
    <x v="0"/>
    <s v="FS"/>
    <x v="2"/>
    <m/>
    <m/>
    <m/>
  </r>
  <r>
    <n v="1360"/>
    <s v="SP"/>
    <x v="3"/>
    <x v="8"/>
    <x v="8"/>
    <s v="SERVIÇO"/>
    <x v="1499"/>
    <x v="19"/>
    <n v="77317.600000000006"/>
    <n v="72562.570000000007"/>
    <x v="160"/>
    <x v="54"/>
    <x v="255"/>
    <x v="0"/>
    <m/>
    <x v="0"/>
    <x v="1"/>
    <s v="FS"/>
    <x v="2"/>
    <m/>
    <m/>
    <m/>
  </r>
  <r>
    <n v="1360"/>
    <s v="SP"/>
    <x v="3"/>
    <x v="8"/>
    <x v="8"/>
    <s v="SERVIÇO"/>
    <x v="1500"/>
    <x v="19"/>
    <n v="104251.92"/>
    <n v="97840.42"/>
    <x v="160"/>
    <x v="54"/>
    <x v="255"/>
    <x v="0"/>
    <m/>
    <x v="0"/>
    <x v="1"/>
    <s v="FS"/>
    <x v="2"/>
    <m/>
    <m/>
    <m/>
  </r>
  <r>
    <n v="1360"/>
    <s v="SP"/>
    <x v="3"/>
    <x v="8"/>
    <x v="8"/>
    <s v="SERVIÇO"/>
    <x v="1501"/>
    <x v="19"/>
    <n v="29148"/>
    <n v="27355.4"/>
    <x v="286"/>
    <x v="54"/>
    <x v="255"/>
    <x v="0"/>
    <m/>
    <x v="0"/>
    <x v="1"/>
    <s v="FS"/>
    <x v="2"/>
    <m/>
    <m/>
    <m/>
  </r>
  <r>
    <n v="1360"/>
    <s v="SP"/>
    <x v="3"/>
    <x v="8"/>
    <x v="8"/>
    <s v="SERVIÇO"/>
    <x v="1502"/>
    <x v="19"/>
    <n v="99771.839999999997"/>
    <n v="93635.86"/>
    <x v="286"/>
    <x v="54"/>
    <x v="255"/>
    <x v="0"/>
    <m/>
    <x v="0"/>
    <x v="1"/>
    <s v="FS"/>
    <x v="2"/>
    <m/>
    <m/>
    <m/>
  </r>
  <r>
    <n v="1360"/>
    <s v="SP"/>
    <x v="3"/>
    <x v="8"/>
    <x v="8"/>
    <s v="SERVIÇO"/>
    <x v="1503"/>
    <x v="19"/>
    <n v="58296"/>
    <n v="54710.8"/>
    <x v="286"/>
    <x v="54"/>
    <x v="255"/>
    <x v="0"/>
    <m/>
    <x v="0"/>
    <x v="1"/>
    <s v="FS"/>
    <x v="2"/>
    <m/>
    <m/>
    <m/>
  </r>
  <r>
    <n v="1360"/>
    <s v="SP"/>
    <x v="3"/>
    <x v="8"/>
    <x v="8"/>
    <s v="SERVIÇO"/>
    <x v="1504"/>
    <x v="19"/>
    <n v="97497.600000000006"/>
    <n v="91501.5"/>
    <x v="286"/>
    <x v="54"/>
    <x v="255"/>
    <x v="0"/>
    <m/>
    <x v="0"/>
    <x v="1"/>
    <s v="FS"/>
    <x v="2"/>
    <m/>
    <m/>
    <m/>
  </r>
  <r>
    <n v="1360"/>
    <s v="SP"/>
    <x v="3"/>
    <x v="8"/>
    <x v="8"/>
    <s v="SERVIÇO"/>
    <x v="1505"/>
    <x v="19"/>
    <n v="39348"/>
    <n v="36928.1"/>
    <x v="286"/>
    <x v="54"/>
    <x v="255"/>
    <x v="0"/>
    <m/>
    <x v="0"/>
    <x v="1"/>
    <s v="FS"/>
    <x v="2"/>
    <m/>
    <m/>
    <m/>
  </r>
  <r>
    <n v="1360"/>
    <s v="SP"/>
    <x v="3"/>
    <x v="8"/>
    <x v="8"/>
    <s v="SERVIÇO"/>
    <x v="1506"/>
    <x v="19"/>
    <n v="5287.2"/>
    <n v="4962.03"/>
    <x v="234"/>
    <x v="54"/>
    <x v="255"/>
    <x v="0"/>
    <m/>
    <x v="0"/>
    <x v="1"/>
    <s v="FS"/>
    <x v="2"/>
    <m/>
    <m/>
    <m/>
  </r>
  <r>
    <n v="1360"/>
    <s v="SP"/>
    <x v="3"/>
    <x v="8"/>
    <x v="8"/>
    <s v="SERVIÇO"/>
    <x v="1507"/>
    <x v="19"/>
    <n v="7159.2"/>
    <n v="6718.91"/>
    <x v="234"/>
    <x v="54"/>
    <x v="255"/>
    <x v="0"/>
    <m/>
    <x v="0"/>
    <x v="1"/>
    <s v="FS"/>
    <x v="2"/>
    <m/>
    <m/>
    <m/>
  </r>
  <r>
    <n v="1360"/>
    <s v="SP"/>
    <x v="3"/>
    <x v="8"/>
    <x v="8"/>
    <s v="SERVIÇO"/>
    <x v="1508"/>
    <x v="19"/>
    <n v="22224"/>
    <n v="20857.23"/>
    <x v="246"/>
    <x v="54"/>
    <x v="162"/>
    <x v="0"/>
    <m/>
    <x v="0"/>
    <x v="1"/>
    <s v="FS"/>
    <x v="2"/>
    <m/>
    <m/>
    <m/>
  </r>
  <r>
    <n v="1360"/>
    <s v="SP"/>
    <x v="3"/>
    <x v="8"/>
    <x v="8"/>
    <s v="SERVIÇO"/>
    <x v="1509"/>
    <x v="19"/>
    <n v="59302.8"/>
    <n v="55655.68"/>
    <x v="246"/>
    <x v="54"/>
    <x v="255"/>
    <x v="0"/>
    <m/>
    <x v="0"/>
    <x v="1"/>
    <s v="FS"/>
    <x v="2"/>
    <m/>
    <m/>
    <m/>
  </r>
  <r>
    <n v="1360"/>
    <s v="SP"/>
    <x v="3"/>
    <x v="8"/>
    <x v="8"/>
    <s v="SERVIÇO"/>
    <x v="1510"/>
    <x v="19"/>
    <n v="33959.519999999997"/>
    <n v="31871"/>
    <x v="246"/>
    <x v="54"/>
    <x v="162"/>
    <x v="0"/>
    <m/>
    <x v="0"/>
    <x v="1"/>
    <s v="FS"/>
    <x v="2"/>
    <m/>
    <m/>
    <m/>
  </r>
  <r>
    <n v="1360"/>
    <s v="SP"/>
    <x v="3"/>
    <x v="8"/>
    <x v="8"/>
    <s v="SERVIÇO"/>
    <x v="1511"/>
    <x v="19"/>
    <n v="25062"/>
    <n v="23520.69"/>
    <x v="258"/>
    <x v="54"/>
    <x v="255"/>
    <x v="0"/>
    <m/>
    <x v="0"/>
    <x v="1"/>
    <s v="FS"/>
    <x v="2"/>
    <m/>
    <m/>
    <m/>
  </r>
  <r>
    <n v="1360"/>
    <s v="SP"/>
    <x v="3"/>
    <x v="8"/>
    <x v="8"/>
    <s v="SERVIÇO"/>
    <x v="1512"/>
    <x v="19"/>
    <n v="140402.88"/>
    <n v="131768.1"/>
    <x v="246"/>
    <x v="54"/>
    <x v="255"/>
    <x v="0"/>
    <m/>
    <x v="0"/>
    <x v="1"/>
    <s v="FS"/>
    <x v="2"/>
    <m/>
    <m/>
    <m/>
  </r>
  <r>
    <n v="1360"/>
    <s v="SP"/>
    <x v="3"/>
    <x v="8"/>
    <x v="8"/>
    <s v="SERVIÇO"/>
    <x v="1513"/>
    <x v="19"/>
    <n v="19668"/>
    <n v="18458.419999999998"/>
    <x v="160"/>
    <x v="54"/>
    <x v="255"/>
    <x v="0"/>
    <m/>
    <x v="0"/>
    <x v="1"/>
    <s v="FS"/>
    <x v="2"/>
    <m/>
    <m/>
    <m/>
  </r>
  <r>
    <n v="1360"/>
    <s v="SP"/>
    <x v="3"/>
    <x v="8"/>
    <x v="8"/>
    <s v="SERVIÇO"/>
    <x v="1514"/>
    <x v="19"/>
    <n v="10200"/>
    <n v="9572.7000000000007"/>
    <x v="286"/>
    <x v="54"/>
    <x v="255"/>
    <x v="0"/>
    <m/>
    <x v="0"/>
    <x v="1"/>
    <s v="FS"/>
    <x v="2"/>
    <m/>
    <m/>
    <m/>
  </r>
  <r>
    <n v="1360"/>
    <s v="SP"/>
    <x v="3"/>
    <x v="8"/>
    <x v="8"/>
    <s v="SERVIÇO"/>
    <x v="1515"/>
    <x v="19"/>
    <n v="11600.64"/>
    <n v="10887.2"/>
    <x v="246"/>
    <x v="54"/>
    <x v="255"/>
    <x v="0"/>
    <m/>
    <x v="0"/>
    <x v="1"/>
    <s v="FS"/>
    <x v="2"/>
    <m/>
    <m/>
    <m/>
  </r>
  <r>
    <n v="1360"/>
    <s v="SP"/>
    <x v="3"/>
    <x v="8"/>
    <x v="8"/>
    <s v="SERVIÇO"/>
    <x v="1516"/>
    <x v="19"/>
    <n v="23160"/>
    <n v="21735.66"/>
    <x v="246"/>
    <x v="54"/>
    <x v="162"/>
    <x v="0"/>
    <m/>
    <x v="0"/>
    <x v="1"/>
    <s v="FS"/>
    <x v="2"/>
    <m/>
    <m/>
    <m/>
  </r>
  <r>
    <n v="1360"/>
    <s v="SP"/>
    <x v="3"/>
    <x v="8"/>
    <x v="8"/>
    <s v="SERVIÇO"/>
    <x v="1517"/>
    <x v="19"/>
    <n v="27535.200000000001"/>
    <n v="25841.78"/>
    <x v="234"/>
    <x v="54"/>
    <x v="255"/>
    <x v="0"/>
    <m/>
    <x v="0"/>
    <x v="1"/>
    <s v="FS"/>
    <x v="2"/>
    <m/>
    <m/>
    <m/>
  </r>
  <r>
    <n v="1360"/>
    <s v="SP"/>
    <x v="3"/>
    <x v="8"/>
    <x v="8"/>
    <s v="SERVIÇO"/>
    <x v="1518"/>
    <x v="19"/>
    <n v="19371.599999999999"/>
    <n v="18180.240000000002"/>
    <x v="234"/>
    <x v="54"/>
    <x v="255"/>
    <x v="0"/>
    <m/>
    <x v="0"/>
    <x v="1"/>
    <s v="FS"/>
    <x v="2"/>
    <m/>
    <m/>
    <m/>
  </r>
  <r>
    <n v="1360"/>
    <s v="SP"/>
    <x v="3"/>
    <x v="8"/>
    <x v="8"/>
    <s v="SERVIÇO"/>
    <x v="1519"/>
    <x v="19"/>
    <n v="9667.2000000000007"/>
    <n v="9072.66"/>
    <x v="246"/>
    <x v="70"/>
    <x v="225"/>
    <x v="0"/>
    <m/>
    <x v="0"/>
    <x v="1"/>
    <s v="FS"/>
    <x v="2"/>
    <m/>
    <m/>
    <m/>
  </r>
  <r>
    <n v="1360"/>
    <s v="SP"/>
    <x v="3"/>
    <x v="8"/>
    <x v="8"/>
    <s v="SERVIÇO"/>
    <x v="1520"/>
    <x v="19"/>
    <n v="28027.200000000001"/>
    <n v="26303.52"/>
    <x v="246"/>
    <x v="54"/>
    <x v="255"/>
    <x v="0"/>
    <m/>
    <x v="0"/>
    <x v="1"/>
    <s v="FS"/>
    <x v="2"/>
    <m/>
    <m/>
    <m/>
  </r>
  <r>
    <n v="1360"/>
    <s v="SP"/>
    <x v="3"/>
    <x v="8"/>
    <x v="8"/>
    <s v="SERVIÇO"/>
    <x v="1521"/>
    <x v="19"/>
    <n v="12600"/>
    <n v="11825.1"/>
    <x v="246"/>
    <x v="54"/>
    <x v="255"/>
    <x v="0"/>
    <m/>
    <x v="0"/>
    <x v="1"/>
    <s v="FS"/>
    <x v="2"/>
    <m/>
    <m/>
    <m/>
  </r>
  <r>
    <n v="1360"/>
    <s v="SP"/>
    <x v="3"/>
    <x v="8"/>
    <x v="8"/>
    <s v="SERVIÇO"/>
    <x v="1522"/>
    <x v="20"/>
    <n v="166420.79999999999"/>
    <n v="156185.92000000001"/>
    <x v="258"/>
    <x v="54"/>
    <x v="255"/>
    <x v="0"/>
    <m/>
    <x v="0"/>
    <x v="1"/>
    <s v="FS"/>
    <x v="2"/>
    <m/>
    <m/>
    <m/>
  </r>
  <r>
    <n v="1360"/>
    <s v="SP"/>
    <x v="3"/>
    <x v="8"/>
    <x v="8"/>
    <s v="SERVIÇO"/>
    <x v="1523"/>
    <x v="20"/>
    <n v="18265.599999999999"/>
    <n v="17142.259999999998"/>
    <x v="258"/>
    <x v="54"/>
    <x v="255"/>
    <x v="0"/>
    <m/>
    <x v="0"/>
    <x v="1"/>
    <s v="FS"/>
    <x v="2"/>
    <m/>
    <m/>
    <m/>
  </r>
  <r>
    <n v="1360"/>
    <s v="SP"/>
    <x v="3"/>
    <x v="8"/>
    <x v="8"/>
    <s v="SERVIÇO"/>
    <x v="1524"/>
    <x v="19"/>
    <n v="23160"/>
    <n v="21735.66"/>
    <x v="258"/>
    <x v="54"/>
    <x v="255"/>
    <x v="0"/>
    <m/>
    <x v="0"/>
    <x v="1"/>
    <s v="FS"/>
    <x v="2"/>
    <m/>
    <m/>
    <m/>
  </r>
  <r>
    <n v="1360"/>
    <s v="SP"/>
    <x v="3"/>
    <x v="8"/>
    <x v="8"/>
    <s v="SERVIÇO"/>
    <x v="1525"/>
    <x v="17"/>
    <n v="27792"/>
    <n v="26082.79"/>
    <x v="258"/>
    <x v="54"/>
    <x v="255"/>
    <x v="0"/>
    <m/>
    <x v="0"/>
    <x v="1"/>
    <s v="FS"/>
    <x v="2"/>
    <m/>
    <m/>
    <m/>
  </r>
  <r>
    <n v="1360"/>
    <s v="SP"/>
    <x v="3"/>
    <x v="8"/>
    <x v="8"/>
    <s v="SERVIÇO"/>
    <x v="1526"/>
    <x v="20"/>
    <n v="38864"/>
    <n v="36473.86"/>
    <x v="287"/>
    <x v="70"/>
    <x v="225"/>
    <x v="0"/>
    <m/>
    <x v="0"/>
    <x v="1"/>
    <s v="FS"/>
    <x v="2"/>
    <m/>
    <m/>
    <m/>
  </r>
  <r>
    <n v="1360"/>
    <s v="SP"/>
    <x v="3"/>
    <x v="8"/>
    <x v="8"/>
    <s v="SERVIÇO"/>
    <x v="1527"/>
    <x v="20"/>
    <n v="129919.2"/>
    <n v="121929.17"/>
    <x v="287"/>
    <x v="54"/>
    <x v="162"/>
    <x v="0"/>
    <m/>
    <x v="0"/>
    <x v="1"/>
    <s v="FS"/>
    <x v="2"/>
    <m/>
    <m/>
    <m/>
  </r>
  <r>
    <n v="1360"/>
    <s v="SP"/>
    <x v="3"/>
    <x v="8"/>
    <x v="8"/>
    <s v="SERVIÇO"/>
    <x v="1528"/>
    <x v="20"/>
    <n v="18240"/>
    <n v="17118.240000000002"/>
    <x v="287"/>
    <x v="54"/>
    <x v="162"/>
    <x v="0"/>
    <m/>
    <x v="0"/>
    <x v="1"/>
    <s v="FS"/>
    <x v="2"/>
    <m/>
    <m/>
    <m/>
  </r>
  <r>
    <n v="1360"/>
    <s v="SP"/>
    <x v="3"/>
    <x v="8"/>
    <x v="8"/>
    <s v="SERVIÇO"/>
    <x v="1529"/>
    <x v="19"/>
    <n v="59959.199999999997"/>
    <n v="56271.71"/>
    <x v="287"/>
    <x v="33"/>
    <x v="267"/>
    <x v="0"/>
    <m/>
    <x v="0"/>
    <x v="1"/>
    <s v="FS"/>
    <x v="2"/>
    <m/>
    <m/>
    <m/>
  </r>
  <r>
    <n v="1360"/>
    <s v="SP"/>
    <x v="3"/>
    <x v="8"/>
    <x v="8"/>
    <s v="SERVIÇO"/>
    <x v="1530"/>
    <x v="17"/>
    <n v="35892"/>
    <n v="33684.639999999999"/>
    <x v="287"/>
    <x v="33"/>
    <x v="267"/>
    <x v="0"/>
    <m/>
    <x v="0"/>
    <x v="1"/>
    <s v="FS"/>
    <x v="2"/>
    <m/>
    <m/>
    <m/>
  </r>
  <r>
    <n v="1360"/>
    <s v="SP"/>
    <x v="3"/>
    <x v="8"/>
    <x v="8"/>
    <s v="SERVIÇO"/>
    <x v="1531"/>
    <x v="19"/>
    <n v="25329.599999999999"/>
    <n v="23771.84"/>
    <x v="266"/>
    <x v="59"/>
    <x v="244"/>
    <x v="0"/>
    <m/>
    <x v="0"/>
    <x v="1"/>
    <s v="FS"/>
    <x v="2"/>
    <m/>
    <m/>
    <m/>
  </r>
  <r>
    <n v="1360"/>
    <s v="SP"/>
    <x v="3"/>
    <x v="8"/>
    <x v="8"/>
    <s v="SERVIÇO"/>
    <x v="1532"/>
    <x v="19"/>
    <n v="91010.4"/>
    <n v="85413.27"/>
    <x v="266"/>
    <x v="59"/>
    <x v="244"/>
    <x v="0"/>
    <m/>
    <x v="0"/>
    <x v="1"/>
    <s v="FS"/>
    <x v="2"/>
    <m/>
    <m/>
    <m/>
  </r>
  <r>
    <n v="1360"/>
    <s v="SP"/>
    <x v="3"/>
    <x v="8"/>
    <x v="8"/>
    <s v="SERVIÇO"/>
    <x v="1533"/>
    <x v="20"/>
    <n v="53273.599999999999"/>
    <n v="49997.27"/>
    <x v="266"/>
    <x v="59"/>
    <x v="244"/>
    <x v="0"/>
    <m/>
    <x v="0"/>
    <x v="1"/>
    <s v="FS"/>
    <x v="2"/>
    <m/>
    <m/>
    <m/>
  </r>
  <r>
    <n v="1360"/>
    <s v="SP"/>
    <x v="3"/>
    <x v="8"/>
    <x v="8"/>
    <s v="SERVIÇO"/>
    <x v="1534"/>
    <x v="20"/>
    <n v="96169.52"/>
    <n v="90255.09"/>
    <x v="266"/>
    <x v="59"/>
    <x v="244"/>
    <x v="0"/>
    <m/>
    <x v="0"/>
    <x v="1"/>
    <s v="FS"/>
    <x v="2"/>
    <m/>
    <m/>
    <m/>
  </r>
  <r>
    <n v="1360"/>
    <s v="SP"/>
    <x v="3"/>
    <x v="8"/>
    <x v="8"/>
    <s v="SERVIÇO"/>
    <x v="1535"/>
    <x v="20"/>
    <n v="90000"/>
    <n v="84465"/>
    <x v="288"/>
    <x v="59"/>
    <x v="244"/>
    <x v="0"/>
    <m/>
    <x v="0"/>
    <x v="1"/>
    <s v="FS"/>
    <x v="2"/>
    <m/>
    <m/>
    <m/>
  </r>
  <r>
    <n v="1360"/>
    <s v="SP"/>
    <x v="3"/>
    <x v="8"/>
    <x v="8"/>
    <s v="SERVIÇO"/>
    <x v="1536"/>
    <x v="20"/>
    <n v="17640"/>
    <n v="16555.14"/>
    <x v="288"/>
    <x v="59"/>
    <x v="244"/>
    <x v="0"/>
    <m/>
    <x v="0"/>
    <x v="1"/>
    <s v="FS"/>
    <x v="2"/>
    <m/>
    <m/>
    <m/>
  </r>
  <r>
    <n v="1360"/>
    <s v="SP"/>
    <x v="3"/>
    <x v="8"/>
    <x v="8"/>
    <s v="SERVIÇO"/>
    <x v="1537"/>
    <x v="20"/>
    <n v="77728"/>
    <n v="72947.73"/>
    <x v="289"/>
    <x v="59"/>
    <x v="244"/>
    <x v="0"/>
    <m/>
    <x v="0"/>
    <x v="1"/>
    <s v="FS"/>
    <x v="2"/>
    <m/>
    <m/>
    <m/>
  </r>
  <r>
    <n v="1360"/>
    <s v="SP"/>
    <x v="3"/>
    <x v="8"/>
    <x v="8"/>
    <s v="SERVIÇO"/>
    <x v="1538"/>
    <x v="20"/>
    <n v="27535.200000000001"/>
    <n v="25841.78"/>
    <x v="290"/>
    <x v="59"/>
    <x v="244"/>
    <x v="0"/>
    <m/>
    <x v="0"/>
    <x v="1"/>
    <s v="FS"/>
    <x v="2"/>
    <m/>
    <m/>
    <m/>
  </r>
  <r>
    <n v="1360"/>
    <s v="SP"/>
    <x v="3"/>
    <x v="8"/>
    <x v="8"/>
    <s v="SERVIÇO"/>
    <x v="1539"/>
    <x v="20"/>
    <n v="59959.199999999997"/>
    <n v="56271.71"/>
    <x v="290"/>
    <x v="59"/>
    <x v="244"/>
    <x v="0"/>
    <m/>
    <x v="0"/>
    <x v="1"/>
    <s v="FS"/>
    <x v="2"/>
    <m/>
    <m/>
    <m/>
  </r>
  <r>
    <n v="1360"/>
    <s v="SP"/>
    <x v="3"/>
    <x v="8"/>
    <x v="8"/>
    <s v="SERVIÇO"/>
    <x v="1540"/>
    <x v="20"/>
    <n v="26224"/>
    <n v="24611.22"/>
    <x v="290"/>
    <x v="59"/>
    <x v="244"/>
    <x v="0"/>
    <m/>
    <x v="0"/>
    <x v="1"/>
    <s v="FS"/>
    <x v="2"/>
    <m/>
    <m/>
    <m/>
  </r>
  <r>
    <n v="1360"/>
    <s v="SP"/>
    <x v="3"/>
    <x v="8"/>
    <x v="8"/>
    <s v="SERVIÇO"/>
    <x v="1541"/>
    <x v="20"/>
    <n v="27535.200000000001"/>
    <n v="25841.78"/>
    <x v="290"/>
    <x v="59"/>
    <x v="244"/>
    <x v="0"/>
    <m/>
    <x v="0"/>
    <x v="1"/>
    <s v="FS"/>
    <x v="2"/>
    <m/>
    <m/>
    <m/>
  </r>
  <r>
    <n v="1360"/>
    <s v="SP"/>
    <x v="3"/>
    <x v="8"/>
    <x v="8"/>
    <s v="SERVIÇO"/>
    <x v="1542"/>
    <x v="20"/>
    <n v="38523.599999999999"/>
    <n v="36154.400000000001"/>
    <x v="290"/>
    <x v="59"/>
    <x v="244"/>
    <x v="0"/>
    <m/>
    <x v="0"/>
    <x v="1"/>
    <s v="FS"/>
    <x v="2"/>
    <m/>
    <m/>
    <m/>
  </r>
  <r>
    <n v="1360"/>
    <s v="SP"/>
    <x v="3"/>
    <x v="8"/>
    <x v="8"/>
    <s v="SERVIÇO"/>
    <x v="1543"/>
    <x v="20"/>
    <n v="15734.4"/>
    <n v="14766.74"/>
    <x v="290"/>
    <x v="59"/>
    <x v="244"/>
    <x v="0"/>
    <m/>
    <x v="0"/>
    <x v="1"/>
    <s v="FS"/>
    <x v="2"/>
    <m/>
    <m/>
    <m/>
  </r>
  <r>
    <n v="1360"/>
    <s v="SP"/>
    <x v="3"/>
    <x v="8"/>
    <x v="8"/>
    <s v="SERVIÇO"/>
    <x v="1544"/>
    <x v="20"/>
    <n v="32342.400000000001"/>
    <n v="30353.34"/>
    <x v="291"/>
    <x v="59"/>
    <x v="244"/>
    <x v="0"/>
    <m/>
    <x v="0"/>
    <x v="1"/>
    <s v="FS"/>
    <x v="2"/>
    <m/>
    <m/>
    <m/>
  </r>
  <r>
    <n v="1360"/>
    <s v="SP"/>
    <x v="3"/>
    <x v="8"/>
    <x v="8"/>
    <s v="SERVIÇO"/>
    <x v="1545"/>
    <x v="20"/>
    <n v="30880"/>
    <n v="28980.880000000001"/>
    <x v="291"/>
    <x v="59"/>
    <x v="244"/>
    <x v="0"/>
    <m/>
    <x v="0"/>
    <x v="1"/>
    <s v="FS"/>
    <x v="2"/>
    <m/>
    <m/>
    <m/>
  </r>
  <r>
    <n v="1360"/>
    <s v="SP"/>
    <x v="3"/>
    <x v="8"/>
    <x v="8"/>
    <s v="SERVIÇO"/>
    <x v="1546"/>
    <x v="20"/>
    <n v="30880"/>
    <n v="28980.880000000001"/>
    <x v="291"/>
    <x v="59"/>
    <x v="244"/>
    <x v="0"/>
    <m/>
    <x v="0"/>
    <x v="1"/>
    <s v="FS"/>
    <x v="2"/>
    <m/>
    <m/>
    <m/>
  </r>
  <r>
    <n v="1360"/>
    <s v="SP"/>
    <x v="3"/>
    <x v="8"/>
    <x v="8"/>
    <s v="SERVIÇO"/>
    <x v="1547"/>
    <x v="20"/>
    <n v="18080.16"/>
    <n v="16968.240000000002"/>
    <x v="291"/>
    <x v="59"/>
    <x v="244"/>
    <x v="0"/>
    <m/>
    <x v="0"/>
    <x v="1"/>
    <s v="FS"/>
    <x v="2"/>
    <m/>
    <m/>
    <m/>
  </r>
  <r>
    <n v="1360"/>
    <s v="SP"/>
    <x v="3"/>
    <x v="8"/>
    <x v="8"/>
    <s v="SERVIÇO"/>
    <x v="1548"/>
    <x v="20"/>
    <n v="7748.64"/>
    <n v="7272.09"/>
    <x v="291"/>
    <x v="59"/>
    <x v="244"/>
    <x v="0"/>
    <m/>
    <x v="0"/>
    <x v="1"/>
    <s v="FS"/>
    <x v="2"/>
    <m/>
    <m/>
    <m/>
  </r>
  <r>
    <n v="1360"/>
    <s v="SP"/>
    <x v="3"/>
    <x v="8"/>
    <x v="8"/>
    <s v="SERVIÇO"/>
    <x v="1549"/>
    <x v="20"/>
    <n v="97708"/>
    <n v="91698.96"/>
    <x v="291"/>
    <x v="59"/>
    <x v="244"/>
    <x v="0"/>
    <m/>
    <x v="0"/>
    <x v="1"/>
    <s v="FS"/>
    <x v="2"/>
    <m/>
    <m/>
    <m/>
  </r>
  <r>
    <n v="1360"/>
    <s v="SP"/>
    <x v="3"/>
    <x v="8"/>
    <x v="8"/>
    <s v="SERVIÇO"/>
    <x v="1550"/>
    <x v="20"/>
    <n v="42312.800000000003"/>
    <n v="39710.57"/>
    <x v="292"/>
    <x v="59"/>
    <x v="244"/>
    <x v="0"/>
    <m/>
    <x v="0"/>
    <x v="1"/>
    <s v="FS"/>
    <x v="2"/>
    <m/>
    <m/>
    <m/>
  </r>
  <r>
    <n v="1360"/>
    <s v="SP"/>
    <x v="3"/>
    <x v="8"/>
    <x v="8"/>
    <s v="SERVIÇO"/>
    <x v="1551"/>
    <x v="20"/>
    <n v="175433.60000000001"/>
    <n v="164644.43"/>
    <x v="292"/>
    <x v="59"/>
    <x v="244"/>
    <x v="0"/>
    <m/>
    <x v="0"/>
    <x v="1"/>
    <s v="FS"/>
    <x v="2"/>
    <m/>
    <m/>
    <m/>
  </r>
  <r>
    <n v="1360"/>
    <s v="SP"/>
    <x v="3"/>
    <x v="8"/>
    <x v="8"/>
    <s v="SERVIÇO"/>
    <x v="1552"/>
    <x v="20"/>
    <n v="33416"/>
    <n v="31360.92"/>
    <x v="293"/>
    <x v="59"/>
    <x v="244"/>
    <x v="0"/>
    <m/>
    <x v="0"/>
    <x v="1"/>
    <s v="FS"/>
    <x v="2"/>
    <m/>
    <m/>
    <m/>
  </r>
  <r>
    <n v="1360"/>
    <s v="SP"/>
    <x v="3"/>
    <x v="8"/>
    <x v="8"/>
    <s v="SERVIÇO"/>
    <x v="1553"/>
    <x v="20"/>
    <n v="37369.599999999999"/>
    <n v="35071.370000000003"/>
    <x v="293"/>
    <x v="59"/>
    <x v="244"/>
    <x v="0"/>
    <m/>
    <x v="0"/>
    <x v="1"/>
    <s v="FS"/>
    <x v="2"/>
    <m/>
    <m/>
    <m/>
  </r>
  <r>
    <n v="1360"/>
    <s v="SP"/>
    <x v="3"/>
    <x v="8"/>
    <x v="8"/>
    <s v="SERVIÇO"/>
    <x v="1554"/>
    <x v="20"/>
    <n v="49108.800000000003"/>
    <n v="46088.61"/>
    <x v="293"/>
    <x v="59"/>
    <x v="244"/>
    <x v="0"/>
    <m/>
    <x v="0"/>
    <x v="1"/>
    <s v="FS"/>
    <x v="2"/>
    <m/>
    <m/>
    <m/>
  </r>
  <r>
    <n v="1360"/>
    <s v="SP"/>
    <x v="3"/>
    <x v="8"/>
    <x v="8"/>
    <s v="SERVIÇO"/>
    <x v="1555"/>
    <x v="30"/>
    <n v="114957.44"/>
    <n v="107887.57"/>
    <x v="249"/>
    <x v="62"/>
    <x v="192"/>
    <x v="0"/>
    <m/>
    <x v="0"/>
    <x v="1"/>
    <s v="FS"/>
    <x v="2"/>
    <m/>
    <m/>
    <m/>
  </r>
  <r>
    <n v="1360"/>
    <s v="SP"/>
    <x v="3"/>
    <x v="8"/>
    <x v="8"/>
    <s v="SERVIÇO"/>
    <x v="1556"/>
    <x v="21"/>
    <n v="52098.400000000001"/>
    <n v="48894.35"/>
    <x v="262"/>
    <x v="62"/>
    <x v="192"/>
    <x v="0"/>
    <m/>
    <x v="0"/>
    <x v="1"/>
    <s v="FS"/>
    <x v="2"/>
    <m/>
    <m/>
    <m/>
  </r>
  <r>
    <n v="1360"/>
    <s v="SP"/>
    <x v="3"/>
    <x v="8"/>
    <x v="8"/>
    <s v="SERVIÇO"/>
    <x v="1557"/>
    <x v="21"/>
    <n v="88090.08"/>
    <n v="82672.539999999994"/>
    <x v="262"/>
    <x v="62"/>
    <x v="192"/>
    <x v="0"/>
    <m/>
    <x v="0"/>
    <x v="1"/>
    <s v="FS"/>
    <x v="2"/>
    <m/>
    <m/>
    <m/>
  </r>
  <r>
    <n v="1360"/>
    <s v="SP"/>
    <x v="3"/>
    <x v="8"/>
    <x v="8"/>
    <s v="SERVIÇO"/>
    <x v="1558"/>
    <x v="21"/>
    <n v="40998.720000000001"/>
    <n v="38477.300000000003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59"/>
    <x v="30"/>
    <n v="32780"/>
    <n v="30764.03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60"/>
    <x v="21"/>
    <n v="73841.600000000006"/>
    <n v="69300.34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61"/>
    <x v="21"/>
    <n v="54248.800000000003"/>
    <n v="50912.5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62"/>
    <x v="21"/>
    <n v="24912.799999999999"/>
    <n v="23380.67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63"/>
    <x v="21"/>
    <n v="33577.440000000002"/>
    <n v="31512.44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64"/>
    <x v="21"/>
    <n v="24912.799999999999"/>
    <n v="23380.67"/>
    <x v="294"/>
    <x v="62"/>
    <x v="192"/>
    <x v="0"/>
    <m/>
    <x v="0"/>
    <x v="1"/>
    <s v="FS"/>
    <x v="2"/>
    <m/>
    <m/>
    <m/>
  </r>
  <r>
    <n v="1360"/>
    <s v="SP"/>
    <x v="3"/>
    <x v="8"/>
    <x v="8"/>
    <s v="SERVIÇO"/>
    <x v="1565"/>
    <x v="21"/>
    <n v="34977.599999999999"/>
    <n v="32826.480000000003"/>
    <x v="295"/>
    <x v="62"/>
    <x v="192"/>
    <x v="0"/>
    <m/>
    <x v="0"/>
    <x v="1"/>
    <s v="FS"/>
    <x v="2"/>
    <m/>
    <m/>
    <m/>
  </r>
  <r>
    <n v="1360"/>
    <s v="SP"/>
    <x v="3"/>
    <x v="8"/>
    <x v="8"/>
    <s v="SERVIÇO"/>
    <x v="1566"/>
    <x v="21"/>
    <n v="16416"/>
    <n v="15406.42"/>
    <x v="295"/>
    <x v="62"/>
    <x v="192"/>
    <x v="0"/>
    <m/>
    <x v="0"/>
    <x v="1"/>
    <s v="FS"/>
    <x v="2"/>
    <m/>
    <m/>
    <m/>
  </r>
  <r>
    <n v="1360"/>
    <s v="SP"/>
    <x v="3"/>
    <x v="8"/>
    <x v="8"/>
    <s v="SERVIÇO"/>
    <x v="1567"/>
    <x v="21"/>
    <n v="47217.599999999999"/>
    <n v="44313.72"/>
    <x v="295"/>
    <x v="62"/>
    <x v="192"/>
    <x v="0"/>
    <m/>
    <x v="0"/>
    <x v="1"/>
    <s v="FS"/>
    <x v="2"/>
    <m/>
    <m/>
    <m/>
  </r>
  <r>
    <n v="1360"/>
    <s v="SP"/>
    <x v="3"/>
    <x v="8"/>
    <x v="8"/>
    <s v="SERVIÇO"/>
    <x v="1568"/>
    <x v="21"/>
    <n v="83413.039999999994"/>
    <n v="78283.14"/>
    <x v="296"/>
    <x v="62"/>
    <x v="192"/>
    <x v="0"/>
    <m/>
    <x v="0"/>
    <x v="1"/>
    <s v="FS"/>
    <x v="2"/>
    <m/>
    <m/>
    <m/>
  </r>
  <r>
    <n v="1360"/>
    <s v="SP"/>
    <x v="3"/>
    <x v="8"/>
    <x v="8"/>
    <s v="SERVIÇO"/>
    <x v="1569"/>
    <x v="21"/>
    <n v="29108.16"/>
    <n v="27318.02"/>
    <x v="296"/>
    <x v="62"/>
    <x v="192"/>
    <x v="0"/>
    <m/>
    <x v="0"/>
    <x v="1"/>
    <s v="FS"/>
    <x v="2"/>
    <m/>
    <m/>
    <m/>
  </r>
  <r>
    <n v="1360"/>
    <s v="SP"/>
    <x v="3"/>
    <x v="8"/>
    <x v="8"/>
    <s v="SERVIÇO"/>
    <x v="1570"/>
    <x v="21"/>
    <n v="59133.599999999999"/>
    <n v="55496.88"/>
    <x v="296"/>
    <x v="62"/>
    <x v="192"/>
    <x v="0"/>
    <m/>
    <x v="0"/>
    <x v="1"/>
    <s v="FS"/>
    <x v="2"/>
    <m/>
    <m/>
    <m/>
  </r>
  <r>
    <n v="1360"/>
    <s v="SP"/>
    <x v="3"/>
    <x v="8"/>
    <x v="8"/>
    <s v="SERVIÇO"/>
    <x v="1571"/>
    <x v="21"/>
    <n v="15960"/>
    <n v="14978.46"/>
    <x v="296"/>
    <x v="62"/>
    <x v="192"/>
    <x v="0"/>
    <m/>
    <x v="0"/>
    <x v="1"/>
    <s v="FS"/>
    <x v="2"/>
    <m/>
    <m/>
    <m/>
  </r>
  <r>
    <n v="1360"/>
    <s v="SP"/>
    <x v="3"/>
    <x v="8"/>
    <x v="8"/>
    <s v="SERVIÇO"/>
    <x v="1572"/>
    <x v="21"/>
    <n v="23601.599999999999"/>
    <n v="22150.1"/>
    <x v="296"/>
    <x v="62"/>
    <x v="192"/>
    <x v="0"/>
    <m/>
    <x v="0"/>
    <x v="1"/>
    <s v="FS"/>
    <x v="2"/>
    <m/>
    <m/>
    <m/>
  </r>
  <r>
    <n v="1360"/>
    <s v="SP"/>
    <x v="3"/>
    <x v="8"/>
    <x v="8"/>
    <s v="SERVIÇO"/>
    <x v="1573"/>
    <x v="21"/>
    <n v="52776"/>
    <n v="49530.28"/>
    <x v="296"/>
    <x v="62"/>
    <x v="192"/>
    <x v="0"/>
    <m/>
    <x v="0"/>
    <x v="1"/>
    <s v="FS"/>
    <x v="2"/>
    <m/>
    <m/>
    <m/>
  </r>
  <r>
    <n v="1360"/>
    <s v="SP"/>
    <x v="3"/>
    <x v="8"/>
    <x v="8"/>
    <s v="SERVIÇO"/>
    <x v="1574"/>
    <x v="21"/>
    <n v="29686.48"/>
    <n v="27860.77"/>
    <x v="297"/>
    <x v="62"/>
    <x v="192"/>
    <x v="0"/>
    <m/>
    <x v="0"/>
    <x v="1"/>
    <s v="FS"/>
    <x v="2"/>
    <m/>
    <m/>
    <m/>
  </r>
  <r>
    <n v="1360"/>
    <s v="SP"/>
    <x v="3"/>
    <x v="8"/>
    <x v="8"/>
    <s v="SERVIÇO"/>
    <x v="1575"/>
    <x v="21"/>
    <n v="33632.639999999999"/>
    <n v="31564.23"/>
    <x v="297"/>
    <x v="62"/>
    <x v="192"/>
    <x v="0"/>
    <m/>
    <x v="0"/>
    <x v="1"/>
    <s v="FS"/>
    <x v="2"/>
    <m/>
    <m/>
    <m/>
  </r>
  <r>
    <n v="1360"/>
    <s v="SP"/>
    <x v="3"/>
    <x v="8"/>
    <x v="8"/>
    <s v="SERVIÇO"/>
    <x v="1576"/>
    <x v="21"/>
    <n v="145618.20000000001"/>
    <n v="136662.68"/>
    <x v="298"/>
    <x v="62"/>
    <x v="192"/>
    <x v="0"/>
    <m/>
    <x v="0"/>
    <x v="1"/>
    <s v="FS"/>
    <x v="2"/>
    <m/>
    <m/>
    <m/>
  </r>
  <r>
    <n v="1360"/>
    <s v="SP"/>
    <x v="3"/>
    <x v="8"/>
    <x v="8"/>
    <s v="SERVIÇO"/>
    <x v="1577"/>
    <x v="21"/>
    <n v="15982.4"/>
    <n v="14999.48"/>
    <x v="298"/>
    <x v="62"/>
    <x v="192"/>
    <x v="0"/>
    <m/>
    <x v="0"/>
    <x v="1"/>
    <s v="FS"/>
    <x v="2"/>
    <m/>
    <m/>
    <m/>
  </r>
  <r>
    <n v="1360"/>
    <s v="SP"/>
    <x v="3"/>
    <x v="8"/>
    <x v="8"/>
    <s v="SERVIÇO"/>
    <x v="1578"/>
    <x v="21"/>
    <n v="14574"/>
    <n v="13677.7"/>
    <x v="298"/>
    <x v="72"/>
    <x v="264"/>
    <x v="0"/>
    <m/>
    <x v="0"/>
    <x v="1"/>
    <s v="FS"/>
    <x v="2"/>
    <m/>
    <m/>
    <m/>
  </r>
  <r>
    <n v="1360"/>
    <s v="SP"/>
    <x v="3"/>
    <x v="8"/>
    <x v="8"/>
    <s v="SERVIÇO"/>
    <x v="1579"/>
    <x v="21"/>
    <n v="53759.199999999997"/>
    <n v="50453.01"/>
    <x v="298"/>
    <x v="62"/>
    <x v="192"/>
    <x v="0"/>
    <m/>
    <x v="0"/>
    <x v="1"/>
    <s v="FS"/>
    <x v="2"/>
    <m/>
    <m/>
    <m/>
  </r>
  <r>
    <n v="1360"/>
    <s v="SP"/>
    <x v="3"/>
    <x v="8"/>
    <x v="8"/>
    <s v="SERVIÇO"/>
    <x v="1580"/>
    <x v="21"/>
    <n v="27792"/>
    <n v="26082.79"/>
    <x v="298"/>
    <x v="62"/>
    <x v="192"/>
    <x v="0"/>
    <m/>
    <x v="0"/>
    <x v="1"/>
    <s v="FS"/>
    <x v="2"/>
    <m/>
    <m/>
    <m/>
  </r>
  <r>
    <n v="1360"/>
    <s v="SP"/>
    <x v="3"/>
    <x v="8"/>
    <x v="8"/>
    <s v="SERVIÇO"/>
    <x v="1581"/>
    <x v="21"/>
    <n v="27792"/>
    <n v="26082.79"/>
    <x v="298"/>
    <x v="62"/>
    <x v="192"/>
    <x v="0"/>
    <m/>
    <x v="0"/>
    <x v="1"/>
    <s v="FS"/>
    <x v="2"/>
    <m/>
    <m/>
    <m/>
  </r>
  <r>
    <n v="1360"/>
    <s v="SP"/>
    <x v="3"/>
    <x v="8"/>
    <x v="8"/>
    <s v="SERVIÇO"/>
    <x v="1582"/>
    <x v="21"/>
    <n v="30074.400000000001"/>
    <n v="28224.82"/>
    <x v="227"/>
    <x v="63"/>
    <x v="193"/>
    <x v="0"/>
    <m/>
    <x v="0"/>
    <x v="1"/>
    <s v="FS"/>
    <x v="2"/>
    <m/>
    <m/>
    <m/>
  </r>
  <r>
    <n v="1387"/>
    <s v="SP"/>
    <x v="3"/>
    <x v="8"/>
    <x v="47"/>
    <s v="SERVIÇO"/>
    <x v="1583"/>
    <x v="19"/>
    <n v="30450"/>
    <n v="28577.32"/>
    <x v="266"/>
    <x v="59"/>
    <x v="244"/>
    <x v="0"/>
    <m/>
    <x v="0"/>
    <x v="0"/>
    <s v="FS"/>
    <x v="2"/>
    <m/>
    <m/>
    <m/>
  </r>
  <r>
    <n v="1387"/>
    <s v="SP"/>
    <x v="3"/>
    <x v="8"/>
    <x v="47"/>
    <s v="SERVIÇO"/>
    <x v="1584"/>
    <x v="20"/>
    <n v="29920"/>
    <n v="28079.919999999998"/>
    <x v="266"/>
    <x v="59"/>
    <x v="244"/>
    <x v="0"/>
    <m/>
    <x v="0"/>
    <x v="0"/>
    <s v="FS"/>
    <x v="2"/>
    <m/>
    <m/>
    <m/>
  </r>
  <r>
    <n v="1387"/>
    <s v="SP"/>
    <x v="3"/>
    <x v="8"/>
    <x v="47"/>
    <s v="SERVIÇO"/>
    <x v="1585"/>
    <x v="19"/>
    <n v="48432"/>
    <n v="45453.43"/>
    <x v="266"/>
    <x v="59"/>
    <x v="244"/>
    <x v="0"/>
    <m/>
    <x v="0"/>
    <x v="0"/>
    <s v="FS"/>
    <x v="2"/>
    <m/>
    <m/>
    <m/>
  </r>
  <r>
    <n v="1387"/>
    <s v="SP"/>
    <x v="3"/>
    <x v="8"/>
    <x v="47"/>
    <s v="SERVIÇO"/>
    <x v="1586"/>
    <x v="20"/>
    <n v="57692.800000000003"/>
    <n v="54144.7"/>
    <x v="289"/>
    <x v="59"/>
    <x v="244"/>
    <x v="0"/>
    <m/>
    <x v="0"/>
    <x v="0"/>
    <s v="FS"/>
    <x v="2"/>
    <m/>
    <m/>
    <m/>
  </r>
  <r>
    <n v="1387"/>
    <s v="SP"/>
    <x v="3"/>
    <x v="8"/>
    <x v="47"/>
    <s v="SERVIÇO"/>
    <x v="1587"/>
    <x v="20"/>
    <n v="40600"/>
    <n v="38103.1"/>
    <x v="289"/>
    <x v="59"/>
    <x v="244"/>
    <x v="0"/>
    <m/>
    <x v="0"/>
    <x v="0"/>
    <s v="FS"/>
    <x v="2"/>
    <m/>
    <m/>
    <m/>
  </r>
  <r>
    <n v="1387"/>
    <s v="SP"/>
    <x v="3"/>
    <x v="8"/>
    <x v="47"/>
    <s v="SERVIÇO"/>
    <x v="1588"/>
    <x v="19"/>
    <n v="81200"/>
    <n v="76206.2"/>
    <x v="291"/>
    <x v="59"/>
    <x v="244"/>
    <x v="0"/>
    <m/>
    <x v="0"/>
    <x v="0"/>
    <s v="FS"/>
    <x v="2"/>
    <m/>
    <m/>
    <m/>
  </r>
  <r>
    <n v="1387"/>
    <s v="SP"/>
    <x v="3"/>
    <x v="8"/>
    <x v="47"/>
    <s v="SERVIÇO"/>
    <x v="1589"/>
    <x v="20"/>
    <n v="44660"/>
    <n v="41913.410000000003"/>
    <x v="293"/>
    <x v="59"/>
    <x v="244"/>
    <x v="0"/>
    <m/>
    <x v="0"/>
    <x v="0"/>
    <s v="FS"/>
    <x v="2"/>
    <m/>
    <m/>
    <m/>
  </r>
  <r>
    <n v="1387"/>
    <s v="SP"/>
    <x v="3"/>
    <x v="8"/>
    <x v="47"/>
    <s v="SERVIÇO"/>
    <x v="1590"/>
    <x v="21"/>
    <n v="29920"/>
    <n v="28079.919999999998"/>
    <x v="262"/>
    <x v="62"/>
    <x v="192"/>
    <x v="0"/>
    <m/>
    <x v="0"/>
    <x v="0"/>
    <s v="FS"/>
    <x v="2"/>
    <m/>
    <m/>
    <m/>
  </r>
  <r>
    <n v="1387"/>
    <s v="SP"/>
    <x v="3"/>
    <x v="8"/>
    <x v="47"/>
    <s v="SERVIÇO"/>
    <x v="1591"/>
    <x v="30"/>
    <n v="32288"/>
    <n v="30302.29"/>
    <x v="294"/>
    <x v="62"/>
    <x v="192"/>
    <x v="0"/>
    <m/>
    <x v="0"/>
    <x v="0"/>
    <s v="FS"/>
    <x v="2"/>
    <m/>
    <m/>
    <m/>
  </r>
  <r>
    <n v="1387"/>
    <s v="SP"/>
    <x v="3"/>
    <x v="8"/>
    <x v="47"/>
    <s v="SERVIÇO"/>
    <x v="1592"/>
    <x v="21"/>
    <n v="38745.599999999999"/>
    <n v="36362.74"/>
    <x v="294"/>
    <x v="62"/>
    <x v="192"/>
    <x v="0"/>
    <m/>
    <x v="0"/>
    <x v="0"/>
    <s v="FS"/>
    <x v="2"/>
    <m/>
    <m/>
    <m/>
  </r>
  <r>
    <n v="1387"/>
    <s v="SP"/>
    <x v="3"/>
    <x v="8"/>
    <x v="47"/>
    <s v="SERVIÇO"/>
    <x v="1593"/>
    <x v="21"/>
    <n v="74751.360000000001"/>
    <n v="70154.16"/>
    <x v="295"/>
    <x v="62"/>
    <x v="192"/>
    <x v="0"/>
    <m/>
    <x v="0"/>
    <x v="0"/>
    <s v="FS"/>
    <x v="2"/>
    <m/>
    <m/>
    <m/>
  </r>
  <r>
    <n v="1387"/>
    <s v="SP"/>
    <x v="3"/>
    <x v="8"/>
    <x v="47"/>
    <s v="SERVIÇO"/>
    <x v="1594"/>
    <x v="21"/>
    <n v="73080"/>
    <n v="68585.58"/>
    <x v="295"/>
    <x v="62"/>
    <x v="192"/>
    <x v="0"/>
    <m/>
    <x v="0"/>
    <x v="0"/>
    <s v="FS"/>
    <x v="2"/>
    <m/>
    <m/>
    <m/>
  </r>
  <r>
    <n v="1387"/>
    <s v="SP"/>
    <x v="3"/>
    <x v="8"/>
    <x v="47"/>
    <s v="SERVIÇO"/>
    <x v="1595"/>
    <x v="21"/>
    <n v="39336"/>
    <n v="36916.839999999997"/>
    <x v="296"/>
    <x v="62"/>
    <x v="192"/>
    <x v="0"/>
    <m/>
    <x v="0"/>
    <x v="0"/>
    <s v="FS"/>
    <x v="2"/>
    <m/>
    <m/>
    <m/>
  </r>
  <r>
    <n v="1387"/>
    <s v="SP"/>
    <x v="3"/>
    <x v="8"/>
    <x v="47"/>
    <s v="SERVIÇO"/>
    <x v="1596"/>
    <x v="21"/>
    <n v="23658.6"/>
    <n v="22203.55"/>
    <x v="298"/>
    <x v="62"/>
    <x v="192"/>
    <x v="0"/>
    <m/>
    <x v="0"/>
    <x v="0"/>
    <s v="FS"/>
    <x v="2"/>
    <m/>
    <m/>
    <m/>
  </r>
  <r>
    <n v="1387"/>
    <s v="SP"/>
    <x v="3"/>
    <x v="8"/>
    <x v="47"/>
    <s v="SERVIÇO"/>
    <x v="1597"/>
    <x v="21"/>
    <n v="36540"/>
    <n v="34292.78"/>
    <x v="299"/>
    <x v="63"/>
    <x v="193"/>
    <x v="0"/>
    <m/>
    <x v="0"/>
    <x v="0"/>
    <s v="FS"/>
    <x v="2"/>
    <m/>
    <m/>
    <m/>
  </r>
  <r>
    <n v="1387"/>
    <s v="SP"/>
    <x v="3"/>
    <x v="8"/>
    <x v="47"/>
    <s v="SERVIÇO"/>
    <x v="1598"/>
    <x v="22"/>
    <n v="44660"/>
    <n v="41913.4"/>
    <x v="300"/>
    <x v="63"/>
    <x v="193"/>
    <x v="0"/>
    <m/>
    <x v="0"/>
    <x v="0"/>
    <s v="FS"/>
    <x v="2"/>
    <m/>
    <m/>
    <m/>
  </r>
  <r>
    <n v="1387"/>
    <s v="SP"/>
    <x v="3"/>
    <x v="8"/>
    <x v="47"/>
    <s v="SERVIÇO"/>
    <x v="1599"/>
    <x v="22"/>
    <n v="35516.800000000003"/>
    <n v="33332.519999999997"/>
    <x v="301"/>
    <x v="63"/>
    <x v="193"/>
    <x v="0"/>
    <m/>
    <x v="0"/>
    <x v="0"/>
    <s v="FS"/>
    <x v="2"/>
    <m/>
    <m/>
    <m/>
  </r>
  <r>
    <n v="1387"/>
    <s v="SP"/>
    <x v="3"/>
    <x v="8"/>
    <x v="47"/>
    <s v="SERVIÇO"/>
    <x v="1600"/>
    <x v="22"/>
    <n v="28846.400000000001"/>
    <n v="27072.35"/>
    <x v="301"/>
    <x v="63"/>
    <x v="193"/>
    <x v="0"/>
    <m/>
    <x v="0"/>
    <x v="0"/>
    <s v="FS"/>
    <x v="2"/>
    <m/>
    <m/>
    <m/>
  </r>
  <r>
    <n v="1387"/>
    <s v="SP"/>
    <x v="3"/>
    <x v="8"/>
    <x v="47"/>
    <s v="SERVIÇO"/>
    <x v="1601"/>
    <x v="22"/>
    <n v="89320"/>
    <n v="83826.820000000007"/>
    <x v="301"/>
    <x v="63"/>
    <x v="193"/>
    <x v="0"/>
    <m/>
    <x v="0"/>
    <x v="0"/>
    <s v="FS"/>
    <x v="2"/>
    <m/>
    <m/>
    <m/>
  </r>
  <r>
    <n v="1387"/>
    <s v="SP"/>
    <x v="3"/>
    <x v="8"/>
    <x v="47"/>
    <s v="SERVIÇO"/>
    <x v="1602"/>
    <x v="22"/>
    <n v="29742.240000000002"/>
    <n v="27913.1"/>
    <x v="302"/>
    <x v="63"/>
    <x v="193"/>
    <x v="0"/>
    <m/>
    <x v="0"/>
    <x v="0"/>
    <s v="FS"/>
    <x v="2"/>
    <m/>
    <m/>
    <m/>
  </r>
  <r>
    <n v="1387"/>
    <s v="SP"/>
    <x v="3"/>
    <x v="8"/>
    <x v="47"/>
    <s v="SERVIÇO"/>
    <x v="1603"/>
    <x v="22"/>
    <n v="86615.6"/>
    <n v="81288.740000000005"/>
    <x v="302"/>
    <x v="63"/>
    <x v="193"/>
    <x v="0"/>
    <m/>
    <x v="0"/>
    <x v="0"/>
    <s v="FS"/>
    <x v="2"/>
    <m/>
    <m/>
    <m/>
  </r>
  <r>
    <n v="1360"/>
    <s v="SP"/>
    <x v="3"/>
    <x v="8"/>
    <x v="8"/>
    <s v="SERVIÇO"/>
    <x v="1604"/>
    <x v="23"/>
    <n v="42777"/>
    <n v="40146.214203676936"/>
    <x v="303"/>
    <x v="64"/>
    <x v="268"/>
    <x v="0"/>
    <m/>
    <x v="0"/>
    <x v="1"/>
    <s v="FS"/>
    <x v="2"/>
    <m/>
    <m/>
    <m/>
  </r>
  <r>
    <n v="1360"/>
    <s v="SP"/>
    <x v="3"/>
    <x v="8"/>
    <x v="8"/>
    <s v="SERVIÇO"/>
    <x v="1605"/>
    <x v="23"/>
    <n v="151504.35"/>
    <n v="142186.83142550534"/>
    <x v="303"/>
    <x v="64"/>
    <x v="268"/>
    <x v="0"/>
    <m/>
    <x v="0"/>
    <x v="1"/>
    <s v="FS"/>
    <x v="2"/>
    <m/>
    <m/>
    <m/>
  </r>
  <r>
    <n v="1387"/>
    <s v="SP"/>
    <x v="3"/>
    <x v="8"/>
    <x v="47"/>
    <s v="SERVIÇO"/>
    <x v="1606"/>
    <x v="23"/>
    <n v="30144.49"/>
    <n v="28290.603656184339"/>
    <x v="303"/>
    <x v="64"/>
    <x v="268"/>
    <x v="0"/>
    <m/>
    <x v="0"/>
    <x v="0"/>
    <s v="FS"/>
    <x v="2"/>
    <m/>
    <m/>
    <m/>
  </r>
  <r>
    <n v="1387"/>
    <s v="SP"/>
    <x v="3"/>
    <x v="8"/>
    <x v="47"/>
    <s v="SERVIÇO"/>
    <x v="1607"/>
    <x v="23"/>
    <n v="18557.439999999999"/>
    <n v="17416.157311449671"/>
    <x v="303"/>
    <x v="64"/>
    <x v="268"/>
    <x v="0"/>
    <m/>
    <x v="0"/>
    <x v="0"/>
    <s v="FS"/>
    <x v="2"/>
    <m/>
    <m/>
    <m/>
  </r>
  <r>
    <n v="1387"/>
    <s v="SP"/>
    <x v="3"/>
    <x v="8"/>
    <x v="47"/>
    <s v="SERVIÇO"/>
    <x v="1608"/>
    <x v="23"/>
    <n v="14976"/>
    <n v="14054.975896258875"/>
    <x v="304"/>
    <x v="64"/>
    <x v="268"/>
    <x v="0"/>
    <m/>
    <x v="0"/>
    <x v="0"/>
    <s v="FS"/>
    <x v="2"/>
    <m/>
    <m/>
    <m/>
  </r>
  <r>
    <n v="1387"/>
    <s v="SP"/>
    <x v="3"/>
    <x v="8"/>
    <x v="47"/>
    <s v="SERVIÇO"/>
    <x v="1609"/>
    <x v="23"/>
    <n v="42427.199999999997"/>
    <n v="39817.93"/>
    <x v="271"/>
    <x v="64"/>
    <x v="269"/>
    <x v="0"/>
    <m/>
    <x v="0"/>
    <x v="0"/>
    <s v="FS"/>
    <x v="2"/>
    <m/>
    <m/>
    <m/>
  </r>
  <r>
    <n v="1387"/>
    <s v="SP"/>
    <x v="3"/>
    <x v="8"/>
    <x v="47"/>
    <s v="SERVIÇO"/>
    <x v="1610"/>
    <x v="23"/>
    <n v="74583.64"/>
    <n v="69996.75"/>
    <x v="305"/>
    <x v="77"/>
    <x v="128"/>
    <x v="2"/>
    <m/>
    <x v="0"/>
    <x v="0"/>
    <s v="FS"/>
    <x v="2"/>
    <m/>
    <m/>
    <m/>
  </r>
  <r>
    <n v="1387"/>
    <s v="SP"/>
    <x v="3"/>
    <x v="8"/>
    <x v="47"/>
    <s v="SERVIÇO"/>
    <x v="1611"/>
    <x v="24"/>
    <n v="30145.279999999999"/>
    <n v="28291.35"/>
    <x v="306"/>
    <x v="77"/>
    <x v="128"/>
    <x v="2"/>
    <m/>
    <x v="0"/>
    <x v="0"/>
    <s v="FS"/>
    <x v="2"/>
    <m/>
    <m/>
    <m/>
  </r>
  <r>
    <n v="1387"/>
    <s v="SP"/>
    <x v="3"/>
    <x v="8"/>
    <x v="47"/>
    <s v="SERVIÇO"/>
    <x v="1612"/>
    <x v="24"/>
    <n v="31449.599999999999"/>
    <n v="29515.45"/>
    <x v="306"/>
    <x v="77"/>
    <x v="128"/>
    <x v="2"/>
    <m/>
    <x v="0"/>
    <x v="0"/>
    <s v="FS"/>
    <x v="2"/>
    <m/>
    <m/>
    <m/>
  </r>
  <r>
    <n v="1387"/>
    <s v="SP"/>
    <x v="3"/>
    <x v="8"/>
    <x v="47"/>
    <s v="SERVIÇO"/>
    <x v="1613"/>
    <x v="24"/>
    <n v="74857.600000000006"/>
    <n v="70253.86"/>
    <x v="307"/>
    <x v="77"/>
    <x v="128"/>
    <x v="2"/>
    <m/>
    <x v="0"/>
    <x v="0"/>
    <s v="FS"/>
    <x v="2"/>
    <m/>
    <m/>
    <m/>
  </r>
  <r>
    <n v="1387"/>
    <s v="SP"/>
    <x v="3"/>
    <x v="8"/>
    <x v="47"/>
    <s v="SERVIÇO"/>
    <x v="1614"/>
    <x v="24"/>
    <n v="33740.800000000003"/>
    <n v="31665.74"/>
    <x v="307"/>
    <x v="77"/>
    <x v="128"/>
    <x v="2"/>
    <m/>
    <x v="0"/>
    <x v="0"/>
    <s v="FS"/>
    <x v="2"/>
    <m/>
    <m/>
    <m/>
  </r>
  <r>
    <n v="1387"/>
    <s v="SP"/>
    <x v="3"/>
    <x v="8"/>
    <x v="47"/>
    <s v="SERVIÇO"/>
    <x v="1615"/>
    <x v="24"/>
    <n v="30240"/>
    <n v="28380.240000000002"/>
    <x v="272"/>
    <x v="83"/>
    <x v="128"/>
    <x v="2"/>
    <m/>
    <x v="0"/>
    <x v="0"/>
    <s v="FS"/>
    <x v="2"/>
    <m/>
    <m/>
    <m/>
  </r>
  <r>
    <n v="1387"/>
    <s v="SP"/>
    <x v="3"/>
    <x v="8"/>
    <x v="47"/>
    <s v="SERVIÇO"/>
    <x v="1616"/>
    <x v="23"/>
    <n v="28728"/>
    <n v="26961.23"/>
    <x v="272"/>
    <x v="83"/>
    <x v="128"/>
    <x v="2"/>
    <m/>
    <x v="0"/>
    <x v="0"/>
    <s v="FS"/>
    <x v="2"/>
    <m/>
    <m/>
    <m/>
  </r>
  <r>
    <n v="1387"/>
    <s v="SP"/>
    <x v="3"/>
    <x v="8"/>
    <x v="47"/>
    <s v="SERVIÇO"/>
    <x v="582"/>
    <x v="24"/>
    <n v="246254.56"/>
    <m/>
    <x v="192"/>
    <x v="77"/>
    <x v="128"/>
    <x v="1"/>
    <m/>
    <x v="0"/>
    <x v="0"/>
    <s v="FS"/>
    <x v="2"/>
    <m/>
    <m/>
    <m/>
  </r>
  <r>
    <n v="1360"/>
    <s v="SP"/>
    <x v="3"/>
    <x v="8"/>
    <x v="8"/>
    <s v="SERVIÇO"/>
    <x v="1617"/>
    <x v="21"/>
    <n v="157890.23999999999"/>
    <n v="148179.99"/>
    <x v="308"/>
    <x v="63"/>
    <x v="193"/>
    <x v="0"/>
    <m/>
    <x v="0"/>
    <x v="1"/>
    <s v="FS"/>
    <x v="2"/>
    <m/>
    <m/>
    <m/>
  </r>
  <r>
    <n v="1360"/>
    <s v="SP"/>
    <x v="3"/>
    <x v="8"/>
    <x v="8"/>
    <s v="SERVIÇO"/>
    <x v="1618"/>
    <x v="22"/>
    <n v="173605.36"/>
    <n v="162928.64000000001"/>
    <x v="300"/>
    <x v="63"/>
    <x v="193"/>
    <x v="0"/>
    <m/>
    <x v="0"/>
    <x v="1"/>
    <s v="FS"/>
    <x v="2"/>
    <m/>
    <m/>
    <m/>
  </r>
  <r>
    <n v="1360"/>
    <s v="SP"/>
    <x v="3"/>
    <x v="8"/>
    <x v="8"/>
    <s v="SERVIÇO"/>
    <x v="1619"/>
    <x v="22"/>
    <n v="101999.03999999999"/>
    <n v="95726.1"/>
    <x v="300"/>
    <x v="63"/>
    <x v="193"/>
    <x v="0"/>
    <m/>
    <x v="0"/>
    <x v="1"/>
    <s v="FS"/>
    <x v="2"/>
    <m/>
    <m/>
    <m/>
  </r>
  <r>
    <n v="1360"/>
    <s v="SP"/>
    <x v="3"/>
    <x v="8"/>
    <x v="8"/>
    <s v="SERVIÇO"/>
    <x v="1620"/>
    <x v="22"/>
    <n v="55624"/>
    <n v="52203.12"/>
    <x v="300"/>
    <x v="63"/>
    <x v="193"/>
    <x v="0"/>
    <m/>
    <x v="0"/>
    <x v="1"/>
    <s v="FS"/>
    <x v="2"/>
    <m/>
    <m/>
    <m/>
  </r>
  <r>
    <n v="1360"/>
    <s v="SP"/>
    <x v="3"/>
    <x v="8"/>
    <x v="8"/>
    <s v="SERVIÇO"/>
    <x v="1621"/>
    <x v="22"/>
    <n v="57546.93"/>
    <n v="54007.79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2"/>
    <x v="22"/>
    <n v="65626.81"/>
    <n v="61590.77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3"/>
    <x v="22"/>
    <n v="45557.64"/>
    <n v="42755.85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4"/>
    <x v="22"/>
    <n v="58053.599999999999"/>
    <n v="54483.3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5"/>
    <x v="22"/>
    <n v="90331.199999999997"/>
    <n v="84775.83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6"/>
    <x v="22"/>
    <n v="61989.599999999999"/>
    <n v="58177.24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7"/>
    <x v="22"/>
    <n v="51657.599999999999"/>
    <n v="48480.66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8"/>
    <x v="22"/>
    <n v="78699.600000000006"/>
    <n v="73859.570000000007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29"/>
    <x v="22"/>
    <n v="49786.879999999997"/>
    <n v="46724.99"/>
    <x v="301"/>
    <x v="63"/>
    <x v="193"/>
    <x v="0"/>
    <m/>
    <x v="0"/>
    <x v="1"/>
    <s v="FS"/>
    <x v="2"/>
    <m/>
    <m/>
    <m/>
  </r>
  <r>
    <n v="1360"/>
    <s v="SP"/>
    <x v="3"/>
    <x v="8"/>
    <x v="8"/>
    <s v="SERVIÇO"/>
    <x v="1630"/>
    <x v="22"/>
    <n v="36248.959999999999"/>
    <n v="34019.65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1"/>
    <x v="22"/>
    <n v="42750.400000000001"/>
    <n v="40121.25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2"/>
    <x v="22"/>
    <n v="36757.599999999999"/>
    <n v="34497.01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3"/>
    <x v="22"/>
    <n v="20092.16"/>
    <n v="18856.5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4"/>
    <x v="22"/>
    <n v="183062.88"/>
    <n v="171804.51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5"/>
    <x v="22"/>
    <n v="57710"/>
    <n v="54160.83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6"/>
    <x v="22"/>
    <n v="28846.400000000001"/>
    <n v="27072.35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7"/>
    <x v="22"/>
    <n v="35576.639999999999"/>
    <n v="33388.67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8"/>
    <x v="22"/>
    <n v="19291.12"/>
    <n v="18104.72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39"/>
    <x v="22"/>
    <n v="72274.399999999994"/>
    <n v="67829.53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40"/>
    <x v="22"/>
    <n v="57692.800000000003"/>
    <n v="54144.7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41"/>
    <x v="22"/>
    <n v="28834.400000000001"/>
    <n v="27061.09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42"/>
    <x v="21"/>
    <n v="58983.24"/>
    <n v="55355.77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43"/>
    <x v="22"/>
    <n v="54019.68"/>
    <n v="50697.46"/>
    <x v="302"/>
    <x v="63"/>
    <x v="193"/>
    <x v="0"/>
    <m/>
    <x v="0"/>
    <x v="1"/>
    <s v="FS"/>
    <x v="2"/>
    <m/>
    <m/>
    <m/>
  </r>
  <r>
    <n v="1360"/>
    <s v="SP"/>
    <x v="3"/>
    <x v="8"/>
    <x v="8"/>
    <s v="SERVIÇO"/>
    <x v="1644"/>
    <x v="22"/>
    <n v="18480"/>
    <n v="17343.48"/>
    <x v="309"/>
    <x v="63"/>
    <x v="193"/>
    <x v="0"/>
    <m/>
    <x v="0"/>
    <x v="1"/>
    <s v="FS"/>
    <x v="2"/>
    <m/>
    <m/>
    <m/>
  </r>
  <r>
    <n v="1360"/>
    <s v="SP"/>
    <x v="3"/>
    <x v="8"/>
    <x v="8"/>
    <s v="SERVIÇO"/>
    <x v="1645"/>
    <x v="22"/>
    <n v="33968"/>
    <n v="31878.97"/>
    <x v="309"/>
    <x v="63"/>
    <x v="193"/>
    <x v="0"/>
    <m/>
    <x v="0"/>
    <x v="1"/>
    <s v="FS"/>
    <x v="2"/>
    <m/>
    <m/>
    <m/>
  </r>
  <r>
    <n v="1360"/>
    <s v="SP"/>
    <x v="3"/>
    <x v="8"/>
    <x v="8"/>
    <s v="SERVIÇO"/>
    <x v="1646"/>
    <x v="22"/>
    <n v="33968"/>
    <n v="31878.97"/>
    <x v="309"/>
    <x v="63"/>
    <x v="193"/>
    <x v="0"/>
    <m/>
    <x v="0"/>
    <x v="1"/>
    <s v="FS"/>
    <x v="2"/>
    <m/>
    <m/>
    <m/>
  </r>
  <r>
    <n v="1360"/>
    <s v="SP"/>
    <x v="3"/>
    <x v="8"/>
    <x v="8"/>
    <s v="SERVIÇO"/>
    <x v="1647"/>
    <x v="22"/>
    <n v="197711.2"/>
    <n v="185551.96"/>
    <x v="309"/>
    <x v="63"/>
    <x v="193"/>
    <x v="0"/>
    <m/>
    <x v="0"/>
    <x v="1"/>
    <s v="FS"/>
    <x v="2"/>
    <m/>
    <m/>
    <m/>
  </r>
  <r>
    <n v="1360"/>
    <s v="SP"/>
    <x v="3"/>
    <x v="8"/>
    <x v="8"/>
    <s v="SERVIÇO"/>
    <x v="1648"/>
    <x v="22"/>
    <n v="41106.559999999998"/>
    <n v="38578.506559999994"/>
    <x v="228"/>
    <x v="64"/>
    <x v="268"/>
    <x v="0"/>
    <m/>
    <x v="0"/>
    <x v="1"/>
    <s v="FS"/>
    <x v="2"/>
    <m/>
    <m/>
    <m/>
  </r>
  <r>
    <n v="1360"/>
    <s v="SP"/>
    <x v="3"/>
    <x v="8"/>
    <x v="8"/>
    <s v="SERVIÇO"/>
    <x v="1649"/>
    <x v="23"/>
    <n v="47297.54"/>
    <n v="44388.740962362441"/>
    <x v="310"/>
    <x v="64"/>
    <x v="268"/>
    <x v="0"/>
    <m/>
    <x v="0"/>
    <x v="1"/>
    <s v="FS"/>
    <x v="2"/>
    <m/>
    <m/>
    <m/>
  </r>
  <r>
    <n v="1360"/>
    <s v="SP"/>
    <x v="3"/>
    <x v="8"/>
    <x v="8"/>
    <s v="SERVIÇO"/>
    <x v="1650"/>
    <x v="23"/>
    <n v="27404.080000000002"/>
    <n v="25718.728890167597"/>
    <x v="310"/>
    <x v="64"/>
    <x v="268"/>
    <x v="0"/>
    <m/>
    <x v="0"/>
    <x v="1"/>
    <s v="FS"/>
    <x v="2"/>
    <m/>
    <m/>
    <m/>
  </r>
  <r>
    <n v="1360"/>
    <s v="SP"/>
    <x v="3"/>
    <x v="8"/>
    <x v="8"/>
    <s v="SERVIÇO"/>
    <x v="1651"/>
    <x v="23"/>
    <n v="90331.199999999997"/>
    <n v="84775.830574261461"/>
    <x v="310"/>
    <x v="64"/>
    <x v="268"/>
    <x v="0"/>
    <m/>
    <x v="0"/>
    <x v="1"/>
    <s v="FS"/>
    <x v="2"/>
    <m/>
    <m/>
    <m/>
  </r>
  <r>
    <n v="1360"/>
    <s v="SP"/>
    <x v="3"/>
    <x v="8"/>
    <x v="8"/>
    <s v="SERVIÇO"/>
    <x v="1652"/>
    <x v="23"/>
    <n v="68660.800000000003"/>
    <n v="64438.17"/>
    <x v="304"/>
    <x v="64"/>
    <x v="268"/>
    <x v="0"/>
    <m/>
    <x v="0"/>
    <x v="1"/>
    <s v="FS"/>
    <x v="2"/>
    <m/>
    <m/>
    <m/>
  </r>
  <r>
    <n v="1360"/>
    <s v="SP"/>
    <x v="3"/>
    <x v="8"/>
    <x v="8"/>
    <s v="SERVIÇO"/>
    <x v="1653"/>
    <x v="23"/>
    <n v="65998.399999999994"/>
    <n v="61939.51"/>
    <x v="304"/>
    <x v="64"/>
    <x v="268"/>
    <x v="0"/>
    <m/>
    <x v="0"/>
    <x v="1"/>
    <s v="FS"/>
    <x v="2"/>
    <m/>
    <m/>
    <m/>
  </r>
  <r>
    <n v="1360"/>
    <s v="SP"/>
    <x v="3"/>
    <x v="8"/>
    <x v="8"/>
    <s v="SERVIÇO"/>
    <x v="1654"/>
    <x v="23"/>
    <n v="87080"/>
    <n v="81724.58"/>
    <x v="237"/>
    <x v="64"/>
    <x v="236"/>
    <x v="0"/>
    <m/>
    <x v="0"/>
    <x v="1"/>
    <s v="FS"/>
    <x v="2"/>
    <m/>
    <m/>
    <m/>
  </r>
  <r>
    <n v="1360"/>
    <s v="SP"/>
    <x v="3"/>
    <x v="8"/>
    <x v="8"/>
    <s v="SERVIÇO"/>
    <x v="1655"/>
    <x v="23"/>
    <n v="61571.199999999997"/>
    <n v="57784.57"/>
    <x v="271"/>
    <x v="64"/>
    <x v="269"/>
    <x v="0"/>
    <m/>
    <x v="0"/>
    <x v="1"/>
    <s v="FS"/>
    <x v="2"/>
    <m/>
    <m/>
    <m/>
  </r>
  <r>
    <n v="1360"/>
    <s v="SP"/>
    <x v="3"/>
    <x v="8"/>
    <x v="8"/>
    <s v="SERVIÇO"/>
    <x v="1656"/>
    <x v="23"/>
    <n v="59897.31"/>
    <n v="56213.63"/>
    <x v="271"/>
    <x v="64"/>
    <x v="269"/>
    <x v="0"/>
    <m/>
    <x v="0"/>
    <x v="1"/>
    <s v="FS"/>
    <x v="2"/>
    <m/>
    <m/>
    <m/>
  </r>
  <r>
    <n v="1360"/>
    <s v="SP"/>
    <x v="3"/>
    <x v="8"/>
    <x v="8"/>
    <s v="SERVIÇO"/>
    <x v="1657"/>
    <x v="23"/>
    <n v="141773.44"/>
    <n v="133054.38"/>
    <x v="305"/>
    <x v="77"/>
    <x v="128"/>
    <x v="2"/>
    <m/>
    <x v="0"/>
    <x v="1"/>
    <s v="FS"/>
    <x v="2"/>
    <m/>
    <m/>
    <m/>
  </r>
  <r>
    <n v="1360"/>
    <s v="SP"/>
    <x v="3"/>
    <x v="8"/>
    <x v="8"/>
    <s v="SERVIÇO"/>
    <x v="1658"/>
    <x v="24"/>
    <n v="27540.6"/>
    <n v="25846.85"/>
    <x v="306"/>
    <x v="77"/>
    <x v="128"/>
    <x v="2"/>
    <m/>
    <x v="0"/>
    <x v="1"/>
    <s v="FS"/>
    <x v="2"/>
    <m/>
    <m/>
    <m/>
  </r>
  <r>
    <n v="1360"/>
    <s v="SP"/>
    <x v="3"/>
    <x v="8"/>
    <x v="8"/>
    <s v="SERVIÇO"/>
    <x v="1659"/>
    <x v="24"/>
    <n v="68107.199999999997"/>
    <n v="63918.61"/>
    <x v="306"/>
    <x v="77"/>
    <x v="128"/>
    <x v="2"/>
    <m/>
    <x v="0"/>
    <x v="1"/>
    <s v="FS"/>
    <x v="2"/>
    <m/>
    <m/>
    <m/>
  </r>
  <r>
    <n v="1360"/>
    <s v="SP"/>
    <x v="3"/>
    <x v="8"/>
    <x v="8"/>
    <s v="SERVIÇO"/>
    <x v="1660"/>
    <x v="24"/>
    <n v="34920"/>
    <n v="32772.42"/>
    <x v="306"/>
    <x v="77"/>
    <x v="128"/>
    <x v="2"/>
    <m/>
    <x v="0"/>
    <x v="1"/>
    <s v="FS"/>
    <x v="2"/>
    <m/>
    <m/>
    <m/>
  </r>
  <r>
    <n v="1360"/>
    <s v="SP"/>
    <x v="3"/>
    <x v="8"/>
    <x v="8"/>
    <s v="SERVIÇO"/>
    <x v="1661"/>
    <x v="24"/>
    <n v="113988.6"/>
    <n v="106978.3"/>
    <x v="306"/>
    <x v="77"/>
    <x v="128"/>
    <x v="2"/>
    <m/>
    <x v="0"/>
    <x v="1"/>
    <s v="FS"/>
    <x v="2"/>
    <m/>
    <m/>
    <m/>
  </r>
  <r>
    <n v="1360"/>
    <s v="SP"/>
    <x v="3"/>
    <x v="8"/>
    <x v="8"/>
    <s v="SERVIÇO"/>
    <x v="1662"/>
    <x v="24"/>
    <n v="119166.39999999999"/>
    <n v="111837.67"/>
    <x v="307"/>
    <x v="77"/>
    <x v="128"/>
    <x v="2"/>
    <m/>
    <x v="0"/>
    <x v="1"/>
    <s v="FS"/>
    <x v="2"/>
    <m/>
    <m/>
    <m/>
  </r>
  <r>
    <n v="1360"/>
    <s v="SP"/>
    <x v="3"/>
    <x v="8"/>
    <x v="8"/>
    <s v="SERVIÇO"/>
    <x v="1663"/>
    <x v="24"/>
    <n v="27404.080000000002"/>
    <n v="25718.73"/>
    <x v="307"/>
    <x v="77"/>
    <x v="128"/>
    <x v="2"/>
    <m/>
    <x v="0"/>
    <x v="1"/>
    <s v="FS"/>
    <x v="2"/>
    <m/>
    <m/>
    <m/>
  </r>
  <r>
    <n v="1360"/>
    <s v="SP"/>
    <x v="3"/>
    <x v="8"/>
    <x v="8"/>
    <s v="SERVIÇO"/>
    <x v="1664"/>
    <x v="24"/>
    <n v="59456.73"/>
    <n v="55800.140531237339"/>
    <x v="307"/>
    <x v="77"/>
    <x v="128"/>
    <x v="2"/>
    <m/>
    <x v="0"/>
    <x v="1"/>
    <s v="FS"/>
    <x v="2"/>
    <m/>
    <m/>
    <m/>
  </r>
  <r>
    <n v="1360"/>
    <s v="SP"/>
    <x v="3"/>
    <x v="8"/>
    <x v="8"/>
    <s v="SERVIÇO"/>
    <x v="1665"/>
    <x v="24"/>
    <n v="68660.800000000003"/>
    <n v="64438.160137417253"/>
    <x v="276"/>
    <x v="77"/>
    <x v="128"/>
    <x v="2"/>
    <m/>
    <x v="0"/>
    <x v="1"/>
    <s v="FS"/>
    <x v="2"/>
    <m/>
    <m/>
    <m/>
  </r>
  <r>
    <n v="1360"/>
    <s v="SP"/>
    <x v="3"/>
    <x v="8"/>
    <x v="8"/>
    <s v="SERVIÇO"/>
    <x v="1666"/>
    <x v="24"/>
    <n v="87080"/>
    <n v="81724.58"/>
    <x v="311"/>
    <x v="77"/>
    <x v="128"/>
    <x v="2"/>
    <m/>
    <x v="0"/>
    <x v="1"/>
    <s v="FS"/>
    <x v="2"/>
    <m/>
    <m/>
    <m/>
  </r>
  <r>
    <n v="1360"/>
    <s v="SP"/>
    <x v="3"/>
    <x v="8"/>
    <x v="8"/>
    <s v="SERVIÇO"/>
    <x v="1667"/>
    <x v="24"/>
    <n v="26990.400000000001"/>
    <n v="25330.49"/>
    <x v="311"/>
    <x v="77"/>
    <x v="128"/>
    <x v="2"/>
    <m/>
    <x v="0"/>
    <x v="1"/>
    <s v="FS"/>
    <x v="2"/>
    <m/>
    <m/>
    <m/>
  </r>
  <r>
    <n v="1360"/>
    <s v="SP"/>
    <x v="3"/>
    <x v="8"/>
    <x v="8"/>
    <s v="SERVIÇO"/>
    <x v="1668"/>
    <x v="24"/>
    <n v="17543.759999999998"/>
    <n v="16464.82"/>
    <x v="311"/>
    <x v="77"/>
    <x v="128"/>
    <x v="2"/>
    <m/>
    <x v="0"/>
    <x v="1"/>
    <s v="FS"/>
    <x v="2"/>
    <m/>
    <m/>
    <m/>
  </r>
  <r>
    <n v="1360"/>
    <s v="SP"/>
    <x v="3"/>
    <x v="8"/>
    <x v="8"/>
    <s v="SERVIÇO"/>
    <x v="1669"/>
    <x v="23"/>
    <n v="180986.32"/>
    <n v="169855.67"/>
    <x v="272"/>
    <x v="83"/>
    <x v="128"/>
    <x v="2"/>
    <m/>
    <x v="0"/>
    <x v="1"/>
    <s v="FS"/>
    <x v="2"/>
    <m/>
    <m/>
    <m/>
  </r>
  <r>
    <n v="1360"/>
    <s v="SP"/>
    <x v="3"/>
    <x v="8"/>
    <x v="8"/>
    <s v="SERVIÇO"/>
    <x v="1670"/>
    <x v="24"/>
    <n v="803507.04"/>
    <n v="754091.35"/>
    <x v="272"/>
    <x v="83"/>
    <x v="128"/>
    <x v="2"/>
    <m/>
    <x v="0"/>
    <x v="1"/>
    <s v="FS"/>
    <x v="2"/>
    <m/>
    <m/>
    <m/>
  </r>
  <r>
    <n v="1360"/>
    <s v="SP"/>
    <x v="3"/>
    <x v="8"/>
    <x v="8"/>
    <s v="SERVIÇO"/>
    <x v="1671"/>
    <x v="24"/>
    <n v="18265.599999999999"/>
    <n v="17142.259999999998"/>
    <x v="272"/>
    <x v="83"/>
    <x v="128"/>
    <x v="2"/>
    <m/>
    <x v="0"/>
    <x v="1"/>
    <s v="FS"/>
    <x v="2"/>
    <m/>
    <m/>
    <m/>
  </r>
  <r>
    <n v="1360"/>
    <s v="SP"/>
    <x v="3"/>
    <x v="8"/>
    <x v="8"/>
    <s v="SERVIÇO"/>
    <x v="1672"/>
    <x v="24"/>
    <n v="160636.79999999999"/>
    <n v="150757.64000000001"/>
    <x v="272"/>
    <x v="83"/>
    <x v="128"/>
    <x v="2"/>
    <m/>
    <x v="0"/>
    <x v="1"/>
    <s v="FS"/>
    <x v="2"/>
    <m/>
    <m/>
    <m/>
  </r>
  <r>
    <n v="1360"/>
    <s v="SP"/>
    <x v="3"/>
    <x v="8"/>
    <x v="8"/>
    <s v="SERVIÇO"/>
    <x v="1673"/>
    <x v="23"/>
    <n v="18133.599999999999"/>
    <n v="17018.38"/>
    <x v="272"/>
    <x v="83"/>
    <x v="128"/>
    <x v="2"/>
    <m/>
    <x v="0"/>
    <x v="1"/>
    <s v="FS"/>
    <x v="2"/>
    <m/>
    <m/>
    <m/>
  </r>
  <r>
    <n v="1360"/>
    <s v="SP"/>
    <x v="3"/>
    <x v="8"/>
    <x v="8"/>
    <s v="SERVIÇO"/>
    <x v="1674"/>
    <x v="24"/>
    <n v="60921.599999999999"/>
    <n v="57174.92"/>
    <x v="272"/>
    <x v="83"/>
    <x v="128"/>
    <x v="2"/>
    <m/>
    <x v="0"/>
    <x v="1"/>
    <s v="FS"/>
    <x v="2"/>
    <m/>
    <m/>
    <m/>
  </r>
  <r>
    <n v="1360"/>
    <s v="SP"/>
    <x v="3"/>
    <x v="8"/>
    <x v="8"/>
    <s v="SERVIÇO"/>
    <x v="582"/>
    <x v="24"/>
    <n v="1971289.7600000002"/>
    <m/>
    <x v="228"/>
    <x v="83"/>
    <x v="128"/>
    <x v="1"/>
    <m/>
    <x v="0"/>
    <x v="1"/>
    <s v="FS"/>
    <x v="2"/>
    <m/>
    <m/>
    <m/>
  </r>
  <r>
    <n v="1360"/>
    <s v="SP"/>
    <x v="3"/>
    <x v="8"/>
    <x v="8"/>
    <s v="SERVIÇO"/>
    <x v="1675"/>
    <x v="19"/>
    <n v="27535.200000000001"/>
    <n v="25841.78"/>
    <x v="287"/>
    <x v="54"/>
    <x v="162"/>
    <x v="0"/>
    <m/>
    <x v="0"/>
    <x v="1"/>
    <s v="FS"/>
    <x v="2"/>
    <m/>
    <m/>
    <m/>
  </r>
  <r>
    <n v="1387"/>
    <s v="SP"/>
    <x v="3"/>
    <x v="8"/>
    <x v="47"/>
    <s v="SERVIÇO"/>
    <x v="1676"/>
    <x v="12"/>
    <n v="29920"/>
    <n v="28079.919999999998"/>
    <x v="211"/>
    <x v="9"/>
    <x v="175"/>
    <x v="0"/>
    <m/>
    <x v="0"/>
    <x v="0"/>
    <s v="FS"/>
    <x v="2"/>
    <m/>
    <m/>
    <m/>
  </r>
  <r>
    <n v="1387"/>
    <s v="SP"/>
    <x v="3"/>
    <x v="8"/>
    <x v="47"/>
    <s v="SERVIÇO"/>
    <x v="1677"/>
    <x v="12"/>
    <n v="31094.16"/>
    <n v="29181.88"/>
    <x v="230"/>
    <x v="9"/>
    <x v="175"/>
    <x v="0"/>
    <m/>
    <x v="0"/>
    <x v="0"/>
    <s v="FS"/>
    <x v="2"/>
    <m/>
    <m/>
    <m/>
  </r>
  <r>
    <n v="1387"/>
    <s v="SP"/>
    <x v="3"/>
    <x v="8"/>
    <x v="47"/>
    <s v="SERVIÇO"/>
    <x v="1678"/>
    <x v="12"/>
    <n v="74262.399999999994"/>
    <n v="69695.27"/>
    <x v="282"/>
    <x v="9"/>
    <x v="175"/>
    <x v="0"/>
    <m/>
    <x v="0"/>
    <x v="0"/>
    <s v="FS"/>
    <x v="2"/>
    <m/>
    <m/>
    <m/>
  </r>
  <r>
    <n v="1387"/>
    <s v="SP"/>
    <x v="3"/>
    <x v="8"/>
    <x v="47"/>
    <s v="SERVIÇO"/>
    <x v="1679"/>
    <x v="12"/>
    <n v="86312.56"/>
    <n v="81004.33"/>
    <x v="283"/>
    <x v="9"/>
    <x v="211"/>
    <x v="0"/>
    <m/>
    <x v="0"/>
    <x v="0"/>
    <s v="FS"/>
    <x v="2"/>
    <m/>
    <m/>
    <m/>
  </r>
  <r>
    <n v="1389"/>
    <s v="MATRIZ"/>
    <x v="1"/>
    <x v="35"/>
    <x v="55"/>
    <s v="SERVIÇO"/>
    <x v="1680"/>
    <x v="12"/>
    <n v="2757.37"/>
    <n v="2587.8000000000002"/>
    <x v="214"/>
    <x v="56"/>
    <x v="184"/>
    <x v="0"/>
    <n v="0"/>
    <x v="0"/>
    <x v="0"/>
    <s v="ALL"/>
    <x v="4"/>
    <m/>
    <m/>
    <m/>
  </r>
  <r>
    <n v="1389"/>
    <s v="MATRIZ"/>
    <x v="1"/>
    <x v="35"/>
    <x v="55"/>
    <s v="SERVIÇO"/>
    <x v="1681"/>
    <x v="19"/>
    <n v="11157.81"/>
    <n v="10471.6"/>
    <x v="293"/>
    <x v="58"/>
    <x v="270"/>
    <x v="0"/>
    <n v="0"/>
    <x v="0"/>
    <x v="0"/>
    <s v="ALL"/>
    <x v="4"/>
    <m/>
    <m/>
    <m/>
  </r>
  <r>
    <n v="1470"/>
    <s v="MATRIZ"/>
    <x v="2"/>
    <x v="24"/>
    <x v="35"/>
    <s v="SERVIÇO"/>
    <x v="1682"/>
    <x v="12"/>
    <n v="36700"/>
    <n v="33708.949999999997"/>
    <x v="145"/>
    <x v="69"/>
    <x v="223"/>
    <x v="0"/>
    <n v="0"/>
    <x v="0"/>
    <x v="0"/>
    <s v="MS"/>
    <x v="1"/>
    <m/>
    <m/>
    <m/>
  </r>
  <r>
    <n v="1273"/>
    <s v="HUB"/>
    <x v="6"/>
    <x v="25"/>
    <x v="37"/>
    <s v="SERVIÇO"/>
    <x v="1683"/>
    <x v="12"/>
    <n v="604355.81999999995"/>
    <n v="542107.17000000004"/>
    <x v="257"/>
    <x v="16"/>
    <x v="50"/>
    <x v="0"/>
    <n v="0"/>
    <x v="0"/>
    <x v="0"/>
    <s v="PS"/>
    <x v="3"/>
    <m/>
    <m/>
    <m/>
  </r>
  <r>
    <n v="1277"/>
    <s v="HUB"/>
    <x v="6"/>
    <x v="25"/>
    <x v="38"/>
    <s v="SERVIÇO"/>
    <x v="1684"/>
    <x v="12"/>
    <n v="162394.43"/>
    <n v="145667.79999999999"/>
    <x v="160"/>
    <x v="54"/>
    <x v="255"/>
    <x v="0"/>
    <m/>
    <x v="0"/>
    <x v="0"/>
    <s v="PS"/>
    <x v="3"/>
    <m/>
    <m/>
    <m/>
  </r>
  <r>
    <n v="1277"/>
    <s v="HUB"/>
    <x v="6"/>
    <x v="25"/>
    <x v="38"/>
    <s v="SERVIÇO"/>
    <x v="1685"/>
    <x v="17"/>
    <n v="162394.43"/>
    <n v="145667.79999999999"/>
    <x v="286"/>
    <x v="54"/>
    <x v="231"/>
    <x v="0"/>
    <m/>
    <x v="0"/>
    <x v="0"/>
    <s v="PS"/>
    <x v="3"/>
    <m/>
    <m/>
    <m/>
  </r>
  <r>
    <n v="1277"/>
    <s v="HUB"/>
    <x v="6"/>
    <x v="25"/>
    <x v="38"/>
    <s v="SERVIÇO"/>
    <x v="1686"/>
    <x v="29"/>
    <n v="162394.43"/>
    <n v="145667.79999999999"/>
    <x v="227"/>
    <x v="85"/>
    <x v="265"/>
    <x v="0"/>
    <m/>
    <x v="0"/>
    <x v="0"/>
    <s v="PS"/>
    <x v="3"/>
    <m/>
    <m/>
    <m/>
  </r>
  <r>
    <n v="1277"/>
    <s v="HUB"/>
    <x v="6"/>
    <x v="25"/>
    <x v="38"/>
    <s v="SERVIÇO"/>
    <x v="582"/>
    <x v="35"/>
    <n v="33762"/>
    <m/>
    <x v="269"/>
    <x v="42"/>
    <x v="128"/>
    <x v="1"/>
    <m/>
    <x v="0"/>
    <x v="0"/>
    <s v="PS"/>
    <x v="3"/>
    <m/>
    <m/>
    <m/>
  </r>
  <r>
    <n v="1277"/>
    <s v="HUB"/>
    <x v="6"/>
    <x v="25"/>
    <x v="38"/>
    <s v="SERVIÇO"/>
    <x v="1687"/>
    <x v="30"/>
    <n v="162394.43"/>
    <n v="145667.79999999999"/>
    <x v="227"/>
    <x v="85"/>
    <x v="265"/>
    <x v="0"/>
    <m/>
    <x v="0"/>
    <x v="0"/>
    <s v="PS"/>
    <x v="3"/>
    <m/>
    <m/>
    <m/>
  </r>
  <r>
    <n v="1277"/>
    <s v="HUB"/>
    <x v="6"/>
    <x v="25"/>
    <x v="38"/>
    <s v="SERVIÇO"/>
    <x v="1688"/>
    <x v="21"/>
    <n v="160737.79"/>
    <n v="144181.79999999999"/>
    <x v="256"/>
    <x v="72"/>
    <x v="264"/>
    <x v="0"/>
    <m/>
    <x v="0"/>
    <x v="0"/>
    <s v="PS"/>
    <x v="3"/>
    <m/>
    <m/>
    <m/>
  </r>
  <r>
    <n v="1490"/>
    <s v="MATRIZ"/>
    <x v="2"/>
    <x v="14"/>
    <x v="43"/>
    <s v="SERVIÇO"/>
    <x v="1689"/>
    <x v="23"/>
    <n v="2396.09"/>
    <n v="2116.96"/>
    <x v="305"/>
    <x v="65"/>
    <x v="128"/>
    <x v="2"/>
    <n v="0"/>
    <x v="0"/>
    <x v="0"/>
    <s v="UT"/>
    <x v="1"/>
    <m/>
    <m/>
    <m/>
  </r>
  <r>
    <n v="1290"/>
    <s v="MATRIZ"/>
    <x v="2"/>
    <x v="14"/>
    <x v="17"/>
    <s v="SERVIÇO"/>
    <x v="1690"/>
    <x v="22"/>
    <n v="55929.99"/>
    <n v="49414.15"/>
    <x v="251"/>
    <x v="76"/>
    <x v="271"/>
    <x v="0"/>
    <n v="0"/>
    <x v="0"/>
    <x v="0"/>
    <s v="UT"/>
    <x v="1"/>
    <m/>
    <m/>
    <m/>
  </r>
  <r>
    <n v="1268"/>
    <s v="SP"/>
    <x v="4"/>
    <x v="6"/>
    <x v="39"/>
    <s v="SERVIÇO"/>
    <x v="1691"/>
    <x v="12"/>
    <n v="41368"/>
    <n v="38823.870000000003"/>
    <x v="14"/>
    <x v="67"/>
    <x v="203"/>
    <x v="0"/>
    <n v="0"/>
    <x v="0"/>
    <x v="1"/>
    <s v="FS"/>
    <x v="0"/>
    <m/>
    <m/>
    <m/>
  </r>
  <r>
    <n v="1268"/>
    <s v="SP"/>
    <x v="4"/>
    <x v="6"/>
    <x v="39"/>
    <s v="SERVIÇO"/>
    <x v="1692"/>
    <x v="12"/>
    <n v="41368"/>
    <n v="38823.870000000003"/>
    <x v="235"/>
    <x v="9"/>
    <x v="12"/>
    <x v="0"/>
    <n v="0"/>
    <x v="0"/>
    <x v="1"/>
    <s v="FS"/>
    <x v="0"/>
    <m/>
    <m/>
    <m/>
  </r>
  <r>
    <n v="1268"/>
    <s v="SP"/>
    <x v="4"/>
    <x v="6"/>
    <x v="39"/>
    <s v="SERVIÇO"/>
    <x v="1693"/>
    <x v="12"/>
    <n v="165717.72"/>
    <n v="155526.07999999999"/>
    <x v="239"/>
    <x v="16"/>
    <x v="232"/>
    <x v="0"/>
    <n v="0"/>
    <x v="0"/>
    <x v="1"/>
    <s v="FS"/>
    <x v="0"/>
    <m/>
    <m/>
    <m/>
  </r>
  <r>
    <n v="1268"/>
    <s v="SP"/>
    <x v="4"/>
    <x v="6"/>
    <x v="39"/>
    <s v="SERVIÇO"/>
    <x v="1694"/>
    <x v="12"/>
    <n v="784755.72"/>
    <n v="736493.25"/>
    <x v="240"/>
    <x v="16"/>
    <x v="232"/>
    <x v="0"/>
    <n v="0"/>
    <x v="0"/>
    <x v="1"/>
    <s v="FS"/>
    <x v="0"/>
    <m/>
    <m/>
    <m/>
  </r>
  <r>
    <n v="1268"/>
    <s v="SP"/>
    <x v="4"/>
    <x v="6"/>
    <x v="39"/>
    <s v="SERVIÇO"/>
    <x v="1695"/>
    <x v="12"/>
    <n v="36951.599999999999"/>
    <n v="34679.089999999997"/>
    <x v="243"/>
    <x v="16"/>
    <x v="238"/>
    <x v="0"/>
    <n v="0"/>
    <x v="0"/>
    <x v="1"/>
    <s v="FS"/>
    <x v="0"/>
    <m/>
    <m/>
    <m/>
  </r>
  <r>
    <n v="1268"/>
    <s v="SP"/>
    <x v="4"/>
    <x v="6"/>
    <x v="39"/>
    <s v="SERVIÇO"/>
    <x v="1696"/>
    <x v="12"/>
    <n v="24364.51"/>
    <n v="22866.11"/>
    <x v="243"/>
    <x v="16"/>
    <x v="238"/>
    <x v="0"/>
    <n v="0"/>
    <x v="0"/>
    <x v="1"/>
    <s v="FS"/>
    <x v="0"/>
    <m/>
    <m/>
    <m/>
  </r>
  <r>
    <n v="1268"/>
    <s v="SP"/>
    <x v="4"/>
    <x v="6"/>
    <x v="39"/>
    <s v="SERVIÇO"/>
    <x v="1697"/>
    <x v="12"/>
    <n v="123342.16"/>
    <n v="115756.62"/>
    <x v="243"/>
    <x v="16"/>
    <x v="50"/>
    <x v="0"/>
    <n v="0"/>
    <x v="0"/>
    <x v="1"/>
    <s v="FS"/>
    <x v="0"/>
    <m/>
    <m/>
    <m/>
  </r>
  <r>
    <n v="1268"/>
    <s v="SP"/>
    <x v="4"/>
    <x v="6"/>
    <x v="39"/>
    <s v="SERVIÇO"/>
    <x v="1698"/>
    <x v="12"/>
    <n v="978220.74"/>
    <n v="918060.17"/>
    <x v="243"/>
    <x v="9"/>
    <x v="12"/>
    <x v="0"/>
    <n v="0"/>
    <x v="0"/>
    <x v="1"/>
    <s v="FS"/>
    <x v="0"/>
    <m/>
    <m/>
    <m/>
  </r>
  <r>
    <n v="1268"/>
    <s v="SP"/>
    <x v="4"/>
    <x v="6"/>
    <x v="39"/>
    <s v="SERVIÇO"/>
    <x v="1699"/>
    <x v="12"/>
    <n v="850795.6"/>
    <n v="798471.68000000005"/>
    <x v="243"/>
    <x v="16"/>
    <x v="232"/>
    <x v="0"/>
    <n v="0"/>
    <x v="0"/>
    <x v="1"/>
    <s v="FS"/>
    <x v="0"/>
    <m/>
    <m/>
    <m/>
  </r>
  <r>
    <n v="1483"/>
    <s v="MATRIZ"/>
    <x v="4"/>
    <x v="9"/>
    <x v="9"/>
    <s v="SERVIÇO"/>
    <x v="1700"/>
    <x v="12"/>
    <n v="53591.199999999997"/>
    <n v="50295.34"/>
    <x v="145"/>
    <x v="16"/>
    <x v="161"/>
    <x v="0"/>
    <n v="0"/>
    <x v="0"/>
    <x v="0"/>
    <s v="MS"/>
    <x v="0"/>
    <m/>
    <m/>
    <m/>
  </r>
  <r>
    <n v="1483"/>
    <s v="MATRIZ"/>
    <x v="4"/>
    <x v="9"/>
    <x v="9"/>
    <s v="SERVIÇO"/>
    <x v="1701"/>
    <x v="12"/>
    <n v="28856.799999999999"/>
    <n v="25042.11"/>
    <x v="145"/>
    <x v="16"/>
    <x v="161"/>
    <x v="0"/>
    <n v="0"/>
    <x v="0"/>
    <x v="0"/>
    <s v="MS"/>
    <x v="0"/>
    <m/>
    <m/>
    <m/>
  </r>
  <r>
    <n v="1483"/>
    <s v="MATRIZ"/>
    <x v="4"/>
    <x v="9"/>
    <x v="9"/>
    <s v="SERVIÇO"/>
    <x v="1702"/>
    <x v="17"/>
    <n v="53591.199999999997"/>
    <n v="48758.82"/>
    <x v="160"/>
    <x v="86"/>
    <x v="272"/>
    <x v="0"/>
    <n v="0"/>
    <x v="0"/>
    <x v="0"/>
    <s v="MS"/>
    <x v="0"/>
    <m/>
    <m/>
    <m/>
  </r>
  <r>
    <n v="1483"/>
    <s v="MATRIZ"/>
    <x v="4"/>
    <x v="9"/>
    <x v="9"/>
    <s v="SERVIÇO"/>
    <x v="1703"/>
    <x v="17"/>
    <n v="28856.799999999999"/>
    <n v="26062.11"/>
    <x v="160"/>
    <x v="57"/>
    <x v="186"/>
    <x v="0"/>
    <n v="0"/>
    <x v="0"/>
    <x v="0"/>
    <s v="MS"/>
    <x v="0"/>
    <m/>
    <m/>
    <m/>
  </r>
  <r>
    <n v="1483"/>
    <s v="MATRIZ"/>
    <x v="4"/>
    <x v="9"/>
    <x v="9"/>
    <s v="SERVIÇO"/>
    <x v="1704"/>
    <x v="19"/>
    <n v="28856.799999999999"/>
    <n v="26062.11"/>
    <x v="312"/>
    <x v="81"/>
    <x v="273"/>
    <x v="0"/>
    <n v="0"/>
    <x v="0"/>
    <x v="0"/>
    <s v="MS"/>
    <x v="0"/>
    <m/>
    <m/>
    <m/>
  </r>
  <r>
    <n v="1483"/>
    <s v="MATRIZ"/>
    <x v="4"/>
    <x v="9"/>
    <x v="9"/>
    <s v="SERVIÇO"/>
    <x v="1705"/>
    <x v="19"/>
    <n v="53591.199999999997"/>
    <n v="49527.08"/>
    <x v="312"/>
    <x v="81"/>
    <x v="273"/>
    <x v="0"/>
    <n v="0"/>
    <x v="0"/>
    <x v="0"/>
    <s v="MS"/>
    <x v="0"/>
    <m/>
    <m/>
    <m/>
  </r>
  <r>
    <n v="1483"/>
    <s v="MATRIZ"/>
    <x v="4"/>
    <x v="9"/>
    <x v="9"/>
    <s v="SERVIÇO"/>
    <x v="1706"/>
    <x v="30"/>
    <n v="53591.199999999997"/>
    <n v="49527.08"/>
    <x v="313"/>
    <x v="85"/>
    <x v="274"/>
    <x v="0"/>
    <n v="0"/>
    <x v="0"/>
    <x v="0"/>
    <s v="MS"/>
    <x v="0"/>
    <m/>
    <m/>
    <m/>
  </r>
  <r>
    <n v="1483"/>
    <s v="MATRIZ"/>
    <x v="4"/>
    <x v="9"/>
    <x v="9"/>
    <s v="SERVIÇO"/>
    <x v="1707"/>
    <x v="30"/>
    <n v="28856.799999999999"/>
    <n v="26062.11"/>
    <x v="313"/>
    <x v="63"/>
    <x v="247"/>
    <x v="0"/>
    <n v="0"/>
    <x v="0"/>
    <x v="0"/>
    <s v="MS"/>
    <x v="0"/>
    <m/>
    <m/>
    <m/>
  </r>
  <r>
    <n v="1483"/>
    <s v="MATRIZ"/>
    <x v="4"/>
    <x v="9"/>
    <x v="9"/>
    <s v="SERVIÇO"/>
    <x v="1708"/>
    <x v="21"/>
    <n v="53591.199999999997"/>
    <n v="49527.08"/>
    <x v="301"/>
    <x v="45"/>
    <x v="275"/>
    <x v="0"/>
    <n v="0"/>
    <x v="0"/>
    <x v="0"/>
    <s v="MS"/>
    <x v="0"/>
    <m/>
    <m/>
    <m/>
  </r>
  <r>
    <n v="1483"/>
    <s v="MATRIZ"/>
    <x v="4"/>
    <x v="9"/>
    <x v="9"/>
    <s v="SERVIÇO"/>
    <x v="1709"/>
    <x v="21"/>
    <n v="28856.799999999999"/>
    <n v="27082.11"/>
    <x v="301"/>
    <x v="63"/>
    <x v="247"/>
    <x v="0"/>
    <n v="0"/>
    <x v="0"/>
    <x v="0"/>
    <s v="MS"/>
    <x v="0"/>
    <m/>
    <m/>
    <m/>
  </r>
  <r>
    <n v="1483"/>
    <s v="MATRIZ"/>
    <x v="4"/>
    <x v="9"/>
    <x v="9"/>
    <s v="SERVIÇO"/>
    <x v="1710"/>
    <x v="22"/>
    <n v="4148"/>
    <n v="3892.9"/>
    <x v="310"/>
    <x v="84"/>
    <x v="276"/>
    <x v="0"/>
    <n v="0"/>
    <x v="0"/>
    <x v="0"/>
    <s v="MS"/>
    <x v="0"/>
    <m/>
    <m/>
    <m/>
  </r>
  <r>
    <n v="1483"/>
    <s v="MATRIZ"/>
    <x v="4"/>
    <x v="9"/>
    <x v="9"/>
    <s v="SERVIÇO"/>
    <x v="1711"/>
    <x v="22"/>
    <n v="55065.96"/>
    <n v="50911.14"/>
    <x v="310"/>
    <x v="84"/>
    <x v="276"/>
    <x v="0"/>
    <n v="0"/>
    <x v="0"/>
    <x v="0"/>
    <s v="MS"/>
    <x v="0"/>
    <m/>
    <m/>
    <m/>
  </r>
  <r>
    <n v="1483"/>
    <s v="MATRIZ"/>
    <x v="4"/>
    <x v="9"/>
    <x v="9"/>
    <s v="SERVIÇO"/>
    <x v="1712"/>
    <x v="22"/>
    <n v="14189.48"/>
    <n v="14189.48"/>
    <x v="237"/>
    <x v="73"/>
    <x v="128"/>
    <x v="2"/>
    <n v="0"/>
    <x v="0"/>
    <x v="0"/>
    <s v="MS"/>
    <x v="0"/>
    <m/>
    <m/>
    <m/>
  </r>
  <r>
    <n v="1483"/>
    <s v="MATRIZ"/>
    <x v="4"/>
    <x v="9"/>
    <x v="9"/>
    <s v="SERVIÇO"/>
    <x v="1713"/>
    <x v="22"/>
    <n v="37291.39"/>
    <n v="34997.980000000003"/>
    <x v="310"/>
    <x v="84"/>
    <x v="276"/>
    <x v="0"/>
    <n v="0"/>
    <x v="0"/>
    <x v="0"/>
    <s v="MS"/>
    <x v="0"/>
    <m/>
    <m/>
    <m/>
  </r>
  <r>
    <n v="1533"/>
    <s v="MATRIZ"/>
    <x v="4"/>
    <x v="9"/>
    <x v="65"/>
    <s v="SERVIÇO"/>
    <x v="1714"/>
    <x v="23"/>
    <n v="36028.83"/>
    <n v="33813.06"/>
    <x v="191"/>
    <x v="73"/>
    <x v="128"/>
    <x v="2"/>
    <n v="0"/>
    <x v="0"/>
    <x v="0"/>
    <s v="MS"/>
    <x v="0"/>
    <m/>
    <m/>
    <m/>
  </r>
  <r>
    <n v="1533"/>
    <s v="MATRIZ"/>
    <x v="4"/>
    <x v="9"/>
    <x v="65"/>
    <s v="SERVIÇO"/>
    <x v="1715"/>
    <x v="23"/>
    <n v="69910.69"/>
    <n v="65611.179999999993"/>
    <x v="191"/>
    <x v="73"/>
    <x v="128"/>
    <x v="2"/>
    <n v="0"/>
    <x v="0"/>
    <x v="0"/>
    <s v="MS"/>
    <x v="0"/>
    <m/>
    <m/>
    <m/>
  </r>
  <r>
    <n v="1533"/>
    <s v="MATRIZ"/>
    <x v="4"/>
    <x v="9"/>
    <x v="65"/>
    <s v="SERVIÇO"/>
    <x v="1716"/>
    <x v="23"/>
    <n v="8847.7999999999993"/>
    <n v="8847.7999999999993"/>
    <x v="253"/>
    <x v="73"/>
    <x v="128"/>
    <x v="2"/>
    <n v="0"/>
    <x v="0"/>
    <x v="0"/>
    <s v="MS"/>
    <x v="0"/>
    <m/>
    <m/>
    <m/>
  </r>
  <r>
    <n v="1533"/>
    <s v="MATRIZ"/>
    <x v="4"/>
    <x v="9"/>
    <x v="65"/>
    <s v="SERVIÇO"/>
    <x v="1717"/>
    <x v="23"/>
    <n v="4764.2"/>
    <n v="4764.2"/>
    <x v="253"/>
    <x v="73"/>
    <x v="128"/>
    <x v="2"/>
    <n v="0"/>
    <x v="0"/>
    <x v="0"/>
    <s v="MS"/>
    <x v="0"/>
    <m/>
    <m/>
    <m/>
  </r>
  <r>
    <n v="1483"/>
    <s v="MATRIZ"/>
    <x v="4"/>
    <x v="9"/>
    <x v="9"/>
    <s v="SERVIÇO"/>
    <x v="582"/>
    <x v="24"/>
    <n v="37881.31"/>
    <m/>
    <x v="192"/>
    <x v="65"/>
    <x v="128"/>
    <x v="1"/>
    <n v="0"/>
    <x v="0"/>
    <x v="0"/>
    <s v="MS"/>
    <x v="0"/>
    <m/>
    <m/>
    <m/>
  </r>
  <r>
    <n v="1275"/>
    <s v="SP"/>
    <x v="4"/>
    <x v="26"/>
    <x v="40"/>
    <s v="SERVIÇO"/>
    <x v="1718"/>
    <x v="12"/>
    <n v="16767.240000000002"/>
    <n v="15736.05"/>
    <x v="145"/>
    <x v="9"/>
    <x v="12"/>
    <x v="0"/>
    <n v="0"/>
    <x v="0"/>
    <x v="1"/>
    <s v="FS"/>
    <x v="0"/>
    <m/>
    <m/>
    <m/>
  </r>
  <r>
    <n v="1479"/>
    <s v="SP"/>
    <x v="4"/>
    <x v="26"/>
    <x v="41"/>
    <s v="SERVIÇO"/>
    <x v="1719"/>
    <x v="12"/>
    <n v="26040"/>
    <n v="24438.54"/>
    <x v="235"/>
    <x v="9"/>
    <x v="12"/>
    <x v="0"/>
    <n v="0"/>
    <x v="0"/>
    <x v="2"/>
    <s v="FS"/>
    <x v="0"/>
    <m/>
    <m/>
    <m/>
  </r>
  <r>
    <n v="1455"/>
    <s v="MATRIZ"/>
    <x v="2"/>
    <x v="2"/>
    <x v="2"/>
    <s v="SERVIÇO"/>
    <x v="1720"/>
    <x v="17"/>
    <n v="56875.77"/>
    <n v="50249.74"/>
    <x v="146"/>
    <x v="70"/>
    <x v="225"/>
    <x v="0"/>
    <m/>
    <x v="0"/>
    <x v="0"/>
    <s v="MS"/>
    <x v="1"/>
    <m/>
    <m/>
    <m/>
  </r>
  <r>
    <n v="1455"/>
    <s v="MATRIZ"/>
    <x v="2"/>
    <x v="2"/>
    <x v="2"/>
    <s v="SERVIÇO"/>
    <x v="1721"/>
    <x v="19"/>
    <n v="56875.77"/>
    <n v="50249.74"/>
    <x v="225"/>
    <x v="58"/>
    <x v="209"/>
    <x v="0"/>
    <m/>
    <x v="0"/>
    <x v="0"/>
    <s v="MS"/>
    <x v="1"/>
    <m/>
    <m/>
    <m/>
  </r>
  <r>
    <n v="1455"/>
    <s v="MATRIZ"/>
    <x v="2"/>
    <x v="2"/>
    <x v="2"/>
    <s v="SERVIÇO"/>
    <x v="1722"/>
    <x v="30"/>
    <n v="56875.77"/>
    <n v="50704.74"/>
    <x v="226"/>
    <x v="71"/>
    <x v="226"/>
    <x v="0"/>
    <m/>
    <x v="0"/>
    <x v="0"/>
    <s v="MS"/>
    <x v="1"/>
    <m/>
    <m/>
    <m/>
  </r>
  <r>
    <n v="1455"/>
    <s v="MATRIZ"/>
    <x v="2"/>
    <x v="2"/>
    <x v="2"/>
    <s v="SERVIÇO"/>
    <x v="1723"/>
    <x v="21"/>
    <n v="56875.77"/>
    <n v="50249.74"/>
    <x v="227"/>
    <x v="62"/>
    <x v="277"/>
    <x v="0"/>
    <m/>
    <x v="0"/>
    <x v="0"/>
    <s v="MS"/>
    <x v="1"/>
    <m/>
    <m/>
    <m/>
  </r>
  <r>
    <n v="1455"/>
    <s v="MATRIZ"/>
    <x v="2"/>
    <x v="2"/>
    <x v="2"/>
    <s v="SERVIÇO"/>
    <x v="1724"/>
    <x v="22"/>
    <n v="56875.77"/>
    <n v="50249.74"/>
    <x v="228"/>
    <x v="63"/>
    <x v="228"/>
    <x v="0"/>
    <m/>
    <x v="0"/>
    <x v="0"/>
    <s v="MS"/>
    <x v="1"/>
    <m/>
    <m/>
    <m/>
  </r>
  <r>
    <n v="1476"/>
    <s v="MATRIZ"/>
    <x v="2"/>
    <x v="13"/>
    <x v="16"/>
    <s v="SERVIÇO"/>
    <x v="1725"/>
    <x v="22"/>
    <n v="5442.31"/>
    <n v="4881.75"/>
    <x v="314"/>
    <x v="73"/>
    <x v="229"/>
    <x v="0"/>
    <n v="5442.31"/>
    <x v="1"/>
    <x v="0"/>
    <s v="PS"/>
    <x v="1"/>
    <m/>
    <m/>
    <m/>
  </r>
  <r>
    <n v="1358"/>
    <s v="MATRIZ"/>
    <x v="2"/>
    <x v="16"/>
    <x v="19"/>
    <s v="SERVIÇO"/>
    <x v="1433"/>
    <x v="23"/>
    <n v="7649.4"/>
    <n v="6861.51"/>
    <x v="276"/>
    <x v="65"/>
    <x v="128"/>
    <x v="2"/>
    <m/>
    <x v="0"/>
    <x v="0"/>
    <s v="PS"/>
    <x v="1"/>
    <m/>
    <m/>
    <m/>
  </r>
  <r>
    <n v="1455"/>
    <s v="MATRIZ"/>
    <x v="2"/>
    <x v="2"/>
    <x v="2"/>
    <s v="SERVIÇO"/>
    <x v="582"/>
    <x v="24"/>
    <n v="56811"/>
    <n v="50249.74"/>
    <x v="192"/>
    <x v="65"/>
    <x v="128"/>
    <x v="1"/>
    <m/>
    <x v="0"/>
    <x v="0"/>
    <s v="MS"/>
    <x v="1"/>
    <m/>
    <m/>
    <m/>
  </r>
  <r>
    <n v="1478"/>
    <s v="SP"/>
    <x v="3"/>
    <x v="10"/>
    <x v="10"/>
    <s v="SERVIÇO"/>
    <x v="1726"/>
    <x v="17"/>
    <n v="13993.56"/>
    <n v="13132.95"/>
    <x v="160"/>
    <x v="54"/>
    <x v="162"/>
    <x v="0"/>
    <m/>
    <x v="0"/>
    <x v="1"/>
    <s v="FS"/>
    <x v="2"/>
    <m/>
    <m/>
    <m/>
  </r>
  <r>
    <n v="1478"/>
    <s v="SP"/>
    <x v="3"/>
    <x v="10"/>
    <x v="10"/>
    <s v="SERVIÇO"/>
    <x v="1727"/>
    <x v="17"/>
    <n v="29087.69"/>
    <n v="27298.79"/>
    <x v="160"/>
    <x v="52"/>
    <x v="262"/>
    <x v="0"/>
    <m/>
    <x v="0"/>
    <x v="1"/>
    <s v="FS"/>
    <x v="2"/>
    <m/>
    <m/>
    <m/>
  </r>
  <r>
    <n v="1478"/>
    <s v="SP"/>
    <x v="3"/>
    <x v="10"/>
    <x v="10"/>
    <s v="SERVIÇO"/>
    <x v="1728"/>
    <x v="17"/>
    <n v="25155.96"/>
    <n v="23608.87"/>
    <x v="160"/>
    <x v="52"/>
    <x v="158"/>
    <x v="0"/>
    <m/>
    <x v="0"/>
    <x v="1"/>
    <s v="FS"/>
    <x v="2"/>
    <m/>
    <m/>
    <m/>
  </r>
  <r>
    <n v="1478"/>
    <s v="SP"/>
    <x v="3"/>
    <x v="10"/>
    <x v="10"/>
    <s v="SERVIÇO"/>
    <x v="1729"/>
    <x v="17"/>
    <n v="20754.55"/>
    <n v="19478.14"/>
    <x v="160"/>
    <x v="54"/>
    <x v="162"/>
    <x v="0"/>
    <m/>
    <x v="0"/>
    <x v="1"/>
    <s v="FS"/>
    <x v="2"/>
    <m/>
    <m/>
    <m/>
  </r>
  <r>
    <n v="1478"/>
    <s v="SP"/>
    <x v="3"/>
    <x v="10"/>
    <x v="10"/>
    <s v="SERVIÇO"/>
    <x v="1730"/>
    <x v="19"/>
    <n v="13993.56"/>
    <n v="13132.95"/>
    <x v="225"/>
    <x v="33"/>
    <x v="242"/>
    <x v="0"/>
    <m/>
    <x v="0"/>
    <x v="1"/>
    <s v="FS"/>
    <x v="2"/>
    <m/>
    <m/>
    <m/>
  </r>
  <r>
    <n v="1478"/>
    <s v="SP"/>
    <x v="3"/>
    <x v="10"/>
    <x v="10"/>
    <s v="SERVIÇO"/>
    <x v="1731"/>
    <x v="19"/>
    <n v="26413.8"/>
    <n v="24789.35"/>
    <x v="225"/>
    <x v="33"/>
    <x v="242"/>
    <x v="0"/>
    <m/>
    <x v="0"/>
    <x v="1"/>
    <s v="FS"/>
    <x v="2"/>
    <m/>
    <m/>
    <m/>
  </r>
  <r>
    <n v="1478"/>
    <s v="SP"/>
    <x v="3"/>
    <x v="10"/>
    <x v="10"/>
    <s v="SERVIÇO"/>
    <x v="1732"/>
    <x v="19"/>
    <n v="29087.69"/>
    <n v="27298.79"/>
    <x v="225"/>
    <x v="33"/>
    <x v="242"/>
    <x v="0"/>
    <m/>
    <x v="0"/>
    <x v="1"/>
    <s v="FS"/>
    <x v="2"/>
    <m/>
    <m/>
    <m/>
  </r>
  <r>
    <n v="1478"/>
    <s v="SP"/>
    <x v="3"/>
    <x v="10"/>
    <x v="10"/>
    <s v="SERVIÇO"/>
    <x v="1733"/>
    <x v="19"/>
    <n v="20754.55"/>
    <n v="19478.14"/>
    <x v="225"/>
    <x v="33"/>
    <x v="242"/>
    <x v="0"/>
    <m/>
    <x v="0"/>
    <x v="1"/>
    <s v="FS"/>
    <x v="2"/>
    <m/>
    <m/>
    <m/>
  </r>
  <r>
    <n v="1499"/>
    <s v="MATRIZ"/>
    <x v="3"/>
    <x v="33"/>
    <x v="52"/>
    <s v="SERVIÇO"/>
    <x v="1734"/>
    <x v="17"/>
    <n v="52900"/>
    <n v="49646.65"/>
    <x v="315"/>
    <x v="70"/>
    <x v="225"/>
    <x v="0"/>
    <n v="0"/>
    <x v="0"/>
    <x v="1"/>
    <s v="MS"/>
    <x v="2"/>
    <m/>
    <m/>
    <m/>
  </r>
  <r>
    <n v="1499"/>
    <s v="MATRIZ"/>
    <x v="3"/>
    <x v="33"/>
    <x v="52"/>
    <s v="SERVIÇO"/>
    <x v="1735"/>
    <x v="29"/>
    <n v="52900"/>
    <n v="49646.65"/>
    <x v="316"/>
    <x v="85"/>
    <x v="278"/>
    <x v="0"/>
    <n v="0"/>
    <x v="0"/>
    <x v="1"/>
    <s v="MS"/>
    <x v="2"/>
    <m/>
    <m/>
    <m/>
  </r>
  <r>
    <n v="1499"/>
    <s v="MATRIZ"/>
    <x v="3"/>
    <x v="33"/>
    <x v="52"/>
    <s v="SERVIÇO"/>
    <x v="1736"/>
    <x v="30"/>
    <n v="52900"/>
    <n v="49646.65"/>
    <x v="316"/>
    <x v="85"/>
    <x v="278"/>
    <x v="0"/>
    <n v="0"/>
    <x v="0"/>
    <x v="1"/>
    <s v="MS"/>
    <x v="2"/>
    <m/>
    <m/>
    <m/>
  </r>
  <r>
    <n v="1499"/>
    <s v="MATRIZ"/>
    <x v="3"/>
    <x v="33"/>
    <x v="52"/>
    <s v="SERVIÇO"/>
    <x v="1737"/>
    <x v="16"/>
    <n v="35144.81"/>
    <n v="32983.410000000003"/>
    <x v="317"/>
    <x v="61"/>
    <x v="279"/>
    <x v="0"/>
    <n v="0"/>
    <x v="0"/>
    <x v="1"/>
    <s v="MS"/>
    <x v="2"/>
    <m/>
    <m/>
    <m/>
  </r>
  <r>
    <n v="1499"/>
    <s v="MATRIZ"/>
    <x v="3"/>
    <x v="33"/>
    <x v="52"/>
    <s v="SERVIÇO"/>
    <x v="1738"/>
    <x v="34"/>
    <n v="35144.81"/>
    <n v="32983.410000000003"/>
    <x v="317"/>
    <x v="61"/>
    <x v="279"/>
    <x v="0"/>
    <n v="0"/>
    <x v="0"/>
    <x v="1"/>
    <s v="MS"/>
    <x v="2"/>
    <m/>
    <m/>
    <m/>
  </r>
  <r>
    <n v="1499"/>
    <s v="MATRIZ"/>
    <x v="3"/>
    <x v="33"/>
    <x v="52"/>
    <s v="SERVIÇO"/>
    <x v="1739"/>
    <x v="29"/>
    <n v="49042.76"/>
    <n v="46026.63"/>
    <x v="317"/>
    <x v="61"/>
    <x v="279"/>
    <x v="0"/>
    <n v="0"/>
    <x v="0"/>
    <x v="1"/>
    <s v="MS"/>
    <x v="2"/>
    <m/>
    <m/>
    <m/>
  </r>
  <r>
    <n v="1499"/>
    <s v="MATRIZ"/>
    <x v="3"/>
    <x v="33"/>
    <x v="52"/>
    <s v="SERVIÇO"/>
    <x v="1740"/>
    <x v="21"/>
    <n v="49992.1"/>
    <n v="46917.59"/>
    <x v="267"/>
    <x v="82"/>
    <x v="280"/>
    <x v="0"/>
    <n v="0"/>
    <x v="0"/>
    <x v="1"/>
    <s v="MS"/>
    <x v="2"/>
    <m/>
    <m/>
    <m/>
  </r>
  <r>
    <n v="1499"/>
    <s v="MATRIZ"/>
    <x v="3"/>
    <x v="33"/>
    <x v="52"/>
    <s v="SERVIÇO"/>
    <x v="1741"/>
    <x v="30"/>
    <n v="49992.1"/>
    <n v="46917.59"/>
    <x v="318"/>
    <x v="45"/>
    <x v="281"/>
    <x v="0"/>
    <n v="0"/>
    <x v="0"/>
    <x v="1"/>
    <s v="MS"/>
    <x v="2"/>
    <m/>
    <m/>
    <m/>
  </r>
  <r>
    <n v="1499"/>
    <s v="MATRIZ"/>
    <x v="3"/>
    <x v="33"/>
    <x v="52"/>
    <s v="SERVIÇO"/>
    <x v="1742"/>
    <x v="21"/>
    <n v="66625.119999999995"/>
    <n v="62527.67"/>
    <x v="296"/>
    <x v="60"/>
    <x v="245"/>
    <x v="0"/>
    <n v="0"/>
    <x v="0"/>
    <x v="1"/>
    <s v="MS"/>
    <x v="2"/>
    <m/>
    <m/>
    <m/>
  </r>
  <r>
    <n v="1499"/>
    <s v="MATRIZ"/>
    <x v="3"/>
    <x v="33"/>
    <x v="52"/>
    <s v="SERVIÇO"/>
    <x v="1743"/>
    <x v="22"/>
    <n v="107024.08"/>
    <n v="100442.1"/>
    <x v="319"/>
    <x v="64"/>
    <x v="268"/>
    <x v="0"/>
    <n v="0"/>
    <x v="0"/>
    <x v="1"/>
    <s v="MS"/>
    <x v="2"/>
    <m/>
    <m/>
    <m/>
  </r>
  <r>
    <n v="1499"/>
    <s v="MATRIZ"/>
    <x v="3"/>
    <x v="33"/>
    <x v="52"/>
    <s v="SERVIÇO"/>
    <x v="1744"/>
    <x v="22"/>
    <n v="52900"/>
    <n v="49646.65"/>
    <x v="252"/>
    <x v="76"/>
    <x v="235"/>
    <x v="0"/>
    <n v="0"/>
    <x v="0"/>
    <x v="1"/>
    <s v="MS"/>
    <x v="2"/>
    <m/>
    <m/>
    <m/>
  </r>
  <r>
    <n v="1499"/>
    <s v="MATRIZ"/>
    <x v="3"/>
    <x v="33"/>
    <x v="52"/>
    <s v="SERVIÇO"/>
    <x v="1745"/>
    <x v="22"/>
    <n v="49992.1"/>
    <n v="46917.59"/>
    <x v="320"/>
    <x v="65"/>
    <x v="128"/>
    <x v="2"/>
    <n v="0"/>
    <x v="0"/>
    <x v="1"/>
    <s v="MS"/>
    <x v="2"/>
    <m/>
    <m/>
    <m/>
  </r>
  <r>
    <n v="1499"/>
    <s v="MATRIZ"/>
    <x v="3"/>
    <x v="33"/>
    <x v="52"/>
    <s v="SERVIÇO"/>
    <x v="1746"/>
    <x v="22"/>
    <n v="85657.26"/>
    <n v="80389.34"/>
    <x v="321"/>
    <x v="84"/>
    <x v="282"/>
    <x v="0"/>
    <n v="0"/>
    <x v="0"/>
    <x v="1"/>
    <s v="MS"/>
    <x v="2"/>
    <m/>
    <m/>
    <m/>
  </r>
  <r>
    <n v="1499"/>
    <s v="MATRIZ"/>
    <x v="3"/>
    <x v="33"/>
    <x v="52"/>
    <s v="SERVIÇO"/>
    <x v="1747"/>
    <x v="23"/>
    <n v="52900"/>
    <n v="49646.65"/>
    <x v="305"/>
    <x v="65"/>
    <x v="128"/>
    <x v="2"/>
    <n v="0"/>
    <x v="0"/>
    <x v="1"/>
    <s v="MS"/>
    <x v="2"/>
    <m/>
    <m/>
    <m/>
  </r>
  <r>
    <n v="1499"/>
    <s v="MATRIZ"/>
    <x v="3"/>
    <x v="33"/>
    <x v="52"/>
    <s v="SERVIÇO"/>
    <x v="1748"/>
    <x v="23"/>
    <n v="49992.1"/>
    <n v="46917.59"/>
    <x v="265"/>
    <x v="77"/>
    <x v="128"/>
    <x v="2"/>
    <n v="0"/>
    <x v="0"/>
    <x v="1"/>
    <s v="MS"/>
    <x v="2"/>
    <m/>
    <m/>
    <m/>
  </r>
  <r>
    <n v="1499"/>
    <s v="MATRIZ"/>
    <x v="3"/>
    <x v="33"/>
    <x v="52"/>
    <s v="SERVIÇO"/>
    <x v="1749"/>
    <x v="21"/>
    <n v="52900"/>
    <n v="49646.65"/>
    <x v="302"/>
    <x v="45"/>
    <x v="281"/>
    <x v="0"/>
    <n v="0"/>
    <x v="0"/>
    <x v="1"/>
    <s v="MS"/>
    <x v="2"/>
    <m/>
    <m/>
    <m/>
  </r>
  <r>
    <n v="1483"/>
    <s v="MATRIZ"/>
    <x v="1"/>
    <x v="9"/>
    <x v="9"/>
    <s v="SERVIÇO"/>
    <x v="1750"/>
    <x v="8"/>
    <n v="28856.799999999999"/>
    <n v="26572.11"/>
    <x v="48"/>
    <x v="3"/>
    <x v="73"/>
    <x v="0"/>
    <n v="0"/>
    <x v="0"/>
    <x v="0"/>
    <s v="UT"/>
    <x v="0"/>
    <m/>
    <m/>
    <m/>
  </r>
  <r>
    <n v="1391"/>
    <s v="SP"/>
    <x v="3"/>
    <x v="11"/>
    <x v="11"/>
    <s v="SERVIÇO"/>
    <x v="1751"/>
    <x v="17"/>
    <n v="132577.06"/>
    <n v="124423.57"/>
    <x v="286"/>
    <x v="54"/>
    <x v="162"/>
    <x v="0"/>
    <n v="0"/>
    <x v="0"/>
    <x v="1"/>
    <s v="FS"/>
    <x v="2"/>
    <m/>
    <m/>
    <m/>
  </r>
  <r>
    <n v="1391"/>
    <s v="SP"/>
    <x v="3"/>
    <x v="11"/>
    <x v="11"/>
    <s v="SERVIÇO"/>
    <x v="1752"/>
    <x v="17"/>
    <n v="76428.240000000005"/>
    <n v="71727.91"/>
    <x v="286"/>
    <x v="54"/>
    <x v="162"/>
    <x v="0"/>
    <n v="0"/>
    <x v="0"/>
    <x v="1"/>
    <s v="FS"/>
    <x v="2"/>
    <m/>
    <m/>
    <m/>
  </r>
  <r>
    <n v="1391"/>
    <s v="SP"/>
    <x v="3"/>
    <x v="11"/>
    <x v="11"/>
    <s v="SERVIÇO"/>
    <x v="1753"/>
    <x v="17"/>
    <n v="55883.1"/>
    <n v="52446.29"/>
    <x v="286"/>
    <x v="54"/>
    <x v="162"/>
    <x v="0"/>
    <n v="0"/>
    <x v="0"/>
    <x v="1"/>
    <s v="FS"/>
    <x v="2"/>
    <m/>
    <m/>
    <m/>
  </r>
  <r>
    <n v="1391"/>
    <s v="SP"/>
    <x v="3"/>
    <x v="11"/>
    <x v="11"/>
    <s v="SERVIÇO"/>
    <x v="1754"/>
    <x v="17"/>
    <n v="740789.29"/>
    <n v="695230.75"/>
    <x v="286"/>
    <x v="54"/>
    <x v="162"/>
    <x v="0"/>
    <n v="0"/>
    <x v="0"/>
    <x v="1"/>
    <s v="FS"/>
    <x v="2"/>
    <m/>
    <m/>
    <m/>
  </r>
  <r>
    <n v="1391"/>
    <s v="SP"/>
    <x v="3"/>
    <x v="11"/>
    <x v="11"/>
    <s v="SERVIÇO"/>
    <x v="1755"/>
    <x v="17"/>
    <n v="160699.5"/>
    <n v="150816.48000000001"/>
    <x v="234"/>
    <x v="52"/>
    <x v="196"/>
    <x v="0"/>
    <n v="0"/>
    <x v="0"/>
    <x v="1"/>
    <s v="FS"/>
    <x v="2"/>
    <m/>
    <m/>
    <m/>
  </r>
  <r>
    <n v="1391"/>
    <s v="SP"/>
    <x v="3"/>
    <x v="11"/>
    <x v="11"/>
    <s v="SERVIÇO"/>
    <x v="1756"/>
    <x v="17"/>
    <n v="105276.27"/>
    <n v="98801.78"/>
    <x v="234"/>
    <x v="52"/>
    <x v="196"/>
    <x v="0"/>
    <n v="0"/>
    <x v="0"/>
    <x v="1"/>
    <s v="FS"/>
    <x v="2"/>
    <m/>
    <m/>
    <m/>
  </r>
  <r>
    <n v="1391"/>
    <s v="SP"/>
    <x v="3"/>
    <x v="11"/>
    <x v="11"/>
    <s v="SERVIÇO"/>
    <x v="1757"/>
    <x v="17"/>
    <n v="117708.05"/>
    <n v="110469.01"/>
    <x v="234"/>
    <x v="52"/>
    <x v="196"/>
    <x v="0"/>
    <n v="0"/>
    <x v="0"/>
    <x v="1"/>
    <s v="FS"/>
    <x v="2"/>
    <m/>
    <m/>
    <m/>
  </r>
  <r>
    <n v="1391"/>
    <s v="SP"/>
    <x v="3"/>
    <x v="11"/>
    <x v="11"/>
    <s v="SERVIÇO"/>
    <x v="1758"/>
    <x v="17"/>
    <n v="126870.48"/>
    <n v="119067.94"/>
    <x v="234"/>
    <x v="52"/>
    <x v="196"/>
    <x v="0"/>
    <n v="0"/>
    <x v="0"/>
    <x v="1"/>
    <s v="FS"/>
    <x v="2"/>
    <m/>
    <m/>
    <m/>
  </r>
  <r>
    <n v="1391"/>
    <s v="SP"/>
    <x v="3"/>
    <x v="11"/>
    <x v="11"/>
    <s v="SERVIÇO"/>
    <x v="1759"/>
    <x v="17"/>
    <n v="27847.919999999998"/>
    <n v="26135.27"/>
    <x v="246"/>
    <x v="52"/>
    <x v="262"/>
    <x v="0"/>
    <n v="0"/>
    <x v="0"/>
    <x v="1"/>
    <s v="FS"/>
    <x v="2"/>
    <m/>
    <m/>
    <m/>
  </r>
  <r>
    <n v="1391"/>
    <s v="SP"/>
    <x v="3"/>
    <x v="11"/>
    <x v="11"/>
    <s v="SERVIÇO"/>
    <x v="1760"/>
    <x v="17"/>
    <n v="90752.1"/>
    <n v="85170.85"/>
    <x v="258"/>
    <x v="52"/>
    <x v="253"/>
    <x v="0"/>
    <n v="0"/>
    <x v="0"/>
    <x v="1"/>
    <s v="FS"/>
    <x v="2"/>
    <m/>
    <m/>
    <m/>
  </r>
  <r>
    <n v="1391"/>
    <s v="SP"/>
    <x v="3"/>
    <x v="11"/>
    <x v="11"/>
    <s v="SERVIÇO"/>
    <x v="1761"/>
    <x v="19"/>
    <n v="44326.85"/>
    <n v="41600.75"/>
    <x v="287"/>
    <x v="70"/>
    <x v="283"/>
    <x v="0"/>
    <n v="0"/>
    <x v="0"/>
    <x v="1"/>
    <s v="FS"/>
    <x v="2"/>
    <m/>
    <m/>
    <m/>
  </r>
  <r>
    <n v="1391"/>
    <s v="SP"/>
    <x v="3"/>
    <x v="11"/>
    <x v="11"/>
    <s v="SERVIÇO"/>
    <x v="1762"/>
    <x v="19"/>
    <n v="38563.199999999997"/>
    <n v="36191.56"/>
    <x v="287"/>
    <x v="70"/>
    <x v="283"/>
    <x v="0"/>
    <n v="0"/>
    <x v="0"/>
    <x v="1"/>
    <s v="FS"/>
    <x v="2"/>
    <m/>
    <m/>
    <m/>
  </r>
  <r>
    <n v="1391"/>
    <s v="SP"/>
    <x v="3"/>
    <x v="11"/>
    <x v="11"/>
    <s v="SERVIÇO"/>
    <x v="1763"/>
    <x v="19"/>
    <n v="31516.799999999999"/>
    <n v="29578.52"/>
    <x v="287"/>
    <x v="70"/>
    <x v="283"/>
    <x v="0"/>
    <n v="0"/>
    <x v="0"/>
    <x v="1"/>
    <s v="FS"/>
    <x v="2"/>
    <m/>
    <m/>
    <m/>
  </r>
  <r>
    <n v="1391"/>
    <s v="SP"/>
    <x v="3"/>
    <x v="11"/>
    <x v="11"/>
    <s v="SERVIÇO"/>
    <x v="1764"/>
    <x v="19"/>
    <n v="62712"/>
    <n v="58855.21"/>
    <x v="287"/>
    <x v="70"/>
    <x v="283"/>
    <x v="0"/>
    <n v="0"/>
    <x v="0"/>
    <x v="1"/>
    <s v="FS"/>
    <x v="2"/>
    <m/>
    <m/>
    <m/>
  </r>
  <r>
    <n v="1391"/>
    <s v="SP"/>
    <x v="3"/>
    <x v="11"/>
    <x v="11"/>
    <s v="SERVIÇO"/>
    <x v="1765"/>
    <x v="19"/>
    <n v="39557.699999999997"/>
    <n v="37124.9"/>
    <x v="322"/>
    <x v="70"/>
    <x v="225"/>
    <x v="0"/>
    <n v="0"/>
    <x v="0"/>
    <x v="1"/>
    <s v="FS"/>
    <x v="2"/>
    <m/>
    <m/>
    <m/>
  </r>
  <r>
    <n v="1391"/>
    <s v="SP"/>
    <x v="3"/>
    <x v="11"/>
    <x v="11"/>
    <s v="SERVIÇO"/>
    <x v="1766"/>
    <x v="19"/>
    <n v="11725.44"/>
    <n v="11004.33"/>
    <x v="322"/>
    <x v="70"/>
    <x v="225"/>
    <x v="0"/>
    <n v="0"/>
    <x v="0"/>
    <x v="1"/>
    <s v="FS"/>
    <x v="2"/>
    <m/>
    <m/>
    <m/>
  </r>
  <r>
    <n v="1391"/>
    <s v="SP"/>
    <x v="3"/>
    <x v="11"/>
    <x v="11"/>
    <s v="SERVIÇO"/>
    <x v="1767"/>
    <x v="19"/>
    <n v="22315.81"/>
    <n v="20943.38"/>
    <x v="322"/>
    <x v="70"/>
    <x v="225"/>
    <x v="0"/>
    <n v="0"/>
    <x v="0"/>
    <x v="1"/>
    <s v="FS"/>
    <x v="2"/>
    <m/>
    <m/>
    <m/>
  </r>
  <r>
    <n v="1391"/>
    <s v="SP"/>
    <x v="3"/>
    <x v="11"/>
    <x v="11"/>
    <s v="SERVIÇO"/>
    <x v="1768"/>
    <x v="19"/>
    <n v="4763.46"/>
    <n v="4470.51"/>
    <x v="323"/>
    <x v="33"/>
    <x v="267"/>
    <x v="0"/>
    <n v="0"/>
    <x v="0"/>
    <x v="1"/>
    <s v="FS"/>
    <x v="2"/>
    <m/>
    <m/>
    <m/>
  </r>
  <r>
    <n v="1391"/>
    <s v="SP"/>
    <x v="3"/>
    <x v="11"/>
    <x v="11"/>
    <s v="SERVIÇO"/>
    <x v="1769"/>
    <x v="19"/>
    <n v="70843.8"/>
    <n v="66486.899999999994"/>
    <x v="324"/>
    <x v="58"/>
    <x v="187"/>
    <x v="0"/>
    <n v="0"/>
    <x v="0"/>
    <x v="1"/>
    <s v="FS"/>
    <x v="2"/>
    <m/>
    <m/>
    <m/>
  </r>
  <r>
    <n v="1391"/>
    <s v="SP"/>
    <x v="3"/>
    <x v="11"/>
    <x v="11"/>
    <s v="SERVIÇO"/>
    <x v="1770"/>
    <x v="19"/>
    <n v="52002.720000000001"/>
    <n v="48804.55"/>
    <x v="324"/>
    <x v="58"/>
    <x v="187"/>
    <x v="0"/>
    <n v="0"/>
    <x v="0"/>
    <x v="1"/>
    <s v="FS"/>
    <x v="2"/>
    <m/>
    <m/>
    <m/>
  </r>
  <r>
    <n v="1391"/>
    <s v="SP"/>
    <x v="3"/>
    <x v="11"/>
    <x v="11"/>
    <s v="SERVIÇO"/>
    <x v="1771"/>
    <x v="19"/>
    <n v="62665.2"/>
    <n v="58811.29"/>
    <x v="324"/>
    <x v="58"/>
    <x v="187"/>
    <x v="0"/>
    <n v="0"/>
    <x v="0"/>
    <x v="1"/>
    <s v="FS"/>
    <x v="2"/>
    <m/>
    <m/>
    <m/>
  </r>
  <r>
    <n v="1391"/>
    <s v="SP"/>
    <x v="3"/>
    <x v="11"/>
    <x v="11"/>
    <s v="SERVIÇO"/>
    <x v="1772"/>
    <x v="19"/>
    <n v="94068"/>
    <n v="88282.82"/>
    <x v="324"/>
    <x v="58"/>
    <x v="187"/>
    <x v="0"/>
    <n v="0"/>
    <x v="0"/>
    <x v="1"/>
    <s v="FS"/>
    <x v="2"/>
    <m/>
    <m/>
    <m/>
  </r>
  <r>
    <n v="1391"/>
    <s v="SP"/>
    <x v="3"/>
    <x v="11"/>
    <x v="11"/>
    <s v="SERVIÇO"/>
    <x v="1773"/>
    <x v="19"/>
    <n v="66714.38"/>
    <n v="62611.44"/>
    <x v="324"/>
    <x v="58"/>
    <x v="187"/>
    <x v="0"/>
    <n v="0"/>
    <x v="0"/>
    <x v="1"/>
    <s v="FS"/>
    <x v="2"/>
    <m/>
    <m/>
    <m/>
  </r>
  <r>
    <n v="1391"/>
    <s v="SP"/>
    <x v="3"/>
    <x v="11"/>
    <x v="11"/>
    <s v="SERVIÇO"/>
    <x v="1774"/>
    <x v="19"/>
    <n v="147085.57999999999"/>
    <n v="138039.82"/>
    <x v="324"/>
    <x v="58"/>
    <x v="187"/>
    <x v="0"/>
    <n v="0"/>
    <x v="0"/>
    <x v="1"/>
    <s v="FS"/>
    <x v="2"/>
    <m/>
    <m/>
    <m/>
  </r>
  <r>
    <n v="1391"/>
    <s v="SP"/>
    <x v="3"/>
    <x v="11"/>
    <x v="11"/>
    <s v="SERVIÇO"/>
    <x v="1775"/>
    <x v="19"/>
    <n v="13419.9"/>
    <n v="12594.57"/>
    <x v="312"/>
    <x v="58"/>
    <x v="270"/>
    <x v="0"/>
    <n v="0"/>
    <x v="0"/>
    <x v="1"/>
    <s v="FS"/>
    <x v="2"/>
    <m/>
    <m/>
    <m/>
  </r>
  <r>
    <n v="1391"/>
    <s v="SP"/>
    <x v="3"/>
    <x v="11"/>
    <x v="11"/>
    <s v="SERVIÇO"/>
    <x v="1776"/>
    <x v="19"/>
    <n v="737764.07"/>
    <n v="692391.58"/>
    <x v="261"/>
    <x v="58"/>
    <x v="284"/>
    <x v="0"/>
    <n v="0"/>
    <x v="0"/>
    <x v="1"/>
    <s v="FS"/>
    <x v="2"/>
    <m/>
    <m/>
    <m/>
  </r>
  <r>
    <n v="1391"/>
    <s v="SP"/>
    <x v="3"/>
    <x v="11"/>
    <x v="11"/>
    <s v="SERVIÇO"/>
    <x v="1777"/>
    <x v="19"/>
    <n v="54637.83"/>
    <n v="51277.599999999999"/>
    <x v="266"/>
    <x v="58"/>
    <x v="209"/>
    <x v="0"/>
    <n v="0"/>
    <x v="0"/>
    <x v="1"/>
    <s v="FS"/>
    <x v="2"/>
    <m/>
    <m/>
    <m/>
  </r>
  <r>
    <n v="1391"/>
    <s v="SP"/>
    <x v="3"/>
    <x v="11"/>
    <x v="11"/>
    <s v="SERVIÇO"/>
    <x v="1778"/>
    <x v="20"/>
    <n v="111608.67"/>
    <n v="104744.74"/>
    <x v="325"/>
    <x v="59"/>
    <x v="285"/>
    <x v="0"/>
    <n v="0"/>
    <x v="0"/>
    <x v="1"/>
    <s v="FS"/>
    <x v="2"/>
    <m/>
    <m/>
    <m/>
  </r>
  <r>
    <n v="1391"/>
    <s v="SP"/>
    <x v="3"/>
    <x v="11"/>
    <x v="11"/>
    <s v="SERVIÇO"/>
    <x v="1779"/>
    <x v="20"/>
    <n v="104824.68"/>
    <n v="98377.96"/>
    <x v="325"/>
    <x v="59"/>
    <x v="285"/>
    <x v="0"/>
    <n v="0"/>
    <x v="0"/>
    <x v="1"/>
    <s v="FS"/>
    <x v="2"/>
    <m/>
    <m/>
    <m/>
  </r>
  <r>
    <n v="1391"/>
    <s v="SP"/>
    <x v="3"/>
    <x v="11"/>
    <x v="11"/>
    <s v="SERVIÇO"/>
    <x v="1780"/>
    <x v="20"/>
    <n v="103446.52"/>
    <n v="97084.56"/>
    <x v="326"/>
    <x v="59"/>
    <x v="188"/>
    <x v="0"/>
    <n v="0"/>
    <x v="0"/>
    <x v="1"/>
    <s v="FS"/>
    <x v="2"/>
    <m/>
    <m/>
    <m/>
  </r>
  <r>
    <n v="1391"/>
    <s v="SP"/>
    <x v="3"/>
    <x v="11"/>
    <x v="11"/>
    <s v="SERVIÇO"/>
    <x v="1781"/>
    <x v="20"/>
    <n v="127775.7"/>
    <n v="119917.49"/>
    <x v="326"/>
    <x v="59"/>
    <x v="188"/>
    <x v="0"/>
    <n v="0"/>
    <x v="0"/>
    <x v="1"/>
    <s v="FS"/>
    <x v="2"/>
    <m/>
    <m/>
    <m/>
  </r>
  <r>
    <n v="1391"/>
    <s v="SP"/>
    <x v="3"/>
    <x v="11"/>
    <x v="11"/>
    <s v="SERVIÇO"/>
    <x v="1782"/>
    <x v="20"/>
    <n v="88641"/>
    <n v="83189.570000000007"/>
    <x v="249"/>
    <x v="59"/>
    <x v="189"/>
    <x v="0"/>
    <n v="0"/>
    <x v="0"/>
    <x v="1"/>
    <s v="FS"/>
    <x v="2"/>
    <m/>
    <m/>
    <m/>
  </r>
  <r>
    <n v="1391"/>
    <s v="SP"/>
    <x v="3"/>
    <x v="11"/>
    <x v="11"/>
    <s v="SERVIÇO"/>
    <x v="1783"/>
    <x v="20"/>
    <n v="30466.799999999999"/>
    <n v="28593.09"/>
    <x v="249"/>
    <x v="59"/>
    <x v="189"/>
    <x v="0"/>
    <n v="0"/>
    <x v="0"/>
    <x v="1"/>
    <s v="FS"/>
    <x v="2"/>
    <m/>
    <m/>
    <m/>
  </r>
  <r>
    <n v="1391"/>
    <s v="SP"/>
    <x v="3"/>
    <x v="11"/>
    <x v="11"/>
    <s v="SERVIÇO"/>
    <x v="1784"/>
    <x v="20"/>
    <n v="99941.4"/>
    <n v="93795"/>
    <x v="249"/>
    <x v="59"/>
    <x v="189"/>
    <x v="0"/>
    <n v="0"/>
    <x v="0"/>
    <x v="1"/>
    <s v="FS"/>
    <x v="2"/>
    <m/>
    <m/>
    <m/>
  </r>
  <r>
    <n v="1391"/>
    <s v="SP"/>
    <x v="3"/>
    <x v="11"/>
    <x v="11"/>
    <s v="SERVIÇO"/>
    <x v="1785"/>
    <x v="20"/>
    <n v="127039.23"/>
    <n v="119226.32"/>
    <x v="318"/>
    <x v="59"/>
    <x v="244"/>
    <x v="0"/>
    <n v="0"/>
    <x v="0"/>
    <x v="1"/>
    <s v="FS"/>
    <x v="2"/>
    <m/>
    <m/>
    <m/>
  </r>
  <r>
    <n v="1391"/>
    <s v="SP"/>
    <x v="3"/>
    <x v="11"/>
    <x v="11"/>
    <s v="SERVIÇO"/>
    <x v="1786"/>
    <x v="20"/>
    <n v="117708.05"/>
    <n v="110469.01"/>
    <x v="318"/>
    <x v="59"/>
    <x v="244"/>
    <x v="0"/>
    <n v="0"/>
    <x v="0"/>
    <x v="1"/>
    <s v="FS"/>
    <x v="2"/>
    <m/>
    <m/>
    <m/>
  </r>
  <r>
    <n v="1391"/>
    <s v="SP"/>
    <x v="3"/>
    <x v="11"/>
    <x v="11"/>
    <s v="SERVIÇO"/>
    <x v="1787"/>
    <x v="21"/>
    <n v="70352.100000000006"/>
    <n v="66025.45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88"/>
    <x v="21"/>
    <n v="121700.48"/>
    <n v="114215.9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89"/>
    <x v="21"/>
    <n v="25751.7"/>
    <n v="24167.97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90"/>
    <x v="21"/>
    <n v="104702.32"/>
    <n v="98263.13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91"/>
    <x v="21"/>
    <n v="86277.24"/>
    <n v="80971.19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92"/>
    <x v="21"/>
    <n v="95777.66"/>
    <n v="89887.34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93"/>
    <x v="21"/>
    <n v="72631.929999999993"/>
    <n v="68165.070000000007"/>
    <x v="263"/>
    <x v="60"/>
    <x v="190"/>
    <x v="0"/>
    <n v="0"/>
    <x v="0"/>
    <x v="1"/>
    <s v="FS"/>
    <x v="2"/>
    <m/>
    <m/>
    <m/>
  </r>
  <r>
    <n v="1391"/>
    <s v="SP"/>
    <x v="3"/>
    <x v="11"/>
    <x v="11"/>
    <s v="SERVIÇO"/>
    <x v="1794"/>
    <x v="29"/>
    <n v="737764.07"/>
    <n v="692391.58"/>
    <x v="189"/>
    <x v="60"/>
    <x v="245"/>
    <x v="0"/>
    <n v="0"/>
    <x v="0"/>
    <x v="1"/>
    <s v="FS"/>
    <x v="2"/>
    <m/>
    <m/>
    <m/>
  </r>
  <r>
    <n v="1391"/>
    <s v="SP"/>
    <x v="3"/>
    <x v="11"/>
    <x v="11"/>
    <s v="SERVIÇO"/>
    <x v="1795"/>
    <x v="29"/>
    <n v="1175.02"/>
    <n v="1102.75"/>
    <x v="251"/>
    <x v="63"/>
    <x v="247"/>
    <x v="0"/>
    <n v="0"/>
    <x v="0"/>
    <x v="1"/>
    <s v="FS"/>
    <x v="2"/>
    <m/>
    <m/>
    <m/>
  </r>
  <r>
    <n v="1391"/>
    <s v="SP"/>
    <x v="3"/>
    <x v="11"/>
    <x v="11"/>
    <s v="SERVIÇO"/>
    <x v="1796"/>
    <x v="22"/>
    <n v="31917.599999999999"/>
    <n v="29954.67"/>
    <x v="275"/>
    <x v="63"/>
    <x v="194"/>
    <x v="0"/>
    <n v="0"/>
    <x v="0"/>
    <x v="1"/>
    <s v="FS"/>
    <x v="2"/>
    <m/>
    <m/>
    <m/>
  </r>
  <r>
    <n v="1391"/>
    <s v="SP"/>
    <x v="3"/>
    <x v="11"/>
    <x v="11"/>
    <s v="SERVIÇO"/>
    <x v="1797"/>
    <x v="22"/>
    <n v="81195.520000000004"/>
    <n v="76202"/>
    <x v="252"/>
    <x v="63"/>
    <x v="194"/>
    <x v="0"/>
    <n v="0"/>
    <x v="0"/>
    <x v="1"/>
    <s v="FS"/>
    <x v="2"/>
    <m/>
    <m/>
    <m/>
  </r>
  <r>
    <n v="1391"/>
    <s v="SP"/>
    <x v="3"/>
    <x v="11"/>
    <x v="11"/>
    <s v="SERVIÇO"/>
    <x v="1798"/>
    <x v="22"/>
    <n v="82882.8"/>
    <n v="77785.509999999995"/>
    <x v="252"/>
    <x v="63"/>
    <x v="194"/>
    <x v="0"/>
    <n v="0"/>
    <x v="0"/>
    <x v="1"/>
    <s v="FS"/>
    <x v="2"/>
    <m/>
    <m/>
    <m/>
  </r>
  <r>
    <n v="1391"/>
    <s v="SP"/>
    <x v="3"/>
    <x v="11"/>
    <x v="11"/>
    <s v="SERVIÇO"/>
    <x v="1799"/>
    <x v="22"/>
    <n v="76362"/>
    <n v="71665.740000000005"/>
    <x v="252"/>
    <x v="63"/>
    <x v="194"/>
    <x v="0"/>
    <n v="0"/>
    <x v="0"/>
    <x v="1"/>
    <s v="FS"/>
    <x v="2"/>
    <m/>
    <m/>
    <m/>
  </r>
  <r>
    <n v="1391"/>
    <s v="SP"/>
    <x v="3"/>
    <x v="11"/>
    <x v="11"/>
    <s v="SERVIÇO"/>
    <x v="1800"/>
    <x v="22"/>
    <n v="108535.98"/>
    <n v="101861.02"/>
    <x v="252"/>
    <x v="63"/>
    <x v="194"/>
    <x v="0"/>
    <n v="0"/>
    <x v="0"/>
    <x v="1"/>
    <s v="FS"/>
    <x v="2"/>
    <m/>
    <m/>
    <m/>
  </r>
  <r>
    <n v="1391"/>
    <s v="SP"/>
    <x v="3"/>
    <x v="11"/>
    <x v="11"/>
    <s v="SERVIÇO"/>
    <x v="1801"/>
    <x v="22"/>
    <n v="135026.76999999999"/>
    <n v="126722.63"/>
    <x v="327"/>
    <x v="63"/>
    <x v="228"/>
    <x v="0"/>
    <n v="0"/>
    <x v="0"/>
    <x v="1"/>
    <s v="FS"/>
    <x v="2"/>
    <m/>
    <m/>
    <m/>
  </r>
  <r>
    <n v="1391"/>
    <s v="SP"/>
    <x v="3"/>
    <x v="11"/>
    <x v="11"/>
    <s v="SERVIÇO"/>
    <x v="1802"/>
    <x v="22"/>
    <n v="117708.05"/>
    <n v="110469.01"/>
    <x v="327"/>
    <x v="63"/>
    <x v="228"/>
    <x v="0"/>
    <n v="0"/>
    <x v="0"/>
    <x v="1"/>
    <s v="FS"/>
    <x v="2"/>
    <m/>
    <m/>
    <m/>
  </r>
  <r>
    <n v="1391"/>
    <s v="SP"/>
    <x v="3"/>
    <x v="11"/>
    <x v="11"/>
    <s v="SERVIÇO"/>
    <x v="1803"/>
    <x v="22"/>
    <n v="126215.56"/>
    <n v="118453.31"/>
    <x v="237"/>
    <x v="82"/>
    <x v="259"/>
    <x v="0"/>
    <n v="0"/>
    <x v="0"/>
    <x v="1"/>
    <s v="FS"/>
    <x v="2"/>
    <m/>
    <m/>
    <m/>
  </r>
  <r>
    <n v="1391"/>
    <s v="SP"/>
    <x v="3"/>
    <x v="11"/>
    <x v="11"/>
    <s v="SERVIÇO"/>
    <x v="1804"/>
    <x v="22"/>
    <n v="28562.1"/>
    <n v="26805.53"/>
    <x v="310"/>
    <x v="76"/>
    <x v="286"/>
    <x v="0"/>
    <n v="0"/>
    <x v="0"/>
    <x v="1"/>
    <s v="FS"/>
    <x v="2"/>
    <m/>
    <m/>
    <m/>
  </r>
  <r>
    <n v="1391"/>
    <s v="SP"/>
    <x v="3"/>
    <x v="11"/>
    <x v="11"/>
    <s v="SERVIÇO"/>
    <x v="1805"/>
    <x v="23"/>
    <n v="65052"/>
    <n v="61051.3"/>
    <x v="305"/>
    <x v="64"/>
    <x v="195"/>
    <x v="0"/>
    <n v="0"/>
    <x v="0"/>
    <x v="1"/>
    <s v="FS"/>
    <x v="2"/>
    <m/>
    <m/>
    <m/>
  </r>
  <r>
    <n v="1391"/>
    <s v="SP"/>
    <x v="3"/>
    <x v="11"/>
    <x v="11"/>
    <s v="SERVIÇO"/>
    <x v="1806"/>
    <x v="23"/>
    <n v="346091.85"/>
    <n v="324807.2"/>
    <x v="253"/>
    <x v="64"/>
    <x v="236"/>
    <x v="0"/>
    <n v="0"/>
    <x v="0"/>
    <x v="1"/>
    <s v="FS"/>
    <x v="2"/>
    <m/>
    <m/>
    <m/>
  </r>
  <r>
    <n v="1391"/>
    <s v="SP"/>
    <x v="3"/>
    <x v="11"/>
    <x v="11"/>
    <s v="SERVIÇO"/>
    <x v="1807"/>
    <x v="23"/>
    <n v="21762"/>
    <n v="20423.64"/>
    <x v="328"/>
    <x v="64"/>
    <x v="269"/>
    <x v="0"/>
    <n v="0"/>
    <x v="0"/>
    <x v="1"/>
    <s v="FS"/>
    <x v="2"/>
    <m/>
    <m/>
    <m/>
  </r>
  <r>
    <n v="1391"/>
    <s v="SP"/>
    <x v="3"/>
    <x v="11"/>
    <x v="11"/>
    <s v="SERVIÇO"/>
    <x v="1808"/>
    <x v="23"/>
    <n v="68508.72"/>
    <n v="64295.43"/>
    <x v="328"/>
    <x v="64"/>
    <x v="269"/>
    <x v="0"/>
    <n v="0"/>
    <x v="0"/>
    <x v="1"/>
    <s v="FS"/>
    <x v="2"/>
    <m/>
    <m/>
    <m/>
  </r>
  <r>
    <n v="1391"/>
    <s v="SP"/>
    <x v="3"/>
    <x v="11"/>
    <x v="11"/>
    <s v="SERVIÇO"/>
    <x v="1809"/>
    <x v="23"/>
    <n v="67116.91"/>
    <n v="62989.22"/>
    <x v="328"/>
    <x v="64"/>
    <x v="269"/>
    <x v="0"/>
    <n v="0"/>
    <x v="0"/>
    <x v="1"/>
    <s v="FS"/>
    <x v="2"/>
    <m/>
    <m/>
    <m/>
  </r>
  <r>
    <n v="1391"/>
    <s v="SP"/>
    <x v="3"/>
    <x v="11"/>
    <x v="11"/>
    <s v="SERVIÇO"/>
    <x v="582"/>
    <x v="24"/>
    <n v="950000"/>
    <m/>
    <x v="192"/>
    <x v="83"/>
    <x v="128"/>
    <x v="1"/>
    <n v="0"/>
    <x v="0"/>
    <x v="1"/>
    <s v="FS"/>
    <x v="2"/>
    <m/>
    <m/>
    <m/>
  </r>
  <r>
    <n v="1294"/>
    <s v="SP"/>
    <x v="3"/>
    <x v="11"/>
    <x v="12"/>
    <s v="SERVIÇO"/>
    <x v="1810"/>
    <x v="12"/>
    <n v="86759.91"/>
    <n v="81424.17"/>
    <x v="171"/>
    <x v="16"/>
    <x v="50"/>
    <x v="0"/>
    <n v="0"/>
    <x v="0"/>
    <x v="1"/>
    <s v="FS"/>
    <x v="2"/>
    <m/>
    <m/>
    <m/>
  </r>
  <r>
    <n v="1294"/>
    <s v="SP"/>
    <x v="3"/>
    <x v="11"/>
    <x v="12"/>
    <s v="SERVIÇO"/>
    <x v="1811"/>
    <x v="12"/>
    <n v="221904"/>
    <n v="208256.9"/>
    <x v="171"/>
    <x v="16"/>
    <x v="50"/>
    <x v="0"/>
    <n v="0"/>
    <x v="0"/>
    <x v="1"/>
    <s v="FS"/>
    <x v="2"/>
    <m/>
    <m/>
    <m/>
  </r>
  <r>
    <n v="1294"/>
    <s v="SP"/>
    <x v="3"/>
    <x v="11"/>
    <x v="12"/>
    <s v="SERVIÇO"/>
    <x v="1812"/>
    <x v="12"/>
    <n v="13192.46"/>
    <n v="12381.12"/>
    <x v="146"/>
    <x v="54"/>
    <x v="231"/>
    <x v="0"/>
    <n v="0"/>
    <x v="0"/>
    <x v="1"/>
    <s v="FS"/>
    <x v="2"/>
    <m/>
    <m/>
    <m/>
  </r>
  <r>
    <n v="1294"/>
    <s v="SP"/>
    <x v="3"/>
    <x v="11"/>
    <x v="12"/>
    <s v="SERVIÇO"/>
    <x v="1813"/>
    <x v="12"/>
    <n v="172751.46"/>
    <n v="162127.25"/>
    <x v="160"/>
    <x v="54"/>
    <x v="255"/>
    <x v="0"/>
    <n v="0"/>
    <x v="0"/>
    <x v="1"/>
    <s v="FS"/>
    <x v="2"/>
    <m/>
    <m/>
    <m/>
  </r>
  <r>
    <n v="1294"/>
    <s v="SP"/>
    <x v="3"/>
    <x v="11"/>
    <x v="12"/>
    <s v="SERVIÇO"/>
    <x v="1814"/>
    <x v="17"/>
    <n v="183312"/>
    <n v="172038.31"/>
    <x v="286"/>
    <x v="54"/>
    <x v="162"/>
    <x v="0"/>
    <n v="0"/>
    <x v="0"/>
    <x v="1"/>
    <s v="FS"/>
    <x v="2"/>
    <m/>
    <m/>
    <m/>
  </r>
  <r>
    <n v="1294"/>
    <s v="SP"/>
    <x v="3"/>
    <x v="11"/>
    <x v="12"/>
    <s v="SERVIÇO"/>
    <x v="1815"/>
    <x v="17"/>
    <n v="47720.4"/>
    <n v="44785.59"/>
    <x v="234"/>
    <x v="52"/>
    <x v="196"/>
    <x v="0"/>
    <n v="0"/>
    <x v="0"/>
    <x v="1"/>
    <s v="FS"/>
    <x v="2"/>
    <m/>
    <m/>
    <m/>
  </r>
  <r>
    <n v="1294"/>
    <s v="SP"/>
    <x v="3"/>
    <x v="11"/>
    <x v="12"/>
    <s v="SERVIÇO"/>
    <x v="1816"/>
    <x v="17"/>
    <n v="247341.23"/>
    <n v="232129.74"/>
    <x v="246"/>
    <x v="52"/>
    <x v="262"/>
    <x v="0"/>
    <n v="0"/>
    <x v="0"/>
    <x v="1"/>
    <s v="FS"/>
    <x v="2"/>
    <m/>
    <m/>
    <m/>
  </r>
  <r>
    <n v="1294"/>
    <s v="SP"/>
    <x v="3"/>
    <x v="11"/>
    <x v="12"/>
    <s v="SERVIÇO"/>
    <x v="1817"/>
    <x v="17"/>
    <n v="53988.63"/>
    <n v="50668.33"/>
    <x v="246"/>
    <x v="52"/>
    <x v="262"/>
    <x v="0"/>
    <n v="0"/>
    <x v="0"/>
    <x v="1"/>
    <s v="FS"/>
    <x v="2"/>
    <m/>
    <m/>
    <m/>
  </r>
  <r>
    <n v="1294"/>
    <s v="SP"/>
    <x v="3"/>
    <x v="11"/>
    <x v="12"/>
    <s v="SERVIÇO"/>
    <x v="1818"/>
    <x v="17"/>
    <n v="146659.41"/>
    <n v="137639.85999999999"/>
    <x v="246"/>
    <x v="52"/>
    <x v="262"/>
    <x v="0"/>
    <n v="0"/>
    <x v="0"/>
    <x v="1"/>
    <s v="FS"/>
    <x v="2"/>
    <m/>
    <m/>
    <m/>
  </r>
  <r>
    <n v="1294"/>
    <s v="SP"/>
    <x v="3"/>
    <x v="11"/>
    <x v="12"/>
    <s v="SERVIÇO"/>
    <x v="1819"/>
    <x v="19"/>
    <n v="77184"/>
    <n v="72437.179999999993"/>
    <x v="287"/>
    <x v="70"/>
    <x v="283"/>
    <x v="0"/>
    <n v="0"/>
    <x v="0"/>
    <x v="1"/>
    <s v="FS"/>
    <x v="2"/>
    <m/>
    <m/>
    <m/>
  </r>
  <r>
    <n v="1294"/>
    <s v="SP"/>
    <x v="3"/>
    <x v="11"/>
    <x v="12"/>
    <s v="SERVIÇO"/>
    <x v="1820"/>
    <x v="19"/>
    <n v="66973.2"/>
    <n v="62854.35"/>
    <x v="287"/>
    <x v="70"/>
    <x v="283"/>
    <x v="0"/>
    <n v="0"/>
    <x v="0"/>
    <x v="1"/>
    <s v="FS"/>
    <x v="2"/>
    <m/>
    <m/>
    <m/>
  </r>
  <r>
    <n v="1294"/>
    <s v="SP"/>
    <x v="3"/>
    <x v="11"/>
    <x v="12"/>
    <s v="SERVIÇO"/>
    <x v="1821"/>
    <x v="19"/>
    <n v="10046.4"/>
    <n v="9428.5400000000009"/>
    <x v="274"/>
    <x v="70"/>
    <x v="225"/>
    <x v="0"/>
    <n v="0"/>
    <x v="0"/>
    <x v="1"/>
    <s v="FS"/>
    <x v="2"/>
    <m/>
    <m/>
    <m/>
  </r>
  <r>
    <n v="1294"/>
    <s v="SP"/>
    <x v="3"/>
    <x v="11"/>
    <x v="12"/>
    <s v="SERVIÇO"/>
    <x v="1822"/>
    <x v="19"/>
    <n v="69016.19"/>
    <n v="64771.7"/>
    <x v="274"/>
    <x v="70"/>
    <x v="225"/>
    <x v="0"/>
    <n v="0"/>
    <x v="0"/>
    <x v="1"/>
    <s v="FS"/>
    <x v="2"/>
    <m/>
    <m/>
    <m/>
  </r>
  <r>
    <n v="1294"/>
    <s v="SP"/>
    <x v="3"/>
    <x v="11"/>
    <x v="12"/>
    <s v="SERVIÇO"/>
    <x v="1823"/>
    <x v="19"/>
    <n v="122915.52"/>
    <n v="115356.22"/>
    <x v="329"/>
    <x v="33"/>
    <x v="287"/>
    <x v="0"/>
    <n v="0"/>
    <x v="0"/>
    <x v="1"/>
    <s v="FS"/>
    <x v="2"/>
    <m/>
    <m/>
    <m/>
  </r>
  <r>
    <n v="1294"/>
    <s v="SP"/>
    <x v="3"/>
    <x v="11"/>
    <x v="12"/>
    <s v="SERVIÇO"/>
    <x v="1824"/>
    <x v="19"/>
    <n v="16325.4"/>
    <n v="15321.39"/>
    <x v="323"/>
    <x v="33"/>
    <x v="267"/>
    <x v="0"/>
    <n v="0"/>
    <x v="0"/>
    <x v="1"/>
    <s v="FS"/>
    <x v="2"/>
    <m/>
    <m/>
    <m/>
  </r>
  <r>
    <n v="1294"/>
    <s v="SP"/>
    <x v="3"/>
    <x v="11"/>
    <x v="12"/>
    <s v="SERVIÇO"/>
    <x v="1825"/>
    <x v="19"/>
    <n v="13192.46"/>
    <n v="12381.12"/>
    <x v="261"/>
    <x v="58"/>
    <x v="284"/>
    <x v="0"/>
    <n v="0"/>
    <x v="0"/>
    <x v="1"/>
    <s v="FS"/>
    <x v="2"/>
    <m/>
    <m/>
    <m/>
  </r>
  <r>
    <n v="1294"/>
    <s v="SP"/>
    <x v="3"/>
    <x v="11"/>
    <x v="12"/>
    <s v="SERVIÇO"/>
    <x v="1826"/>
    <x v="19"/>
    <n v="123816"/>
    <n v="116201.32"/>
    <x v="330"/>
    <x v="58"/>
    <x v="288"/>
    <x v="0"/>
    <n v="0"/>
    <x v="0"/>
    <x v="1"/>
    <s v="FS"/>
    <x v="2"/>
    <m/>
    <m/>
    <m/>
  </r>
  <r>
    <n v="1294"/>
    <s v="SP"/>
    <x v="3"/>
    <x v="11"/>
    <x v="12"/>
    <s v="SERVIÇO"/>
    <x v="1827"/>
    <x v="19"/>
    <n v="181182.06"/>
    <n v="170039.36"/>
    <x v="330"/>
    <x v="58"/>
    <x v="288"/>
    <x v="0"/>
    <n v="0"/>
    <x v="0"/>
    <x v="1"/>
    <s v="FS"/>
    <x v="2"/>
    <m/>
    <m/>
    <m/>
  </r>
  <r>
    <n v="1294"/>
    <s v="SP"/>
    <x v="3"/>
    <x v="11"/>
    <x v="12"/>
    <s v="SERVIÇO"/>
    <x v="1828"/>
    <x v="19"/>
    <n v="247341.23"/>
    <n v="232129.74"/>
    <x v="330"/>
    <x v="58"/>
    <x v="288"/>
    <x v="0"/>
    <n v="0"/>
    <x v="0"/>
    <x v="1"/>
    <s v="FS"/>
    <x v="2"/>
    <m/>
    <m/>
    <m/>
  </r>
  <r>
    <n v="1294"/>
    <s v="SP"/>
    <x v="3"/>
    <x v="11"/>
    <x v="12"/>
    <s v="SERVIÇO"/>
    <x v="1829"/>
    <x v="19"/>
    <n v="86759.91"/>
    <n v="81424.17"/>
    <x v="266"/>
    <x v="58"/>
    <x v="209"/>
    <x v="0"/>
    <n v="0"/>
    <x v="0"/>
    <x v="1"/>
    <s v="FS"/>
    <x v="2"/>
    <m/>
    <m/>
    <m/>
  </r>
  <r>
    <n v="1294"/>
    <s v="SP"/>
    <x v="3"/>
    <x v="11"/>
    <x v="12"/>
    <s v="SERVIÇO"/>
    <x v="1830"/>
    <x v="20"/>
    <n v="86759.91"/>
    <n v="81424.17"/>
    <x v="226"/>
    <x v="68"/>
    <x v="243"/>
    <x v="0"/>
    <n v="0"/>
    <x v="0"/>
    <x v="1"/>
    <s v="FS"/>
    <x v="2"/>
    <m/>
    <m/>
    <m/>
  </r>
  <r>
    <n v="1294"/>
    <s v="SP"/>
    <x v="3"/>
    <x v="11"/>
    <x v="12"/>
    <s v="SERVIÇO"/>
    <x v="1831"/>
    <x v="19"/>
    <n v="53988.63"/>
    <n v="50668.33"/>
    <x v="226"/>
    <x v="68"/>
    <x v="243"/>
    <x v="0"/>
    <n v="0"/>
    <x v="0"/>
    <x v="1"/>
    <s v="FS"/>
    <x v="2"/>
    <m/>
    <m/>
    <m/>
  </r>
  <r>
    <n v="1294"/>
    <s v="SP"/>
    <x v="3"/>
    <x v="11"/>
    <x v="12"/>
    <s v="SERVIÇO"/>
    <x v="1832"/>
    <x v="20"/>
    <n v="1569.75"/>
    <n v="1473.21"/>
    <x v="325"/>
    <x v="59"/>
    <x v="285"/>
    <x v="0"/>
    <n v="0"/>
    <x v="0"/>
    <x v="1"/>
    <s v="FS"/>
    <x v="2"/>
    <m/>
    <m/>
    <m/>
  </r>
  <r>
    <n v="1294"/>
    <s v="SP"/>
    <x v="3"/>
    <x v="11"/>
    <x v="12"/>
    <s v="SERVIÇO"/>
    <x v="1833"/>
    <x v="20"/>
    <n v="23517"/>
    <n v="22070.7"/>
    <x v="326"/>
    <x v="59"/>
    <x v="188"/>
    <x v="0"/>
    <n v="0"/>
    <x v="0"/>
    <x v="1"/>
    <s v="FS"/>
    <x v="2"/>
    <m/>
    <m/>
    <m/>
  </r>
  <r>
    <n v="1294"/>
    <s v="SP"/>
    <x v="3"/>
    <x v="11"/>
    <x v="12"/>
    <s v="SERVIÇO"/>
    <x v="1834"/>
    <x v="20"/>
    <n v="131695.20000000001"/>
    <n v="123595.94"/>
    <x v="326"/>
    <x v="59"/>
    <x v="188"/>
    <x v="0"/>
    <n v="0"/>
    <x v="0"/>
    <x v="1"/>
    <s v="FS"/>
    <x v="2"/>
    <m/>
    <m/>
    <m/>
  </r>
  <r>
    <n v="1294"/>
    <s v="SP"/>
    <x v="3"/>
    <x v="11"/>
    <x v="12"/>
    <s v="SERVIÇO"/>
    <x v="1835"/>
    <x v="20"/>
    <n v="110965.1"/>
    <n v="104140.74"/>
    <x v="331"/>
    <x v="59"/>
    <x v="289"/>
    <x v="0"/>
    <n v="0"/>
    <x v="0"/>
    <x v="1"/>
    <s v="FS"/>
    <x v="2"/>
    <m/>
    <m/>
    <m/>
  </r>
  <r>
    <n v="1294"/>
    <s v="SP"/>
    <x v="3"/>
    <x v="11"/>
    <x v="12"/>
    <s v="SERVIÇO"/>
    <x v="1836"/>
    <x v="20"/>
    <n v="247341.23"/>
    <n v="232129.74"/>
    <x v="318"/>
    <x v="59"/>
    <x v="244"/>
    <x v="0"/>
    <n v="0"/>
    <x v="0"/>
    <x v="1"/>
    <s v="FS"/>
    <x v="2"/>
    <m/>
    <m/>
    <m/>
  </r>
  <r>
    <n v="1294"/>
    <s v="SP"/>
    <x v="3"/>
    <x v="11"/>
    <x v="12"/>
    <s v="SERVIÇO"/>
    <x v="1837"/>
    <x v="20"/>
    <n v="180997.18"/>
    <n v="169865.85"/>
    <x v="318"/>
    <x v="59"/>
    <x v="244"/>
    <x v="0"/>
    <n v="0"/>
    <x v="0"/>
    <x v="1"/>
    <s v="FS"/>
    <x v="2"/>
    <m/>
    <m/>
    <m/>
  </r>
  <r>
    <n v="1294"/>
    <s v="SP"/>
    <x v="3"/>
    <x v="11"/>
    <x v="12"/>
    <s v="SERVIÇO"/>
    <x v="1838"/>
    <x v="30"/>
    <n v="53988.63"/>
    <n v="50668.33"/>
    <x v="250"/>
    <x v="71"/>
    <x v="226"/>
    <x v="0"/>
    <n v="0"/>
    <x v="0"/>
    <x v="1"/>
    <s v="FS"/>
    <x v="2"/>
    <m/>
    <m/>
    <m/>
  </r>
  <r>
    <n v="1294"/>
    <s v="SP"/>
    <x v="3"/>
    <x v="11"/>
    <x v="12"/>
    <s v="SERVIÇO"/>
    <x v="1839"/>
    <x v="30"/>
    <n v="19968.05"/>
    <n v="18740.02"/>
    <x v="262"/>
    <x v="71"/>
    <x v="252"/>
    <x v="0"/>
    <n v="0"/>
    <x v="0"/>
    <x v="1"/>
    <s v="FS"/>
    <x v="2"/>
    <m/>
    <m/>
    <m/>
  </r>
  <r>
    <n v="1294"/>
    <s v="SP"/>
    <x v="3"/>
    <x v="11"/>
    <x v="12"/>
    <s v="SERVIÇO"/>
    <x v="1840"/>
    <x v="30"/>
    <n v="19968.05"/>
    <n v="18740.02"/>
    <x v="262"/>
    <x v="71"/>
    <x v="252"/>
    <x v="0"/>
    <n v="0"/>
    <x v="0"/>
    <x v="1"/>
    <s v="FS"/>
    <x v="2"/>
    <m/>
    <m/>
    <m/>
  </r>
  <r>
    <n v="1294"/>
    <s v="SP"/>
    <x v="3"/>
    <x v="11"/>
    <x v="12"/>
    <s v="SERVIÇO"/>
    <x v="1841"/>
    <x v="30"/>
    <n v="19968.05"/>
    <n v="18740.02"/>
    <x v="262"/>
    <x v="71"/>
    <x v="252"/>
    <x v="0"/>
    <n v="0"/>
    <x v="0"/>
    <x v="1"/>
    <s v="FS"/>
    <x v="2"/>
    <m/>
    <m/>
    <m/>
  </r>
  <r>
    <n v="1294"/>
    <s v="SP"/>
    <x v="3"/>
    <x v="11"/>
    <x v="12"/>
    <s v="SERVIÇO"/>
    <x v="1842"/>
    <x v="21"/>
    <n v="86871.51"/>
    <n v="81528.91"/>
    <x v="227"/>
    <x v="61"/>
    <x v="290"/>
    <x v="0"/>
    <n v="0"/>
    <x v="0"/>
    <x v="1"/>
    <s v="FS"/>
    <x v="2"/>
    <m/>
    <m/>
    <m/>
  </r>
  <r>
    <n v="1294"/>
    <s v="SP"/>
    <x v="3"/>
    <x v="11"/>
    <x v="12"/>
    <s v="SERVIÇO"/>
    <x v="1843"/>
    <x v="29"/>
    <n v="247660.38"/>
    <n v="232429.26"/>
    <x v="299"/>
    <x v="60"/>
    <x v="258"/>
    <x v="0"/>
    <n v="0"/>
    <x v="0"/>
    <x v="1"/>
    <s v="FS"/>
    <x v="2"/>
    <m/>
    <m/>
    <m/>
  </r>
  <r>
    <n v="1294"/>
    <s v="SP"/>
    <x v="3"/>
    <x v="11"/>
    <x v="12"/>
    <s v="SERVIÇO"/>
    <x v="1844"/>
    <x v="21"/>
    <n v="124017"/>
    <n v="116389.95"/>
    <x v="267"/>
    <x v="60"/>
    <x v="291"/>
    <x v="0"/>
    <n v="0"/>
    <x v="0"/>
    <x v="1"/>
    <s v="FS"/>
    <x v="2"/>
    <m/>
    <m/>
    <m/>
  </r>
  <r>
    <n v="1294"/>
    <s v="SP"/>
    <x v="3"/>
    <x v="11"/>
    <x v="12"/>
    <s v="SERVIÇO"/>
    <x v="1845"/>
    <x v="21"/>
    <n v="27828.45"/>
    <n v="26117"/>
    <x v="267"/>
    <x v="60"/>
    <x v="291"/>
    <x v="0"/>
    <n v="0"/>
    <x v="0"/>
    <x v="1"/>
    <s v="FS"/>
    <x v="2"/>
    <m/>
    <m/>
    <m/>
  </r>
  <r>
    <n v="1294"/>
    <s v="SP"/>
    <x v="3"/>
    <x v="11"/>
    <x v="12"/>
    <s v="SERVIÇO"/>
    <x v="1846"/>
    <x v="21"/>
    <n v="111313.8"/>
    <n v="104468"/>
    <x v="267"/>
    <x v="60"/>
    <x v="291"/>
    <x v="0"/>
    <n v="0"/>
    <x v="0"/>
    <x v="1"/>
    <s v="FS"/>
    <x v="2"/>
    <m/>
    <m/>
    <m/>
  </r>
  <r>
    <n v="1294"/>
    <s v="SP"/>
    <x v="3"/>
    <x v="11"/>
    <x v="12"/>
    <s v="SERVIÇO"/>
    <x v="1847"/>
    <x v="21"/>
    <n v="167314.19"/>
    <n v="157024.37"/>
    <x v="189"/>
    <x v="60"/>
    <x v="245"/>
    <x v="0"/>
    <n v="0"/>
    <x v="0"/>
    <x v="1"/>
    <s v="FS"/>
    <x v="2"/>
    <m/>
    <m/>
    <m/>
  </r>
  <r>
    <n v="1294"/>
    <s v="SP"/>
    <x v="3"/>
    <x v="11"/>
    <x v="12"/>
    <s v="SERVIÇO"/>
    <x v="1848"/>
    <x v="21"/>
    <n v="3471.69"/>
    <n v="3258.18"/>
    <x v="189"/>
    <x v="60"/>
    <x v="245"/>
    <x v="0"/>
    <n v="0"/>
    <x v="0"/>
    <x v="1"/>
    <s v="FS"/>
    <x v="2"/>
    <m/>
    <m/>
    <m/>
  </r>
  <r>
    <n v="1294"/>
    <s v="SP"/>
    <x v="3"/>
    <x v="11"/>
    <x v="12"/>
    <s v="SERVIÇO"/>
    <x v="1849"/>
    <x v="21"/>
    <n v="131270.63"/>
    <n v="123197.49"/>
    <x v="256"/>
    <x v="62"/>
    <x v="192"/>
    <x v="0"/>
    <n v="0"/>
    <x v="0"/>
    <x v="1"/>
    <s v="FS"/>
    <x v="2"/>
    <m/>
    <m/>
    <m/>
  </r>
  <r>
    <n v="1294"/>
    <s v="SP"/>
    <x v="3"/>
    <x v="11"/>
    <x v="12"/>
    <s v="SERVIÇO"/>
    <x v="1850"/>
    <x v="29"/>
    <n v="185528.51"/>
    <n v="174118.5"/>
    <x v="308"/>
    <x v="62"/>
    <x v="277"/>
    <x v="0"/>
    <n v="0"/>
    <x v="0"/>
    <x v="1"/>
    <s v="FS"/>
    <x v="2"/>
    <m/>
    <m/>
    <m/>
  </r>
  <r>
    <n v="1294"/>
    <s v="SP"/>
    <x v="3"/>
    <x v="11"/>
    <x v="12"/>
    <s v="SERVIÇO"/>
    <x v="1851"/>
    <x v="29"/>
    <n v="166765.92000000001"/>
    <n v="156509.81"/>
    <x v="189"/>
    <x v="60"/>
    <x v="245"/>
    <x v="0"/>
    <n v="0"/>
    <x v="0"/>
    <x v="1"/>
    <s v="FS"/>
    <x v="2"/>
    <m/>
    <m/>
    <m/>
  </r>
  <r>
    <n v="1294"/>
    <s v="SP"/>
    <x v="3"/>
    <x v="11"/>
    <x v="12"/>
    <s v="SERVIÇO"/>
    <x v="1852"/>
    <x v="29"/>
    <n v="131270.63"/>
    <n v="123197.49"/>
    <x v="255"/>
    <x v="63"/>
    <x v="247"/>
    <x v="0"/>
    <n v="0"/>
    <x v="0"/>
    <x v="1"/>
    <s v="FS"/>
    <x v="2"/>
    <m/>
    <m/>
    <m/>
  </r>
  <r>
    <n v="1294"/>
    <s v="SP"/>
    <x v="3"/>
    <x v="11"/>
    <x v="12"/>
    <s v="SERVIÇO"/>
    <x v="1853"/>
    <x v="29"/>
    <n v="166765.92000000001"/>
    <n v="156509.81"/>
    <x v="275"/>
    <x v="63"/>
    <x v="247"/>
    <x v="0"/>
    <n v="0"/>
    <x v="0"/>
    <x v="1"/>
    <s v="FS"/>
    <x v="2"/>
    <m/>
    <m/>
    <m/>
  </r>
  <r>
    <n v="1294"/>
    <s v="SP"/>
    <x v="3"/>
    <x v="11"/>
    <x v="12"/>
    <s v="SERVIÇO"/>
    <x v="1854"/>
    <x v="22"/>
    <n v="135522.23999999999"/>
    <n v="127187.63"/>
    <x v="275"/>
    <x v="63"/>
    <x v="194"/>
    <x v="0"/>
    <n v="0"/>
    <x v="0"/>
    <x v="1"/>
    <s v="FS"/>
    <x v="2"/>
    <m/>
    <m/>
    <m/>
  </r>
  <r>
    <n v="1294"/>
    <s v="SP"/>
    <x v="3"/>
    <x v="11"/>
    <x v="12"/>
    <s v="SERVIÇO"/>
    <x v="1855"/>
    <x v="29"/>
    <n v="53988.63"/>
    <n v="50668.33"/>
    <x v="275"/>
    <x v="63"/>
    <x v="247"/>
    <x v="0"/>
    <n v="0"/>
    <x v="0"/>
    <x v="1"/>
    <s v="FS"/>
    <x v="2"/>
    <m/>
    <m/>
    <m/>
  </r>
  <r>
    <n v="1294"/>
    <s v="SP"/>
    <x v="3"/>
    <x v="11"/>
    <x v="12"/>
    <s v="SERVIÇO"/>
    <x v="1856"/>
    <x v="22"/>
    <n v="1959.75"/>
    <n v="1839.22"/>
    <x v="321"/>
    <x v="63"/>
    <x v="228"/>
    <x v="0"/>
    <n v="0"/>
    <x v="0"/>
    <x v="1"/>
    <s v="FS"/>
    <x v="2"/>
    <m/>
    <m/>
    <m/>
  </r>
  <r>
    <n v="1294"/>
    <s v="SP"/>
    <x v="3"/>
    <x v="11"/>
    <x v="12"/>
    <s v="SERVIÇO"/>
    <x v="1857"/>
    <x v="23"/>
    <n v="126067.2"/>
    <n v="118314.07"/>
    <x v="253"/>
    <x v="64"/>
    <x v="236"/>
    <x v="0"/>
    <n v="0"/>
    <x v="0"/>
    <x v="1"/>
    <s v="FS"/>
    <x v="2"/>
    <m/>
    <m/>
    <m/>
  </r>
  <r>
    <n v="1294"/>
    <s v="SP"/>
    <x v="3"/>
    <x v="11"/>
    <x v="12"/>
    <s v="SERVIÇO"/>
    <x v="1858"/>
    <x v="23"/>
    <n v="131270.63"/>
    <n v="123197.48"/>
    <x v="314"/>
    <x v="73"/>
    <x v="128"/>
    <x v="2"/>
    <n v="0"/>
    <x v="0"/>
    <x v="1"/>
    <s v="FS"/>
    <x v="2"/>
    <m/>
    <m/>
    <m/>
  </r>
  <r>
    <n v="1294"/>
    <s v="SP"/>
    <x v="3"/>
    <x v="11"/>
    <x v="12"/>
    <s v="SERVIÇO"/>
    <x v="582"/>
    <x v="23"/>
    <n v="142662.37"/>
    <n v="156509.81"/>
    <x v="254"/>
    <x v="65"/>
    <x v="128"/>
    <x v="1"/>
    <n v="0"/>
    <x v="0"/>
    <x v="1"/>
    <s v="FS"/>
    <x v="2"/>
    <m/>
    <m/>
    <m/>
  </r>
  <r>
    <n v="1294"/>
    <s v="SP"/>
    <x v="3"/>
    <x v="11"/>
    <x v="12"/>
    <s v="SERVIÇO"/>
    <x v="582"/>
    <x v="24"/>
    <n v="800000"/>
    <n v="156509.81"/>
    <x v="192"/>
    <x v="83"/>
    <x v="128"/>
    <x v="1"/>
    <n v="0"/>
    <x v="0"/>
    <x v="1"/>
    <s v="FS"/>
    <x v="2"/>
    <m/>
    <m/>
    <m/>
  </r>
  <r>
    <n v="1285"/>
    <s v="SP"/>
    <x v="3"/>
    <x v="11"/>
    <x v="14"/>
    <s v="SERVIÇO"/>
    <x v="1859"/>
    <x v="17"/>
    <n v="25534.32"/>
    <n v="23963.96"/>
    <x v="285"/>
    <x v="70"/>
    <x v="283"/>
    <x v="0"/>
    <n v="0"/>
    <x v="0"/>
    <x v="1"/>
    <s v="FS"/>
    <x v="2"/>
    <m/>
    <m/>
    <m/>
  </r>
  <r>
    <n v="1285"/>
    <s v="SP"/>
    <x v="3"/>
    <x v="11"/>
    <x v="14"/>
    <s v="SERVIÇO"/>
    <x v="1860"/>
    <x v="19"/>
    <n v="15806.96"/>
    <n v="14834.84"/>
    <x v="261"/>
    <x v="81"/>
    <x v="292"/>
    <x v="0"/>
    <n v="0"/>
    <x v="0"/>
    <x v="1"/>
    <s v="FS"/>
    <x v="2"/>
    <m/>
    <m/>
    <m/>
  </r>
  <r>
    <n v="1292"/>
    <s v="SP"/>
    <x v="3"/>
    <x v="3"/>
    <x v="3"/>
    <s v="SERVIÇO"/>
    <x v="1861"/>
    <x v="17"/>
    <n v="31008"/>
    <n v="29101.01"/>
    <x v="146"/>
    <x v="54"/>
    <x v="231"/>
    <x v="0"/>
    <n v="0"/>
    <x v="0"/>
    <x v="1"/>
    <s v="FS"/>
    <x v="2"/>
    <m/>
    <m/>
    <m/>
  </r>
  <r>
    <n v="1292"/>
    <s v="SP"/>
    <x v="3"/>
    <x v="3"/>
    <x v="3"/>
    <s v="SERVIÇO"/>
    <x v="1862"/>
    <x v="17"/>
    <n v="119185.65"/>
    <n v="111855.74"/>
    <x v="332"/>
    <x v="54"/>
    <x v="293"/>
    <x v="0"/>
    <n v="0"/>
    <x v="0"/>
    <x v="1"/>
    <s v="FS"/>
    <x v="2"/>
    <m/>
    <m/>
    <m/>
  </r>
  <r>
    <n v="1292"/>
    <s v="SP"/>
    <x v="3"/>
    <x v="3"/>
    <x v="3"/>
    <s v="SERVIÇO"/>
    <x v="1863"/>
    <x v="17"/>
    <n v="34633.19"/>
    <n v="32503.25"/>
    <x v="332"/>
    <x v="54"/>
    <x v="293"/>
    <x v="0"/>
    <n v="0"/>
    <x v="0"/>
    <x v="1"/>
    <s v="FS"/>
    <x v="2"/>
    <m/>
    <m/>
    <m/>
  </r>
  <r>
    <n v="1292"/>
    <s v="SP"/>
    <x v="3"/>
    <x v="3"/>
    <x v="3"/>
    <s v="SERVIÇO"/>
    <x v="1864"/>
    <x v="19"/>
    <n v="34633.19"/>
    <n v="32503.25"/>
    <x v="332"/>
    <x v="54"/>
    <x v="293"/>
    <x v="0"/>
    <n v="0"/>
    <x v="0"/>
    <x v="1"/>
    <s v="FS"/>
    <x v="2"/>
    <m/>
    <m/>
    <m/>
  </r>
  <r>
    <n v="1292"/>
    <s v="SP"/>
    <x v="3"/>
    <x v="3"/>
    <x v="3"/>
    <s v="SERVIÇO"/>
    <x v="1865"/>
    <x v="17"/>
    <n v="646.05999999999995"/>
    <n v="606.33000000000004"/>
    <x v="286"/>
    <x v="57"/>
    <x v="241"/>
    <x v="0"/>
    <n v="0"/>
    <x v="0"/>
    <x v="1"/>
    <s v="FS"/>
    <x v="2"/>
    <m/>
    <m/>
    <m/>
  </r>
  <r>
    <n v="1292"/>
    <s v="SP"/>
    <x v="3"/>
    <x v="3"/>
    <x v="3"/>
    <s v="SERVIÇO"/>
    <x v="1866"/>
    <x v="17"/>
    <n v="646.04"/>
    <n v="606.30999999999995"/>
    <x v="286"/>
    <x v="54"/>
    <x v="162"/>
    <x v="0"/>
    <n v="0"/>
    <x v="0"/>
    <x v="1"/>
    <s v="FS"/>
    <x v="2"/>
    <m/>
    <m/>
    <m/>
  </r>
  <r>
    <n v="1292"/>
    <s v="SP"/>
    <x v="3"/>
    <x v="3"/>
    <x v="3"/>
    <s v="SERVIÇO"/>
    <x v="1867"/>
    <x v="17"/>
    <n v="646.04"/>
    <n v="606.30999999999995"/>
    <x v="286"/>
    <x v="54"/>
    <x v="162"/>
    <x v="0"/>
    <n v="0"/>
    <x v="0"/>
    <x v="1"/>
    <s v="FS"/>
    <x v="2"/>
    <m/>
    <m/>
    <m/>
  </r>
  <r>
    <n v="1292"/>
    <s v="SP"/>
    <x v="3"/>
    <x v="3"/>
    <x v="3"/>
    <s v="SERVIÇO"/>
    <x v="1868"/>
    <x v="17"/>
    <n v="646.04"/>
    <n v="606.30999999999995"/>
    <x v="286"/>
    <x v="54"/>
    <x v="162"/>
    <x v="0"/>
    <n v="0"/>
    <x v="0"/>
    <x v="1"/>
    <s v="FS"/>
    <x v="2"/>
    <m/>
    <m/>
    <m/>
  </r>
  <r>
    <n v="1292"/>
    <s v="SP"/>
    <x v="3"/>
    <x v="3"/>
    <x v="3"/>
    <s v="SERVIÇO"/>
    <x v="1869"/>
    <x v="17"/>
    <n v="57764.87"/>
    <n v="54212.33"/>
    <x v="234"/>
    <x v="70"/>
    <x v="225"/>
    <x v="0"/>
    <n v="0"/>
    <x v="0"/>
    <x v="1"/>
    <s v="FS"/>
    <x v="2"/>
    <m/>
    <m/>
    <m/>
  </r>
  <r>
    <n v="1292"/>
    <s v="SP"/>
    <x v="3"/>
    <x v="3"/>
    <x v="3"/>
    <s v="SERVIÇO"/>
    <x v="1870"/>
    <x v="17"/>
    <n v="132310.9"/>
    <n v="124173.78"/>
    <x v="234"/>
    <x v="52"/>
    <x v="253"/>
    <x v="0"/>
    <n v="0"/>
    <x v="0"/>
    <x v="1"/>
    <s v="FS"/>
    <x v="2"/>
    <m/>
    <m/>
    <m/>
  </r>
  <r>
    <n v="1292"/>
    <s v="SP"/>
    <x v="3"/>
    <x v="3"/>
    <x v="3"/>
    <s v="SERVIÇO"/>
    <x v="1871"/>
    <x v="17"/>
    <n v="27095.59"/>
    <n v="25429.22"/>
    <x v="234"/>
    <x v="52"/>
    <x v="196"/>
    <x v="0"/>
    <n v="0"/>
    <x v="0"/>
    <x v="1"/>
    <s v="FS"/>
    <x v="2"/>
    <m/>
    <m/>
    <m/>
  </r>
  <r>
    <n v="1292"/>
    <s v="SP"/>
    <x v="3"/>
    <x v="3"/>
    <x v="3"/>
    <s v="SERVIÇO"/>
    <x v="1872"/>
    <x v="17"/>
    <n v="27095.59"/>
    <n v="25429.22"/>
    <x v="234"/>
    <x v="52"/>
    <x v="196"/>
    <x v="0"/>
    <n v="0"/>
    <x v="0"/>
    <x v="1"/>
    <s v="FS"/>
    <x v="2"/>
    <m/>
    <m/>
    <m/>
  </r>
  <r>
    <n v="1292"/>
    <s v="SP"/>
    <x v="3"/>
    <x v="3"/>
    <x v="3"/>
    <s v="SERVIÇO"/>
    <x v="1873"/>
    <x v="17"/>
    <n v="27095.59"/>
    <n v="25429.22"/>
    <x v="234"/>
    <x v="52"/>
    <x v="196"/>
    <x v="0"/>
    <n v="0"/>
    <x v="0"/>
    <x v="1"/>
    <s v="FS"/>
    <x v="2"/>
    <m/>
    <m/>
    <m/>
  </r>
  <r>
    <n v="1292"/>
    <s v="SP"/>
    <x v="3"/>
    <x v="3"/>
    <x v="3"/>
    <s v="SERVIÇO"/>
    <x v="1874"/>
    <x v="17"/>
    <n v="27095.59"/>
    <n v="25429.22"/>
    <x v="234"/>
    <x v="52"/>
    <x v="196"/>
    <x v="0"/>
    <n v="0"/>
    <x v="0"/>
    <x v="1"/>
    <s v="FS"/>
    <x v="2"/>
    <m/>
    <m/>
    <m/>
  </r>
  <r>
    <n v="1292"/>
    <s v="SP"/>
    <x v="3"/>
    <x v="3"/>
    <x v="3"/>
    <s v="SERVIÇO"/>
    <x v="1875"/>
    <x v="19"/>
    <n v="31008"/>
    <n v="29101.01"/>
    <x v="225"/>
    <x v="33"/>
    <x v="78"/>
    <x v="0"/>
    <n v="0"/>
    <x v="0"/>
    <x v="1"/>
    <s v="FS"/>
    <x v="2"/>
    <m/>
    <m/>
    <m/>
  </r>
  <r>
    <n v="1292"/>
    <s v="SP"/>
    <x v="3"/>
    <x v="3"/>
    <x v="3"/>
    <s v="SERVIÇO"/>
    <x v="1876"/>
    <x v="19"/>
    <n v="119185.65"/>
    <n v="111855.74"/>
    <x v="185"/>
    <x v="33"/>
    <x v="294"/>
    <x v="0"/>
    <n v="0"/>
    <x v="0"/>
    <x v="1"/>
    <s v="FS"/>
    <x v="2"/>
    <m/>
    <m/>
    <m/>
  </r>
  <r>
    <n v="1292"/>
    <s v="SP"/>
    <x v="3"/>
    <x v="3"/>
    <x v="3"/>
    <s v="SERVIÇO"/>
    <x v="1877"/>
    <x v="19"/>
    <n v="57764.87"/>
    <n v="54212.33"/>
    <x v="333"/>
    <x v="74"/>
    <x v="233"/>
    <x v="0"/>
    <m/>
    <x v="0"/>
    <x v="1"/>
    <s v="FS"/>
    <x v="2"/>
    <m/>
    <m/>
    <m/>
  </r>
  <r>
    <n v="1292"/>
    <s v="SP"/>
    <x v="3"/>
    <x v="3"/>
    <x v="3"/>
    <s v="SERVIÇO"/>
    <x v="1878"/>
    <x v="20"/>
    <n v="119185.65"/>
    <n v="111855.74"/>
    <x v="187"/>
    <x v="68"/>
    <x v="248"/>
    <x v="0"/>
    <n v="0"/>
    <x v="0"/>
    <x v="1"/>
    <s v="FS"/>
    <x v="2"/>
    <m/>
    <m/>
    <m/>
  </r>
  <r>
    <n v="1292"/>
    <s v="SP"/>
    <x v="3"/>
    <x v="3"/>
    <x v="3"/>
    <s v="SERVIÇO"/>
    <x v="1879"/>
    <x v="20"/>
    <n v="27095.59"/>
    <n v="25429.22"/>
    <x v="249"/>
    <x v="59"/>
    <x v="189"/>
    <x v="0"/>
    <n v="0"/>
    <x v="0"/>
    <x v="1"/>
    <s v="FS"/>
    <x v="2"/>
    <m/>
    <m/>
    <m/>
  </r>
  <r>
    <n v="1292"/>
    <s v="SP"/>
    <x v="3"/>
    <x v="3"/>
    <x v="3"/>
    <s v="SERVIÇO"/>
    <x v="1880"/>
    <x v="30"/>
    <n v="34633.19"/>
    <n v="32503.25"/>
    <x v="296"/>
    <x v="85"/>
    <x v="295"/>
    <x v="0"/>
    <n v="0"/>
    <x v="0"/>
    <x v="1"/>
    <s v="FS"/>
    <x v="2"/>
    <m/>
    <m/>
    <m/>
  </r>
  <r>
    <n v="1292"/>
    <s v="SP"/>
    <x v="3"/>
    <x v="3"/>
    <x v="3"/>
    <s v="SERVIÇO"/>
    <x v="1881"/>
    <x v="21"/>
    <n v="119185.65"/>
    <n v="111855.74"/>
    <x v="263"/>
    <x v="60"/>
    <x v="190"/>
    <x v="0"/>
    <n v="0"/>
    <x v="0"/>
    <x v="1"/>
    <s v="FS"/>
    <x v="2"/>
    <m/>
    <m/>
    <m/>
  </r>
  <r>
    <n v="1292"/>
    <s v="SP"/>
    <x v="3"/>
    <x v="3"/>
    <x v="3"/>
    <s v="SERVIÇO"/>
    <x v="1882"/>
    <x v="21"/>
    <n v="22540"/>
    <n v="21153.79"/>
    <x v="299"/>
    <x v="60"/>
    <x v="258"/>
    <x v="0"/>
    <n v="0"/>
    <x v="0"/>
    <x v="1"/>
    <s v="FS"/>
    <x v="2"/>
    <m/>
    <m/>
    <m/>
  </r>
  <r>
    <n v="1292"/>
    <s v="SP"/>
    <x v="3"/>
    <x v="3"/>
    <x v="3"/>
    <s v="SERVIÇO"/>
    <x v="1883"/>
    <x v="21"/>
    <n v="32039"/>
    <n v="30068.6"/>
    <x v="299"/>
    <x v="60"/>
    <x v="258"/>
    <x v="0"/>
    <n v="0"/>
    <x v="0"/>
    <x v="1"/>
    <s v="FS"/>
    <x v="2"/>
    <m/>
    <m/>
    <m/>
  </r>
  <r>
    <n v="1292"/>
    <s v="SP"/>
    <x v="3"/>
    <x v="3"/>
    <x v="3"/>
    <s v="SERVIÇO"/>
    <x v="1884"/>
    <x v="21"/>
    <n v="34633.19"/>
    <n v="32503.25"/>
    <x v="189"/>
    <x v="60"/>
    <x v="245"/>
    <x v="0"/>
    <n v="0"/>
    <x v="0"/>
    <x v="1"/>
    <s v="FS"/>
    <x v="2"/>
    <m/>
    <m/>
    <m/>
  </r>
  <r>
    <n v="1292"/>
    <s v="SP"/>
    <x v="3"/>
    <x v="3"/>
    <x v="3"/>
    <s v="SERVIÇO"/>
    <x v="1885"/>
    <x v="21"/>
    <n v="11408.68"/>
    <n v="10707.05"/>
    <x v="189"/>
    <x v="60"/>
    <x v="245"/>
    <x v="0"/>
    <n v="0"/>
    <x v="0"/>
    <x v="1"/>
    <s v="FS"/>
    <x v="2"/>
    <m/>
    <m/>
    <m/>
  </r>
  <r>
    <n v="1292"/>
    <s v="SP"/>
    <x v="3"/>
    <x v="3"/>
    <x v="3"/>
    <s v="SERVIÇO"/>
    <x v="1886"/>
    <x v="21"/>
    <n v="21873.72"/>
    <n v="20528.48"/>
    <x v="189"/>
    <x v="60"/>
    <x v="245"/>
    <x v="0"/>
    <n v="0"/>
    <x v="0"/>
    <x v="1"/>
    <s v="FS"/>
    <x v="2"/>
    <m/>
    <m/>
    <m/>
  </r>
  <r>
    <n v="1292"/>
    <s v="SP"/>
    <x v="3"/>
    <x v="3"/>
    <x v="3"/>
    <s v="SERVIÇO"/>
    <x v="1887"/>
    <x v="21"/>
    <n v="27048"/>
    <n v="25384.55"/>
    <x v="256"/>
    <x v="78"/>
    <x v="296"/>
    <x v="0"/>
    <n v="0"/>
    <x v="0"/>
    <x v="1"/>
    <s v="FS"/>
    <x v="2"/>
    <m/>
    <m/>
    <m/>
  </r>
  <r>
    <n v="1292"/>
    <s v="SP"/>
    <x v="3"/>
    <x v="3"/>
    <x v="3"/>
    <s v="SERVIÇO"/>
    <x v="1888"/>
    <x v="22"/>
    <n v="119185.65"/>
    <n v="111855.74"/>
    <x v="255"/>
    <x v="78"/>
    <x v="249"/>
    <x v="0"/>
    <n v="0"/>
    <x v="0"/>
    <x v="1"/>
    <s v="FS"/>
    <x v="2"/>
    <m/>
    <m/>
    <m/>
  </r>
  <r>
    <n v="1292"/>
    <s v="SP"/>
    <x v="3"/>
    <x v="3"/>
    <x v="3"/>
    <s v="SERVIÇO"/>
    <x v="1889"/>
    <x v="22"/>
    <n v="32039"/>
    <n v="30068.6"/>
    <x v="264"/>
    <x v="78"/>
    <x v="297"/>
    <x v="0"/>
    <n v="0"/>
    <x v="0"/>
    <x v="1"/>
    <s v="FS"/>
    <x v="2"/>
    <m/>
    <m/>
    <m/>
  </r>
  <r>
    <n v="1292"/>
    <s v="SP"/>
    <x v="3"/>
    <x v="3"/>
    <x v="3"/>
    <s v="SERVIÇO"/>
    <x v="1890"/>
    <x v="22"/>
    <n v="6704.35"/>
    <n v="6292.03"/>
    <x v="275"/>
    <x v="63"/>
    <x v="194"/>
    <x v="0"/>
    <n v="0"/>
    <x v="0"/>
    <x v="1"/>
    <s v="FS"/>
    <x v="2"/>
    <m/>
    <m/>
    <m/>
  </r>
  <r>
    <n v="1292"/>
    <s v="SP"/>
    <x v="3"/>
    <x v="3"/>
    <x v="3"/>
    <s v="SERVIÇO"/>
    <x v="1891"/>
    <x v="22"/>
    <n v="6704.35"/>
    <n v="6292.03"/>
    <x v="275"/>
    <x v="63"/>
    <x v="194"/>
    <x v="0"/>
    <n v="0"/>
    <x v="0"/>
    <x v="1"/>
    <s v="FS"/>
    <x v="2"/>
    <m/>
    <m/>
    <m/>
  </r>
  <r>
    <n v="1292"/>
    <s v="SP"/>
    <x v="3"/>
    <x v="3"/>
    <x v="3"/>
    <s v="SERVIÇO"/>
    <x v="1892"/>
    <x v="22"/>
    <n v="6704.35"/>
    <n v="6292.03"/>
    <x v="275"/>
    <x v="63"/>
    <x v="194"/>
    <x v="0"/>
    <n v="0"/>
    <x v="0"/>
    <x v="1"/>
    <s v="FS"/>
    <x v="2"/>
    <m/>
    <m/>
    <m/>
  </r>
  <r>
    <n v="1292"/>
    <s v="SP"/>
    <x v="3"/>
    <x v="3"/>
    <x v="3"/>
    <s v="SERVIÇO"/>
    <x v="1893"/>
    <x v="22"/>
    <n v="6704.33"/>
    <n v="6292.02"/>
    <x v="275"/>
    <x v="63"/>
    <x v="194"/>
    <x v="0"/>
    <n v="0"/>
    <x v="0"/>
    <x v="1"/>
    <s v="FS"/>
    <x v="2"/>
    <m/>
    <m/>
    <m/>
  </r>
  <r>
    <n v="1292"/>
    <s v="SP"/>
    <x v="3"/>
    <x v="3"/>
    <x v="3"/>
    <s v="SERVIÇO"/>
    <x v="1894"/>
    <x v="22"/>
    <n v="26236.560000000001"/>
    <n v="24623.01"/>
    <x v="327"/>
    <x v="63"/>
    <x v="228"/>
    <x v="0"/>
    <n v="0"/>
    <x v="0"/>
    <x v="1"/>
    <s v="FS"/>
    <x v="2"/>
    <m/>
    <m/>
    <m/>
  </r>
  <r>
    <n v="1292"/>
    <s v="SP"/>
    <x v="3"/>
    <x v="3"/>
    <x v="3"/>
    <s v="SERVIÇO"/>
    <x v="1895"/>
    <x v="29"/>
    <n v="137849.29999999999"/>
    <n v="129371.57"/>
    <x v="334"/>
    <x v="84"/>
    <x v="298"/>
    <x v="0"/>
    <n v="0"/>
    <x v="0"/>
    <x v="1"/>
    <s v="FS"/>
    <x v="2"/>
    <m/>
    <m/>
    <m/>
  </r>
  <r>
    <n v="1292"/>
    <s v="SP"/>
    <x v="3"/>
    <x v="3"/>
    <x v="3"/>
    <s v="SERVIÇO"/>
    <x v="1896"/>
    <x v="23"/>
    <n v="119185.65"/>
    <n v="111855.74"/>
    <x v="305"/>
    <x v="64"/>
    <x v="195"/>
    <x v="0"/>
    <n v="0"/>
    <x v="0"/>
    <x v="1"/>
    <s v="FS"/>
    <x v="2"/>
    <m/>
    <m/>
    <m/>
  </r>
  <r>
    <n v="1292"/>
    <s v="SP"/>
    <x v="3"/>
    <x v="3"/>
    <x v="3"/>
    <s v="SERVIÇO"/>
    <x v="1897"/>
    <x v="22"/>
    <n v="6704.35"/>
    <n v="6292.03"/>
    <x v="305"/>
    <x v="64"/>
    <x v="195"/>
    <x v="0"/>
    <n v="0"/>
    <x v="0"/>
    <x v="1"/>
    <s v="FS"/>
    <x v="2"/>
    <m/>
    <m/>
    <m/>
  </r>
  <r>
    <n v="1292"/>
    <s v="SP"/>
    <x v="3"/>
    <x v="3"/>
    <x v="3"/>
    <s v="SERVIÇO"/>
    <x v="1898"/>
    <x v="22"/>
    <n v="6704.35"/>
    <n v="6292.03"/>
    <x v="305"/>
    <x v="64"/>
    <x v="195"/>
    <x v="0"/>
    <n v="0"/>
    <x v="0"/>
    <x v="1"/>
    <s v="FS"/>
    <x v="2"/>
    <m/>
    <m/>
    <m/>
  </r>
  <r>
    <n v="1292"/>
    <s v="SP"/>
    <x v="3"/>
    <x v="3"/>
    <x v="3"/>
    <s v="SERVIÇO"/>
    <x v="1899"/>
    <x v="23"/>
    <n v="6704.35"/>
    <n v="6292.03"/>
    <x v="305"/>
    <x v="64"/>
    <x v="195"/>
    <x v="0"/>
    <n v="0"/>
    <x v="0"/>
    <x v="1"/>
    <s v="FS"/>
    <x v="2"/>
    <m/>
    <m/>
    <m/>
  </r>
  <r>
    <n v="1292"/>
    <s v="SP"/>
    <x v="3"/>
    <x v="3"/>
    <x v="3"/>
    <s v="SERVIÇO"/>
    <x v="1900"/>
    <x v="23"/>
    <n v="6704.33"/>
    <n v="6292.02"/>
    <x v="305"/>
    <x v="64"/>
    <x v="195"/>
    <x v="0"/>
    <n v="0"/>
    <x v="0"/>
    <x v="1"/>
    <s v="FS"/>
    <x v="2"/>
    <m/>
    <m/>
    <m/>
  </r>
  <r>
    <n v="1292"/>
    <s v="SP"/>
    <x v="3"/>
    <x v="3"/>
    <x v="3"/>
    <s v="SERVIÇO"/>
    <x v="1901"/>
    <x v="23"/>
    <n v="23151.62"/>
    <n v="21727.8"/>
    <x v="328"/>
    <x v="64"/>
    <x v="269"/>
    <x v="0"/>
    <n v="0"/>
    <x v="0"/>
    <x v="1"/>
    <s v="FS"/>
    <x v="2"/>
    <m/>
    <m/>
    <m/>
  </r>
  <r>
    <n v="1292"/>
    <s v="SP"/>
    <x v="3"/>
    <x v="3"/>
    <x v="3"/>
    <s v="SERVIÇO"/>
    <x v="1902"/>
    <x v="23"/>
    <n v="32039"/>
    <n v="30068.6"/>
    <x v="328"/>
    <x v="64"/>
    <x v="269"/>
    <x v="0"/>
    <n v="0"/>
    <x v="0"/>
    <x v="1"/>
    <s v="FS"/>
    <x v="2"/>
    <m/>
    <m/>
    <m/>
  </r>
  <r>
    <n v="1292"/>
    <s v="SP"/>
    <x v="3"/>
    <x v="3"/>
    <x v="3"/>
    <s v="SERVIÇO"/>
    <x v="1903"/>
    <x v="23"/>
    <n v="42703.56"/>
    <n v="40077.29"/>
    <x v="328"/>
    <x v="64"/>
    <x v="269"/>
    <x v="0"/>
    <n v="0"/>
    <x v="0"/>
    <x v="1"/>
    <s v="FS"/>
    <x v="2"/>
    <m/>
    <m/>
    <m/>
  </r>
  <r>
    <n v="1292"/>
    <s v="SP"/>
    <x v="3"/>
    <x v="3"/>
    <x v="3"/>
    <s v="SERVIÇO"/>
    <x v="1904"/>
    <x v="23"/>
    <n v="42703.56"/>
    <n v="40077.29"/>
    <x v="328"/>
    <x v="64"/>
    <x v="269"/>
    <x v="0"/>
    <n v="0"/>
    <x v="0"/>
    <x v="1"/>
    <s v="FS"/>
    <x v="2"/>
    <m/>
    <m/>
    <m/>
  </r>
  <r>
    <n v="1292"/>
    <s v="SP"/>
    <x v="3"/>
    <x v="3"/>
    <x v="3"/>
    <s v="SERVIÇO"/>
    <x v="1905"/>
    <x v="23"/>
    <n v="42703.56"/>
    <n v="40077.29"/>
    <x v="328"/>
    <x v="64"/>
    <x v="269"/>
    <x v="0"/>
    <n v="0"/>
    <x v="0"/>
    <x v="1"/>
    <s v="FS"/>
    <x v="2"/>
    <m/>
    <m/>
    <m/>
  </r>
  <r>
    <n v="1292"/>
    <s v="SP"/>
    <x v="3"/>
    <x v="3"/>
    <x v="3"/>
    <s v="SERVIÇO"/>
    <x v="1906"/>
    <x v="23"/>
    <n v="42703.56"/>
    <n v="40077.29"/>
    <x v="328"/>
    <x v="64"/>
    <x v="269"/>
    <x v="0"/>
    <n v="0"/>
    <x v="0"/>
    <x v="1"/>
    <s v="FS"/>
    <x v="2"/>
    <m/>
    <m/>
    <m/>
  </r>
  <r>
    <n v="1292"/>
    <s v="SP"/>
    <x v="3"/>
    <x v="3"/>
    <x v="3"/>
    <s v="SERVIÇO"/>
    <x v="582"/>
    <x v="24"/>
    <n v="220000"/>
    <m/>
    <x v="192"/>
    <x v="65"/>
    <x v="128"/>
    <x v="1"/>
    <n v="0"/>
    <x v="0"/>
    <x v="1"/>
    <s v="FS"/>
    <x v="2"/>
    <m/>
    <m/>
    <m/>
  </r>
  <r>
    <n v="1508"/>
    <s v="SP"/>
    <x v="3"/>
    <x v="3"/>
    <x v="66"/>
    <s v="SERVIÇO"/>
    <x v="1907"/>
    <x v="17"/>
    <n v="93978.05"/>
    <n v="88198.399999999994"/>
    <x v="146"/>
    <x v="52"/>
    <x v="158"/>
    <x v="0"/>
    <m/>
    <x v="0"/>
    <x v="2"/>
    <s v="FS"/>
    <x v="2"/>
    <m/>
    <m/>
    <m/>
  </r>
  <r>
    <n v="1508"/>
    <s v="SP"/>
    <x v="3"/>
    <x v="3"/>
    <x v="66"/>
    <s v="SERVIÇO"/>
    <x v="1908"/>
    <x v="17"/>
    <n v="93978.05"/>
    <n v="88198.399999999994"/>
    <x v="146"/>
    <x v="52"/>
    <x v="158"/>
    <x v="0"/>
    <n v="0"/>
    <x v="0"/>
    <x v="2"/>
    <s v="FS"/>
    <x v="2"/>
    <m/>
    <m/>
    <m/>
  </r>
  <r>
    <n v="1508"/>
    <s v="SP"/>
    <x v="3"/>
    <x v="3"/>
    <x v="66"/>
    <s v="SERVIÇO"/>
    <x v="1909"/>
    <x v="17"/>
    <n v="93978.05"/>
    <n v="88198.399999999994"/>
    <x v="146"/>
    <x v="52"/>
    <x v="262"/>
    <x v="0"/>
    <n v="0"/>
    <x v="0"/>
    <x v="2"/>
    <s v="FS"/>
    <x v="2"/>
    <m/>
    <m/>
    <m/>
  </r>
  <r>
    <n v="1508"/>
    <s v="SP"/>
    <x v="3"/>
    <x v="3"/>
    <x v="66"/>
    <s v="SERVIÇO"/>
    <x v="1910"/>
    <x v="17"/>
    <n v="93978.05"/>
    <n v="88198.399999999994"/>
    <x v="247"/>
    <x v="33"/>
    <x v="242"/>
    <x v="0"/>
    <n v="0"/>
    <x v="0"/>
    <x v="2"/>
    <s v="FS"/>
    <x v="2"/>
    <m/>
    <m/>
    <m/>
  </r>
  <r>
    <n v="1508"/>
    <s v="SP"/>
    <x v="3"/>
    <x v="3"/>
    <x v="66"/>
    <s v="SERVIÇO"/>
    <x v="1911"/>
    <x v="20"/>
    <n v="19784.84"/>
    <n v="18568.07"/>
    <x v="331"/>
    <x v="59"/>
    <x v="289"/>
    <x v="0"/>
    <n v="0"/>
    <x v="0"/>
    <x v="2"/>
    <s v="FS"/>
    <x v="2"/>
    <m/>
    <m/>
    <m/>
  </r>
  <r>
    <n v="1484"/>
    <s v="SP"/>
    <x v="3"/>
    <x v="3"/>
    <x v="42"/>
    <s v="SERVIÇO"/>
    <x v="1912"/>
    <x v="17"/>
    <n v="42265.08"/>
    <n v="39665.769999999997"/>
    <x v="146"/>
    <x v="52"/>
    <x v="196"/>
    <x v="0"/>
    <n v="0"/>
    <x v="0"/>
    <x v="2"/>
    <s v="FS"/>
    <x v="2"/>
    <m/>
    <m/>
    <m/>
  </r>
  <r>
    <n v="1484"/>
    <s v="SP"/>
    <x v="3"/>
    <x v="3"/>
    <x v="42"/>
    <s v="SERVIÇO"/>
    <x v="1913"/>
    <x v="19"/>
    <n v="36601.06"/>
    <n v="34350.089999999997"/>
    <x v="146"/>
    <x v="54"/>
    <x v="231"/>
    <x v="0"/>
    <n v="0"/>
    <x v="0"/>
    <x v="2"/>
    <s v="FS"/>
    <x v="2"/>
    <m/>
    <m/>
    <m/>
  </r>
  <r>
    <n v="1484"/>
    <s v="SP"/>
    <x v="3"/>
    <x v="3"/>
    <x v="42"/>
    <s v="SERVIÇO"/>
    <x v="1914"/>
    <x v="17"/>
    <n v="36601.06"/>
    <n v="34350.089999999997"/>
    <x v="146"/>
    <x v="54"/>
    <x v="231"/>
    <x v="0"/>
    <n v="0"/>
    <x v="0"/>
    <x v="2"/>
    <s v="FS"/>
    <x v="2"/>
    <m/>
    <m/>
    <m/>
  </r>
  <r>
    <n v="1484"/>
    <s v="SP"/>
    <x v="3"/>
    <x v="3"/>
    <x v="42"/>
    <s v="SERVIÇO"/>
    <x v="1915"/>
    <x v="19"/>
    <n v="42265.08"/>
    <n v="39665.769999999997"/>
    <x v="185"/>
    <x v="33"/>
    <x v="294"/>
    <x v="0"/>
    <n v="0"/>
    <x v="0"/>
    <x v="2"/>
    <s v="FS"/>
    <x v="2"/>
    <m/>
    <m/>
    <m/>
  </r>
  <r>
    <n v="1484"/>
    <s v="SP"/>
    <x v="3"/>
    <x v="3"/>
    <x v="42"/>
    <s v="SERVIÇO"/>
    <x v="1916"/>
    <x v="19"/>
    <n v="8897.9"/>
    <n v="8350.68"/>
    <x v="185"/>
    <x v="33"/>
    <x v="294"/>
    <x v="0"/>
    <n v="0"/>
    <x v="0"/>
    <x v="2"/>
    <s v="FS"/>
    <x v="2"/>
    <m/>
    <m/>
    <m/>
  </r>
  <r>
    <n v="1484"/>
    <s v="SP"/>
    <x v="3"/>
    <x v="3"/>
    <x v="42"/>
    <s v="SERVIÇO"/>
    <x v="1917"/>
    <x v="19"/>
    <n v="36601.06"/>
    <n v="34350.089999999997"/>
    <x v="185"/>
    <x v="33"/>
    <x v="294"/>
    <x v="0"/>
    <n v="0"/>
    <x v="0"/>
    <x v="2"/>
    <s v="FS"/>
    <x v="2"/>
    <m/>
    <m/>
    <m/>
  </r>
  <r>
    <n v="1484"/>
    <s v="SP"/>
    <x v="3"/>
    <x v="3"/>
    <x v="42"/>
    <s v="SERVIÇO"/>
    <x v="1918"/>
    <x v="19"/>
    <n v="15411.04"/>
    <n v="14463.26"/>
    <x v="185"/>
    <x v="58"/>
    <x v="209"/>
    <x v="0"/>
    <n v="0"/>
    <x v="0"/>
    <x v="2"/>
    <s v="FS"/>
    <x v="2"/>
    <m/>
    <m/>
    <m/>
  </r>
  <r>
    <n v="1484"/>
    <s v="SP"/>
    <x v="3"/>
    <x v="3"/>
    <x v="42"/>
    <s v="SERVIÇO"/>
    <x v="1919"/>
    <x v="21"/>
    <n v="17619.400000000001"/>
    <n v="16535.810000000001"/>
    <x v="308"/>
    <x v="62"/>
    <x v="277"/>
    <x v="0"/>
    <n v="0"/>
    <x v="0"/>
    <x v="2"/>
    <s v="FS"/>
    <x v="2"/>
    <m/>
    <m/>
    <m/>
  </r>
  <r>
    <n v="1484"/>
    <s v="SP"/>
    <x v="3"/>
    <x v="3"/>
    <x v="42"/>
    <s v="SERVIÇO"/>
    <x v="1920"/>
    <x v="21"/>
    <n v="39154.22"/>
    <n v="36746.239999999998"/>
    <x v="308"/>
    <x v="62"/>
    <x v="277"/>
    <x v="0"/>
    <n v="0"/>
    <x v="0"/>
    <x v="2"/>
    <s v="FS"/>
    <x v="2"/>
    <m/>
    <m/>
    <m/>
  </r>
  <r>
    <n v="1484"/>
    <s v="SP"/>
    <x v="3"/>
    <x v="3"/>
    <x v="42"/>
    <s v="SERVIÇO"/>
    <x v="1921"/>
    <x v="21"/>
    <n v="9788.5499999999993"/>
    <n v="9186.5400000000009"/>
    <x v="308"/>
    <x v="62"/>
    <x v="277"/>
    <x v="0"/>
    <n v="0"/>
    <x v="0"/>
    <x v="2"/>
    <s v="FS"/>
    <x v="2"/>
    <m/>
    <m/>
    <m/>
  </r>
  <r>
    <n v="1484"/>
    <s v="SP"/>
    <x v="3"/>
    <x v="3"/>
    <x v="42"/>
    <s v="SERVIÇO"/>
    <x v="1922"/>
    <x v="21"/>
    <n v="11746.27"/>
    <n v="11023.88"/>
    <x v="308"/>
    <x v="62"/>
    <x v="277"/>
    <x v="0"/>
    <n v="0"/>
    <x v="0"/>
    <x v="2"/>
    <s v="FS"/>
    <x v="2"/>
    <m/>
    <m/>
    <m/>
  </r>
  <r>
    <n v="1484"/>
    <s v="SP"/>
    <x v="3"/>
    <x v="3"/>
    <x v="42"/>
    <s v="SERVIÇO"/>
    <x v="1923"/>
    <x v="21"/>
    <n v="39154.22"/>
    <n v="36746.239999999998"/>
    <x v="256"/>
    <x v="62"/>
    <x v="192"/>
    <x v="0"/>
    <n v="0"/>
    <x v="0"/>
    <x v="2"/>
    <s v="FS"/>
    <x v="2"/>
    <m/>
    <m/>
    <m/>
  </r>
  <r>
    <n v="1484"/>
    <s v="SP"/>
    <x v="3"/>
    <x v="3"/>
    <x v="42"/>
    <s v="SERVIÇO"/>
    <x v="1924"/>
    <x v="21"/>
    <n v="9788.5499999999993"/>
    <n v="9186.5499999999993"/>
    <x v="256"/>
    <x v="62"/>
    <x v="192"/>
    <x v="0"/>
    <n v="0"/>
    <x v="0"/>
    <x v="2"/>
    <s v="FS"/>
    <x v="2"/>
    <m/>
    <m/>
    <m/>
  </r>
  <r>
    <n v="1484"/>
    <s v="SP"/>
    <x v="3"/>
    <x v="3"/>
    <x v="42"/>
    <s v="SERVIÇO"/>
    <x v="1925"/>
    <x v="21"/>
    <n v="11746.27"/>
    <n v="11023.88"/>
    <x v="256"/>
    <x v="62"/>
    <x v="192"/>
    <x v="0"/>
    <n v="0"/>
    <x v="0"/>
    <x v="2"/>
    <s v="FS"/>
    <x v="2"/>
    <m/>
    <m/>
    <m/>
  </r>
  <r>
    <n v="1484"/>
    <s v="SP"/>
    <x v="3"/>
    <x v="3"/>
    <x v="42"/>
    <s v="SERVIÇO"/>
    <x v="1926"/>
    <x v="21"/>
    <n v="17619.400000000001"/>
    <n v="16535.810000000001"/>
    <x v="256"/>
    <x v="62"/>
    <x v="192"/>
    <x v="0"/>
    <n v="0"/>
    <x v="0"/>
    <x v="2"/>
    <s v="FS"/>
    <x v="2"/>
    <m/>
    <m/>
    <m/>
  </r>
  <r>
    <n v="1484"/>
    <s v="SP"/>
    <x v="3"/>
    <x v="3"/>
    <x v="42"/>
    <s v="SERVIÇO"/>
    <x v="1927"/>
    <x v="22"/>
    <n v="39154.22"/>
    <n v="36746.239999999998"/>
    <x v="255"/>
    <x v="78"/>
    <x v="249"/>
    <x v="0"/>
    <n v="0"/>
    <x v="0"/>
    <x v="2"/>
    <s v="FS"/>
    <x v="2"/>
    <m/>
    <m/>
    <m/>
  </r>
  <r>
    <n v="1484"/>
    <s v="SP"/>
    <x v="3"/>
    <x v="3"/>
    <x v="42"/>
    <s v="SERVIÇO"/>
    <x v="1928"/>
    <x v="22"/>
    <n v="9788.5499999999993"/>
    <n v="9186.5499999999993"/>
    <x v="327"/>
    <x v="63"/>
    <x v="228"/>
    <x v="0"/>
    <n v="0"/>
    <x v="0"/>
    <x v="2"/>
    <s v="FS"/>
    <x v="2"/>
    <m/>
    <m/>
    <m/>
  </r>
  <r>
    <n v="1484"/>
    <s v="SP"/>
    <x v="3"/>
    <x v="3"/>
    <x v="42"/>
    <s v="SERVIÇO"/>
    <x v="1929"/>
    <x v="22"/>
    <n v="17619.400000000001"/>
    <n v="16535.810000000001"/>
    <x v="255"/>
    <x v="78"/>
    <x v="249"/>
    <x v="0"/>
    <n v="0"/>
    <x v="0"/>
    <x v="2"/>
    <s v="FS"/>
    <x v="2"/>
    <m/>
    <m/>
    <m/>
  </r>
  <r>
    <n v="1484"/>
    <s v="SP"/>
    <x v="3"/>
    <x v="3"/>
    <x v="42"/>
    <s v="SERVIÇO"/>
    <x v="1930"/>
    <x v="22"/>
    <n v="11746.27"/>
    <n v="11023.88"/>
    <x v="255"/>
    <x v="78"/>
    <x v="249"/>
    <x v="0"/>
    <n v="0"/>
    <x v="0"/>
    <x v="2"/>
    <s v="FS"/>
    <x v="2"/>
    <m/>
    <m/>
    <m/>
  </r>
  <r>
    <n v="1484"/>
    <s v="SP"/>
    <x v="3"/>
    <x v="3"/>
    <x v="42"/>
    <s v="SERVIÇO"/>
    <x v="1931"/>
    <x v="22"/>
    <n v="6182.25"/>
    <n v="5802.05"/>
    <x v="264"/>
    <x v="78"/>
    <x v="297"/>
    <x v="0"/>
    <n v="0"/>
    <x v="0"/>
    <x v="2"/>
    <s v="FS"/>
    <x v="2"/>
    <m/>
    <m/>
    <m/>
  </r>
  <r>
    <n v="1484"/>
    <s v="SP"/>
    <x v="3"/>
    <x v="3"/>
    <x v="42"/>
    <s v="SERVIÇO"/>
    <x v="1932"/>
    <x v="22"/>
    <n v="1545.57"/>
    <n v="1450.52"/>
    <x v="264"/>
    <x v="78"/>
    <x v="297"/>
    <x v="0"/>
    <n v="0"/>
    <x v="0"/>
    <x v="2"/>
    <s v="FS"/>
    <x v="2"/>
    <m/>
    <m/>
    <m/>
  </r>
  <r>
    <n v="1484"/>
    <s v="SP"/>
    <x v="3"/>
    <x v="3"/>
    <x v="42"/>
    <s v="SERVIÇO"/>
    <x v="1933"/>
    <x v="22"/>
    <n v="1854.67"/>
    <n v="1740.61"/>
    <x v="264"/>
    <x v="78"/>
    <x v="297"/>
    <x v="0"/>
    <n v="0"/>
    <x v="0"/>
    <x v="2"/>
    <s v="FS"/>
    <x v="2"/>
    <m/>
    <m/>
    <m/>
  </r>
  <r>
    <n v="1484"/>
    <s v="SP"/>
    <x v="3"/>
    <x v="3"/>
    <x v="42"/>
    <s v="SERVIÇO"/>
    <x v="1934"/>
    <x v="22"/>
    <n v="2782.01"/>
    <n v="2610.92"/>
    <x v="264"/>
    <x v="78"/>
    <x v="297"/>
    <x v="0"/>
    <n v="0"/>
    <x v="0"/>
    <x v="2"/>
    <s v="FS"/>
    <x v="2"/>
    <m/>
    <m/>
    <m/>
  </r>
  <r>
    <n v="1484"/>
    <s v="SP"/>
    <x v="3"/>
    <x v="3"/>
    <x v="42"/>
    <s v="SERVIÇO"/>
    <x v="582"/>
    <x v="23"/>
    <n v="78000"/>
    <m/>
    <x v="254"/>
    <x v="65"/>
    <x v="128"/>
    <x v="1"/>
    <n v="0"/>
    <x v="0"/>
    <x v="2"/>
    <s v="FS"/>
    <x v="2"/>
    <m/>
    <m/>
    <m/>
  </r>
  <r>
    <n v="1484"/>
    <s v="SP"/>
    <x v="3"/>
    <x v="3"/>
    <x v="42"/>
    <s v="SERVIÇO"/>
    <x v="582"/>
    <x v="24"/>
    <n v="78000"/>
    <m/>
    <x v="192"/>
    <x v="65"/>
    <x v="128"/>
    <x v="1"/>
    <n v="0"/>
    <x v="0"/>
    <x v="2"/>
    <s v="FS"/>
    <x v="2"/>
    <m/>
    <m/>
    <m/>
  </r>
  <r>
    <n v="1484"/>
    <s v="SP"/>
    <x v="3"/>
    <x v="3"/>
    <x v="42"/>
    <s v="SERVIÇO"/>
    <x v="1935"/>
    <x v="19"/>
    <n v="36601.06"/>
    <n v="34350.089999999997"/>
    <x v="160"/>
    <x v="54"/>
    <x v="255"/>
    <x v="0"/>
    <n v="0"/>
    <x v="0"/>
    <x v="2"/>
    <s v="FS"/>
    <x v="2"/>
    <m/>
    <m/>
    <m/>
  </r>
  <r>
    <n v="1393"/>
    <s v="MATRIZ"/>
    <x v="2"/>
    <x v="27"/>
    <x v="15"/>
    <s v="SERVIÇO"/>
    <x v="1936"/>
    <x v="17"/>
    <n v="105889.13"/>
    <n v="94982.55"/>
    <x v="257"/>
    <x v="68"/>
    <x v="243"/>
    <x v="0"/>
    <m/>
    <x v="0"/>
    <x v="0"/>
    <s v="PS"/>
    <x v="1"/>
    <m/>
    <m/>
    <m/>
  </r>
  <r>
    <n v="1393"/>
    <s v="MATRIZ"/>
    <x v="2"/>
    <x v="27"/>
    <x v="15"/>
    <s v="SERVIÇO"/>
    <x v="1937"/>
    <x v="17"/>
    <n v="474621.36"/>
    <n v="425735.35"/>
    <x v="286"/>
    <x v="81"/>
    <x v="299"/>
    <x v="0"/>
    <m/>
    <x v="0"/>
    <x v="0"/>
    <s v="PS"/>
    <x v="1"/>
    <m/>
    <m/>
    <m/>
  </r>
  <r>
    <n v="1393"/>
    <s v="MATRIZ"/>
    <x v="2"/>
    <x v="27"/>
    <x v="15"/>
    <s v="SERVIÇO"/>
    <x v="582"/>
    <x v="36"/>
    <n v="35184.980000000003"/>
    <m/>
    <x v="269"/>
    <x v="42"/>
    <x v="128"/>
    <x v="1"/>
    <m/>
    <x v="0"/>
    <x v="0"/>
    <s v="PS"/>
    <x v="1"/>
    <m/>
    <m/>
    <m/>
  </r>
  <r>
    <n v="1393"/>
    <s v="MATRIZ"/>
    <x v="2"/>
    <x v="27"/>
    <x v="15"/>
    <s v="SERVIÇO"/>
    <x v="1938"/>
    <x v="19"/>
    <n v="469166.46"/>
    <n v="420842.31"/>
    <x v="324"/>
    <x v="68"/>
    <x v="243"/>
    <x v="0"/>
    <m/>
    <x v="0"/>
    <x v="0"/>
    <s v="PS"/>
    <x v="1"/>
    <m/>
    <m/>
    <m/>
  </r>
  <r>
    <n v="1393"/>
    <s v="MATRIZ"/>
    <x v="2"/>
    <x v="27"/>
    <x v="15"/>
    <s v="SERVIÇO"/>
    <x v="582"/>
    <x v="35"/>
    <n v="58421"/>
    <m/>
    <x v="269"/>
    <x v="42"/>
    <x v="128"/>
    <x v="1"/>
    <m/>
    <x v="0"/>
    <x v="0"/>
    <s v="PS"/>
    <x v="1"/>
    <m/>
    <m/>
    <m/>
  </r>
  <r>
    <n v="1393"/>
    <s v="MATRIZ"/>
    <x v="2"/>
    <x v="27"/>
    <x v="15"/>
    <s v="SERVIÇO"/>
    <x v="1939"/>
    <x v="30"/>
    <n v="461590.21"/>
    <n v="414046.42"/>
    <x v="189"/>
    <x v="45"/>
    <x v="300"/>
    <x v="0"/>
    <m/>
    <x v="0"/>
    <x v="0"/>
    <s v="PS"/>
    <x v="1"/>
    <m/>
    <m/>
    <m/>
  </r>
  <r>
    <n v="1393"/>
    <s v="MATRIZ"/>
    <x v="2"/>
    <x v="27"/>
    <x v="15"/>
    <s v="SERVIÇO"/>
    <x v="1940"/>
    <x v="21"/>
    <n v="469056.15"/>
    <n v="420743.36"/>
    <x v="189"/>
    <x v="45"/>
    <x v="300"/>
    <x v="0"/>
    <m/>
    <x v="0"/>
    <x v="0"/>
    <s v="PS"/>
    <x v="1"/>
    <m/>
    <m/>
    <m/>
  </r>
  <r>
    <n v="1393"/>
    <s v="MATRIZ"/>
    <x v="2"/>
    <x v="27"/>
    <x v="15"/>
    <s v="SERVIÇO"/>
    <x v="1941"/>
    <x v="24"/>
    <n v="17505.53"/>
    <n v="15702.46"/>
    <x v="307"/>
    <x v="65"/>
    <x v="128"/>
    <x v="2"/>
    <m/>
    <x v="0"/>
    <x v="0"/>
    <s v="PS"/>
    <x v="1"/>
    <m/>
    <m/>
    <m/>
  </r>
  <r>
    <n v="1290"/>
    <s v="MATRIZ"/>
    <x v="2"/>
    <x v="14"/>
    <x v="17"/>
    <s v="SERVIÇO"/>
    <x v="582"/>
    <x v="24"/>
    <n v="55929"/>
    <n v="49861.59"/>
    <x v="254"/>
    <x v="65"/>
    <x v="128"/>
    <x v="1"/>
    <n v="0"/>
    <x v="0"/>
    <x v="0"/>
    <s v="UT"/>
    <x v="1"/>
    <m/>
    <m/>
    <m/>
  </r>
  <r>
    <n v="1490"/>
    <s v="MATRIZ"/>
    <x v="2"/>
    <x v="14"/>
    <x v="43"/>
    <s v="SERVIÇO"/>
    <x v="1942"/>
    <x v="21"/>
    <n v="2761.23"/>
    <n v="2439.5500000000002"/>
    <x v="275"/>
    <x v="82"/>
    <x v="280"/>
    <x v="0"/>
    <n v="0"/>
    <x v="0"/>
    <x v="0"/>
    <s v="UT"/>
    <x v="1"/>
    <m/>
    <m/>
    <m/>
  </r>
  <r>
    <n v="1476"/>
    <s v="MATRIZ"/>
    <x v="2"/>
    <x v="13"/>
    <x v="16"/>
    <s v="SERVIÇO"/>
    <x v="1943"/>
    <x v="17"/>
    <n v="344649.91"/>
    <n v="309150.96000000002"/>
    <x v="258"/>
    <x v="52"/>
    <x v="262"/>
    <x v="0"/>
    <m/>
    <x v="0"/>
    <x v="0"/>
    <s v="PS"/>
    <x v="1"/>
    <m/>
    <m/>
    <m/>
  </r>
  <r>
    <n v="1476"/>
    <s v="MATRIZ"/>
    <x v="2"/>
    <x v="13"/>
    <x v="16"/>
    <s v="SERVIÇO"/>
    <x v="1944"/>
    <x v="12"/>
    <n v="302.88"/>
    <n v="271.68"/>
    <x v="258"/>
    <x v="70"/>
    <x v="301"/>
    <x v="0"/>
    <m/>
    <x v="0"/>
    <x v="0"/>
    <s v="PS"/>
    <x v="1"/>
    <m/>
    <m/>
    <m/>
  </r>
  <r>
    <n v="1476"/>
    <s v="MATRIZ"/>
    <x v="2"/>
    <x v="13"/>
    <x v="16"/>
    <s v="SERVIÇO"/>
    <x v="1945"/>
    <x v="17"/>
    <n v="125770.15"/>
    <n v="112815.82"/>
    <x v="258"/>
    <x v="70"/>
    <x v="301"/>
    <x v="0"/>
    <m/>
    <x v="0"/>
    <x v="0"/>
    <s v="PS"/>
    <x v="1"/>
    <m/>
    <m/>
    <m/>
  </r>
  <r>
    <n v="1476"/>
    <s v="MATRIZ"/>
    <x v="2"/>
    <x v="13"/>
    <x v="16"/>
    <s v="SERVIÇO"/>
    <x v="1946"/>
    <x v="17"/>
    <n v="1334.78"/>
    <n v="1197.29"/>
    <x v="259"/>
    <x v="74"/>
    <x v="302"/>
    <x v="0"/>
    <m/>
    <x v="0"/>
    <x v="0"/>
    <s v="PS"/>
    <x v="1"/>
    <m/>
    <m/>
    <m/>
  </r>
  <r>
    <n v="1476"/>
    <s v="MATRIZ"/>
    <x v="2"/>
    <x v="13"/>
    <x v="16"/>
    <s v="SERVIÇO"/>
    <x v="1947"/>
    <x v="19"/>
    <n v="344649.91"/>
    <n v="309150.96000000002"/>
    <x v="324"/>
    <x v="74"/>
    <x v="302"/>
    <x v="0"/>
    <m/>
    <x v="0"/>
    <x v="0"/>
    <s v="PS"/>
    <x v="1"/>
    <m/>
    <m/>
    <m/>
  </r>
  <r>
    <n v="1476"/>
    <s v="MATRIZ"/>
    <x v="2"/>
    <x v="13"/>
    <x v="16"/>
    <s v="SERVIÇO"/>
    <x v="1948"/>
    <x v="29"/>
    <n v="2205.98"/>
    <n v="1978.76"/>
    <x v="227"/>
    <x v="71"/>
    <x v="252"/>
    <x v="0"/>
    <m/>
    <x v="0"/>
    <x v="0"/>
    <s v="PS"/>
    <x v="1"/>
    <m/>
    <m/>
    <m/>
  </r>
  <r>
    <n v="1476"/>
    <s v="MATRIZ"/>
    <x v="2"/>
    <x v="13"/>
    <x v="16"/>
    <s v="SERVIÇO"/>
    <x v="1949"/>
    <x v="30"/>
    <n v="173.46"/>
    <n v="155.59"/>
    <x v="227"/>
    <x v="85"/>
    <x v="303"/>
    <x v="0"/>
    <m/>
    <x v="0"/>
    <x v="0"/>
    <s v="PS"/>
    <x v="1"/>
    <m/>
    <m/>
    <m/>
  </r>
  <r>
    <n v="1476"/>
    <s v="MATRIZ"/>
    <x v="2"/>
    <x v="13"/>
    <x v="16"/>
    <s v="SERVIÇO"/>
    <x v="1950"/>
    <x v="21"/>
    <n v="137.47"/>
    <n v="123.31"/>
    <x v="279"/>
    <x v="72"/>
    <x v="227"/>
    <x v="0"/>
    <m/>
    <x v="0"/>
    <x v="0"/>
    <s v="PS"/>
    <x v="1"/>
    <m/>
    <m/>
    <m/>
  </r>
  <r>
    <n v="1476"/>
    <s v="MATRIZ"/>
    <x v="2"/>
    <x v="13"/>
    <x v="16"/>
    <s v="SERVIÇO"/>
    <x v="582"/>
    <x v="35"/>
    <n v="43015"/>
    <m/>
    <x v="269"/>
    <x v="42"/>
    <x v="128"/>
    <x v="1"/>
    <m/>
    <x v="0"/>
    <x v="0"/>
    <s v="PS"/>
    <x v="1"/>
    <m/>
    <m/>
    <m/>
  </r>
  <r>
    <n v="1476"/>
    <s v="MATRIZ"/>
    <x v="2"/>
    <x v="13"/>
    <x v="16"/>
    <s v="SERVIÇO"/>
    <x v="1951"/>
    <x v="30"/>
    <n v="369184.69"/>
    <n v="331158.67"/>
    <x v="227"/>
    <x v="85"/>
    <x v="303"/>
    <x v="0"/>
    <m/>
    <x v="0"/>
    <x v="0"/>
    <s v="PS"/>
    <x v="1"/>
    <m/>
    <m/>
    <m/>
  </r>
  <r>
    <n v="1476"/>
    <s v="MATRIZ"/>
    <x v="2"/>
    <x v="13"/>
    <x v="16"/>
    <s v="SERVIÇO"/>
    <x v="1952"/>
    <x v="21"/>
    <n v="369184.69"/>
    <n v="331158.67"/>
    <x v="267"/>
    <x v="60"/>
    <x v="291"/>
    <x v="0"/>
    <m/>
    <x v="0"/>
    <x v="0"/>
    <s v="PS"/>
    <x v="1"/>
    <m/>
    <m/>
    <m/>
  </r>
  <r>
    <n v="1476"/>
    <s v="MATRIZ"/>
    <x v="2"/>
    <x v="13"/>
    <x v="16"/>
    <s v="SERVIÇO"/>
    <x v="1953"/>
    <x v="22"/>
    <n v="369184.69"/>
    <n v="331158.67"/>
    <x v="252"/>
    <x v="63"/>
    <x v="247"/>
    <x v="0"/>
    <m/>
    <x v="0"/>
    <x v="0"/>
    <s v="PS"/>
    <x v="1"/>
    <m/>
    <m/>
    <m/>
  </r>
  <r>
    <n v="1394"/>
    <s v="MATRIZ"/>
    <x v="5"/>
    <x v="7"/>
    <x v="7"/>
    <s v="SERVIÇO"/>
    <x v="1954"/>
    <x v="23"/>
    <n v="30325.235756527167"/>
    <n v="28263.119999999999"/>
    <x v="265"/>
    <x v="64"/>
    <x v="269"/>
    <x v="0"/>
    <m/>
    <x v="0"/>
    <x v="0"/>
    <s v="PS"/>
    <x v="1"/>
    <m/>
    <m/>
    <m/>
  </r>
  <r>
    <n v="1490"/>
    <s v="MATRIZ"/>
    <x v="2"/>
    <x v="14"/>
    <x v="43"/>
    <s v="SERVIÇO"/>
    <x v="582"/>
    <x v="23"/>
    <n v="2000"/>
    <n v="2050.4499999999998"/>
    <x v="254"/>
    <x v="65"/>
    <x v="128"/>
    <x v="1"/>
    <n v="0"/>
    <x v="0"/>
    <x v="0"/>
    <s v="UT"/>
    <x v="1"/>
    <m/>
    <m/>
    <m/>
  </r>
  <r>
    <n v="1490"/>
    <s v="MATRIZ"/>
    <x v="2"/>
    <x v="14"/>
    <x v="43"/>
    <s v="SERVIÇO"/>
    <x v="582"/>
    <x v="24"/>
    <n v="2396"/>
    <n v="2050.4499999999998"/>
    <x v="254"/>
    <x v="65"/>
    <x v="128"/>
    <x v="1"/>
    <n v="0"/>
    <x v="0"/>
    <x v="0"/>
    <s v="UT"/>
    <x v="1"/>
    <m/>
    <m/>
    <m/>
  </r>
  <r>
    <n v="1296"/>
    <s v="MATRIZ"/>
    <x v="8"/>
    <x v="4"/>
    <x v="34"/>
    <s v="SERVIÇO"/>
    <x v="1955"/>
    <x v="17"/>
    <n v="342793.44"/>
    <n v="314855.78000000003"/>
    <x v="259"/>
    <x v="57"/>
    <x v="304"/>
    <x v="0"/>
    <m/>
    <x v="0"/>
    <x v="0"/>
    <s v="UT"/>
    <x v="0"/>
    <m/>
    <m/>
    <m/>
  </r>
  <r>
    <n v="1300"/>
    <s v="HUB"/>
    <x v="8"/>
    <x v="4"/>
    <x v="4"/>
    <s v="SERVIÇO"/>
    <x v="1956"/>
    <x v="17"/>
    <n v="37210.160000000003"/>
    <n v="34177.53"/>
    <x v="258"/>
    <x v="57"/>
    <x v="304"/>
    <x v="0"/>
    <m/>
    <x v="0"/>
    <x v="0"/>
    <s v="UT"/>
    <x v="0"/>
    <m/>
    <m/>
    <m/>
  </r>
  <r>
    <n v="1300"/>
    <s v="HUB"/>
    <x v="8"/>
    <x v="4"/>
    <x v="4"/>
    <s v="SERVIÇO"/>
    <x v="1957"/>
    <x v="19"/>
    <n v="37210.160000000003"/>
    <n v="34177.53"/>
    <x v="259"/>
    <x v="57"/>
    <x v="304"/>
    <x v="0"/>
    <m/>
    <x v="0"/>
    <x v="0"/>
    <s v="UT"/>
    <x v="0"/>
    <m/>
    <m/>
    <m/>
  </r>
  <r>
    <n v="1300"/>
    <s v="HUB"/>
    <x v="8"/>
    <x v="4"/>
    <x v="4"/>
    <s v="SERVIÇO"/>
    <x v="1958"/>
    <x v="19"/>
    <n v="137858.97"/>
    <n v="126623.47"/>
    <x v="259"/>
    <x v="57"/>
    <x v="304"/>
    <x v="0"/>
    <m/>
    <x v="0"/>
    <x v="0"/>
    <s v="UT"/>
    <x v="0"/>
    <m/>
    <m/>
    <m/>
  </r>
  <r>
    <n v="1300"/>
    <s v="HUB"/>
    <x v="8"/>
    <x v="4"/>
    <x v="4"/>
    <s v="SERVIÇO"/>
    <x v="1959"/>
    <x v="19"/>
    <n v="137858.97"/>
    <n v="126623.47"/>
    <x v="335"/>
    <x v="58"/>
    <x v="187"/>
    <x v="0"/>
    <m/>
    <x v="0"/>
    <x v="0"/>
    <s v="UT"/>
    <x v="0"/>
    <m/>
    <m/>
    <m/>
  </r>
  <r>
    <n v="1300"/>
    <s v="HUB"/>
    <x v="8"/>
    <x v="4"/>
    <x v="4"/>
    <s v="SERVIÇO"/>
    <x v="1960"/>
    <x v="17"/>
    <n v="275717.94"/>
    <n v="253246.92"/>
    <x v="336"/>
    <x v="58"/>
    <x v="187"/>
    <x v="0"/>
    <m/>
    <x v="0"/>
    <x v="0"/>
    <s v="UT"/>
    <x v="0"/>
    <m/>
    <m/>
    <m/>
  </r>
  <r>
    <n v="1300"/>
    <s v="HUB"/>
    <x v="8"/>
    <x v="4"/>
    <x v="4"/>
    <s v="SERVIÇO"/>
    <x v="1961"/>
    <x v="30"/>
    <n v="37210.160000000003"/>
    <n v="34177.53"/>
    <x v="331"/>
    <x v="61"/>
    <x v="305"/>
    <x v="0"/>
    <m/>
    <x v="0"/>
    <x v="0"/>
    <s v="UT"/>
    <x v="0"/>
    <m/>
    <m/>
    <m/>
  </r>
  <r>
    <n v="1300"/>
    <s v="HUB"/>
    <x v="8"/>
    <x v="4"/>
    <x v="4"/>
    <s v="SERVIÇO"/>
    <x v="1962"/>
    <x v="21"/>
    <n v="37210.160000000003"/>
    <n v="34177.53"/>
    <x v="299"/>
    <x v="45"/>
    <x v="300"/>
    <x v="0"/>
    <m/>
    <x v="0"/>
    <x v="0"/>
    <s v="UT"/>
    <x v="0"/>
    <m/>
    <m/>
    <m/>
  </r>
  <r>
    <n v="1300"/>
    <s v="HUB"/>
    <x v="8"/>
    <x v="4"/>
    <x v="4"/>
    <s v="SERVIÇO"/>
    <x v="1963"/>
    <x v="22"/>
    <n v="37210.160000000003"/>
    <n v="34177.53"/>
    <x v="255"/>
    <x v="84"/>
    <x v="282"/>
    <x v="0"/>
    <m/>
    <x v="0"/>
    <x v="0"/>
    <s v="UT"/>
    <x v="0"/>
    <m/>
    <m/>
    <m/>
  </r>
  <r>
    <n v="1300"/>
    <s v="HUB"/>
    <x v="8"/>
    <x v="4"/>
    <x v="4"/>
    <s v="SERVIÇO"/>
    <x v="1964"/>
    <x v="23"/>
    <n v="37210.160000000003"/>
    <n v="34177.53"/>
    <x v="268"/>
    <x v="79"/>
    <x v="128"/>
    <x v="2"/>
    <m/>
    <x v="0"/>
    <x v="0"/>
    <s v="UT"/>
    <x v="0"/>
    <m/>
    <m/>
    <m/>
  </r>
  <r>
    <n v="1290"/>
    <s v="MATRIZ"/>
    <x v="2"/>
    <x v="14"/>
    <x v="17"/>
    <s v="SERVIÇO"/>
    <x v="1965"/>
    <x v="17"/>
    <n v="55929.99"/>
    <n v="48555.33"/>
    <x v="286"/>
    <x v="8"/>
    <x v="9"/>
    <x v="0"/>
    <n v="0"/>
    <x v="0"/>
    <x v="0"/>
    <s v="UT"/>
    <x v="1"/>
    <m/>
    <m/>
    <m/>
  </r>
  <r>
    <n v="1290"/>
    <s v="MATRIZ"/>
    <x v="2"/>
    <x v="14"/>
    <x v="17"/>
    <s v="SERVIÇO"/>
    <x v="1966"/>
    <x v="19"/>
    <n v="55929.99"/>
    <n v="49414.15"/>
    <x v="329"/>
    <x v="81"/>
    <x v="254"/>
    <x v="0"/>
    <n v="0"/>
    <x v="0"/>
    <x v="0"/>
    <s v="UT"/>
    <x v="1"/>
    <m/>
    <m/>
    <m/>
  </r>
  <r>
    <n v="1290"/>
    <s v="MATRIZ"/>
    <x v="2"/>
    <x v="14"/>
    <x v="17"/>
    <s v="SERVIÇO"/>
    <x v="582"/>
    <x v="35"/>
    <n v="7179"/>
    <m/>
    <x v="269"/>
    <x v="42"/>
    <x v="128"/>
    <x v="1"/>
    <n v="0"/>
    <x v="0"/>
    <x v="0"/>
    <s v="UT"/>
    <x v="1"/>
    <m/>
    <m/>
    <m/>
  </r>
  <r>
    <n v="1290"/>
    <s v="MATRIZ"/>
    <x v="2"/>
    <x v="14"/>
    <x v="17"/>
    <s v="SERVIÇO"/>
    <x v="1967"/>
    <x v="30"/>
    <n v="55929.99"/>
    <n v="49414.15"/>
    <x v="295"/>
    <x v="60"/>
    <x v="291"/>
    <x v="0"/>
    <n v="0"/>
    <x v="0"/>
    <x v="0"/>
    <s v="UT"/>
    <x v="1"/>
    <m/>
    <m/>
    <m/>
  </r>
  <r>
    <n v="1475"/>
    <s v="MATRIZ"/>
    <x v="6"/>
    <x v="15"/>
    <x v="18"/>
    <s v="SERVIÇO"/>
    <x v="1968"/>
    <x v="23"/>
    <n v="90040.33"/>
    <n v="80766.17"/>
    <x v="280"/>
    <x v="64"/>
    <x v="306"/>
    <x v="0"/>
    <n v="0"/>
    <x v="0"/>
    <x v="1"/>
    <s v="PS"/>
    <x v="3"/>
    <m/>
    <m/>
    <m/>
  </r>
  <r>
    <n v="1290"/>
    <s v="MATRIZ"/>
    <x v="2"/>
    <x v="14"/>
    <x v="17"/>
    <s v="SERVIÇO"/>
    <x v="1969"/>
    <x v="23"/>
    <n v="55929.99"/>
    <n v="49414.15"/>
    <x v="268"/>
    <x v="65"/>
    <x v="128"/>
    <x v="2"/>
    <n v="0"/>
    <x v="0"/>
    <x v="0"/>
    <s v="UT"/>
    <x v="1"/>
    <m/>
    <m/>
    <m/>
  </r>
  <r>
    <n v="1525"/>
    <s v="MATRIZ"/>
    <x v="2"/>
    <x v="29"/>
    <x v="64"/>
    <s v="SERVIÇO"/>
    <x v="1441"/>
    <x v="23"/>
    <n v="58691.384950926935"/>
    <n v="53820"/>
    <x v="280"/>
    <x v="64"/>
    <x v="268"/>
    <x v="0"/>
    <n v="0"/>
    <x v="0"/>
    <x v="0"/>
    <s v="PS"/>
    <x v="1"/>
    <m/>
    <m/>
    <m/>
  </r>
  <r>
    <n v="1525"/>
    <s v="MATRIZ"/>
    <x v="2"/>
    <x v="29"/>
    <x v="64"/>
    <s v="SERVIÇO"/>
    <x v="582"/>
    <x v="24"/>
    <n v="60000"/>
    <m/>
    <x v="192"/>
    <x v="65"/>
    <x v="128"/>
    <x v="1"/>
    <n v="0"/>
    <x v="0"/>
    <x v="0"/>
    <s v="PS"/>
    <x v="1"/>
    <m/>
    <m/>
    <m/>
  </r>
  <r>
    <n v="1290"/>
    <s v="MATRIZ"/>
    <x v="2"/>
    <x v="14"/>
    <x v="17"/>
    <s v="SERVIÇO"/>
    <x v="1970"/>
    <x v="21"/>
    <n v="55929.99"/>
    <n v="49414.15"/>
    <x v="279"/>
    <x v="75"/>
    <x v="234"/>
    <x v="0"/>
    <n v="0"/>
    <x v="0"/>
    <x v="0"/>
    <s v="UT"/>
    <x v="1"/>
    <m/>
    <m/>
    <m/>
  </r>
  <r>
    <n v="1490"/>
    <s v="MATRIZ"/>
    <x v="2"/>
    <x v="14"/>
    <x v="43"/>
    <s v="SERVIÇO"/>
    <x v="1971"/>
    <x v="17"/>
    <n v="2300"/>
    <n v="1995.13"/>
    <x v="286"/>
    <x v="8"/>
    <x v="307"/>
    <x v="0"/>
    <n v="0"/>
    <x v="0"/>
    <x v="0"/>
    <s v="UT"/>
    <x v="1"/>
    <m/>
    <m/>
    <m/>
  </r>
  <r>
    <n v="1490"/>
    <s v="MATRIZ"/>
    <x v="2"/>
    <x v="14"/>
    <x v="43"/>
    <s v="SERVIÇO"/>
    <x v="1972"/>
    <x v="19"/>
    <n v="2300"/>
    <n v="2032.05"/>
    <x v="324"/>
    <x v="81"/>
    <x v="254"/>
    <x v="0"/>
    <n v="0"/>
    <x v="0"/>
    <x v="0"/>
    <s v="UT"/>
    <x v="1"/>
    <m/>
    <m/>
    <m/>
  </r>
  <r>
    <n v="1490"/>
    <s v="MATRIZ"/>
    <x v="2"/>
    <x v="14"/>
    <x v="43"/>
    <s v="SERVIÇO"/>
    <x v="1973"/>
    <x v="30"/>
    <n v="2300"/>
    <n v="2032.05"/>
    <x v="295"/>
    <x v="60"/>
    <x v="291"/>
    <x v="0"/>
    <n v="0"/>
    <x v="0"/>
    <x v="0"/>
    <s v="UT"/>
    <x v="1"/>
    <m/>
    <m/>
    <m/>
  </r>
  <r>
    <n v="1358"/>
    <s v="MATRIZ"/>
    <x v="2"/>
    <x v="16"/>
    <x v="19"/>
    <s v="SERVIÇO"/>
    <x v="582"/>
    <x v="29"/>
    <n v="12035"/>
    <m/>
    <x v="269"/>
    <x v="65"/>
    <x v="128"/>
    <x v="1"/>
    <n v="0"/>
    <x v="0"/>
    <x v="0"/>
    <s v="PS"/>
    <x v="1"/>
    <m/>
    <m/>
    <m/>
  </r>
  <r>
    <n v="1358"/>
    <s v="MATRIZ"/>
    <x v="2"/>
    <x v="16"/>
    <x v="19"/>
    <s v="SERVIÇO"/>
    <x v="1974"/>
    <x v="22"/>
    <n v="89150.64"/>
    <n v="79968.13"/>
    <x v="275"/>
    <x v="64"/>
    <x v="306"/>
    <x v="0"/>
    <m/>
    <x v="0"/>
    <x v="0"/>
    <s v="PS"/>
    <x v="1"/>
    <m/>
    <m/>
    <m/>
  </r>
  <r>
    <n v="1358"/>
    <s v="MATRIZ"/>
    <x v="2"/>
    <x v="16"/>
    <x v="19"/>
    <s v="SERVIÇO"/>
    <x v="1975"/>
    <x v="22"/>
    <n v="18720.900000000001"/>
    <n v="16792.650000000001"/>
    <x v="337"/>
    <x v="64"/>
    <x v="306"/>
    <x v="0"/>
    <n v="0"/>
    <x v="0"/>
    <x v="0"/>
    <s v="PS"/>
    <x v="1"/>
    <m/>
    <m/>
    <m/>
  </r>
  <r>
    <n v="1358"/>
    <s v="MATRIZ"/>
    <x v="2"/>
    <x v="16"/>
    <x v="19"/>
    <s v="SERVIÇO"/>
    <x v="1976"/>
    <x v="23"/>
    <n v="89150.64"/>
    <n v="79968.13"/>
    <x v="305"/>
    <x v="73"/>
    <x v="128"/>
    <x v="2"/>
    <m/>
    <x v="0"/>
    <x v="0"/>
    <s v="PS"/>
    <x v="1"/>
    <m/>
    <m/>
    <m/>
  </r>
  <r>
    <n v="1490"/>
    <s v="MATRIZ"/>
    <x v="2"/>
    <x v="14"/>
    <x v="43"/>
    <s v="SERVIÇO"/>
    <x v="1977"/>
    <x v="21"/>
    <n v="2300"/>
    <n v="2032.05"/>
    <x v="338"/>
    <x v="75"/>
    <x v="234"/>
    <x v="0"/>
    <n v="0"/>
    <x v="0"/>
    <x v="0"/>
    <s v="UT"/>
    <x v="1"/>
    <m/>
    <m/>
    <m/>
  </r>
  <r>
    <n v="1480"/>
    <s v="SP"/>
    <x v="4"/>
    <x v="31"/>
    <x v="56"/>
    <s v="SERVIÇO"/>
    <x v="1978"/>
    <x v="17"/>
    <n v="535168"/>
    <n v="502255.17"/>
    <x v="146"/>
    <x v="57"/>
    <x v="186"/>
    <x v="0"/>
    <m/>
    <x v="0"/>
    <x v="1"/>
    <s v="FS"/>
    <x v="0"/>
    <m/>
    <m/>
    <m/>
  </r>
  <r>
    <n v="1475"/>
    <s v="MATRIZ"/>
    <x v="6"/>
    <x v="15"/>
    <x v="18"/>
    <s v="SERVIÇO"/>
    <x v="1979"/>
    <x v="17"/>
    <n v="88370.14"/>
    <n v="79268.02"/>
    <x v="160"/>
    <x v="54"/>
    <x v="231"/>
    <x v="0"/>
    <n v="0"/>
    <x v="0"/>
    <x v="1"/>
    <s v="PS"/>
    <x v="3"/>
    <m/>
    <m/>
    <m/>
  </r>
  <r>
    <n v="1475"/>
    <s v="MATRIZ"/>
    <x v="6"/>
    <x v="15"/>
    <x v="18"/>
    <s v="SERVIÇO"/>
    <x v="1980"/>
    <x v="19"/>
    <n v="88370.14"/>
    <n v="79268.02"/>
    <x v="330"/>
    <x v="74"/>
    <x v="302"/>
    <x v="0"/>
    <n v="0"/>
    <x v="0"/>
    <x v="1"/>
    <s v="PS"/>
    <x v="3"/>
    <m/>
    <m/>
    <m/>
  </r>
  <r>
    <n v="1475"/>
    <s v="MATRIZ"/>
    <x v="6"/>
    <x v="15"/>
    <x v="18"/>
    <s v="SERVIÇO"/>
    <x v="1981"/>
    <x v="29"/>
    <n v="16247.47"/>
    <n v="14573.98"/>
    <x v="255"/>
    <x v="78"/>
    <x v="246"/>
    <x v="0"/>
    <n v="0"/>
    <x v="0"/>
    <x v="1"/>
    <s v="PS"/>
    <x v="3"/>
    <m/>
    <m/>
    <m/>
  </r>
  <r>
    <n v="1475"/>
    <s v="MATRIZ"/>
    <x v="6"/>
    <x v="15"/>
    <x v="18"/>
    <s v="SERVIÇO"/>
    <x v="1982"/>
    <x v="30"/>
    <n v="90040.33"/>
    <n v="80766.17"/>
    <x v="227"/>
    <x v="85"/>
    <x v="303"/>
    <x v="0"/>
    <n v="0"/>
    <x v="0"/>
    <x v="1"/>
    <s v="PS"/>
    <x v="3"/>
    <m/>
    <m/>
    <m/>
  </r>
  <r>
    <n v="1475"/>
    <s v="MATRIZ"/>
    <x v="6"/>
    <x v="15"/>
    <x v="18"/>
    <s v="SERVIÇO"/>
    <x v="1983"/>
    <x v="21"/>
    <n v="90040.33"/>
    <n v="80766.17"/>
    <x v="188"/>
    <x v="61"/>
    <x v="305"/>
    <x v="0"/>
    <n v="0"/>
    <x v="0"/>
    <x v="1"/>
    <s v="PS"/>
    <x v="3"/>
    <m/>
    <m/>
    <m/>
  </r>
  <r>
    <n v="1475"/>
    <s v="MATRIZ"/>
    <x v="6"/>
    <x v="15"/>
    <x v="18"/>
    <s v="SERVIÇO"/>
    <x v="1984"/>
    <x v="22"/>
    <n v="90040.33"/>
    <n v="80766.17"/>
    <x v="255"/>
    <x v="78"/>
    <x v="246"/>
    <x v="0"/>
    <n v="0"/>
    <x v="0"/>
    <x v="1"/>
    <s v="PS"/>
    <x v="3"/>
    <m/>
    <m/>
    <m/>
  </r>
  <r>
    <n v="1473"/>
    <s v="MATRIZ"/>
    <x v="2"/>
    <x v="17"/>
    <x v="20"/>
    <s v="SERVIÇO"/>
    <x v="1985"/>
    <x v="23"/>
    <n v="236280.79"/>
    <n v="220213.69"/>
    <x v="307"/>
    <x v="79"/>
    <x v="128"/>
    <x v="2"/>
    <m/>
    <x v="0"/>
    <x v="0"/>
    <s v="PS"/>
    <x v="1"/>
    <m/>
    <m/>
    <m/>
  </r>
  <r>
    <n v="1358"/>
    <s v="MATRIZ"/>
    <x v="2"/>
    <x v="16"/>
    <x v="19"/>
    <s v="SERVIÇO"/>
    <x v="582"/>
    <x v="24"/>
    <n v="89150"/>
    <n v="79968.13"/>
    <x v="192"/>
    <x v="65"/>
    <x v="128"/>
    <x v="1"/>
    <n v="0"/>
    <x v="0"/>
    <x v="0"/>
    <s v="PS"/>
    <x v="1"/>
    <m/>
    <m/>
    <m/>
  </r>
  <r>
    <n v="1475"/>
    <s v="MATRIZ"/>
    <x v="6"/>
    <x v="15"/>
    <x v="18"/>
    <s v="SERVIÇO"/>
    <x v="582"/>
    <x v="24"/>
    <n v="90040.33"/>
    <n v="80766.17"/>
    <x v="192"/>
    <x v="66"/>
    <x v="128"/>
    <x v="1"/>
    <n v="0"/>
    <x v="0"/>
    <x v="1"/>
    <s v="PS"/>
    <x v="3"/>
    <m/>
    <m/>
    <m/>
  </r>
  <r>
    <n v="1472"/>
    <s v="SP"/>
    <x v="3"/>
    <x v="28"/>
    <x v="44"/>
    <s v="SERVIÇO"/>
    <x v="1986"/>
    <x v="17"/>
    <n v="51733.11"/>
    <n v="48551.519999999997"/>
    <x v="146"/>
    <x v="8"/>
    <x v="256"/>
    <x v="0"/>
    <m/>
    <x v="0"/>
    <x v="2"/>
    <s v="FS"/>
    <x v="2"/>
    <m/>
    <m/>
    <m/>
  </r>
  <r>
    <n v="1472"/>
    <s v="SP"/>
    <x v="3"/>
    <x v="28"/>
    <x v="44"/>
    <s v="SERVIÇO"/>
    <x v="1987"/>
    <x v="19"/>
    <n v="48547.199999999997"/>
    <n v="45561.54"/>
    <x v="339"/>
    <x v="52"/>
    <x v="158"/>
    <x v="0"/>
    <m/>
    <x v="0"/>
    <x v="2"/>
    <s v="FS"/>
    <x v="2"/>
    <m/>
    <m/>
    <m/>
  </r>
  <r>
    <n v="1472"/>
    <s v="SP"/>
    <x v="3"/>
    <x v="28"/>
    <x v="44"/>
    <s v="SERVIÇO"/>
    <x v="1988"/>
    <x v="20"/>
    <n v="48547.199999999997"/>
    <n v="45561.54"/>
    <x v="226"/>
    <x v="81"/>
    <x v="308"/>
    <x v="0"/>
    <m/>
    <x v="0"/>
    <x v="2"/>
    <s v="FS"/>
    <x v="2"/>
    <m/>
    <m/>
    <m/>
  </r>
  <r>
    <n v="1472"/>
    <s v="SP"/>
    <x v="3"/>
    <x v="28"/>
    <x v="44"/>
    <s v="SERVIÇO"/>
    <x v="1989"/>
    <x v="21"/>
    <n v="18508.62"/>
    <n v="17370.330000000002"/>
    <x v="298"/>
    <x v="71"/>
    <x v="252"/>
    <x v="0"/>
    <m/>
    <x v="0"/>
    <x v="2"/>
    <s v="FS"/>
    <x v="2"/>
    <m/>
    <m/>
    <m/>
  </r>
  <r>
    <n v="1472"/>
    <s v="SP"/>
    <x v="3"/>
    <x v="28"/>
    <x v="44"/>
    <s v="SERVIÇO"/>
    <x v="1990"/>
    <x v="22"/>
    <n v="49457.46"/>
    <n v="46415.839999999997"/>
    <x v="340"/>
    <x v="72"/>
    <x v="227"/>
    <x v="0"/>
    <m/>
    <x v="0"/>
    <x v="2"/>
    <s v="FS"/>
    <x v="2"/>
    <m/>
    <m/>
    <m/>
  </r>
  <r>
    <n v="1472"/>
    <s v="SP"/>
    <x v="3"/>
    <x v="28"/>
    <x v="44"/>
    <s v="SERVIÇO"/>
    <x v="1991"/>
    <x v="23"/>
    <n v="48547.199999999997"/>
    <n v="45561.54"/>
    <x v="229"/>
    <x v="82"/>
    <x v="259"/>
    <x v="0"/>
    <m/>
    <x v="0"/>
    <x v="2"/>
    <s v="FS"/>
    <x v="2"/>
    <m/>
    <m/>
    <m/>
  </r>
  <r>
    <n v="1472"/>
    <s v="SP"/>
    <x v="3"/>
    <x v="28"/>
    <x v="44"/>
    <s v="SERVIÇO"/>
    <x v="582"/>
    <x v="24"/>
    <n v="48000"/>
    <m/>
    <x v="254"/>
    <x v="79"/>
    <x v="128"/>
    <x v="1"/>
    <m/>
    <x v="0"/>
    <x v="2"/>
    <s v="FS"/>
    <x v="2"/>
    <m/>
    <m/>
    <m/>
  </r>
  <r>
    <n v="1472"/>
    <s v="SP"/>
    <x v="3"/>
    <x v="28"/>
    <x v="44"/>
    <s v="SERVIÇO"/>
    <x v="582"/>
    <x v="33"/>
    <n v="153029"/>
    <m/>
    <x v="192"/>
    <x v="66"/>
    <x v="128"/>
    <x v="1"/>
    <m/>
    <x v="0"/>
    <x v="2"/>
    <s v="FS"/>
    <x v="2"/>
    <m/>
    <m/>
    <m/>
  </r>
  <r>
    <n v="1378"/>
    <s v="MATRIZ"/>
    <x v="4"/>
    <x v="5"/>
    <x v="5"/>
    <s v="SERVIÇO"/>
    <x v="1992"/>
    <x v="17"/>
    <n v="30728.99"/>
    <n v="28839.16"/>
    <x v="159"/>
    <x v="54"/>
    <x v="231"/>
    <x v="0"/>
    <n v="0"/>
    <x v="0"/>
    <x v="2"/>
    <s v="FS"/>
    <x v="0"/>
    <s v="SIM"/>
    <s v="FATURADO - A RECEBER"/>
    <m/>
  </r>
  <r>
    <n v="1378"/>
    <s v="MATRIZ"/>
    <x v="4"/>
    <x v="5"/>
    <x v="5"/>
    <s v="SERVIÇO"/>
    <x v="1993"/>
    <x v="17"/>
    <n v="4535.1000000000004"/>
    <n v="4256.1899999999996"/>
    <x v="324"/>
    <x v="74"/>
    <x v="233"/>
    <x v="0"/>
    <n v="0"/>
    <x v="0"/>
    <x v="2"/>
    <s v="FS"/>
    <x v="0"/>
    <s v="SIM"/>
    <s v="FATURADO - A RECEBER"/>
    <m/>
  </r>
  <r>
    <n v="1378"/>
    <s v="MATRIZ"/>
    <x v="4"/>
    <x v="5"/>
    <x v="5"/>
    <s v="SERVIÇO"/>
    <x v="1994"/>
    <x v="19"/>
    <n v="4535.1000000000004"/>
    <n v="4256.1899999999996"/>
    <x v="288"/>
    <x v="81"/>
    <x v="273"/>
    <x v="0"/>
    <n v="0"/>
    <x v="0"/>
    <x v="2"/>
    <s v="FS"/>
    <x v="0"/>
    <s v="SIM"/>
    <s v="FATURADO - A RECEBER"/>
    <m/>
  </r>
  <r>
    <n v="1378"/>
    <s v="MATRIZ"/>
    <x v="4"/>
    <x v="5"/>
    <x v="5"/>
    <s v="SERVIÇO"/>
    <x v="1995"/>
    <x v="30"/>
    <n v="4535.1000000000004"/>
    <n v="4256.1899999999996"/>
    <x v="262"/>
    <x v="85"/>
    <x v="295"/>
    <x v="0"/>
    <n v="0"/>
    <x v="0"/>
    <x v="2"/>
    <s v="FS"/>
    <x v="0"/>
    <s v="SIM"/>
    <s v="FATURADO - A RECEBER"/>
    <m/>
  </r>
  <r>
    <n v="1378"/>
    <s v="MATRIZ"/>
    <x v="4"/>
    <x v="5"/>
    <x v="5"/>
    <s v="SERVIÇO"/>
    <x v="1996"/>
    <x v="21"/>
    <n v="4535.1000000000004"/>
    <n v="4256.1899999999996"/>
    <x v="319"/>
    <x v="75"/>
    <x v="309"/>
    <x v="0"/>
    <n v="0"/>
    <x v="0"/>
    <x v="2"/>
    <s v="FS"/>
    <x v="0"/>
    <s v="SIM"/>
    <s v="FATURADO - A RECEBER"/>
    <m/>
  </r>
  <r>
    <n v="1378"/>
    <s v="MATRIZ"/>
    <x v="4"/>
    <x v="5"/>
    <x v="5"/>
    <s v="SERVIÇO"/>
    <x v="1997"/>
    <x v="22"/>
    <n v="4535.1000000000004"/>
    <n v="4256.21"/>
    <x v="341"/>
    <x v="82"/>
    <x v="310"/>
    <x v="0"/>
    <n v="0"/>
    <x v="0"/>
    <x v="2"/>
    <s v="FS"/>
    <x v="0"/>
    <s v="SIM"/>
    <s v="FATURADO - A RECEBER"/>
    <m/>
  </r>
  <r>
    <n v="1378"/>
    <s v="MATRIZ"/>
    <x v="4"/>
    <x v="5"/>
    <x v="5"/>
    <s v="SERVIÇO"/>
    <x v="1998"/>
    <x v="23"/>
    <n v="4535.1000000000004"/>
    <n v="4256.1899999999996"/>
    <x v="342"/>
    <x v="65"/>
    <x v="128"/>
    <x v="2"/>
    <n v="0"/>
    <x v="0"/>
    <x v="2"/>
    <s v="FS"/>
    <x v="0"/>
    <s v="SIM"/>
    <s v="FATURADO - A RECEBER"/>
    <m/>
  </r>
  <r>
    <n v="1394"/>
    <s v="MATRIZ"/>
    <x v="5"/>
    <x v="7"/>
    <x v="7"/>
    <s v="SERVIÇO"/>
    <x v="1999"/>
    <x v="10"/>
    <n v="85000"/>
    <n v="79220"/>
    <x v="53"/>
    <x v="2"/>
    <x v="3"/>
    <x v="0"/>
    <n v="0"/>
    <x v="0"/>
    <x v="0"/>
    <s v="PS"/>
    <x v="1"/>
    <m/>
    <m/>
    <m/>
  </r>
  <r>
    <n v="1247"/>
    <s v="MATRIZ"/>
    <x v="2"/>
    <x v="29"/>
    <x v="45"/>
    <s v="SERVIÇO"/>
    <x v="2000"/>
    <x v="19"/>
    <n v="38395.360000000001"/>
    <n v="34440.629999999997"/>
    <x v="274"/>
    <x v="52"/>
    <x v="158"/>
    <x v="0"/>
    <n v="0"/>
    <x v="0"/>
    <x v="0"/>
    <s v="PS"/>
    <x v="1"/>
    <m/>
    <m/>
    <m/>
  </r>
  <r>
    <n v="1247"/>
    <s v="MATRIZ"/>
    <x v="2"/>
    <x v="29"/>
    <x v="45"/>
    <s v="SERVIÇO"/>
    <x v="2001"/>
    <x v="30"/>
    <n v="38395.360000000001"/>
    <n v="34440.629999999997"/>
    <x v="187"/>
    <x v="71"/>
    <x v="252"/>
    <x v="0"/>
    <n v="0"/>
    <x v="0"/>
    <x v="0"/>
    <s v="PS"/>
    <x v="1"/>
    <m/>
    <m/>
    <m/>
  </r>
  <r>
    <n v="1247"/>
    <s v="MATRIZ"/>
    <x v="2"/>
    <x v="29"/>
    <x v="45"/>
    <s v="SERVIÇO"/>
    <x v="2002"/>
    <x v="21"/>
    <n v="38395.360000000001"/>
    <n v="34440.629999999997"/>
    <x v="188"/>
    <x v="60"/>
    <x v="245"/>
    <x v="0"/>
    <n v="0"/>
    <x v="0"/>
    <x v="0"/>
    <s v="PS"/>
    <x v="1"/>
    <m/>
    <m/>
    <m/>
  </r>
  <r>
    <n v="1525"/>
    <s v="MATRIZ"/>
    <x v="2"/>
    <x v="29"/>
    <x v="64"/>
    <s v="SERVIÇO"/>
    <x v="2003"/>
    <x v="22"/>
    <n v="60000"/>
    <n v="53820"/>
    <x v="252"/>
    <x v="63"/>
    <x v="247"/>
    <x v="0"/>
    <n v="0"/>
    <x v="0"/>
    <x v="0"/>
    <s v="PS"/>
    <x v="1"/>
    <m/>
    <m/>
    <m/>
  </r>
  <r>
    <n v="1473"/>
    <s v="MATRIZ"/>
    <x v="2"/>
    <x v="17"/>
    <x v="20"/>
    <s v="SERVIÇO"/>
    <x v="2004"/>
    <x v="22"/>
    <n v="236280.79"/>
    <n v="220213.69"/>
    <x v="343"/>
    <x v="84"/>
    <x v="263"/>
    <x v="0"/>
    <m/>
    <x v="0"/>
    <x v="0"/>
    <s v="PS"/>
    <x v="1"/>
    <m/>
    <m/>
    <m/>
  </r>
  <r>
    <n v="1394"/>
    <s v="MATRIZ"/>
    <x v="5"/>
    <x v="7"/>
    <x v="7"/>
    <s v="SERVIÇO"/>
    <x v="2005"/>
    <x v="23"/>
    <n v="246181.25"/>
    <n v="229440.92"/>
    <x v="307"/>
    <x v="65"/>
    <x v="128"/>
    <x v="2"/>
    <m/>
    <x v="0"/>
    <x v="0"/>
    <s v="PS"/>
    <x v="1"/>
    <m/>
    <m/>
    <m/>
  </r>
  <r>
    <n v="1358"/>
    <s v="MATRIZ"/>
    <x v="2"/>
    <x v="16"/>
    <x v="19"/>
    <s v="SERVIÇO"/>
    <x v="2006"/>
    <x v="17"/>
    <n v="89150.64"/>
    <n v="79968.13"/>
    <x v="286"/>
    <x v="54"/>
    <x v="231"/>
    <x v="0"/>
    <n v="0"/>
    <x v="0"/>
    <x v="0"/>
    <s v="PS"/>
    <x v="1"/>
    <m/>
    <m/>
    <m/>
  </r>
  <r>
    <n v="1358"/>
    <s v="MATRIZ"/>
    <x v="2"/>
    <x v="16"/>
    <x v="19"/>
    <s v="SERVIÇO"/>
    <x v="2007"/>
    <x v="17"/>
    <n v="7649.4"/>
    <n v="6861.51"/>
    <x v="315"/>
    <x v="54"/>
    <x v="162"/>
    <x v="0"/>
    <n v="0"/>
    <x v="0"/>
    <x v="0"/>
    <s v="PS"/>
    <x v="1"/>
    <m/>
    <m/>
    <m/>
  </r>
  <r>
    <n v="1358"/>
    <s v="MATRIZ"/>
    <x v="2"/>
    <x v="16"/>
    <x v="19"/>
    <s v="SERVIÇO"/>
    <x v="2008"/>
    <x v="19"/>
    <n v="89150.64"/>
    <n v="79968.13"/>
    <x v="261"/>
    <x v="81"/>
    <x v="254"/>
    <x v="0"/>
    <n v="0"/>
    <x v="0"/>
    <x v="0"/>
    <s v="PS"/>
    <x v="1"/>
    <m/>
    <m/>
    <m/>
  </r>
  <r>
    <n v="1358"/>
    <s v="MATRIZ"/>
    <x v="2"/>
    <x v="16"/>
    <x v="19"/>
    <s v="SERVIÇO"/>
    <x v="2009"/>
    <x v="19"/>
    <n v="7649.4"/>
    <n v="6861.51"/>
    <x v="333"/>
    <x v="81"/>
    <x v="254"/>
    <x v="0"/>
    <n v="0"/>
    <x v="0"/>
    <x v="0"/>
    <s v="PS"/>
    <x v="1"/>
    <m/>
    <m/>
    <m/>
  </r>
  <r>
    <n v="1473"/>
    <s v="MATRIZ"/>
    <x v="2"/>
    <x v="17"/>
    <x v="20"/>
    <s v="SERVIÇO"/>
    <x v="582"/>
    <x v="24"/>
    <n v="236280.79"/>
    <n v="219606.43"/>
    <x v="192"/>
    <x v="79"/>
    <x v="128"/>
    <x v="1"/>
    <m/>
    <x v="0"/>
    <x v="0"/>
    <s v="PS"/>
    <x v="1"/>
    <m/>
    <m/>
    <m/>
  </r>
  <r>
    <n v="1358"/>
    <s v="MATRIZ"/>
    <x v="2"/>
    <x v="16"/>
    <x v="19"/>
    <s v="SERVIÇO"/>
    <x v="2010"/>
    <x v="30"/>
    <n v="3220.8"/>
    <n v="2889.05"/>
    <x v="227"/>
    <x v="85"/>
    <x v="295"/>
    <x v="0"/>
    <n v="0"/>
    <x v="0"/>
    <x v="0"/>
    <s v="PS"/>
    <x v="1"/>
    <m/>
    <m/>
    <m/>
  </r>
  <r>
    <n v="1358"/>
    <s v="MATRIZ"/>
    <x v="2"/>
    <x v="16"/>
    <x v="19"/>
    <s v="SERVIÇO"/>
    <x v="2011"/>
    <x v="30"/>
    <n v="89150.64"/>
    <n v="79968.13"/>
    <x v="227"/>
    <x v="85"/>
    <x v="295"/>
    <x v="0"/>
    <n v="0"/>
    <x v="0"/>
    <x v="0"/>
    <s v="PS"/>
    <x v="1"/>
    <m/>
    <m/>
    <m/>
  </r>
  <r>
    <n v="1358"/>
    <s v="MATRIZ"/>
    <x v="2"/>
    <x v="16"/>
    <x v="19"/>
    <s v="SERVIÇO"/>
    <x v="2012"/>
    <x v="21"/>
    <n v="89150.64"/>
    <n v="79968.13"/>
    <x v="263"/>
    <x v="62"/>
    <x v="192"/>
    <x v="0"/>
    <n v="0"/>
    <x v="0"/>
    <x v="0"/>
    <s v="PS"/>
    <x v="1"/>
    <m/>
    <m/>
    <m/>
  </r>
  <r>
    <n v="1288"/>
    <s v="HUB"/>
    <x v="6"/>
    <x v="23"/>
    <x v="31"/>
    <s v="SERVIÇO"/>
    <x v="582"/>
    <x v="29"/>
    <n v="393560"/>
    <n v="366747.92"/>
    <x v="269"/>
    <x v="73"/>
    <x v="128"/>
    <x v="1"/>
    <m/>
    <x v="0"/>
    <x v="1"/>
    <s v="PS"/>
    <x v="3"/>
    <m/>
    <m/>
    <m/>
  </r>
  <r>
    <n v="1288"/>
    <s v="HUB"/>
    <x v="6"/>
    <x v="23"/>
    <x v="31"/>
    <s v="SERVIÇO"/>
    <x v="582"/>
    <x v="21"/>
    <n v="396840"/>
    <m/>
    <x v="254"/>
    <x v="73"/>
    <x v="128"/>
    <x v="1"/>
    <m/>
    <x v="0"/>
    <x v="1"/>
    <s v="PS"/>
    <x v="3"/>
    <m/>
    <m/>
    <m/>
  </r>
  <r>
    <n v="1288"/>
    <s v="HUB"/>
    <x v="6"/>
    <x v="23"/>
    <x v="31"/>
    <s v="SERVIÇO"/>
    <x v="2013"/>
    <x v="22"/>
    <n v="393601.89"/>
    <n v="366836.96"/>
    <x v="272"/>
    <x v="65"/>
    <x v="128"/>
    <x v="2"/>
    <m/>
    <x v="0"/>
    <x v="1"/>
    <s v="PS"/>
    <x v="3"/>
    <m/>
    <m/>
    <m/>
  </r>
  <r>
    <n v="1289"/>
    <s v="HUB"/>
    <x v="6"/>
    <x v="23"/>
    <x v="30"/>
    <s v="SERVIÇO"/>
    <x v="2014"/>
    <x v="22"/>
    <n v="301917.75"/>
    <n v="281387.34000000003"/>
    <x v="272"/>
    <x v="65"/>
    <x v="128"/>
    <x v="2"/>
    <m/>
    <x v="0"/>
    <x v="0"/>
    <s v="PS"/>
    <x v="3"/>
    <m/>
    <m/>
    <m/>
  </r>
  <r>
    <n v="1358"/>
    <s v="MATRIZ"/>
    <x v="2"/>
    <x v="16"/>
    <x v="19"/>
    <s v="SERVIÇO"/>
    <x v="582"/>
    <x v="36"/>
    <n v="36423.360000000001"/>
    <m/>
    <x v="269"/>
    <x v="42"/>
    <x v="128"/>
    <x v="1"/>
    <n v="0"/>
    <x v="0"/>
    <x v="0"/>
    <s v="PS"/>
    <x v="1"/>
    <m/>
    <m/>
    <m/>
  </r>
  <r>
    <n v="1473"/>
    <s v="MATRIZ"/>
    <x v="2"/>
    <x v="17"/>
    <x v="20"/>
    <s v="SERVIÇO"/>
    <x v="2015"/>
    <x v="17"/>
    <n v="236280.79"/>
    <n v="220013.69"/>
    <x v="315"/>
    <x v="52"/>
    <x v="158"/>
    <x v="0"/>
    <n v="0"/>
    <x v="0"/>
    <x v="0"/>
    <s v="PS"/>
    <x v="1"/>
    <m/>
    <m/>
    <m/>
  </r>
  <r>
    <n v="1473"/>
    <s v="MATRIZ"/>
    <x v="2"/>
    <x v="17"/>
    <x v="20"/>
    <s v="SERVIÇO"/>
    <x v="582"/>
    <x v="35"/>
    <n v="30446"/>
    <m/>
    <x v="269"/>
    <x v="42"/>
    <x v="128"/>
    <x v="1"/>
    <n v="0"/>
    <x v="0"/>
    <x v="0"/>
    <s v="PS"/>
    <x v="1"/>
    <m/>
    <m/>
    <m/>
  </r>
  <r>
    <n v="1473"/>
    <s v="MATRIZ"/>
    <x v="2"/>
    <x v="17"/>
    <x v="20"/>
    <s v="SERVIÇO"/>
    <x v="2016"/>
    <x v="21"/>
    <n v="236280.79"/>
    <n v="220213.69"/>
    <x v="228"/>
    <x v="63"/>
    <x v="194"/>
    <x v="0"/>
    <m/>
    <x v="0"/>
    <x v="0"/>
    <s v="PS"/>
    <x v="1"/>
    <m/>
    <m/>
    <m/>
  </r>
  <r>
    <n v="1289"/>
    <s v="HUB"/>
    <x v="6"/>
    <x v="23"/>
    <x v="30"/>
    <s v="SERVIÇO"/>
    <x v="582"/>
    <x v="23"/>
    <n v="301917"/>
    <m/>
    <x v="192"/>
    <x v="65"/>
    <x v="128"/>
    <x v="1"/>
    <m/>
    <x v="0"/>
    <x v="0"/>
    <s v="PS"/>
    <x v="3"/>
    <m/>
    <m/>
    <m/>
  </r>
  <r>
    <n v="1271"/>
    <s v="HUB"/>
    <x v="6"/>
    <x v="23"/>
    <x v="32"/>
    <s v="SERVIÇO"/>
    <x v="2017"/>
    <x v="23"/>
    <n v="255597.54"/>
    <n v="238216.91"/>
    <x v="344"/>
    <x v="73"/>
    <x v="128"/>
    <x v="2"/>
    <m/>
    <x v="0"/>
    <x v="0"/>
    <s v="PS"/>
    <x v="3"/>
    <m/>
    <m/>
    <m/>
  </r>
  <r>
    <n v="1271"/>
    <s v="HUB"/>
    <x v="6"/>
    <x v="23"/>
    <x v="32"/>
    <s v="SERVIÇO"/>
    <x v="2018"/>
    <x v="22"/>
    <n v="255597.54"/>
    <n v="238216.91"/>
    <x v="343"/>
    <x v="82"/>
    <x v="311"/>
    <x v="0"/>
    <m/>
    <x v="0"/>
    <x v="0"/>
    <s v="PS"/>
    <x v="3"/>
    <m/>
    <m/>
    <m/>
  </r>
  <r>
    <n v="1473"/>
    <s v="MATRIZ"/>
    <x v="2"/>
    <x v="17"/>
    <x v="20"/>
    <s v="SERVIÇO"/>
    <x v="2019"/>
    <x v="29"/>
    <n v="235629.21"/>
    <n v="219606.43"/>
    <x v="249"/>
    <x v="60"/>
    <x v="245"/>
    <x v="0"/>
    <m/>
    <x v="0"/>
    <x v="0"/>
    <s v="PS"/>
    <x v="1"/>
    <m/>
    <m/>
    <m/>
  </r>
  <r>
    <n v="1473"/>
    <s v="MATRIZ"/>
    <x v="2"/>
    <x v="17"/>
    <x v="20"/>
    <s v="SERVIÇO"/>
    <x v="2020"/>
    <x v="30"/>
    <n v="236280.79"/>
    <n v="215347.12"/>
    <x v="313"/>
    <x v="71"/>
    <x v="257"/>
    <x v="0"/>
    <n v="0"/>
    <x v="0"/>
    <x v="0"/>
    <s v="PS"/>
    <x v="1"/>
    <m/>
    <m/>
    <m/>
  </r>
  <r>
    <n v="1462"/>
    <s v="MATRIZ"/>
    <x v="1"/>
    <x v="1"/>
    <x v="21"/>
    <s v="SERVIÇO"/>
    <x v="2021"/>
    <x v="17"/>
    <n v="800"/>
    <n v="750.8"/>
    <x v="160"/>
    <x v="16"/>
    <x v="21"/>
    <x v="0"/>
    <n v="0"/>
    <x v="0"/>
    <x v="0"/>
    <s v="UT"/>
    <x v="0"/>
    <m/>
    <m/>
    <m/>
  </r>
  <r>
    <n v="1462"/>
    <s v="MATRIZ"/>
    <x v="1"/>
    <x v="1"/>
    <x v="21"/>
    <s v="SERVIÇO"/>
    <x v="2022"/>
    <x v="19"/>
    <n v="800"/>
    <n v="750.8"/>
    <x v="312"/>
    <x v="57"/>
    <x v="241"/>
    <x v="0"/>
    <n v="0"/>
    <x v="0"/>
    <x v="0"/>
    <s v="UT"/>
    <x v="0"/>
    <m/>
    <m/>
    <m/>
  </r>
  <r>
    <n v="1462"/>
    <s v="MATRIZ"/>
    <x v="1"/>
    <x v="1"/>
    <x v="21"/>
    <s v="SERVIÇO"/>
    <x v="2023"/>
    <x v="20"/>
    <n v="800"/>
    <n v="750.8"/>
    <x v="331"/>
    <x v="81"/>
    <x v="308"/>
    <x v="0"/>
    <n v="0"/>
    <x v="0"/>
    <x v="0"/>
    <s v="UT"/>
    <x v="0"/>
    <m/>
    <m/>
    <m/>
  </r>
  <r>
    <n v="1462"/>
    <s v="MATRIZ"/>
    <x v="1"/>
    <x v="1"/>
    <x v="21"/>
    <s v="SERVIÇO"/>
    <x v="2024"/>
    <x v="21"/>
    <n v="800"/>
    <n v="750.8"/>
    <x v="345"/>
    <x v="71"/>
    <x v="261"/>
    <x v="0"/>
    <n v="0"/>
    <x v="0"/>
    <x v="0"/>
    <s v="UT"/>
    <x v="0"/>
    <m/>
    <m/>
    <m/>
  </r>
  <r>
    <n v="1462"/>
    <s v="MATRIZ"/>
    <x v="1"/>
    <x v="1"/>
    <x v="21"/>
    <s v="SERVIÇO"/>
    <x v="582"/>
    <x v="23"/>
    <n v="800"/>
    <n v="750.8"/>
    <x v="254"/>
    <x v="73"/>
    <x v="128"/>
    <x v="1"/>
    <n v="0"/>
    <x v="0"/>
    <x v="0"/>
    <s v="UT"/>
    <x v="0"/>
    <m/>
    <m/>
    <m/>
  </r>
  <r>
    <n v="1462"/>
    <s v="MATRIZ"/>
    <x v="1"/>
    <x v="1"/>
    <x v="21"/>
    <s v="SERVIÇO"/>
    <x v="582"/>
    <x v="24"/>
    <n v="800"/>
    <n v="750.8"/>
    <x v="192"/>
    <x v="77"/>
    <x v="128"/>
    <x v="1"/>
    <n v="0"/>
    <x v="0"/>
    <x v="0"/>
    <s v="UT"/>
    <x v="0"/>
    <m/>
    <m/>
    <m/>
  </r>
  <r>
    <n v="1260"/>
    <s v="SP"/>
    <x v="4"/>
    <x v="19"/>
    <x v="22"/>
    <s v="SERVIÇO"/>
    <x v="2025"/>
    <x v="17"/>
    <n v="10914"/>
    <n v="10242.790000000001"/>
    <x v="146"/>
    <x v="52"/>
    <x v="158"/>
    <x v="0"/>
    <n v="0"/>
    <x v="0"/>
    <x v="1"/>
    <s v="MS"/>
    <x v="0"/>
    <m/>
    <m/>
    <m/>
  </r>
  <r>
    <n v="1260"/>
    <s v="SP"/>
    <x v="4"/>
    <x v="19"/>
    <x v="22"/>
    <s v="SERVIÇO"/>
    <x v="2026"/>
    <x v="19"/>
    <n v="10914"/>
    <n v="10242.790000000001"/>
    <x v="225"/>
    <x v="58"/>
    <x v="284"/>
    <x v="0"/>
    <n v="0"/>
    <x v="0"/>
    <x v="1"/>
    <s v="MS"/>
    <x v="0"/>
    <m/>
    <m/>
    <m/>
  </r>
  <r>
    <n v="1260"/>
    <s v="SP"/>
    <x v="4"/>
    <x v="19"/>
    <x v="22"/>
    <s v="SERVIÇO"/>
    <x v="2027"/>
    <x v="20"/>
    <n v="10914"/>
    <n v="10242.790000000001"/>
    <x v="226"/>
    <x v="59"/>
    <x v="289"/>
    <x v="0"/>
    <n v="0"/>
    <x v="0"/>
    <x v="1"/>
    <s v="MS"/>
    <x v="0"/>
    <m/>
    <m/>
    <m/>
  </r>
  <r>
    <n v="1260"/>
    <s v="SP"/>
    <x v="4"/>
    <x v="19"/>
    <x v="22"/>
    <s v="SERVIÇO"/>
    <x v="2028"/>
    <x v="21"/>
    <n v="10914"/>
    <n v="10242.790000000001"/>
    <x v="227"/>
    <x v="60"/>
    <x v="258"/>
    <x v="0"/>
    <n v="0"/>
    <x v="0"/>
    <x v="1"/>
    <s v="MS"/>
    <x v="0"/>
    <m/>
    <m/>
    <m/>
  </r>
  <r>
    <n v="1260"/>
    <s v="SP"/>
    <x v="4"/>
    <x v="19"/>
    <x v="22"/>
    <s v="SERVIÇO"/>
    <x v="2029"/>
    <x v="22"/>
    <n v="11009.7"/>
    <n v="10332.6"/>
    <x v="190"/>
    <x v="63"/>
    <x v="247"/>
    <x v="0"/>
    <n v="0"/>
    <x v="0"/>
    <x v="1"/>
    <s v="MS"/>
    <x v="0"/>
    <m/>
    <m/>
    <m/>
  </r>
  <r>
    <n v="1260"/>
    <s v="SP"/>
    <x v="4"/>
    <x v="19"/>
    <x v="22"/>
    <s v="SERVIÇO"/>
    <x v="2030"/>
    <x v="23"/>
    <n v="11009.7"/>
    <n v="10332.6"/>
    <x v="229"/>
    <x v="64"/>
    <x v="268"/>
    <x v="0"/>
    <n v="0"/>
    <x v="0"/>
    <x v="1"/>
    <s v="MS"/>
    <x v="0"/>
    <m/>
    <m/>
    <m/>
  </r>
  <r>
    <n v="1260"/>
    <s v="SP"/>
    <x v="4"/>
    <x v="19"/>
    <x v="22"/>
    <s v="SERVIÇO"/>
    <x v="582"/>
    <x v="24"/>
    <n v="11009.7"/>
    <n v="10242.790000000001"/>
    <x v="192"/>
    <x v="65"/>
    <x v="128"/>
    <x v="1"/>
    <n v="0"/>
    <x v="0"/>
    <x v="1"/>
    <s v="MS"/>
    <x v="0"/>
    <m/>
    <m/>
    <m/>
  </r>
  <r>
    <n v="1482"/>
    <s v="MATRIZ"/>
    <x v="8"/>
    <x v="4"/>
    <x v="23"/>
    <s v="SERVIÇO"/>
    <x v="2031"/>
    <x v="17"/>
    <n v="39000"/>
    <n v="35236.5"/>
    <x v="286"/>
    <x v="54"/>
    <x v="162"/>
    <x v="0"/>
    <m/>
    <x v="0"/>
    <x v="0"/>
    <s v="UT"/>
    <x v="0"/>
    <m/>
    <m/>
    <m/>
  </r>
  <r>
    <n v="1482"/>
    <s v="MATRIZ"/>
    <x v="8"/>
    <x v="4"/>
    <x v="23"/>
    <s v="SERVIÇO"/>
    <x v="2032"/>
    <x v="19"/>
    <n v="49616.75"/>
    <n v="44828.73"/>
    <x v="312"/>
    <x v="74"/>
    <x v="312"/>
    <x v="0"/>
    <m/>
    <x v="0"/>
    <x v="0"/>
    <s v="UT"/>
    <x v="0"/>
    <m/>
    <m/>
    <m/>
  </r>
  <r>
    <n v="1482"/>
    <s v="MATRIZ"/>
    <x v="8"/>
    <x v="4"/>
    <x v="23"/>
    <s v="SERVIÇO"/>
    <x v="2033"/>
    <x v="30"/>
    <n v="42248.18"/>
    <n v="38171.230000000003"/>
    <x v="331"/>
    <x v="71"/>
    <x v="261"/>
    <x v="0"/>
    <m/>
    <x v="0"/>
    <x v="0"/>
    <s v="UT"/>
    <x v="0"/>
    <m/>
    <m/>
    <m/>
  </r>
  <r>
    <n v="1482"/>
    <s v="MATRIZ"/>
    <x v="8"/>
    <x v="4"/>
    <x v="23"/>
    <s v="SERVIÇO"/>
    <x v="2034"/>
    <x v="21"/>
    <n v="34583"/>
    <n v="31245.75"/>
    <x v="301"/>
    <x v="72"/>
    <x v="264"/>
    <x v="0"/>
    <m/>
    <x v="0"/>
    <x v="0"/>
    <s v="UT"/>
    <x v="0"/>
    <m/>
    <m/>
    <m/>
  </r>
  <r>
    <n v="1482"/>
    <s v="MATRIZ"/>
    <x v="8"/>
    <x v="4"/>
    <x v="23"/>
    <s v="SERVIÇO"/>
    <x v="2035"/>
    <x v="22"/>
    <n v="34583"/>
    <n v="31245.75"/>
    <x v="346"/>
    <x v="82"/>
    <x v="280"/>
    <x v="0"/>
    <m/>
    <x v="0"/>
    <x v="0"/>
    <s v="UT"/>
    <x v="0"/>
    <m/>
    <m/>
    <m/>
  </r>
  <r>
    <n v="1482"/>
    <s v="MATRIZ"/>
    <x v="8"/>
    <x v="4"/>
    <x v="23"/>
    <s v="SERVIÇO"/>
    <x v="2036"/>
    <x v="23"/>
    <n v="34583"/>
    <n v="31245.759999999998"/>
    <x v="229"/>
    <x v="65"/>
    <x v="128"/>
    <x v="2"/>
    <m/>
    <x v="0"/>
    <x v="0"/>
    <s v="UT"/>
    <x v="0"/>
    <m/>
    <m/>
    <m/>
  </r>
  <r>
    <n v="1482"/>
    <s v="MATRIZ"/>
    <x v="8"/>
    <x v="4"/>
    <x v="23"/>
    <s v="SERVIÇO"/>
    <x v="582"/>
    <x v="24"/>
    <n v="34583"/>
    <n v="31245.73"/>
    <x v="192"/>
    <x v="66"/>
    <x v="128"/>
    <x v="1"/>
    <m/>
    <x v="0"/>
    <x v="0"/>
    <s v="UT"/>
    <x v="0"/>
    <m/>
    <m/>
    <m/>
  </r>
  <r>
    <n v="1262"/>
    <s v="SP"/>
    <x v="4"/>
    <x v="20"/>
    <x v="24"/>
    <s v="SERVIÇO"/>
    <x v="2037"/>
    <x v="17"/>
    <n v="24275.919999999998"/>
    <n v="22782.95"/>
    <x v="246"/>
    <x v="54"/>
    <x v="162"/>
    <x v="0"/>
    <n v="0"/>
    <x v="0"/>
    <x v="1"/>
    <s v="FS"/>
    <x v="0"/>
    <m/>
    <m/>
    <m/>
  </r>
  <r>
    <n v="1262"/>
    <s v="SP"/>
    <x v="4"/>
    <x v="20"/>
    <x v="24"/>
    <s v="SERVIÇO"/>
    <x v="2038"/>
    <x v="17"/>
    <n v="18837.36"/>
    <n v="17678.86"/>
    <x v="246"/>
    <x v="54"/>
    <x v="162"/>
    <x v="0"/>
    <n v="0"/>
    <x v="0"/>
    <x v="1"/>
    <s v="FS"/>
    <x v="0"/>
    <m/>
    <m/>
    <m/>
  </r>
  <r>
    <n v="1262"/>
    <s v="SP"/>
    <x v="4"/>
    <x v="20"/>
    <x v="24"/>
    <s v="SERVIÇO"/>
    <x v="2039"/>
    <x v="17"/>
    <n v="15783.38"/>
    <n v="14812.7"/>
    <x v="246"/>
    <x v="54"/>
    <x v="162"/>
    <x v="0"/>
    <n v="0"/>
    <x v="0"/>
    <x v="1"/>
    <s v="FS"/>
    <x v="0"/>
    <m/>
    <m/>
    <m/>
  </r>
  <r>
    <n v="1262"/>
    <s v="SP"/>
    <x v="4"/>
    <x v="20"/>
    <x v="24"/>
    <s v="SERVIÇO"/>
    <x v="2040"/>
    <x v="17"/>
    <n v="57975.839999999997"/>
    <n v="54410.32"/>
    <x v="246"/>
    <x v="54"/>
    <x v="162"/>
    <x v="0"/>
    <n v="0"/>
    <x v="0"/>
    <x v="1"/>
    <s v="FS"/>
    <x v="0"/>
    <m/>
    <m/>
    <m/>
  </r>
  <r>
    <n v="1262"/>
    <s v="SP"/>
    <x v="4"/>
    <x v="20"/>
    <x v="24"/>
    <s v="SERVIÇO"/>
    <x v="2041"/>
    <x v="17"/>
    <n v="6764.3"/>
    <n v="6348.3"/>
    <x v="246"/>
    <x v="54"/>
    <x v="162"/>
    <x v="0"/>
    <n v="0"/>
    <x v="0"/>
    <x v="1"/>
    <s v="FS"/>
    <x v="0"/>
    <m/>
    <m/>
    <m/>
  </r>
  <r>
    <n v="1262"/>
    <s v="SP"/>
    <x v="4"/>
    <x v="20"/>
    <x v="24"/>
    <s v="SERVIÇO"/>
    <x v="2042"/>
    <x v="19"/>
    <n v="83672.320000000007"/>
    <n v="78526.48"/>
    <x v="322"/>
    <x v="70"/>
    <x v="225"/>
    <x v="0"/>
    <m/>
    <x v="0"/>
    <x v="1"/>
    <s v="FS"/>
    <x v="0"/>
    <m/>
    <m/>
    <m/>
  </r>
  <r>
    <n v="1262"/>
    <s v="SP"/>
    <x v="4"/>
    <x v="20"/>
    <x v="24"/>
    <s v="SERVIÇO"/>
    <x v="2043"/>
    <x v="19"/>
    <n v="26016.76"/>
    <n v="24416.73"/>
    <x v="291"/>
    <x v="58"/>
    <x v="209"/>
    <x v="0"/>
    <m/>
    <x v="0"/>
    <x v="1"/>
    <s v="FS"/>
    <x v="0"/>
    <m/>
    <m/>
    <m/>
  </r>
  <r>
    <n v="1262"/>
    <s v="SP"/>
    <x v="4"/>
    <x v="20"/>
    <x v="24"/>
    <s v="SERVIÇO"/>
    <x v="2044"/>
    <x v="19"/>
    <n v="795.15"/>
    <n v="746.25"/>
    <x v="291"/>
    <x v="58"/>
    <x v="209"/>
    <x v="0"/>
    <m/>
    <x v="0"/>
    <x v="1"/>
    <s v="FS"/>
    <x v="0"/>
    <m/>
    <m/>
    <m/>
  </r>
  <r>
    <n v="1262"/>
    <s v="SP"/>
    <x v="4"/>
    <x v="20"/>
    <x v="24"/>
    <s v="SERVIÇO"/>
    <x v="2045"/>
    <x v="19"/>
    <n v="1402.26"/>
    <n v="1316.03"/>
    <x v="291"/>
    <x v="58"/>
    <x v="209"/>
    <x v="0"/>
    <m/>
    <x v="0"/>
    <x v="1"/>
    <s v="FS"/>
    <x v="0"/>
    <m/>
    <m/>
    <m/>
  </r>
  <r>
    <n v="1262"/>
    <s v="SP"/>
    <x v="4"/>
    <x v="20"/>
    <x v="24"/>
    <s v="SERVIÇO"/>
    <x v="2046"/>
    <x v="19"/>
    <n v="8077.73"/>
    <n v="7580.94"/>
    <x v="291"/>
    <x v="58"/>
    <x v="209"/>
    <x v="0"/>
    <m/>
    <x v="0"/>
    <x v="1"/>
    <s v="FS"/>
    <x v="0"/>
    <m/>
    <m/>
    <m/>
  </r>
  <r>
    <n v="1262"/>
    <s v="SP"/>
    <x v="4"/>
    <x v="20"/>
    <x v="24"/>
    <s v="SERVIÇO"/>
    <x v="2047"/>
    <x v="20"/>
    <n v="30590.85"/>
    <n v="28709.51"/>
    <x v="316"/>
    <x v="59"/>
    <x v="244"/>
    <x v="0"/>
    <m/>
    <x v="0"/>
    <x v="1"/>
    <s v="FS"/>
    <x v="0"/>
    <m/>
    <m/>
    <m/>
  </r>
  <r>
    <n v="1262"/>
    <s v="SP"/>
    <x v="4"/>
    <x v="20"/>
    <x v="24"/>
    <s v="SERVIÇO"/>
    <x v="2048"/>
    <x v="20"/>
    <n v="21824.07"/>
    <n v="20481.89"/>
    <x v="316"/>
    <x v="59"/>
    <x v="244"/>
    <x v="0"/>
    <m/>
    <x v="0"/>
    <x v="1"/>
    <s v="FS"/>
    <x v="0"/>
    <m/>
    <m/>
    <m/>
  </r>
  <r>
    <n v="1262"/>
    <s v="SP"/>
    <x v="4"/>
    <x v="20"/>
    <x v="24"/>
    <s v="SERVIÇO"/>
    <x v="2049"/>
    <x v="20"/>
    <n v="34796.81"/>
    <n v="32656.81"/>
    <x v="316"/>
    <x v="59"/>
    <x v="244"/>
    <x v="0"/>
    <m/>
    <x v="0"/>
    <x v="1"/>
    <s v="FS"/>
    <x v="0"/>
    <m/>
    <m/>
    <m/>
  </r>
  <r>
    <n v="1262"/>
    <s v="SP"/>
    <x v="4"/>
    <x v="20"/>
    <x v="24"/>
    <s v="SERVIÇO"/>
    <x v="2050"/>
    <x v="20"/>
    <n v="11646.17"/>
    <n v="10929.93"/>
    <x v="316"/>
    <x v="59"/>
    <x v="244"/>
    <x v="0"/>
    <m/>
    <x v="0"/>
    <x v="1"/>
    <s v="FS"/>
    <x v="0"/>
    <m/>
    <m/>
    <m/>
  </r>
  <r>
    <n v="1262"/>
    <s v="SP"/>
    <x v="4"/>
    <x v="20"/>
    <x v="24"/>
    <s v="SERVIÇO"/>
    <x v="2051"/>
    <x v="21"/>
    <n v="21559.25"/>
    <n v="20233.349999999999"/>
    <x v="309"/>
    <x v="62"/>
    <x v="277"/>
    <x v="0"/>
    <m/>
    <x v="0"/>
    <x v="1"/>
    <s v="FS"/>
    <x v="0"/>
    <m/>
    <m/>
    <m/>
  </r>
  <r>
    <n v="1262"/>
    <s v="SP"/>
    <x v="4"/>
    <x v="20"/>
    <x v="24"/>
    <s v="SERVIÇO"/>
    <x v="2052"/>
    <x v="21"/>
    <n v="28774.39"/>
    <n v="27004.76"/>
    <x v="309"/>
    <x v="62"/>
    <x v="277"/>
    <x v="0"/>
    <m/>
    <x v="0"/>
    <x v="1"/>
    <s v="FS"/>
    <x v="0"/>
    <m/>
    <m/>
    <m/>
  </r>
  <r>
    <n v="1269"/>
    <s v="SP"/>
    <x v="4"/>
    <x v="20"/>
    <x v="25"/>
    <s v="SERVIÇO"/>
    <x v="2053"/>
    <x v="21"/>
    <n v="218850.79"/>
    <n v="205391.47"/>
    <x v="309"/>
    <x v="62"/>
    <x v="277"/>
    <x v="0"/>
    <m/>
    <x v="0"/>
    <x v="0"/>
    <s v="FS"/>
    <x v="0"/>
    <m/>
    <m/>
    <m/>
  </r>
  <r>
    <n v="1262"/>
    <s v="SP"/>
    <x v="4"/>
    <x v="20"/>
    <x v="24"/>
    <s v="SERVIÇO"/>
    <x v="2054"/>
    <x v="21"/>
    <n v="17755.45"/>
    <n v="16663.490000000002"/>
    <x v="309"/>
    <x v="62"/>
    <x v="277"/>
    <x v="0"/>
    <m/>
    <x v="0"/>
    <x v="1"/>
    <s v="FS"/>
    <x v="0"/>
    <m/>
    <m/>
    <m/>
  </r>
  <r>
    <n v="1262"/>
    <s v="SP"/>
    <x v="4"/>
    <x v="20"/>
    <x v="24"/>
    <s v="SERVIÇO"/>
    <x v="2055"/>
    <x v="21"/>
    <n v="21064.28"/>
    <n v="19768.830000000002"/>
    <x v="309"/>
    <x v="62"/>
    <x v="277"/>
    <x v="0"/>
    <m/>
    <x v="0"/>
    <x v="1"/>
    <s v="FS"/>
    <x v="0"/>
    <m/>
    <m/>
    <m/>
  </r>
  <r>
    <n v="1262"/>
    <s v="SP"/>
    <x v="4"/>
    <x v="20"/>
    <x v="24"/>
    <s v="SERVIÇO"/>
    <x v="2056"/>
    <x v="22"/>
    <n v="17917.86"/>
    <n v="16815.91"/>
    <x v="347"/>
    <x v="63"/>
    <x v="228"/>
    <x v="0"/>
    <m/>
    <x v="0"/>
    <x v="1"/>
    <s v="FS"/>
    <x v="0"/>
    <m/>
    <m/>
    <m/>
  </r>
  <r>
    <n v="1262"/>
    <s v="SP"/>
    <x v="4"/>
    <x v="20"/>
    <x v="24"/>
    <s v="SERVIÇO"/>
    <x v="2057"/>
    <x v="22"/>
    <n v="20820.240000000002"/>
    <n v="19539.795989313192"/>
    <x v="347"/>
    <x v="63"/>
    <x v="228"/>
    <x v="0"/>
    <m/>
    <x v="0"/>
    <x v="1"/>
    <s v="FS"/>
    <x v="0"/>
    <m/>
    <m/>
    <m/>
  </r>
  <r>
    <n v="1262"/>
    <s v="SP"/>
    <x v="4"/>
    <x v="20"/>
    <x v="24"/>
    <s v="SERVIÇO"/>
    <x v="2058"/>
    <x v="22"/>
    <n v="33972"/>
    <n v="31882.723222640456"/>
    <x v="347"/>
    <x v="63"/>
    <x v="228"/>
    <x v="0"/>
    <m/>
    <x v="0"/>
    <x v="1"/>
    <s v="FS"/>
    <x v="0"/>
    <m/>
    <m/>
    <m/>
  </r>
  <r>
    <n v="1262"/>
    <s v="SP"/>
    <x v="4"/>
    <x v="20"/>
    <x v="24"/>
    <s v="SERVIÇO"/>
    <x v="2059"/>
    <x v="22"/>
    <n v="24921.119999999999"/>
    <n v="23388.472016902433"/>
    <x v="303"/>
    <x v="63"/>
    <x v="228"/>
    <x v="0"/>
    <m/>
    <x v="0"/>
    <x v="1"/>
    <s v="FS"/>
    <x v="0"/>
    <m/>
    <m/>
    <m/>
  </r>
  <r>
    <n v="1262"/>
    <s v="SP"/>
    <x v="4"/>
    <x v="20"/>
    <x v="24"/>
    <s v="SERVIÇO"/>
    <x v="2060"/>
    <x v="23"/>
    <n v="32379.8"/>
    <n v="30388.44"/>
    <x v="306"/>
    <x v="64"/>
    <x v="269"/>
    <x v="0"/>
    <m/>
    <x v="0"/>
    <x v="1"/>
    <s v="FS"/>
    <x v="0"/>
    <m/>
    <m/>
    <m/>
  </r>
  <r>
    <n v="1262"/>
    <s v="SP"/>
    <x v="4"/>
    <x v="20"/>
    <x v="24"/>
    <s v="SERVIÇO"/>
    <x v="2061"/>
    <x v="23"/>
    <n v="34542.080000000002"/>
    <n v="32417.74"/>
    <x v="306"/>
    <x v="64"/>
    <x v="269"/>
    <x v="0"/>
    <m/>
    <x v="0"/>
    <x v="1"/>
    <s v="FS"/>
    <x v="0"/>
    <m/>
    <m/>
    <m/>
  </r>
  <r>
    <n v="1262"/>
    <s v="SP"/>
    <x v="4"/>
    <x v="20"/>
    <x v="24"/>
    <s v="SERVIÇO"/>
    <x v="2062"/>
    <x v="23"/>
    <n v="24375.23"/>
    <n v="22876.15"/>
    <x v="306"/>
    <x v="64"/>
    <x v="269"/>
    <x v="0"/>
    <m/>
    <x v="0"/>
    <x v="1"/>
    <s v="FS"/>
    <x v="0"/>
    <m/>
    <m/>
    <m/>
  </r>
  <r>
    <n v="1262"/>
    <s v="SP"/>
    <x v="4"/>
    <x v="20"/>
    <x v="24"/>
    <s v="SERVIÇO"/>
    <x v="2063"/>
    <x v="23"/>
    <n v="15863.19"/>
    <n v="14887.6"/>
    <x v="306"/>
    <x v="64"/>
    <x v="269"/>
    <x v="0"/>
    <m/>
    <x v="0"/>
    <x v="1"/>
    <s v="FS"/>
    <x v="0"/>
    <m/>
    <m/>
    <m/>
  </r>
  <r>
    <n v="1262"/>
    <s v="SP"/>
    <x v="4"/>
    <x v="20"/>
    <x v="24"/>
    <s v="SERVIÇO"/>
    <x v="582"/>
    <x v="24"/>
    <n v="91429"/>
    <m/>
    <x v="192"/>
    <x v="77"/>
    <x v="128"/>
    <x v="1"/>
    <m/>
    <x v="0"/>
    <x v="1"/>
    <s v="FS"/>
    <x v="0"/>
    <m/>
    <m/>
    <m/>
  </r>
  <r>
    <n v="1269"/>
    <s v="SP"/>
    <x v="4"/>
    <x v="20"/>
    <x v="25"/>
    <s v="SERVIÇO"/>
    <x v="2064"/>
    <x v="17"/>
    <n v="256578.23"/>
    <n v="240798.67"/>
    <x v="246"/>
    <x v="54"/>
    <x v="162"/>
    <x v="0"/>
    <n v="0"/>
    <x v="0"/>
    <x v="0"/>
    <s v="FS"/>
    <x v="0"/>
    <m/>
    <m/>
    <m/>
  </r>
  <r>
    <n v="1269"/>
    <s v="SP"/>
    <x v="4"/>
    <x v="20"/>
    <x v="25"/>
    <s v="SERVIÇO"/>
    <x v="2065"/>
    <x v="17"/>
    <n v="10876.23"/>
    <n v="10207.34"/>
    <x v="246"/>
    <x v="54"/>
    <x v="162"/>
    <x v="0"/>
    <n v="0"/>
    <x v="0"/>
    <x v="0"/>
    <s v="FS"/>
    <x v="0"/>
    <m/>
    <m/>
    <m/>
  </r>
  <r>
    <n v="1269"/>
    <s v="SP"/>
    <x v="4"/>
    <x v="20"/>
    <x v="25"/>
    <s v="SERVIÇO"/>
    <x v="2066"/>
    <x v="17"/>
    <n v="6655.99"/>
    <n v="6246.65"/>
    <x v="246"/>
    <x v="54"/>
    <x v="162"/>
    <x v="0"/>
    <n v="0"/>
    <x v="0"/>
    <x v="0"/>
    <s v="FS"/>
    <x v="0"/>
    <m/>
    <m/>
    <m/>
  </r>
  <r>
    <n v="1269"/>
    <s v="SP"/>
    <x v="4"/>
    <x v="20"/>
    <x v="25"/>
    <s v="SERVIÇO"/>
    <x v="2067"/>
    <x v="17"/>
    <n v="30699.4"/>
    <n v="28811.39"/>
    <x v="246"/>
    <x v="54"/>
    <x v="162"/>
    <x v="0"/>
    <n v="0"/>
    <x v="0"/>
    <x v="0"/>
    <s v="FS"/>
    <x v="0"/>
    <m/>
    <m/>
    <m/>
  </r>
  <r>
    <n v="1269"/>
    <s v="SP"/>
    <x v="4"/>
    <x v="20"/>
    <x v="25"/>
    <s v="SERVIÇO"/>
    <x v="2068"/>
    <x v="19"/>
    <n v="30699.4"/>
    <n v="28811.39"/>
    <x v="291"/>
    <x v="58"/>
    <x v="209"/>
    <x v="0"/>
    <m/>
    <x v="0"/>
    <x v="0"/>
    <s v="FS"/>
    <x v="0"/>
    <m/>
    <m/>
    <m/>
  </r>
  <r>
    <n v="1269"/>
    <s v="SP"/>
    <x v="4"/>
    <x v="20"/>
    <x v="25"/>
    <s v="SERVIÇO"/>
    <x v="2069"/>
    <x v="19"/>
    <n v="218850.79"/>
    <n v="205391.47"/>
    <x v="291"/>
    <x v="58"/>
    <x v="209"/>
    <x v="0"/>
    <m/>
    <x v="0"/>
    <x v="0"/>
    <s v="FS"/>
    <x v="0"/>
    <m/>
    <m/>
    <m/>
  </r>
  <r>
    <n v="1269"/>
    <s v="SP"/>
    <x v="4"/>
    <x v="20"/>
    <x v="25"/>
    <s v="SERVIÇO"/>
    <x v="2070"/>
    <x v="19"/>
    <n v="9447.16"/>
    <n v="8866.16"/>
    <x v="291"/>
    <x v="58"/>
    <x v="209"/>
    <x v="0"/>
    <m/>
    <x v="0"/>
    <x v="0"/>
    <s v="FS"/>
    <x v="0"/>
    <m/>
    <m/>
    <m/>
  </r>
  <r>
    <n v="1269"/>
    <s v="SP"/>
    <x v="4"/>
    <x v="20"/>
    <x v="25"/>
    <s v="SERVIÇO"/>
    <x v="2071"/>
    <x v="19"/>
    <n v="6655.99"/>
    <n v="6246.65"/>
    <x v="291"/>
    <x v="58"/>
    <x v="209"/>
    <x v="0"/>
    <m/>
    <x v="0"/>
    <x v="0"/>
    <s v="FS"/>
    <x v="0"/>
    <m/>
    <m/>
    <m/>
  </r>
  <r>
    <n v="1269"/>
    <s v="SP"/>
    <x v="4"/>
    <x v="20"/>
    <x v="25"/>
    <s v="SERVIÇO"/>
    <x v="2072"/>
    <x v="20"/>
    <n v="218850.79"/>
    <n v="205391.47"/>
    <x v="316"/>
    <x v="59"/>
    <x v="244"/>
    <x v="0"/>
    <m/>
    <x v="0"/>
    <x v="0"/>
    <s v="FS"/>
    <x v="0"/>
    <m/>
    <m/>
    <m/>
  </r>
  <r>
    <n v="1269"/>
    <s v="SP"/>
    <x v="4"/>
    <x v="20"/>
    <x v="25"/>
    <s v="SERVIÇO"/>
    <x v="2073"/>
    <x v="20"/>
    <n v="9447.16"/>
    <n v="8866.16"/>
    <x v="316"/>
    <x v="59"/>
    <x v="244"/>
    <x v="0"/>
    <m/>
    <x v="0"/>
    <x v="0"/>
    <s v="FS"/>
    <x v="0"/>
    <m/>
    <m/>
    <m/>
  </r>
  <r>
    <n v="1269"/>
    <s v="SP"/>
    <x v="4"/>
    <x v="20"/>
    <x v="25"/>
    <s v="SERVIÇO"/>
    <x v="2074"/>
    <x v="20"/>
    <n v="6655.99"/>
    <n v="6246.65"/>
    <x v="316"/>
    <x v="59"/>
    <x v="244"/>
    <x v="0"/>
    <m/>
    <x v="0"/>
    <x v="0"/>
    <s v="FS"/>
    <x v="0"/>
    <m/>
    <m/>
    <m/>
  </r>
  <r>
    <n v="1269"/>
    <s v="SP"/>
    <x v="4"/>
    <x v="20"/>
    <x v="25"/>
    <s v="SERVIÇO"/>
    <x v="2075"/>
    <x v="20"/>
    <n v="30699.4"/>
    <n v="28811.39"/>
    <x v="316"/>
    <x v="59"/>
    <x v="244"/>
    <x v="0"/>
    <m/>
    <x v="0"/>
    <x v="0"/>
    <s v="FS"/>
    <x v="0"/>
    <m/>
    <m/>
    <m/>
  </r>
  <r>
    <n v="1269"/>
    <s v="SP"/>
    <x v="4"/>
    <x v="20"/>
    <x v="25"/>
    <s v="SERVIÇO"/>
    <x v="2076"/>
    <x v="21"/>
    <n v="6655.99"/>
    <n v="6246.65"/>
    <x v="309"/>
    <x v="62"/>
    <x v="277"/>
    <x v="0"/>
    <m/>
    <x v="0"/>
    <x v="0"/>
    <s v="FS"/>
    <x v="0"/>
    <m/>
    <m/>
    <m/>
  </r>
  <r>
    <n v="1269"/>
    <s v="SP"/>
    <x v="4"/>
    <x v="20"/>
    <x v="25"/>
    <s v="SERVIÇO"/>
    <x v="2077"/>
    <x v="21"/>
    <n v="9447.16"/>
    <n v="8866.16"/>
    <x v="309"/>
    <x v="72"/>
    <x v="264"/>
    <x v="0"/>
    <m/>
    <x v="0"/>
    <x v="0"/>
    <s v="FS"/>
    <x v="0"/>
    <m/>
    <m/>
    <m/>
  </r>
  <r>
    <n v="1269"/>
    <s v="SP"/>
    <x v="4"/>
    <x v="20"/>
    <x v="25"/>
    <s v="SERVIÇO"/>
    <x v="2078"/>
    <x v="21"/>
    <n v="30699.4"/>
    <n v="28811.39"/>
    <x v="309"/>
    <x v="62"/>
    <x v="277"/>
    <x v="0"/>
    <m/>
    <x v="0"/>
    <x v="0"/>
    <s v="FS"/>
    <x v="0"/>
    <m/>
    <m/>
    <m/>
  </r>
  <r>
    <n v="1269"/>
    <s v="SP"/>
    <x v="4"/>
    <x v="20"/>
    <x v="25"/>
    <s v="SERVIÇO"/>
    <x v="2079"/>
    <x v="22"/>
    <n v="218850.79"/>
    <n v="205391.47429136376"/>
    <x v="347"/>
    <x v="63"/>
    <x v="228"/>
    <x v="0"/>
    <m/>
    <x v="0"/>
    <x v="0"/>
    <s v="FS"/>
    <x v="0"/>
    <m/>
    <m/>
    <m/>
  </r>
  <r>
    <n v="1269"/>
    <s v="SP"/>
    <x v="4"/>
    <x v="20"/>
    <x v="25"/>
    <s v="SERVIÇO"/>
    <x v="2080"/>
    <x v="22"/>
    <n v="9447.16"/>
    <n v="8866.16"/>
    <x v="303"/>
    <x v="63"/>
    <x v="228"/>
    <x v="0"/>
    <m/>
    <x v="0"/>
    <x v="0"/>
    <s v="FS"/>
    <x v="0"/>
    <m/>
    <m/>
    <m/>
  </r>
  <r>
    <n v="1269"/>
    <s v="SP"/>
    <x v="4"/>
    <x v="20"/>
    <x v="25"/>
    <s v="SERVIÇO"/>
    <x v="2081"/>
    <x v="22"/>
    <n v="6655.99"/>
    <n v="6246.65"/>
    <x v="347"/>
    <x v="63"/>
    <x v="228"/>
    <x v="0"/>
    <m/>
    <x v="0"/>
    <x v="0"/>
    <s v="FS"/>
    <x v="0"/>
    <m/>
    <m/>
    <m/>
  </r>
  <r>
    <n v="1269"/>
    <s v="SP"/>
    <x v="4"/>
    <x v="20"/>
    <x v="25"/>
    <s v="SERVIÇO"/>
    <x v="2082"/>
    <x v="22"/>
    <n v="30699.4"/>
    <n v="28811.388004860721"/>
    <x v="303"/>
    <x v="63"/>
    <x v="228"/>
    <x v="0"/>
    <m/>
    <x v="0"/>
    <x v="0"/>
    <s v="FS"/>
    <x v="0"/>
    <m/>
    <m/>
    <m/>
  </r>
  <r>
    <n v="1269"/>
    <s v="SP"/>
    <x v="4"/>
    <x v="20"/>
    <x v="25"/>
    <s v="SERVIÇO"/>
    <x v="2083"/>
    <x v="23"/>
    <n v="218850.79"/>
    <n v="205391.47"/>
    <x v="306"/>
    <x v="64"/>
    <x v="269"/>
    <x v="0"/>
    <m/>
    <x v="0"/>
    <x v="0"/>
    <s v="FS"/>
    <x v="0"/>
    <m/>
    <m/>
    <m/>
  </r>
  <r>
    <n v="1269"/>
    <s v="SP"/>
    <x v="4"/>
    <x v="20"/>
    <x v="25"/>
    <s v="SERVIÇO"/>
    <x v="2084"/>
    <x v="23"/>
    <n v="30699.4"/>
    <n v="28811.39"/>
    <x v="306"/>
    <x v="64"/>
    <x v="269"/>
    <x v="0"/>
    <m/>
    <x v="0"/>
    <x v="0"/>
    <s v="FS"/>
    <x v="0"/>
    <m/>
    <m/>
    <m/>
  </r>
  <r>
    <n v="1269"/>
    <s v="SP"/>
    <x v="4"/>
    <x v="20"/>
    <x v="25"/>
    <s v="SERVIÇO"/>
    <x v="2085"/>
    <x v="23"/>
    <n v="9447.16"/>
    <n v="8866.16"/>
    <x v="306"/>
    <x v="64"/>
    <x v="269"/>
    <x v="0"/>
    <m/>
    <x v="0"/>
    <x v="0"/>
    <s v="FS"/>
    <x v="0"/>
    <m/>
    <m/>
    <m/>
  </r>
  <r>
    <n v="1269"/>
    <s v="SP"/>
    <x v="4"/>
    <x v="20"/>
    <x v="25"/>
    <s v="SERVIÇO"/>
    <x v="2086"/>
    <x v="23"/>
    <n v="6655.99"/>
    <n v="6246.65"/>
    <x v="306"/>
    <x v="64"/>
    <x v="269"/>
    <x v="0"/>
    <m/>
    <x v="0"/>
    <x v="0"/>
    <s v="FS"/>
    <x v="0"/>
    <m/>
    <m/>
    <m/>
  </r>
  <r>
    <n v="1269"/>
    <s v="SP"/>
    <x v="4"/>
    <x v="20"/>
    <x v="25"/>
    <s v="SERVIÇO"/>
    <x v="582"/>
    <x v="24"/>
    <n v="275100"/>
    <m/>
    <x v="192"/>
    <x v="77"/>
    <x v="128"/>
    <x v="1"/>
    <m/>
    <x v="0"/>
    <x v="0"/>
    <s v="FS"/>
    <x v="0"/>
    <m/>
    <m/>
    <m/>
  </r>
  <r>
    <n v="1400"/>
    <s v="SP"/>
    <x v="7"/>
    <x v="21"/>
    <x v="26"/>
    <s v="SERVIÇO"/>
    <x v="2087"/>
    <x v="19"/>
    <n v="785320.39"/>
    <n v="709536.96"/>
    <x v="330"/>
    <x v="74"/>
    <x v="260"/>
    <x v="0"/>
    <m/>
    <x v="0"/>
    <x v="1"/>
    <s v="UT"/>
    <x v="2"/>
    <m/>
    <m/>
    <m/>
  </r>
  <r>
    <n v="1400"/>
    <s v="SP"/>
    <x v="7"/>
    <x v="21"/>
    <x v="26"/>
    <s v="SERVIÇO"/>
    <x v="2088"/>
    <x v="30"/>
    <n v="753922.7"/>
    <n v="681169.15"/>
    <x v="262"/>
    <x v="71"/>
    <x v="261"/>
    <x v="0"/>
    <m/>
    <x v="0"/>
    <x v="1"/>
    <s v="UT"/>
    <x v="2"/>
    <m/>
    <m/>
    <m/>
  </r>
  <r>
    <n v="1400"/>
    <s v="SP"/>
    <x v="7"/>
    <x v="21"/>
    <x v="26"/>
    <s v="SERVIÇO"/>
    <x v="2089"/>
    <x v="21"/>
    <n v="712772.04"/>
    <n v="643989.53"/>
    <x v="189"/>
    <x v="60"/>
    <x v="258"/>
    <x v="0"/>
    <m/>
    <x v="0"/>
    <x v="1"/>
    <s v="UT"/>
    <x v="2"/>
    <m/>
    <m/>
    <m/>
  </r>
  <r>
    <n v="1400"/>
    <s v="SP"/>
    <x v="7"/>
    <x v="21"/>
    <x v="26"/>
    <s v="SERVIÇO"/>
    <x v="582"/>
    <x v="22"/>
    <n v="650000"/>
    <m/>
    <x v="189"/>
    <x v="73"/>
    <x v="128"/>
    <x v="1"/>
    <m/>
    <x v="0"/>
    <x v="1"/>
    <s v="UT"/>
    <x v="2"/>
    <m/>
    <m/>
    <m/>
  </r>
  <r>
    <n v="1400"/>
    <s v="SP"/>
    <x v="7"/>
    <x v="21"/>
    <x v="26"/>
    <s v="SERVIÇO"/>
    <x v="582"/>
    <x v="23"/>
    <n v="480000"/>
    <m/>
    <x v="189"/>
    <x v="65"/>
    <x v="128"/>
    <x v="1"/>
    <m/>
    <x v="0"/>
    <x v="1"/>
    <s v="UT"/>
    <x v="2"/>
    <m/>
    <m/>
    <m/>
  </r>
  <r>
    <n v="1400"/>
    <s v="SP"/>
    <x v="7"/>
    <x v="21"/>
    <x v="26"/>
    <s v="SERVIÇO"/>
    <x v="582"/>
    <x v="24"/>
    <n v="480000"/>
    <m/>
    <x v="189"/>
    <x v="65"/>
    <x v="128"/>
    <x v="1"/>
    <m/>
    <x v="0"/>
    <x v="1"/>
    <s v="UT"/>
    <x v="2"/>
    <m/>
    <m/>
    <m/>
  </r>
  <r>
    <n v="1247"/>
    <s v="MATRIZ"/>
    <x v="2"/>
    <x v="29"/>
    <x v="45"/>
    <s v="SERVIÇO"/>
    <x v="2090"/>
    <x v="17"/>
    <n v="38395.360000000001"/>
    <n v="34440.629999999997"/>
    <x v="224"/>
    <x v="16"/>
    <x v="232"/>
    <x v="0"/>
    <n v="0"/>
    <x v="0"/>
    <x v="0"/>
    <s v="PS"/>
    <x v="1"/>
    <m/>
    <m/>
    <m/>
  </r>
  <r>
    <n v="1298"/>
    <s v="HUB"/>
    <x v="8"/>
    <x v="22"/>
    <x v="29"/>
    <s v="SERVIÇO"/>
    <x v="2091"/>
    <x v="19"/>
    <n v="294000.96000000002"/>
    <n v="275919.90000000002"/>
    <x v="261"/>
    <x v="81"/>
    <x v="292"/>
    <x v="0"/>
    <n v="0"/>
    <x v="0"/>
    <x v="0"/>
    <s v="PS"/>
    <x v="0"/>
    <m/>
    <m/>
    <m/>
  </r>
  <r>
    <n v="1298"/>
    <s v="HUB"/>
    <x v="8"/>
    <x v="22"/>
    <x v="29"/>
    <s v="SERVIÇO"/>
    <x v="2092"/>
    <x v="20"/>
    <n v="294000.96000000002"/>
    <n v="274449.90000000002"/>
    <x v="331"/>
    <x v="68"/>
    <x v="208"/>
    <x v="0"/>
    <n v="0"/>
    <x v="0"/>
    <x v="0"/>
    <s v="PS"/>
    <x v="0"/>
    <m/>
    <m/>
    <m/>
  </r>
  <r>
    <n v="1298"/>
    <s v="HUB"/>
    <x v="8"/>
    <x v="22"/>
    <x v="29"/>
    <s v="SERVIÇO"/>
    <x v="2093"/>
    <x v="21"/>
    <n v="294000.96000000002"/>
    <n v="275919.90999999997"/>
    <x v="348"/>
    <x v="75"/>
    <x v="234"/>
    <x v="0"/>
    <m/>
    <x v="0"/>
    <x v="0"/>
    <s v="PS"/>
    <x v="0"/>
    <m/>
    <m/>
    <m/>
  </r>
  <r>
    <n v="1298"/>
    <s v="HUB"/>
    <x v="8"/>
    <x v="22"/>
    <x v="29"/>
    <s v="SERVIÇO"/>
    <x v="2094"/>
    <x v="22"/>
    <n v="294000.96000000002"/>
    <n v="275919.90999999997"/>
    <x v="275"/>
    <x v="78"/>
    <x v="297"/>
    <x v="0"/>
    <n v="0"/>
    <x v="0"/>
    <x v="0"/>
    <s v="PS"/>
    <x v="0"/>
    <m/>
    <m/>
    <m/>
  </r>
  <r>
    <n v="1298"/>
    <s v="HUB"/>
    <x v="8"/>
    <x v="22"/>
    <x v="29"/>
    <s v="SERVIÇO"/>
    <x v="2095"/>
    <x v="23"/>
    <n v="294000.96000000002"/>
    <n v="275919.90999999997"/>
    <x v="305"/>
    <x v="84"/>
    <x v="313"/>
    <x v="0"/>
    <n v="0"/>
    <x v="0"/>
    <x v="0"/>
    <s v="PS"/>
    <x v="0"/>
    <m/>
    <m/>
    <m/>
  </r>
  <r>
    <n v="1298"/>
    <s v="HUB"/>
    <x v="8"/>
    <x v="22"/>
    <x v="29"/>
    <s v="SERVIÇO"/>
    <x v="582"/>
    <x v="24"/>
    <n v="372170"/>
    <n v="275919.90000000002"/>
    <x v="192"/>
    <x v="65"/>
    <x v="128"/>
    <x v="1"/>
    <n v="0"/>
    <x v="0"/>
    <x v="0"/>
    <s v="PS"/>
    <x v="0"/>
    <m/>
    <m/>
    <m/>
  </r>
  <r>
    <n v="1299"/>
    <s v="HUB"/>
    <x v="6"/>
    <x v="23"/>
    <x v="33"/>
    <s v="SERVIÇO"/>
    <x v="2096"/>
    <x v="29"/>
    <n v="594570.23999999999"/>
    <n v="554139.47"/>
    <x v="252"/>
    <x v="63"/>
    <x v="194"/>
    <x v="0"/>
    <m/>
    <x v="0"/>
    <x v="1"/>
    <s v="PS"/>
    <x v="3"/>
    <m/>
    <m/>
    <m/>
  </r>
  <r>
    <n v="1271"/>
    <s v="HUB"/>
    <x v="6"/>
    <x v="23"/>
    <x v="32"/>
    <s v="SERVIÇO"/>
    <x v="2097"/>
    <x v="12"/>
    <n v="255597.54"/>
    <n v="238216.91"/>
    <x v="171"/>
    <x v="16"/>
    <x v="238"/>
    <x v="0"/>
    <m/>
    <x v="0"/>
    <x v="0"/>
    <s v="PS"/>
    <x v="3"/>
    <m/>
    <m/>
    <m/>
  </r>
  <r>
    <n v="1271"/>
    <s v="HUB"/>
    <x v="6"/>
    <x v="23"/>
    <x v="32"/>
    <s v="SERVIÇO"/>
    <x v="2098"/>
    <x v="17"/>
    <n v="255597.54"/>
    <n v="238216.91"/>
    <x v="274"/>
    <x v="52"/>
    <x v="262"/>
    <x v="0"/>
    <n v="0"/>
    <x v="0"/>
    <x v="0"/>
    <s v="PS"/>
    <x v="3"/>
    <m/>
    <m/>
    <m/>
  </r>
  <r>
    <n v="1271"/>
    <s v="HUB"/>
    <x v="6"/>
    <x v="23"/>
    <x v="32"/>
    <s v="SERVIÇO"/>
    <x v="2099"/>
    <x v="30"/>
    <n v="255597.54"/>
    <n v="238216.91"/>
    <x v="249"/>
    <x v="71"/>
    <x v="261"/>
    <x v="0"/>
    <n v="0"/>
    <x v="0"/>
    <x v="0"/>
    <s v="PS"/>
    <x v="3"/>
    <m/>
    <m/>
    <m/>
  </r>
  <r>
    <n v="1271"/>
    <s v="HUB"/>
    <x v="6"/>
    <x v="23"/>
    <x v="32"/>
    <s v="SERVIÇO"/>
    <x v="2100"/>
    <x v="29"/>
    <n v="255597.54"/>
    <n v="238216.91"/>
    <x v="279"/>
    <x v="60"/>
    <x v="245"/>
    <x v="0"/>
    <m/>
    <x v="0"/>
    <x v="0"/>
    <s v="PS"/>
    <x v="3"/>
    <m/>
    <m/>
    <m/>
  </r>
  <r>
    <n v="1271"/>
    <s v="HUB"/>
    <x v="6"/>
    <x v="23"/>
    <x v="32"/>
    <s v="SERVIÇO"/>
    <x v="2101"/>
    <x v="21"/>
    <n v="255597.54"/>
    <n v="238216.91"/>
    <x v="278"/>
    <x v="75"/>
    <x v="234"/>
    <x v="0"/>
    <m/>
    <x v="0"/>
    <x v="0"/>
    <s v="PS"/>
    <x v="3"/>
    <m/>
    <m/>
    <m/>
  </r>
  <r>
    <n v="1271"/>
    <s v="HUB"/>
    <x v="6"/>
    <x v="23"/>
    <x v="32"/>
    <s v="SERVIÇO"/>
    <x v="582"/>
    <x v="24"/>
    <n v="268377"/>
    <m/>
    <x v="192"/>
    <x v="65"/>
    <x v="128"/>
    <x v="1"/>
    <m/>
    <x v="0"/>
    <x v="0"/>
    <s v="PS"/>
    <x v="3"/>
    <m/>
    <m/>
    <m/>
  </r>
  <r>
    <n v="1299"/>
    <s v="HUB"/>
    <x v="6"/>
    <x v="23"/>
    <x v="33"/>
    <s v="SERVIÇO"/>
    <x v="2102"/>
    <x v="21"/>
    <n v="1020096"/>
    <n v="950729.47"/>
    <x v="237"/>
    <x v="76"/>
    <x v="314"/>
    <x v="0"/>
    <m/>
    <x v="0"/>
    <x v="1"/>
    <s v="PS"/>
    <x v="3"/>
    <m/>
    <m/>
    <m/>
  </r>
  <r>
    <n v="1299"/>
    <s v="HUB"/>
    <x v="6"/>
    <x v="23"/>
    <x v="33"/>
    <s v="SERVIÇO"/>
    <x v="2103"/>
    <x v="22"/>
    <n v="1020096"/>
    <n v="950729.47"/>
    <x v="342"/>
    <x v="64"/>
    <x v="306"/>
    <x v="0"/>
    <m/>
    <x v="0"/>
    <x v="1"/>
    <s v="PS"/>
    <x v="3"/>
    <m/>
    <m/>
    <m/>
  </r>
  <r>
    <n v="1271"/>
    <s v="HUB"/>
    <x v="6"/>
    <x v="23"/>
    <x v="32"/>
    <s v="SERVIÇO"/>
    <x v="582"/>
    <x v="35"/>
    <n v="255597.46"/>
    <m/>
    <x v="228"/>
    <x v="42"/>
    <x v="128"/>
    <x v="1"/>
    <m/>
    <x v="0"/>
    <x v="0"/>
    <s v="PS"/>
    <x v="3"/>
    <m/>
    <m/>
    <m/>
  </r>
  <r>
    <n v="1394"/>
    <s v="MATRIZ"/>
    <x v="5"/>
    <x v="7"/>
    <x v="7"/>
    <s v="SERVIÇO"/>
    <x v="2104"/>
    <x v="17"/>
    <n v="23763.1"/>
    <n v="22147.21"/>
    <x v="284"/>
    <x v="16"/>
    <x v="161"/>
    <x v="0"/>
    <n v="0"/>
    <x v="0"/>
    <x v="0"/>
    <s v="PS"/>
    <x v="1"/>
    <m/>
    <m/>
    <m/>
  </r>
  <r>
    <n v="1394"/>
    <s v="MATRIZ"/>
    <x v="5"/>
    <x v="7"/>
    <x v="7"/>
    <s v="SERVIÇO"/>
    <x v="2105"/>
    <x v="17"/>
    <n v="79216.45"/>
    <n v="73829.73"/>
    <x v="284"/>
    <x v="16"/>
    <x v="238"/>
    <x v="0"/>
    <n v="0"/>
    <x v="0"/>
    <x v="0"/>
    <s v="PS"/>
    <x v="1"/>
    <m/>
    <m/>
    <m/>
  </r>
  <r>
    <n v="1394"/>
    <s v="MATRIZ"/>
    <x v="5"/>
    <x v="7"/>
    <x v="7"/>
    <s v="SERVIÇO"/>
    <x v="2106"/>
    <x v="12"/>
    <n v="62140.29"/>
    <n v="57914.75"/>
    <x v="146"/>
    <x v="8"/>
    <x v="256"/>
    <x v="0"/>
    <n v="0"/>
    <x v="0"/>
    <x v="0"/>
    <s v="PS"/>
    <x v="1"/>
    <m/>
    <m/>
    <m/>
  </r>
  <r>
    <n v="1394"/>
    <s v="MATRIZ"/>
    <x v="5"/>
    <x v="7"/>
    <x v="7"/>
    <s v="SERVIÇO"/>
    <x v="2107"/>
    <x v="12"/>
    <n v="4827.05"/>
    <n v="4498.8100000000004"/>
    <x v="146"/>
    <x v="52"/>
    <x v="196"/>
    <x v="0"/>
    <n v="0"/>
    <x v="0"/>
    <x v="0"/>
    <s v="PS"/>
    <x v="1"/>
    <m/>
    <m/>
    <m/>
  </r>
  <r>
    <n v="1394"/>
    <s v="MATRIZ"/>
    <x v="5"/>
    <x v="7"/>
    <x v="7"/>
    <s v="SERVIÇO"/>
    <x v="2108"/>
    <x v="17"/>
    <n v="123531.76"/>
    <n v="115131.6"/>
    <x v="286"/>
    <x v="54"/>
    <x v="231"/>
    <x v="0"/>
    <n v="0"/>
    <x v="0"/>
    <x v="0"/>
    <s v="PS"/>
    <x v="1"/>
    <m/>
    <m/>
    <m/>
  </r>
  <r>
    <n v="1394"/>
    <s v="MATRIZ"/>
    <x v="5"/>
    <x v="7"/>
    <x v="7"/>
    <s v="SERVIÇO"/>
    <x v="2109"/>
    <x v="17"/>
    <n v="94087.62"/>
    <n v="87689.66"/>
    <x v="234"/>
    <x v="54"/>
    <x v="231"/>
    <x v="0"/>
    <n v="0"/>
    <x v="0"/>
    <x v="0"/>
    <s v="PS"/>
    <x v="1"/>
    <m/>
    <m/>
    <m/>
  </r>
  <r>
    <n v="1394"/>
    <s v="MATRIZ"/>
    <x v="5"/>
    <x v="7"/>
    <x v="7"/>
    <s v="SERVIÇO"/>
    <x v="2110"/>
    <x v="12"/>
    <n v="35604.35"/>
    <n v="33183.25"/>
    <x v="246"/>
    <x v="54"/>
    <x v="255"/>
    <x v="0"/>
    <n v="0"/>
    <x v="0"/>
    <x v="0"/>
    <s v="PS"/>
    <x v="1"/>
    <m/>
    <m/>
    <m/>
  </r>
  <r>
    <n v="1394"/>
    <s v="MATRIZ"/>
    <x v="5"/>
    <x v="7"/>
    <x v="7"/>
    <s v="SERVIÇO"/>
    <x v="2111"/>
    <x v="17"/>
    <n v="56251.33"/>
    <n v="52426.239999999998"/>
    <x v="315"/>
    <x v="54"/>
    <x v="255"/>
    <x v="0"/>
    <n v="0"/>
    <x v="0"/>
    <x v="0"/>
    <s v="PS"/>
    <x v="1"/>
    <m/>
    <m/>
    <m/>
  </r>
  <r>
    <n v="1394"/>
    <s v="MATRIZ"/>
    <x v="5"/>
    <x v="7"/>
    <x v="7"/>
    <s v="SERVIÇO"/>
    <x v="2112"/>
    <x v="17"/>
    <n v="192811.59"/>
    <n v="179700.4"/>
    <x v="315"/>
    <x v="54"/>
    <x v="162"/>
    <x v="0"/>
    <n v="0"/>
    <x v="0"/>
    <x v="0"/>
    <s v="PS"/>
    <x v="1"/>
    <m/>
    <m/>
    <m/>
  </r>
  <r>
    <n v="1394"/>
    <s v="MATRIZ"/>
    <x v="5"/>
    <x v="7"/>
    <x v="7"/>
    <s v="SERVIÇO"/>
    <x v="2113"/>
    <x v="12"/>
    <n v="61430.32"/>
    <n v="57253.05"/>
    <x v="258"/>
    <x v="54"/>
    <x v="255"/>
    <x v="0"/>
    <n v="0"/>
    <x v="0"/>
    <x v="0"/>
    <s v="PS"/>
    <x v="1"/>
    <m/>
    <m/>
    <m/>
  </r>
  <r>
    <n v="1394"/>
    <s v="MATRIZ"/>
    <x v="5"/>
    <x v="7"/>
    <x v="7"/>
    <s v="SERVIÇO"/>
    <x v="2114"/>
    <x v="12"/>
    <n v="246181.25"/>
    <n v="229440.92"/>
    <x v="258"/>
    <x v="54"/>
    <x v="162"/>
    <x v="0"/>
    <n v="0"/>
    <x v="0"/>
    <x v="0"/>
    <s v="PS"/>
    <x v="1"/>
    <m/>
    <m/>
    <m/>
  </r>
  <r>
    <n v="1394"/>
    <s v="MATRIZ"/>
    <x v="5"/>
    <x v="7"/>
    <x v="7"/>
    <s v="SERVIÇO"/>
    <x v="2115"/>
    <x v="17"/>
    <n v="313649.51"/>
    <n v="292321.34000000003"/>
    <x v="287"/>
    <x v="54"/>
    <x v="162"/>
    <x v="0"/>
    <n v="0"/>
    <x v="0"/>
    <x v="0"/>
    <s v="PS"/>
    <x v="1"/>
    <m/>
    <m/>
    <m/>
  </r>
  <r>
    <n v="1394"/>
    <s v="MATRIZ"/>
    <x v="5"/>
    <x v="7"/>
    <x v="7"/>
    <s v="SERVIÇO"/>
    <x v="2116"/>
    <x v="17"/>
    <n v="140971.81"/>
    <n v="131385.72"/>
    <x v="287"/>
    <x v="54"/>
    <x v="162"/>
    <x v="0"/>
    <n v="0"/>
    <x v="0"/>
    <x v="0"/>
    <s v="PS"/>
    <x v="1"/>
    <m/>
    <m/>
    <m/>
  </r>
  <r>
    <n v="1394"/>
    <s v="MATRIZ"/>
    <x v="5"/>
    <x v="7"/>
    <x v="7"/>
    <s v="SERVIÇO"/>
    <x v="2117"/>
    <x v="17"/>
    <n v="246181.25"/>
    <n v="229440.92"/>
    <x v="287"/>
    <x v="54"/>
    <x v="162"/>
    <x v="0"/>
    <n v="0"/>
    <x v="0"/>
    <x v="0"/>
    <s v="PS"/>
    <x v="1"/>
    <m/>
    <m/>
    <m/>
  </r>
  <r>
    <n v="1518"/>
    <s v="MATRIZ"/>
    <x v="5"/>
    <x v="7"/>
    <x v="67"/>
    <s v="SERVIÇO"/>
    <x v="2118"/>
    <x v="17"/>
    <n v="135321.62"/>
    <n v="126119.75"/>
    <x v="259"/>
    <x v="52"/>
    <x v="158"/>
    <x v="0"/>
    <m/>
    <x v="0"/>
    <x v="1"/>
    <s v="PS"/>
    <x v="1"/>
    <m/>
    <m/>
    <m/>
  </r>
  <r>
    <n v="1518"/>
    <s v="MATRIZ"/>
    <x v="5"/>
    <x v="7"/>
    <x v="67"/>
    <s v="SERVIÇO"/>
    <x v="2119"/>
    <x v="21"/>
    <n v="120639.66"/>
    <n v="112436.1612975366"/>
    <x v="301"/>
    <x v="60"/>
    <x v="245"/>
    <x v="0"/>
    <m/>
    <x v="0"/>
    <x v="1"/>
    <s v="PS"/>
    <x v="1"/>
    <m/>
    <m/>
    <m/>
  </r>
  <r>
    <n v="1518"/>
    <s v="MATRIZ"/>
    <x v="5"/>
    <x v="7"/>
    <x v="67"/>
    <s v="SERVIÇO"/>
    <x v="2120"/>
    <x v="22"/>
    <n v="71463.960000000006"/>
    <n v="66604.410720000014"/>
    <x v="190"/>
    <x v="45"/>
    <x v="281"/>
    <x v="0"/>
    <m/>
    <x v="0"/>
    <x v="1"/>
    <s v="PS"/>
    <x v="1"/>
    <m/>
    <m/>
    <m/>
  </r>
  <r>
    <n v="1299"/>
    <s v="HUB"/>
    <x v="6"/>
    <x v="23"/>
    <x v="33"/>
    <s v="SERVIÇO"/>
    <x v="582"/>
    <x v="23"/>
    <n v="1105415"/>
    <m/>
    <x v="192"/>
    <x v="73"/>
    <x v="128"/>
    <x v="1"/>
    <m/>
    <x v="0"/>
    <x v="1"/>
    <s v="PS"/>
    <x v="3"/>
    <m/>
    <m/>
    <m/>
  </r>
  <r>
    <n v="1518"/>
    <s v="MATRIZ"/>
    <x v="5"/>
    <x v="7"/>
    <x v="67"/>
    <s v="SERVIÇO"/>
    <x v="2121"/>
    <x v="23"/>
    <n v="122408.57"/>
    <n v="114084.78475385271"/>
    <x v="305"/>
    <x v="64"/>
    <x v="306"/>
    <x v="0"/>
    <m/>
    <x v="0"/>
    <x v="1"/>
    <s v="PS"/>
    <x v="1"/>
    <m/>
    <m/>
    <m/>
  </r>
  <r>
    <n v="1394"/>
    <s v="MATRIZ"/>
    <x v="5"/>
    <x v="7"/>
    <x v="7"/>
    <s v="SERVIÇO"/>
    <x v="582"/>
    <x v="35"/>
    <n v="122367"/>
    <m/>
    <x v="269"/>
    <x v="42"/>
    <x v="128"/>
    <x v="1"/>
    <m/>
    <x v="0"/>
    <x v="0"/>
    <s v="PS"/>
    <x v="1"/>
    <m/>
    <m/>
    <m/>
  </r>
  <r>
    <n v="1394"/>
    <s v="MATRIZ"/>
    <x v="5"/>
    <x v="7"/>
    <x v="7"/>
    <s v="SERVIÇO"/>
    <x v="2122"/>
    <x v="30"/>
    <n v="140971.81"/>
    <n v="131385.72"/>
    <x v="263"/>
    <x v="61"/>
    <x v="290"/>
    <x v="0"/>
    <m/>
    <x v="0"/>
    <x v="0"/>
    <s v="PS"/>
    <x v="1"/>
    <m/>
    <m/>
    <m/>
  </r>
  <r>
    <n v="1394"/>
    <s v="MATRIZ"/>
    <x v="5"/>
    <x v="7"/>
    <x v="7"/>
    <s v="SERVIÇO"/>
    <x v="2123"/>
    <x v="30"/>
    <n v="246181.25"/>
    <n v="229440.92"/>
    <x v="256"/>
    <x v="60"/>
    <x v="190"/>
    <x v="0"/>
    <m/>
    <x v="0"/>
    <x v="0"/>
    <s v="PS"/>
    <x v="1"/>
    <m/>
    <m/>
    <m/>
  </r>
  <r>
    <n v="1394"/>
    <s v="MATRIZ"/>
    <x v="5"/>
    <x v="7"/>
    <x v="7"/>
    <s v="SERVIÇO"/>
    <x v="2124"/>
    <x v="20"/>
    <n v="123531.76"/>
    <n v="115131.6"/>
    <x v="326"/>
    <x v="59"/>
    <x v="285"/>
    <x v="0"/>
    <m/>
    <x v="0"/>
    <x v="0"/>
    <s v="PS"/>
    <x v="1"/>
    <m/>
    <m/>
    <m/>
  </r>
  <r>
    <n v="1394"/>
    <s v="MATRIZ"/>
    <x v="5"/>
    <x v="7"/>
    <x v="7"/>
    <s v="SERVIÇO"/>
    <x v="2125"/>
    <x v="20"/>
    <n v="129307.32"/>
    <n v="120514.42"/>
    <x v="331"/>
    <x v="59"/>
    <x v="188"/>
    <x v="0"/>
    <m/>
    <x v="0"/>
    <x v="0"/>
    <s v="PS"/>
    <x v="1"/>
    <m/>
    <m/>
    <m/>
  </r>
  <r>
    <n v="1394"/>
    <s v="MATRIZ"/>
    <x v="5"/>
    <x v="7"/>
    <x v="7"/>
    <s v="SERVIÇO"/>
    <x v="2126"/>
    <x v="30"/>
    <n v="157664.21"/>
    <n v="146943.04999999999"/>
    <x v="318"/>
    <x v="71"/>
    <x v="257"/>
    <x v="0"/>
    <m/>
    <x v="0"/>
    <x v="0"/>
    <s v="PS"/>
    <x v="1"/>
    <m/>
    <m/>
    <m/>
  </r>
  <r>
    <n v="1394"/>
    <s v="MATRIZ"/>
    <x v="5"/>
    <x v="7"/>
    <x v="7"/>
    <s v="SERVIÇO"/>
    <x v="2127"/>
    <x v="30"/>
    <n v="313649.51"/>
    <n v="292321.34000000003"/>
    <x v="318"/>
    <x v="71"/>
    <x v="252"/>
    <x v="0"/>
    <m/>
    <x v="0"/>
    <x v="0"/>
    <s v="PS"/>
    <x v="1"/>
    <m/>
    <m/>
    <m/>
  </r>
  <r>
    <n v="1394"/>
    <s v="MATRIZ"/>
    <x v="5"/>
    <x v="7"/>
    <x v="7"/>
    <s v="SERVIÇO"/>
    <x v="2128"/>
    <x v="30"/>
    <n v="94087.62"/>
    <n v="87689.66"/>
    <x v="294"/>
    <x v="71"/>
    <x v="257"/>
    <x v="0"/>
    <m/>
    <x v="0"/>
    <x v="0"/>
    <s v="PS"/>
    <x v="1"/>
    <m/>
    <m/>
    <m/>
  </r>
  <r>
    <n v="1394"/>
    <s v="MATRIZ"/>
    <x v="5"/>
    <x v="7"/>
    <x v="7"/>
    <s v="SERVIÇO"/>
    <x v="2129"/>
    <x v="21"/>
    <n v="123531.76"/>
    <n v="115131.6"/>
    <x v="279"/>
    <x v="85"/>
    <x v="265"/>
    <x v="0"/>
    <m/>
    <x v="0"/>
    <x v="0"/>
    <s v="PS"/>
    <x v="1"/>
    <m/>
    <m/>
    <m/>
  </r>
  <r>
    <n v="1394"/>
    <s v="MATRIZ"/>
    <x v="5"/>
    <x v="7"/>
    <x v="7"/>
    <s v="SERVIÇO"/>
    <x v="2130"/>
    <x v="21"/>
    <n v="162330.73000000001"/>
    <n v="151292.24"/>
    <x v="267"/>
    <x v="61"/>
    <x v="315"/>
    <x v="0"/>
    <m/>
    <x v="0"/>
    <x v="0"/>
    <s v="PS"/>
    <x v="1"/>
    <m/>
    <m/>
    <m/>
  </r>
  <r>
    <n v="1394"/>
    <s v="MATRIZ"/>
    <x v="5"/>
    <x v="7"/>
    <x v="7"/>
    <s v="SERVIÇO"/>
    <x v="2131"/>
    <x v="21"/>
    <n v="313649.51"/>
    <n v="292321.34000000003"/>
    <x v="189"/>
    <x v="60"/>
    <x v="258"/>
    <x v="0"/>
    <m/>
    <x v="0"/>
    <x v="0"/>
    <s v="PS"/>
    <x v="1"/>
    <m/>
    <m/>
    <m/>
  </r>
  <r>
    <n v="1394"/>
    <s v="MATRIZ"/>
    <x v="5"/>
    <x v="7"/>
    <x v="7"/>
    <s v="SERVIÇO"/>
    <x v="2132"/>
    <x v="21"/>
    <n v="94087.62"/>
    <n v="87689.66"/>
    <x v="189"/>
    <x v="60"/>
    <x v="258"/>
    <x v="0"/>
    <m/>
    <x v="0"/>
    <x v="0"/>
    <s v="PS"/>
    <x v="1"/>
    <m/>
    <m/>
    <m/>
  </r>
  <r>
    <n v="1394"/>
    <s v="MATRIZ"/>
    <x v="5"/>
    <x v="7"/>
    <x v="7"/>
    <s v="SERVIÇO"/>
    <x v="2119"/>
    <x v="21"/>
    <n v="48821.919999999998"/>
    <n v="45502.028702463416"/>
    <x v="301"/>
    <x v="60"/>
    <x v="245"/>
    <x v="0"/>
    <m/>
    <x v="0"/>
    <x v="0"/>
    <s v="PS"/>
    <x v="1"/>
    <m/>
    <m/>
    <m/>
  </r>
  <r>
    <n v="1394"/>
    <s v="MATRIZ"/>
    <x v="5"/>
    <x v="7"/>
    <x v="7"/>
    <s v="SERVIÇO"/>
    <x v="2133"/>
    <x v="21"/>
    <n v="140971.81"/>
    <n v="131385.72"/>
    <x v="302"/>
    <x v="60"/>
    <x v="245"/>
    <x v="0"/>
    <m/>
    <x v="0"/>
    <x v="0"/>
    <s v="PS"/>
    <x v="1"/>
    <m/>
    <m/>
    <m/>
  </r>
  <r>
    <n v="1394"/>
    <s v="MATRIZ"/>
    <x v="5"/>
    <x v="7"/>
    <x v="7"/>
    <s v="SERVIÇO"/>
    <x v="2134"/>
    <x v="21"/>
    <n v="246181.25"/>
    <n v="229440.92"/>
    <x v="340"/>
    <x v="75"/>
    <x v="309"/>
    <x v="0"/>
    <m/>
    <x v="0"/>
    <x v="0"/>
    <s v="PS"/>
    <x v="1"/>
    <m/>
    <m/>
    <m/>
  </r>
  <r>
    <n v="1394"/>
    <s v="MATRIZ"/>
    <x v="5"/>
    <x v="7"/>
    <x v="7"/>
    <s v="SERVIÇO"/>
    <x v="2120"/>
    <x v="22"/>
    <n v="97290.05"/>
    <n v="90674.326600000015"/>
    <x v="190"/>
    <x v="45"/>
    <x v="281"/>
    <x v="0"/>
    <m/>
    <x v="0"/>
    <x v="0"/>
    <s v="PS"/>
    <x v="1"/>
    <m/>
    <m/>
    <m/>
  </r>
  <r>
    <n v="1394"/>
    <s v="MATRIZ"/>
    <x v="5"/>
    <x v="7"/>
    <x v="7"/>
    <s v="SERVIÇO"/>
    <x v="2135"/>
    <x v="22"/>
    <n v="313649.51"/>
    <n v="292321.34000000003"/>
    <x v="320"/>
    <x v="63"/>
    <x v="194"/>
    <x v="0"/>
    <m/>
    <x v="0"/>
    <x v="0"/>
    <s v="PS"/>
    <x v="1"/>
    <m/>
    <m/>
    <m/>
  </r>
  <r>
    <n v="1394"/>
    <s v="MATRIZ"/>
    <x v="5"/>
    <x v="7"/>
    <x v="7"/>
    <s v="SERVIÇO"/>
    <x v="2136"/>
    <x v="22"/>
    <n v="94087.62"/>
    <n v="87689.66"/>
    <x v="252"/>
    <x v="78"/>
    <x v="297"/>
    <x v="0"/>
    <m/>
    <x v="0"/>
    <x v="0"/>
    <s v="PS"/>
    <x v="1"/>
    <m/>
    <m/>
    <m/>
  </r>
  <r>
    <n v="1394"/>
    <s v="MATRIZ"/>
    <x v="5"/>
    <x v="7"/>
    <x v="7"/>
    <s v="SERVIÇO"/>
    <x v="2137"/>
    <x v="22"/>
    <n v="123531.76"/>
    <n v="115131.6"/>
    <x v="320"/>
    <x v="78"/>
    <x v="297"/>
    <x v="0"/>
    <m/>
    <x v="0"/>
    <x v="0"/>
    <s v="PS"/>
    <x v="1"/>
    <m/>
    <m/>
    <m/>
  </r>
  <r>
    <n v="1394"/>
    <s v="MATRIZ"/>
    <x v="5"/>
    <x v="7"/>
    <x v="7"/>
    <s v="SERVIÇO"/>
    <x v="2138"/>
    <x v="22"/>
    <n v="162600.49"/>
    <n v="151543.66"/>
    <x v="341"/>
    <x v="63"/>
    <x v="194"/>
    <x v="0"/>
    <m/>
    <x v="0"/>
    <x v="0"/>
    <s v="PS"/>
    <x v="1"/>
    <m/>
    <m/>
    <m/>
  </r>
  <r>
    <n v="1394"/>
    <s v="MATRIZ"/>
    <x v="5"/>
    <x v="7"/>
    <x v="7"/>
    <s v="SERVIÇO"/>
    <x v="2139"/>
    <x v="22"/>
    <n v="140971.81"/>
    <n v="131385.72"/>
    <x v="341"/>
    <x v="63"/>
    <x v="193"/>
    <x v="0"/>
    <m/>
    <x v="0"/>
    <x v="0"/>
    <s v="PS"/>
    <x v="1"/>
    <m/>
    <m/>
    <m/>
  </r>
  <r>
    <n v="1394"/>
    <s v="MATRIZ"/>
    <x v="5"/>
    <x v="7"/>
    <x v="7"/>
    <s v="SERVIÇO"/>
    <x v="2140"/>
    <x v="23"/>
    <n v="123531.76"/>
    <n v="115131.6"/>
    <x v="305"/>
    <x v="64"/>
    <x v="306"/>
    <x v="0"/>
    <m/>
    <x v="0"/>
    <x v="0"/>
    <s v="PS"/>
    <x v="1"/>
    <m/>
    <m/>
    <m/>
  </r>
  <r>
    <n v="1394"/>
    <s v="MATRIZ"/>
    <x v="5"/>
    <x v="7"/>
    <x v="7"/>
    <s v="SERVIÇO"/>
    <x v="2121"/>
    <x v="23"/>
    <n v="61911.850000000006"/>
    <n v="57701.842942555544"/>
    <x v="305"/>
    <x v="64"/>
    <x v="306"/>
    <x v="0"/>
    <m/>
    <x v="0"/>
    <x v="0"/>
    <s v="PS"/>
    <x v="1"/>
    <m/>
    <m/>
    <m/>
  </r>
  <r>
    <n v="1518"/>
    <s v="MATRIZ"/>
    <x v="5"/>
    <x v="7"/>
    <x v="67"/>
    <s v="SERVIÇO"/>
    <x v="582"/>
    <x v="24"/>
    <n v="104561.45"/>
    <m/>
    <x v="301"/>
    <x v="79"/>
    <x v="128"/>
    <x v="1"/>
    <m/>
    <x v="0"/>
    <x v="1"/>
    <s v="PS"/>
    <x v="1"/>
    <m/>
    <m/>
    <m/>
  </r>
  <r>
    <n v="1394"/>
    <s v="MATRIZ"/>
    <x v="5"/>
    <x v="7"/>
    <x v="7"/>
    <s v="SERVIÇO"/>
    <x v="2141"/>
    <x v="22"/>
    <n v="246181.25"/>
    <n v="229440.92"/>
    <x v="237"/>
    <x v="82"/>
    <x v="259"/>
    <x v="0"/>
    <m/>
    <x v="0"/>
    <x v="0"/>
    <s v="PS"/>
    <x v="1"/>
    <m/>
    <m/>
    <m/>
  </r>
  <r>
    <n v="1394"/>
    <s v="MATRIZ"/>
    <x v="5"/>
    <x v="7"/>
    <x v="7"/>
    <s v="SERVIÇO"/>
    <x v="2142"/>
    <x v="23"/>
    <n v="94087.62"/>
    <n v="87689.66"/>
    <x v="328"/>
    <x v="84"/>
    <x v="313"/>
    <x v="0"/>
    <m/>
    <x v="0"/>
    <x v="0"/>
    <s v="PS"/>
    <x v="1"/>
    <m/>
    <m/>
    <m/>
  </r>
  <r>
    <n v="1394"/>
    <s v="MATRIZ"/>
    <x v="5"/>
    <x v="7"/>
    <x v="7"/>
    <s v="SERVIÇO"/>
    <x v="2143"/>
    <x v="23"/>
    <n v="313649.51"/>
    <n v="292321.34000000003"/>
    <x v="328"/>
    <x v="64"/>
    <x v="236"/>
    <x v="0"/>
    <m/>
    <x v="0"/>
    <x v="0"/>
    <s v="PS"/>
    <x v="1"/>
    <m/>
    <m/>
    <m/>
  </r>
  <r>
    <n v="1394"/>
    <s v="MATRIZ"/>
    <x v="5"/>
    <x v="7"/>
    <x v="7"/>
    <s v="SERVIÇO"/>
    <x v="1954"/>
    <x v="23"/>
    <n v="207937.88424347283"/>
    <n v="193798.11"/>
    <x v="265"/>
    <x v="64"/>
    <x v="268"/>
    <x v="0"/>
    <m/>
    <x v="0"/>
    <x v="0"/>
    <s v="PS"/>
    <x v="1"/>
    <m/>
    <m/>
    <m/>
  </r>
  <r>
    <n v="1476"/>
    <s v="MATRIZ"/>
    <x v="2"/>
    <x v="13"/>
    <x v="16"/>
    <s v="SERVIÇO"/>
    <x v="2144"/>
    <x v="23"/>
    <n v="369184.69"/>
    <n v="331158.67"/>
    <x v="314"/>
    <x v="73"/>
    <x v="229"/>
    <x v="0"/>
    <n v="369184.69"/>
    <x v="1"/>
    <x v="0"/>
    <s v="PS"/>
    <x v="1"/>
    <m/>
    <m/>
    <m/>
  </r>
  <r>
    <n v="1393"/>
    <s v="MATRIZ"/>
    <x v="2"/>
    <x v="27"/>
    <x v="15"/>
    <s v="SERVIÇO"/>
    <x v="2145"/>
    <x v="23"/>
    <n v="461957.51"/>
    <n v="414375.89"/>
    <x v="342"/>
    <x v="65"/>
    <x v="128"/>
    <x v="2"/>
    <m/>
    <x v="0"/>
    <x v="0"/>
    <s v="PS"/>
    <x v="1"/>
    <m/>
    <m/>
    <m/>
  </r>
  <r>
    <n v="1394"/>
    <s v="MATRIZ"/>
    <x v="5"/>
    <x v="7"/>
    <x v="7"/>
    <s v="SERVIÇO"/>
    <x v="582"/>
    <x v="35"/>
    <n v="357689"/>
    <m/>
    <x v="269"/>
    <x v="42"/>
    <x v="128"/>
    <x v="1"/>
    <m/>
    <x v="0"/>
    <x v="0"/>
    <s v="PS"/>
    <x v="1"/>
    <m/>
    <m/>
    <m/>
  </r>
  <r>
    <n v="1394"/>
    <s v="MATRIZ"/>
    <x v="5"/>
    <x v="7"/>
    <x v="7"/>
    <s v="SERVIÇO"/>
    <x v="2146"/>
    <x v="29"/>
    <n v="246181.25"/>
    <n v="229440.92"/>
    <x v="227"/>
    <x v="85"/>
    <x v="295"/>
    <x v="0"/>
    <m/>
    <x v="0"/>
    <x v="0"/>
    <s v="PS"/>
    <x v="1"/>
    <m/>
    <m/>
    <m/>
  </r>
  <r>
    <n v="1394"/>
    <s v="MATRIZ"/>
    <x v="5"/>
    <x v="7"/>
    <x v="7"/>
    <s v="SERVIÇO"/>
    <x v="2147"/>
    <x v="19"/>
    <n v="140971.81"/>
    <n v="131385.72"/>
    <x v="293"/>
    <x v="74"/>
    <x v="312"/>
    <x v="0"/>
    <m/>
    <x v="0"/>
    <x v="0"/>
    <s v="PS"/>
    <x v="1"/>
    <m/>
    <m/>
    <m/>
  </r>
  <r>
    <n v="1394"/>
    <s v="MATRIZ"/>
    <x v="5"/>
    <x v="7"/>
    <x v="7"/>
    <s v="SERVIÇO"/>
    <x v="2148"/>
    <x v="19"/>
    <n v="94087.62"/>
    <n v="87689.66"/>
    <x v="292"/>
    <x v="74"/>
    <x v="312"/>
    <x v="0"/>
    <m/>
    <x v="0"/>
    <x v="0"/>
    <s v="PS"/>
    <x v="1"/>
    <m/>
    <m/>
    <m/>
  </r>
  <r>
    <n v="1394"/>
    <s v="MATRIZ"/>
    <x v="5"/>
    <x v="7"/>
    <x v="7"/>
    <s v="SERVIÇO"/>
    <x v="2149"/>
    <x v="19"/>
    <n v="313649.51"/>
    <n v="292321.34000000003"/>
    <x v="292"/>
    <x v="81"/>
    <x v="308"/>
    <x v="0"/>
    <m/>
    <x v="0"/>
    <x v="0"/>
    <s v="PS"/>
    <x v="1"/>
    <m/>
    <m/>
    <m/>
  </r>
  <r>
    <n v="1394"/>
    <s v="MATRIZ"/>
    <x v="5"/>
    <x v="7"/>
    <x v="7"/>
    <s v="SERVIÇO"/>
    <x v="2150"/>
    <x v="19"/>
    <n v="74471.12"/>
    <n v="69407.09"/>
    <x v="290"/>
    <x v="74"/>
    <x v="312"/>
    <x v="0"/>
    <m/>
    <x v="0"/>
    <x v="0"/>
    <s v="PS"/>
    <x v="1"/>
    <m/>
    <m/>
    <m/>
  </r>
  <r>
    <n v="1394"/>
    <s v="MATRIZ"/>
    <x v="5"/>
    <x v="7"/>
    <x v="7"/>
    <s v="SERVIÇO"/>
    <x v="2151"/>
    <x v="19"/>
    <n v="181994.94"/>
    <n v="169619.28"/>
    <x v="324"/>
    <x v="58"/>
    <x v="284"/>
    <x v="0"/>
    <m/>
    <x v="0"/>
    <x v="0"/>
    <s v="PS"/>
    <x v="1"/>
    <m/>
    <m/>
    <m/>
  </r>
  <r>
    <n v="1394"/>
    <s v="MATRIZ"/>
    <x v="5"/>
    <x v="7"/>
    <x v="7"/>
    <s v="SERVIÇO"/>
    <x v="2152"/>
    <x v="19"/>
    <n v="119825.81"/>
    <n v="111677.65"/>
    <x v="333"/>
    <x v="58"/>
    <x v="284"/>
    <x v="0"/>
    <m/>
    <x v="0"/>
    <x v="0"/>
    <s v="PS"/>
    <x v="1"/>
    <m/>
    <m/>
    <m/>
  </r>
  <r>
    <n v="1398"/>
    <s v="MATRIZ"/>
    <x v="4"/>
    <x v="1"/>
    <x v="1"/>
    <s v="SERVIÇO"/>
    <x v="2153"/>
    <x v="12"/>
    <n v="22241.65"/>
    <n v="20873.79"/>
    <x v="258"/>
    <x v="81"/>
    <x v="254"/>
    <x v="0"/>
    <n v="0"/>
    <x v="0"/>
    <x v="0"/>
    <s v="UT"/>
    <x v="0"/>
    <m/>
    <m/>
    <m/>
  </r>
  <r>
    <n v="1360"/>
    <s v="SP"/>
    <x v="3"/>
    <x v="8"/>
    <x v="8"/>
    <s v="SERVIÇO"/>
    <x v="2154"/>
    <x v="17"/>
    <n v="15120"/>
    <n v="14190.13"/>
    <x v="50"/>
    <x v="70"/>
    <x v="283"/>
    <x v="0"/>
    <m/>
    <x v="0"/>
    <x v="1"/>
    <s v="FS"/>
    <x v="2"/>
    <m/>
    <m/>
    <m/>
  </r>
  <r>
    <n v="1360"/>
    <s v="SP"/>
    <x v="3"/>
    <x v="8"/>
    <x v="8"/>
    <s v="SERVIÇO"/>
    <x v="2155"/>
    <x v="17"/>
    <n v="22639.68"/>
    <n v="21247.33"/>
    <x v="284"/>
    <x v="70"/>
    <x v="283"/>
    <x v="0"/>
    <m/>
    <x v="0"/>
    <x v="1"/>
    <s v="FS"/>
    <x v="2"/>
    <m/>
    <m/>
    <m/>
  </r>
  <r>
    <n v="1387"/>
    <s v="SP"/>
    <x v="3"/>
    <x v="8"/>
    <x v="47"/>
    <s v="SERVIÇO"/>
    <x v="2156"/>
    <x v="17"/>
    <n v="58118.400000000001"/>
    <n v="54544.12"/>
    <x v="160"/>
    <x v="54"/>
    <x v="255"/>
    <x v="0"/>
    <m/>
    <x v="0"/>
    <x v="0"/>
    <s v="FS"/>
    <x v="2"/>
    <m/>
    <m/>
    <m/>
  </r>
  <r>
    <n v="1387"/>
    <s v="SP"/>
    <x v="3"/>
    <x v="8"/>
    <x v="47"/>
    <s v="SERVIÇO"/>
    <x v="2157"/>
    <x v="17"/>
    <n v="23601.599999999999"/>
    <n v="22150.1"/>
    <x v="286"/>
    <x v="54"/>
    <x v="255"/>
    <x v="0"/>
    <m/>
    <x v="0"/>
    <x v="0"/>
    <s v="FS"/>
    <x v="2"/>
    <m/>
    <m/>
    <m/>
  </r>
  <r>
    <n v="1387"/>
    <s v="SP"/>
    <x v="3"/>
    <x v="8"/>
    <x v="47"/>
    <s v="SERVIÇO"/>
    <x v="2158"/>
    <x v="17"/>
    <n v="57692.800000000003"/>
    <n v="54144.7"/>
    <x v="286"/>
    <x v="54"/>
    <x v="255"/>
    <x v="0"/>
    <m/>
    <x v="0"/>
    <x v="0"/>
    <s v="FS"/>
    <x v="2"/>
    <m/>
    <m/>
    <m/>
  </r>
  <r>
    <n v="1387"/>
    <s v="SP"/>
    <x v="3"/>
    <x v="8"/>
    <x v="47"/>
    <s v="SERVIÇO"/>
    <x v="2159"/>
    <x v="17"/>
    <n v="77793.179999999993"/>
    <n v="73008.89"/>
    <x v="286"/>
    <x v="54"/>
    <x v="255"/>
    <x v="0"/>
    <m/>
    <x v="0"/>
    <x v="0"/>
    <s v="FS"/>
    <x v="2"/>
    <m/>
    <m/>
    <m/>
  </r>
  <r>
    <n v="1387"/>
    <s v="SP"/>
    <x v="3"/>
    <x v="8"/>
    <x v="47"/>
    <s v="SERVIÇO"/>
    <x v="2160"/>
    <x v="17"/>
    <n v="36540"/>
    <n v="34292.79"/>
    <x v="286"/>
    <x v="54"/>
    <x v="255"/>
    <x v="0"/>
    <m/>
    <x v="0"/>
    <x v="0"/>
    <s v="FS"/>
    <x v="2"/>
    <m/>
    <m/>
    <m/>
  </r>
  <r>
    <n v="1387"/>
    <s v="SP"/>
    <x v="3"/>
    <x v="8"/>
    <x v="47"/>
    <s v="SERVIÇO"/>
    <x v="2161"/>
    <x v="19"/>
    <n v="20278.8"/>
    <n v="19031.66"/>
    <x v="258"/>
    <x v="54"/>
    <x v="255"/>
    <x v="0"/>
    <m/>
    <x v="0"/>
    <x v="0"/>
    <s v="FS"/>
    <x v="2"/>
    <m/>
    <m/>
    <m/>
  </r>
  <r>
    <n v="1387"/>
    <s v="SP"/>
    <x v="3"/>
    <x v="8"/>
    <x v="47"/>
    <s v="SERVIÇO"/>
    <x v="2162"/>
    <x v="20"/>
    <n v="27038.400000000001"/>
    <n v="25375.54"/>
    <x v="258"/>
    <x v="54"/>
    <x v="255"/>
    <x v="0"/>
    <m/>
    <x v="0"/>
    <x v="0"/>
    <s v="FS"/>
    <x v="2"/>
    <m/>
    <m/>
    <m/>
  </r>
  <r>
    <n v="1470"/>
    <s v="MATRIZ"/>
    <x v="2"/>
    <x v="24"/>
    <x v="35"/>
    <s v="SERVIÇO"/>
    <x v="2163"/>
    <x v="17"/>
    <n v="36700"/>
    <n v="33708.949999999997"/>
    <x v="160"/>
    <x v="8"/>
    <x v="240"/>
    <x v="0"/>
    <n v="0"/>
    <x v="0"/>
    <x v="0"/>
    <s v="MS"/>
    <x v="1"/>
    <m/>
    <m/>
    <m/>
  </r>
  <r>
    <n v="1470"/>
    <s v="MATRIZ"/>
    <x v="2"/>
    <x v="24"/>
    <x v="35"/>
    <s v="SERVIÇO"/>
    <x v="2164"/>
    <x v="19"/>
    <n v="36700"/>
    <n v="33708.949999999997"/>
    <x v="312"/>
    <x v="33"/>
    <x v="267"/>
    <x v="0"/>
    <n v="0"/>
    <x v="0"/>
    <x v="0"/>
    <s v="MS"/>
    <x v="1"/>
    <m/>
    <m/>
    <m/>
  </r>
  <r>
    <n v="1470"/>
    <s v="MATRIZ"/>
    <x v="2"/>
    <x v="24"/>
    <x v="35"/>
    <s v="SERVIÇO"/>
    <x v="2165"/>
    <x v="20"/>
    <n v="42428.5"/>
    <n v="38970.559999999998"/>
    <x v="331"/>
    <x v="68"/>
    <x v="248"/>
    <x v="0"/>
    <n v="0"/>
    <x v="0"/>
    <x v="0"/>
    <s v="MS"/>
    <x v="1"/>
    <m/>
    <m/>
    <m/>
  </r>
  <r>
    <n v="1470"/>
    <s v="MATRIZ"/>
    <x v="2"/>
    <x v="24"/>
    <x v="35"/>
    <s v="SERVIÇO"/>
    <x v="2166"/>
    <x v="21"/>
    <n v="42428.5"/>
    <n v="38970.559999999998"/>
    <x v="348"/>
    <x v="62"/>
    <x v="277"/>
    <x v="0"/>
    <n v="0"/>
    <x v="0"/>
    <x v="0"/>
    <s v="MS"/>
    <x v="1"/>
    <m/>
    <m/>
    <m/>
  </r>
  <r>
    <n v="1470"/>
    <s v="MATRIZ"/>
    <x v="2"/>
    <x v="24"/>
    <x v="35"/>
    <s v="SERVIÇO"/>
    <x v="2167"/>
    <x v="22"/>
    <n v="38384.53"/>
    <n v="35256.18"/>
    <x v="251"/>
    <x v="45"/>
    <x v="300"/>
    <x v="0"/>
    <n v="0"/>
    <x v="0"/>
    <x v="0"/>
    <s v="MS"/>
    <x v="1"/>
    <m/>
    <m/>
    <m/>
  </r>
  <r>
    <n v="1470"/>
    <s v="MATRIZ"/>
    <x v="2"/>
    <x v="24"/>
    <x v="35"/>
    <s v="SERVIÇO"/>
    <x v="2168"/>
    <x v="23"/>
    <n v="38384.53"/>
    <n v="35256.18"/>
    <x v="343"/>
    <x v="82"/>
    <x v="311"/>
    <x v="0"/>
    <n v="0"/>
    <x v="0"/>
    <x v="0"/>
    <s v="MS"/>
    <x v="1"/>
    <m/>
    <m/>
    <m/>
  </r>
  <r>
    <n v="1470"/>
    <s v="MATRIZ"/>
    <x v="2"/>
    <x v="24"/>
    <x v="35"/>
    <s v="SERVIÇO"/>
    <x v="582"/>
    <x v="24"/>
    <n v="38384.53"/>
    <n v="35256.18"/>
    <x v="192"/>
    <x v="65"/>
    <x v="128"/>
    <x v="1"/>
    <n v="0"/>
    <x v="0"/>
    <x v="0"/>
    <s v="MS"/>
    <x v="1"/>
    <m/>
    <m/>
    <m/>
  </r>
  <r>
    <n v="1273"/>
    <s v="HUB"/>
    <x v="6"/>
    <x v="25"/>
    <x v="37"/>
    <s v="SERVIÇO"/>
    <x v="2169"/>
    <x v="17"/>
    <n v="624265.04"/>
    <n v="559965.74"/>
    <x v="286"/>
    <x v="54"/>
    <x v="255"/>
    <x v="0"/>
    <n v="0"/>
    <x v="0"/>
    <x v="0"/>
    <s v="PS"/>
    <x v="3"/>
    <m/>
    <m/>
    <m/>
  </r>
  <r>
    <n v="1273"/>
    <s v="HUB"/>
    <x v="6"/>
    <x v="25"/>
    <x v="37"/>
    <s v="SERVIÇO"/>
    <x v="582"/>
    <x v="35"/>
    <n v="118919"/>
    <m/>
    <x v="269"/>
    <x v="42"/>
    <x v="128"/>
    <x v="1"/>
    <n v="0"/>
    <x v="0"/>
    <x v="0"/>
    <s v="PS"/>
    <x v="3"/>
    <m/>
    <m/>
    <m/>
  </r>
  <r>
    <n v="1273"/>
    <s v="HUB"/>
    <x v="6"/>
    <x v="25"/>
    <x v="37"/>
    <s v="SERVIÇO"/>
    <x v="2170"/>
    <x v="29"/>
    <n v="571593.80000000005"/>
    <n v="512719.64"/>
    <x v="227"/>
    <x v="61"/>
    <x v="290"/>
    <x v="0"/>
    <n v="0"/>
    <x v="0"/>
    <x v="0"/>
    <s v="PS"/>
    <x v="3"/>
    <m/>
    <m/>
    <m/>
  </r>
  <r>
    <n v="1273"/>
    <s v="HUB"/>
    <x v="6"/>
    <x v="25"/>
    <x v="37"/>
    <s v="SERVIÇO"/>
    <x v="2171"/>
    <x v="30"/>
    <n v="574463.16"/>
    <n v="515293.46"/>
    <x v="227"/>
    <x v="61"/>
    <x v="191"/>
    <x v="0"/>
    <n v="0"/>
    <x v="0"/>
    <x v="0"/>
    <s v="PS"/>
    <x v="3"/>
    <m/>
    <m/>
    <m/>
  </r>
  <r>
    <n v="1273"/>
    <s v="HUB"/>
    <x v="6"/>
    <x v="25"/>
    <x v="37"/>
    <s v="SERVIÇO"/>
    <x v="2172"/>
    <x v="21"/>
    <n v="584837"/>
    <n v="514371.93999999994"/>
    <x v="256"/>
    <x v="45"/>
    <x v="300"/>
    <x v="0"/>
    <n v="0"/>
    <x v="0"/>
    <x v="0"/>
    <s v="PS"/>
    <x v="3"/>
    <m/>
    <m/>
    <m/>
  </r>
  <r>
    <n v="1394"/>
    <s v="MATRIZ"/>
    <x v="5"/>
    <x v="7"/>
    <x v="7"/>
    <s v="SERVIÇO"/>
    <x v="2173"/>
    <x v="23"/>
    <n v="140971.81"/>
    <n v="131385.72"/>
    <x v="344"/>
    <x v="65"/>
    <x v="128"/>
    <x v="2"/>
    <m/>
    <x v="0"/>
    <x v="0"/>
    <s v="PS"/>
    <x v="1"/>
    <m/>
    <m/>
    <m/>
  </r>
  <r>
    <n v="1394"/>
    <s v="MATRIZ"/>
    <x v="5"/>
    <x v="7"/>
    <x v="7"/>
    <s v="SERVIÇO"/>
    <x v="582"/>
    <x v="24"/>
    <n v="1157914.94"/>
    <m/>
    <x v="349"/>
    <x v="79"/>
    <x v="128"/>
    <x v="1"/>
    <m/>
    <x v="0"/>
    <x v="0"/>
    <s v="PS"/>
    <x v="1"/>
    <m/>
    <m/>
    <m/>
  </r>
  <r>
    <n v="1277"/>
    <s v="HUB"/>
    <x v="6"/>
    <x v="25"/>
    <x v="38"/>
    <s v="SERVIÇO"/>
    <x v="2174"/>
    <x v="22"/>
    <n v="157676.04"/>
    <n v="141435.41"/>
    <x v="252"/>
    <x v="76"/>
    <x v="316"/>
    <x v="0"/>
    <m/>
    <x v="0"/>
    <x v="0"/>
    <s v="PS"/>
    <x v="3"/>
    <m/>
    <m/>
    <m/>
  </r>
  <r>
    <n v="1273"/>
    <s v="HUB"/>
    <x v="6"/>
    <x v="25"/>
    <x v="37"/>
    <s v="SERVIÇO"/>
    <x v="2175"/>
    <x v="22"/>
    <n v="38480.57"/>
    <n v="34517.07"/>
    <x v="343"/>
    <x v="64"/>
    <x v="269"/>
    <x v="0"/>
    <n v="0"/>
    <x v="0"/>
    <x v="0"/>
    <s v="PS"/>
    <x v="3"/>
    <m/>
    <m/>
    <m/>
  </r>
  <r>
    <n v="1514"/>
    <s v="HUB"/>
    <x v="6"/>
    <x v="25"/>
    <x v="68"/>
    <s v="SERVIÇO"/>
    <x v="2176"/>
    <x v="29"/>
    <n v="805435.55"/>
    <n v="750665.93"/>
    <x v="346"/>
    <x v="45"/>
    <x v="275"/>
    <x v="0"/>
    <m/>
    <x v="0"/>
    <x v="1"/>
    <s v="PS"/>
    <x v="3"/>
    <m/>
    <m/>
    <m/>
  </r>
  <r>
    <n v="1514"/>
    <s v="HUB"/>
    <x v="6"/>
    <x v="25"/>
    <x v="68"/>
    <s v="SERVIÇO"/>
    <x v="2177"/>
    <x v="30"/>
    <n v="2049793.76"/>
    <n v="1910407.78"/>
    <x v="350"/>
    <x v="45"/>
    <x v="275"/>
    <x v="0"/>
    <m/>
    <x v="0"/>
    <x v="1"/>
    <s v="PS"/>
    <x v="3"/>
    <m/>
    <m/>
    <m/>
  </r>
  <r>
    <n v="1514"/>
    <s v="HUB"/>
    <x v="6"/>
    <x v="25"/>
    <x v="68"/>
    <s v="SERVIÇO"/>
    <x v="2178"/>
    <x v="21"/>
    <n v="2244786.44"/>
    <n v="2092140.96"/>
    <x v="321"/>
    <x v="63"/>
    <x v="228"/>
    <x v="0"/>
    <n v="0"/>
    <x v="0"/>
    <x v="1"/>
    <s v="PS"/>
    <x v="3"/>
    <m/>
    <m/>
    <m/>
  </r>
  <r>
    <n v="1277"/>
    <s v="HUB"/>
    <x v="6"/>
    <x v="25"/>
    <x v="38"/>
    <s v="SERVIÇO"/>
    <x v="2179"/>
    <x v="23"/>
    <n v="162394.43"/>
    <n v="145667.79999999999"/>
    <x v="305"/>
    <x v="65"/>
    <x v="128"/>
    <x v="2"/>
    <m/>
    <x v="0"/>
    <x v="0"/>
    <s v="PS"/>
    <x v="3"/>
    <m/>
    <m/>
    <m/>
  </r>
  <r>
    <n v="1273"/>
    <s v="HUB"/>
    <x v="6"/>
    <x v="25"/>
    <x v="37"/>
    <s v="SERVIÇO"/>
    <x v="2180"/>
    <x v="22"/>
    <n v="542488.31000000006"/>
    <n v="486612.01"/>
    <x v="343"/>
    <x v="64"/>
    <x v="269"/>
    <x v="0"/>
    <n v="0"/>
    <x v="0"/>
    <x v="0"/>
    <s v="PS"/>
    <x v="3"/>
    <m/>
    <m/>
    <m/>
  </r>
  <r>
    <n v="1268"/>
    <s v="SP"/>
    <x v="4"/>
    <x v="6"/>
    <x v="39"/>
    <s v="SERVIÇO"/>
    <x v="2181"/>
    <x v="17"/>
    <n v="784755.72"/>
    <n v="736493.25"/>
    <x v="146"/>
    <x v="52"/>
    <x v="253"/>
    <x v="0"/>
    <n v="0"/>
    <x v="0"/>
    <x v="1"/>
    <s v="FS"/>
    <x v="0"/>
    <m/>
    <m/>
    <m/>
  </r>
  <r>
    <n v="1268"/>
    <s v="SP"/>
    <x v="4"/>
    <x v="6"/>
    <x v="39"/>
    <s v="SERVIÇO"/>
    <x v="2182"/>
    <x v="17"/>
    <n v="165717.72"/>
    <n v="155526.07999999999"/>
    <x v="146"/>
    <x v="52"/>
    <x v="253"/>
    <x v="0"/>
    <n v="0"/>
    <x v="0"/>
    <x v="1"/>
    <s v="FS"/>
    <x v="0"/>
    <m/>
    <m/>
    <m/>
  </r>
  <r>
    <n v="1268"/>
    <s v="SP"/>
    <x v="4"/>
    <x v="6"/>
    <x v="39"/>
    <s v="SERVIÇO"/>
    <x v="2183"/>
    <x v="17"/>
    <n v="41368"/>
    <n v="38823.870000000003"/>
    <x v="146"/>
    <x v="52"/>
    <x v="253"/>
    <x v="0"/>
    <n v="0"/>
    <x v="0"/>
    <x v="1"/>
    <s v="FS"/>
    <x v="0"/>
    <m/>
    <m/>
    <m/>
  </r>
  <r>
    <n v="1268"/>
    <s v="SP"/>
    <x v="4"/>
    <x v="6"/>
    <x v="39"/>
    <s v="SERVIÇO"/>
    <x v="2184"/>
    <x v="7"/>
    <n v="82736"/>
    <n v="77647.740000000005"/>
    <x v="258"/>
    <x v="52"/>
    <x v="196"/>
    <x v="0"/>
    <n v="0"/>
    <x v="0"/>
    <x v="1"/>
    <s v="FS"/>
    <x v="0"/>
    <m/>
    <m/>
    <m/>
  </r>
  <r>
    <n v="1356"/>
    <s v="SP"/>
    <x v="4"/>
    <x v="6"/>
    <x v="69"/>
    <s v="SERVIÇO"/>
    <x v="2185"/>
    <x v="19"/>
    <n v="41368"/>
    <n v="38823.870000000003"/>
    <x v="266"/>
    <x v="74"/>
    <x v="317"/>
    <x v="0"/>
    <n v="0"/>
    <x v="0"/>
    <x v="1"/>
    <s v="FS"/>
    <x v="0"/>
    <m/>
    <m/>
    <m/>
  </r>
  <r>
    <n v="1356"/>
    <s v="SP"/>
    <x v="4"/>
    <x v="6"/>
    <x v="69"/>
    <s v="SERVIÇO"/>
    <x v="2186"/>
    <x v="19"/>
    <n v="41368"/>
    <n v="38823.870000000003"/>
    <x v="248"/>
    <x v="59"/>
    <x v="244"/>
    <x v="0"/>
    <n v="0"/>
    <x v="0"/>
    <x v="1"/>
    <s v="FS"/>
    <x v="0"/>
    <m/>
    <m/>
    <m/>
  </r>
  <r>
    <n v="1356"/>
    <s v="SP"/>
    <x v="4"/>
    <x v="6"/>
    <x v="69"/>
    <s v="SERVIÇO"/>
    <x v="2187"/>
    <x v="29"/>
    <n v="41368"/>
    <n v="38823.870000000003"/>
    <x v="338"/>
    <x v="62"/>
    <x v="277"/>
    <x v="0"/>
    <n v="0"/>
    <x v="0"/>
    <x v="1"/>
    <s v="FS"/>
    <x v="0"/>
    <m/>
    <m/>
    <m/>
  </r>
  <r>
    <n v="1356"/>
    <s v="SP"/>
    <x v="4"/>
    <x v="6"/>
    <x v="69"/>
    <s v="SERVIÇO"/>
    <x v="2188"/>
    <x v="29"/>
    <n v="41368"/>
    <n v="38823.870000000003"/>
    <x v="275"/>
    <x v="76"/>
    <x v="235"/>
    <x v="0"/>
    <n v="0"/>
    <x v="0"/>
    <x v="1"/>
    <s v="FS"/>
    <x v="0"/>
    <m/>
    <m/>
    <m/>
  </r>
  <r>
    <n v="1356"/>
    <s v="SP"/>
    <x v="4"/>
    <x v="6"/>
    <x v="69"/>
    <s v="SERVIÇO"/>
    <x v="2189"/>
    <x v="23"/>
    <n v="41368"/>
    <n v="38823.870000000003"/>
    <x v="191"/>
    <x v="73"/>
    <x v="229"/>
    <x v="0"/>
    <n v="0"/>
    <x v="0"/>
    <x v="1"/>
    <s v="FS"/>
    <x v="0"/>
    <m/>
    <m/>
    <m/>
  </r>
  <r>
    <n v="1356"/>
    <s v="SP"/>
    <x v="4"/>
    <x v="6"/>
    <x v="69"/>
    <s v="SERVIÇO"/>
    <x v="582"/>
    <x v="24"/>
    <n v="41368"/>
    <n v="38823.870000000003"/>
    <x v="192"/>
    <x v="87"/>
    <x v="128"/>
    <x v="1"/>
    <n v="0"/>
    <x v="0"/>
    <x v="1"/>
    <s v="FS"/>
    <x v="0"/>
    <m/>
    <m/>
    <m/>
  </r>
  <r>
    <n v="1522"/>
    <s v=""/>
    <x v="4"/>
    <x v="6"/>
    <x v="70"/>
    <s v="SERVIÇO"/>
    <x v="582"/>
    <x v="23"/>
    <n v="70552"/>
    <m/>
    <x v="254"/>
    <x v="83"/>
    <x v="128"/>
    <x v="1"/>
    <n v="0"/>
    <x v="0"/>
    <x v="1"/>
    <s v="FS"/>
    <x v="0"/>
    <m/>
    <m/>
    <m/>
  </r>
  <r>
    <n v="1494"/>
    <s v="SP"/>
    <x v="4"/>
    <x v="6"/>
    <x v="60"/>
    <s v="SERVIÇO"/>
    <x v="2190"/>
    <x v="19"/>
    <n v="35192"/>
    <n v="33027.690958244304"/>
    <x v="316"/>
    <x v="59"/>
    <x v="189"/>
    <x v="0"/>
    <n v="0"/>
    <x v="0"/>
    <x v="2"/>
    <s v="FS"/>
    <x v="0"/>
    <m/>
    <m/>
    <m/>
  </r>
  <r>
    <n v="1268"/>
    <s v="SP"/>
    <x v="4"/>
    <x v="6"/>
    <x v="39"/>
    <s v="SERVIÇO"/>
    <x v="2190"/>
    <x v="19"/>
    <n v="177799.93"/>
    <n v="166865.22904175572"/>
    <x v="316"/>
    <x v="59"/>
    <x v="189"/>
    <x v="0"/>
    <n v="0"/>
    <x v="0"/>
    <x v="1"/>
    <s v="FS"/>
    <x v="0"/>
    <m/>
    <m/>
    <m/>
  </r>
  <r>
    <n v="1268"/>
    <s v="SP"/>
    <x v="4"/>
    <x v="6"/>
    <x v="39"/>
    <s v="SERVIÇO"/>
    <x v="2191"/>
    <x v="19"/>
    <n v="330529.95"/>
    <n v="310202.36"/>
    <x v="316"/>
    <x v="59"/>
    <x v="189"/>
    <x v="0"/>
    <n v="0"/>
    <x v="0"/>
    <x v="1"/>
    <s v="FS"/>
    <x v="0"/>
    <m/>
    <m/>
    <m/>
  </r>
  <r>
    <n v="1268"/>
    <s v="SP"/>
    <x v="4"/>
    <x v="6"/>
    <x v="39"/>
    <s v="SERVIÇO"/>
    <x v="2192"/>
    <x v="19"/>
    <n v="1480801.11"/>
    <n v="1389731.8400000001"/>
    <x v="316"/>
    <x v="59"/>
    <x v="189"/>
    <x v="0"/>
    <n v="0"/>
    <x v="0"/>
    <x v="1"/>
    <s v="FS"/>
    <x v="0"/>
    <m/>
    <m/>
    <m/>
  </r>
  <r>
    <n v="1268"/>
    <s v="SP"/>
    <x v="4"/>
    <x v="6"/>
    <x v="39"/>
    <s v="SERVIÇO"/>
    <x v="2193"/>
    <x v="29"/>
    <n v="195778.06"/>
    <n v="183737.71"/>
    <x v="256"/>
    <x v="62"/>
    <x v="277"/>
    <x v="0"/>
    <n v="0"/>
    <x v="0"/>
    <x v="1"/>
    <s v="FS"/>
    <x v="0"/>
    <m/>
    <m/>
    <m/>
  </r>
  <r>
    <n v="1268"/>
    <s v="SP"/>
    <x v="4"/>
    <x v="6"/>
    <x v="39"/>
    <s v="SERVIÇO"/>
    <x v="2194"/>
    <x v="29"/>
    <n v="123712.73"/>
    <n v="116104.4"/>
    <x v="256"/>
    <x v="62"/>
    <x v="277"/>
    <x v="0"/>
    <n v="0"/>
    <x v="0"/>
    <x v="1"/>
    <s v="FS"/>
    <x v="0"/>
    <m/>
    <m/>
    <m/>
  </r>
  <r>
    <n v="1268"/>
    <s v="SP"/>
    <x v="4"/>
    <x v="6"/>
    <x v="39"/>
    <s v="SERVIÇO"/>
    <x v="2195"/>
    <x v="29"/>
    <n v="17792.04"/>
    <n v="16697.830000000002"/>
    <x v="256"/>
    <x v="62"/>
    <x v="277"/>
    <x v="0"/>
    <n v="0"/>
    <x v="0"/>
    <x v="1"/>
    <s v="FS"/>
    <x v="0"/>
    <m/>
    <m/>
    <m/>
  </r>
  <r>
    <n v="1268"/>
    <s v="SP"/>
    <x v="4"/>
    <x v="6"/>
    <x v="39"/>
    <s v="SERVIÇO"/>
    <x v="2196"/>
    <x v="29"/>
    <n v="163065.57999999999"/>
    <n v="153037.04999999999"/>
    <x v="256"/>
    <x v="62"/>
    <x v="277"/>
    <x v="0"/>
    <n v="0"/>
    <x v="0"/>
    <x v="1"/>
    <s v="FS"/>
    <x v="0"/>
    <m/>
    <m/>
    <m/>
  </r>
  <r>
    <n v="1268"/>
    <s v="SP"/>
    <x v="4"/>
    <x v="6"/>
    <x v="39"/>
    <s v="SERVIÇO"/>
    <x v="2197"/>
    <x v="29"/>
    <n v="1370424.99"/>
    <n v="1286143.8600000001"/>
    <x v="256"/>
    <x v="62"/>
    <x v="277"/>
    <x v="0"/>
    <n v="0"/>
    <x v="0"/>
    <x v="1"/>
    <s v="FS"/>
    <x v="0"/>
    <m/>
    <m/>
    <m/>
  </r>
  <r>
    <n v="1268"/>
    <s v="SP"/>
    <x v="4"/>
    <x v="6"/>
    <x v="39"/>
    <s v="SERVIÇO"/>
    <x v="2198"/>
    <x v="29"/>
    <n v="27613.82"/>
    <n v="25915.58"/>
    <x v="256"/>
    <x v="62"/>
    <x v="277"/>
    <x v="0"/>
    <n v="0"/>
    <x v="0"/>
    <x v="1"/>
    <s v="FS"/>
    <x v="0"/>
    <m/>
    <m/>
    <m/>
  </r>
  <r>
    <n v="1268"/>
    <s v="SP"/>
    <x v="4"/>
    <x v="6"/>
    <x v="39"/>
    <s v="SERVIÇO"/>
    <x v="2199"/>
    <x v="29"/>
    <n v="303155.76"/>
    <n v="284511.68"/>
    <x v="252"/>
    <x v="63"/>
    <x v="247"/>
    <x v="0"/>
    <n v="0"/>
    <x v="0"/>
    <x v="1"/>
    <s v="FS"/>
    <x v="0"/>
    <m/>
    <m/>
    <m/>
  </r>
  <r>
    <n v="1268"/>
    <s v="SP"/>
    <x v="4"/>
    <x v="6"/>
    <x v="39"/>
    <s v="SERVIÇO"/>
    <x v="2200"/>
    <x v="29"/>
    <n v="263446.34000000003"/>
    <n v="247244.39"/>
    <x v="252"/>
    <x v="63"/>
    <x v="247"/>
    <x v="0"/>
    <n v="0"/>
    <x v="0"/>
    <x v="1"/>
    <s v="FS"/>
    <x v="0"/>
    <m/>
    <m/>
    <m/>
  </r>
  <r>
    <n v="1268"/>
    <s v="SP"/>
    <x v="4"/>
    <x v="6"/>
    <x v="39"/>
    <s v="SERVIÇO"/>
    <x v="2201"/>
    <x v="29"/>
    <n v="1195960.82"/>
    <n v="1122409.23"/>
    <x v="252"/>
    <x v="63"/>
    <x v="247"/>
    <x v="0"/>
    <n v="0"/>
    <x v="0"/>
    <x v="1"/>
    <s v="FS"/>
    <x v="0"/>
    <m/>
    <m/>
    <m/>
  </r>
  <r>
    <n v="1268"/>
    <s v="SP"/>
    <x v="4"/>
    <x v="6"/>
    <x v="39"/>
    <s v="SERVIÇO"/>
    <x v="2202"/>
    <x v="23"/>
    <n v="1121693.31"/>
    <n v="1052709.17"/>
    <x v="328"/>
    <x v="64"/>
    <x v="236"/>
    <x v="0"/>
    <n v="0"/>
    <x v="0"/>
    <x v="1"/>
    <s v="FS"/>
    <x v="0"/>
    <m/>
    <m/>
    <m/>
  </r>
  <r>
    <n v="1268"/>
    <s v="SP"/>
    <x v="4"/>
    <x v="6"/>
    <x v="39"/>
    <s v="SERVIÇO"/>
    <x v="2203"/>
    <x v="23"/>
    <n v="202174.25"/>
    <n v="189740.54"/>
    <x v="328"/>
    <x v="64"/>
    <x v="236"/>
    <x v="0"/>
    <n v="0"/>
    <x v="0"/>
    <x v="1"/>
    <s v="FS"/>
    <x v="0"/>
    <m/>
    <m/>
    <m/>
  </r>
  <r>
    <n v="1268"/>
    <s v="SP"/>
    <x v="4"/>
    <x v="6"/>
    <x v="39"/>
    <s v="SERVIÇO"/>
    <x v="2204"/>
    <x v="23"/>
    <n v="231588.76"/>
    <n v="217346.05"/>
    <x v="328"/>
    <x v="64"/>
    <x v="236"/>
    <x v="0"/>
    <n v="0"/>
    <x v="0"/>
    <x v="1"/>
    <s v="FS"/>
    <x v="0"/>
    <m/>
    <m/>
    <m/>
  </r>
  <r>
    <n v="1268"/>
    <s v="SP"/>
    <x v="4"/>
    <x v="6"/>
    <x v="39"/>
    <s v="SERVIÇO"/>
    <x v="582"/>
    <x v="22"/>
    <n v="1538846"/>
    <n v="25915.57"/>
    <x v="192"/>
    <x v="73"/>
    <x v="128"/>
    <x v="1"/>
    <n v="0"/>
    <x v="0"/>
    <x v="1"/>
    <s v="FS"/>
    <x v="0"/>
    <m/>
    <m/>
    <m/>
  </r>
  <r>
    <n v="1268"/>
    <s v="SP"/>
    <x v="4"/>
    <x v="6"/>
    <x v="39"/>
    <s v="SERVIÇO"/>
    <x v="2205"/>
    <x v="17"/>
    <n v="186269.84"/>
    <n v="174814.24"/>
    <x v="146"/>
    <x v="52"/>
    <x v="196"/>
    <x v="0"/>
    <n v="0"/>
    <x v="0"/>
    <x v="1"/>
    <s v="FS"/>
    <x v="0"/>
    <m/>
    <m/>
    <m/>
  </r>
  <r>
    <n v="1268"/>
    <s v="SP"/>
    <x v="4"/>
    <x v="6"/>
    <x v="39"/>
    <s v="SERVIÇO"/>
    <x v="2206"/>
    <x v="17"/>
    <n v="2247971.7200000002"/>
    <n v="2109721.46"/>
    <x v="146"/>
    <x v="52"/>
    <x v="196"/>
    <x v="0"/>
    <n v="0"/>
    <x v="0"/>
    <x v="1"/>
    <s v="FS"/>
    <x v="0"/>
    <m/>
    <m/>
    <m/>
  </r>
  <r>
    <n v="1268"/>
    <s v="SP"/>
    <x v="4"/>
    <x v="6"/>
    <x v="39"/>
    <s v="SERVIÇO"/>
    <x v="2207"/>
    <x v="17"/>
    <n v="65105.2"/>
    <n v="61101.23"/>
    <x v="146"/>
    <x v="52"/>
    <x v="196"/>
    <x v="0"/>
    <n v="0"/>
    <x v="0"/>
    <x v="1"/>
    <s v="FS"/>
    <x v="0"/>
    <m/>
    <m/>
    <m/>
  </r>
  <r>
    <n v="1268"/>
    <s v="SP"/>
    <x v="4"/>
    <x v="6"/>
    <x v="39"/>
    <s v="SERVIÇO"/>
    <x v="2208"/>
    <x v="17"/>
    <n v="1618105.53"/>
    <n v="1518592.05"/>
    <x v="146"/>
    <x v="52"/>
    <x v="196"/>
    <x v="0"/>
    <n v="0"/>
    <x v="0"/>
    <x v="1"/>
    <s v="FS"/>
    <x v="0"/>
    <m/>
    <m/>
    <m/>
  </r>
  <r>
    <n v="1268"/>
    <s v="SP"/>
    <x v="4"/>
    <x v="6"/>
    <x v="39"/>
    <s v="SERVIÇO"/>
    <x v="2209"/>
    <x v="17"/>
    <n v="109733.7"/>
    <n v="102985.07"/>
    <x v="146"/>
    <x v="52"/>
    <x v="196"/>
    <x v="0"/>
    <n v="0"/>
    <x v="0"/>
    <x v="1"/>
    <s v="FS"/>
    <x v="0"/>
    <m/>
    <m/>
    <m/>
  </r>
  <r>
    <n v="1275"/>
    <s v="SP"/>
    <x v="4"/>
    <x v="26"/>
    <x v="40"/>
    <s v="SERVIÇO"/>
    <x v="2210"/>
    <x v="17"/>
    <n v="16767.240000000002"/>
    <n v="15736.05"/>
    <x v="146"/>
    <x v="70"/>
    <x v="225"/>
    <x v="0"/>
    <n v="0"/>
    <x v="0"/>
    <x v="1"/>
    <s v="FS"/>
    <x v="0"/>
    <m/>
    <m/>
    <m/>
  </r>
  <r>
    <n v="1275"/>
    <s v="SP"/>
    <x v="4"/>
    <x v="26"/>
    <x v="40"/>
    <s v="SERVIÇO"/>
    <x v="2211"/>
    <x v="19"/>
    <n v="16767.240000000002"/>
    <n v="15736.05"/>
    <x v="146"/>
    <x v="57"/>
    <x v="318"/>
    <x v="0"/>
    <n v="0"/>
    <x v="0"/>
    <x v="1"/>
    <s v="FS"/>
    <x v="0"/>
    <m/>
    <m/>
    <m/>
  </r>
  <r>
    <n v="1479"/>
    <s v="SP"/>
    <x v="4"/>
    <x v="26"/>
    <x v="41"/>
    <s v="SERVIÇO"/>
    <x v="2212"/>
    <x v="17"/>
    <n v="26040"/>
    <n v="24438.54"/>
    <x v="146"/>
    <x v="70"/>
    <x v="225"/>
    <x v="0"/>
    <n v="0"/>
    <x v="0"/>
    <x v="2"/>
    <s v="FS"/>
    <x v="0"/>
    <m/>
    <m/>
    <m/>
  </r>
  <r>
    <n v="1479"/>
    <s v="SP"/>
    <x v="4"/>
    <x v="26"/>
    <x v="41"/>
    <s v="SERVIÇO"/>
    <x v="2213"/>
    <x v="19"/>
    <n v="26040"/>
    <n v="24438.54"/>
    <x v="146"/>
    <x v="57"/>
    <x v="318"/>
    <x v="0"/>
    <n v="0"/>
    <x v="0"/>
    <x v="2"/>
    <s v="FS"/>
    <x v="0"/>
    <m/>
    <m/>
    <m/>
  </r>
  <r>
    <n v="1479"/>
    <s v="SP"/>
    <x v="4"/>
    <x v="26"/>
    <x v="41"/>
    <s v="SERVIÇO"/>
    <x v="2214"/>
    <x v="20"/>
    <n v="26040"/>
    <n v="24438.54"/>
    <x v="325"/>
    <x v="59"/>
    <x v="244"/>
    <x v="0"/>
    <n v="0"/>
    <x v="0"/>
    <x v="2"/>
    <s v="FS"/>
    <x v="0"/>
    <m/>
    <m/>
    <m/>
  </r>
  <r>
    <n v="1479"/>
    <s v="SP"/>
    <x v="4"/>
    <x v="26"/>
    <x v="41"/>
    <s v="SERVIÇO"/>
    <x v="2215"/>
    <x v="21"/>
    <n v="26040"/>
    <n v="24438.54"/>
    <x v="279"/>
    <x v="62"/>
    <x v="277"/>
    <x v="0"/>
    <n v="0"/>
    <x v="0"/>
    <x v="2"/>
    <s v="FS"/>
    <x v="0"/>
    <m/>
    <m/>
    <m/>
  </r>
  <r>
    <n v="1479"/>
    <s v="SP"/>
    <x v="4"/>
    <x v="26"/>
    <x v="41"/>
    <s v="SERVIÇO"/>
    <x v="2216"/>
    <x v="22"/>
    <n v="26040"/>
    <n v="24438.54"/>
    <x v="228"/>
    <x v="76"/>
    <x v="314"/>
    <x v="0"/>
    <n v="0"/>
    <x v="0"/>
    <x v="2"/>
    <s v="FS"/>
    <x v="0"/>
    <m/>
    <m/>
    <m/>
  </r>
  <r>
    <n v="1479"/>
    <s v="SP"/>
    <x v="4"/>
    <x v="26"/>
    <x v="41"/>
    <s v="SERVIÇO"/>
    <x v="2217"/>
    <x v="23"/>
    <n v="26040"/>
    <n v="24438.54"/>
    <x v="334"/>
    <x v="64"/>
    <x v="269"/>
    <x v="0"/>
    <n v="0"/>
    <x v="0"/>
    <x v="2"/>
    <s v="FS"/>
    <x v="0"/>
    <m/>
    <m/>
    <m/>
  </r>
  <r>
    <n v="1296"/>
    <s v="MATRIZ"/>
    <x v="8"/>
    <x v="4"/>
    <x v="34"/>
    <s v="SERVIÇO"/>
    <x v="2218"/>
    <x v="19"/>
    <n v="165040.49"/>
    <n v="151589.70000000001"/>
    <x v="259"/>
    <x v="57"/>
    <x v="304"/>
    <x v="0"/>
    <m/>
    <x v="0"/>
    <x v="0"/>
    <s v="UT"/>
    <x v="0"/>
    <m/>
    <m/>
    <m/>
  </r>
  <r>
    <n v="1519"/>
    <s v="HUB"/>
    <x v="8"/>
    <x v="4"/>
    <x v="71"/>
    <s v="SERVIÇO"/>
    <x v="2219"/>
    <x v="30"/>
    <n v="138387.1"/>
    <n v="127108.55"/>
    <x v="297"/>
    <x v="75"/>
    <x v="234"/>
    <x v="0"/>
    <m/>
    <x v="0"/>
    <x v="0"/>
    <s v="UT"/>
    <x v="0"/>
    <m/>
    <m/>
    <m/>
  </r>
  <r>
    <n v="1519"/>
    <s v="HUB"/>
    <x v="8"/>
    <x v="4"/>
    <x v="71"/>
    <s v="SERVIÇO"/>
    <x v="2220"/>
    <x v="30"/>
    <n v="174080.29"/>
    <n v="159892.75"/>
    <x v="297"/>
    <x v="75"/>
    <x v="234"/>
    <x v="0"/>
    <m/>
    <x v="0"/>
    <x v="0"/>
    <s v="UT"/>
    <x v="0"/>
    <m/>
    <m/>
    <m/>
  </r>
  <r>
    <n v="1519"/>
    <s v="HUB"/>
    <x v="8"/>
    <x v="4"/>
    <x v="71"/>
    <s v="SERVIÇO"/>
    <x v="2221"/>
    <x v="21"/>
    <n v="167860.33"/>
    <n v="154179.72"/>
    <x v="299"/>
    <x v="75"/>
    <x v="234"/>
    <x v="0"/>
    <m/>
    <x v="0"/>
    <x v="0"/>
    <s v="UT"/>
    <x v="0"/>
    <m/>
    <m/>
    <m/>
  </r>
  <r>
    <n v="1519"/>
    <s v="HUB"/>
    <x v="8"/>
    <x v="4"/>
    <x v="71"/>
    <s v="SERVIÇO"/>
    <x v="2222"/>
    <x v="21"/>
    <n v="159330.49"/>
    <n v="146345.06"/>
    <x v="299"/>
    <x v="75"/>
    <x v="234"/>
    <x v="0"/>
    <m/>
    <x v="0"/>
    <x v="0"/>
    <s v="UT"/>
    <x v="0"/>
    <m/>
    <m/>
    <m/>
  </r>
  <r>
    <n v="1519"/>
    <s v="HUB"/>
    <x v="8"/>
    <x v="4"/>
    <x v="71"/>
    <s v="SERVIÇO"/>
    <x v="2223"/>
    <x v="22"/>
    <n v="159330.49"/>
    <n v="146345.06"/>
    <x v="275"/>
    <x v="63"/>
    <x v="194"/>
    <x v="0"/>
    <m/>
    <x v="0"/>
    <x v="0"/>
    <s v="UT"/>
    <x v="0"/>
    <m/>
    <m/>
    <m/>
  </r>
  <r>
    <n v="1519"/>
    <s v="HUB"/>
    <x v="8"/>
    <x v="4"/>
    <x v="71"/>
    <s v="SERVIÇO"/>
    <x v="2224"/>
    <x v="23"/>
    <n v="159330.49"/>
    <n v="146345.06"/>
    <x v="305"/>
    <x v="64"/>
    <x v="195"/>
    <x v="0"/>
    <m/>
    <x v="0"/>
    <x v="0"/>
    <s v="UT"/>
    <x v="0"/>
    <m/>
    <m/>
    <m/>
  </r>
  <r>
    <n v="1519"/>
    <s v="HUB"/>
    <x v="8"/>
    <x v="4"/>
    <x v="71"/>
    <s v="SERVIÇO"/>
    <x v="2225"/>
    <x v="22"/>
    <n v="167543.32"/>
    <n v="153888.54"/>
    <x v="268"/>
    <x v="64"/>
    <x v="195"/>
    <x v="0"/>
    <m/>
    <x v="0"/>
    <x v="0"/>
    <s v="UT"/>
    <x v="0"/>
    <m/>
    <m/>
    <m/>
  </r>
  <r>
    <n v="1519"/>
    <s v="HUB"/>
    <x v="8"/>
    <x v="4"/>
    <x v="71"/>
    <s v="SERVIÇO"/>
    <x v="2226"/>
    <x v="23"/>
    <n v="141833.64000000001"/>
    <n v="130274.19"/>
    <x v="268"/>
    <x v="64"/>
    <x v="195"/>
    <x v="0"/>
    <m/>
    <x v="0"/>
    <x v="0"/>
    <s v="UT"/>
    <x v="0"/>
    <m/>
    <m/>
    <m/>
  </r>
  <r>
    <n v="1519"/>
    <s v="HUB"/>
    <x v="8"/>
    <x v="4"/>
    <x v="71"/>
    <s v="SERVIÇO"/>
    <x v="582"/>
    <x v="24"/>
    <n v="234353.5"/>
    <m/>
    <x v="192"/>
    <x v="77"/>
    <x v="128"/>
    <x v="1"/>
    <m/>
    <x v="0"/>
    <x v="0"/>
    <s v="UT"/>
    <x v="0"/>
    <m/>
    <m/>
    <m/>
  </r>
  <r>
    <n v="1515"/>
    <s v="HUB"/>
    <x v="8"/>
    <x v="4"/>
    <x v="72"/>
    <s v="SERVIÇO"/>
    <x v="2227"/>
    <x v="21"/>
    <n v="2978.76"/>
    <n v="2691.31"/>
    <x v="338"/>
    <x v="75"/>
    <x v="234"/>
    <x v="0"/>
    <m/>
    <x v="0"/>
    <x v="0"/>
    <s v="UT"/>
    <x v="0"/>
    <m/>
    <m/>
    <m/>
  </r>
  <r>
    <n v="1515"/>
    <s v="HUB"/>
    <x v="8"/>
    <x v="4"/>
    <x v="72"/>
    <s v="SERVIÇO"/>
    <x v="2228"/>
    <x v="21"/>
    <n v="47537.89"/>
    <n v="42950.47"/>
    <x v="338"/>
    <x v="75"/>
    <x v="234"/>
    <x v="0"/>
    <m/>
    <x v="0"/>
    <x v="0"/>
    <s v="UT"/>
    <x v="0"/>
    <m/>
    <m/>
    <m/>
  </r>
  <r>
    <n v="1515"/>
    <s v="HUB"/>
    <x v="8"/>
    <x v="4"/>
    <x v="72"/>
    <s v="SERVIÇO"/>
    <x v="2229"/>
    <x v="22"/>
    <n v="188328.25"/>
    <n v="172979.5"/>
    <x v="301"/>
    <x v="63"/>
    <x v="194"/>
    <x v="0"/>
    <m/>
    <x v="0"/>
    <x v="0"/>
    <s v="UT"/>
    <x v="0"/>
    <m/>
    <m/>
    <m/>
  </r>
  <r>
    <n v="1515"/>
    <s v="HUB"/>
    <x v="8"/>
    <x v="4"/>
    <x v="72"/>
    <s v="SERVIÇO"/>
    <x v="2230"/>
    <x v="22"/>
    <n v="23480.27"/>
    <n v="21566.63"/>
    <x v="301"/>
    <x v="63"/>
    <x v="194"/>
    <x v="0"/>
    <m/>
    <x v="0"/>
    <x v="0"/>
    <s v="UT"/>
    <x v="0"/>
    <m/>
    <m/>
    <m/>
  </r>
  <r>
    <n v="1515"/>
    <s v="HUB"/>
    <x v="8"/>
    <x v="4"/>
    <x v="72"/>
    <s v="SERVIÇO"/>
    <x v="2231"/>
    <x v="22"/>
    <n v="20529.189999999999"/>
    <n v="18856.060000000001"/>
    <x v="302"/>
    <x v="63"/>
    <x v="194"/>
    <x v="0"/>
    <m/>
    <x v="0"/>
    <x v="0"/>
    <s v="UT"/>
    <x v="0"/>
    <m/>
    <m/>
    <m/>
  </r>
  <r>
    <n v="1515"/>
    <s v="HUB"/>
    <x v="8"/>
    <x v="4"/>
    <x v="72"/>
    <s v="SERVIÇO"/>
    <x v="2232"/>
    <x v="23"/>
    <n v="43898.8"/>
    <n v="39662.57"/>
    <x v="310"/>
    <x v="64"/>
    <x v="195"/>
    <x v="0"/>
    <m/>
    <x v="0"/>
    <x v="0"/>
    <s v="UT"/>
    <x v="0"/>
    <m/>
    <m/>
    <m/>
  </r>
  <r>
    <n v="1515"/>
    <s v="HUB"/>
    <x v="8"/>
    <x v="4"/>
    <x v="72"/>
    <s v="SERVIÇO"/>
    <x v="2233"/>
    <x v="23"/>
    <n v="4948.1499999999996"/>
    <n v="4470.67"/>
    <x v="310"/>
    <x v="65"/>
    <x v="128"/>
    <x v="2"/>
    <m/>
    <x v="0"/>
    <x v="0"/>
    <s v="UT"/>
    <x v="0"/>
    <m/>
    <m/>
    <m/>
  </r>
  <r>
    <n v="1515"/>
    <s v="HUB"/>
    <x v="8"/>
    <x v="4"/>
    <x v="72"/>
    <s v="SERVIÇO"/>
    <x v="2234"/>
    <x v="23"/>
    <n v="56498.48"/>
    <n v="51046.400000000001"/>
    <x v="310"/>
    <x v="65"/>
    <x v="128"/>
    <x v="2"/>
    <m/>
    <x v="0"/>
    <x v="0"/>
    <s v="UT"/>
    <x v="0"/>
    <m/>
    <m/>
    <m/>
  </r>
  <r>
    <n v="1515"/>
    <s v="HUB"/>
    <x v="8"/>
    <x v="4"/>
    <x v="72"/>
    <s v="SERVIÇO"/>
    <x v="2235"/>
    <x v="23"/>
    <n v="36014.47"/>
    <n v="32539.1"/>
    <x v="237"/>
    <x v="65"/>
    <x v="128"/>
    <x v="2"/>
    <m/>
    <x v="0"/>
    <x v="0"/>
    <s v="UT"/>
    <x v="0"/>
    <m/>
    <m/>
    <m/>
  </r>
  <r>
    <n v="1515"/>
    <s v="HUB"/>
    <x v="8"/>
    <x v="4"/>
    <x v="72"/>
    <s v="SERVIÇO"/>
    <x v="2236"/>
    <x v="23"/>
    <n v="46818.81"/>
    <n v="43003.1"/>
    <x v="237"/>
    <x v="65"/>
    <x v="128"/>
    <x v="2"/>
    <m/>
    <x v="0"/>
    <x v="0"/>
    <s v="UT"/>
    <x v="0"/>
    <m/>
    <m/>
    <m/>
  </r>
  <r>
    <n v="1515"/>
    <s v="HUB"/>
    <x v="8"/>
    <x v="4"/>
    <x v="72"/>
    <s v="SERVIÇO"/>
    <x v="2237"/>
    <x v="23"/>
    <n v="57068.44"/>
    <n v="52417.38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38"/>
    <x v="23"/>
    <n v="52142.8"/>
    <n v="47893.19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39"/>
    <x v="23"/>
    <n v="6432.59"/>
    <n v="5908.35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0"/>
    <x v="23"/>
    <n v="35782.370000000003"/>
    <n v="32866.120000000003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1"/>
    <x v="23"/>
    <n v="22809.16"/>
    <n v="20950.23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2"/>
    <x v="23"/>
    <n v="27802.57"/>
    <n v="25536.68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3"/>
    <x v="23"/>
    <n v="25402.9"/>
    <n v="23332.59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4"/>
    <x v="23"/>
    <n v="3133.83"/>
    <n v="2878.45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5"/>
    <x v="23"/>
    <n v="22599.39"/>
    <n v="20757.560000000001"/>
    <x v="271"/>
    <x v="65"/>
    <x v="128"/>
    <x v="2"/>
    <m/>
    <x v="0"/>
    <x v="0"/>
    <s v="UT"/>
    <x v="0"/>
    <m/>
    <m/>
    <m/>
  </r>
  <r>
    <n v="1515"/>
    <s v="HUB"/>
    <x v="8"/>
    <x v="4"/>
    <x v="72"/>
    <s v="SERVIÇO"/>
    <x v="2246"/>
    <x v="23"/>
    <n v="14405.79"/>
    <n v="13231.74"/>
    <x v="351"/>
    <x v="65"/>
    <x v="128"/>
    <x v="2"/>
    <m/>
    <x v="0"/>
    <x v="0"/>
    <s v="UT"/>
    <x v="0"/>
    <m/>
    <m/>
    <m/>
  </r>
  <r>
    <n v="1515"/>
    <s v="HUB"/>
    <x v="8"/>
    <x v="4"/>
    <x v="72"/>
    <s v="SERVIÇO"/>
    <x v="2247"/>
    <x v="23"/>
    <n v="17559.52"/>
    <n v="16128.44"/>
    <x v="351"/>
    <x v="65"/>
    <x v="128"/>
    <x v="2"/>
    <m/>
    <x v="0"/>
    <x v="0"/>
    <s v="UT"/>
    <x v="0"/>
    <m/>
    <m/>
    <m/>
  </r>
  <r>
    <n v="1515"/>
    <s v="HUB"/>
    <x v="8"/>
    <x v="4"/>
    <x v="72"/>
    <s v="SERVIÇO"/>
    <x v="2248"/>
    <x v="23"/>
    <n v="16043.94"/>
    <n v="14736.39"/>
    <x v="351"/>
    <x v="65"/>
    <x v="128"/>
    <x v="2"/>
    <m/>
    <x v="0"/>
    <x v="0"/>
    <s v="UT"/>
    <x v="0"/>
    <m/>
    <m/>
    <m/>
  </r>
  <r>
    <n v="1515"/>
    <s v="HUB"/>
    <x v="8"/>
    <x v="4"/>
    <x v="72"/>
    <s v="SERVIÇO"/>
    <x v="2249"/>
    <x v="23"/>
    <n v="1979.26"/>
    <n v="1817.97"/>
    <x v="351"/>
    <x v="65"/>
    <x v="128"/>
    <x v="2"/>
    <m/>
    <x v="0"/>
    <x v="0"/>
    <s v="UT"/>
    <x v="0"/>
    <m/>
    <m/>
    <m/>
  </r>
  <r>
    <n v="1515"/>
    <s v="HUB"/>
    <x v="8"/>
    <x v="4"/>
    <x v="72"/>
    <s v="SERVIÇO"/>
    <x v="2250"/>
    <x v="23"/>
    <n v="73448.02"/>
    <n v="67462.009999999995"/>
    <x v="351"/>
    <x v="65"/>
    <x v="128"/>
    <x v="2"/>
    <m/>
    <x v="0"/>
    <x v="0"/>
    <s v="UT"/>
    <x v="0"/>
    <m/>
    <m/>
    <m/>
  </r>
  <r>
    <n v="1515"/>
    <s v="HUB"/>
    <x v="8"/>
    <x v="4"/>
    <x v="72"/>
    <s v="SERVIÇO"/>
    <x v="2251"/>
    <x v="23"/>
    <n v="40109.839999999997"/>
    <n v="36840.89"/>
    <x v="191"/>
    <x v="65"/>
    <x v="128"/>
    <x v="2"/>
    <m/>
    <x v="0"/>
    <x v="0"/>
    <s v="UT"/>
    <x v="0"/>
    <m/>
    <m/>
    <m/>
  </r>
  <r>
    <n v="1515"/>
    <s v="HUB"/>
    <x v="8"/>
    <x v="4"/>
    <x v="72"/>
    <s v="SERVIÇO"/>
    <x v="2252"/>
    <x v="24"/>
    <n v="76404.25"/>
    <n v="70177.3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3"/>
    <x v="24"/>
    <n v="58772.5"/>
    <n v="53982.53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4"/>
    <x v="24"/>
    <n v="66493.509999999995"/>
    <n v="61074.28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5"/>
    <x v="24"/>
    <n v="51148.85"/>
    <n v="46980.2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6"/>
    <x v="24"/>
    <n v="160522.82"/>
    <n v="147440.2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7"/>
    <x v="24"/>
    <n v="123517.55"/>
    <n v="111598.1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8"/>
    <x v="24"/>
    <n v="9246.3799999999992"/>
    <n v="8354.1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59"/>
    <x v="24"/>
    <n v="12020.3"/>
    <n v="11040.65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0"/>
    <x v="24"/>
    <n v="37222.58"/>
    <n v="34188.93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1"/>
    <x v="24"/>
    <n v="23509"/>
    <n v="21593.0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2"/>
    <x v="24"/>
    <n v="32394.27"/>
    <n v="29754.14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3"/>
    <x v="24"/>
    <n v="20459.54"/>
    <n v="18792.080000000002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4"/>
    <x v="24"/>
    <n v="78227.78"/>
    <n v="71852.22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5"/>
    <x v="24"/>
    <n v="49407.02"/>
    <n v="45380.34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6"/>
    <x v="24"/>
    <n v="5852.04"/>
    <n v="5375.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7"/>
    <x v="24"/>
    <n v="3698.55"/>
    <n v="3397.11"/>
    <x v="307"/>
    <x v="77"/>
    <x v="128"/>
    <x v="2"/>
    <m/>
    <x v="0"/>
    <x v="0"/>
    <s v="UT"/>
    <x v="0"/>
    <m/>
    <m/>
    <m/>
  </r>
  <r>
    <n v="1515"/>
    <s v="HUB"/>
    <x v="8"/>
    <x v="4"/>
    <x v="72"/>
    <s v="SERVIÇO"/>
    <x v="2268"/>
    <x v="22"/>
    <n v="16370.21"/>
    <n v="14790.48"/>
    <x v="272"/>
    <x v="77"/>
    <x v="128"/>
    <x v="2"/>
    <m/>
    <x v="0"/>
    <x v="0"/>
    <s v="UT"/>
    <x v="0"/>
    <m/>
    <m/>
    <m/>
  </r>
  <r>
    <n v="1515"/>
    <s v="HUB"/>
    <x v="8"/>
    <x v="4"/>
    <x v="72"/>
    <s v="SERVIÇO"/>
    <x v="2269"/>
    <x v="24"/>
    <n v="10367.799999999999"/>
    <n v="9522.83"/>
    <x v="272"/>
    <x v="77"/>
    <x v="128"/>
    <x v="2"/>
    <m/>
    <x v="0"/>
    <x v="0"/>
    <s v="UT"/>
    <x v="0"/>
    <m/>
    <m/>
    <m/>
  </r>
  <r>
    <n v="1515"/>
    <s v="HUB"/>
    <x v="8"/>
    <x v="4"/>
    <x v="72"/>
    <s v="SERVIÇO"/>
    <x v="2270"/>
    <x v="24"/>
    <n v="6548.09"/>
    <n v="6014.43"/>
    <x v="272"/>
    <x v="77"/>
    <x v="128"/>
    <x v="2"/>
    <m/>
    <x v="0"/>
    <x v="0"/>
    <s v="UT"/>
    <x v="0"/>
    <m/>
    <m/>
    <m/>
  </r>
  <r>
    <n v="1296"/>
    <s v="MATRIZ"/>
    <x v="8"/>
    <x v="4"/>
    <x v="34"/>
    <s v="SERVIÇO"/>
    <x v="2271"/>
    <x v="19"/>
    <n v="165040.49"/>
    <n v="151589.70000000001"/>
    <x v="335"/>
    <x v="86"/>
    <x v="319"/>
    <x v="0"/>
    <m/>
    <x v="0"/>
    <x v="0"/>
    <s v="UT"/>
    <x v="0"/>
    <m/>
    <m/>
    <m/>
  </r>
  <r>
    <n v="1480"/>
    <s v="SP"/>
    <x v="4"/>
    <x v="31"/>
    <x v="56"/>
    <s v="SERVIÇO"/>
    <x v="2272"/>
    <x v="19"/>
    <n v="535168"/>
    <n v="502255.17"/>
    <x v="225"/>
    <x v="68"/>
    <x v="208"/>
    <x v="0"/>
    <m/>
    <x v="0"/>
    <x v="1"/>
    <s v="FS"/>
    <x v="0"/>
    <m/>
    <m/>
    <m/>
  </r>
  <r>
    <n v="1299"/>
    <s v="HUB"/>
    <x v="6"/>
    <x v="23"/>
    <x v="33"/>
    <s v="SERVIÇO"/>
    <x v="2273"/>
    <x v="7"/>
    <n v="1020096"/>
    <n v="950729.47"/>
    <x v="258"/>
    <x v="52"/>
    <x v="262"/>
    <x v="0"/>
    <m/>
    <x v="0"/>
    <x v="1"/>
    <s v="PS"/>
    <x v="3"/>
    <m/>
    <m/>
    <m/>
  </r>
  <r>
    <n v="1299"/>
    <s v="HUB"/>
    <x v="6"/>
    <x v="23"/>
    <x v="33"/>
    <s v="SERVIÇO"/>
    <x v="2274"/>
    <x v="12"/>
    <n v="1020096"/>
    <n v="950729.47"/>
    <x v="258"/>
    <x v="52"/>
    <x v="262"/>
    <x v="0"/>
    <m/>
    <x v="0"/>
    <x v="1"/>
    <s v="PS"/>
    <x v="3"/>
    <m/>
    <m/>
    <m/>
  </r>
  <r>
    <n v="1299"/>
    <s v="HUB"/>
    <x v="6"/>
    <x v="23"/>
    <x v="33"/>
    <s v="SERVIÇO"/>
    <x v="2275"/>
    <x v="17"/>
    <n v="1020096"/>
    <n v="950729.47"/>
    <x v="259"/>
    <x v="52"/>
    <x v="262"/>
    <x v="0"/>
    <m/>
    <x v="0"/>
    <x v="1"/>
    <s v="PS"/>
    <x v="3"/>
    <m/>
    <m/>
    <m/>
  </r>
  <r>
    <n v="1299"/>
    <s v="HUB"/>
    <x v="6"/>
    <x v="23"/>
    <x v="33"/>
    <s v="SERVIÇO"/>
    <x v="2276"/>
    <x v="19"/>
    <n v="425525.76000000001"/>
    <n v="396590"/>
    <x v="336"/>
    <x v="52"/>
    <x v="262"/>
    <x v="0"/>
    <m/>
    <x v="0"/>
    <x v="1"/>
    <s v="PS"/>
    <x v="3"/>
    <m/>
    <m/>
    <m/>
  </r>
  <r>
    <n v="1289"/>
    <s v="HUB"/>
    <x v="6"/>
    <x v="23"/>
    <x v="30"/>
    <s v="SERVIÇO"/>
    <x v="582"/>
    <x v="35"/>
    <n v="60000"/>
    <m/>
    <x v="269"/>
    <x v="42"/>
    <x v="128"/>
    <x v="1"/>
    <m/>
    <x v="0"/>
    <x v="0"/>
    <s v="PS"/>
    <x v="3"/>
    <m/>
    <m/>
    <m/>
  </r>
  <r>
    <n v="1271"/>
    <s v="HUB"/>
    <x v="6"/>
    <x v="23"/>
    <x v="32"/>
    <s v="SERVIÇO"/>
    <x v="582"/>
    <x v="35"/>
    <n v="53139"/>
    <m/>
    <x v="228"/>
    <x v="42"/>
    <x v="128"/>
    <x v="1"/>
    <m/>
    <x v="0"/>
    <x v="0"/>
    <s v="PS"/>
    <x v="3"/>
    <m/>
    <m/>
    <m/>
  </r>
  <r>
    <n v="1288"/>
    <s v="HUB"/>
    <x v="6"/>
    <x v="23"/>
    <x v="31"/>
    <s v="SERVIÇO"/>
    <x v="582"/>
    <x v="35"/>
    <n v="81809"/>
    <m/>
    <x v="228"/>
    <x v="42"/>
    <x v="128"/>
    <x v="1"/>
    <m/>
    <x v="0"/>
    <x v="1"/>
    <s v="PS"/>
    <x v="3"/>
    <m/>
    <m/>
    <m/>
  </r>
  <r>
    <n v="1299"/>
    <s v="HUB"/>
    <x v="6"/>
    <x v="23"/>
    <x v="33"/>
    <s v="SERVIÇO"/>
    <x v="582"/>
    <x v="35"/>
    <n v="212058"/>
    <m/>
    <x v="228"/>
    <x v="42"/>
    <x v="128"/>
    <x v="1"/>
    <m/>
    <x v="0"/>
    <x v="1"/>
    <s v="PS"/>
    <x v="3"/>
    <m/>
    <m/>
    <m/>
  </r>
  <r>
    <n v="1273"/>
    <s v="HUB"/>
    <x v="6"/>
    <x v="25"/>
    <x v="37"/>
    <s v="SERVIÇO"/>
    <x v="2277"/>
    <x v="23"/>
    <n v="577608.75"/>
    <n v="518115.04"/>
    <x v="265"/>
    <x v="73"/>
    <x v="229"/>
    <x v="0"/>
    <n v="0"/>
    <x v="0"/>
    <x v="0"/>
    <s v="PS"/>
    <x v="3"/>
    <m/>
    <m/>
    <m/>
  </r>
  <r>
    <n v="1514"/>
    <s v="HUB"/>
    <x v="6"/>
    <x v="25"/>
    <x v="68"/>
    <s v="SERVIÇO"/>
    <x v="2278"/>
    <x v="22"/>
    <n v="2293393.12"/>
    <n v="2137442.39"/>
    <x v="238"/>
    <x v="73"/>
    <x v="128"/>
    <x v="2"/>
    <n v="0"/>
    <x v="0"/>
    <x v="1"/>
    <s v="PS"/>
    <x v="3"/>
    <m/>
    <m/>
    <m/>
  </r>
  <r>
    <n v="1514"/>
    <s v="HUB"/>
    <x v="6"/>
    <x v="25"/>
    <x v="68"/>
    <s v="SERVIÇO"/>
    <x v="582"/>
    <x v="23"/>
    <n v="2400000"/>
    <n v="559965.74"/>
    <x v="192"/>
    <x v="73"/>
    <x v="128"/>
    <x v="1"/>
    <n v="0"/>
    <x v="0"/>
    <x v="1"/>
    <s v="PS"/>
    <x v="3"/>
    <m/>
    <m/>
    <m/>
  </r>
  <r>
    <n v="1299"/>
    <s v="HUB"/>
    <x v="6"/>
    <x v="23"/>
    <x v="33"/>
    <s v="SERVIÇO"/>
    <x v="2279"/>
    <x v="30"/>
    <n v="1020096"/>
    <n v="950729.47"/>
    <x v="279"/>
    <x v="61"/>
    <x v="191"/>
    <x v="0"/>
    <m/>
    <x v="0"/>
    <x v="1"/>
    <s v="PS"/>
    <x v="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982249-531A-4F13-A636-CE5DEBBA2923}" name="Tabela dinâmica1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>
  <location ref="G4:I33" firstHeaderRow="1" firstDataRow="3" firstDataCol="1" rowPageCount="1" colPageCount="1"/>
  <pivotFields count="34">
    <pivotField showAll="0"/>
    <pivotField showAll="0"/>
    <pivotField showAll="0">
      <items count="11">
        <item m="1" x="9"/>
        <item x="5"/>
        <item x="7"/>
        <item x="1"/>
        <item x="8"/>
        <item x="0"/>
        <item x="6"/>
        <item x="3"/>
        <item x="4"/>
        <item x="2"/>
        <item t="default"/>
      </items>
    </pivotField>
    <pivotField axis="axisRow" showAll="0" sortType="descending">
      <items count="39">
        <item sd="0" x="2"/>
        <item sd="0" x="11"/>
        <item sd="0" x="1"/>
        <item sd="0" x="12"/>
        <item sd="0" x="14"/>
        <item sd="0" x="31"/>
        <item sd="0" x="15"/>
        <item sd="0" x="28"/>
        <item sd="0" x="24"/>
        <item sd="0" x="29"/>
        <item sd="0" x="16"/>
        <item sd="0" x="0"/>
        <item sd="0" x="19"/>
        <item sd="0" x="20"/>
        <item sd="0" x="21"/>
        <item sd="0" x="6"/>
        <item sd="0" x="23"/>
        <item sd="0" x="8"/>
        <item sd="0" x="9"/>
        <item sd="0" x="26"/>
        <item sd="0" x="33"/>
        <item sd="0" m="1" x="37"/>
        <item sd="0" x="34"/>
        <item sd="0" x="10"/>
        <item sd="0" x="13"/>
        <item sd="0" x="5"/>
        <item sd="0" x="17"/>
        <item sd="0" x="22"/>
        <item sd="0" x="25"/>
        <item sd="0" x="32"/>
        <item sd="0" x="30"/>
        <item sd="0" x="4"/>
        <item sd="0" x="7"/>
        <item sd="0" x="3"/>
        <item sd="0" x="36"/>
        <item sd="0" x="18"/>
        <item sd="0" x="35"/>
        <item sd="0" x="27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69">
        <item m="1" x="249"/>
        <item m="1" x="133"/>
        <item m="1" x="134"/>
        <item m="1" x="138"/>
        <item m="1" x="139"/>
        <item m="1" x="141"/>
        <item m="1" x="142"/>
        <item m="1" x="143"/>
        <item m="1" x="144"/>
        <item m="1" x="145"/>
        <item m="1" x="146"/>
        <item m="1" x="150"/>
        <item m="1" x="265"/>
        <item m="1" x="151"/>
        <item m="1" x="266"/>
        <item m="1" x="152"/>
        <item m="1" x="153"/>
        <item m="1" x="154"/>
        <item m="1" x="255"/>
        <item m="1" x="156"/>
        <item m="1" x="157"/>
        <item m="1" x="158"/>
        <item m="1" x="159"/>
        <item m="1" x="160"/>
        <item m="1" x="161"/>
        <item m="1" x="163"/>
        <item m="1" x="261"/>
        <item m="1" x="164"/>
        <item m="1" x="166"/>
        <item m="1" x="167"/>
        <item m="1" x="169"/>
        <item m="1" x="250"/>
        <item m="1" x="251"/>
        <item m="1" x="171"/>
        <item m="1" x="172"/>
        <item m="1" x="173"/>
        <item m="1" x="174"/>
        <item m="1" x="175"/>
        <item m="1" x="264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7"/>
        <item m="1" x="188"/>
        <item m="1" x="252"/>
        <item m="1" x="190"/>
        <item m="1" x="191"/>
        <item m="1" x="192"/>
        <item m="1" x="193"/>
        <item m="1" x="194"/>
        <item m="1" x="195"/>
        <item m="1" x="267"/>
        <item m="1" x="196"/>
        <item m="1" x="197"/>
        <item m="1" x="198"/>
        <item m="1" x="199"/>
        <item m="1" x="202"/>
        <item m="1" x="204"/>
        <item m="1" x="205"/>
        <item m="1" x="206"/>
        <item m="1" x="253"/>
        <item m="1" x="208"/>
        <item m="1" x="209"/>
        <item m="1" x="211"/>
        <item m="1" x="212"/>
        <item m="1" x="213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8"/>
        <item m="1" x="229"/>
        <item m="1" x="256"/>
        <item m="1" x="231"/>
        <item m="1" x="232"/>
        <item m="1" x="263"/>
        <item m="1" x="233"/>
        <item m="1" x="234"/>
        <item m="1" x="235"/>
        <item m="1" x="236"/>
        <item m="1" x="237"/>
        <item m="1" x="238"/>
        <item m="1" x="239"/>
        <item m="1" x="240"/>
        <item m="1" x="262"/>
        <item m="1" x="242"/>
        <item m="1" x="243"/>
        <item m="1" x="244"/>
        <item m="1" x="85"/>
        <item m="1" x="260"/>
        <item m="1" x="241"/>
        <item m="1" x="168"/>
        <item m="1" x="216"/>
        <item m="1" x="247"/>
        <item m="1" x="259"/>
        <item m="1" x="203"/>
        <item m="1" x="149"/>
        <item x="46"/>
        <item m="1" x="201"/>
        <item m="1" x="254"/>
        <item m="1" x="258"/>
        <item m="1" x="135"/>
        <item m="1" x="214"/>
        <item m="1" x="257"/>
        <item m="1" x="136"/>
        <item m="1" x="140"/>
        <item m="1" x="227"/>
        <item m="1" x="186"/>
        <item m="1" x="170"/>
        <item m="1" x="189"/>
        <item m="1" x="207"/>
        <item m="1" x="162"/>
        <item m="1" x="155"/>
        <item m="1" x="230"/>
        <item m="1" x="248"/>
        <item m="1" x="245"/>
        <item m="1" x="246"/>
        <item m="1" x="215"/>
        <item m="1" x="137"/>
        <item m="1" x="165"/>
        <item m="1" x="210"/>
        <item m="1" x="200"/>
        <item m="1" x="148"/>
        <item m="1" x="147"/>
        <item m="1" x="92"/>
        <item x="2"/>
        <item x="49"/>
        <item x="51"/>
        <item x="54"/>
        <item x="10"/>
        <item m="1" x="128"/>
        <item x="52"/>
        <item sd="0" x="11"/>
        <item sd="0" x="12"/>
        <item x="13"/>
        <item sd="0" x="14"/>
        <item m="1" x="98"/>
        <item sd="0" x="3"/>
        <item sd="0" m="1" x="88"/>
        <item sd="0" x="66"/>
        <item x="42"/>
        <item m="1" x="99"/>
        <item x="25"/>
        <item x="1"/>
        <item m="1" x="124"/>
        <item sd="0" x="21"/>
        <item x="15"/>
        <item x="16"/>
        <item m="1" x="74"/>
        <item m="1" x="76"/>
        <item sd="0" x="34"/>
        <item m="1" x="100"/>
        <item sd="0" x="4"/>
        <item x="17"/>
        <item x="43"/>
        <item x="48"/>
        <item m="1" x="101"/>
        <item x="62"/>
        <item m="1" x="102"/>
        <item x="18"/>
        <item x="44"/>
        <item x="5"/>
        <item m="1" x="103"/>
        <item m="1" x="104"/>
        <item m="1" x="105"/>
        <item m="1" x="84"/>
        <item m="1" x="121"/>
        <item x="45"/>
        <item x="19"/>
        <item m="1" x="106"/>
        <item m="1" x="125"/>
        <item m="1" x="119"/>
        <item m="1" x="107"/>
        <item m="1" x="108"/>
        <item m="1" x="109"/>
        <item m="1" x="122"/>
        <item m="1" x="123"/>
        <item m="1" x="110"/>
        <item m="1" x="126"/>
        <item m="1" x="111"/>
        <item m="1" x="83"/>
        <item m="1" x="112"/>
        <item x="20"/>
        <item m="1" x="113"/>
        <item m="1" x="127"/>
        <item m="1" x="114"/>
        <item m="1" x="115"/>
        <item x="0"/>
        <item m="1" x="75"/>
        <item m="1" x="116"/>
        <item x="22"/>
        <item sd="0" x="58"/>
        <item x="50"/>
        <item m="1" x="130"/>
        <item sd="0" x="23"/>
        <item x="24"/>
        <item m="1" x="120"/>
        <item x="26"/>
        <item m="1" x="95"/>
        <item x="27"/>
        <item m="1" x="96"/>
        <item m="1" x="80"/>
        <item x="28"/>
        <item x="60"/>
        <item m="1" x="132"/>
        <item x="6"/>
        <item m="1" x="117"/>
        <item x="29"/>
        <item m="1" x="94"/>
        <item x="30"/>
        <item x="31"/>
        <item x="32"/>
        <item x="33"/>
        <item x="7"/>
        <item m="1" x="118"/>
        <item m="1" x="77"/>
        <item x="53"/>
        <item x="8"/>
        <item x="47"/>
        <item m="1" x="129"/>
        <item m="1" x="79"/>
        <item m="1" x="78"/>
        <item m="1" x="81"/>
        <item x="55"/>
        <item x="35"/>
        <item x="36"/>
        <item x="37"/>
        <item x="38"/>
        <item x="39"/>
        <item m="1" x="82"/>
        <item x="9"/>
        <item x="40"/>
        <item x="41"/>
        <item m="1" x="97"/>
        <item x="61"/>
        <item x="59"/>
        <item x="67"/>
        <item sd="0" x="63"/>
        <item m="1" x="86"/>
        <item x="68"/>
        <item m="1" x="90"/>
        <item m="1" x="91"/>
        <item m="1" x="131"/>
        <item m="1" x="89"/>
        <item m="1" x="93"/>
        <item m="1" x="73"/>
        <item x="56"/>
        <item x="57"/>
        <item m="1" x="87"/>
        <item x="69"/>
        <item x="71"/>
        <item x="72"/>
        <item x="70"/>
        <item x="65"/>
        <item x="64"/>
        <item t="default"/>
      </items>
    </pivotField>
    <pivotField showAll="0"/>
    <pivotField showAll="0" countASubtotal="1" countSubtotal="1"/>
    <pivotField showAll="0"/>
    <pivotField dataField="1" showAll="0"/>
    <pivotField showAll="0"/>
    <pivotField showAll="0"/>
    <pivotField axis="axisCol" showAll="0" sortType="ascending">
      <items count="89">
        <item x="11"/>
        <item x="17"/>
        <item x="0"/>
        <item x="12"/>
        <item x="15"/>
        <item x="1"/>
        <item x="2"/>
        <item x="14"/>
        <item x="23"/>
        <item x="25"/>
        <item x="3"/>
        <item x="27"/>
        <item x="32"/>
        <item x="28"/>
        <item x="29"/>
        <item x="31"/>
        <item x="4"/>
        <item x="24"/>
        <item x="30"/>
        <item x="35"/>
        <item x="34"/>
        <item x="5"/>
        <item x="36"/>
        <item x="38"/>
        <item x="10"/>
        <item x="40"/>
        <item x="39"/>
        <item x="43"/>
        <item x="41"/>
        <item x="46"/>
        <item x="13"/>
        <item x="18"/>
        <item x="20"/>
        <item x="21"/>
        <item x="19"/>
        <item x="51"/>
        <item x="22"/>
        <item x="37"/>
        <item x="44"/>
        <item x="50"/>
        <item x="49"/>
        <item x="48"/>
        <item x="53"/>
        <item x="26"/>
        <item x="55"/>
        <item x="47"/>
        <item x="56"/>
        <item x="67"/>
        <item x="6"/>
        <item x="7"/>
        <item x="69"/>
        <item x="9"/>
        <item x="16"/>
        <item x="8"/>
        <item x="54"/>
        <item x="52"/>
        <item x="70"/>
        <item x="86"/>
        <item x="57"/>
        <item x="33"/>
        <item x="58"/>
        <item x="74"/>
        <item x="81"/>
        <item x="68"/>
        <item x="59"/>
        <item x="71"/>
        <item x="85"/>
        <item x="61"/>
        <item x="60"/>
        <item x="62"/>
        <item x="72"/>
        <item x="75"/>
        <item x="45"/>
        <item x="78"/>
        <item x="63"/>
        <item x="76"/>
        <item x="82"/>
        <item x="84"/>
        <item x="64"/>
        <item x="73"/>
        <item x="65"/>
        <item x="79"/>
        <item x="77"/>
        <item x="83"/>
        <item x="66"/>
        <item x="87"/>
        <item x="80"/>
        <item x="42"/>
        <item t="default"/>
      </items>
    </pivotField>
    <pivotField showAll="0">
      <items count="321">
        <item x="15"/>
        <item x="24"/>
        <item x="14"/>
        <item x="23"/>
        <item x="64"/>
        <item x="65"/>
        <item x="0"/>
        <item x="1"/>
        <item x="37"/>
        <item x="51"/>
        <item x="38"/>
        <item x="42"/>
        <item x="16"/>
        <item x="35"/>
        <item x="39"/>
        <item x="43"/>
        <item x="20"/>
        <item x="2"/>
        <item x="22"/>
        <item x="33"/>
        <item x="48"/>
        <item x="45"/>
        <item x="77"/>
        <item x="67"/>
        <item x="47"/>
        <item x="3"/>
        <item x="62"/>
        <item x="76"/>
        <item x="19"/>
        <item x="53"/>
        <item x="46"/>
        <item x="57"/>
        <item x="34"/>
        <item x="44"/>
        <item x="56"/>
        <item x="49"/>
        <item x="70"/>
        <item x="71"/>
        <item x="72"/>
        <item x="40"/>
        <item x="41"/>
        <item x="73"/>
        <item x="4"/>
        <item x="80"/>
        <item x="86"/>
        <item x="54"/>
        <item x="63"/>
        <item x="68"/>
        <item x="58"/>
        <item x="74"/>
        <item x="81"/>
        <item x="91"/>
        <item x="55"/>
        <item x="59"/>
        <item x="92"/>
        <item x="96"/>
        <item x="87"/>
        <item x="83"/>
        <item x="66"/>
        <item x="93"/>
        <item x="79"/>
        <item x="5"/>
        <item x="88"/>
        <item x="97"/>
        <item x="95"/>
        <item x="82"/>
        <item x="61"/>
        <item x="36"/>
        <item x="60"/>
        <item x="90"/>
        <item x="104"/>
        <item x="105"/>
        <item x="106"/>
        <item x="84"/>
        <item x="124"/>
        <item x="103"/>
        <item x="107"/>
        <item x="85"/>
        <item x="98"/>
        <item x="6"/>
        <item x="102"/>
        <item x="69"/>
        <item x="99"/>
        <item x="115"/>
        <item x="117"/>
        <item x="108"/>
        <item x="111"/>
        <item x="109"/>
        <item x="113"/>
        <item x="112"/>
        <item x="118"/>
        <item x="121"/>
        <item x="125"/>
        <item x="122"/>
        <item x="94"/>
        <item x="13"/>
        <item x="120"/>
        <item x="140"/>
        <item x="114"/>
        <item x="132"/>
        <item x="110"/>
        <item x="142"/>
        <item x="116"/>
        <item x="131"/>
        <item x="123"/>
        <item x="129"/>
        <item x="119"/>
        <item x="126"/>
        <item x="130"/>
        <item x="141"/>
        <item x="136"/>
        <item x="143"/>
        <item x="138"/>
        <item x="139"/>
        <item x="127"/>
        <item x="137"/>
        <item x="18"/>
        <item x="152"/>
        <item x="153"/>
        <item x="149"/>
        <item x="27"/>
        <item x="164"/>
        <item x="25"/>
        <item x="75"/>
        <item x="28"/>
        <item x="29"/>
        <item x="31"/>
        <item x="30"/>
        <item x="144"/>
        <item x="145"/>
        <item x="26"/>
        <item x="160"/>
        <item x="163"/>
        <item x="156"/>
        <item x="154"/>
        <item x="165"/>
        <item x="155"/>
        <item x="157"/>
        <item x="32"/>
        <item x="133"/>
        <item x="166"/>
        <item x="89"/>
        <item x="101"/>
        <item x="100"/>
        <item x="169"/>
        <item x="146"/>
        <item x="170"/>
        <item x="172"/>
        <item x="167"/>
        <item x="176"/>
        <item x="181"/>
        <item x="168"/>
        <item x="134"/>
        <item x="151"/>
        <item x="205"/>
        <item x="180"/>
        <item x="213"/>
        <item x="150"/>
        <item x="185"/>
        <item x="173"/>
        <item x="177"/>
        <item x="148"/>
        <item x="197"/>
        <item x="200"/>
        <item x="171"/>
        <item x="198"/>
        <item x="199"/>
        <item x="159"/>
        <item x="52"/>
        <item x="212"/>
        <item x="174"/>
        <item x="182"/>
        <item x="215"/>
        <item x="201"/>
        <item x="202"/>
        <item x="178"/>
        <item x="147"/>
        <item x="204"/>
        <item x="183"/>
        <item x="219"/>
        <item x="184"/>
        <item x="217"/>
        <item x="179"/>
        <item x="206"/>
        <item x="203"/>
        <item x="216"/>
        <item x="218"/>
        <item x="210"/>
        <item x="207"/>
        <item x="17"/>
        <item x="224"/>
        <item x="222"/>
        <item x="7"/>
        <item x="8"/>
        <item x="220"/>
        <item x="10"/>
        <item x="221"/>
        <item x="214"/>
        <item x="223"/>
        <item x="239"/>
        <item x="251"/>
        <item x="230"/>
        <item x="128"/>
        <item x="11"/>
        <item x="237"/>
        <item x="175"/>
        <item x="211"/>
        <item x="12"/>
        <item x="232"/>
        <item x="238"/>
        <item x="161"/>
        <item x="50"/>
        <item x="21"/>
        <item x="256"/>
        <item x="240"/>
        <item x="266"/>
        <item x="307"/>
        <item x="9"/>
        <item x="250"/>
        <item x="231"/>
        <item x="255"/>
        <item x="293"/>
        <item x="162"/>
        <item x="196"/>
        <item x="158"/>
        <item x="262"/>
        <item x="253"/>
        <item x="283"/>
        <item x="225"/>
        <item x="301"/>
        <item x="319"/>
        <item x="272"/>
        <item x="241"/>
        <item x="186"/>
        <item x="318"/>
        <item x="304"/>
        <item x="78"/>
        <item x="242"/>
        <item x="287"/>
        <item x="294"/>
        <item x="267"/>
        <item x="187"/>
        <item x="270"/>
        <item x="284"/>
        <item x="288"/>
        <item x="209"/>
        <item x="233"/>
        <item x="312"/>
        <item x="302"/>
        <item x="260"/>
        <item x="254"/>
        <item x="308"/>
        <item x="317"/>
        <item x="273"/>
        <item x="292"/>
        <item x="299"/>
        <item x="243"/>
        <item x="248"/>
        <item x="208"/>
        <item x="285"/>
        <item x="188"/>
        <item x="289"/>
        <item x="189"/>
        <item x="244"/>
        <item x="226"/>
        <item x="257"/>
        <item x="261"/>
        <item x="252"/>
        <item x="303"/>
        <item x="274"/>
        <item x="278"/>
        <item x="295"/>
        <item x="265"/>
        <item x="305"/>
        <item x="290"/>
        <item x="315"/>
        <item x="191"/>
        <item x="279"/>
        <item x="190"/>
        <item x="258"/>
        <item x="291"/>
        <item x="245"/>
        <item x="277"/>
        <item x="192"/>
        <item x="264"/>
        <item x="227"/>
        <item x="234"/>
        <item x="309"/>
        <item x="281"/>
        <item x="135"/>
        <item x="275"/>
        <item x="300"/>
        <item x="296"/>
        <item x="246"/>
        <item x="249"/>
        <item x="297"/>
        <item x="194"/>
        <item x="193"/>
        <item x="247"/>
        <item x="228"/>
        <item x="235"/>
        <item x="316"/>
        <item x="314"/>
        <item x="271"/>
        <item x="286"/>
        <item x="280"/>
        <item x="310"/>
        <item x="259"/>
        <item x="311"/>
        <item x="282"/>
        <item x="263"/>
        <item x="276"/>
        <item x="298"/>
        <item x="313"/>
        <item x="306"/>
        <item x="195"/>
        <item x="268"/>
        <item x="236"/>
        <item x="269"/>
        <item x="229"/>
        <item t="default"/>
      </items>
    </pivotField>
    <pivotField showAll="0">
      <items count="9">
        <item m="1" x="6"/>
        <item m="1" x="4"/>
        <item x="1"/>
        <item m="1" x="3"/>
        <item x="2"/>
        <item m="1" x="7"/>
        <item x="0"/>
        <item m="1" x="5"/>
        <item t="default"/>
      </items>
    </pivotField>
    <pivotField showAll="0"/>
    <pivotField showAll="0">
      <items count="6">
        <item m="1" x="4"/>
        <item m="1" x="2"/>
        <item m="1" x="3"/>
        <item x="1"/>
        <item x="0"/>
        <item t="default"/>
      </items>
    </pivotField>
    <pivotField showAll="0">
      <items count="5">
        <item m="1" x="3"/>
        <item x="1"/>
        <item x="2"/>
        <item x="0"/>
        <item t="default"/>
      </items>
    </pivotField>
    <pivotField showAll="0"/>
    <pivotField showAll="0">
      <items count="7">
        <item m="1" x="5"/>
        <item x="4"/>
        <item x="2"/>
        <item x="0"/>
        <item x="3"/>
        <item x="1"/>
        <item t="default"/>
      </items>
    </pivotField>
    <pivotField showAll="0"/>
    <pivotField showAll="0"/>
    <pivotField showAll="0"/>
    <pivotField axis="axisCol" multipleItemSelectionAllowed="1" showAll="0" defaultSubtotal="0">
      <items count="14">
        <item h="1" sd="0" x="0"/>
        <item h="1" sd="0" x="1"/>
        <item h="1" sd="0" x="2"/>
        <item h="1" x="3"/>
        <item h="1" x="4"/>
        <item sd="0" x="5"/>
        <item h="1" sd="0" x="6"/>
        <item h="1" x="7"/>
        <item h="1" x="8"/>
        <item h="1" x="9"/>
        <item h="1" x="10"/>
        <item h="1" sd="0" x="11"/>
        <item h="1" sd="0" x="12"/>
        <item h="1" sd="0" x="13"/>
      </items>
    </pivotField>
    <pivotField showAll="0" defaultSubtotal="0">
      <items count="6">
        <item x="1"/>
        <item sd="0" x="2"/>
        <item sd="0" x="3"/>
        <item x="4"/>
        <item x="5"/>
        <item x="0"/>
      </items>
    </pivotField>
    <pivotField axis="axisPage" multipleItemSelectionAllowed="1" showAll="0" defaultSubtotal="0">
      <items count="4">
        <item h="1" x="1"/>
        <item x="2"/>
        <item h="1" x="3"/>
        <item h="1" x="0"/>
      </items>
    </pivotField>
    <pivotField showAll="0">
      <items count="93">
        <item x="1"/>
        <item x="0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showAll="0">
      <items count="291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t="default"/>
      </items>
    </pivotField>
    <pivotField showAll="0">
      <items count="290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showAll="0">
      <items count="288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t="default"/>
      </items>
    </pivotField>
    <pivotField showAll="0">
      <items count="286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t="default"/>
      </items>
    </pivotField>
    <pivotField showAll="0">
      <items count="285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showAll="0">
      <items count="279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>
      <items count="274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t="default"/>
      </items>
    </pivotField>
    <pivotField showAll="0">
      <items count="273">
        <item x="8"/>
        <item x="15"/>
        <item x="7"/>
        <item x="14"/>
        <item x="54"/>
        <item x="55"/>
        <item x="1"/>
        <item x="6"/>
        <item x="28"/>
        <item x="42"/>
        <item x="29"/>
        <item x="33"/>
        <item x="9"/>
        <item x="26"/>
        <item x="30"/>
        <item x="34"/>
        <item x="11"/>
        <item x="12"/>
        <item x="13"/>
        <item x="24"/>
        <item x="40"/>
        <item x="36"/>
        <item x="67"/>
        <item x="57"/>
        <item x="39"/>
        <item x="2"/>
        <item x="52"/>
        <item x="66"/>
        <item x="10"/>
        <item x="43"/>
        <item x="37"/>
        <item x="47"/>
        <item x="25"/>
        <item x="35"/>
        <item x="46"/>
        <item x="41"/>
        <item x="60"/>
        <item x="61"/>
        <item x="62"/>
        <item x="31"/>
        <item x="32"/>
        <item x="63"/>
        <item x="5"/>
        <item x="69"/>
        <item x="75"/>
        <item x="44"/>
        <item x="53"/>
        <item x="58"/>
        <item x="48"/>
        <item x="64"/>
        <item x="70"/>
        <item x="80"/>
        <item x="45"/>
        <item x="49"/>
        <item x="81"/>
        <item x="85"/>
        <item x="76"/>
        <item x="72"/>
        <item x="56"/>
        <item x="82"/>
        <item x="68"/>
        <item x="3"/>
        <item x="77"/>
        <item x="86"/>
        <item x="84"/>
        <item x="71"/>
        <item x="51"/>
        <item x="27"/>
        <item x="50"/>
        <item x="79"/>
        <item x="93"/>
        <item x="94"/>
        <item x="95"/>
        <item x="73"/>
        <item x="113"/>
        <item x="92"/>
        <item x="96"/>
        <item x="74"/>
        <item x="87"/>
        <item x="4"/>
        <item x="91"/>
        <item x="59"/>
        <item x="88"/>
        <item x="104"/>
        <item x="106"/>
        <item x="97"/>
        <item x="100"/>
        <item x="98"/>
        <item x="102"/>
        <item x="101"/>
        <item x="107"/>
        <item x="110"/>
        <item x="115"/>
        <item x="111"/>
        <item x="83"/>
        <item x="65"/>
        <item x="109"/>
        <item x="128"/>
        <item x="103"/>
        <item x="121"/>
        <item x="99"/>
        <item x="130"/>
        <item x="105"/>
        <item x="120"/>
        <item x="112"/>
        <item x="118"/>
        <item x="108"/>
        <item x="116"/>
        <item x="119"/>
        <item x="129"/>
        <item x="124"/>
        <item x="131"/>
        <item x="126"/>
        <item x="127"/>
        <item x="117"/>
        <item x="125"/>
        <item x="78"/>
        <item x="140"/>
        <item x="141"/>
        <item x="137"/>
        <item x="18"/>
        <item x="149"/>
        <item x="16"/>
        <item x="38"/>
        <item x="19"/>
        <item x="20"/>
        <item x="22"/>
        <item x="21"/>
        <item x="132"/>
        <item x="133"/>
        <item x="17"/>
        <item x="147"/>
        <item x="148"/>
        <item x="144"/>
        <item x="142"/>
        <item x="150"/>
        <item x="143"/>
        <item x="145"/>
        <item x="23"/>
        <item x="122"/>
        <item x="151"/>
        <item x="114"/>
        <item x="90"/>
        <item x="89"/>
        <item x="154"/>
        <item x="134"/>
        <item x="155"/>
        <item x="157"/>
        <item x="152"/>
        <item x="160"/>
        <item x="165"/>
        <item x="153"/>
        <item x="123"/>
        <item x="139"/>
        <item x="179"/>
        <item x="164"/>
        <item x="184"/>
        <item x="138"/>
        <item x="169"/>
        <item x="158"/>
        <item x="161"/>
        <item x="136"/>
        <item x="171"/>
        <item x="174"/>
        <item x="156"/>
        <item x="172"/>
        <item x="173"/>
        <item x="146"/>
        <item x="170"/>
        <item x="183"/>
        <item x="159"/>
        <item x="166"/>
        <item x="185"/>
        <item x="175"/>
        <item x="176"/>
        <item x="162"/>
        <item x="135"/>
        <item x="178"/>
        <item x="167"/>
        <item x="189"/>
        <item x="168"/>
        <item x="187"/>
        <item x="163"/>
        <item x="180"/>
        <item x="177"/>
        <item x="186"/>
        <item x="188"/>
        <item x="182"/>
        <item x="181"/>
        <item x="190"/>
        <item x="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t="default"/>
      </items>
    </pivotField>
  </pivotFields>
  <rowFields count="2">
    <field x="3"/>
    <field x="4"/>
  </rowFields>
  <rowItems count="27">
    <i>
      <x v="16"/>
    </i>
    <i>
      <x v="15"/>
    </i>
    <i>
      <x v="32"/>
    </i>
    <i>
      <x v="17"/>
    </i>
    <i>
      <x v="1"/>
    </i>
    <i>
      <x v="28"/>
    </i>
    <i>
      <x v="33"/>
    </i>
    <i>
      <x v="31"/>
    </i>
    <i>
      <x v="37"/>
    </i>
    <i>
      <x v="13"/>
    </i>
    <i>
      <x v="20"/>
    </i>
    <i>
      <x v="27"/>
    </i>
    <i>
      <x v="26"/>
    </i>
    <i>
      <x v="11"/>
    </i>
    <i>
      <x v="10"/>
    </i>
    <i>
      <x v="18"/>
    </i>
    <i>
      <x v="6"/>
    </i>
    <i>
      <x v="29"/>
    </i>
    <i>
      <x v="22"/>
    </i>
    <i>
      <x v="9"/>
    </i>
    <i>
      <x v="4"/>
    </i>
    <i>
      <x v="19"/>
    </i>
    <i>
      <x v="7"/>
    </i>
    <i>
      <x v="8"/>
    </i>
    <i>
      <x v="12"/>
    </i>
    <i>
      <x v="25"/>
    </i>
    <i t="grand">
      <x/>
    </i>
  </rowItems>
  <colFields count="2">
    <field x="22"/>
    <field x="11"/>
  </colFields>
  <colItems count="2">
    <i>
      <x v="5"/>
    </i>
    <i t="grand">
      <x/>
    </i>
  </colItems>
  <pageFields count="1">
    <pageField fld="24" hier="-1"/>
  </pageFields>
  <dataFields count="1">
    <dataField name="Soma de VL. FATURADO" fld="8" baseField="0" baseItem="0"/>
  </dataFields>
  <formats count="298">
    <format dxfId="382">
      <pivotArea outline="0" collapsedLevelsAreSubtotals="1" fieldPosition="0"/>
    </format>
    <format dxfId="381">
      <pivotArea type="topRight" dataOnly="0" labelOnly="1" outline="0" offset="D1:H1" fieldPosition="0"/>
    </format>
    <format dxfId="380">
      <pivotArea dataOnly="0" labelOnly="1" fieldPosition="0">
        <references count="1">
          <reference field="11" count="4">
            <x v="44"/>
            <x v="45"/>
            <x v="46"/>
            <x v="47"/>
          </reference>
        </references>
      </pivotArea>
    </format>
    <format dxfId="379">
      <pivotArea dataOnly="0" labelOnly="1" grandCol="1" outline="0" fieldPosition="0"/>
    </format>
    <format dxfId="378">
      <pivotArea dataOnly="0" labelOnly="1" grandCol="1" outline="0" offset="IV256" fieldPosition="0"/>
    </format>
    <format dxfId="377">
      <pivotArea dataOnly="0" labelOnly="1" grandCol="1" outline="0" offset="IV1" fieldPosition="0"/>
    </format>
    <format dxfId="376">
      <pivotArea dataOnly="0" labelOnly="1" fieldPosition="0">
        <references count="2">
          <reference field="11" count="4">
            <x v="44"/>
            <x v="45"/>
            <x v="46"/>
            <x v="47"/>
          </reference>
          <reference field="22" count="0" selected="0"/>
        </references>
      </pivotArea>
    </format>
    <format dxfId="375">
      <pivotArea collapsedLevelsAreSubtotals="1" fieldPosition="0">
        <references count="3">
          <reference field="3" count="1">
            <x v="17"/>
          </reference>
          <reference field="11" count="1" selected="0">
            <x v="43"/>
          </reference>
          <reference field="22" count="0" selected="0"/>
        </references>
      </pivotArea>
    </format>
    <format dxfId="374">
      <pivotArea collapsedLevelsAreSubtotals="1" fieldPosition="0">
        <references count="3">
          <reference field="3" count="1">
            <x v="17"/>
          </reference>
          <reference field="11" count="1" selected="0">
            <x v="43"/>
          </reference>
          <reference field="22" count="0" selected="0"/>
        </references>
      </pivotArea>
    </format>
    <format dxfId="373">
      <pivotArea collapsedLevelsAreSubtotals="1" fieldPosition="0">
        <references count="3">
          <reference field="3" count="1">
            <x v="16"/>
          </reference>
          <reference field="11" count="1" selected="0">
            <x v="43"/>
          </reference>
          <reference field="22" count="0" selected="0"/>
        </references>
      </pivotArea>
    </format>
    <format dxfId="372">
      <pivotArea collapsedLevelsAreSubtotals="1" fieldPosition="0">
        <references count="3">
          <reference field="3" count="1">
            <x v="16"/>
          </reference>
          <reference field="11" count="1" selected="0">
            <x v="44"/>
          </reference>
          <reference field="22" count="1" selected="0">
            <x v="10"/>
          </reference>
        </references>
      </pivotArea>
    </format>
    <format dxfId="371">
      <pivotArea collapsedLevelsAreSubtotals="1" fieldPosition="0">
        <references count="3">
          <reference field="3" count="1">
            <x v="17"/>
          </reference>
          <reference field="11" count="1" selected="0">
            <x v="44"/>
          </reference>
          <reference field="22" count="1" selected="0">
            <x v="10"/>
          </reference>
        </references>
      </pivotArea>
    </format>
    <format dxfId="370">
      <pivotArea collapsedLevelsAreSubtotals="1" fieldPosition="0">
        <references count="3">
          <reference field="3" count="1">
            <x v="2"/>
          </reference>
          <reference field="11" count="1" selected="0">
            <x v="44"/>
          </reference>
          <reference field="22" count="1" selected="0">
            <x v="10"/>
          </reference>
        </references>
      </pivotArea>
    </format>
    <format dxfId="369">
      <pivotArea collapsedLevelsAreSubtotals="1" fieldPosition="0">
        <references count="3">
          <reference field="3" count="1">
            <x v="18"/>
          </reference>
          <reference field="11" count="1" selected="0">
            <x v="44"/>
          </reference>
          <reference field="22" count="1" selected="0">
            <x v="10"/>
          </reference>
        </references>
      </pivotArea>
    </format>
    <format dxfId="368">
      <pivotArea collapsedLevelsAreSubtotals="1" fieldPosition="0">
        <references count="3">
          <reference field="3" count="1">
            <x v="4"/>
          </reference>
          <reference field="11" count="1" selected="0">
            <x v="44"/>
          </reference>
          <reference field="22" count="1" selected="0">
            <x v="10"/>
          </reference>
        </references>
      </pivotArea>
    </format>
    <format dxfId="367">
      <pivotArea collapsedLevelsAreSubtotals="1" fieldPosition="0">
        <references count="3">
          <reference field="3" count="1">
            <x v="7"/>
          </reference>
          <reference field="11" count="1" selected="0">
            <x v="44"/>
          </reference>
          <reference field="22" count="1" selected="0">
            <x v="10"/>
          </reference>
        </references>
      </pivotArea>
    </format>
    <format dxfId="366">
      <pivotArea collapsedLevelsAreSubtotals="1" fieldPosition="0">
        <references count="3">
          <reference field="3" count="1">
            <x v="2"/>
          </reference>
          <reference field="11" count="1" selected="0">
            <x v="45"/>
          </reference>
          <reference field="22" count="0" selected="0"/>
        </references>
      </pivotArea>
    </format>
    <format dxfId="365">
      <pivotArea collapsedLevelsAreSubtotals="1" fieldPosition="0">
        <references count="3">
          <reference field="3" count="1">
            <x v="6"/>
          </reference>
          <reference field="11" count="1" selected="0">
            <x v="45"/>
          </reference>
          <reference field="22" count="0" selected="0"/>
        </references>
      </pivotArea>
    </format>
    <format dxfId="364">
      <pivotArea collapsedLevelsAreSubtotals="1" fieldPosition="0">
        <references count="3">
          <reference field="3" count="1">
            <x v="1"/>
          </reference>
          <reference field="11" count="1" selected="0">
            <x v="46"/>
          </reference>
          <reference field="22" count="0" selected="0"/>
        </references>
      </pivotArea>
    </format>
    <format dxfId="363">
      <pivotArea collapsedLevelsAreSubtotals="1" fieldPosition="0">
        <references count="3">
          <reference field="3" count="1">
            <x v="20"/>
          </reference>
          <reference field="11" count="1" selected="0">
            <x v="46"/>
          </reference>
          <reference field="22" count="0" selected="0"/>
        </references>
      </pivotArea>
    </format>
    <format dxfId="362">
      <pivotArea collapsedLevelsAreSubtotals="1" fieldPosition="0">
        <references count="3">
          <reference field="3" count="1">
            <x v="14"/>
          </reference>
          <reference field="11" count="1" selected="0">
            <x v="46"/>
          </reference>
          <reference field="22" count="0" selected="0"/>
        </references>
      </pivotArea>
    </format>
    <format dxfId="361">
      <pivotArea collapsedLevelsAreSubtotals="1" fieldPosition="0">
        <references count="3">
          <reference field="3" count="1">
            <x v="26"/>
          </reference>
          <reference field="11" count="1" selected="0">
            <x v="46"/>
          </reference>
          <reference field="22" count="0" selected="0"/>
        </references>
      </pivotArea>
    </format>
    <format dxfId="360">
      <pivotArea collapsedLevelsAreSubtotals="1" fieldPosition="0">
        <references count="3">
          <reference field="3" count="1">
            <x v="24"/>
          </reference>
          <reference field="11" count="1" selected="0">
            <x v="46"/>
          </reference>
          <reference field="22" count="0" selected="0"/>
        </references>
      </pivotArea>
    </format>
    <format dxfId="359">
      <pivotArea collapsedLevelsAreSubtotals="1" fieldPosition="0">
        <references count="3">
          <reference field="3" count="1">
            <x v="28"/>
          </reference>
          <reference field="11" count="1" selected="0">
            <x v="46"/>
          </reference>
          <reference field="22" count="0" selected="0"/>
        </references>
      </pivotArea>
    </format>
    <format dxfId="358">
      <pivotArea collapsedLevelsAreSubtotals="1" fieldPosition="0">
        <references count="3">
          <reference field="3" count="1">
            <x v="3"/>
          </reference>
          <reference field="11" count="1" selected="0">
            <x v="44"/>
          </reference>
          <reference field="22" count="0" selected="0"/>
        </references>
      </pivotArea>
    </format>
    <format dxfId="357">
      <pivotArea collapsedLevelsAreSubtotals="1" fieldPosition="0">
        <references count="3">
          <reference field="3" count="1">
            <x v="29"/>
          </reference>
          <reference field="11" count="1" selected="0">
            <x v="43"/>
          </reference>
          <reference field="22" count="0" selected="0"/>
        </references>
      </pivotArea>
    </format>
    <format dxfId="356">
      <pivotArea collapsedLevelsAreSubtotals="1" fieldPosition="0">
        <references count="3">
          <reference field="3" count="1">
            <x v="25"/>
          </reference>
          <reference field="11" count="1" selected="0">
            <x v="44"/>
          </reference>
          <reference field="22" count="0" selected="0"/>
        </references>
      </pivotArea>
    </format>
    <format dxfId="355">
      <pivotArea collapsedLevelsAreSubtotals="1" fieldPosition="0">
        <references count="3">
          <reference field="3" count="1">
            <x v="26"/>
          </reference>
          <reference field="11" count="1" selected="0">
            <x v="45"/>
          </reference>
          <reference field="22" count="0" selected="0"/>
        </references>
      </pivotArea>
    </format>
    <format dxfId="354">
      <pivotArea collapsedLevelsAreSubtotals="1" fieldPosition="0">
        <references count="3">
          <reference field="3" count="1">
            <x v="28"/>
          </reference>
          <reference field="11" count="1" selected="0">
            <x v="45"/>
          </reference>
          <reference field="22" count="0" selected="0"/>
        </references>
      </pivotArea>
    </format>
    <format dxfId="353">
      <pivotArea dataOnly="0" labelOnly="1" fieldPosition="0">
        <references count="1">
          <reference field="3" count="2">
            <x v="3"/>
            <x v="14"/>
          </reference>
        </references>
      </pivotArea>
    </format>
    <format dxfId="352">
      <pivotArea dataOnly="0" labelOnly="1" fieldPosition="0">
        <references count="1">
          <reference field="3" count="2">
            <x v="11"/>
            <x v="28"/>
          </reference>
        </references>
      </pivotArea>
    </format>
    <format dxfId="351">
      <pivotArea collapsedLevelsAreSubtotals="1" fieldPosition="0">
        <references count="3">
          <reference field="3" count="1">
            <x v="16"/>
          </reference>
          <reference field="11" count="1" selected="0">
            <x v="47"/>
          </reference>
          <reference field="22" count="0" selected="0"/>
        </references>
      </pivotArea>
    </format>
    <format dxfId="350">
      <pivotArea collapsedLevelsAreSubtotals="1" fieldPosition="0">
        <references count="3">
          <reference field="3" count="1">
            <x v="1"/>
          </reference>
          <reference field="11" count="1" selected="0">
            <x v="47"/>
          </reference>
          <reference field="22" count="0" selected="0"/>
        </references>
      </pivotArea>
    </format>
    <format dxfId="349">
      <pivotArea collapsedLevelsAreSubtotals="1" fieldPosition="0">
        <references count="3">
          <reference field="3" count="1">
            <x v="15"/>
          </reference>
          <reference field="11" count="1" selected="0">
            <x v="47"/>
          </reference>
          <reference field="22" count="0" selected="0"/>
        </references>
      </pivotArea>
    </format>
    <format dxfId="348">
      <pivotArea collapsedLevelsAreSubtotals="1" fieldPosition="0">
        <references count="3">
          <reference field="3" count="1">
            <x v="23"/>
          </reference>
          <reference field="11" count="1" selected="0">
            <x v="47"/>
          </reference>
          <reference field="22" count="0" selected="0"/>
        </references>
      </pivotArea>
    </format>
    <format dxfId="347">
      <pivotArea collapsedLevelsAreSubtotals="1" fieldPosition="0">
        <references count="3">
          <reference field="3" count="1">
            <x v="9"/>
          </reference>
          <reference field="11" count="1" selected="0">
            <x v="47"/>
          </reference>
          <reference field="22" count="0" selected="0"/>
        </references>
      </pivotArea>
    </format>
    <format dxfId="346">
      <pivotArea dataOnly="0" labelOnly="1" fieldPosition="0">
        <references count="1">
          <reference field="3" count="4">
            <x v="2"/>
            <x v="10"/>
            <x v="11"/>
            <x v="14"/>
          </reference>
        </references>
      </pivotArea>
    </format>
    <format dxfId="345">
      <pivotArea collapsedLevelsAreSubtotals="1" fieldPosition="0">
        <references count="3">
          <reference field="3" count="1">
            <x v="18"/>
          </reference>
          <reference field="11" count="1" selected="0">
            <x v="47"/>
          </reference>
          <reference field="22" count="0" selected="0"/>
        </references>
      </pivotArea>
    </format>
    <format dxfId="344">
      <pivotArea collapsedLevelsAreSubtotals="1" fieldPosition="0">
        <references count="3">
          <reference field="3" count="1">
            <x v="12"/>
          </reference>
          <reference field="11" count="1" selected="0">
            <x v="47"/>
          </reference>
          <reference field="22" count="0" selected="0"/>
        </references>
      </pivotArea>
    </format>
    <format dxfId="343">
      <pivotArea collapsedLevelsAreSubtotals="1" fieldPosition="0">
        <references count="3">
          <reference field="3" count="1">
            <x v="14"/>
          </reference>
          <reference field="11" count="1" selected="0">
            <x v="47"/>
          </reference>
          <reference field="22" count="0" selected="0"/>
        </references>
      </pivotArea>
    </format>
    <format dxfId="342">
      <pivotArea collapsedLevelsAreSubtotals="1" fieldPosition="0">
        <references count="3">
          <reference field="3" count="1">
            <x v="13"/>
          </reference>
          <reference field="11" count="1" selected="0">
            <x v="47"/>
          </reference>
          <reference field="22" count="0" selected="0"/>
        </references>
      </pivotArea>
    </format>
    <format dxfId="341">
      <pivotArea collapsedLevelsAreSubtotals="1" fieldPosition="0">
        <references count="3">
          <reference field="3" count="1">
            <x v="0"/>
          </reference>
          <reference field="11" count="1" selected="0">
            <x v="47"/>
          </reference>
          <reference field="22" count="0" selected="0"/>
        </references>
      </pivotArea>
    </format>
    <format dxfId="340">
      <pivotArea collapsedLevelsAreSubtotals="1" fieldPosition="0">
        <references count="3">
          <reference field="3" count="1">
            <x v="19"/>
          </reference>
          <reference field="11" count="1" selected="0">
            <x v="47"/>
          </reference>
          <reference field="22" count="0" selected="0"/>
        </references>
      </pivotArea>
    </format>
    <format dxfId="339">
      <pivotArea collapsedLevelsAreSubtotals="1" fieldPosition="0">
        <references count="3">
          <reference field="3" count="1">
            <x v="16"/>
          </reference>
          <reference field="11" count="1" selected="0">
            <x v="48"/>
          </reference>
          <reference field="22" count="0" selected="0"/>
        </references>
      </pivotArea>
    </format>
    <format dxfId="338">
      <pivotArea collapsedLevelsAreSubtotals="1" fieldPosition="0">
        <references count="3">
          <reference field="3" count="1">
            <x v="5"/>
          </reference>
          <reference field="11" count="1" selected="0">
            <x v="48"/>
          </reference>
          <reference field="22" count="0" selected="0"/>
        </references>
      </pivotArea>
    </format>
    <format dxfId="337">
      <pivotArea collapsedLevelsAreSubtotals="1" fieldPosition="0">
        <references count="3">
          <reference field="3" count="1">
            <x v="3"/>
          </reference>
          <reference field="11" count="1" selected="0">
            <x v="48"/>
          </reference>
          <reference field="22" count="0" selected="0"/>
        </references>
      </pivotArea>
    </format>
    <format dxfId="336">
      <pivotArea collapsedLevelsAreSubtotals="1" fieldPosition="0">
        <references count="3">
          <reference field="3" count="1">
            <x v="18"/>
          </reference>
          <reference field="11" count="1" selected="0">
            <x v="48"/>
          </reference>
          <reference field="22" count="0" selected="0"/>
        </references>
      </pivotArea>
    </format>
    <format dxfId="335">
      <pivotArea collapsedLevelsAreSubtotals="1" fieldPosition="0">
        <references count="3">
          <reference field="3" count="1">
            <x v="29"/>
          </reference>
          <reference field="11" count="1" selected="0">
            <x v="48"/>
          </reference>
          <reference field="22" count="0" selected="0"/>
        </references>
      </pivotArea>
    </format>
    <format dxfId="334">
      <pivotArea collapsedLevelsAreSubtotals="1" fieldPosition="0">
        <references count="3">
          <reference field="3" count="1">
            <x v="2"/>
          </reference>
          <reference field="11" count="1" selected="0">
            <x v="48"/>
          </reference>
          <reference field="22" count="0" selected="0"/>
        </references>
      </pivotArea>
    </format>
    <format dxfId="333">
      <pivotArea collapsedLevelsAreSubtotals="1" fieldPosition="0">
        <references count="3">
          <reference field="3" count="1">
            <x v="1"/>
          </reference>
          <reference field="11" count="1" selected="0">
            <x v="48"/>
          </reference>
          <reference field="22" count="0" selected="0"/>
        </references>
      </pivotArea>
    </format>
    <format dxfId="332">
      <pivotArea collapsedLevelsAreSubtotals="1" fieldPosition="0">
        <references count="4">
          <reference field="3" count="1" selected="0">
            <x v="1"/>
          </reference>
          <reference field="4" count="1">
            <x v="146"/>
          </reference>
          <reference field="11" count="1" selected="0">
            <x v="48"/>
          </reference>
          <reference field="22" count="0" selected="0"/>
        </references>
      </pivotArea>
    </format>
    <format dxfId="331">
      <pivotArea dataOnly="0" labelOnly="1" fieldPosition="0">
        <references count="2">
          <reference field="3" count="1" selected="0">
            <x v="16"/>
          </reference>
          <reference field="4" count="1">
            <x v="223"/>
          </reference>
        </references>
      </pivotArea>
    </format>
    <format dxfId="330">
      <pivotArea collapsedLevelsAreSubtotals="1" fieldPosition="0">
        <references count="3">
          <reference field="3" count="1">
            <x v="10"/>
          </reference>
          <reference field="11" count="1" selected="0">
            <x v="48"/>
          </reference>
          <reference field="22" count="0" selected="0"/>
        </references>
      </pivotArea>
    </format>
    <format dxfId="329">
      <pivotArea collapsedLevelsAreSubtotals="1" fieldPosition="0">
        <references count="3">
          <reference field="3" count="1">
            <x v="4"/>
          </reference>
          <reference field="11" count="1" selected="0">
            <x v="48"/>
          </reference>
          <reference field="22" count="0" selected="0"/>
        </references>
      </pivotArea>
    </format>
    <format dxfId="328">
      <pivotArea collapsedLevelsAreSubtotals="1" fieldPosition="0">
        <references count="3">
          <reference field="3" count="1">
            <x v="25"/>
          </reference>
          <reference field="11" count="1" selected="0">
            <x v="48"/>
          </reference>
          <reference field="22" count="0" selected="0"/>
        </references>
      </pivotArea>
    </format>
    <format dxfId="327">
      <pivotArea collapsedLevelsAreSubtotals="1" fieldPosition="0">
        <references count="3">
          <reference field="3" count="1">
            <x v="17"/>
          </reference>
          <reference field="11" count="1" selected="0">
            <x v="49"/>
          </reference>
          <reference field="22" count="0" selected="0"/>
        </references>
      </pivotArea>
    </format>
    <format dxfId="326">
      <pivotArea collapsedLevelsAreSubtotals="1" fieldPosition="0">
        <references count="3">
          <reference field="3" count="1">
            <x v="10"/>
          </reference>
          <reference field="11" count="1" selected="0">
            <x v="49"/>
          </reference>
          <reference field="22" count="0" selected="0"/>
        </references>
      </pivotArea>
    </format>
    <format dxfId="325">
      <pivotArea collapsedLevelsAreSubtotals="1" fieldPosition="0">
        <references count="3">
          <reference field="3" count="1">
            <x v="7"/>
          </reference>
          <reference field="11" count="1" selected="0">
            <x v="49"/>
          </reference>
          <reference field="22" count="0" selected="0"/>
        </references>
      </pivotArea>
    </format>
    <format dxfId="324">
      <pivotArea collapsedLevelsAreSubtotals="1" fieldPosition="0">
        <references count="3">
          <reference field="3" count="1">
            <x v="4"/>
          </reference>
          <reference field="11" count="1" selected="0">
            <x v="49"/>
          </reference>
          <reference field="22" count="0" selected="0"/>
        </references>
      </pivotArea>
    </format>
    <format dxfId="323">
      <pivotArea collapsedLevelsAreSubtotals="1" fieldPosition="0">
        <references count="4">
          <reference field="3" count="1" selected="0">
            <x v="14"/>
          </reference>
          <reference field="4" count="1">
            <x v="210"/>
          </reference>
          <reference field="11" count="1" selected="0">
            <x v="51"/>
          </reference>
          <reference field="22" count="0" selected="0"/>
        </references>
      </pivotArea>
    </format>
    <format dxfId="322">
      <pivotArea collapsedLevelsAreSubtotals="1" fieldPosition="0">
        <references count="3">
          <reference field="3" count="1">
            <x v="2"/>
          </reference>
          <reference field="11" count="1" selected="0">
            <x v="49"/>
          </reference>
          <reference field="22" count="0" selected="0"/>
        </references>
      </pivotArea>
    </format>
    <format dxfId="321">
      <pivotArea collapsedLevelsAreSubtotals="1" fieldPosition="0">
        <references count="3">
          <reference field="3" count="1">
            <x v="28"/>
          </reference>
          <reference field="11" count="1" selected="0">
            <x v="49"/>
          </reference>
          <reference field="22" count="0" selected="0"/>
        </references>
      </pivotArea>
    </format>
    <format dxfId="320">
      <pivotArea collapsedLevelsAreSubtotals="1" fieldPosition="0">
        <references count="3">
          <reference field="3" count="1">
            <x v="9"/>
          </reference>
          <reference field="11" count="1" selected="0">
            <x v="50"/>
          </reference>
          <reference field="22" count="0" selected="0"/>
        </references>
      </pivotArea>
    </format>
    <format dxfId="319">
      <pivotArea collapsedLevelsAreSubtotals="1" fieldPosition="0">
        <references count="3">
          <reference field="3" count="1">
            <x v="8"/>
          </reference>
          <reference field="11" count="1" selected="0">
            <x v="50"/>
          </reference>
          <reference field="22" count="0" selected="0"/>
        </references>
      </pivotArea>
    </format>
    <format dxfId="318">
      <pivotArea collapsedLevelsAreSubtotals="1" fieldPosition="0">
        <references count="3">
          <reference field="3" count="1">
            <x v="30"/>
          </reference>
          <reference field="11" count="1" selected="0">
            <x v="50"/>
          </reference>
          <reference field="22" count="0" selected="0"/>
        </references>
      </pivotArea>
    </format>
    <format dxfId="317">
      <pivotArea collapsedLevelsAreSubtotals="1" fieldPosition="0">
        <references count="3">
          <reference field="3" count="1">
            <x v="2"/>
          </reference>
          <reference field="11" count="1" selected="0">
            <x v="50"/>
          </reference>
          <reference field="22" count="0" selected="0"/>
        </references>
      </pivotArea>
    </format>
    <format dxfId="316">
      <pivotArea collapsedLevelsAreSubtotals="1" fieldPosition="0">
        <references count="3">
          <reference field="3" count="1">
            <x v="1"/>
          </reference>
          <reference field="11" count="1" selected="0">
            <x v="50"/>
          </reference>
          <reference field="22" count="0" selected="0"/>
        </references>
      </pivotArea>
    </format>
    <format dxfId="315">
      <pivotArea collapsedLevelsAreSubtotals="1" fieldPosition="0">
        <references count="3">
          <reference field="3" count="1">
            <x v="14"/>
          </reference>
          <reference field="11" count="1" selected="0">
            <x v="51"/>
          </reference>
          <reference field="22" count="0" selected="0"/>
        </references>
      </pivotArea>
    </format>
    <format dxfId="314">
      <pivotArea collapsedLevelsAreSubtotals="1" fieldPosition="0">
        <references count="3">
          <reference field="3" count="1">
            <x v="2"/>
          </reference>
          <reference field="11" count="1" selected="0">
            <x v="51"/>
          </reference>
          <reference field="22" count="0" selected="0"/>
        </references>
      </pivotArea>
    </format>
    <format dxfId="313">
      <pivotArea collapsedLevelsAreSubtotals="1" fieldPosition="0">
        <references count="3">
          <reference field="3" count="1">
            <x v="1"/>
          </reference>
          <reference field="11" count="1" selected="0">
            <x v="51"/>
          </reference>
          <reference field="22" count="0" selected="0"/>
        </references>
      </pivotArea>
    </format>
    <format dxfId="312">
      <pivotArea collapsedLevelsAreSubtotals="1" fieldPosition="0">
        <references count="3">
          <reference field="3" count="1">
            <x v="6"/>
          </reference>
          <reference field="11" count="1" selected="0">
            <x v="51"/>
          </reference>
          <reference field="22" count="0" selected="0"/>
        </references>
      </pivotArea>
    </format>
    <format dxfId="311">
      <pivotArea collapsedLevelsAreSubtotals="1" fieldPosition="0">
        <references count="3">
          <reference field="3" count="1">
            <x v="12"/>
          </reference>
          <reference field="11" count="1" selected="0">
            <x v="51"/>
          </reference>
          <reference field="22" count="0" selected="0"/>
        </references>
      </pivotArea>
    </format>
    <format dxfId="310">
      <pivotArea collapsedLevelsAreSubtotals="1" fieldPosition="0">
        <references count="3">
          <reference field="3" count="1">
            <x v="17"/>
          </reference>
          <reference field="11" count="1" selected="0">
            <x v="51"/>
          </reference>
          <reference field="22" count="0" selected="0"/>
        </references>
      </pivotArea>
    </format>
    <format dxfId="309">
      <pivotArea collapsedLevelsAreSubtotals="1" fieldPosition="0">
        <references count="3">
          <reference field="3" count="1">
            <x v="20"/>
          </reference>
          <reference field="11" count="1" selected="0">
            <x v="51"/>
          </reference>
          <reference field="22" count="0" selected="0"/>
        </references>
      </pivotArea>
    </format>
    <format dxfId="308">
      <pivotArea collapsedLevelsAreSubtotals="1" fieldPosition="0">
        <references count="4">
          <reference field="3" count="1" selected="0">
            <x v="16"/>
          </reference>
          <reference field="4" count="1">
            <x v="224"/>
          </reference>
          <reference field="11" count="1" selected="0">
            <x v="52"/>
          </reference>
          <reference field="22" count="0" selected="0"/>
        </references>
      </pivotArea>
    </format>
    <format dxfId="307">
      <pivotArea collapsedLevelsAreSubtotals="1" fieldPosition="0">
        <references count="3">
          <reference field="3" count="1">
            <x v="0"/>
          </reference>
          <reference field="11" count="1" selected="0">
            <x v="52"/>
          </reference>
          <reference field="22" count="0" selected="0"/>
        </references>
      </pivotArea>
    </format>
    <format dxfId="306">
      <pivotArea collapsedLevelsAreSubtotals="1" fieldPosition="0">
        <references count="3">
          <reference field="3" count="1">
            <x v="9"/>
          </reference>
          <reference field="11" count="1" selected="0">
            <x v="52"/>
          </reference>
          <reference field="22" count="0" selected="0"/>
        </references>
      </pivotArea>
    </format>
    <format dxfId="305">
      <pivotArea collapsedLevelsAreSubtotals="1" fieldPosition="0">
        <references count="3">
          <reference field="3" count="1">
            <x v="15"/>
          </reference>
          <reference field="11" count="1" selected="0">
            <x v="52"/>
          </reference>
          <reference field="22" count="0" selected="0"/>
        </references>
      </pivotArea>
    </format>
    <format dxfId="304">
      <pivotArea collapsedLevelsAreSubtotals="1" fieldPosition="0">
        <references count="3">
          <reference field="3" count="1">
            <x v="3"/>
          </reference>
          <reference field="11" count="1" selected="0">
            <x v="52"/>
          </reference>
          <reference field="22" count="0" selected="0"/>
        </references>
      </pivotArea>
    </format>
    <format dxfId="303">
      <pivotArea collapsedLevelsAreSubtotals="1" fieldPosition="0">
        <references count="3">
          <reference field="3" count="1">
            <x v="10"/>
          </reference>
          <reference field="11" count="1" selected="0">
            <x v="52"/>
          </reference>
          <reference field="22" count="0" selected="0"/>
        </references>
      </pivotArea>
    </format>
    <format dxfId="302">
      <pivotArea collapsedLevelsAreSubtotals="1" fieldPosition="0">
        <references count="3">
          <reference field="3" count="1">
            <x v="18"/>
          </reference>
          <reference field="11" count="1" selected="0">
            <x v="52"/>
          </reference>
          <reference field="22" count="0" selected="0"/>
        </references>
      </pivotArea>
    </format>
    <format dxfId="301">
      <pivotArea collapsedLevelsAreSubtotals="1" fieldPosition="0">
        <references count="3">
          <reference field="3" count="1">
            <x v="29"/>
          </reference>
          <reference field="11" count="1" selected="0">
            <x v="52"/>
          </reference>
          <reference field="22" count="0" selected="0"/>
        </references>
      </pivotArea>
    </format>
    <format dxfId="300">
      <pivotArea collapsedLevelsAreSubtotals="1" fieldPosition="0">
        <references count="3">
          <reference field="3" count="1">
            <x v="11"/>
          </reference>
          <reference field="11" count="1" selected="0">
            <x v="52"/>
          </reference>
          <reference field="22" count="0" selected="0"/>
        </references>
      </pivotArea>
    </format>
    <format dxfId="299">
      <pivotArea collapsedLevelsAreSubtotals="1" fieldPosition="0">
        <references count="3">
          <reference field="3" count="1">
            <x v="24"/>
          </reference>
          <reference field="11" count="1" selected="0">
            <x v="52"/>
          </reference>
          <reference field="22" count="0" selected="0"/>
        </references>
      </pivotArea>
    </format>
    <format dxfId="298">
      <pivotArea collapsedLevelsAreSubtotals="1" fieldPosition="0">
        <references count="3">
          <reference field="3" count="1">
            <x v="16"/>
          </reference>
          <reference field="11" count="1" selected="0">
            <x v="52"/>
          </reference>
          <reference field="22" count="0" selected="0"/>
        </references>
      </pivotArea>
    </format>
    <format dxfId="297">
      <pivotArea collapsedLevelsAreSubtotals="1" fieldPosition="0">
        <references count="3">
          <reference field="3" count="1">
            <x v="14"/>
          </reference>
          <reference field="11" count="1" selected="0">
            <x v="52"/>
          </reference>
          <reference field="22" count="0" selected="0"/>
        </references>
      </pivotArea>
    </format>
    <format dxfId="296">
      <pivotArea collapsedLevelsAreSubtotals="1" fieldPosition="0">
        <references count="3">
          <reference field="3" count="1">
            <x v="17"/>
          </reference>
          <reference field="11" count="1" selected="0">
            <x v="52"/>
          </reference>
          <reference field="22" count="0" selected="0"/>
        </references>
      </pivotArea>
    </format>
    <format dxfId="295">
      <pivotArea collapsedLevelsAreSubtotals="1" fieldPosition="0">
        <references count="3">
          <reference field="3" count="1">
            <x v="1"/>
          </reference>
          <reference field="11" count="1" selected="0">
            <x v="52"/>
          </reference>
          <reference field="22" count="0" selected="0"/>
        </references>
      </pivotArea>
    </format>
    <format dxfId="294">
      <pivotArea collapsedLevelsAreSubtotals="1" fieldPosition="0">
        <references count="3">
          <reference field="3" count="1">
            <x v="28"/>
          </reference>
          <reference field="11" count="1" selected="0">
            <x v="52"/>
          </reference>
          <reference field="22" count="0" selected="0"/>
        </references>
      </pivotArea>
    </format>
    <format dxfId="293">
      <pivotArea collapsedLevelsAreSubtotals="1" fieldPosition="0">
        <references count="3">
          <reference field="3" count="1">
            <x v="26"/>
          </reference>
          <reference field="11" count="1" selected="0">
            <x v="52"/>
          </reference>
          <reference field="22" count="0" selected="0"/>
        </references>
      </pivotArea>
    </format>
    <format dxfId="292">
      <pivotArea collapsedLevelsAreSubtotals="1" fieldPosition="0">
        <references count="3">
          <reference field="3" count="1">
            <x v="23"/>
          </reference>
          <reference field="11" count="1" selected="0">
            <x v="52"/>
          </reference>
          <reference field="22" count="0" selected="0"/>
        </references>
      </pivotArea>
    </format>
    <format dxfId="291">
      <pivotArea collapsedLevelsAreSubtotals="1" fieldPosition="0">
        <references count="3">
          <reference field="3" count="1">
            <x v="2"/>
          </reference>
          <reference field="11" count="1" selected="0">
            <x v="52"/>
          </reference>
          <reference field="22" count="0" selected="0"/>
        </references>
      </pivotArea>
    </format>
    <format dxfId="290">
      <pivotArea collapsedLevelsAreSubtotals="1" fieldPosition="0">
        <references count="3">
          <reference field="3" count="1">
            <x v="5"/>
          </reference>
          <reference field="11" count="1" selected="0">
            <x v="53"/>
          </reference>
          <reference field="22" count="0" selected="0"/>
        </references>
      </pivotArea>
    </format>
    <format dxfId="289">
      <pivotArea collapsedLevelsAreSubtotals="1" fieldPosition="0">
        <references count="3">
          <reference field="3" count="1">
            <x v="10"/>
          </reference>
          <reference field="11" count="1" selected="0">
            <x v="53"/>
          </reference>
          <reference field="22" count="0" selected="0"/>
        </references>
      </pivotArea>
    </format>
    <format dxfId="288">
      <pivotArea collapsedLevelsAreSubtotals="1" fieldPosition="0">
        <references count="3">
          <reference field="3" count="1">
            <x v="4"/>
          </reference>
          <reference field="11" count="1" selected="0">
            <x v="53"/>
          </reference>
          <reference field="22" count="0" selected="0"/>
        </references>
      </pivotArea>
    </format>
    <format dxfId="287">
      <pivotArea collapsedLevelsAreSubtotals="1" fieldPosition="0">
        <references count="3">
          <reference field="3" count="1">
            <x v="8"/>
          </reference>
          <reference field="11" count="1" selected="0">
            <x v="53"/>
          </reference>
          <reference field="22" count="0" selected="0"/>
        </references>
      </pivotArea>
    </format>
    <format dxfId="286">
      <pivotArea collapsedLevelsAreSubtotals="1" fieldPosition="0">
        <references count="3">
          <reference field="3" count="1">
            <x v="7"/>
          </reference>
          <reference field="11" count="1" selected="0">
            <x v="53"/>
          </reference>
          <reference field="22" count="0" selected="0"/>
        </references>
      </pivotArea>
    </format>
    <format dxfId="285">
      <pivotArea collapsedLevelsAreSubtotals="1" fieldPosition="0">
        <references count="3">
          <reference field="3" count="1">
            <x v="2"/>
          </reference>
          <reference field="11" count="1" selected="0">
            <x v="53"/>
          </reference>
          <reference field="22" count="0" selected="0"/>
        </references>
      </pivotArea>
    </format>
    <format dxfId="284">
      <pivotArea collapsedLevelsAreSubtotals="1" fieldPosition="0">
        <references count="3">
          <reference field="3" count="1">
            <x v="17"/>
          </reference>
          <reference field="11" count="1" selected="0">
            <x v="53"/>
          </reference>
          <reference field="22" count="0" selected="0"/>
        </references>
      </pivotArea>
    </format>
    <format dxfId="283">
      <pivotArea collapsedLevelsAreSubtotals="1" fieldPosition="0">
        <references count="3">
          <reference field="3" count="1">
            <x v="17"/>
          </reference>
          <reference field="11" count="1" selected="0">
            <x v="54"/>
          </reference>
          <reference field="22" count="0" selected="0"/>
        </references>
      </pivotArea>
    </format>
    <format dxfId="282">
      <pivotArea collapsedLevelsAreSubtotals="1" fieldPosition="0">
        <references count="3">
          <reference field="3" count="1">
            <x v="24"/>
          </reference>
          <reference field="11" count="1" selected="0">
            <x v="54"/>
          </reference>
          <reference field="22" count="0" selected="0"/>
        </references>
      </pivotArea>
    </format>
    <format dxfId="281">
      <pivotArea collapsedLevelsAreSubtotals="1" fieldPosition="0">
        <references count="3">
          <reference field="3" count="1">
            <x v="10"/>
          </reference>
          <reference field="11" count="1" selected="0">
            <x v="54"/>
          </reference>
          <reference field="22" count="0" selected="0"/>
        </references>
      </pivotArea>
    </format>
    <format dxfId="280">
      <pivotArea collapsedLevelsAreSubtotals="1" fieldPosition="0">
        <references count="3">
          <reference field="3" count="1">
            <x v="6"/>
          </reference>
          <reference field="11" count="1" selected="0">
            <x v="54"/>
          </reference>
          <reference field="22" count="0" selected="0"/>
        </references>
      </pivotArea>
    </format>
    <format dxfId="279">
      <pivotArea collapsedLevelsAreSubtotals="1" fieldPosition="0">
        <references count="3">
          <reference field="3" count="1">
            <x v="1"/>
          </reference>
          <reference field="11" count="1" selected="0">
            <x v="54"/>
          </reference>
          <reference field="22" count="0" selected="0"/>
        </references>
      </pivotArea>
    </format>
    <format dxfId="278">
      <pivotArea collapsedLevelsAreSubtotals="1" fieldPosition="0">
        <references count="3">
          <reference field="3" count="1">
            <x v="16"/>
          </reference>
          <reference field="11" count="1" selected="0">
            <x v="54"/>
          </reference>
          <reference field="22" count="0" selected="0"/>
        </references>
      </pivotArea>
    </format>
    <format dxfId="277">
      <pivotArea collapsedLevelsAreSubtotals="1" fieldPosition="0">
        <references count="3">
          <reference field="3" count="1">
            <x v="28"/>
          </reference>
          <reference field="11" count="1" selected="0">
            <x v="54"/>
          </reference>
          <reference field="22" count="0" selected="0"/>
        </references>
      </pivotArea>
    </format>
    <format dxfId="276">
      <pivotArea collapsedLevelsAreSubtotals="1" fieldPosition="0">
        <references count="3">
          <reference field="3" count="1">
            <x v="25"/>
          </reference>
          <reference field="11" count="1" selected="0">
            <x v="54"/>
          </reference>
          <reference field="22" count="0" selected="0"/>
        </references>
      </pivotArea>
    </format>
    <format dxfId="275">
      <pivotArea collapsedLevelsAreSubtotals="1" fieldPosition="0">
        <references count="3">
          <reference field="3" count="1">
            <x v="23"/>
          </reference>
          <reference field="11" count="1" selected="0">
            <x v="54"/>
          </reference>
          <reference field="22" count="0" selected="0"/>
        </references>
      </pivotArea>
    </format>
    <format dxfId="274">
      <pivotArea collapsedLevelsAreSubtotals="1" fieldPosition="0">
        <references count="3">
          <reference field="3" count="1">
            <x v="2"/>
          </reference>
          <reference field="11" count="1" selected="0">
            <x v="54"/>
          </reference>
          <reference field="22" count="0" selected="0"/>
        </references>
      </pivotArea>
    </format>
    <format dxfId="273">
      <pivotArea collapsedLevelsAreSubtotals="1" fieldPosition="0">
        <references count="3">
          <reference field="3" count="1">
            <x v="27"/>
          </reference>
          <reference field="11" count="1" selected="0">
            <x v="54"/>
          </reference>
          <reference field="22" count="0" selected="0"/>
        </references>
      </pivotArea>
    </format>
    <format dxfId="272">
      <pivotArea collapsedLevelsAreSubtotals="1" fieldPosition="0">
        <references count="3">
          <reference field="3" count="1">
            <x v="26"/>
          </reference>
          <reference field="11" count="1" selected="0">
            <x v="54"/>
          </reference>
          <reference field="22" count="0" selected="0"/>
        </references>
      </pivotArea>
    </format>
    <format dxfId="271">
      <pivotArea collapsedLevelsAreSubtotals="1" fieldPosition="0">
        <references count="3">
          <reference field="3" count="1">
            <x v="13"/>
          </reference>
          <reference field="11" count="1" selected="0">
            <x v="54"/>
          </reference>
          <reference field="22" count="0" selected="0"/>
        </references>
      </pivotArea>
    </format>
    <format dxfId="270">
      <pivotArea collapsedLevelsAreSubtotals="1" fieldPosition="0">
        <references count="3">
          <reference field="3" count="1">
            <x v="14"/>
          </reference>
          <reference field="11" count="1" selected="0">
            <x v="54"/>
          </reference>
          <reference field="22" count="0" selected="0"/>
        </references>
      </pivotArea>
    </format>
    <format dxfId="269">
      <pivotArea collapsedLevelsAreSubtotals="1" fieldPosition="0">
        <references count="3">
          <reference field="3" count="1">
            <x v="15"/>
          </reference>
          <reference field="11" count="1" selected="0">
            <x v="55"/>
          </reference>
          <reference field="22" count="0" selected="0"/>
        </references>
      </pivotArea>
    </format>
    <format dxfId="268">
      <pivotArea collapsedLevelsAreSubtotals="1" fieldPosition="0">
        <references count="3">
          <reference field="3" count="1">
            <x v="1"/>
          </reference>
          <reference field="11" count="1" selected="0">
            <x v="55"/>
          </reference>
          <reference field="22" count="0" selected="0"/>
        </references>
      </pivotArea>
    </format>
    <format dxfId="267">
      <pivotArea collapsedLevelsAreSubtotals="1" fieldPosition="0">
        <references count="3">
          <reference field="3" count="1">
            <x v="26"/>
          </reference>
          <reference field="11" count="1" selected="0">
            <x v="55"/>
          </reference>
          <reference field="22" count="0" selected="0"/>
        </references>
      </pivotArea>
    </format>
    <format dxfId="266">
      <pivotArea collapsedLevelsAreSubtotals="1" fieldPosition="0">
        <references count="3">
          <reference field="3" count="1">
            <x v="2"/>
          </reference>
          <reference field="11" count="1" selected="0">
            <x v="55"/>
          </reference>
          <reference field="22" count="0" selected="0"/>
        </references>
      </pivotArea>
    </format>
    <format dxfId="265">
      <pivotArea collapsedLevelsAreSubtotals="1" fieldPosition="0">
        <references count="3">
          <reference field="3" count="1">
            <x v="7"/>
          </reference>
          <reference field="11" count="1" selected="0">
            <x v="55"/>
          </reference>
          <reference field="22" count="0" selected="0"/>
        </references>
      </pivotArea>
    </format>
    <format dxfId="264">
      <pivotArea collapsedLevelsAreSubtotals="1" fieldPosition="0">
        <references count="3">
          <reference field="3" count="1">
            <x v="20"/>
          </reference>
          <reference field="11" count="1" selected="0">
            <x v="55"/>
          </reference>
          <reference field="22" count="0" selected="0"/>
        </references>
      </pivotArea>
    </format>
    <format dxfId="263">
      <pivotArea collapsedLevelsAreSubtotals="1" fieldPosition="0">
        <references count="3">
          <reference field="3" count="1">
            <x v="9"/>
          </reference>
          <reference field="11" count="1" selected="0">
            <x v="55"/>
          </reference>
          <reference field="22" count="0" selected="0"/>
        </references>
      </pivotArea>
    </format>
    <format dxfId="262">
      <pivotArea collapsedLevelsAreSubtotals="1" fieldPosition="0">
        <references count="3">
          <reference field="3" count="1">
            <x v="18"/>
          </reference>
          <reference field="11" count="1" selected="0">
            <x v="57"/>
          </reference>
          <reference field="22" count="1" selected="0">
            <x v="1"/>
          </reference>
        </references>
      </pivotArea>
    </format>
    <format dxfId="261">
      <pivotArea collapsedLevelsAreSubtotals="1" fieldPosition="0">
        <references count="3">
          <reference field="3" count="1">
            <x v="31"/>
          </reference>
          <reference field="11" count="1" selected="0">
            <x v="57"/>
          </reference>
          <reference field="22" count="1" selected="0">
            <x v="1"/>
          </reference>
        </references>
      </pivotArea>
    </format>
    <format dxfId="260">
      <pivotArea collapsedLevelsAreSubtotals="1" fieldPosition="0">
        <references count="3">
          <reference field="3" count="1">
            <x v="5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9">
      <pivotArea collapsedLevelsAreSubtotals="1" fieldPosition="0">
        <references count="3">
          <reference field="3" count="1">
            <x v="18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8">
      <pivotArea collapsedLevelsAreSubtotals="1" fieldPosition="0">
        <references count="3">
          <reference field="3" count="1">
            <x v="33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7">
      <pivotArea collapsedLevelsAreSubtotals="1" fieldPosition="0">
        <references count="3">
          <reference field="3" count="1">
            <x v="22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6">
      <pivotArea collapsedLevelsAreSubtotals="1" fieldPosition="0">
        <references count="3">
          <reference field="3" count="1">
            <x v="2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5">
      <pivotArea collapsedLevelsAreSubtotals="1" fieldPosition="0">
        <references count="3">
          <reference field="3" count="1">
            <x v="19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4">
      <pivotArea collapsedLevelsAreSubtotals="1" fieldPosition="0">
        <references count="3">
          <reference field="3" count="1">
            <x v="31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3">
      <pivotArea collapsedLevelsAreSubtotals="1" fieldPosition="0">
        <references count="3">
          <reference field="3" count="1">
            <x v="35"/>
          </reference>
          <reference field="11" count="1" selected="0">
            <x v="58"/>
          </reference>
          <reference field="22" count="1" selected="0">
            <x v="1"/>
          </reference>
        </references>
      </pivotArea>
    </format>
    <format dxfId="252">
      <pivotArea collapsedLevelsAreSubtotals="1" fieldPosition="0">
        <references count="3">
          <reference field="3" count="1">
            <x v="33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51">
      <pivotArea collapsedLevelsAreSubtotals="1" fieldPosition="0">
        <references count="3">
          <reference field="3" count="1">
            <x v="11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50">
      <pivotArea collapsedLevelsAreSubtotals="1" fieldPosition="0">
        <references count="3">
          <reference field="3" count="1">
            <x v="23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49">
      <pivotArea collapsedLevelsAreSubtotals="1" fieldPosition="0">
        <references count="3">
          <reference field="3" count="1">
            <x v="1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48">
      <pivotArea collapsedLevelsAreSubtotals="1" fieldPosition="0">
        <references count="3">
          <reference field="3" count="1">
            <x v="2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47">
      <pivotArea collapsedLevelsAreSubtotals="1" fieldPosition="0">
        <references count="3">
          <reference field="3" count="1">
            <x v="17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46">
      <pivotArea collapsedLevelsAreSubtotals="1" fieldPosition="0">
        <references count="3">
          <reference field="3" count="1">
            <x v="8"/>
          </reference>
          <reference field="11" count="1" selected="0">
            <x v="59"/>
          </reference>
          <reference field="22" count="1" selected="0">
            <x v="1"/>
          </reference>
        </references>
      </pivotArea>
    </format>
    <format dxfId="245">
      <pivotArea collapsedLevelsAreSubtotals="1" fieldPosition="0">
        <references count="3">
          <reference field="3" count="1">
            <x v="1"/>
          </reference>
          <reference field="11" count="1" selected="0">
            <x v="60"/>
          </reference>
          <reference field="22" count="1" selected="0">
            <x v="1"/>
          </reference>
        </references>
      </pivotArea>
    </format>
    <format dxfId="244">
      <pivotArea collapsedLevelsAreSubtotals="1" fieldPosition="0">
        <references count="3">
          <reference field="3" count="1">
            <x v="31"/>
          </reference>
          <reference field="11" count="1" selected="0">
            <x v="60"/>
          </reference>
          <reference field="22" count="1" selected="0">
            <x v="1"/>
          </reference>
        </references>
      </pivotArea>
    </format>
    <format dxfId="243">
      <pivotArea collapsedLevelsAreSubtotals="1" fieldPosition="0">
        <references count="3">
          <reference field="3" count="1">
            <x v="32"/>
          </reference>
          <reference field="11" count="1" selected="0">
            <x v="60"/>
          </reference>
          <reference field="22" count="1" selected="0">
            <x v="1"/>
          </reference>
        </references>
      </pivotArea>
    </format>
    <format dxfId="242">
      <pivotArea collapsedLevelsAreSubtotals="1" fieldPosition="0">
        <references count="3">
          <reference field="3" count="1">
            <x v="22"/>
          </reference>
          <reference field="11" count="1" selected="0">
            <x v="60"/>
          </reference>
          <reference field="22" count="1" selected="0">
            <x v="1"/>
          </reference>
        </references>
      </pivotArea>
    </format>
    <format dxfId="241">
      <pivotArea collapsedLevelsAreSubtotals="1" fieldPosition="0">
        <references count="3">
          <reference field="3" count="1">
            <x v="12"/>
          </reference>
          <reference field="11" count="1" selected="0">
            <x v="60"/>
          </reference>
          <reference field="22" count="1" selected="0">
            <x v="1"/>
          </reference>
        </references>
      </pivotArea>
    </format>
    <format dxfId="240">
      <pivotArea collapsedLevelsAreSubtotals="1" fieldPosition="0">
        <references count="3">
          <reference field="3" count="1">
            <x v="36"/>
          </reference>
          <reference field="11" count="1" selected="0">
            <x v="60"/>
          </reference>
          <reference field="22" count="1" selected="0">
            <x v="1"/>
          </reference>
        </references>
      </pivotArea>
    </format>
    <format dxfId="239">
      <pivotArea collapsedLevelsAreSubtotals="1" fieldPosition="0">
        <references count="3">
          <reference field="3" count="1">
            <x v="5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8">
      <pivotArea collapsedLevelsAreSubtotals="1" fieldPosition="0">
        <references count="3">
          <reference field="3" count="1">
            <x v="37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7">
      <pivotArea collapsedLevelsAreSubtotals="1" fieldPosition="0">
        <references count="3">
          <reference field="3" count="1">
            <x v="27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6">
      <pivotArea collapsedLevelsAreSubtotals="1" fieldPosition="0">
        <references count="3">
          <reference field="3" count="1">
            <x v="5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5">
      <pivotArea collapsedLevelsAreSubtotals="1" fieldPosition="0">
        <references count="3">
          <reference field="3" count="1">
            <x v="32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4">
      <pivotArea collapsedLevelsAreSubtotals="1" fieldPosition="0">
        <references count="3">
          <reference field="3" count="1">
            <x v="10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3">
      <pivotArea collapsedLevelsAreSubtotals="1" fieldPosition="0">
        <references count="3">
          <reference field="3" count="1">
            <x v="18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2">
      <pivotArea collapsedLevelsAreSubtotals="1" fieldPosition="0">
        <references count="3">
          <reference field="3" count="1">
            <x v="2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1">
      <pivotArea collapsedLevelsAreSubtotals="1" fieldPosition="0">
        <references count="3">
          <reference field="3" count="1">
            <x v="4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30">
      <pivotArea collapsedLevelsAreSubtotals="1" fieldPosition="0">
        <references count="3">
          <reference field="3" count="1">
            <x v="7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29">
      <pivotArea collapsedLevelsAreSubtotals="1" fieldPosition="0">
        <references count="3">
          <reference field="3" count="1">
            <x v="1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28">
      <pivotArea collapsedLevelsAreSubtotals="1" fieldPosition="0">
        <references count="3">
          <reference field="3" count="1">
            <x v="25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27">
      <pivotArea collapsedLevelsAreSubtotals="1" fieldPosition="0">
        <references count="3">
          <reference field="3" count="1">
            <x v="14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6">
      <pivotArea collapsedLevelsAreSubtotals="1" fieldPosition="0">
        <references count="3">
          <reference field="3" count="1">
            <x v="32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5">
      <pivotArea collapsedLevelsAreSubtotals="1" fieldPosition="0">
        <references count="3">
          <reference field="3" count="1">
            <x v="24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4">
      <pivotArea collapsedLevelsAreSubtotals="1" fieldPosition="0">
        <references count="3">
          <reference field="3" count="1">
            <x v="6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3">
      <pivotArea collapsedLevelsAreSubtotals="1" fieldPosition="0">
        <references count="3">
          <reference field="3" count="1">
            <x v="33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2">
      <pivotArea collapsedLevelsAreSubtotals="1" fieldPosition="0">
        <references count="3">
          <reference field="3" count="1">
            <x v="31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1">
      <pivotArea collapsedLevelsAreSubtotals="1" fieldPosition="0">
        <references count="3">
          <reference field="3" count="1">
            <x v="29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20">
      <pivotArea collapsedLevelsAreSubtotals="1" fieldPosition="0">
        <references count="3">
          <reference field="3" count="1">
            <x v="15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19">
      <pivotArea collapsedLevelsAreSubtotals="1" fieldPosition="0">
        <references count="3">
          <reference field="3" count="1">
            <x v="25"/>
          </reference>
          <reference field="11" count="1" selected="0">
            <x v="61"/>
          </reference>
          <reference field="22" count="1" selected="0">
            <x v="2"/>
          </reference>
        </references>
      </pivotArea>
    </format>
    <format dxfId="218">
      <pivotArea collapsedLevelsAreSubtotals="1" fieldPosition="0">
        <references count="3">
          <reference field="3" count="1">
            <x v="27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17">
      <pivotArea collapsedLevelsAreSubtotals="1" fieldPosition="0">
        <references count="3">
          <reference field="3" count="1">
            <x v="37"/>
          </reference>
          <reference field="11" count="1" selected="0">
            <x v="62"/>
          </reference>
          <reference field="22" count="1" selected="0">
            <x v="2"/>
          </reference>
        </references>
      </pivotArea>
    </format>
    <format dxfId="216">
      <pivotArea collapsedLevelsAreSubtotals="1" fieldPosition="0">
        <references count="3">
          <reference field="3" count="1">
            <x v="37"/>
          </reference>
          <reference field="11" count="1" selected="0">
            <x v="63"/>
          </reference>
          <reference field="22" count="1" selected="0">
            <x v="2"/>
          </reference>
        </references>
      </pivotArea>
    </format>
    <format dxfId="215">
      <pivotArea collapsedLevelsAreSubtotals="1" fieldPosition="0">
        <references count="3">
          <reference field="3" count="1">
            <x v="33"/>
          </reference>
          <reference field="11" count="1" selected="0">
            <x v="63"/>
          </reference>
          <reference field="22" count="1" selected="0">
            <x v="2"/>
          </reference>
        </references>
      </pivotArea>
    </format>
    <format dxfId="214">
      <pivotArea collapsedLevelsAreSubtotals="1" fieldPosition="0">
        <references count="3">
          <reference field="3" count="1">
            <x v="1"/>
          </reference>
          <reference field="11" count="1" selected="0">
            <x v="63"/>
          </reference>
          <reference field="22" count="1" selected="0">
            <x v="2"/>
          </reference>
        </references>
      </pivotArea>
    </format>
    <format dxfId="213">
      <pivotArea collapsedLevelsAreSubtotals="1" fieldPosition="0">
        <references count="3">
          <reference field="3" count="1">
            <x v="32"/>
          </reference>
          <reference field="11" count="1" selected="0">
            <x v="64"/>
          </reference>
          <reference field="22" count="1" selected="0">
            <x v="2"/>
          </reference>
        </references>
      </pivotArea>
    </format>
    <format dxfId="212">
      <pivotArea collapsedLevelsAreSubtotals="1" fieldPosition="0">
        <references count="3">
          <reference field="3" count="1">
            <x v="27"/>
          </reference>
          <reference field="11" count="1" selected="0">
            <x v="63"/>
          </reference>
          <reference field="22" count="1" selected="0">
            <x v="2"/>
          </reference>
        </references>
      </pivotArea>
    </format>
    <format dxfId="211">
      <pivotArea collapsedLevelsAreSubtotals="1" fieldPosition="0">
        <references count="3">
          <reference field="3" count="1">
            <x v="5"/>
          </reference>
          <reference field="11" count="1" selected="0">
            <x v="63"/>
          </reference>
          <reference field="22" count="1" selected="0">
            <x v="2"/>
          </reference>
        </references>
      </pivotArea>
    </format>
    <format dxfId="210">
      <pivotArea collapsedLevelsAreSubtotals="1" fieldPosition="0">
        <references count="3">
          <reference field="3" count="1">
            <x v="8"/>
          </reference>
          <reference field="11" count="1" selected="0">
            <x v="63"/>
          </reference>
          <reference field="22" count="1" selected="0">
            <x v="2"/>
          </reference>
        </references>
      </pivotArea>
    </format>
    <format dxfId="209">
      <pivotArea collapsedLevelsAreSubtotals="1" fieldPosition="0">
        <references count="3">
          <reference field="3" count="1">
            <x v="11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8">
      <pivotArea collapsedLevelsAreSubtotals="1" fieldPosition="0">
        <references count="3">
          <reference field="3" count="1">
            <x v="16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7">
      <pivotArea collapsedLevelsAreSubtotals="1" fieldPosition="0">
        <references count="3">
          <reference field="3" count="1">
            <x v="0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6">
      <pivotArea collapsedLevelsAreSubtotals="1" fieldPosition="0">
        <references count="3">
          <reference field="3" count="1">
            <x v="26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5">
      <pivotArea collapsedLevelsAreSubtotals="1" fieldPosition="0">
        <references count="3">
          <reference field="3" count="1">
            <x v="14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4">
      <pivotArea collapsedLevelsAreSubtotals="1" fieldPosition="0">
        <references count="3">
          <reference field="3" count="1">
            <x v="32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3">
      <pivotArea collapsedLevelsAreSubtotals="1" fieldPosition="0">
        <references count="3">
          <reference field="3" count="1">
            <x v="24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2">
      <pivotArea collapsedLevelsAreSubtotals="1" fieldPosition="0">
        <references count="3">
          <reference field="3" count="1">
            <x v="1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1">
      <pivotArea collapsedLevelsAreSubtotals="1" fieldPosition="0">
        <references count="3">
          <reference field="3" count="1">
            <x v="29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200">
      <pivotArea collapsedLevelsAreSubtotals="1" fieldPosition="0">
        <references count="3">
          <reference field="3" count="1">
            <x v="31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99">
      <pivotArea collapsedLevelsAreSubtotals="1" fieldPosition="0">
        <references count="3">
          <reference field="3" count="1">
            <x v="9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98">
      <pivotArea collapsedLevelsAreSubtotals="1" fieldPosition="0">
        <references count="3">
          <reference field="3" count="1">
            <x v="30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97">
      <pivotArea collapsedLevelsAreSubtotals="1" fieldPosition="0">
        <references count="3">
          <reference field="3" count="1">
            <x v="2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96">
      <pivotArea collapsedLevelsAreSubtotals="1" fieldPosition="0">
        <references count="3">
          <reference field="3" count="1">
            <x v="7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95">
      <pivotArea collapsedLevelsAreSubtotals="1" fieldPosition="0">
        <references count="3">
          <reference field="3" count="1">
            <x v="32"/>
          </reference>
          <reference field="11" count="1" selected="0">
            <x v="66"/>
          </reference>
          <reference field="22" count="1" selected="0">
            <x v="3"/>
          </reference>
        </references>
      </pivotArea>
    </format>
    <format dxfId="194">
      <pivotArea collapsedLevelsAreSubtotals="1" fieldPosition="0">
        <references count="3">
          <reference field="3" count="1">
            <x v="24"/>
          </reference>
          <reference field="11" count="1" selected="0">
            <x v="66"/>
          </reference>
          <reference field="22" count="1" selected="0">
            <x v="3"/>
          </reference>
        </references>
      </pivotArea>
    </format>
    <format dxfId="193">
      <pivotArea collapsedLevelsAreSubtotals="1" fieldPosition="0">
        <references count="3">
          <reference field="3" count="1">
            <x v="20"/>
          </reference>
          <reference field="11" count="1" selected="0">
            <x v="66"/>
          </reference>
          <reference field="22" count="1" selected="0">
            <x v="3"/>
          </reference>
        </references>
      </pivotArea>
    </format>
    <format dxfId="192">
      <pivotArea collapsedLevelsAreSubtotals="1" fieldPosition="0">
        <references count="3">
          <reference field="3" count="1">
            <x v="10"/>
          </reference>
          <reference field="11" count="1" selected="0">
            <x v="66"/>
          </reference>
          <reference field="22" count="1" selected="0">
            <x v="3"/>
          </reference>
        </references>
      </pivotArea>
    </format>
    <format dxfId="191">
      <pivotArea collapsedLevelsAreSubtotals="1" fieldPosition="0">
        <references count="3">
          <reference field="3" count="1">
            <x v="6"/>
          </reference>
          <reference field="11" count="1" selected="0">
            <x v="66"/>
          </reference>
          <reference field="22" count="1" selected="0">
            <x v="3"/>
          </reference>
        </references>
      </pivotArea>
    </format>
    <format dxfId="190">
      <pivotArea collapsedLevelsAreSubtotals="1" fieldPosition="0">
        <references count="3">
          <reference field="3" count="1">
            <x v="18"/>
          </reference>
          <reference field="11" count="1" selected="0">
            <x v="66"/>
          </reference>
          <reference field="22" count="1" selected="0">
            <x v="3"/>
          </reference>
        </references>
      </pivotArea>
    </format>
    <format dxfId="189">
      <pivotArea collapsedLevelsAreSubtotals="1" fieldPosition="0">
        <references count="4">
          <reference field="3" count="1" selected="0">
            <x v="16"/>
          </reference>
          <reference field="4" count="1">
            <x v="223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88">
      <pivotArea collapsedLevelsAreSubtotals="1" fieldPosition="0">
        <references count="4">
          <reference field="3" count="1" selected="0">
            <x v="16"/>
          </reference>
          <reference field="4" count="1">
            <x v="224"/>
          </reference>
          <reference field="11" count="1" selected="0">
            <x v="65"/>
          </reference>
          <reference field="22" count="1" selected="0">
            <x v="3"/>
          </reference>
        </references>
      </pivotArea>
    </format>
    <format dxfId="187">
      <pivotArea collapsedLevelsAreSubtotals="1" fieldPosition="0">
        <references count="3">
          <reference field="3" count="1">
            <x v="25"/>
          </reference>
          <reference field="11" count="1" selected="0">
            <x v="66"/>
          </reference>
          <reference field="22" count="0" selected="0"/>
        </references>
      </pivotArea>
    </format>
    <format dxfId="186">
      <pivotArea collapsedLevelsAreSubtotals="1" fieldPosition="0">
        <references count="3">
          <reference field="3" count="1">
            <x v="33"/>
          </reference>
          <reference field="11" count="1" selected="0">
            <x v="66"/>
          </reference>
          <reference field="22" count="0" selected="0"/>
        </references>
      </pivotArea>
    </format>
    <format dxfId="185">
      <pivotArea collapsedLevelsAreSubtotals="1" fieldPosition="0">
        <references count="3">
          <reference field="3" count="1">
            <x v="16"/>
          </reference>
          <reference field="11" count="1" selected="0">
            <x v="66"/>
          </reference>
          <reference field="22" count="0" selected="0"/>
        </references>
      </pivotArea>
    </format>
    <format dxfId="184">
      <pivotArea collapsedLevelsAreSubtotals="1" fieldPosition="0">
        <references count="3">
          <reference field="3" count="1">
            <x v="28"/>
          </reference>
          <reference field="11" count="1" selected="0">
            <x v="66"/>
          </reference>
          <reference field="22" count="0" selected="0"/>
        </references>
      </pivotArea>
    </format>
    <format dxfId="183">
      <pivotArea collapsedLevelsAreSubtotals="1" fieldPosition="0">
        <references count="3">
          <reference field="3" count="1">
            <x v="16"/>
          </reference>
          <reference field="11" count="1" selected="0">
            <x v="67"/>
          </reference>
          <reference field="22" count="0" selected="0"/>
        </references>
      </pivotArea>
    </format>
    <format dxfId="182">
      <pivotArea collapsedLevelsAreSubtotals="1" fieldPosition="0">
        <references count="3">
          <reference field="3" count="1">
            <x v="32"/>
          </reference>
          <reference field="11" count="1" selected="0">
            <x v="67"/>
          </reference>
          <reference field="22" count="0" selected="0"/>
        </references>
      </pivotArea>
    </format>
    <format dxfId="181">
      <pivotArea collapsedLevelsAreSubtotals="1" fieldPosition="0">
        <references count="3">
          <reference field="3" count="1">
            <x v="28"/>
          </reference>
          <reference field="11" count="1" selected="0">
            <x v="67"/>
          </reference>
          <reference field="22" count="0" selected="0"/>
        </references>
      </pivotArea>
    </format>
    <format dxfId="180">
      <pivotArea collapsedLevelsAreSubtotals="1" fieldPosition="0">
        <references count="3">
          <reference field="3" count="1">
            <x v="1"/>
          </reference>
          <reference field="11" count="1" selected="0">
            <x v="67"/>
          </reference>
          <reference field="22" count="0" selected="0"/>
        </references>
      </pivotArea>
    </format>
    <format dxfId="179">
      <pivotArea collapsedLevelsAreSubtotals="1" fieldPosition="0">
        <references count="3">
          <reference field="3" count="1">
            <x v="6"/>
          </reference>
          <reference field="11" count="1" selected="0">
            <x v="67"/>
          </reference>
          <reference field="22" count="0" selected="0"/>
        </references>
      </pivotArea>
    </format>
    <format dxfId="178">
      <pivotArea collapsedLevelsAreSubtotals="1" fieldPosition="0">
        <references count="3">
          <reference field="3" count="1">
            <x v="31"/>
          </reference>
          <reference field="11" count="1" selected="0">
            <x v="67"/>
          </reference>
          <reference field="22" count="0" selected="0"/>
        </references>
      </pivotArea>
    </format>
    <format dxfId="177">
      <pivotArea collapsedLevelsAreSubtotals="1" fieldPosition="0">
        <references count="3">
          <reference field="3" count="1">
            <x v="22"/>
          </reference>
          <reference field="11" count="1" selected="0">
            <x v="67"/>
          </reference>
          <reference field="22" count="0" selected="0"/>
        </references>
      </pivotArea>
    </format>
    <format dxfId="176">
      <pivotArea collapsedLevelsAreSubtotals="1" fieldPosition="0">
        <references count="3">
          <reference field="3" count="1">
            <x v="20"/>
          </reference>
          <reference field="11" count="1" selected="0">
            <x v="67"/>
          </reference>
          <reference field="22" count="0" selected="0"/>
        </references>
      </pivotArea>
    </format>
    <format dxfId="175">
      <pivotArea collapsedLevelsAreSubtotals="1" fieldPosition="0">
        <references count="3">
          <reference field="3" count="1">
            <x v="14"/>
          </reference>
          <reference field="11" count="1" selected="0">
            <x v="68"/>
          </reference>
          <reference field="22" count="0" selected="0"/>
        </references>
      </pivotArea>
    </format>
    <format dxfId="174">
      <pivotArea collapsedLevelsAreSubtotals="1" fieldPosition="0">
        <references count="3">
          <reference field="3" count="1">
            <x v="32"/>
          </reference>
          <reference field="11" count="1" selected="0">
            <x v="68"/>
          </reference>
          <reference field="22" count="0" selected="0"/>
        </references>
      </pivotArea>
    </format>
    <format dxfId="173">
      <pivotArea collapsedLevelsAreSubtotals="1" fieldPosition="0">
        <references count="3">
          <reference field="3" count="1">
            <x v="1"/>
          </reference>
          <reference field="11" count="1" selected="0">
            <x v="68"/>
          </reference>
          <reference field="22" count="0" selected="0"/>
        </references>
      </pivotArea>
    </format>
    <format dxfId="172">
      <pivotArea collapsedLevelsAreSubtotals="1" fieldPosition="0">
        <references count="3">
          <reference field="3" count="1">
            <x v="24"/>
          </reference>
          <reference field="11" count="1" selected="0">
            <x v="68"/>
          </reference>
          <reference field="22" count="0" selected="0"/>
        </references>
      </pivotArea>
    </format>
    <format dxfId="171">
      <pivotArea collapsedLevelsAreSubtotals="1" fieldPosition="0">
        <references count="3">
          <reference field="3" count="1">
            <x v="11"/>
          </reference>
          <reference field="11" count="1" selected="0">
            <x v="68"/>
          </reference>
          <reference field="22" count="0" selected="0"/>
        </references>
      </pivotArea>
    </format>
    <format dxfId="170">
      <pivotArea collapsedLevelsAreSubtotals="1" fieldPosition="0">
        <references count="3">
          <reference field="3" count="1">
            <x v="22"/>
          </reference>
          <reference field="11" count="1" selected="0">
            <x v="68"/>
          </reference>
          <reference field="22" count="0" selected="0"/>
        </references>
      </pivotArea>
    </format>
    <format dxfId="169">
      <pivotArea collapsedLevelsAreSubtotals="1" fieldPosition="0">
        <references count="3">
          <reference field="3" count="1">
            <x v="33"/>
          </reference>
          <reference field="11" count="1" selected="0">
            <x v="68"/>
          </reference>
          <reference field="22" count="0" selected="0"/>
        </references>
      </pivotArea>
    </format>
    <format dxfId="168">
      <pivotArea collapsedLevelsAreSubtotals="1" fieldPosition="0">
        <references count="3">
          <reference field="3" count="1">
            <x v="12"/>
          </reference>
          <reference field="11" count="1" selected="0">
            <x v="68"/>
          </reference>
          <reference field="22" count="0" selected="0"/>
        </references>
      </pivotArea>
    </format>
    <format dxfId="167">
      <pivotArea collapsedLevelsAreSubtotals="1" fieldPosition="0">
        <references count="3">
          <reference field="3" count="1">
            <x v="16"/>
          </reference>
          <reference field="11" count="1" selected="0">
            <x v="68"/>
          </reference>
          <reference field="22" count="0" selected="0"/>
        </references>
      </pivotArea>
    </format>
    <format dxfId="166">
      <pivotArea collapsedLevelsAreSubtotals="1" fieldPosition="0">
        <references count="3">
          <reference field="3" count="1">
            <x v="26"/>
          </reference>
          <reference field="11" count="1" selected="0">
            <x v="68"/>
          </reference>
          <reference field="22" count="0" selected="0"/>
        </references>
      </pivotArea>
    </format>
    <format dxfId="165">
      <pivotArea collapsedLevelsAreSubtotals="1" fieldPosition="0">
        <references count="3">
          <reference field="3" count="1">
            <x v="20"/>
          </reference>
          <reference field="11" count="1" selected="0">
            <x v="68"/>
          </reference>
          <reference field="22" count="0" selected="0"/>
        </references>
      </pivotArea>
    </format>
    <format dxfId="164">
      <pivotArea collapsedLevelsAreSubtotals="1" fieldPosition="0">
        <references count="3">
          <reference field="3" count="1">
            <x v="9"/>
          </reference>
          <reference field="11" count="1" selected="0">
            <x v="68"/>
          </reference>
          <reference field="22" count="0" selected="0"/>
        </references>
      </pivotArea>
    </format>
    <format dxfId="163">
      <pivotArea collapsedLevelsAreSubtotals="1" fieldPosition="0">
        <references count="3">
          <reference field="3" count="1">
            <x v="4"/>
          </reference>
          <reference field="11" count="1" selected="0">
            <x v="68"/>
          </reference>
          <reference field="22" count="0" selected="0"/>
        </references>
      </pivotArea>
    </format>
    <format dxfId="162">
      <pivotArea collapsedLevelsAreSubtotals="1" fieldPosition="0">
        <references count="3">
          <reference field="3" count="1">
            <x v="16"/>
          </reference>
          <reference field="11" count="1" selected="0">
            <x v="70"/>
          </reference>
          <reference field="22" count="0" selected="0"/>
        </references>
      </pivotArea>
    </format>
    <format dxfId="161">
      <pivotArea collapsedLevelsAreSubtotals="1" fieldPosition="0">
        <references count="3">
          <reference field="3" count="1">
            <x v="28"/>
          </reference>
          <reference field="11" count="1" selected="0">
            <x v="70"/>
          </reference>
          <reference field="22" count="0" selected="0"/>
        </references>
      </pivotArea>
    </format>
    <format dxfId="160">
      <pivotArea collapsedLevelsAreSubtotals="1" fieldPosition="0">
        <references count="3">
          <reference field="3" count="1">
            <x v="31"/>
          </reference>
          <reference field="11" count="1" selected="0">
            <x v="70"/>
          </reference>
          <reference field="22" count="0" selected="0"/>
        </references>
      </pivotArea>
    </format>
    <format dxfId="159">
      <pivotArea collapsedLevelsAreSubtotals="1" fieldPosition="0">
        <references count="3">
          <reference field="3" count="1">
            <x v="7"/>
          </reference>
          <reference field="11" count="1" selected="0">
            <x v="70"/>
          </reference>
          <reference field="22" count="0" selected="0"/>
        </references>
      </pivotArea>
    </format>
    <format dxfId="158">
      <pivotArea collapsedLevelsAreSubtotals="1" fieldPosition="0">
        <references count="3">
          <reference field="3" count="1">
            <x v="30"/>
          </reference>
          <reference field="11" count="1" selected="0">
            <x v="70"/>
          </reference>
          <reference field="22" count="0" selected="0"/>
        </references>
      </pivotArea>
    </format>
    <format dxfId="157">
      <pivotArea collapsedLevelsAreSubtotals="1" fieldPosition="0">
        <references count="3">
          <reference field="3" count="1">
            <x v="24"/>
          </reference>
          <reference field="11" count="1" selected="0">
            <x v="70"/>
          </reference>
          <reference field="22" count="0" selected="0"/>
        </references>
      </pivotArea>
    </format>
    <format dxfId="156">
      <pivotArea collapsedLevelsAreSubtotals="1" fieldPosition="0">
        <references count="3">
          <reference field="3" count="1">
            <x v="13"/>
          </reference>
          <reference field="11" count="1" selected="0">
            <x v="70"/>
          </reference>
          <reference field="22" count="0" selected="0"/>
        </references>
      </pivotArea>
    </format>
    <format dxfId="155">
      <pivotArea collapsedLevelsAreSubtotals="1" fieldPosition="0">
        <references count="3">
          <reference field="3" count="1">
            <x v="17"/>
          </reference>
          <reference field="11" count="1" selected="0">
            <x v="70"/>
          </reference>
          <reference field="22" count="0" selected="0"/>
        </references>
      </pivotArea>
    </format>
    <format dxfId="154">
      <pivotArea collapsedLevelsAreSubtotals="1" fieldPosition="0">
        <references count="3">
          <reference field="3" count="1">
            <x v="25"/>
          </reference>
          <reference field="11" count="1" selected="0">
            <x v="71"/>
          </reference>
          <reference field="22" count="0" selected="0"/>
        </references>
      </pivotArea>
    </format>
    <format dxfId="153">
      <pivotArea collapsedLevelsAreSubtotals="1" fieldPosition="0">
        <references count="3">
          <reference field="3" count="1">
            <x v="29"/>
          </reference>
          <reference field="11" count="1" selected="0">
            <x v="71"/>
          </reference>
          <reference field="22" count="0" selected="0"/>
        </references>
      </pivotArea>
    </format>
    <format dxfId="152">
      <pivotArea collapsedLevelsAreSubtotals="1" fieldPosition="0">
        <references count="3">
          <reference field="3" count="1">
            <x v="4"/>
          </reference>
          <reference field="11" count="1" selected="0">
            <x v="71"/>
          </reference>
          <reference field="22" count="0" selected="0"/>
        </references>
      </pivotArea>
    </format>
    <format dxfId="151">
      <pivotArea collapsedLevelsAreSubtotals="1" fieldPosition="0">
        <references count="3">
          <reference field="3" count="1">
            <x v="27"/>
          </reference>
          <reference field="11" count="1" selected="0">
            <x v="71"/>
          </reference>
          <reference field="22" count="0" selected="0"/>
        </references>
      </pivotArea>
    </format>
    <format dxfId="150">
      <pivotArea collapsedLevelsAreSubtotals="1" fieldPosition="0">
        <references count="3">
          <reference field="3" count="1">
            <x v="32"/>
          </reference>
          <reference field="11" count="1" selected="0">
            <x v="71"/>
          </reference>
          <reference field="22" count="0" selected="0"/>
        </references>
      </pivotArea>
    </format>
    <format dxfId="149">
      <pivotArea collapsedLevelsAreSubtotals="1" fieldPosition="0">
        <references count="3">
          <reference field="3" count="1">
            <x v="31"/>
          </reference>
          <reference field="11" count="1" selected="0">
            <x v="71"/>
          </reference>
          <reference field="22" count="0" selected="0"/>
        </references>
      </pivotArea>
    </format>
    <format dxfId="148">
      <pivotArea collapsedLevelsAreSubtotals="1" fieldPosition="0">
        <references count="3">
          <reference field="3" count="1">
            <x v="16"/>
          </reference>
          <reference field="11" count="1" selected="0">
            <x v="71"/>
          </reference>
          <reference field="22" count="0" selected="0"/>
        </references>
      </pivotArea>
    </format>
    <format dxfId="147">
      <pivotArea collapsedLevelsAreSubtotals="1" fieldPosition="0">
        <references count="3">
          <reference field="3" count="1">
            <x v="28"/>
          </reference>
          <reference field="11" count="1" selected="0">
            <x v="72"/>
          </reference>
          <reference field="22" count="0" selected="0"/>
        </references>
      </pivotArea>
    </format>
    <format dxfId="146">
      <pivotArea collapsedLevelsAreSubtotals="1" fieldPosition="0">
        <references count="3">
          <reference field="3" count="1">
            <x v="37"/>
          </reference>
          <reference field="11" count="1" selected="0">
            <x v="72"/>
          </reference>
          <reference field="22" count="0" selected="0"/>
        </references>
      </pivotArea>
    </format>
    <format dxfId="145">
      <pivotArea collapsedLevelsAreSubtotals="1" fieldPosition="0">
        <references count="3">
          <reference field="3" count="1">
            <x v="32"/>
          </reference>
          <reference field="11" count="1" selected="0">
            <x v="72"/>
          </reference>
          <reference field="22" count="0" selected="0"/>
        </references>
      </pivotArea>
    </format>
    <format dxfId="144">
      <pivotArea collapsedLevelsAreSubtotals="1" fieldPosition="0">
        <references count="3">
          <reference field="3" count="1">
            <x v="18"/>
          </reference>
          <reference field="11" count="1" selected="0">
            <x v="72"/>
          </reference>
          <reference field="22" count="0" selected="0"/>
        </references>
      </pivotArea>
    </format>
    <format dxfId="143">
      <pivotArea collapsedLevelsAreSubtotals="1" fieldPosition="0">
        <references count="3">
          <reference field="3" count="1">
            <x v="20"/>
          </reference>
          <reference field="11" count="1" selected="0">
            <x v="72"/>
          </reference>
          <reference field="22" count="0" selected="0"/>
        </references>
      </pivotArea>
    </format>
    <format dxfId="142">
      <pivotArea collapsedLevelsAreSubtotals="1" fieldPosition="0">
        <references count="3">
          <reference field="3" count="1">
            <x v="2"/>
          </reference>
          <reference field="11" count="1" selected="0">
            <x v="72"/>
          </reference>
          <reference field="22" count="0" selected="0"/>
        </references>
      </pivotArea>
    </format>
    <format dxfId="141">
      <pivotArea collapsedLevelsAreSubtotals="1" fieldPosition="0">
        <references count="3">
          <reference field="3" count="1">
            <x v="22"/>
          </reference>
          <reference field="11" count="1" selected="0">
            <x v="72"/>
          </reference>
          <reference field="22" count="0" selected="0"/>
        </references>
      </pivotArea>
    </format>
    <format dxfId="140">
      <pivotArea collapsedLevelsAreSubtotals="1" fieldPosition="0">
        <references count="3">
          <reference field="3" count="1">
            <x v="8"/>
          </reference>
          <reference field="11" count="1" selected="0">
            <x v="72"/>
          </reference>
          <reference field="22" count="0" selected="0"/>
        </references>
      </pivotArea>
    </format>
    <format dxfId="139">
      <pivotArea collapsedLevelsAreSubtotals="1" fieldPosition="0">
        <references count="3">
          <reference field="3" count="1">
            <x v="31"/>
          </reference>
          <reference field="11" count="1" selected="0">
            <x v="72"/>
          </reference>
          <reference field="22" count="0" selected="0"/>
        </references>
      </pivotArea>
    </format>
    <format dxfId="138">
      <pivotArea collapsedLevelsAreSubtotals="1" fieldPosition="0">
        <references count="3">
          <reference field="3" count="1">
            <x v="6"/>
          </reference>
          <reference field="11" count="1" selected="0">
            <x v="73"/>
          </reference>
          <reference field="22" count="0" selected="0"/>
        </references>
      </pivotArea>
    </format>
    <format dxfId="137">
      <pivotArea collapsedLevelsAreSubtotals="1" fieldPosition="0">
        <references count="3">
          <reference field="3" count="1">
            <x v="33"/>
          </reference>
          <reference field="11" count="1" selected="0">
            <x v="73"/>
          </reference>
          <reference field="22" count="0" selected="0"/>
        </references>
      </pivotArea>
    </format>
    <format dxfId="136">
      <pivotArea collapsedLevelsAreSubtotals="1" fieldPosition="0">
        <references count="3">
          <reference field="3" count="1">
            <x v="27"/>
          </reference>
          <reference field="11" count="1" selected="0">
            <x v="73"/>
          </reference>
          <reference field="22" count="0" selected="0"/>
        </references>
      </pivotArea>
    </format>
    <format dxfId="135">
      <pivotArea collapsedLevelsAreSubtotals="1" fieldPosition="0">
        <references count="3">
          <reference field="3" count="1">
            <x v="32"/>
          </reference>
          <reference field="11" count="1" selected="0">
            <x v="73"/>
          </reference>
          <reference field="22" count="0" selected="0"/>
        </references>
      </pivotArea>
    </format>
    <format dxfId="134">
      <pivotArea collapsedLevelsAreSubtotals="1" fieldPosition="0">
        <references count="3">
          <reference field="3" count="1">
            <x v="17"/>
          </reference>
          <reference field="11" count="1" selected="0">
            <x v="74"/>
          </reference>
          <reference field="22" count="0" selected="0"/>
        </references>
      </pivotArea>
    </format>
    <format dxfId="133">
      <pivotArea collapsedLevelsAreSubtotals="1" fieldPosition="0">
        <references count="3">
          <reference field="3" count="1">
            <x v="15"/>
          </reference>
          <reference field="11" count="1" selected="0">
            <x v="74"/>
          </reference>
          <reference field="22" count="0" selected="0"/>
        </references>
      </pivotArea>
    </format>
    <format dxfId="132">
      <pivotArea collapsedLevelsAreSubtotals="1" fieldPosition="0">
        <references count="3">
          <reference field="3" count="1">
            <x v="16"/>
          </reference>
          <reference field="11" count="1" selected="0">
            <x v="74"/>
          </reference>
          <reference field="22" count="0" selected="0"/>
        </references>
      </pivotArea>
    </format>
    <format dxfId="131">
      <pivotArea collapsedLevelsAreSubtotals="1" fieldPosition="0">
        <references count="3">
          <reference field="3" count="1">
            <x v="32"/>
          </reference>
          <reference field="11" count="1" selected="0">
            <x v="74"/>
          </reference>
          <reference field="22" count="0" selected="0"/>
        </references>
      </pivotArea>
    </format>
    <format dxfId="130">
      <pivotArea collapsedLevelsAreSubtotals="1" fieldPosition="0">
        <references count="3">
          <reference field="3" count="1">
            <x v="31"/>
          </reference>
          <reference field="11" count="1" selected="0">
            <x v="74"/>
          </reference>
          <reference field="22" count="0" selected="0"/>
        </references>
      </pivotArea>
    </format>
    <format dxfId="129">
      <pivotArea collapsedLevelsAreSubtotals="1" fieldPosition="0">
        <references count="3">
          <reference field="3" count="1">
            <x v="1"/>
          </reference>
          <reference field="11" count="1" selected="0">
            <x v="74"/>
          </reference>
          <reference field="22" count="0" selected="0"/>
        </references>
      </pivotArea>
    </format>
    <format dxfId="128">
      <pivotArea collapsedLevelsAreSubtotals="1" fieldPosition="0">
        <references count="3">
          <reference field="3" count="1">
            <x v="33"/>
          </reference>
          <reference field="11" count="1" selected="0">
            <x v="74"/>
          </reference>
          <reference field="22" count="0" selected="0"/>
        </references>
      </pivotArea>
    </format>
    <format dxfId="127">
      <pivotArea collapsedLevelsAreSubtotals="1" fieldPosition="0">
        <references count="3">
          <reference field="3" count="1">
            <x v="24"/>
          </reference>
          <reference field="11" count="1" selected="0">
            <x v="74"/>
          </reference>
          <reference field="22" count="0" selected="0"/>
        </references>
      </pivotArea>
    </format>
    <format dxfId="126">
      <pivotArea collapsedLevelsAreSubtotals="1" fieldPosition="0">
        <references count="3">
          <reference field="3" count="1">
            <x v="26"/>
          </reference>
          <reference field="11" count="1" selected="0">
            <x v="74"/>
          </reference>
          <reference field="22" count="0" selected="0"/>
        </references>
      </pivotArea>
    </format>
    <format dxfId="125">
      <pivotArea collapsedLevelsAreSubtotals="1" fieldPosition="0">
        <references count="3">
          <reference field="3" count="1">
            <x v="18"/>
          </reference>
          <reference field="11" count="1" selected="0">
            <x v="74"/>
          </reference>
          <reference field="22" count="0" selected="0"/>
        </references>
      </pivotArea>
    </format>
    <format dxfId="124">
      <pivotArea collapsedLevelsAreSubtotals="1" fieldPosition="0">
        <references count="3">
          <reference field="3" count="1">
            <x v="22"/>
          </reference>
          <reference field="11" count="1" selected="0">
            <x v="74"/>
          </reference>
          <reference field="22" count="0" selected="0"/>
        </references>
      </pivotArea>
    </format>
    <format dxfId="123">
      <pivotArea collapsedLevelsAreSubtotals="1" fieldPosition="0">
        <references count="3">
          <reference field="3" count="1">
            <x v="9"/>
          </reference>
          <reference field="11" count="1" selected="0">
            <x v="74"/>
          </reference>
          <reference field="22" count="0" selected="0"/>
        </references>
      </pivotArea>
    </format>
    <format dxfId="122">
      <pivotArea collapsedLevelsAreSubtotals="1" fieldPosition="0">
        <references count="3">
          <reference field="3" count="1">
            <x v="17"/>
          </reference>
          <reference field="11" count="1" selected="0">
            <x v="74"/>
          </reference>
          <reference field="22" count="0" selected="0"/>
        </references>
      </pivotArea>
    </format>
    <format dxfId="121">
      <pivotArea collapsedLevelsAreSubtotals="1" fieldPosition="0">
        <references count="3">
          <reference field="3" count="1">
            <x v="15"/>
          </reference>
          <reference field="11" count="1" selected="0">
            <x v="74"/>
          </reference>
          <reference field="22" count="0" selected="0"/>
        </references>
      </pivotArea>
    </format>
    <format dxfId="120">
      <pivotArea collapsedLevelsAreSubtotals="1" fieldPosition="0">
        <references count="3">
          <reference field="3" count="1">
            <x v="16"/>
          </reference>
          <reference field="11" count="1" selected="0">
            <x v="74"/>
          </reference>
          <reference field="22" count="0" selected="0"/>
        </references>
      </pivotArea>
    </format>
    <format dxfId="119">
      <pivotArea collapsedLevelsAreSubtotals="1" fieldPosition="0">
        <references count="3">
          <reference field="3" count="1">
            <x v="32"/>
          </reference>
          <reference field="11" count="1" selected="0">
            <x v="74"/>
          </reference>
          <reference field="22" count="0" selected="0"/>
        </references>
      </pivotArea>
    </format>
    <format dxfId="118">
      <pivotArea collapsedLevelsAreSubtotals="1" fieldPosition="0">
        <references count="3">
          <reference field="3" count="1">
            <x v="31"/>
          </reference>
          <reference field="11" count="1" selected="0">
            <x v="74"/>
          </reference>
          <reference field="22" count="0" selected="0"/>
        </references>
      </pivotArea>
    </format>
    <format dxfId="117">
      <pivotArea collapsedLevelsAreSubtotals="1" fieldPosition="0">
        <references count="3">
          <reference field="3" count="1">
            <x v="1"/>
          </reference>
          <reference field="11" count="1" selected="0">
            <x v="74"/>
          </reference>
          <reference field="22" count="0" selected="0"/>
        </references>
      </pivotArea>
    </format>
    <format dxfId="116">
      <pivotArea collapsedLevelsAreSubtotals="1" fieldPosition="0">
        <references count="3">
          <reference field="3" count="1">
            <x v="33"/>
          </reference>
          <reference field="11" count="1" selected="0">
            <x v="74"/>
          </reference>
          <reference field="22" count="0" selected="0"/>
        </references>
      </pivotArea>
    </format>
    <format dxfId="115">
      <pivotArea collapsedLevelsAreSubtotals="1" fieldPosition="0">
        <references count="3">
          <reference field="3" count="1">
            <x v="24"/>
          </reference>
          <reference field="11" count="1" selected="0">
            <x v="74"/>
          </reference>
          <reference field="22" count="0" selected="0"/>
        </references>
      </pivotArea>
    </format>
    <format dxfId="114">
      <pivotArea collapsedLevelsAreSubtotals="1" fieldPosition="0">
        <references count="3">
          <reference field="3" count="1">
            <x v="26"/>
          </reference>
          <reference field="11" count="1" selected="0">
            <x v="74"/>
          </reference>
          <reference field="22" count="0" selected="0"/>
        </references>
      </pivotArea>
    </format>
    <format dxfId="113">
      <pivotArea collapsedLevelsAreSubtotals="1" fieldPosition="0">
        <references count="3">
          <reference field="3" count="1">
            <x v="18"/>
          </reference>
          <reference field="11" count="1" selected="0">
            <x v="74"/>
          </reference>
          <reference field="22" count="0" selected="0"/>
        </references>
      </pivotArea>
    </format>
    <format dxfId="112">
      <pivotArea collapsedLevelsAreSubtotals="1" fieldPosition="0">
        <references count="3">
          <reference field="3" count="1">
            <x v="22"/>
          </reference>
          <reference field="11" count="1" selected="0">
            <x v="74"/>
          </reference>
          <reference field="22" count="0" selected="0"/>
        </references>
      </pivotArea>
    </format>
    <format dxfId="111">
      <pivotArea collapsedLevelsAreSubtotals="1" fieldPosition="0">
        <references count="3">
          <reference field="3" count="1">
            <x v="9"/>
          </reference>
          <reference field="11" count="1" selected="0">
            <x v="74"/>
          </reference>
          <reference field="22" count="0" selected="0"/>
        </references>
      </pivotArea>
    </format>
    <format dxfId="110">
      <pivotArea collapsedLevelsAreSubtotals="1" fieldPosition="0">
        <references count="3">
          <reference field="3" count="1">
            <x v="16"/>
          </reference>
          <reference field="11" count="1" selected="0">
            <x v="75"/>
          </reference>
          <reference field="22" count="0" selected="0"/>
        </references>
      </pivotArea>
    </format>
    <format dxfId="109">
      <pivotArea collapsedLevelsAreSubtotals="1" fieldPosition="0">
        <references count="3">
          <reference field="3" count="1">
            <x v="28"/>
          </reference>
          <reference field="11" count="1" selected="0">
            <x v="75"/>
          </reference>
          <reference field="22" count="0" selected="0"/>
        </references>
      </pivotArea>
    </format>
    <format dxfId="108">
      <pivotArea collapsedLevelsAreSubtotals="1" fieldPosition="0">
        <references count="3">
          <reference field="3" count="1">
            <x v="1"/>
          </reference>
          <reference field="11" count="1" selected="0">
            <x v="75"/>
          </reference>
          <reference field="22" count="0" selected="0"/>
        </references>
      </pivotArea>
    </format>
    <format dxfId="107">
      <pivotArea collapsedLevelsAreSubtotals="1" fieldPosition="0">
        <references count="3">
          <reference field="3" count="1">
            <x v="20"/>
          </reference>
          <reference field="11" count="1" selected="0">
            <x v="75"/>
          </reference>
          <reference field="22" count="0" selected="0"/>
        </references>
      </pivotArea>
    </format>
    <format dxfId="106">
      <pivotArea collapsedLevelsAreSubtotals="1" fieldPosition="0">
        <references count="3">
          <reference field="3" count="1">
            <x v="4"/>
          </reference>
          <reference field="11" count="1" selected="0">
            <x v="75"/>
          </reference>
          <reference field="22" count="0" selected="0"/>
        </references>
      </pivotArea>
    </format>
    <format dxfId="105">
      <pivotArea collapsedLevelsAreSubtotals="1" fieldPosition="0">
        <references count="3">
          <reference field="3" count="1">
            <x v="29"/>
          </reference>
          <reference field="11" count="1" selected="0">
            <x v="75"/>
          </reference>
          <reference field="22" count="0" selected="0"/>
        </references>
      </pivotArea>
    </format>
    <format dxfId="104">
      <pivotArea collapsedLevelsAreSubtotals="1" fieldPosition="0">
        <references count="3">
          <reference field="3" count="1">
            <x v="15"/>
          </reference>
          <reference field="11" count="1" selected="0">
            <x v="75"/>
          </reference>
          <reference field="22" count="0" selected="0"/>
        </references>
      </pivotArea>
    </format>
    <format dxfId="103">
      <pivotArea collapsedLevelsAreSubtotals="1" fieldPosition="0">
        <references count="3">
          <reference field="3" count="1">
            <x v="19"/>
          </reference>
          <reference field="11" count="1" selected="0">
            <x v="75"/>
          </reference>
          <reference field="22" count="0" selected="0"/>
        </references>
      </pivotArea>
    </format>
    <format dxfId="102">
      <pivotArea collapsedLevelsAreSubtotals="1" fieldPosition="0">
        <references count="3">
          <reference field="3" count="1">
            <x v="32"/>
          </reference>
          <reference field="11" count="1" selected="0">
            <x v="76"/>
          </reference>
          <reference field="22" count="0" selected="0"/>
        </references>
      </pivotArea>
    </format>
    <format dxfId="101">
      <pivotArea collapsedLevelsAreSubtotals="1" fieldPosition="0">
        <references count="3">
          <reference field="3" count="1">
            <x v="11"/>
          </reference>
          <reference field="11" count="1" selected="0">
            <x v="76"/>
          </reference>
          <reference field="22" count="0" selected="0"/>
        </references>
      </pivotArea>
    </format>
    <format dxfId="100">
      <pivotArea collapsedLevelsAreSubtotals="1" fieldPosition="0">
        <references count="3">
          <reference field="3" count="1">
            <x v="7"/>
          </reference>
          <reference field="11" count="1" selected="0">
            <x v="76"/>
          </reference>
          <reference field="22" count="0" selected="0"/>
        </references>
      </pivotArea>
    </format>
    <format dxfId="99">
      <pivotArea collapsedLevelsAreSubtotals="1" fieldPosition="0">
        <references count="3">
          <reference field="3" count="1">
            <x v="4"/>
          </reference>
          <reference field="11" count="1" selected="0">
            <x v="76"/>
          </reference>
          <reference field="22" count="0" selected="0"/>
        </references>
      </pivotArea>
    </format>
    <format dxfId="98">
      <pivotArea collapsedLevelsAreSubtotals="1" fieldPosition="0">
        <references count="3">
          <reference field="3" count="1">
            <x v="1"/>
          </reference>
          <reference field="11" count="1" selected="0">
            <x v="76"/>
          </reference>
          <reference field="22" count="0" selected="0"/>
        </references>
      </pivotArea>
    </format>
    <format dxfId="97">
      <pivotArea collapsedLevelsAreSubtotals="1" fieldPosition="0">
        <references count="3">
          <reference field="3" count="1">
            <x v="25"/>
          </reference>
          <reference field="11" count="1" selected="0">
            <x v="76"/>
          </reference>
          <reference field="22" count="0" selected="0"/>
        </references>
      </pivotArea>
    </format>
    <format dxfId="96">
      <pivotArea collapsedLevelsAreSubtotals="1" fieldPosition="0">
        <references count="4">
          <reference field="3" count="1" selected="0">
            <x v="16"/>
          </reference>
          <reference field="4" count="1">
            <x v="225"/>
          </reference>
          <reference field="11" count="1" selected="0">
            <x v="75"/>
          </reference>
          <reference field="22" count="0" selected="0"/>
        </references>
      </pivotArea>
    </format>
    <format dxfId="95">
      <pivotArea collapsedLevelsAreSubtotals="1" fieldPosition="0">
        <references count="4">
          <reference field="3" count="1" selected="0">
            <x v="28"/>
          </reference>
          <reference field="4" count="1">
            <x v="240"/>
          </reference>
          <reference field="11" count="1" selected="0">
            <x v="75"/>
          </reference>
          <reference field="22" count="0" selected="0"/>
        </references>
      </pivotArea>
    </format>
    <format dxfId="94">
      <pivotArea collapsedLevelsAreSubtotals="1" fieldPosition="0">
        <references count="3">
          <reference field="3" count="1">
            <x v="14"/>
          </reference>
          <reference field="11" count="1" selected="0">
            <x v="78"/>
          </reference>
          <reference field="22" count="0" selected="0"/>
        </references>
      </pivotArea>
    </format>
    <format dxfId="93">
      <pivotArea collapsedLevelsAreSubtotals="1" fieldPosition="0">
        <references count="3">
          <reference field="3" count="1">
            <x v="20"/>
          </reference>
          <reference field="11" count="1" selected="0">
            <x v="76"/>
          </reference>
          <reference field="22" count="0" selected="0"/>
        </references>
      </pivotArea>
    </format>
    <format dxfId="92">
      <pivotArea collapsedLevelsAreSubtotals="1" fieldPosition="0">
        <references count="3">
          <reference field="3" count="1">
            <x v="16"/>
          </reference>
          <reference field="11" count="1" selected="0">
            <x v="76"/>
          </reference>
          <reference field="22" count="0" selected="0"/>
        </references>
      </pivotArea>
    </format>
    <format dxfId="91">
      <pivotArea collapsedLevelsAreSubtotals="1" fieldPosition="0">
        <references count="3">
          <reference field="3" count="1">
            <x v="31"/>
          </reference>
          <reference field="11" count="1" selected="0">
            <x v="76"/>
          </reference>
          <reference field="22" count="0" selected="0"/>
        </references>
      </pivotArea>
    </format>
    <format dxfId="90">
      <pivotArea collapsedLevelsAreSubtotals="1" fieldPosition="0">
        <references count="3">
          <reference field="3" count="1">
            <x v="8"/>
          </reference>
          <reference field="11" count="1" selected="0">
            <x v="76"/>
          </reference>
          <reference field="22" count="0" selected="0"/>
        </references>
      </pivotArea>
    </format>
    <format dxfId="89">
      <pivotArea collapsedLevelsAreSubtotals="1" fieldPosition="0">
        <references count="3">
          <reference field="3" count="1">
            <x v="37"/>
          </reference>
          <reference field="11" count="1" selected="0">
            <x v="77"/>
          </reference>
          <reference field="22" count="0" selected="0"/>
        </references>
      </pivotArea>
    </format>
    <format dxfId="88">
      <pivotArea collapsedLevelsAreSubtotals="1" fieldPosition="0">
        <references count="3">
          <reference field="3" count="1">
            <x v="26"/>
          </reference>
          <reference field="11" count="1" selected="0">
            <x v="77"/>
          </reference>
          <reference field="22" count="0" selected="0"/>
        </references>
      </pivotArea>
    </format>
    <format dxfId="87">
      <pivotArea collapsedLevelsAreSubtotals="1" fieldPosition="0">
        <references count="3">
          <reference field="3" count="1">
            <x v="16"/>
          </reference>
          <reference field="11" count="1" selected="0">
            <x v="78"/>
          </reference>
          <reference field="22" count="0" selected="0"/>
        </references>
      </pivotArea>
    </format>
    <format dxfId="86">
      <pivotArea collapsedLevelsAreSubtotals="1" fieldPosition="0">
        <references count="3">
          <reference field="3" count="1">
            <x v="14"/>
          </reference>
          <reference field="11" count="1" selected="0">
            <x v="77"/>
          </reference>
          <reference field="22" count="0" selected="0"/>
        </references>
      </pivotArea>
    </format>
    <format dxfId="85">
      <pivotArea collapsedLevelsAreSubtotals="1" fieldPosition="0">
        <references count="3">
          <reference field="3" count="1">
            <x v="10"/>
          </reference>
          <reference field="11" count="1" selected="0">
            <x v="78"/>
          </reference>
          <reference field="2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94FC9-F1D4-4717-B3BA-2143A4D52E8F}" name="Tabela dinâmica1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4:P81" firstHeaderRow="1" firstDataRow="2" firstDataCol="1" rowPageCount="1" colPageCount="1"/>
  <pivotFields count="34">
    <pivotField showAll="0"/>
    <pivotField showAll="0"/>
    <pivotField showAll="0"/>
    <pivotField axis="axisRow" showAll="0">
      <items count="39">
        <item sd="0" m="1" x="37"/>
        <item sd="0" x="5"/>
        <item sd="0" x="2"/>
        <item sd="0" x="4"/>
        <item sd="0" x="33"/>
        <item sd="0" x="11"/>
        <item sd="0" x="3"/>
        <item sd="0" x="32"/>
        <item sd="0" x="1"/>
        <item sd="0" x="12"/>
        <item sd="0" x="13"/>
        <item sd="0" x="14"/>
        <item sd="0" x="31"/>
        <item sd="0" x="36"/>
        <item sd="0" x="15"/>
        <item sd="0" x="28"/>
        <item sd="0" x="18"/>
        <item sd="0" x="24"/>
        <item sd="0" x="29"/>
        <item sd="0" x="16"/>
        <item sd="0" x="17"/>
        <item sd="0" x="0"/>
        <item sd="0" x="19"/>
        <item sd="0" x="30"/>
        <item sd="0" x="20"/>
        <item sd="0" x="21"/>
        <item sd="0" x="34"/>
        <item sd="0" x="6"/>
        <item sd="0" x="22"/>
        <item sd="0" x="23"/>
        <item sd="0" x="7"/>
        <item sd="0" x="8"/>
        <item sd="0" x="25"/>
        <item sd="0" x="9"/>
        <item sd="0" x="10"/>
        <item sd="0" x="26"/>
        <item sd="0" x="35"/>
        <item sd="0" x="27"/>
        <item t="default" sd="0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4971">
        <item m="1" x="2323"/>
        <item m="1" x="2444"/>
        <item m="1" x="2325"/>
        <item m="1" x="2445"/>
        <item m="1" x="2448"/>
        <item m="1" x="2446"/>
        <item m="1" x="2449"/>
        <item m="1" x="2457"/>
        <item m="1" x="2458"/>
        <item m="1" x="2509"/>
        <item m="1" x="2522"/>
        <item m="1" x="2466"/>
        <item m="1" x="2511"/>
        <item m="1" x="2508"/>
        <item m="1" x="2561"/>
        <item m="1" x="2510"/>
        <item m="1" x="2630"/>
        <item m="1" x="2488"/>
        <item m="1" x="2559"/>
        <item m="1" x="2560"/>
        <item m="1" x="2536"/>
        <item m="1" x="2524"/>
        <item x="0"/>
        <item m="1" x="2512"/>
        <item m="1" x="2372"/>
        <item m="1" x="2643"/>
        <item m="1" x="2589"/>
        <item m="1" x="2461"/>
        <item m="1" x="2463"/>
        <item m="1" x="2632"/>
        <item m="1" x="2462"/>
        <item m="1" x="2627"/>
        <item m="1" x="2631"/>
        <item m="1" x="2754"/>
        <item m="1" x="2628"/>
        <item m="1" x="2586"/>
        <item m="1" x="2685"/>
        <item m="1" x="2684"/>
        <item m="1" x="2683"/>
        <item m="1" x="2514"/>
        <item m="1" x="2515"/>
        <item m="1" x="2516"/>
        <item m="1" x="2517"/>
        <item m="1" x="2518"/>
        <item m="1" x="2519"/>
        <item m="1" x="2520"/>
        <item m="1" x="2521"/>
        <item m="1" x="2585"/>
        <item m="1" x="2629"/>
        <item m="1" x="2605"/>
        <item m="1" x="2606"/>
        <item m="1" x="2584"/>
        <item m="1" x="2634"/>
        <item m="1" x="2635"/>
        <item m="1" x="2636"/>
        <item m="1" x="2637"/>
        <item m="1" x="2638"/>
        <item m="1" x="2639"/>
        <item m="1" x="2640"/>
        <item m="1" x="2641"/>
        <item m="1" x="2682"/>
        <item m="1" x="2661"/>
        <item m="1" x="2711"/>
        <item m="1" x="2751"/>
        <item m="1" x="2712"/>
        <item m="1" x="2752"/>
        <item m="1" x="2879"/>
        <item m="1" x="2753"/>
        <item m="1" x="2755"/>
        <item m="1" x="2710"/>
        <item m="1" x="2709"/>
        <item m="1" x="2757"/>
        <item m="1" x="2756"/>
        <item m="1" x="2758"/>
        <item m="1" x="2759"/>
        <item m="1" x="2743"/>
        <item m="1" x="2359"/>
        <item m="1" x="2811"/>
        <item m="1" x="2812"/>
        <item m="1" x="2726"/>
        <item m="1" x="2810"/>
        <item m="1" x="2786"/>
        <item m="1" x="2760"/>
        <item m="1" x="2762"/>
        <item m="1" x="2763"/>
        <item m="1" x="2764"/>
        <item m="1" x="2765"/>
        <item m="1" x="2766"/>
        <item m="1" x="2767"/>
        <item m="1" x="2768"/>
        <item m="1" x="2769"/>
        <item m="1" x="2771"/>
        <item m="1" x="2847"/>
        <item m="1" x="2848"/>
        <item m="1" x="2978"/>
        <item m="1" x="2878"/>
        <item m="1" x="2880"/>
        <item m="1" x="2846"/>
        <item m="1" x="2872"/>
        <item m="1" x="2980"/>
        <item m="1" x="2929"/>
        <item m="1" x="2708"/>
        <item m="1" x="2859"/>
        <item m="1" x="2928"/>
        <item m="1" x="2927"/>
        <item m="1" x="2844"/>
        <item m="1" x="2845"/>
        <item m="1" x="2891"/>
        <item m="1" x="2892"/>
        <item m="1" x="2926"/>
        <item m="1" x="2906"/>
        <item m="1" x="2882"/>
        <item m="1" x="2883"/>
        <item m="1" x="2884"/>
        <item m="1" x="2885"/>
        <item m="1" x="2886"/>
        <item m="1" x="2887"/>
        <item m="1" x="2888"/>
        <item m="1" x="2889"/>
        <item m="1" x="2842"/>
        <item m="1" x="2940"/>
        <item m="1" x="3090"/>
        <item m="1" x="2977"/>
        <item m="1" x="2979"/>
        <item m="1" x="3092"/>
        <item m="1" x="2939"/>
        <item m="1" x="2938"/>
        <item m="1" x="3093"/>
        <item m="1" x="2970"/>
        <item m="1" x="2843"/>
        <item m="1" x="3056"/>
        <item m="1" x="2956"/>
        <item m="1" x="3034"/>
        <item m="1" x="3035"/>
        <item m="1" x="3033"/>
        <item m="1" x="2772"/>
        <item m="1" x="3055"/>
        <item m="1" x="2982"/>
        <item m="1" x="2983"/>
        <item m="1" x="2984"/>
        <item m="1" x="2985"/>
        <item m="1" x="2986"/>
        <item m="1" x="2987"/>
        <item m="1" x="2988"/>
        <item m="1" x="2989"/>
        <item m="1" x="2991"/>
        <item m="1" x="2992"/>
        <item m="1" x="2937"/>
        <item m="1" x="3032"/>
        <item m="1" x="3007"/>
        <item m="1" x="3054"/>
        <item m="1" x="3209"/>
        <item m="1" x="3089"/>
        <item m="1" x="3091"/>
        <item m="1" x="3057"/>
        <item m="1" x="3084"/>
        <item m="1" x="3102"/>
        <item m="1" x="3143"/>
        <item m="1" x="3144"/>
        <item m="1" x="3073"/>
        <item m="1" x="3142"/>
        <item m="1" x="3104"/>
        <item m="1" x="3105"/>
        <item m="1" x="3120"/>
        <item m="1" x="3329"/>
        <item m="1" x="3330"/>
        <item m="1" x="3172"/>
        <item m="1" x="3171"/>
        <item m="1" x="3170"/>
        <item m="1" x="3176"/>
        <item m="1" x="3210"/>
        <item m="1" x="3141"/>
        <item m="1" x="3220"/>
        <item m="1" x="3095"/>
        <item m="1" x="3096"/>
        <item m="1" x="3097"/>
        <item m="1" x="3098"/>
        <item m="1" x="3099"/>
        <item m="1" x="3100"/>
        <item m="1" x="3101"/>
        <item m="1" x="3260"/>
        <item m="1" x="3211"/>
        <item m="1" x="3197"/>
        <item m="1" x="3145"/>
        <item m="1" x="3261"/>
        <item m="1" x="3146"/>
        <item m="1" x="3147"/>
        <item m="1" x="3290"/>
        <item m="1" x="3259"/>
        <item m="1" x="3258"/>
        <item m="1" x="3222"/>
        <item m="1" x="3223"/>
        <item m="1" x="3262"/>
        <item m="1" x="3263"/>
        <item m="1" x="3148"/>
        <item m="1" x="3149"/>
        <item m="1" x="3150"/>
        <item m="1" x="3151"/>
        <item m="1" x="3264"/>
        <item m="1" x="3265"/>
        <item m="1" x="3266"/>
        <item m="1" x="3267"/>
        <item m="1" x="3234"/>
        <item m="1" x="2314"/>
        <item m="1" x="2316"/>
        <item m="1" x="2319"/>
        <item m="1" x="2321"/>
        <item m="1" x="2322"/>
        <item m="1" x="2324"/>
        <item m="1" x="2326"/>
        <item m="1" x="2327"/>
        <item m="1" x="2328"/>
        <item m="1" x="2329"/>
        <item m="1" x="2330"/>
        <item m="1" x="3257"/>
        <item m="1" x="3291"/>
        <item m="1" x="3292"/>
        <item m="1" x="3331"/>
        <item m="1" x="3268"/>
        <item m="1" x="3269"/>
        <item m="1" x="3371"/>
        <item m="1" x="3297"/>
        <item m="1" x="3368"/>
        <item m="1" x="3318"/>
        <item m="1" x="3289"/>
        <item m="1" x="3369"/>
        <item m="1" x="3370"/>
        <item m="1" x="3196"/>
        <item m="1" x="3321"/>
        <item m="1" x="3322"/>
        <item m="1" x="3372"/>
        <item m="1" x="3373"/>
        <item m="1" x="3341"/>
        <item m="1" x="2334"/>
        <item m="1" x="3374"/>
        <item m="1" x="3375"/>
        <item m="1" x="3376"/>
        <item m="1" x="3377"/>
        <item m="1" x="3350"/>
        <item m="1" x="3213"/>
        <item m="1" x="3214"/>
        <item m="1" x="3215"/>
        <item m="1" x="3216"/>
        <item m="1" x="3217"/>
        <item m="1" x="3218"/>
        <item m="1" x="3219"/>
        <item m="1" x="3378"/>
        <item m="1" x="3379"/>
        <item m="1" x="3450"/>
        <item m="1" x="3479"/>
        <item m="1" x="3480"/>
        <item m="1" x="3404"/>
        <item m="1" x="3402"/>
        <item m="1" x="3403"/>
        <item m="1" x="3407"/>
        <item m="1" x="3408"/>
        <item m="1" x="3483"/>
        <item m="1" x="3484"/>
        <item m="1" x="3482"/>
        <item m="1" x="3481"/>
        <item m="1" x="3478"/>
        <item m="1" x="3441"/>
        <item m="1" x="3430"/>
        <item m="1" x="3431"/>
        <item m="1" x="3485"/>
        <item m="1" x="3427"/>
        <item m="1" x="3514"/>
        <item m="1" x="3513"/>
        <item m="1" x="3477"/>
        <item m="1" x="3486"/>
        <item m="1" x="3487"/>
        <item m="1" x="3488"/>
        <item m="1" x="3452"/>
        <item m="1" x="3453"/>
        <item m="1" x="3489"/>
        <item m="1" x="3333"/>
        <item m="1" x="3334"/>
        <item m="1" x="3335"/>
        <item m="1" x="3336"/>
        <item m="1" x="3337"/>
        <item m="1" x="3338"/>
        <item m="1" x="3339"/>
        <item m="1" x="3443"/>
        <item m="1" x="3444"/>
        <item m="1" x="3445"/>
        <item m="1" x="3446"/>
        <item m="1" x="3447"/>
        <item m="1" x="3448"/>
        <item m="1" x="3449"/>
        <item m="1" x="3465"/>
        <item m="1" x="3512"/>
        <item m="1" x="3517"/>
        <item m="1" x="3518"/>
        <item m="1" x="3548"/>
        <item m="1" x="3578"/>
        <item m="1" x="3577"/>
        <item m="1" x="3576"/>
        <item m="1" x="3540"/>
        <item m="1" x="3541"/>
        <item m="1" x="3537"/>
        <item m="1" x="3609"/>
        <item m="1" x="3611"/>
        <item m="1" x="3610"/>
        <item m="1" x="3558"/>
        <item m="1" x="3559"/>
        <item m="1" x="3570"/>
        <item m="1" x="3575"/>
        <item m="1" x="2335"/>
        <item m="1" x="3652"/>
        <item m="1" x="3615"/>
        <item m="1" x="3616"/>
        <item m="1" x="3617"/>
        <item m="1" x="3705"/>
        <item m="1" x="3708"/>
        <item m="1" x="3707"/>
        <item m="1" x="3672"/>
        <item m="1" x="3673"/>
        <item m="1" x="3675"/>
        <item m="1" x="3674"/>
        <item m="1" x="3706"/>
        <item m="1" x="3671"/>
        <item m="1" x="3645"/>
        <item m="1" x="3646"/>
        <item m="1" x="3641"/>
        <item m="1" x="3771"/>
        <item m="1" x="3773"/>
        <item m="1" x="3550"/>
        <item m="1" x="3551"/>
        <item m="1" x="3552"/>
        <item m="1" x="3553"/>
        <item m="1" x="3554"/>
        <item m="1" x="3555"/>
        <item m="1" x="3556"/>
        <item m="1" x="3666"/>
        <item m="1" x="3751"/>
        <item m="1" x="3713"/>
        <item m="1" x="3741"/>
        <item m="1" x="3742"/>
        <item m="1" x="3655"/>
        <item m="1" x="3656"/>
        <item m="1" x="3775"/>
        <item m="1" x="3772"/>
        <item m="1" x="3774"/>
        <item m="1" x="3770"/>
        <item m="1" x="3765"/>
        <item m="1" x="3743"/>
        <item m="1" x="3754"/>
        <item m="1" x="3755"/>
        <item m="1" x="3805"/>
        <item m="1" x="3806"/>
        <item m="1" x="3804"/>
        <item m="1" x="3810"/>
        <item m="1" x="3846"/>
        <item m="1" x="3865"/>
        <item m="1" x="3866"/>
        <item m="1" x="3867"/>
        <item m="1" x="3993"/>
        <item m="1" x="3840"/>
        <item m="1" x="3849"/>
        <item m="1" x="3850"/>
        <item m="1" x="3861"/>
        <item m="1" x="3838"/>
        <item m="1" x="3839"/>
        <item m="1" x="3942"/>
        <item m="1" x="3905"/>
        <item m="1" x="3902"/>
        <item m="1" x="3864"/>
        <item m="1" x="3901"/>
        <item m="1" x="3900"/>
        <item m="1" x="3963"/>
        <item m="1" x="3961"/>
        <item m="1" x="3962"/>
        <item m="1" x="3933"/>
        <item m="1" x="3934"/>
        <item m="1" x="3935"/>
        <item m="1" x="3960"/>
        <item m="1" x="3957"/>
        <item m="1" x="3945"/>
        <item m="1" x="3994"/>
        <item m="1" x="3996"/>
        <item m="1" x="4042"/>
        <item m="1" x="4069"/>
        <item m="1" x="4035"/>
        <item m="1" x="4034"/>
        <item m="1" x="4067"/>
        <item m="1" x="4068"/>
        <item m="1" x="2336"/>
        <item m="1" x="2337"/>
        <item m="1" x="2338"/>
        <item m="1" x="4106"/>
        <item m="1" x="4066"/>
        <item m="1" x="4064"/>
        <item m="1" x="4046"/>
        <item m="1" x="4154"/>
        <item m="1" x="4114"/>
        <item m="1" x="4110"/>
        <item m="1" x="4109"/>
        <item m="1" x="4183"/>
        <item m="1" x="4147"/>
        <item m="1" x="4182"/>
        <item m="1" x="4181"/>
        <item m="1" x="4107"/>
        <item m="1" x="4146"/>
        <item m="1" x="4180"/>
        <item m="1" x="4178"/>
        <item m="1" x="4158"/>
        <item m="1" x="4108"/>
        <item m="1" x="4145"/>
        <item m="1" x="4211"/>
        <item m="1" x="4214"/>
        <item m="1" x="4262"/>
        <item m="1" x="4209"/>
        <item m="1" x="4292"/>
        <item m="1" x="4290"/>
        <item m="1" x="4291"/>
        <item m="1" x="4289"/>
        <item m="1" x="4252"/>
        <item m="1" x="4251"/>
        <item m="1" x="4210"/>
        <item m="1" x="4253"/>
        <item m="1" x="4267"/>
        <item m="1" x="4287"/>
        <item m="1" x="4365"/>
        <item m="1" x="4364"/>
        <item m="1" x="4326"/>
        <item m="1" x="4322"/>
        <item m="1" x="4320"/>
        <item m="1" x="4402"/>
        <item m="1" x="4401"/>
        <item m="1" x="4400"/>
        <item m="1" x="4366"/>
        <item m="1" x="4321"/>
        <item m="1" x="4399"/>
        <item m="1" x="4397"/>
        <item m="1" x="4432"/>
        <item m="1" x="4434"/>
        <item m="1" x="4377"/>
        <item m="1" x="4438"/>
        <item m="1" x="4378"/>
        <item m="1" x="4472"/>
        <item m="1" x="4471"/>
        <item m="1" x="4510"/>
        <item m="1" x="4433"/>
        <item m="1" x="4475"/>
        <item m="1" x="4474"/>
        <item m="1" x="4509"/>
        <item m="1" x="4508"/>
        <item m="1" x="4505"/>
        <item m="1" x="4507"/>
        <item m="1" x="4487"/>
        <item m="1" x="4548"/>
        <item m="1" x="4550"/>
        <item m="1" x="4549"/>
        <item m="1" x="4554"/>
        <item m="1" x="4587"/>
        <item m="1" x="4586"/>
        <item m="1" x="4547"/>
        <item m="1" x="4622"/>
        <item m="1" x="4624"/>
        <item m="1" x="4588"/>
        <item m="1" x="4623"/>
        <item m="1" x="4619"/>
        <item m="1" x="4621"/>
        <item m="1" x="4555"/>
        <item m="1" x="4556"/>
        <item m="1" x="4557"/>
        <item m="1" x="4650"/>
        <item m="1" x="4658"/>
        <item m="1" x="4696"/>
        <item m="1" x="4697"/>
        <item m="1" x="4649"/>
        <item m="1" x="4698"/>
        <item m="1" x="4601"/>
        <item m="1" x="4651"/>
        <item m="1" x="4716"/>
        <item x="1"/>
        <item m="1" x="4752"/>
        <item m="1" x="4762"/>
        <item m="1" x="4753"/>
        <item m="1" x="4754"/>
        <item m="1" x="4794"/>
        <item m="1" x="4793"/>
        <item m="1" x="4953"/>
        <item m="1" x="4834"/>
        <item x="2"/>
        <item m="1" x="4811"/>
        <item m="1" x="4795"/>
        <item m="1" x="4714"/>
        <item m="1" x="4836"/>
        <item m="1" x="4835"/>
        <item m="1" x="4893"/>
        <item m="1" x="4872"/>
        <item m="1" x="4871"/>
        <item m="1" x="4841"/>
        <item m="1" x="4913"/>
        <item m="1" x="4915"/>
        <item m="1" x="4914"/>
        <item x="17"/>
        <item x="11"/>
        <item x="3"/>
        <item m="1" x="4809"/>
        <item m="1" x="4891"/>
        <item m="1" x="4938"/>
        <item m="1" x="4937"/>
        <item x="24"/>
        <item m="1" x="4919"/>
        <item m="1" x="4918"/>
        <item x="40"/>
        <item x="42"/>
        <item x="41"/>
        <item x="66"/>
        <item x="93"/>
        <item x="89"/>
        <item x="109"/>
        <item x="130"/>
        <item x="90"/>
        <item x="111"/>
        <item x="175"/>
        <item x="174"/>
        <item x="112"/>
        <item x="177"/>
        <item x="188"/>
        <item x="204"/>
        <item x="206"/>
        <item x="235"/>
        <item x="242"/>
        <item x="284"/>
        <item x="283"/>
        <item x="236"/>
        <item x="237"/>
        <item x="285"/>
        <item x="315"/>
        <item x="317"/>
        <item x="354"/>
        <item x="110"/>
        <item x="353"/>
        <item x="10"/>
        <item x="398"/>
        <item x="397"/>
        <item x="352"/>
        <item x="465"/>
        <item x="399"/>
        <item x="430"/>
        <item x="428"/>
        <item x="75"/>
        <item x="462"/>
        <item x="464"/>
        <item x="463"/>
        <item x="518"/>
        <item x="591"/>
        <item x="26"/>
        <item x="16"/>
        <item x="520"/>
        <item x="299"/>
        <item x="298"/>
        <item x="581"/>
        <item x="583"/>
        <item x="549"/>
        <item x="412"/>
        <item x="696"/>
        <item x="695"/>
        <item x="631"/>
        <item x="664"/>
        <item x="662"/>
        <item x="745"/>
        <item x="775"/>
        <item x="533"/>
        <item x="810"/>
        <item x="811"/>
        <item x="773"/>
        <item x="865"/>
        <item x="534"/>
        <item x="866"/>
        <item x="894"/>
        <item x="937"/>
        <item x="935"/>
        <item x="896"/>
        <item x="1037"/>
        <item x="646"/>
        <item x="936"/>
        <item x="1087"/>
        <item x="1005"/>
        <item x="104"/>
        <item x="1033"/>
        <item x="1428"/>
        <item x="1429"/>
        <item x="1088"/>
        <item x="1149"/>
        <item x="1187"/>
        <item x="1147"/>
        <item x="1222"/>
        <item x="239"/>
        <item x="1384"/>
        <item x="1683"/>
        <item x="1430"/>
        <item x="1397"/>
        <item x="804"/>
        <item x="1382"/>
        <item x="1955"/>
        <item m="1" x="2340"/>
        <item x="2218"/>
        <item x="1958"/>
        <item x="1960"/>
        <item x="1959"/>
        <item x="2271"/>
        <item x="1398"/>
        <item x="1399"/>
        <item m="1" x="2341"/>
        <item x="2091"/>
        <item x="2092"/>
        <item m="1" x="2432"/>
        <item x="1400"/>
        <item m="1" x="2427"/>
        <item m="1" x="2428"/>
        <item x="2219"/>
        <item x="2220"/>
        <item x="2222"/>
        <item m="1" x="2344"/>
        <item m="1" x="4960"/>
        <item m="1" x="4961"/>
        <item m="1" x="2348"/>
        <item m="1" x="2281"/>
        <item m="1" x="2350"/>
        <item m="1" x="2353"/>
        <item m="1" x="2354"/>
        <item m="1" x="2355"/>
        <item m="1" x="2360"/>
        <item m="1" x="2361"/>
        <item m="1" x="2364"/>
        <item m="1" x="2366"/>
        <item m="1" x="2450"/>
        <item m="1" x="2451"/>
        <item m="1" x="2459"/>
        <item m="1" x="2368"/>
        <item m="1" x="2460"/>
        <item m="1" x="2490"/>
        <item m="1" x="2563"/>
        <item m="1" x="2564"/>
        <item m="1" x="2582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83"/>
        <item m="1" x="2467"/>
        <item m="1" x="2468"/>
        <item m="1" x="2469"/>
        <item m="1" x="2470"/>
        <item m="1" x="2471"/>
        <item m="1" x="2472"/>
        <item m="1" x="2576"/>
        <item m="1" x="2577"/>
        <item m="1" x="2523"/>
        <item m="1" x="2525"/>
        <item m="1" x="2484"/>
        <item m="1" x="2578"/>
        <item m="1" x="2485"/>
        <item m="1" x="2507"/>
        <item m="1" x="2526"/>
        <item m="1" x="2579"/>
        <item m="1" x="2538"/>
        <item m="1" x="2539"/>
        <item m="1" x="2540"/>
        <item m="1" x="2541"/>
        <item m="1" x="2542"/>
        <item m="1" x="2543"/>
        <item m="1" x="2370"/>
        <item m="1" x="2544"/>
        <item m="1" x="2545"/>
        <item m="1" x="2546"/>
        <item m="1" x="2547"/>
        <item m="1" x="2548"/>
        <item m="1" x="2549"/>
        <item m="1" x="2535"/>
        <item m="1" x="4954"/>
        <item m="1" x="2590"/>
        <item m="1" x="2591"/>
        <item m="1" x="2592"/>
        <item m="1" x="2537"/>
        <item m="1" x="2527"/>
        <item m="1" x="2528"/>
        <item m="1" x="2486"/>
        <item m="1" x="2529"/>
        <item m="1" x="2530"/>
        <item m="1" x="2531"/>
        <item m="1" x="2532"/>
        <item m="1" x="2533"/>
        <item m="1" x="2487"/>
        <item m="1" x="2534"/>
        <item m="1" x="2587"/>
        <item m="1" x="2558"/>
        <item m="1" x="2687"/>
        <item m="1" x="2688"/>
        <item m="1" x="2689"/>
        <item m="1" x="2706"/>
        <item m="1" x="2690"/>
        <item m="1" x="2691"/>
        <item m="1" x="2692"/>
        <item m="1" x="2707"/>
        <item m="1" x="2693"/>
        <item m="1" x="2608"/>
        <item m="1" x="2694"/>
        <item m="1" x="2695"/>
        <item m="1" x="2696"/>
        <item m="1" x="2697"/>
        <item m="1" x="2698"/>
        <item m="1" x="2699"/>
        <item m="1" x="2593"/>
        <item m="1" x="2594"/>
        <item m="1" x="2595"/>
        <item m="1" x="2646"/>
        <item m="1" x="2580"/>
        <item m="1" x="2581"/>
        <item m="1" x="2700"/>
        <item m="1" x="2701"/>
        <item m="1" x="2702"/>
        <item m="1" x="2703"/>
        <item m="1" x="2704"/>
        <item m="1" x="2596"/>
        <item m="1" x="2642"/>
        <item m="1" x="2602"/>
        <item m="1" x="2597"/>
        <item m="1" x="2598"/>
        <item m="1" x="2599"/>
        <item m="1" x="2705"/>
        <item m="1" x="2600"/>
        <item m="1" x="2601"/>
        <item m="1" x="2644"/>
        <item m="1" x="2645"/>
        <item m="1" x="2647"/>
        <item m="1" x="2663"/>
        <item m="1" x="2664"/>
        <item m="1" x="2665"/>
        <item m="1" x="2666"/>
        <item m="1" x="2667"/>
        <item m="1" x="2668"/>
        <item m="1" x="2669"/>
        <item m="1" x="2670"/>
        <item m="1" x="2373"/>
        <item m="1" x="2374"/>
        <item m="1" x="2671"/>
        <item m="1" x="2672"/>
        <item m="1" x="2626"/>
        <item m="1" x="4955"/>
        <item m="1" x="2660"/>
        <item m="1" x="2814"/>
        <item m="1" x="2815"/>
        <item m="1" x="2816"/>
        <item m="1" x="2817"/>
        <item m="1" x="2818"/>
        <item m="1" x="2840"/>
        <item m="1" x="2819"/>
        <item m="1" x="2820"/>
        <item m="1" x="2821"/>
        <item m="1" x="2822"/>
        <item m="1" x="2823"/>
        <item m="1" x="2841"/>
        <item m="1" x="2681"/>
        <item m="1" x="2824"/>
        <item m="1" x="2825"/>
        <item m="1" x="2826"/>
        <item m="1" x="2827"/>
        <item m="1" x="2828"/>
        <item m="1" x="2829"/>
        <item m="1" x="2662"/>
        <item m="1" x="2830"/>
        <item m="1" x="2728"/>
        <item m="1" x="2831"/>
        <item m="1" x="2832"/>
        <item m="1" x="2833"/>
        <item m="1" x="2834"/>
        <item m="1" x="2835"/>
        <item m="1" x="2836"/>
        <item m="1" x="2837"/>
        <item m="1" x="2838"/>
        <item m="1" x="2648"/>
        <item m="1" x="2649"/>
        <item m="1" x="2650"/>
        <item m="1" x="2603"/>
        <item m="1" x="2651"/>
        <item m="1" x="2652"/>
        <item m="1" x="2653"/>
        <item m="1" x="2654"/>
        <item m="1" x="2655"/>
        <item m="1" x="2656"/>
        <item m="1" x="2604"/>
        <item m="1" x="2657"/>
        <item m="1" x="2658"/>
        <item m="1" x="2659"/>
        <item m="1" x="2713"/>
        <item m="1" x="2714"/>
        <item m="1" x="2715"/>
        <item m="1" x="2716"/>
        <item m="1" x="2717"/>
        <item m="1" x="2718"/>
        <item m="1" x="2719"/>
        <item m="1" x="2720"/>
        <item m="1" x="2775"/>
        <item m="1" x="2721"/>
        <item m="1" x="2773"/>
        <item m="1" x="2774"/>
        <item m="1" x="2770"/>
        <item m="1" x="2749"/>
        <item m="1" x="2750"/>
        <item m="1" x="2936"/>
        <item m="1" x="2839"/>
        <item m="1" x="2788"/>
        <item m="1" x="2789"/>
        <item m="1" x="2790"/>
        <item m="1" x="2791"/>
        <item m="1" x="2792"/>
        <item m="1" x="2793"/>
        <item m="1" x="2376"/>
        <item m="1" x="2794"/>
        <item m="1" x="2795"/>
        <item m="1" x="2796"/>
        <item m="1" x="2723"/>
        <item m="1" x="4956"/>
        <item m="1" x="2797"/>
        <item m="1" x="2798"/>
        <item m="1" x="2799"/>
        <item m="1" x="2800"/>
        <item m="1" x="4957"/>
        <item m="1" x="2722"/>
        <item m="1" x="2809"/>
        <item m="1" x="2787"/>
        <item m="1" x="2785"/>
        <item m="1" x="2776"/>
        <item m="1" x="2777"/>
        <item m="1" x="2724"/>
        <item m="1" x="2778"/>
        <item m="1" x="2779"/>
        <item m="1" x="2780"/>
        <item m="1" x="2781"/>
        <item m="1" x="2725"/>
        <item m="1" x="2782"/>
        <item m="1" x="2783"/>
        <item m="1" x="2784"/>
        <item m="1" x="2861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931"/>
        <item m="1" x="2932"/>
        <item m="1" x="2933"/>
        <item m="1" x="2934"/>
        <item m="1" x="2849"/>
        <item m="1" x="2850"/>
        <item m="1" x="2851"/>
        <item m="1" x="2852"/>
        <item m="1" x="2853"/>
        <item m="1" x="2854"/>
        <item m="1" x="2855"/>
        <item m="1" x="2894"/>
        <item m="1" x="2893"/>
        <item m="1" x="4962"/>
        <item m="1" x="2856"/>
        <item m="1" x="2379"/>
        <item m="1" x="2908"/>
        <item m="1" x="2909"/>
        <item m="1" x="2910"/>
        <item m="1" x="2380"/>
        <item m="1" x="2911"/>
        <item m="1" x="2912"/>
        <item m="1" x="2913"/>
        <item m="1" x="2914"/>
        <item m="1" x="2915"/>
        <item m="1" x="2916"/>
        <item m="1" x="2876"/>
        <item m="1" x="2877"/>
        <item m="1" x="2447"/>
        <item m="1" x="2917"/>
        <item m="1" x="4963"/>
        <item m="1" x="2958"/>
        <item m="1" x="2905"/>
        <item m="1" x="2907"/>
        <item m="1" x="2925"/>
        <item m="1" x="3037"/>
        <item m="1" x="3038"/>
        <item m="1" x="3039"/>
        <item m="1" x="3040"/>
        <item m="1" x="3041"/>
        <item m="1" x="3042"/>
        <item m="1" x="3043"/>
        <item m="1" x="3044"/>
        <item m="1" x="2895"/>
        <item m="1" x="2896"/>
        <item m="1" x="2857"/>
        <item m="1" x="2897"/>
        <item m="1" x="2898"/>
        <item m="1" x="2899"/>
        <item m="1" x="2900"/>
        <item m="1" x="2901"/>
        <item m="1" x="2858"/>
        <item m="1" x="2902"/>
        <item m="1" x="2903"/>
        <item m="1" x="2904"/>
        <item m="1" x="3045"/>
        <item m="1" x="3051"/>
        <item m="1" x="3046"/>
        <item m="1" x="2943"/>
        <item m="1" x="2944"/>
        <item m="1" x="2945"/>
        <item m="1" x="2946"/>
        <item m="1" x="3047"/>
        <item m="1" x="2947"/>
        <item m="1" x="2948"/>
        <item m="1" x="2949"/>
        <item m="1" x="2950"/>
        <item m="1" x="2282"/>
        <item m="1" x="2951"/>
        <item m="1" x="3052"/>
        <item m="1" x="3053"/>
        <item m="1" x="3048"/>
        <item m="1" x="3049"/>
        <item m="1" x="2993"/>
        <item m="1" x="4964"/>
        <item m="1" x="3153"/>
        <item m="1" x="3154"/>
        <item m="1" x="3166"/>
        <item m="1" x="3155"/>
        <item m="1" x="3156"/>
        <item m="1" x="2942"/>
        <item m="1" x="4965"/>
        <item m="1" x="3009"/>
        <item m="1" x="3010"/>
        <item m="1" x="3011"/>
        <item m="1" x="3012"/>
        <item m="1" x="3013"/>
        <item m="1" x="3014"/>
        <item m="1" x="3015"/>
        <item m="1" x="4966"/>
        <item m="1" x="2941"/>
        <item m="1" x="2952"/>
        <item m="1" x="3016"/>
        <item m="1" x="3017"/>
        <item m="1" x="3018"/>
        <item m="1" x="3019"/>
        <item m="1" x="3020"/>
        <item m="1" x="3021"/>
        <item m="1" x="3031"/>
        <item m="1" x="3008"/>
        <item m="1" x="3006"/>
        <item m="1" x="2975"/>
        <item m="1" x="2976"/>
        <item m="1" x="3062"/>
        <item m="1" x="3157"/>
        <item m="1" x="3158"/>
        <item m="1" x="3159"/>
        <item m="1" x="3160"/>
        <item m="1" x="3161"/>
        <item m="1" x="2994"/>
        <item m="1" x="2953"/>
        <item m="1" x="2995"/>
        <item m="1" x="2996"/>
        <item m="1" x="2997"/>
        <item m="1" x="2998"/>
        <item m="1" x="2954"/>
        <item m="1" x="2999"/>
        <item m="1" x="3000"/>
        <item m="1" x="3001"/>
        <item m="1" x="3002"/>
        <item m="1" x="3003"/>
        <item m="1" x="3004"/>
        <item m="1" x="3005"/>
        <item m="1" x="3162"/>
        <item m="1" x="3163"/>
        <item m="1" x="3167"/>
        <item m="1" x="3164"/>
        <item m="1" x="3165"/>
        <item m="1" x="3063"/>
        <item m="1" x="3064"/>
        <item m="1" x="3065"/>
        <item m="1" x="3066"/>
        <item m="1" x="3067"/>
        <item m="1" x="3168"/>
        <item m="1" x="3169"/>
        <item m="1" x="3106"/>
        <item m="1" x="3087"/>
        <item m="1" x="3088"/>
        <item m="1" x="3059"/>
        <item m="1" x="3173"/>
        <item m="1" x="3174"/>
        <item m="1" x="3175"/>
        <item m="1" x="3060"/>
        <item m="1" x="3271"/>
        <item m="1" x="3061"/>
        <item m="1" x="3122"/>
        <item m="1" x="3123"/>
        <item m="1" x="2283"/>
        <item m="1" x="3124"/>
        <item m="1" x="2284"/>
        <item m="1" x="3125"/>
        <item m="1" x="3126"/>
        <item m="1" x="2382"/>
        <item m="1" x="2383"/>
        <item m="1" x="3127"/>
        <item m="1" x="3128"/>
        <item m="1" x="3129"/>
        <item m="1" x="3130"/>
        <item m="1" x="3058"/>
        <item m="1" x="2384"/>
        <item m="1" x="3140"/>
        <item m="1" x="3119"/>
        <item m="1" x="3121"/>
        <item m="1" x="3131"/>
        <item m="1" x="3107"/>
        <item m="1" x="3108"/>
        <item m="1" x="306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069"/>
        <item m="1" x="3118"/>
        <item m="1" x="3272"/>
        <item m="1" x="3273"/>
        <item m="1" x="3285"/>
        <item m="1" x="3274"/>
        <item m="1" x="2286"/>
        <item m="1" x="2285"/>
        <item m="1" x="3275"/>
        <item m="1" x="3050"/>
        <item m="1" x="3276"/>
        <item m="1" x="3277"/>
        <item m="1" x="2935"/>
        <item m="1" x="3286"/>
        <item m="1" x="3278"/>
        <item m="1" x="3279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280"/>
        <item m="1" x="3281"/>
        <item m="1" x="3224"/>
        <item m="1" x="3282"/>
        <item m="1" x="3293"/>
        <item m="1" x="3180"/>
        <item m="1" x="3296"/>
        <item m="1" x="3294"/>
        <item m="1" x="3295"/>
        <item m="1" x="3207"/>
        <item m="1" x="3208"/>
        <item m="1" x="3181"/>
        <item m="1" x="3177"/>
        <item m="1" x="3178"/>
        <item m="1" x="3236"/>
        <item m="1" x="3237"/>
        <item m="1" x="3182"/>
        <item m="1" x="3238"/>
        <item m="1" x="3239"/>
        <item m="1" x="2389"/>
        <item m="1" x="3240"/>
        <item m="1" x="3241"/>
        <item m="1" x="3242"/>
        <item m="1" x="2390"/>
        <item m="1" x="3243"/>
        <item m="1" x="3306"/>
        <item m="1" x="3307"/>
        <item m="1" x="3179"/>
        <item m="1" x="3244"/>
        <item m="1" x="3245"/>
        <item m="1" x="3235"/>
        <item m="1" x="3232"/>
        <item m="1" x="3256"/>
        <item m="1" x="3233"/>
        <item m="1" x="3246"/>
        <item m="1" x="3398"/>
        <item m="1" x="3381"/>
        <item m="1" x="3382"/>
        <item m="1" x="3383"/>
        <item m="1" x="3384"/>
        <item m="1" x="3385"/>
        <item m="1" x="3386"/>
        <item m="1" x="3399"/>
        <item m="1" x="3387"/>
        <item m="1" x="3388"/>
        <item m="1" x="3192"/>
        <item m="1" x="3225"/>
        <item m="1" x="3226"/>
        <item m="1" x="3227"/>
        <item m="1" x="3228"/>
        <item m="1" x="3229"/>
        <item m="1" x="3193"/>
        <item m="1" x="3230"/>
        <item m="1" x="3231"/>
        <item m="1" x="3389"/>
        <item m="1" x="3390"/>
        <item m="1" x="3391"/>
        <item m="1" x="3308"/>
        <item m="1" x="3309"/>
        <item m="1" x="3310"/>
        <item m="1" x="3311"/>
        <item m="1" x="3312"/>
        <item m="1" x="3392"/>
        <item m="1" x="3393"/>
        <item m="1" x="3394"/>
        <item m="1" x="3400"/>
        <item m="1" x="3283"/>
        <item m="1" x="3287"/>
        <item m="1" x="3342"/>
        <item m="1" x="3405"/>
        <item m="1" x="3298"/>
        <item m="1" x="3299"/>
        <item m="1" x="3302"/>
        <item m="1" x="3303"/>
        <item m="1" x="3327"/>
        <item m="1" x="3328"/>
        <item m="1" x="3395"/>
        <item m="1" x="3396"/>
        <item m="1" x="3313"/>
        <item m="1" x="3300"/>
        <item m="1" x="3301"/>
        <item m="1" x="3406"/>
        <item m="1" x="3352"/>
        <item m="1" x="3353"/>
        <item m="1" x="2392"/>
        <item m="1" x="3354"/>
        <item m="1" x="2393"/>
        <item m="1" x="3355"/>
        <item m="1" x="3356"/>
        <item m="1" x="3357"/>
        <item m="1" x="3358"/>
        <item m="1" x="2288"/>
        <item m="1" x="2287"/>
        <item m="1" x="3304"/>
        <item m="1" x="3367"/>
        <item m="1" x="3351"/>
        <item m="1" x="3349"/>
        <item m="1" x="3492"/>
        <item m="1" x="3508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343"/>
        <item m="1" x="3314"/>
        <item m="1" x="3344"/>
        <item m="1" x="3345"/>
        <item m="1" x="3346"/>
        <item m="1" x="3347"/>
        <item m="1" x="3315"/>
        <item m="1" x="3348"/>
        <item m="1" x="3509"/>
        <item m="1" x="3510"/>
        <item m="1" x="3284"/>
        <item m="1" x="3397"/>
        <item m="1" x="3288"/>
        <item m="1" x="3401"/>
        <item m="1" x="3503"/>
        <item m="1" x="3504"/>
        <item m="1" x="3417"/>
        <item m="1" x="3418"/>
        <item m="1" x="3419"/>
        <item m="1" x="3420"/>
        <item m="1" x="3421"/>
        <item m="1" x="3454"/>
        <item m="1" x="3305"/>
        <item m="1" x="3515"/>
        <item m="1" x="3409"/>
        <item m="1" x="3505"/>
        <item m="1" x="3506"/>
        <item m="1" x="3413"/>
        <item m="1" x="3414"/>
        <item m="1" x="3410"/>
        <item m="1" x="3411"/>
        <item m="1" x="3511"/>
        <item m="1" x="3507"/>
        <item m="1" x="3415"/>
        <item m="1" x="3439"/>
        <item m="1" x="3440"/>
        <item m="1" x="3412"/>
        <item m="1" x="3516"/>
        <item m="1" x="3416"/>
        <item m="1" x="2395"/>
        <item m="1" x="3467"/>
        <item m="1" x="3468"/>
        <item m="1" x="3469"/>
        <item m="1" x="3470"/>
        <item m="1" x="3471"/>
        <item m="1" x="2396"/>
        <item m="1" x="3472"/>
        <item m="1" x="3560"/>
        <item m="1" x="3466"/>
        <item m="1" x="3476"/>
        <item m="1" x="3464"/>
        <item m="1" x="3589"/>
        <item m="1" x="3614"/>
        <item m="1" x="3590"/>
        <item m="1" x="3591"/>
        <item m="1" x="3592"/>
        <item m="1" x="3593"/>
        <item m="1" x="3594"/>
        <item m="1" x="3595"/>
        <item m="1" x="3455"/>
        <item m="1" x="3423"/>
        <item m="1" x="3456"/>
        <item m="1" x="3457"/>
        <item m="1" x="3458"/>
        <item m="1" x="3459"/>
        <item m="1" x="3460"/>
        <item m="1" x="3461"/>
        <item m="1" x="3462"/>
        <item m="1" x="3424"/>
        <item m="1" x="3463"/>
        <item m="1" x="3606"/>
        <item m="1" x="3596"/>
        <item m="1" x="3597"/>
        <item m="1" x="3598"/>
        <item m="1" x="3527"/>
        <item m="1" x="3528"/>
        <item m="1" x="3422"/>
        <item m="1" x="3529"/>
        <item m="1" x="3530"/>
        <item m="1" x="3531"/>
        <item m="1" x="3532"/>
        <item m="1" x="3599"/>
        <item m="1" x="3600"/>
        <item m="1" x="3601"/>
        <item m="1" x="3607"/>
        <item m="1" x="3608"/>
        <item m="1" x="3612"/>
        <item m="1" x="3561"/>
        <item m="1" x="2289"/>
        <item m="1" x="2290"/>
        <item m="1" x="3523"/>
        <item m="1" x="3519"/>
        <item m="1" x="3520"/>
        <item m="1" x="3524"/>
        <item m="1" x="3521"/>
        <item m="1" x="3572"/>
        <item m="1" x="3522"/>
        <item m="1" x="3525"/>
        <item m="1" x="3546"/>
        <item m="1" x="3547"/>
        <item m="1" x="3602"/>
        <item m="1" x="3603"/>
        <item m="1" x="3569"/>
        <item m="1" x="2291"/>
        <item m="1" x="3613"/>
        <item m="1" x="3686"/>
        <item m="1" x="3687"/>
        <item m="1" x="3701"/>
        <item m="1" x="3711"/>
        <item m="1" x="3688"/>
        <item m="1" x="3689"/>
        <item m="1" x="3526"/>
        <item m="1" x="3571"/>
        <item m="1" x="3690"/>
        <item m="1" x="3691"/>
        <item m="1" x="3692"/>
        <item m="1" x="3693"/>
        <item m="1" x="3702"/>
        <item m="1" x="3629"/>
        <item m="1" x="3630"/>
        <item m="1" x="3703"/>
        <item m="1" x="3694"/>
        <item m="1" x="3562"/>
        <item m="1" x="3533"/>
        <item m="1" x="3563"/>
        <item m="1" x="3564"/>
        <item m="1" x="3565"/>
        <item m="1" x="3566"/>
        <item m="1" x="3567"/>
        <item m="1" x="3534"/>
        <item m="1" x="3568"/>
        <item m="1" x="3695"/>
        <item m="1" x="3704"/>
        <item m="1" x="3696"/>
        <item m="1" x="3604"/>
        <item m="1" x="3605"/>
        <item m="1" x="3697"/>
        <item m="1" x="3631"/>
        <item m="1" x="3698"/>
        <item m="1" x="3632"/>
        <item m="1" x="3633"/>
        <item m="1" x="3634"/>
        <item m="1" x="3635"/>
        <item m="1" x="3636"/>
        <item m="1" x="3709"/>
        <item m="1" x="3668"/>
        <item m="1" x="3657"/>
        <item m="1" x="3710"/>
        <item m="1" x="3622"/>
        <item m="1" x="3623"/>
        <item m="1" x="3624"/>
        <item m="1" x="3786"/>
        <item m="1" x="3787"/>
        <item m="1" x="3788"/>
        <item m="1" x="3789"/>
        <item m="1" x="3800"/>
        <item m="1" x="3790"/>
        <item m="1" x="3791"/>
        <item m="1" x="3792"/>
        <item m="1" x="3793"/>
        <item m="1" x="3794"/>
        <item m="1" x="3801"/>
        <item m="1" x="3802"/>
        <item m="1" x="2293"/>
        <item m="1" x="2292"/>
        <item m="1" x="3650"/>
        <item m="1" x="3651"/>
        <item m="1" x="3699"/>
        <item m="1" x="3795"/>
        <item m="1" x="3803"/>
        <item m="1" x="3809"/>
        <item m="1" x="3712"/>
        <item m="1" x="3625"/>
        <item m="1" x="3618"/>
        <item m="1" x="3626"/>
        <item m="1" x="3619"/>
        <item m="1" x="3620"/>
        <item m="1" x="3658"/>
        <item m="1" x="3637"/>
        <item m="1" x="3659"/>
        <item m="1" x="3660"/>
        <item m="1" x="3661"/>
        <item m="1" x="3662"/>
        <item m="1" x="3663"/>
        <item m="1" x="3638"/>
        <item m="1" x="3664"/>
        <item m="1" x="3700"/>
        <item m="1" x="3796"/>
        <item m="1" x="3621"/>
        <item m="1" x="3627"/>
        <item m="1" x="3797"/>
        <item m="1" x="3628"/>
        <item m="1" x="3723"/>
        <item m="1" x="3715"/>
        <item m="1" x="3798"/>
        <item m="1" x="3799"/>
        <item m="1" x="3716"/>
        <item m="1" x="3724"/>
        <item m="1" x="3717"/>
        <item m="1" x="3718"/>
        <item m="1" x="3725"/>
        <item m="1" x="3665"/>
        <item m="1" x="3670"/>
        <item m="1" x="3667"/>
        <item m="1" x="3730"/>
        <item m="1" x="3731"/>
        <item m="1" x="3732"/>
        <item m="1" x="3733"/>
        <item m="1" x="3734"/>
        <item m="1" x="3735"/>
        <item m="1" x="3736"/>
        <item m="1" x="3756"/>
        <item m="1" x="3767"/>
        <item m="1" x="3726"/>
        <item m="1" x="3719"/>
        <item m="1" x="3749"/>
        <item m="1" x="3750"/>
        <item m="1" x="3727"/>
        <item m="1" x="3720"/>
        <item m="1" x="3721"/>
        <item m="1" x="3728"/>
        <item m="1" x="3722"/>
        <item m="1" x="3729"/>
        <item m="1" x="3769"/>
        <item m="1" x="3764"/>
        <item m="1" x="3766"/>
        <item m="1" x="3897"/>
        <item m="1" x="3877"/>
        <item m="1" x="3878"/>
        <item m="1" x="3879"/>
        <item m="1" x="3898"/>
        <item m="1" x="3880"/>
        <item m="1" x="3881"/>
        <item m="1" x="3882"/>
        <item m="1" x="2295"/>
        <item m="1" x="2294"/>
        <item m="1" x="3757"/>
        <item m="1" x="3737"/>
        <item m="1" x="3758"/>
        <item m="1" x="3738"/>
        <item m="1" x="3759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760"/>
        <item m="1" x="3761"/>
        <item m="1" x="3762"/>
        <item m="1" x="3763"/>
        <item m="1" x="3827"/>
        <item m="1" x="3828"/>
        <item m="1" x="3829"/>
        <item m="1" x="3820"/>
        <item m="1" x="3821"/>
        <item m="1" x="3830"/>
        <item m="1" x="3831"/>
        <item m="1" x="3851"/>
        <item m="1" x="3892"/>
        <item m="1" x="3893"/>
        <item m="1" x="3822"/>
        <item m="1" x="3894"/>
        <item m="1" x="3823"/>
        <item m="1" x="3904"/>
        <item m="1" x="3824"/>
        <item m="1" x="3825"/>
        <item m="1" x="3845"/>
        <item m="1" x="3811"/>
        <item m="1" x="3812"/>
        <item m="1" x="3813"/>
        <item m="1" x="3814"/>
        <item m="1" x="3815"/>
        <item m="1" x="3807"/>
        <item m="1" x="3860"/>
        <item m="1" x="3863"/>
        <item m="1" x="2397"/>
        <item m="1" x="3974"/>
        <item m="1" x="3862"/>
        <item m="1" x="3975"/>
        <item m="1" x="3899"/>
        <item m="1" x="3895"/>
        <item m="1" x="3988"/>
        <item m="1" x="3976"/>
        <item m="1" x="3977"/>
        <item m="1" x="3989"/>
        <item m="1" x="3852"/>
        <item m="1" x="3833"/>
        <item m="1" x="3853"/>
        <item m="1" x="3854"/>
        <item m="1" x="3855"/>
        <item m="1" x="3978"/>
        <item m="1" x="3856"/>
        <item m="1" x="3857"/>
        <item m="1" x="3858"/>
        <item m="1" x="3859"/>
        <item m="1" x="3979"/>
        <item m="1" x="3980"/>
        <item m="1" x="3981"/>
        <item m="1" x="3982"/>
        <item m="1" x="3990"/>
        <item m="1" x="3991"/>
        <item m="1" x="3921"/>
        <item m="1" x="3922"/>
        <item m="1" x="3923"/>
        <item m="1" x="3924"/>
        <item m="1" x="3925"/>
        <item m="1" x="3926"/>
        <item m="1" x="3927"/>
        <item m="1" x="3946"/>
        <item m="1" x="3992"/>
        <item m="1" x="3929"/>
        <item m="1" x="3983"/>
        <item m="1" x="3984"/>
        <item m="1" x="3995"/>
        <item m="1" x="3816"/>
        <item m="1" x="3817"/>
        <item m="1" x="3826"/>
        <item m="1" x="3941"/>
        <item m="1" x="3917"/>
        <item m="1" x="3918"/>
        <item m="1" x="3919"/>
        <item m="1" x="3808"/>
        <item m="1" x="3985"/>
        <item m="1" x="3986"/>
        <item m="1" x="4097"/>
        <item m="1" x="4098"/>
        <item m="1" x="3920"/>
        <item m="1" x="3906"/>
        <item m="1" x="3907"/>
        <item m="1" x="3908"/>
        <item m="1" x="3909"/>
        <item m="1" x="3910"/>
        <item m="1" x="3818"/>
        <item m="1" x="3911"/>
        <item m="1" x="2297"/>
        <item m="1" x="2296"/>
        <item m="1" x="4081"/>
        <item m="1" x="3819"/>
        <item m="1" x="3913"/>
        <item m="1" x="3956"/>
        <item m="1" x="3912"/>
        <item m="1" x="4083"/>
        <item m="1" x="4101"/>
        <item m="1" x="4100"/>
        <item m="1" x="3959"/>
        <item m="1" x="4089"/>
        <item m="1" x="4088"/>
        <item m="1" x="4087"/>
        <item m="1" x="4086"/>
        <item m="1" x="4085"/>
        <item m="1" x="4084"/>
        <item m="1" x="4092"/>
        <item m="1" x="4091"/>
        <item m="1" x="4090"/>
        <item m="1" x="4093"/>
        <item m="1" x="3958"/>
        <item m="1" x="3953"/>
        <item m="1" x="3955"/>
        <item m="1" x="3952"/>
        <item m="1" x="3954"/>
        <item m="1" x="3951"/>
        <item m="1" x="3950"/>
        <item m="1" x="3949"/>
        <item m="1" x="3948"/>
        <item m="1" x="3947"/>
        <item m="1" x="4012"/>
        <item m="1" x="4099"/>
        <item m="1" x="3915"/>
        <item m="1" x="3914"/>
        <item m="1" x="4027"/>
        <item m="1" x="4026"/>
        <item m="1" x="4025"/>
        <item m="1" x="4024"/>
        <item m="1" x="4023"/>
        <item m="1" x="4022"/>
        <item m="1" x="4102"/>
        <item m="1" x="4082"/>
        <item m="1" x="3896"/>
        <item m="1" x="3987"/>
        <item m="1" x="4047"/>
        <item m="1" x="4029"/>
        <item m="1" x="4048"/>
        <item m="1" x="4094"/>
        <item m="1" x="4041"/>
        <item m="1" x="4113"/>
        <item m="1" x="4112"/>
        <item m="1" x="4095"/>
        <item m="1" x="3997"/>
        <item m="1" x="4013"/>
        <item m="1" x="4015"/>
        <item m="1" x="4014"/>
        <item m="1" x="4001"/>
        <item m="1" x="4000"/>
        <item m="1" x="3999"/>
        <item m="1" x="2298"/>
        <item m="1" x="3998"/>
        <item m="1" x="4111"/>
        <item m="1" x="4002"/>
        <item m="1" x="4016"/>
        <item m="1" x="2299"/>
        <item m="1" x="4018"/>
        <item m="1" x="4017"/>
        <item m="1" x="4006"/>
        <item m="1" x="4004"/>
        <item m="1" x="4019"/>
        <item m="1" x="4005"/>
        <item m="1" x="4003"/>
        <item m="1" x="4096"/>
        <item m="1" x="4103"/>
        <item m="1" x="4065"/>
        <item m="1" x="4063"/>
        <item m="1" x="4193"/>
        <item m="1" x="4204"/>
        <item m="1" x="4056"/>
        <item m="1" x="4055"/>
        <item m="1" x="4054"/>
        <item m="1" x="4053"/>
        <item m="1" x="4052"/>
        <item m="1" x="4051"/>
        <item m="1" x="4050"/>
        <item m="1" x="4049"/>
        <item m="1" x="4060"/>
        <item m="1" x="4059"/>
        <item m="1" x="4057"/>
        <item m="1" x="4058"/>
        <item m="1" x="4159"/>
        <item m="1" x="4195"/>
        <item m="1" x="4194"/>
        <item m="1" x="4205"/>
        <item m="1" x="4196"/>
        <item m="1" x="2301"/>
        <item m="1" x="2300"/>
        <item m="1" x="4199"/>
        <item m="1" x="4198"/>
        <item m="1" x="4197"/>
        <item m="1" x="4206"/>
        <item m="1" x="4139"/>
        <item m="1" x="4138"/>
        <item m="1" x="4137"/>
        <item m="1" x="4136"/>
        <item m="1" x="4140"/>
        <item m="1" x="4161"/>
        <item m="1" x="4160"/>
        <item m="1" x="4200"/>
        <item m="1" x="4213"/>
        <item m="1" x="4141"/>
        <item m="1" x="4010"/>
        <item m="1" x="4009"/>
        <item m="1" x="4008"/>
        <item m="1" x="4007"/>
        <item m="1" x="3916"/>
        <item m="1" x="4128"/>
        <item m="1" x="4179"/>
        <item m="1" x="4153"/>
        <item m="1" x="4130"/>
        <item m="1" x="4129"/>
        <item m="1" x="4115"/>
        <item m="1" x="4212"/>
        <item m="1" x="4131"/>
        <item m="1" x="3832"/>
        <item m="1" x="3928"/>
        <item m="1" x="4028"/>
        <item m="1" x="4020"/>
        <item m="1" x="4135"/>
        <item m="1" x="4011"/>
        <item m="1" x="4119"/>
        <item m="1" x="4133"/>
        <item m="1" x="4118"/>
        <item m="1" x="4117"/>
        <item m="1" x="4116"/>
        <item m="1" x="4132"/>
        <item m="1" x="4123"/>
        <item m="1" x="4021"/>
        <item m="1" x="4134"/>
        <item m="1" x="4122"/>
        <item m="1" x="4121"/>
        <item m="1" x="4120"/>
        <item m="1" x="4124"/>
        <item m="1" x="4177"/>
        <item m="1" x="4127"/>
        <item m="1" x="4126"/>
        <item m="1" x="4125"/>
        <item m="1" x="4303"/>
        <item m="1" x="4315"/>
        <item m="1" x="4305"/>
        <item m="1" x="4304"/>
        <item m="1" x="4314"/>
        <item m="1" x="4307"/>
        <item m="1" x="4170"/>
        <item m="1" x="4169"/>
        <item m="1" x="4168"/>
        <item m="1" x="4167"/>
        <item m="1" x="2303"/>
        <item m="1" x="4166"/>
        <item m="1" x="4165"/>
        <item m="1" x="4164"/>
        <item m="1" x="4163"/>
        <item m="1" x="4162"/>
        <item m="1" x="4174"/>
        <item m="1" x="4173"/>
        <item m="1" x="4172"/>
        <item m="1" x="4171"/>
        <item m="1" x="4201"/>
        <item m="1" x="4306"/>
        <item m="1" x="4318"/>
        <item m="1" x="4317"/>
        <item m="1" x="2302"/>
        <item m="1" x="4316"/>
        <item m="1" x="4207"/>
        <item m="1" x="4245"/>
        <item m="1" x="4244"/>
        <item m="1" x="4243"/>
        <item m="1" x="4242"/>
        <item m="1" x="4241"/>
        <item m="1" x="4247"/>
        <item m="1" x="4246"/>
        <item m="1" x="4309"/>
        <item m="1" x="4202"/>
        <item m="1" x="4308"/>
        <item m="1" x="4230"/>
        <item m="1" x="4229"/>
        <item m="1" x="4268"/>
        <item m="1" x="4325"/>
        <item m="1" x="4413"/>
        <item m="1" x="4270"/>
        <item m="1" x="4269"/>
        <item m="1" x="4312"/>
        <item m="1" x="4311"/>
        <item m="1" x="4310"/>
        <item m="1" x="4232"/>
        <item m="1" x="4248"/>
        <item m="1" x="4231"/>
        <item m="1" x="4261"/>
        <item m="1" x="4324"/>
        <item m="1" x="4323"/>
        <item m="1" x="4228"/>
        <item m="1" x="4216"/>
        <item m="1" x="4215"/>
        <item m="1" x="4234"/>
        <item m="1" x="4217"/>
        <item m="1" x="4233"/>
        <item m="1" x="4226"/>
        <item m="1" x="4239"/>
        <item m="1" x="4238"/>
        <item m="1" x="4224"/>
        <item m="1" x="4240"/>
        <item m="1" x="4237"/>
        <item m="1" x="4223"/>
        <item m="1" x="4236"/>
        <item m="1" x="4222"/>
        <item m="1" x="4221"/>
        <item m="1" x="4220"/>
        <item m="1" x="4219"/>
        <item m="1" x="4218"/>
        <item m="1" x="4235"/>
        <item m="1" x="4225"/>
        <item m="1" x="4286"/>
        <item m="1" x="4227"/>
        <item m="1" x="4288"/>
        <item m="1" x="4379"/>
        <item m="1" x="4279"/>
        <item m="1" x="4278"/>
        <item m="1" x="4277"/>
        <item m="1" x="4276"/>
        <item m="1" x="4275"/>
        <item m="1" x="4274"/>
        <item m="1" x="4283"/>
        <item m="1" x="4273"/>
        <item m="1" x="4272"/>
        <item m="1" x="4271"/>
        <item m="1" x="4282"/>
        <item m="1" x="4281"/>
        <item m="1" x="4280"/>
        <item m="1" x="4418"/>
        <item m="1" x="4417"/>
        <item m="1" x="2304"/>
        <item m="1" x="4416"/>
        <item m="1" x="4415"/>
        <item m="1" x="4414"/>
        <item m="1" x="4427"/>
        <item m="1" x="4426"/>
        <item m="1" x="4425"/>
        <item m="1" x="4419"/>
        <item m="1" x="4420"/>
        <item m="1" x="4428"/>
        <item m="1" x="4359"/>
        <item m="1" x="4358"/>
        <item m="1" x="4357"/>
        <item m="1" x="4356"/>
        <item m="1" x="4355"/>
        <item m="1" x="4429"/>
        <item m="1" x="4354"/>
        <item m="1" x="4380"/>
        <item m="1" x="4353"/>
        <item m="1" x="4437"/>
        <item m="1" x="4373"/>
        <item m="1" x="4423"/>
        <item m="1" x="4422"/>
        <item m="1" x="4421"/>
        <item m="1" x="4344"/>
        <item m="1" x="4343"/>
        <item m="1" x="4342"/>
        <item m="1" x="4341"/>
        <item m="1" x="4328"/>
        <item m="1" x="4327"/>
        <item m="1" x="4436"/>
        <item m="1" x="4435"/>
        <item m="1" x="4329"/>
        <item m="1" x="4336"/>
        <item m="1" x="4345"/>
        <item m="1" x="4360"/>
        <item m="1" x="4335"/>
        <item m="1" x="4334"/>
        <item m="1" x="4333"/>
        <item m="1" x="4332"/>
        <item m="1" x="4331"/>
        <item m="1" x="4330"/>
        <item m="1" x="4352"/>
        <item m="1" x="4348"/>
        <item m="1" x="4347"/>
        <item m="1" x="4346"/>
        <item m="1" x="4349"/>
        <item m="1" x="4396"/>
        <item m="1" x="4398"/>
        <item m="1" x="4389"/>
        <item m="1" x="4388"/>
        <item m="1" x="2305"/>
        <item m="1" x="4387"/>
        <item m="1" x="4386"/>
        <item m="1" x="4385"/>
        <item m="1" x="4393"/>
        <item m="1" x="4384"/>
        <item m="1" x="4383"/>
        <item m="1" x="4382"/>
        <item m="1" x="4381"/>
        <item m="1" x="4392"/>
        <item m="1" x="4391"/>
        <item m="1" x="4390"/>
        <item m="1" x="4203"/>
        <item m="1" x="4313"/>
        <item m="1" x="4424"/>
        <item m="1" x="4536"/>
        <item m="1" x="4527"/>
        <item m="1" x="4526"/>
        <item m="1" x="4430"/>
        <item m="1" x="4535"/>
        <item m="1" x="4525"/>
        <item m="1" x="4524"/>
        <item m="1" x="4523"/>
        <item m="1" x="4522"/>
        <item m="1" x="4534"/>
        <item m="1" x="4521"/>
        <item m="1" x="4531"/>
        <item m="1" x="4539"/>
        <item m="1" x="4530"/>
        <item m="1" x="4538"/>
        <item m="1" x="4529"/>
        <item m="1" x="4537"/>
        <item m="1" x="4528"/>
        <item m="1" x="4532"/>
        <item m="1" x="4463"/>
        <item m="1" x="4462"/>
        <item m="1" x="4461"/>
        <item m="1" x="4464"/>
        <item m="1" x="4533"/>
        <item m="1" x="4466"/>
        <item m="1" x="4465"/>
        <item m="1" x="4488"/>
        <item m="1" x="4340"/>
        <item m="1" x="4339"/>
        <item m="1" x="4338"/>
        <item m="1" x="4350"/>
        <item m="1" x="4337"/>
        <item m="1" x="4553"/>
        <item m="1" x="4351"/>
        <item m="1" x="4483"/>
        <item m="1" x="4441"/>
        <item m="1" x="4440"/>
        <item m="1" x="4451"/>
        <item m="1" x="4439"/>
        <item m="1" x="4443"/>
        <item m="1" x="4442"/>
        <item m="1" x="4460"/>
        <item m="1" x="4452"/>
        <item m="1" x="3903"/>
        <item m="1" x="4445"/>
        <item m="1" x="4444"/>
        <item m="1" x="4552"/>
        <item m="1" x="4551"/>
        <item m="1" x="4453"/>
        <item m="1" x="4458"/>
        <item m="1" x="4457"/>
        <item m="1" x="4456"/>
        <item m="1" x="4455"/>
        <item m="1" x="4454"/>
        <item m="1" x="4459"/>
        <item m="1" x="4449"/>
        <item m="1" x="4448"/>
        <item m="1" x="4447"/>
        <item m="1" x="4446"/>
        <item m="1" x="4504"/>
        <item m="1" x="4506"/>
        <item m="1" x="4639"/>
        <item m="1" x="4638"/>
        <item m="1" x="4637"/>
        <item m="1" x="4636"/>
        <item m="1" x="4635"/>
        <item m="1" x="4634"/>
        <item m="1" x="4541"/>
        <item m="1" x="4540"/>
        <item m="1" x="4641"/>
        <item m="1" x="4640"/>
        <item m="1" x="4450"/>
        <item m="1" x="4644"/>
        <item m="1" x="4545"/>
        <item m="1" x="4643"/>
        <item m="1" x="4544"/>
        <item m="1" x="4497"/>
        <item m="1" x="4496"/>
        <item m="1" x="4495"/>
        <item m="1" x="4494"/>
        <item m="1" x="4501"/>
        <item m="1" x="4493"/>
        <item m="1" x="4492"/>
        <item m="1" x="4491"/>
        <item m="1" x="4490"/>
        <item m="1" x="4500"/>
        <item m="1" x="4499"/>
        <item m="1" x="4498"/>
        <item m="1" x="4489"/>
        <item m="1" x="4642"/>
        <item m="1" x="4543"/>
        <item m="1" x="4542"/>
        <item m="1" x="4645"/>
        <item m="1" x="4648"/>
        <item m="1" x="4646"/>
        <item m="1" x="4566"/>
        <item m="1" x="4577"/>
        <item m="1" x="4576"/>
        <item m="1" x="2306"/>
        <item m="1" x="4578"/>
        <item m="1" x="4602"/>
        <item m="1" x="4647"/>
        <item m="1" x="4656"/>
        <item m="1" x="4579"/>
        <item m="1" x="4597"/>
        <item m="1" x="4580"/>
        <item m="1" x="4567"/>
        <item m="1" x="4686"/>
        <item m="1" x="4685"/>
        <item m="1" x="4684"/>
        <item m="1" x="4568"/>
        <item m="1" x="4572"/>
        <item m="1" x="4571"/>
        <item m="1" x="4570"/>
        <item m="1" x="4569"/>
        <item m="1" x="4687"/>
        <item m="1" x="4672"/>
        <item m="1" x="4574"/>
        <item m="1" x="4564"/>
        <item m="1" x="4575"/>
        <item m="1" x="4563"/>
        <item m="1" x="4573"/>
        <item m="1" x="4562"/>
        <item m="1" x="4561"/>
        <item m="1" x="4560"/>
        <item m="1" x="4559"/>
        <item m="1" x="4653"/>
        <item m="1" x="4652"/>
        <item m="1" x="4565"/>
        <item m="1" x="4654"/>
        <item m="1" x="4674"/>
        <item m="1" x="4673"/>
        <item m="1" x="4618"/>
        <item m="1" x="4620"/>
        <item m="1" x="4657"/>
        <item m="1" x="4655"/>
        <item m="1" x="4611"/>
        <item m="1" x="4610"/>
        <item m="1" x="4609"/>
        <item m="1" x="4615"/>
        <item m="1" x="4608"/>
        <item m="1" x="4607"/>
        <item m="1" x="4606"/>
        <item m="1" x="4605"/>
        <item m="1" x="4604"/>
        <item m="1" x="4603"/>
        <item m="1" x="4614"/>
        <item m="1" x="4613"/>
        <item m="1" x="4612"/>
        <item m="1" x="4736"/>
        <item m="1" x="4735"/>
        <item m="1" x="4734"/>
        <item m="1" x="4733"/>
        <item m="1" x="4732"/>
        <item m="1" x="4731"/>
        <item m="1" x="4730"/>
        <item m="1" x="4729"/>
        <item m="1" x="4745"/>
        <item m="1" x="4742"/>
        <item m="1" x="4741"/>
        <item m="1" x="4740"/>
        <item m="1" x="4739"/>
        <item m="1" x="4738"/>
        <item m="1" x="4737"/>
        <item m="1" x="4748"/>
        <item m="1" x="4747"/>
        <item m="1" x="4746"/>
        <item m="1" x="4749"/>
        <item m="1" x="4750"/>
        <item m="1" x="4675"/>
        <item m="1" x="4683"/>
        <item m="1" x="4743"/>
        <item m="1" x="4680"/>
        <item m="1" x="4681"/>
        <item m="1" x="4682"/>
        <item m="1" x="4710"/>
        <item m="1" x="4783"/>
        <item m="1" x="4755"/>
        <item m="1" x="4744"/>
        <item m="1" x="4784"/>
        <item m="1" x="4761"/>
        <item m="1" x="4660"/>
        <item m="1" x="4786"/>
        <item m="1" x="4785"/>
        <item m="1" x="4760"/>
        <item m="1" x="4661"/>
        <item m="1" x="4773"/>
        <item m="1" x="4772"/>
        <item m="1" x="4787"/>
        <item m="1" x="4758"/>
        <item m="1" x="4757"/>
        <item m="1" x="4756"/>
        <item m="1" x="4666"/>
        <item m="1" x="4665"/>
        <item m="1" x="4664"/>
        <item m="1" x="4663"/>
        <item m="1" x="4662"/>
        <item m="1" x="4678"/>
        <item m="1" x="4679"/>
        <item m="1" x="4670"/>
        <item m="1" x="4669"/>
        <item m="1" x="4677"/>
        <item m="1" x="4668"/>
        <item m="1" x="4676"/>
        <item m="1" x="4671"/>
        <item m="1" x="4667"/>
        <item m="1" x="4715"/>
        <item m="1" x="4713"/>
        <item m="1" x="4759"/>
        <item m="1" x="4830"/>
        <item m="1" x="4831"/>
        <item m="1" x="4824"/>
        <item m="1" x="4825"/>
        <item m="1" x="4832"/>
        <item m="1" x="4826"/>
        <item m="1" x="4827"/>
        <item m="1" x="4828"/>
        <item m="1" x="4833"/>
        <item m="1" x="4700"/>
        <item m="1" x="4829"/>
        <item m="1" x="2307"/>
        <item m="1" x="2308"/>
        <item m="1" x="4780"/>
        <item m="1" x="4781"/>
        <item m="1" x="4782"/>
        <item m="1" x="4766"/>
        <item m="1" x="4765"/>
        <item m="1" x="4764"/>
        <item m="1" x="4799"/>
        <item m="1" x="4838"/>
        <item m="1" x="4837"/>
        <item m="1" x="4862"/>
        <item m="1" x="4861"/>
        <item m="1" x="4839"/>
        <item m="1" x="4805"/>
        <item m="1" x="4863"/>
        <item m="1" x="4774"/>
        <item m="1" x="4775"/>
        <item m="1" x="4767"/>
        <item m="1" x="4776"/>
        <item m="1" x="4851"/>
        <item m="1" x="4850"/>
        <item m="1" x="4797"/>
        <item m="1" x="4840"/>
        <item m="1" x="4769"/>
        <item m="1" x="4768"/>
        <item m="1" x="4779"/>
        <item m="1" x="4777"/>
        <item m="1" x="4778"/>
        <item m="1" x="4771"/>
        <item m="1" x="4770"/>
        <item m="1" x="4864"/>
        <item m="1" x="4909"/>
        <item m="1" x="2309"/>
        <item m="1" x="4906"/>
        <item m="1" x="4910"/>
        <item m="1" x="2310"/>
        <item m="1" x="4810"/>
        <item m="1" x="4911"/>
        <item m="1" x="4908"/>
        <item m="1" x="4907"/>
        <item m="1" x="4859"/>
        <item m="1" x="4858"/>
        <item m="1" x="4860"/>
        <item m="1" x="4883"/>
        <item m="1" x="4808"/>
        <item m="1" x="4951"/>
        <item m="1" x="4950"/>
        <item m="1" x="4949"/>
        <item m="1" x="4948"/>
        <item m="1" x="4844"/>
        <item m="1" x="4843"/>
        <item x="128"/>
        <item m="1" x="4916"/>
        <item m="1" x="4917"/>
        <item x="129"/>
        <item m="1" x="4849"/>
        <item m="1" x="4848"/>
        <item m="1" x="4847"/>
        <item m="1" x="4846"/>
        <item m="1" x="4845"/>
        <item m="1" x="4865"/>
        <item m="1" x="4874"/>
        <item m="1" x="4876"/>
        <item m="1" x="4952"/>
        <item m="1" x="4925"/>
        <item m="1" x="4852"/>
        <item m="1" x="4853"/>
        <item m="1" x="4959"/>
        <item m="1" x="4946"/>
        <item m="1" x="4958"/>
        <item m="1" x="4857"/>
        <item m="1" x="4854"/>
        <item m="1" x="4926"/>
        <item m="1" x="4892"/>
        <item m="1" x="4855"/>
        <item m="1" x="4947"/>
        <item m="1" x="4936"/>
        <item m="1" x="4934"/>
        <item m="1" x="4935"/>
        <item m="1" x="4928"/>
        <item m="1" x="4927"/>
        <item m="1" x="4856"/>
        <item m="1" x="4920"/>
        <item m="1" x="4929"/>
        <item m="1" x="4887"/>
        <item m="1" x="4886"/>
        <item m="1" x="4885"/>
        <item m="1" x="4924"/>
        <item m="1" x="4923"/>
        <item m="1" x="4922"/>
        <item m="1" x="4921"/>
        <item m="1" x="4932"/>
        <item m="1" x="4933"/>
        <item m="1" x="4931"/>
        <item m="1" x="4930"/>
        <item x="27"/>
        <item m="1" x="4890"/>
        <item x="107"/>
        <item x="37"/>
        <item m="1" x="4939"/>
        <item x="53"/>
        <item x="54"/>
        <item x="55"/>
        <item x="155"/>
        <item x="156"/>
        <item x="157"/>
        <item x="139"/>
        <item x="45"/>
        <item x="49"/>
        <item x="46"/>
        <item x="47"/>
        <item x="48"/>
        <item x="76"/>
        <item x="51"/>
        <item x="50"/>
        <item x="52"/>
        <item x="57"/>
        <item x="56"/>
        <item x="222"/>
        <item x="221"/>
        <item x="220"/>
        <item x="219"/>
        <item x="218"/>
        <item x="230"/>
        <item x="225"/>
        <item x="224"/>
        <item x="223"/>
        <item x="231"/>
        <item x="82"/>
        <item x="81"/>
        <item x="86"/>
        <item x="80"/>
        <item x="79"/>
        <item x="78"/>
        <item x="84"/>
        <item x="83"/>
        <item x="85"/>
        <item x="227"/>
        <item x="232"/>
        <item x="226"/>
        <item x="228"/>
        <item x="233"/>
        <item x="153"/>
        <item x="152"/>
        <item x="154"/>
        <item x="91"/>
        <item x="191"/>
        <item x="190"/>
        <item x="240"/>
        <item x="181"/>
        <item x="189"/>
        <item x="167"/>
        <item x="160"/>
        <item x="162"/>
        <item x="161"/>
        <item x="165"/>
        <item x="164"/>
        <item x="163"/>
        <item x="159"/>
        <item x="58"/>
        <item x="18"/>
        <item x="166"/>
        <item x="241"/>
        <item x="132"/>
        <item x="137"/>
        <item x="136"/>
        <item x="135"/>
        <item x="134"/>
        <item x="133"/>
        <item x="117"/>
        <item x="116"/>
        <item x="140"/>
        <item x="142"/>
        <item x="141"/>
        <item x="138"/>
        <item x="144"/>
        <item x="143"/>
        <item x="149"/>
        <item x="148"/>
        <item x="147"/>
        <item x="151"/>
        <item x="252"/>
        <item x="146"/>
        <item x="145"/>
        <item x="205"/>
        <item x="115"/>
        <item x="114"/>
        <item x="113"/>
        <item x="92"/>
        <item x="197"/>
        <item x="196"/>
        <item x="195"/>
        <item x="194"/>
        <item x="201"/>
        <item x="193"/>
        <item x="199"/>
        <item x="198"/>
        <item x="200"/>
        <item x="347"/>
        <item x="331"/>
        <item x="330"/>
        <item x="338"/>
        <item x="348"/>
        <item x="337"/>
        <item x="336"/>
        <item x="335"/>
        <item x="229"/>
        <item x="334"/>
        <item x="333"/>
        <item x="349"/>
        <item x="343"/>
        <item x="342"/>
        <item x="341"/>
        <item x="340"/>
        <item x="339"/>
        <item x="266"/>
        <item x="267"/>
        <item x="332"/>
        <item x="302"/>
        <item x="301"/>
        <item x="300"/>
        <item x="291"/>
        <item x="344"/>
        <item x="350"/>
        <item x="271"/>
        <item x="270"/>
        <item x="253"/>
        <item x="272"/>
        <item x="357"/>
        <item x="358"/>
        <item x="274"/>
        <item x="244"/>
        <item x="273"/>
        <item x="256"/>
        <item x="255"/>
        <item x="257"/>
        <item x="121"/>
        <item x="346"/>
        <item x="345"/>
        <item x="150"/>
        <item x="316"/>
        <item x="258"/>
        <item x="249"/>
        <item x="245"/>
        <item x="246"/>
        <item x="259"/>
        <item x="247"/>
        <item x="265"/>
        <item x="260"/>
        <item x="261"/>
        <item x="248"/>
        <item x="269"/>
        <item x="268"/>
        <item x="262"/>
        <item x="276"/>
        <item x="254"/>
        <item x="118"/>
        <item x="119"/>
        <item x="120"/>
        <item x="289"/>
        <item x="275"/>
        <item x="158"/>
        <item x="263"/>
        <item x="449"/>
        <item x="459"/>
        <item x="458"/>
        <item x="448"/>
        <item x="457"/>
        <item x="456"/>
        <item x="447"/>
        <item x="446"/>
        <item x="445"/>
        <item x="444"/>
        <item x="443"/>
        <item x="453"/>
        <item x="452"/>
        <item x="451"/>
        <item x="450"/>
        <item x="304"/>
        <item x="310"/>
        <item x="309"/>
        <item x="311"/>
        <item x="308"/>
        <item x="307"/>
        <item x="306"/>
        <item x="305"/>
        <item x="312"/>
        <item x="460"/>
        <item x="454"/>
        <item x="455"/>
        <item x="379"/>
        <item x="250"/>
        <item x="380"/>
        <item x="413"/>
        <item x="414"/>
        <item x="405"/>
        <item x="251"/>
        <item x="468"/>
        <item x="469"/>
        <item x="381"/>
        <item x="387"/>
        <item x="415"/>
        <item x="122"/>
        <item x="371"/>
        <item x="372"/>
        <item x="364"/>
        <item x="363"/>
        <item x="374"/>
        <item x="373"/>
        <item x="429"/>
        <item x="376"/>
        <item x="375"/>
        <item x="264"/>
        <item x="370"/>
        <item x="369"/>
        <item x="368"/>
        <item x="367"/>
        <item x="366"/>
        <item x="365"/>
        <item x="125"/>
        <item x="124"/>
        <item x="123"/>
        <item x="377"/>
        <item x="386"/>
        <item x="421"/>
        <item x="420"/>
        <item x="425"/>
        <item x="424"/>
        <item x="423"/>
        <item x="422"/>
        <item x="403"/>
        <item x="574"/>
        <item x="565"/>
        <item x="564"/>
        <item x="575"/>
        <item x="576"/>
        <item x="497"/>
        <item x="496"/>
        <item x="567"/>
        <item x="566"/>
        <item x="526"/>
        <item x="535"/>
        <item x="471"/>
        <item x="589"/>
        <item x="590"/>
        <item x="378"/>
        <item x="697"/>
        <item x="501"/>
        <item x="486"/>
        <item x="478"/>
        <item x="477"/>
        <item x="476"/>
        <item x="475"/>
        <item x="474"/>
        <item x="473"/>
        <item x="485"/>
        <item x="484"/>
        <item x="483"/>
        <item x="503"/>
        <item x="502"/>
        <item x="536"/>
        <item x="487"/>
        <item x="480"/>
        <item x="479"/>
        <item x="504"/>
        <item x="506"/>
        <item x="510"/>
        <item x="505"/>
        <item x="489"/>
        <item x="488"/>
        <item x="490"/>
        <item x="508"/>
        <item x="507"/>
        <item x="492"/>
        <item x="481"/>
        <item x="491"/>
        <item x="524"/>
        <item x="494"/>
        <item x="493"/>
        <item x="679"/>
        <item x="690"/>
        <item x="678"/>
        <item x="683"/>
        <item x="682"/>
        <item x="568"/>
        <item x="681"/>
        <item x="680"/>
        <item x="542"/>
        <item x="541"/>
        <item x="540"/>
        <item x="539"/>
        <item x="546"/>
        <item x="538"/>
        <item x="544"/>
        <item x="543"/>
        <item x="545"/>
        <item x="692"/>
        <item x="577"/>
        <item x="691"/>
        <item x="495"/>
        <item x="684"/>
        <item x="578"/>
        <item x="569"/>
        <item x="685"/>
        <item x="570"/>
        <item x="614"/>
        <item x="613"/>
        <item x="612"/>
        <item x="579"/>
        <item x="606"/>
        <item x="605"/>
        <item x="572"/>
        <item x="686"/>
        <item x="687"/>
        <item x="571"/>
        <item x="648"/>
        <item x="647"/>
        <item x="639"/>
        <item x="812"/>
        <item x="706"/>
        <item x="705"/>
        <item x="593"/>
        <item x="635"/>
        <item x="677"/>
        <item x="607"/>
        <item x="615"/>
        <item x="791"/>
        <item x="792"/>
        <item x="793"/>
        <item x="805"/>
        <item x="806"/>
        <item x="794"/>
        <item x="698"/>
        <item x="795"/>
        <item x="790"/>
        <item x="796"/>
        <item x="797"/>
        <item x="798"/>
        <item x="799"/>
        <item x="616"/>
        <item x="608"/>
        <item x="693"/>
        <item x="688"/>
        <item x="807"/>
        <item x="800"/>
        <item x="596"/>
        <item x="482"/>
        <item x="598"/>
        <item x="609"/>
        <item x="597"/>
        <item x="801"/>
        <item x="610"/>
        <item x="603"/>
        <item x="602"/>
        <item x="601"/>
        <item x="600"/>
        <item x="599"/>
        <item x="617"/>
        <item x="636"/>
        <item x="604"/>
        <item x="611"/>
        <item x="621"/>
        <item x="573"/>
        <item x="689"/>
        <item x="802"/>
        <item x="509"/>
        <item x="650"/>
        <item x="651"/>
        <item x="652"/>
        <item x="654"/>
        <item x="658"/>
        <item x="653"/>
        <item x="657"/>
        <item x="656"/>
        <item x="655"/>
        <item x="719"/>
        <item x="803"/>
        <item x="725"/>
        <item x="726"/>
        <item x="751"/>
        <item x="758"/>
        <item x="808"/>
        <item x="883"/>
        <item x="821"/>
        <item x="710"/>
        <item x="822"/>
        <item x="813"/>
        <item x="814"/>
        <item x="712"/>
        <item x="713"/>
        <item x="714"/>
        <item x="715"/>
        <item x="720"/>
        <item x="716"/>
        <item x="717"/>
        <item x="933"/>
        <item x="728"/>
        <item x="729"/>
        <item x="727"/>
        <item x="749"/>
        <item x="718"/>
        <item x="721"/>
        <item x="722"/>
        <item x="730"/>
        <item x="550"/>
        <item x="663"/>
        <item x="732"/>
        <item x="733"/>
        <item x="723"/>
        <item x="724"/>
        <item x="731"/>
        <item x="762"/>
        <item x="763"/>
        <item x="764"/>
        <item x="765"/>
        <item x="767"/>
        <item x="761"/>
        <item x="766"/>
        <item x="768"/>
        <item x="769"/>
        <item x="770"/>
        <item x="912"/>
        <item x="913"/>
        <item x="914"/>
        <item x="915"/>
        <item x="930"/>
        <item x="916"/>
        <item x="917"/>
        <item x="918"/>
        <item x="909"/>
        <item x="919"/>
        <item x="932"/>
        <item x="920"/>
        <item x="921"/>
        <item x="931"/>
        <item x="922"/>
        <item x="923"/>
        <item x="924"/>
        <item x="925"/>
        <item x="926"/>
        <item x="927"/>
        <item x="848"/>
        <item x="910"/>
        <item x="911"/>
        <item x="871"/>
        <item x="928"/>
        <item x="774"/>
        <item x="879"/>
        <item x="825"/>
        <item x="824"/>
        <item x="947"/>
        <item x="946"/>
        <item x="759"/>
        <item x="880"/>
        <item x="938"/>
        <item x="855"/>
        <item x="841"/>
        <item x="831"/>
        <item x="832"/>
        <item x="833"/>
        <item x="842"/>
        <item x="834"/>
        <item x="835"/>
        <item x="836"/>
        <item x="843"/>
        <item x="844"/>
        <item x="845"/>
        <item x="856"/>
        <item x="850"/>
        <item x="846"/>
        <item x="837"/>
        <item x="838"/>
        <item x="839"/>
        <item x="851"/>
        <item x="847"/>
        <item x="852"/>
        <item x="853"/>
        <item x="854"/>
        <item x="840"/>
        <item x="869"/>
        <item x="882"/>
        <item x="1004"/>
        <item x="884"/>
        <item x="885"/>
        <item x="887"/>
        <item x="888"/>
        <item x="886"/>
        <item x="889"/>
        <item x="890"/>
        <item x="891"/>
        <item x="1051"/>
        <item x="1052"/>
        <item x="1053"/>
        <item x="1049"/>
        <item x="1079"/>
        <item x="1054"/>
        <item x="1055"/>
        <item x="1056"/>
        <item x="1057"/>
        <item x="1080"/>
        <item x="1081"/>
        <item x="1058"/>
        <item x="1082"/>
        <item x="1059"/>
        <item x="1060"/>
        <item x="1061"/>
        <item x="1062"/>
        <item x="1063"/>
        <item x="1083"/>
        <item x="1064"/>
        <item x="1065"/>
        <item x="1066"/>
        <item x="849"/>
        <item x="1067"/>
        <item x="1068"/>
        <item x="1069"/>
        <item x="1050"/>
        <item x="1070"/>
        <item x="1018"/>
        <item x="1017"/>
        <item x="990"/>
        <item x="1011"/>
        <item x="949"/>
        <item x="1096"/>
        <item x="1095"/>
        <item x="950"/>
        <item x="969"/>
        <item x="970"/>
        <item x="971"/>
        <item x="972"/>
        <item x="995"/>
        <item x="979"/>
        <item x="980"/>
        <item x="981"/>
        <item x="982"/>
        <item x="983"/>
        <item x="991"/>
        <item x="973"/>
        <item x="974"/>
        <item x="975"/>
        <item x="1071"/>
        <item x="1072"/>
        <item x="1073"/>
        <item x="1084"/>
        <item x="989"/>
        <item x="1074"/>
        <item x="1075"/>
        <item x="1085"/>
        <item x="984"/>
        <item x="985"/>
        <item x="986"/>
        <item x="1076"/>
        <item x="987"/>
        <item x="976"/>
        <item x="977"/>
        <item x="1218"/>
        <item x="1200"/>
        <item x="1219"/>
        <item x="1201"/>
        <item x="1202"/>
        <item x="978"/>
        <item x="1203"/>
        <item x="1204"/>
        <item x="1205"/>
        <item x="1220"/>
        <item x="1206"/>
        <item x="988"/>
        <item x="992"/>
        <item x="993"/>
        <item x="994"/>
        <item x="1207"/>
        <item x="1208"/>
        <item x="1199"/>
        <item x="1209"/>
        <item x="1009"/>
        <item x="1210"/>
        <item x="1211"/>
        <item x="1022"/>
        <item x="1023"/>
        <item x="1024"/>
        <item x="1025"/>
        <item x="1027"/>
        <item x="1026"/>
        <item x="1028"/>
        <item x="1029"/>
        <item x="1030"/>
        <item x="1077"/>
        <item x="1212"/>
        <item x="1213"/>
        <item x="1214"/>
        <item x="1128"/>
        <item x="1156"/>
        <item x="1215"/>
        <item x="1129"/>
        <item x="1166"/>
        <item x="1019"/>
        <item x="929"/>
        <item x="1216"/>
        <item x="1078"/>
        <item x="1231"/>
        <item x="1691"/>
        <item x="1140"/>
        <item x="1141"/>
        <item x="1098"/>
        <item x="1232"/>
        <item x="1130"/>
        <item x="1138"/>
        <item x="1139"/>
        <item x="1451"/>
        <item x="1452"/>
        <item x="1676"/>
        <item x="1105"/>
        <item x="1116"/>
        <item x="1106"/>
        <item x="1107"/>
        <item x="1108"/>
        <item x="1109"/>
        <item x="1110"/>
        <item x="1152"/>
        <item x="1117"/>
        <item x="1131"/>
        <item x="895"/>
        <item x="1035"/>
        <item x="1111"/>
        <item x="1112"/>
        <item x="1113"/>
        <item x="1114"/>
        <item x="1115"/>
        <item x="1137"/>
        <item x="1118"/>
        <item x="1119"/>
        <item x="1120"/>
        <item x="1121"/>
        <item x="1122"/>
        <item x="1123"/>
        <item x="1124"/>
        <item x="1125"/>
        <item x="1680"/>
        <item x="1126"/>
        <item x="1127"/>
        <item x="1453"/>
        <item x="1454"/>
        <item x="1455"/>
        <item x="1456"/>
        <item x="1457"/>
        <item x="1458"/>
        <item x="1459"/>
        <item x="1260"/>
        <item x="1172"/>
        <item x="1460"/>
        <item x="1677"/>
        <item x="1461"/>
        <item x="1462"/>
        <item x="1463"/>
        <item x="1464"/>
        <item x="1465"/>
        <item x="1466"/>
        <item x="1467"/>
        <item x="1468"/>
        <item x="1678"/>
        <item x="1469"/>
        <item x="1450"/>
        <item x="1470"/>
        <item x="1272"/>
        <item x="1679"/>
        <item x="1471"/>
        <item x="1472"/>
        <item x="1473"/>
        <item x="1474"/>
        <item x="1475"/>
        <item x="1405"/>
        <item x="1279"/>
        <item x="1280"/>
        <item x="1281"/>
        <item x="1282"/>
        <item x="1283"/>
        <item x="1284"/>
        <item x="1359"/>
        <item x="1360"/>
        <item x="1186"/>
        <item x="1390"/>
        <item x="1718"/>
        <item x="1235"/>
        <item x="1719"/>
        <item x="1692"/>
        <item x="1476"/>
        <item x="1693"/>
        <item x="1248"/>
        <item x="1249"/>
        <item x="1250"/>
        <item x="1251"/>
        <item x="1252"/>
        <item x="1253"/>
        <item x="1694"/>
        <item x="1254"/>
        <item x="1255"/>
        <item x="1256"/>
        <item x="1261"/>
        <item x="1273"/>
        <item x="1257"/>
        <item x="1258"/>
        <item x="1259"/>
        <item x="1274"/>
        <item x="1275"/>
        <item x="1276"/>
        <item x="1277"/>
        <item x="1388"/>
        <item x="1262"/>
        <item x="1264"/>
        <item x="1263"/>
        <item x="1265"/>
        <item x="1266"/>
        <item x="1278"/>
        <item x="1267"/>
        <item x="1695"/>
        <item x="1696"/>
        <item x="1697"/>
        <item x="1698"/>
        <item x="1699"/>
        <item x="1268"/>
        <item x="1361"/>
        <item x="1269"/>
        <item x="1165"/>
        <item x="1270"/>
        <item x="1367"/>
        <item x="1368"/>
        <item x="1363"/>
        <item x="1364"/>
        <item x="1365"/>
        <item x="1366"/>
        <item x="1271"/>
        <item x="1407"/>
        <item x="1408"/>
        <item x="1409"/>
        <item x="1410"/>
        <item x="1412"/>
        <item x="1411"/>
        <item x="1413"/>
        <item x="1414"/>
        <item x="1415"/>
        <item x="1810"/>
        <item x="1811"/>
        <item x="1426"/>
        <item x="1477"/>
        <item x="1478"/>
        <item x="1497"/>
        <item x="1479"/>
        <item x="1480"/>
        <item x="2154"/>
        <item x="1481"/>
        <item x="1482"/>
        <item x="1483"/>
        <item x="1484"/>
        <item x="1485"/>
        <item x="1486"/>
        <item x="1487"/>
        <item x="1488"/>
        <item x="1498"/>
        <item x="1489"/>
        <item x="1490"/>
        <item x="1491"/>
        <item x="2155"/>
        <item x="1492"/>
        <item x="1859"/>
        <item x="1493"/>
        <item x="1020"/>
        <item x="2210"/>
        <item x="2211"/>
        <item x="2212"/>
        <item x="2213"/>
        <item x="1812"/>
        <item x="1236"/>
        <item x="1912"/>
        <item x="1913"/>
        <item x="1914"/>
        <item x="1861"/>
        <item x="2025"/>
        <item x="1986"/>
        <item x="1907"/>
        <item x="1908"/>
        <item x="1909"/>
        <item x="1978"/>
        <item x="1362"/>
        <item x="1494"/>
        <item x="1495"/>
        <item x="1496"/>
        <item x="1862"/>
        <item x="1863"/>
        <item x="1864"/>
        <item x="1813"/>
        <item x="1378"/>
        <item x="1499"/>
        <item x="1500"/>
        <item x="2156"/>
        <item x="1513"/>
        <item x="1935"/>
        <item x="1502"/>
        <item x="1814"/>
        <item x="1865"/>
        <item x="1866"/>
        <item x="1867"/>
        <item x="1868"/>
        <item x="1503"/>
        <item x="1504"/>
        <item x="1501"/>
        <item x="1815"/>
        <item x="1816"/>
        <item x="1759"/>
        <item x="1427"/>
        <item x="1817"/>
        <item x="1818"/>
        <item x="1285"/>
        <item x="2184"/>
        <item x="2161"/>
        <item x="2162"/>
        <item x="1760"/>
        <item x="1524"/>
        <item x="1525"/>
        <item x="1819"/>
        <item x="1675"/>
        <item x="1764"/>
        <item x="1762"/>
        <item x="1820"/>
        <item x="1763"/>
        <item x="1761"/>
        <item x="1765"/>
        <item x="1766"/>
        <item x="2042"/>
        <item x="1767"/>
        <item x="1822"/>
        <item x="1821"/>
        <item x="1987"/>
        <item x="1237"/>
        <item x="2272"/>
        <item x="2026"/>
        <item x="1167"/>
        <item x="1875"/>
        <item x="1286"/>
        <item x="1287"/>
        <item x="1910"/>
        <item x="1876"/>
        <item x="951"/>
        <item x="1823"/>
        <item x="1768"/>
        <item x="1824"/>
        <item m="1" x="4968"/>
        <item x="1774"/>
        <item x="1775"/>
        <item m="1" x="4969"/>
        <item x="1860"/>
        <item x="1825"/>
        <item x="1776"/>
        <item x="1826"/>
        <item x="1827"/>
        <item x="1828"/>
        <item x="1829"/>
        <item x="1777"/>
        <item x="2185"/>
        <item x="1877"/>
        <item x="1535"/>
        <item x="1536"/>
        <item m="1" x="4967"/>
        <item x="1586"/>
        <item x="1587"/>
        <item x="1537"/>
        <item x="1588"/>
        <item x="1550"/>
        <item x="1551"/>
        <item x="1552"/>
        <item x="1553"/>
        <item x="1554"/>
        <item x="1589"/>
        <item x="1681"/>
        <item x="1238"/>
        <item x="1168"/>
        <item x="2027"/>
        <item x="1988"/>
        <item x="1831"/>
        <item x="1830"/>
        <item x="952"/>
        <item x="1878"/>
        <item x="953"/>
        <item x="2186"/>
        <item x="1303"/>
        <item x="1832"/>
        <item x="1778"/>
        <item x="1779"/>
        <item x="2214"/>
        <item x="1780"/>
        <item x="1781"/>
        <item x="1833"/>
        <item x="1834"/>
        <item x="1835"/>
        <item x="1911"/>
        <item x="1782"/>
        <item x="1783"/>
        <item x="1784"/>
        <item x="1879"/>
        <item x="1555"/>
        <item x="1836"/>
        <item x="1837"/>
        <item m="1" x="2429"/>
        <item x="1785"/>
        <item x="1786"/>
        <item x="1838"/>
        <item x="1310"/>
        <item m="1" x="2436"/>
        <item m="1" x="2435"/>
        <item m="1" x="2437"/>
        <item x="2192"/>
        <item x="2190"/>
        <item x="2191"/>
        <item x="1839"/>
        <item x="1840"/>
        <item x="1841"/>
        <item x="1590"/>
        <item x="1556"/>
        <item x="1557"/>
        <item x="1591"/>
        <item x="1592"/>
        <item x="1593"/>
        <item x="1565"/>
        <item x="1566"/>
        <item x="1594"/>
        <item x="1567"/>
        <item x="1880"/>
        <item x="1595"/>
        <item x="1574"/>
        <item x="1575"/>
        <item x="1989"/>
        <item x="1596"/>
        <item x="1842"/>
        <item x="1169"/>
        <item x="2028"/>
        <item x="1582"/>
        <item m="1" x="2311"/>
        <item m="1" x="2438"/>
        <item m="1" x="2439"/>
        <item m="1" x="2313"/>
        <item m="1" x="2312"/>
        <item m="1" x="2318"/>
        <item m="1" x="2317"/>
        <item m="1" x="2315"/>
        <item m="1" x="2320"/>
        <item m="1" x="2440"/>
        <item m="1" x="2331"/>
        <item m="1" x="2332"/>
        <item m="1" x="2333"/>
        <item m="1" x="2339"/>
        <item m="1" x="2342"/>
        <item m="1" x="2343"/>
        <item m="1" x="2345"/>
        <item m="1" x="2346"/>
        <item m="1" x="2349"/>
        <item m="1" x="2441"/>
        <item m="1" x="2351"/>
        <item m="1" x="2352"/>
        <item m="1" x="2347"/>
        <item m="1" x="2443"/>
        <item m="1" x="2356"/>
        <item m="1" x="2357"/>
        <item m="1" x="2358"/>
        <item m="1" x="2362"/>
        <item m="1" x="2363"/>
        <item m="1" x="2365"/>
        <item m="1" x="2744"/>
        <item m="1" x="2367"/>
        <item m="1" x="2453"/>
        <item m="1" x="2452"/>
        <item m="1" x="2442"/>
        <item m="1" x="3648"/>
        <item m="1" x="2369"/>
        <item m="1" x="2454"/>
        <item m="1" x="2455"/>
        <item m="1" x="2456"/>
        <item m="1" x="2505"/>
        <item m="1" x="2489"/>
        <item m="1" x="2491"/>
        <item m="1" x="2513"/>
        <item m="1" x="2497"/>
        <item m="1" x="2498"/>
        <item m="1" x="2503"/>
        <item m="1" x="2504"/>
        <item m="1" x="2506"/>
        <item m="1" x="2562"/>
        <item m="1" x="2550"/>
        <item m="1" x="2551"/>
        <item m="1" x="2552"/>
        <item m="1" x="2553"/>
        <item m="1" x="2554"/>
        <item m="1" x="2371"/>
        <item m="1" x="2555"/>
        <item m="1" x="2556"/>
        <item m="1" x="2492"/>
        <item m="1" x="2557"/>
        <item m="1" x="2493"/>
        <item m="1" x="2494"/>
        <item m="1" x="2499"/>
        <item m="1" x="2500"/>
        <item m="1" x="2501"/>
        <item m="1" x="2502"/>
        <item m="1" x="2623"/>
        <item m="1" x="2624"/>
        <item m="1" x="2607"/>
        <item m="1" x="2609"/>
        <item m="1" x="2673"/>
        <item m="1" x="2674"/>
        <item m="1" x="2675"/>
        <item m="1" x="2676"/>
        <item m="1" x="2677"/>
        <item m="1" x="2678"/>
        <item m="1" x="2375"/>
        <item m="1" x="2679"/>
        <item m="1" x="2680"/>
        <item m="1" x="2633"/>
        <item m="1" x="2615"/>
        <item m="1" x="2616"/>
        <item m="1" x="2617"/>
        <item m="1" x="2618"/>
        <item m="1" x="2619"/>
        <item m="1" x="2620"/>
        <item m="1" x="2613"/>
        <item m="1" x="2614"/>
        <item m="1" x="2621"/>
        <item m="1" x="2622"/>
        <item m="1" x="2625"/>
        <item m="1" x="2610"/>
        <item m="1" x="2686"/>
        <item m="1" x="2495"/>
        <item m="1" x="2496"/>
        <item m="1" x="2611"/>
        <item m="1" x="2612"/>
        <item m="1" x="2745"/>
        <item m="1" x="2727"/>
        <item m="1" x="2729"/>
        <item m="1" x="2761"/>
        <item m="1" x="2731"/>
        <item m="1" x="2732"/>
        <item m="1" x="2735"/>
        <item m="1" x="2736"/>
        <item m="1" x="2737"/>
        <item m="1" x="2738"/>
        <item m="1" x="2739"/>
        <item m="1" x="2740"/>
        <item m="1" x="2741"/>
        <item m="1" x="2742"/>
        <item m="1" x="2377"/>
        <item m="1" x="2801"/>
        <item m="1" x="2802"/>
        <item m="1" x="2803"/>
        <item m="1" x="2804"/>
        <item m="1" x="2805"/>
        <item m="1" x="2378"/>
        <item m="1" x="2806"/>
        <item m="1" x="2807"/>
        <item m="1" x="2808"/>
        <item m="1" x="2730"/>
        <item m="1" x="2746"/>
        <item m="1" x="2747"/>
        <item m="1" x="2748"/>
        <item m="1" x="2873"/>
        <item m="1" x="2813"/>
        <item m="1" x="2733"/>
        <item m="1" x="2734"/>
        <item m="1" x="2866"/>
        <item m="1" x="2867"/>
        <item m="1" x="2862"/>
        <item m="1" x="2860"/>
        <item m="1" x="2881"/>
        <item m="1" x="2918"/>
        <item m="1" x="2919"/>
        <item m="1" x="2381"/>
        <item m="1" x="2920"/>
        <item m="1" x="2921"/>
        <item m="1" x="2922"/>
        <item m="1" x="2923"/>
        <item m="1" x="2890"/>
        <item m="1" x="2924"/>
        <item m="1" x="2863"/>
        <item m="1" x="2868"/>
        <item m="1" x="2869"/>
        <item m="1" x="2870"/>
        <item m="1" x="2871"/>
        <item m="1" x="2864"/>
        <item m="1" x="2865"/>
        <item m="1" x="2874"/>
        <item m="1" x="2875"/>
        <item m="1" x="2588"/>
        <item m="1" x="2464"/>
        <item m="1" x="2465"/>
        <item m="1" x="2930"/>
        <item m="1" x="2971"/>
        <item m="1" x="2957"/>
        <item m="1" x="2981"/>
        <item m="1" x="2959"/>
        <item m="1" x="2973"/>
        <item m="1" x="2974"/>
        <item m="1" x="2955"/>
        <item m="1" x="2990"/>
        <item m="1" x="3022"/>
        <item m="1" x="3023"/>
        <item m="1" x="3024"/>
        <item m="1" x="2960"/>
        <item m="1" x="2961"/>
        <item m="1" x="2962"/>
        <item m="1" x="2963"/>
        <item m="1" x="2968"/>
        <item m="1" x="2969"/>
        <item m="1" x="3025"/>
        <item m="1" x="3026"/>
        <item m="1" x="3027"/>
        <item m="1" x="3028"/>
        <item m="1" x="3029"/>
        <item m="1" x="3030"/>
        <item m="1" x="3036"/>
        <item m="1" x="2966"/>
        <item m="1" x="2967"/>
        <item m="1" x="3074"/>
        <item m="1" x="3086"/>
        <item m="1" x="3094"/>
        <item m="1" x="2972"/>
        <item m="1" x="3085"/>
        <item m="1" x="3071"/>
        <item m="1" x="3103"/>
        <item m="1" x="3075"/>
        <item m="1" x="2964"/>
        <item m="1" x="2965"/>
        <item m="1" x="3070"/>
        <item m="1" x="3132"/>
        <item m="1" x="3133"/>
        <item m="1" x="3134"/>
        <item m="1" x="3135"/>
        <item m="1" x="2385"/>
        <item m="1" x="2386"/>
        <item m="1" x="3136"/>
        <item m="1" x="3137"/>
        <item m="1" x="2387"/>
        <item m="1" x="3138"/>
        <item m="1" x="3076"/>
        <item m="1" x="3077"/>
        <item m="1" x="2388"/>
        <item m="1" x="3078"/>
        <item m="1" x="3079"/>
        <item m="1" x="3139"/>
        <item m="1" x="3152"/>
        <item m="1" x="3202"/>
        <item m="1" x="3221"/>
        <item m="1" x="3198"/>
        <item m="1" x="3194"/>
        <item m="1" x="3195"/>
        <item m="1" x="3080"/>
        <item m="1" x="3081"/>
        <item m="1" x="3212"/>
        <item m="1" x="3199"/>
        <item m="1" x="3203"/>
        <item m="1" x="3247"/>
        <item m="1" x="3248"/>
        <item m="1" x="3249"/>
        <item m="1" x="2391"/>
        <item m="1" x="3250"/>
        <item m="1" x="3251"/>
        <item m="1" x="3252"/>
        <item m="1" x="3253"/>
        <item m="1" x="3204"/>
        <item m="1" x="3270"/>
        <item m="1" x="3072"/>
        <item m="1" x="3325"/>
        <item m="1" x="3205"/>
        <item m="1" x="3206"/>
        <item m="1" x="3319"/>
        <item m="1" x="3316"/>
        <item m="1" x="3332"/>
        <item m="1" x="3320"/>
        <item m="1" x="3317"/>
        <item m="1" x="3340"/>
        <item m="1" x="3359"/>
        <item m="1" x="3360"/>
        <item m="1" x="3361"/>
        <item m="1" x="3362"/>
        <item m="1" x="2394"/>
        <item m="1" x="3363"/>
        <item m="1" x="3364"/>
        <item m="1" x="3365"/>
        <item m="1" x="3326"/>
        <item m="1" x="3366"/>
        <item m="1" x="3380"/>
        <item m="1" x="3200"/>
        <item m="1" x="3201"/>
        <item m="1" x="3436"/>
        <item m="1" x="3425"/>
        <item m="1" x="3428"/>
        <item m="1" x="3451"/>
        <item m="1" x="3442"/>
        <item m="1" x="3437"/>
        <item m="1" x="3429"/>
        <item m="1" x="3432"/>
        <item m="1" x="3433"/>
        <item m="1" x="3434"/>
        <item m="1" x="3435"/>
        <item m="1" x="3082"/>
        <item m="1" x="3083"/>
        <item m="1" x="3426"/>
        <item m="1" x="3473"/>
        <item m="1" x="3474"/>
        <item m="1" x="3475"/>
        <item m="1" x="3491"/>
        <item m="1" x="3438"/>
        <item m="1" x="3579"/>
        <item m="1" x="3490"/>
        <item m="1" x="3542"/>
        <item m="1" x="3535"/>
        <item m="1" x="3323"/>
        <item m="1" x="3324"/>
        <item m="1" x="3538"/>
        <item m="1" x="3557"/>
        <item m="1" x="3580"/>
        <item m="1" x="3573"/>
        <item m="1" x="3574"/>
        <item m="1" x="3581"/>
        <item m="1" x="3582"/>
        <item m="1" x="3536"/>
        <item m="1" x="3539"/>
        <item m="1" x="3583"/>
        <item m="1" x="3584"/>
        <item m="1" x="3585"/>
        <item m="1" x="3543"/>
        <item m="1" x="3544"/>
        <item m="1" x="3549"/>
        <item m="1" x="3586"/>
        <item m="1" x="3587"/>
        <item m="1" x="3588"/>
        <item m="1" x="3545"/>
        <item m="1" x="3647"/>
        <item m="1" x="3669"/>
        <item m="1" x="3640"/>
        <item m="1" x="3642"/>
        <item m="1" x="3643"/>
        <item m="1" x="3649"/>
        <item m="1" x="3748"/>
        <item m="1" x="3676"/>
        <item m="1" x="3654"/>
        <item m="1" x="3639"/>
        <item m="1" x="3677"/>
        <item m="1" x="3678"/>
        <item m="1" x="3653"/>
        <item m="1" x="3679"/>
        <item m="1" x="3680"/>
        <item m="1" x="3681"/>
        <item m="1" x="3685"/>
        <item m="1" x="3682"/>
        <item m="1" x="3683"/>
        <item m="1" x="3747"/>
        <item m="1" x="3714"/>
        <item m="1" x="3784"/>
        <item m="1" x="3684"/>
        <item m="1" x="3768"/>
        <item m="1" x="3744"/>
        <item m="1" x="3745"/>
        <item m="1" x="3753"/>
        <item m="1" x="3739"/>
        <item m="1" x="3752"/>
        <item m="1" x="3740"/>
        <item m="1" x="3785"/>
        <item m="1" x="3776"/>
        <item m="1" x="3777"/>
        <item m="1" x="3778"/>
        <item m="1" x="3779"/>
        <item m="1" x="3780"/>
        <item m="1" x="3781"/>
        <item m="1" x="3782"/>
        <item m="1" x="3783"/>
        <item m="1" x="3843"/>
        <item m="1" x="3835"/>
        <item m="1" x="3644"/>
        <item m="1" x="3936"/>
        <item m="1" x="3848"/>
        <item m="1" x="3868"/>
        <item m="1" x="3847"/>
        <item m="1" x="3836"/>
        <item m="1" x="3844"/>
        <item m="1" x="3869"/>
        <item m="1" x="3870"/>
        <item m="1" x="3746"/>
        <item m="1" x="3842"/>
        <item m="1" x="3871"/>
        <item m="1" x="2398"/>
        <item m="1" x="3876"/>
        <item m="1" x="3938"/>
        <item m="1" x="3872"/>
        <item m="1" x="3873"/>
        <item m="1" x="3931"/>
        <item m="1" x="3944"/>
        <item m="1" x="3841"/>
        <item m="1" x="3874"/>
        <item m="1" x="3875"/>
        <item m="1" x="3943"/>
        <item m="1" x="3939"/>
        <item m="1" x="3964"/>
        <item m="1" x="3965"/>
        <item m="1" x="3966"/>
        <item m="1" x="4104"/>
        <item m="1" x="3940"/>
        <item m="1" x="3932"/>
        <item m="1" x="3967"/>
        <item m="1" x="3937"/>
        <item m="1" x="3968"/>
        <item m="1" x="3970"/>
        <item m="1" x="3969"/>
        <item m="1" x="3972"/>
        <item m="1" x="4044"/>
        <item m="1" x="3971"/>
        <item m="1" x="4038"/>
        <item m="1" x="3973"/>
        <item m="1" x="4105"/>
        <item m="1" x="4031"/>
        <item m="1" x="4036"/>
        <item m="1" x="4039"/>
        <item m="1" x="4045"/>
        <item m="1" x="3834"/>
        <item m="1" x="3930"/>
        <item m="1" x="4071"/>
        <item m="1" x="4043"/>
        <item m="1" x="4072"/>
        <item m="1" x="4032"/>
        <item m="1" x="4073"/>
        <item m="1" x="4074"/>
        <item m="1" x="4070"/>
        <item m="1" x="4075"/>
        <item m="1" x="4037"/>
        <item m="1" x="4077"/>
        <item m="1" x="4076"/>
        <item m="1" x="4078"/>
        <item m="1" x="4040"/>
        <item m="1" x="4080"/>
        <item m="1" x="4062"/>
        <item m="1" x="4061"/>
        <item m="1" x="4079"/>
        <item m="1" x="4150"/>
        <item m="1" x="4156"/>
        <item m="1" x="4157"/>
        <item m="1" x="4208"/>
        <item m="1" x="4155"/>
        <item m="1" x="4151"/>
        <item m="1" x="4184"/>
        <item m="1" x="4148"/>
        <item m="1" x="4187"/>
        <item m="1" x="4186"/>
        <item m="1" x="4185"/>
        <item m="1" x="4152"/>
        <item m="1" x="4144"/>
        <item m="1" x="4188"/>
        <item x="861"/>
        <item m="1" x="4190"/>
        <item m="1" x="4189"/>
        <item m="1" x="4142"/>
        <item m="1" x="4143"/>
        <item m="1" x="4149"/>
        <item m="1" x="4176"/>
        <item m="1" x="4175"/>
        <item m="1" x="4030"/>
        <item m="1" x="4192"/>
        <item m="1" x="4257"/>
        <item m="1" x="4319"/>
        <item m="1" x="4265"/>
        <item m="1" x="4294"/>
        <item m="1" x="4191"/>
        <item m="1" x="4254"/>
        <item m="1" x="4266"/>
        <item m="1" x="4293"/>
        <item m="1" x="4263"/>
        <item m="1" x="4296"/>
        <item m="1" x="4295"/>
        <item m="1" x="4250"/>
        <item m="1" x="4297"/>
        <item m="1" x="4258"/>
        <item m="1" x="4299"/>
        <item m="1" x="4298"/>
        <item m="1" x="4256"/>
        <item m="1" x="3837"/>
        <item m="1" x="4033"/>
        <item m="1" x="4259"/>
        <item m="1" x="4404"/>
        <item m="1" x="4249"/>
        <item x="996"/>
        <item m="1" x="4300"/>
        <item m="1" x="4301"/>
        <item m="1" x="4302"/>
        <item m="1" x="4285"/>
        <item m="1" x="4284"/>
        <item m="1" x="4370"/>
        <item m="1" x="4367"/>
        <item m="1" x="4431"/>
        <item m="1" x="4376"/>
        <item m="1" x="4260"/>
        <item m="1" x="4375"/>
        <item m="1" x="4362"/>
        <item m="1" x="4403"/>
        <item m="1" x="4371"/>
        <item m="1" x="4406"/>
        <item m="1" x="4372"/>
        <item m="1" x="4405"/>
        <item m="1" x="4369"/>
        <item m="1" x="4407"/>
        <item m="1" x="4395"/>
        <item m="1" x="4394"/>
        <item m="1" x="4363"/>
        <item x="998"/>
        <item m="1" x="4361"/>
        <item m="1" x="4408"/>
        <item m="1" x="4473"/>
        <item m="1" x="4409"/>
        <item m="1" x="4479"/>
        <item m="1" x="4485"/>
        <item m="1" x="4546"/>
        <item m="1" x="4476"/>
        <item m="1" x="4255"/>
        <item m="1" x="4368"/>
        <item m="1" x="4477"/>
        <item m="1" x="4264"/>
        <item m="1" x="4410"/>
        <item m="1" x="4512"/>
        <item x="999"/>
        <item m="1" x="4480"/>
        <item m="1" x="4486"/>
        <item m="1" x="4481"/>
        <item m="1" x="4511"/>
        <item m="1" x="4468"/>
        <item m="1" x="4513"/>
        <item m="1" x="4411"/>
        <item m="1" x="4412"/>
        <item m="1" x="4469"/>
        <item m="1" x="4514"/>
        <item m="1" x="4478"/>
        <item m="1" x="4503"/>
        <item m="1" x="4502"/>
        <item m="1" x="4519"/>
        <item m="1" x="4518"/>
        <item m="1" x="4517"/>
        <item m="1" x="4516"/>
        <item m="1" x="4515"/>
        <item m="1" x="4482"/>
        <item m="1" x="4520"/>
        <item m="1" x="4592"/>
        <item m="1" x="4599"/>
        <item m="1" x="4467"/>
        <item m="1" x="4590"/>
        <item m="1" x="4626"/>
        <item m="1" x="4584"/>
        <item m="1" x="4589"/>
        <item m="1" x="4628"/>
        <item m="1" x="4627"/>
        <item m="1" x="4583"/>
        <item m="1" x="4631"/>
        <item m="1" x="4632"/>
        <item m="1" x="4630"/>
        <item m="1" x="4625"/>
        <item m="1" x="4629"/>
        <item m="1" x="4595"/>
        <item m="1" x="4558"/>
        <item m="1" x="4596"/>
        <item m="1" x="4585"/>
        <item m="1" x="4470"/>
        <item m="1" x="4594"/>
        <item m="1" x="4593"/>
        <item m="1" x="4617"/>
        <item m="1" x="4616"/>
        <item m="1" x="4591"/>
        <item m="1" x="4374"/>
        <item m="1" x="4484"/>
        <item m="1" x="4600"/>
        <item m="1" x="4581"/>
        <item m="1" x="4582"/>
        <item x="1142"/>
        <item m="1" x="4633"/>
        <item m="1" x="4703"/>
        <item m="1" x="4704"/>
        <item m="1" x="4689"/>
        <item m="1" x="4688"/>
        <item m="1" x="4708"/>
        <item m="1" x="4701"/>
        <item m="1" x="4721"/>
        <item m="1" x="4722"/>
        <item m="1" x="4694"/>
        <item m="1" x="4693"/>
        <item m="1" x="4723"/>
        <item m="1" x="4705"/>
        <item m="1" x="4699"/>
        <item m="1" x="4751"/>
        <item m="1" x="4719"/>
        <item m="1" x="4724"/>
        <item m="1" x="4725"/>
        <item m="1" x="4717"/>
        <item m="1" x="4690"/>
        <item m="1" x="4709"/>
        <item m="1" x="4692"/>
        <item m="1" x="4691"/>
        <item x="1143"/>
        <item m="1" x="4706"/>
        <item m="1" x="4720"/>
        <item m="1" x="4718"/>
        <item m="1" x="4726"/>
        <item m="1" x="4659"/>
        <item m="1" x="4727"/>
        <item m="1" x="4598"/>
        <item m="1" x="4702"/>
        <item m="1" x="4788"/>
        <item m="1" x="4801"/>
        <item m="1" x="4763"/>
        <item m="1" x="4796"/>
        <item m="1" x="4798"/>
        <item m="1" x="4790"/>
        <item m="1" x="4728"/>
        <item x="12"/>
        <item x="13"/>
        <item m="1" x="4818"/>
        <item m="1" x="4791"/>
        <item m="1" x="4813"/>
        <item m="1" x="4814"/>
        <item m="1" x="4812"/>
        <item m="1" x="4815"/>
        <item m="1" x="4789"/>
        <item m="1" x="4823"/>
        <item m="1" x="4707"/>
        <item m="1" x="4820"/>
        <item m="1" x="4802"/>
        <item m="1" x="4822"/>
        <item m="1" x="4800"/>
        <item m="1" x="4695"/>
        <item m="1" x="4792"/>
        <item m="1" x="4821"/>
        <item m="1" x="4817"/>
        <item m="1" x="4819"/>
        <item m="1" x="4803"/>
        <item m="1" x="4804"/>
        <item m="1" x="4882"/>
        <item m="1" x="4878"/>
        <item m="1" x="4866"/>
        <item m="1" x="4912"/>
        <item m="1" x="4896"/>
        <item m="1" x="4842"/>
        <item m="1" x="4875"/>
        <item x="14"/>
        <item m="1" x="4899"/>
        <item m="1" x="4868"/>
        <item m="1" x="4712"/>
        <item m="1" x="4711"/>
        <item m="1" x="4895"/>
        <item m="1" x="4897"/>
        <item m="1" x="4894"/>
        <item m="1" x="4807"/>
        <item m="1" x="4806"/>
        <item m="1" x="4816"/>
        <item m="1" x="4905"/>
        <item m="1" x="4879"/>
        <item m="1" x="4881"/>
        <item m="1" x="4870"/>
        <item m="1" x="4900"/>
        <item x="19"/>
        <item x="20"/>
        <item x="21"/>
        <item m="1" x="4903"/>
        <item x="23"/>
        <item m="1" x="4877"/>
        <item m="1" x="4902"/>
        <item m="1" x="4904"/>
        <item m="1" x="4873"/>
        <item m="1" x="4889"/>
        <item m="1" x="4888"/>
        <item x="60"/>
        <item m="1" x="4941"/>
        <item m="1" x="4945"/>
        <item m="1" x="4942"/>
        <item m="1" x="4869"/>
        <item m="1" x="4898"/>
        <item m="1" x="4944"/>
        <item m="1" x="4943"/>
        <item m="1" x="4880"/>
        <item m="1" x="4901"/>
        <item m="1" x="4940"/>
        <item x="25"/>
        <item m="1" x="4884"/>
        <item m="1" x="4867"/>
        <item x="38"/>
        <item x="39"/>
        <item x="44"/>
        <item x="77"/>
        <item x="108"/>
        <item x="59"/>
        <item x="68"/>
        <item x="65"/>
        <item x="71"/>
        <item x="72"/>
        <item x="101"/>
        <item x="100"/>
        <item x="67"/>
        <item x="69"/>
        <item x="99"/>
        <item x="64"/>
        <item x="61"/>
        <item x="70"/>
        <item x="62"/>
        <item x="63"/>
        <item x="95"/>
        <item x="94"/>
        <item x="74"/>
        <item x="96"/>
        <item x="98"/>
        <item x="103"/>
        <item x="102"/>
        <item x="126"/>
        <item x="127"/>
        <item x="183"/>
        <item x="88"/>
        <item x="87"/>
        <item x="1750"/>
        <item x="238"/>
        <item x="187"/>
        <item x="234"/>
        <item x="168"/>
        <item x="178"/>
        <item x="192"/>
        <item x="180"/>
        <item x="179"/>
        <item x="185"/>
        <item x="184"/>
        <item x="176"/>
        <item x="172"/>
        <item x="105"/>
        <item x="1999"/>
        <item x="207"/>
        <item x="208"/>
        <item x="209"/>
        <item x="73"/>
        <item x="170"/>
        <item x="169"/>
        <item x="211"/>
        <item x="171"/>
        <item x="212"/>
        <item x="213"/>
        <item x="182"/>
        <item x="203"/>
        <item x="202"/>
        <item x="351"/>
        <item x="297"/>
        <item x="280"/>
        <item x="355"/>
        <item x="356"/>
        <item x="287"/>
        <item x="293"/>
        <item x="288"/>
        <item x="303"/>
        <item x="290"/>
        <item x="173"/>
        <item x="282"/>
        <item x="131"/>
        <item x="243"/>
        <item x="106"/>
        <item x="286"/>
        <item x="281"/>
        <item x="210"/>
        <item x="321"/>
        <item x="318"/>
        <item x="319"/>
        <item x="320"/>
        <item x="216"/>
        <item x="217"/>
        <item x="322"/>
        <item x="278"/>
        <item x="277"/>
        <item x="186"/>
        <item x="323"/>
        <item x="215"/>
        <item x="296"/>
        <item x="294"/>
        <item x="292"/>
        <item x="295"/>
        <item x="279"/>
        <item x="324"/>
        <item x="325"/>
        <item x="214"/>
        <item x="407"/>
        <item x="362"/>
        <item x="314"/>
        <item x="313"/>
        <item x="43"/>
        <item x="359"/>
        <item x="411"/>
        <item x="388"/>
        <item x="461"/>
        <item x="466"/>
        <item x="467"/>
        <item x="361"/>
        <item x="360"/>
        <item x="402"/>
        <item x="327"/>
        <item x="395"/>
        <item x="401"/>
        <item x="396"/>
        <item x="416"/>
        <item x="435"/>
        <item x="404"/>
        <item x="432"/>
        <item x="431"/>
        <item x="433"/>
        <item x="438"/>
        <item x="437"/>
        <item x="328"/>
        <item x="436"/>
        <item x="434"/>
        <item x="439"/>
        <item x="409"/>
        <item x="408"/>
        <item x="400"/>
        <item x="427"/>
        <item x="426"/>
        <item x="394"/>
        <item x="393"/>
        <item x="440"/>
        <item x="406"/>
        <item x="442"/>
        <item x="389"/>
        <item x="410"/>
        <item x="528"/>
        <item x="532"/>
        <item x="580"/>
        <item x="587"/>
        <item x="588"/>
        <item x="512"/>
        <item x="472"/>
        <item x="470"/>
        <item x="556"/>
        <item x="522"/>
        <item x="554"/>
        <item x="525"/>
        <item x="537"/>
        <item x="513"/>
        <item x="557"/>
        <item x="555"/>
        <item x="551"/>
        <item x="553"/>
        <item x="558"/>
        <item x="523"/>
        <item x="548"/>
        <item x="547"/>
        <item x="511"/>
        <item x="521"/>
        <item x="559"/>
        <item x="527"/>
        <item x="560"/>
        <item x="561"/>
        <item x="515"/>
        <item m="1" x="2404"/>
        <item x="562"/>
        <item x="529"/>
        <item x="594"/>
        <item x="641"/>
        <item x="592"/>
        <item x="622"/>
        <item x="703"/>
        <item x="704"/>
        <item x="645"/>
        <item x="694"/>
        <item x="633"/>
        <item x="634"/>
        <item x="329"/>
        <item x="649"/>
        <item x="670"/>
        <item x="530"/>
        <item x="669"/>
        <item x="666"/>
        <item x="668"/>
        <item x="637"/>
        <item x="665"/>
        <item x="638"/>
        <item x="441"/>
        <item x="628"/>
        <item x="627"/>
        <item x="659"/>
        <item x="643"/>
        <item x="642"/>
        <item x="626"/>
        <item x="671"/>
        <item x="672"/>
        <item x="667"/>
        <item x="673"/>
        <item x="531"/>
        <item x="674"/>
        <item x="640"/>
        <item x="644"/>
        <item x="563"/>
        <item x="391"/>
        <item x="675"/>
        <item x="28"/>
        <item x="29"/>
        <item x="676"/>
        <item x="4"/>
        <item x="632"/>
        <item x="707"/>
        <item x="753"/>
        <item x="776"/>
        <item x="30"/>
        <item x="708"/>
        <item x="31"/>
        <item x="750"/>
        <item x="748"/>
        <item x="760"/>
        <item x="779"/>
        <item x="777"/>
        <item x="747"/>
        <item x="744"/>
        <item x="780"/>
        <item x="740"/>
        <item x="711"/>
        <item x="778"/>
        <item x="781"/>
        <item x="709"/>
        <item x="595"/>
        <item x="739"/>
        <item x="32"/>
        <item x="33"/>
        <item x="819"/>
        <item x="820"/>
        <item x="809"/>
        <item x="736"/>
        <item x="754"/>
        <item x="755"/>
        <item x="782"/>
        <item x="783"/>
        <item x="784"/>
        <item x="785"/>
        <item x="752"/>
        <item x="34"/>
        <item x="36"/>
        <item x="787"/>
        <item x="35"/>
        <item x="735"/>
        <item x="881"/>
        <item x="771"/>
        <item x="873"/>
        <item x="870"/>
        <item x="823"/>
        <item x="746"/>
        <item x="756"/>
        <item x="830"/>
        <item x="857"/>
        <item x="944"/>
        <item x="945"/>
        <item x="863"/>
        <item x="901"/>
        <item x="867"/>
        <item x="899"/>
        <item x="902"/>
        <item x="934"/>
        <item x="864"/>
        <item x="868"/>
        <item x="826"/>
        <item x="827"/>
        <item x="828"/>
        <item x="829"/>
        <item x="757"/>
        <item x="878"/>
        <item x="862"/>
        <item x="898"/>
        <item x="900"/>
        <item x="897"/>
        <item x="903"/>
        <item x="874"/>
        <item x="875"/>
        <item x="892"/>
        <item x="904"/>
        <item x="905"/>
        <item x="872"/>
        <item x="858"/>
        <item x="906"/>
        <item x="907"/>
        <item x="876"/>
        <item x="948"/>
        <item x="1013"/>
        <item x="1016"/>
        <item x="1086"/>
        <item x="7"/>
        <item x="1093"/>
        <item x="1094"/>
        <item x="1003"/>
        <item x="1010"/>
        <item x="963"/>
        <item x="964"/>
        <item x="965"/>
        <item x="966"/>
        <item x="1001"/>
        <item x="1007"/>
        <item x="1008"/>
        <item x="1042"/>
        <item x="860"/>
        <item x="1021"/>
        <item x="1014"/>
        <item x="997"/>
        <item x="5"/>
        <item x="1000"/>
        <item x="1039"/>
        <item x="1040"/>
        <item x="1038"/>
        <item x="1006"/>
        <item x="1045"/>
        <item x="1012"/>
        <item x="1046"/>
        <item x="1047"/>
        <item x="1048"/>
        <item x="877"/>
        <item m="1" x="2405"/>
        <item m="1" x="2406"/>
        <item x="8"/>
        <item x="1041"/>
        <item x="1153"/>
        <item x="9"/>
        <item x="1229"/>
        <item x="1230"/>
        <item x="1164"/>
        <item x="1097"/>
        <item x="967"/>
        <item x="1221"/>
        <item x="1103"/>
        <item x="15"/>
        <item x="1148"/>
        <item x="1155"/>
        <item x="1173"/>
        <item x="1150"/>
        <item x="22"/>
        <item x="1031"/>
        <item x="1191"/>
        <item x="1159"/>
        <item x="1151"/>
        <item x="1145"/>
        <item x="1146"/>
        <item x="1015"/>
        <item x="1192"/>
        <item x="1160"/>
        <item x="1161"/>
        <item x="1162"/>
        <item x="1369"/>
        <item x="1193"/>
        <item x="1158"/>
        <item x="1190"/>
        <item x="1144"/>
        <item x="1188"/>
        <item x="6"/>
        <item x="1370"/>
        <item x="1194"/>
        <item x="1195"/>
        <item x="1196"/>
        <item x="1157"/>
        <item x="1197"/>
        <item x="1371"/>
        <item x="1372"/>
        <item x="1189"/>
        <item x="1198"/>
        <item x="1233"/>
        <item x="1682"/>
        <item x="624"/>
        <item x="1700"/>
        <item x="1701"/>
        <item x="1396"/>
        <item x="1183"/>
        <item x="1234"/>
        <item x="1392"/>
        <item x="1243"/>
        <item x="1244"/>
        <item x="1245"/>
        <item x="1246"/>
        <item x="1247"/>
        <item x="1406"/>
        <item x="1385"/>
        <item x="1386"/>
        <item x="1389"/>
        <item x="1104"/>
        <item x="968"/>
        <item x="1387"/>
        <item x="1383"/>
        <item x="1380"/>
        <item x="1381"/>
        <item x="1034"/>
        <item x="1185"/>
        <item x="1379"/>
        <item x="1393"/>
        <item x="1373"/>
        <item x="1442"/>
        <item x="1443"/>
        <item x="1936"/>
        <item x="1374"/>
        <item x="1444"/>
        <item x="1445"/>
        <item x="2090"/>
        <item x="1446"/>
        <item x="1447"/>
        <item x="859"/>
        <item x="1163"/>
        <item x="2097"/>
        <item x="1419"/>
        <item x="1416"/>
        <item x="1448"/>
        <item x="1449"/>
        <item x="1437"/>
        <item x="97"/>
        <item x="1394"/>
        <item x="1391"/>
        <item x="1992"/>
        <item x="1375"/>
        <item x="788"/>
        <item x="789"/>
        <item x="2104"/>
        <item x="2105"/>
        <item x="660"/>
        <item x="661"/>
        <item x="772"/>
        <item x="893"/>
        <item x="1032"/>
        <item x="1184"/>
        <item x="1417"/>
        <item x="2106"/>
        <item x="2107"/>
        <item x="1720"/>
        <item x="2021"/>
        <item x="1702"/>
        <item x="1703"/>
        <item x="2163"/>
        <item x="1979"/>
        <item x="1684"/>
        <item x="1965"/>
        <item x="1685"/>
        <item x="1971"/>
        <item x="1937"/>
        <item x="2169"/>
        <item x="2031"/>
        <item x="2108"/>
        <item x="2006"/>
        <item x="1223"/>
        <item x="2109"/>
        <item x="1395"/>
        <item x="1418"/>
        <item x="2110"/>
        <item x="1420"/>
        <item x="2111"/>
        <item x="2007"/>
        <item x="2015"/>
        <item x="1734"/>
        <item x="2112"/>
        <item x="1943"/>
        <item x="1944"/>
        <item x="1438"/>
        <item x="2273"/>
        <item x="2274"/>
        <item x="1945"/>
        <item x="2113"/>
        <item x="2114"/>
        <item x="1956"/>
        <item x="1376"/>
        <item x="1377"/>
        <item x="2153"/>
        <item x="2115"/>
        <item x="2116"/>
        <item x="2117"/>
        <item x="2000"/>
        <item x="1431"/>
        <item x="2098"/>
        <item x="2275"/>
        <item x="1957"/>
        <item x="1946"/>
        <item x="2118"/>
        <item x="2276"/>
        <item x="1154"/>
        <item x="1721"/>
        <item x="1966"/>
        <item x="1972"/>
        <item x="1993"/>
        <item x="1947"/>
        <item x="1938"/>
        <item x="2151"/>
        <item x="2164"/>
        <item x="2022"/>
        <item x="1704"/>
        <item x="1705"/>
        <item x="2032"/>
        <item x="2008"/>
        <item x="2087"/>
        <item x="1980"/>
        <item x="1421"/>
        <item x="2009"/>
        <item x="2152"/>
        <item x="1737"/>
        <item x="1738"/>
        <item x="1739"/>
        <item x="1994"/>
        <item x="2150"/>
        <item m="1" x="2410"/>
        <item x="2148"/>
        <item x="2149"/>
        <item x="2147"/>
        <item x="1722"/>
        <item x="2001"/>
        <item m="1" x="2424"/>
        <item m="1" x="2421"/>
        <item x="2124"/>
        <item m="1" x="2430"/>
        <item m="1" x="2431"/>
        <item m="1" x="2433"/>
        <item x="2165"/>
        <item x="2023"/>
        <item x="2033"/>
        <item x="1961"/>
        <item m="1" x="2418"/>
        <item m="1" x="2419"/>
        <item x="2125"/>
        <item m="1" x="2420"/>
        <item x="2019"/>
        <item x="2099"/>
        <item m="1" x="2417"/>
        <item m="1" x="2422"/>
        <item m="1" x="2423"/>
        <item m="1" x="2426"/>
        <item m="1" x="2434"/>
        <item x="1741"/>
        <item x="2126"/>
        <item x="2127"/>
        <item m="1" x="2425"/>
        <item x="1735"/>
        <item x="1736"/>
        <item x="1995"/>
        <item x="1435"/>
        <item x="1439"/>
        <item x="2088"/>
        <item x="1422"/>
        <item x="1706"/>
        <item x="1707"/>
        <item x="2020"/>
        <item x="2128"/>
        <item x="1967"/>
        <item x="1973"/>
        <item x="1742"/>
        <item x="1951"/>
        <item x="1949"/>
        <item x="1948"/>
        <item x="2011"/>
        <item x="2010"/>
        <item x="2146"/>
        <item x="1686"/>
        <item x="2170"/>
        <item x="1982"/>
        <item x="1687"/>
        <item x="2171"/>
        <item x="1723"/>
        <item x="1002"/>
        <item m="1" x="2280"/>
        <item m="1" x="3254"/>
        <item m="1" x="3255"/>
        <item x="1226"/>
        <item x="1227"/>
        <item x="1228"/>
        <item x="1505"/>
        <item x="1514"/>
        <item x="1506"/>
        <item x="1517"/>
        <item x="1518"/>
        <item x="1507"/>
        <item x="1512"/>
        <item x="1508"/>
        <item x="1509"/>
        <item x="1515"/>
        <item x="1516"/>
        <item x="1519"/>
        <item x="1520"/>
        <item x="1521"/>
        <item x="1510"/>
        <item x="1511"/>
        <item x="1522"/>
        <item x="1523"/>
        <item x="1526"/>
        <item x="1527"/>
        <item x="1528"/>
        <item x="1530"/>
        <item x="1529"/>
        <item x="1583"/>
        <item x="1531"/>
        <item x="1532"/>
        <item x="1533"/>
        <item x="1584"/>
        <item x="1585"/>
        <item x="1534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35"/>
        <item x="1336"/>
        <item x="1337"/>
        <item x="1338"/>
        <item x="1305"/>
        <item x="1304"/>
        <item x="1308"/>
        <item x="1306"/>
        <item x="1307"/>
        <item x="1309"/>
        <item x="1558"/>
        <item x="1559"/>
        <item x="1560"/>
        <item x="1561"/>
        <item x="1562"/>
        <item x="1564"/>
        <item x="1563"/>
        <item x="1568"/>
        <item x="1569"/>
        <item x="1570"/>
        <item x="1571"/>
        <item x="1572"/>
        <item x="1573"/>
        <item x="1576"/>
        <item x="1577"/>
        <item x="1578"/>
        <item x="1579"/>
        <item x="1580"/>
        <item x="1581"/>
        <item x="582"/>
        <item x="954"/>
        <item x="955"/>
        <item x="956"/>
        <item x="1239"/>
        <item x="1983"/>
        <item x="2002"/>
        <item x="2024"/>
        <item m="1" x="2415"/>
        <item x="1977"/>
        <item x="2187"/>
        <item x="2227"/>
        <item x="2228"/>
        <item x="1950"/>
        <item x="1970"/>
        <item x="2100"/>
        <item x="2129"/>
        <item x="2215"/>
        <item x="2279"/>
        <item x="1401"/>
        <item x="1881"/>
        <item x="2012"/>
        <item x="2122"/>
        <item x="1597"/>
        <item x="1843"/>
        <item x="1882"/>
        <item x="1883"/>
        <item x="1962"/>
        <item x="2221"/>
        <item x="1423"/>
        <item x="1740"/>
        <item x="1844"/>
        <item x="1845"/>
        <item x="1846"/>
        <item x="1952"/>
        <item m="1" x="2414"/>
        <item x="2130"/>
        <item m="1" x="2411"/>
        <item x="957"/>
        <item x="1311"/>
        <item x="1312"/>
        <item x="1313"/>
        <item x="1314"/>
        <item x="1794"/>
        <item x="1847"/>
        <item x="1848"/>
        <item x="1851"/>
        <item x="1884"/>
        <item x="1885"/>
        <item x="1886"/>
        <item x="1939"/>
        <item x="1940"/>
        <item x="2089"/>
        <item m="1" x="2416"/>
        <item x="2131"/>
        <item x="2132"/>
        <item x="1617"/>
        <item x="1850"/>
        <item x="1919"/>
        <item x="1920"/>
        <item x="1921"/>
        <item x="1922"/>
        <item x="1355"/>
        <item x="1356"/>
        <item x="1357"/>
        <item x="1358"/>
        <item x="1688"/>
        <item x="1849"/>
        <item x="1887"/>
        <item x="1923"/>
        <item x="1924"/>
        <item x="1925"/>
        <item x="1926"/>
        <item x="2123"/>
        <item x="2172"/>
        <item x="2193"/>
        <item x="2194"/>
        <item x="2195"/>
        <item x="2196"/>
        <item x="2197"/>
        <item x="2198"/>
        <item x="1743"/>
        <item x="1996"/>
        <item m="1" x="2412"/>
        <item x="2093"/>
        <item x="2166"/>
        <item x="1598"/>
        <item x="1618"/>
        <item x="1619"/>
        <item x="1620"/>
        <item x="1599"/>
        <item x="1600"/>
        <item x="1601"/>
        <item x="1621"/>
        <item x="1622"/>
        <item x="1623"/>
        <item x="1624"/>
        <item x="1625"/>
        <item x="1626"/>
        <item x="1627"/>
        <item x="1628"/>
        <item x="1629"/>
        <item x="1708"/>
        <item x="1709"/>
        <item x="2034"/>
        <item x="2119"/>
        <item x="2229"/>
        <item x="2230"/>
        <item m="1" x="2413"/>
        <item x="1602"/>
        <item x="1603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749"/>
        <item x="2133"/>
        <item x="2231"/>
        <item x="1644"/>
        <item x="1645"/>
        <item x="1646"/>
        <item x="1647"/>
        <item x="2051"/>
        <item x="2052"/>
        <item x="2053"/>
        <item x="2054"/>
        <item x="2055"/>
        <item x="2076"/>
        <item x="2077"/>
        <item x="2078"/>
        <item x="1436"/>
        <item x="1440"/>
        <item x="2101"/>
        <item m="1" x="2409"/>
        <item x="2177"/>
        <item x="1990"/>
        <item x="2134"/>
        <item x="1648"/>
        <item x="1170"/>
        <item x="1240"/>
        <item x="1724"/>
        <item x="2016"/>
        <item x="2216"/>
        <item x="958"/>
        <item x="959"/>
        <item x="2029"/>
        <item x="2120"/>
        <item x="2176"/>
        <item x="2035"/>
        <item x="1315"/>
        <item x="1316"/>
        <item x="1317"/>
        <item x="1318"/>
        <item x="1319"/>
        <item x="1320"/>
        <item x="1321"/>
        <item x="1322"/>
        <item x="1795"/>
        <item x="1690"/>
        <item x="2167"/>
        <item x="188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852"/>
        <item x="1927"/>
        <item m="1" x="2407"/>
        <item x="1929"/>
        <item x="1930"/>
        <item x="1963"/>
        <item x="1981"/>
        <item x="1984"/>
        <item x="1402"/>
        <item x="1796"/>
        <item x="1853"/>
        <item x="1854"/>
        <item x="1942"/>
        <item x="2094"/>
        <item x="2188"/>
        <item x="2223"/>
        <item x="1855"/>
        <item x="1432"/>
        <item x="1974"/>
        <item x="1323"/>
        <item x="1324"/>
        <item x="1325"/>
        <item x="1326"/>
        <item x="2174"/>
        <item x="1744"/>
        <item x="1797"/>
        <item x="1798"/>
        <item x="1799"/>
        <item x="1800"/>
        <item x="1953"/>
        <item x="2003"/>
        <item x="2096"/>
        <item m="1" x="2408"/>
        <item x="2136"/>
        <item x="2199"/>
        <item x="2200"/>
        <item x="2201"/>
        <item x="2135"/>
        <item x="1745"/>
        <item x="2137"/>
        <item x="1801"/>
        <item x="1802"/>
        <item x="1894"/>
        <item x="1928"/>
        <item x="1746"/>
        <item x="1856"/>
        <item m="1" x="2403"/>
        <item x="2178"/>
        <item x="552"/>
        <item x="1997"/>
        <item x="2138"/>
        <item x="2139"/>
        <item x="1604"/>
        <item x="1605"/>
        <item x="1606"/>
        <item x="2056"/>
        <item x="2057"/>
        <item x="2058"/>
        <item x="2059"/>
        <item x="2079"/>
        <item x="2080"/>
        <item x="2081"/>
        <item x="2082"/>
        <item x="1975"/>
        <item x="1607"/>
        <item x="1649"/>
        <item x="1650"/>
        <item x="1710"/>
        <item x="1711"/>
        <item m="1" x="2401"/>
        <item x="1713"/>
        <item m="1" x="2402"/>
        <item x="1804"/>
        <item x="1651"/>
        <item x="2232"/>
        <item x="1608"/>
        <item x="1652"/>
        <item x="1653"/>
        <item x="1241"/>
        <item x="1609"/>
        <item x="1654"/>
        <item x="1655"/>
        <item x="1656"/>
        <item x="1712"/>
        <item x="1803"/>
        <item x="2141"/>
        <item x="210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50"/>
        <item x="2248"/>
        <item x="2249"/>
        <item x="2247"/>
        <item x="1171"/>
        <item x="1424"/>
        <item x="1434"/>
        <item x="1991"/>
        <item x="2030"/>
        <item x="2036"/>
        <item x="2189"/>
        <item x="960"/>
        <item x="961"/>
        <item x="962"/>
        <item x="1714"/>
        <item x="1715"/>
        <item x="2251"/>
        <item x="1895"/>
        <item x="2217"/>
        <item x="2004"/>
        <item x="2018"/>
        <item x="2168"/>
        <item x="2180"/>
        <item x="2175"/>
        <item x="1968"/>
        <item m="1" x="2400"/>
        <item m="1" x="2399"/>
        <item x="1441"/>
        <item x="2095"/>
        <item x="1610"/>
        <item x="1657"/>
        <item x="2179"/>
        <item x="1747"/>
        <item x="1805"/>
        <item x="1896"/>
        <item x="1897"/>
        <item x="1898"/>
        <item x="1899"/>
        <item x="1900"/>
        <item x="1689"/>
        <item x="1976"/>
        <item x="2121"/>
        <item x="2140"/>
        <item x="2224"/>
        <item x="1425"/>
        <item x="1964"/>
        <item x="1969"/>
        <item x="2225"/>
        <item x="2226"/>
        <item x="1327"/>
        <item x="1328"/>
        <item x="1329"/>
        <item x="1330"/>
        <item x="1331"/>
        <item x="1332"/>
        <item x="1333"/>
        <item x="1334"/>
        <item x="1351"/>
        <item x="1352"/>
        <item x="1353"/>
        <item x="1354"/>
        <item x="1716"/>
        <item x="1717"/>
        <item x="1806"/>
        <item x="1857"/>
        <item x="1807"/>
        <item x="1808"/>
        <item x="1809"/>
        <item x="2142"/>
        <item x="2143"/>
        <item x="2202"/>
        <item x="2203"/>
        <item x="2204"/>
        <item x="1858"/>
        <item x="2144"/>
        <item x="1725"/>
        <item x="2145"/>
        <item x="1998"/>
        <item x="2103"/>
        <item x="326"/>
        <item x="382"/>
        <item x="383"/>
        <item x="384"/>
        <item x="385"/>
        <item x="390"/>
        <item x="392"/>
        <item x="417"/>
        <item x="418"/>
        <item x="419"/>
        <item x="498"/>
        <item x="499"/>
        <item x="500"/>
        <item x="514"/>
        <item x="516"/>
        <item x="517"/>
        <item x="519"/>
        <item x="584"/>
        <item x="585"/>
        <item x="586"/>
        <item x="618"/>
        <item x="619"/>
        <item x="620"/>
        <item x="623"/>
        <item x="625"/>
        <item x="629"/>
        <item x="630"/>
        <item x="699"/>
        <item x="700"/>
        <item x="701"/>
        <item x="702"/>
        <item x="734"/>
        <item x="737"/>
        <item x="738"/>
        <item x="741"/>
        <item x="742"/>
        <item x="743"/>
        <item x="786"/>
        <item x="815"/>
        <item x="816"/>
        <item x="817"/>
        <item x="818"/>
        <item x="908"/>
        <item x="939"/>
        <item x="940"/>
        <item x="941"/>
        <item x="942"/>
        <item x="943"/>
        <item x="1036"/>
        <item x="1043"/>
        <item x="1044"/>
        <item x="1089"/>
        <item x="1090"/>
        <item x="1091"/>
        <item x="1092"/>
        <item x="1099"/>
        <item x="1100"/>
        <item x="1101"/>
        <item x="1102"/>
        <item x="1132"/>
        <item x="1133"/>
        <item x="1134"/>
        <item x="1135"/>
        <item x="1136"/>
        <item x="1174"/>
        <item x="1175"/>
        <item x="1176"/>
        <item x="1177"/>
        <item x="1178"/>
        <item x="1179"/>
        <item x="1180"/>
        <item x="1181"/>
        <item x="1182"/>
        <item x="1217"/>
        <item x="1224"/>
        <item x="1225"/>
        <item x="1403"/>
        <item x="1404"/>
        <item x="1726"/>
        <item x="1727"/>
        <item x="1728"/>
        <item x="1729"/>
        <item x="1730"/>
        <item x="1731"/>
        <item x="1732"/>
        <item x="1733"/>
        <item x="1748"/>
        <item x="1751"/>
        <item x="1752"/>
        <item x="1753"/>
        <item x="1754"/>
        <item x="1755"/>
        <item x="1756"/>
        <item x="1757"/>
        <item x="1758"/>
        <item x="1769"/>
        <item x="1770"/>
        <item x="1771"/>
        <item x="1772"/>
        <item x="1773"/>
        <item x="1787"/>
        <item x="1788"/>
        <item x="1789"/>
        <item x="1790"/>
        <item x="1791"/>
        <item x="1792"/>
        <item x="1793"/>
        <item x="1869"/>
        <item x="1870"/>
        <item x="1871"/>
        <item x="1872"/>
        <item x="1873"/>
        <item x="1874"/>
        <item x="1889"/>
        <item x="1890"/>
        <item x="1891"/>
        <item x="1892"/>
        <item x="1893"/>
        <item x="1901"/>
        <item x="1902"/>
        <item x="1903"/>
        <item x="1904"/>
        <item x="1905"/>
        <item x="1906"/>
        <item x="1915"/>
        <item x="1916"/>
        <item x="1917"/>
        <item x="1918"/>
        <item x="1931"/>
        <item x="1932"/>
        <item x="1933"/>
        <item x="1934"/>
        <item x="2037"/>
        <item x="2038"/>
        <item x="2039"/>
        <item x="2040"/>
        <item x="2041"/>
        <item x="2043"/>
        <item x="2044"/>
        <item x="2045"/>
        <item x="2046"/>
        <item x="2047"/>
        <item x="2048"/>
        <item x="2049"/>
        <item x="2050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1954"/>
        <item x="2157"/>
        <item x="2158"/>
        <item x="2159"/>
        <item x="2160"/>
        <item x="2277"/>
        <item x="2181"/>
        <item x="2182"/>
        <item x="2183"/>
        <item x="2205"/>
        <item x="2206"/>
        <item x="2207"/>
        <item x="2208"/>
        <item x="2209"/>
        <item x="1611"/>
        <item x="1612"/>
        <item x="1658"/>
        <item x="1659"/>
        <item x="1660"/>
        <item x="1661"/>
        <item x="2060"/>
        <item x="2061"/>
        <item x="2062"/>
        <item x="2063"/>
        <item x="2083"/>
        <item x="2084"/>
        <item x="2085"/>
        <item x="2086"/>
        <item x="1941"/>
        <item x="1613"/>
        <item x="1614"/>
        <item x="1662"/>
        <item x="1663"/>
        <item x="1664"/>
        <item x="1985"/>
        <item x="2005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1665"/>
        <item x="1433"/>
        <item x="1666"/>
        <item x="2017"/>
        <item x="2173"/>
        <item x="1242"/>
        <item x="1667"/>
        <item x="1668"/>
        <item x="2278"/>
        <item x="1615"/>
        <item x="1616"/>
        <item x="1669"/>
        <item x="1670"/>
        <item x="1671"/>
        <item x="1672"/>
        <item x="1673"/>
        <item x="1674"/>
        <item x="2013"/>
        <item x="2014"/>
        <item x="2268"/>
        <item x="2269"/>
        <item x="2270"/>
        <item t="default"/>
      </items>
    </pivotField>
    <pivotField multipleItemSelectionAllowed="1" showAll="0"/>
    <pivotField dataField="1" showAll="0"/>
    <pivotField showAll="0"/>
    <pivotField axis="axisCol" showAll="0">
      <items count="353">
        <item x="0"/>
        <item x="173"/>
        <item x="199"/>
        <item x="200"/>
        <item x="201"/>
        <item x="217"/>
        <item x="218"/>
        <item x="1"/>
        <item x="12"/>
        <item x="2"/>
        <item x="61"/>
        <item x="13"/>
        <item x="11"/>
        <item x="17"/>
        <item x="3"/>
        <item x="19"/>
        <item x="20"/>
        <item x="28"/>
        <item x="29"/>
        <item x="30"/>
        <item x="36"/>
        <item x="37"/>
        <item x="31"/>
        <item x="46"/>
        <item x="32"/>
        <item x="34"/>
        <item x="35"/>
        <item x="42"/>
        <item x="41"/>
        <item x="39"/>
        <item x="40"/>
        <item x="49"/>
        <item x="38"/>
        <item x="74"/>
        <item x="44"/>
        <item x="47"/>
        <item x="75"/>
        <item x="76"/>
        <item x="51"/>
        <item x="66"/>
        <item x="48"/>
        <item x="67"/>
        <item x="56"/>
        <item x="16"/>
        <item x="57"/>
        <item x="63"/>
        <item x="64"/>
        <item x="53"/>
        <item x="65"/>
        <item x="43"/>
        <item x="68"/>
        <item x="72"/>
        <item x="73"/>
        <item x="69"/>
        <item x="96"/>
        <item x="77"/>
        <item x="86"/>
        <item x="87"/>
        <item x="70"/>
        <item x="83"/>
        <item x="78"/>
        <item x="62"/>
        <item x="54"/>
        <item x="80"/>
        <item x="71"/>
        <item x="84"/>
        <item x="58"/>
        <item x="55"/>
        <item x="112"/>
        <item x="89"/>
        <item x="91"/>
        <item x="88"/>
        <item x="10"/>
        <item x="101"/>
        <item x="92"/>
        <item x="81"/>
        <item x="33"/>
        <item x="82"/>
        <item x="97"/>
        <item x="93"/>
        <item x="59"/>
        <item x="98"/>
        <item x="99"/>
        <item x="94"/>
        <item x="85"/>
        <item x="60"/>
        <item x="105"/>
        <item x="106"/>
        <item x="109"/>
        <item x="45"/>
        <item x="111"/>
        <item x="102"/>
        <item x="138"/>
        <item x="121"/>
        <item x="107"/>
        <item x="140"/>
        <item x="113"/>
        <item x="100"/>
        <item x="124"/>
        <item x="127"/>
        <item x="122"/>
        <item x="114"/>
        <item x="115"/>
        <item x="118"/>
        <item x="15"/>
        <item x="116"/>
        <item x="90"/>
        <item x="126"/>
        <item x="119"/>
        <item x="131"/>
        <item x="120"/>
        <item x="137"/>
        <item x="134"/>
        <item x="139"/>
        <item x="135"/>
        <item x="128"/>
        <item x="132"/>
        <item x="141"/>
        <item x="147"/>
        <item x="95"/>
        <item x="108"/>
        <item x="117"/>
        <item x="110"/>
        <item x="143"/>
        <item x="129"/>
        <item x="144"/>
        <item x="123"/>
        <item x="125"/>
        <item x="136"/>
        <item x="150"/>
        <item x="104"/>
        <item x="103"/>
        <item x="21"/>
        <item x="4"/>
        <item x="22"/>
        <item x="148"/>
        <item x="156"/>
        <item x="149"/>
        <item x="142"/>
        <item x="23"/>
        <item x="24"/>
        <item x="133"/>
        <item x="152"/>
        <item x="151"/>
        <item x="25"/>
        <item x="27"/>
        <item x="26"/>
        <item x="157"/>
        <item x="161"/>
        <item x="153"/>
        <item x="182"/>
        <item x="154"/>
        <item x="175"/>
        <item x="183"/>
        <item x="158"/>
        <item x="162"/>
        <item x="155"/>
        <item x="164"/>
        <item x="174"/>
        <item x="163"/>
        <item x="130"/>
        <item x="165"/>
        <item x="166"/>
        <item x="168"/>
        <item x="167"/>
        <item x="176"/>
        <item x="170"/>
        <item x="179"/>
        <item x="208"/>
        <item x="180"/>
        <item x="169"/>
        <item x="209"/>
        <item x="177"/>
        <item x="184"/>
        <item x="7"/>
        <item x="193"/>
        <item x="172"/>
        <item x="195"/>
        <item x="5"/>
        <item x="196"/>
        <item x="181"/>
        <item x="197"/>
        <item x="198"/>
        <item x="52"/>
        <item x="207"/>
        <item x="204"/>
        <item x="178"/>
        <item x="203"/>
        <item x="8"/>
        <item x="206"/>
        <item x="215"/>
        <item x="221"/>
        <item x="216"/>
        <item x="9"/>
        <item x="14"/>
        <item x="210"/>
        <item x="211"/>
        <item x="212"/>
        <item x="18"/>
        <item x="219"/>
        <item x="202"/>
        <item x="213"/>
        <item x="214"/>
        <item x="6"/>
        <item x="220"/>
        <item x="223"/>
        <item x="232"/>
        <item x="231"/>
        <item x="230"/>
        <item x="79"/>
        <item x="282"/>
        <item x="245"/>
        <item x="283"/>
        <item x="233"/>
        <item x="145"/>
        <item x="235"/>
        <item x="239"/>
        <item x="240"/>
        <item x="194"/>
        <item x="241"/>
        <item x="205"/>
        <item x="242"/>
        <item x="243"/>
        <item x="257"/>
        <item x="244"/>
        <item x="224"/>
        <item x="171"/>
        <item x="281"/>
        <item x="50"/>
        <item x="159"/>
        <item x="284"/>
        <item x="285"/>
        <item x="146"/>
        <item x="332"/>
        <item x="160"/>
        <item x="286"/>
        <item x="234"/>
        <item x="246"/>
        <item x="315"/>
        <item x="258"/>
        <item x="287"/>
        <item x="322"/>
        <item x="274"/>
        <item x="259"/>
        <item x="336"/>
        <item x="339"/>
        <item x="335"/>
        <item x="260"/>
        <item x="222"/>
        <item x="225"/>
        <item x="247"/>
        <item x="185"/>
        <item x="329"/>
        <item x="323"/>
        <item x="324"/>
        <item x="312"/>
        <item x="261"/>
        <item x="330"/>
        <item x="266"/>
        <item x="333"/>
        <item x="317"/>
        <item x="288"/>
        <item x="289"/>
        <item x="290"/>
        <item x="291"/>
        <item x="292"/>
        <item x="293"/>
        <item x="226"/>
        <item x="269"/>
        <item x="227"/>
        <item x="345"/>
        <item x="338"/>
        <item x="236"/>
        <item x="186"/>
        <item x="187"/>
        <item x="248"/>
        <item x="325"/>
        <item x="326"/>
        <item x="331"/>
        <item x="249"/>
        <item x="318"/>
        <item x="250"/>
        <item x="316"/>
        <item x="262"/>
        <item x="313"/>
        <item x="294"/>
        <item x="295"/>
        <item x="296"/>
        <item x="297"/>
        <item x="298"/>
        <item x="188"/>
        <item x="228"/>
        <item x="279"/>
        <item x="263"/>
        <item x="299"/>
        <item x="267"/>
        <item x="189"/>
        <item x="308"/>
        <item x="256"/>
        <item x="319"/>
        <item x="348"/>
        <item x="300"/>
        <item x="301"/>
        <item x="302"/>
        <item x="190"/>
        <item x="309"/>
        <item x="278"/>
        <item x="254"/>
        <item x="192"/>
        <item x="351"/>
        <item x="346"/>
        <item x="334"/>
        <item x="277"/>
        <item x="350"/>
        <item x="340"/>
        <item x="251"/>
        <item x="255"/>
        <item x="264"/>
        <item x="275"/>
        <item x="252"/>
        <item x="320"/>
        <item x="327"/>
        <item x="321"/>
        <item x="341"/>
        <item x="303"/>
        <item x="347"/>
        <item x="337"/>
        <item x="310"/>
        <item x="304"/>
        <item x="237"/>
        <item x="271"/>
        <item x="229"/>
        <item x="191"/>
        <item x="343"/>
        <item x="280"/>
        <item x="305"/>
        <item x="268"/>
        <item x="253"/>
        <item x="328"/>
        <item x="314"/>
        <item x="342"/>
        <item x="265"/>
        <item x="306"/>
        <item x="307"/>
        <item x="276"/>
        <item x="311"/>
        <item x="344"/>
        <item x="238"/>
        <item x="272"/>
        <item x="270"/>
        <item x="273"/>
        <item x="349"/>
        <item t="default"/>
      </items>
    </pivotField>
    <pivotField showAll="0">
      <items count="89">
        <item x="11"/>
        <item x="17"/>
        <item x="0"/>
        <item x="12"/>
        <item x="15"/>
        <item x="1"/>
        <item x="2"/>
        <item x="14"/>
        <item x="23"/>
        <item x="25"/>
        <item x="3"/>
        <item x="27"/>
        <item x="32"/>
        <item x="28"/>
        <item x="29"/>
        <item x="31"/>
        <item x="4"/>
        <item x="24"/>
        <item x="30"/>
        <item x="35"/>
        <item x="34"/>
        <item x="5"/>
        <item x="36"/>
        <item x="38"/>
        <item x="10"/>
        <item x="40"/>
        <item x="39"/>
        <item x="43"/>
        <item x="41"/>
        <item x="46"/>
        <item x="13"/>
        <item x="18"/>
        <item x="20"/>
        <item x="21"/>
        <item x="19"/>
        <item x="51"/>
        <item x="22"/>
        <item x="37"/>
        <item x="44"/>
        <item x="50"/>
        <item x="49"/>
        <item x="48"/>
        <item x="53"/>
        <item x="26"/>
        <item x="55"/>
        <item x="47"/>
        <item x="56"/>
        <item x="67"/>
        <item x="6"/>
        <item x="7"/>
        <item x="69"/>
        <item x="9"/>
        <item x="16"/>
        <item x="8"/>
        <item x="54"/>
        <item x="52"/>
        <item x="70"/>
        <item x="86"/>
        <item x="57"/>
        <item x="33"/>
        <item x="58"/>
        <item x="74"/>
        <item x="81"/>
        <item x="59"/>
        <item x="85"/>
        <item x="62"/>
        <item x="63"/>
        <item x="42"/>
        <item x="71"/>
        <item x="75"/>
        <item x="68"/>
        <item x="60"/>
        <item x="61"/>
        <item x="72"/>
        <item x="45"/>
        <item x="78"/>
        <item x="76"/>
        <item x="66"/>
        <item x="82"/>
        <item x="84"/>
        <item x="64"/>
        <item x="73"/>
        <item x="80"/>
        <item x="65"/>
        <item x="87"/>
        <item x="83"/>
        <item x="79"/>
        <item x="77"/>
        <item t="default"/>
      </items>
    </pivotField>
    <pivotField showAll="0">
      <items count="321">
        <item x="15"/>
        <item x="24"/>
        <item x="14"/>
        <item x="23"/>
        <item x="64"/>
        <item x="65"/>
        <item x="0"/>
        <item x="1"/>
        <item x="37"/>
        <item x="51"/>
        <item x="38"/>
        <item x="42"/>
        <item x="16"/>
        <item x="35"/>
        <item x="39"/>
        <item x="43"/>
        <item x="20"/>
        <item x="2"/>
        <item x="22"/>
        <item x="33"/>
        <item x="48"/>
        <item x="45"/>
        <item x="77"/>
        <item x="67"/>
        <item x="47"/>
        <item x="3"/>
        <item x="62"/>
        <item x="76"/>
        <item x="19"/>
        <item x="53"/>
        <item x="46"/>
        <item x="57"/>
        <item x="34"/>
        <item x="44"/>
        <item x="56"/>
        <item x="49"/>
        <item x="70"/>
        <item x="71"/>
        <item x="72"/>
        <item x="40"/>
        <item x="41"/>
        <item x="73"/>
        <item x="4"/>
        <item x="80"/>
        <item x="86"/>
        <item x="54"/>
        <item x="63"/>
        <item x="68"/>
        <item x="58"/>
        <item x="74"/>
        <item x="81"/>
        <item x="91"/>
        <item x="55"/>
        <item x="59"/>
        <item x="92"/>
        <item x="96"/>
        <item x="87"/>
        <item x="83"/>
        <item x="66"/>
        <item x="93"/>
        <item x="79"/>
        <item x="5"/>
        <item x="88"/>
        <item x="97"/>
        <item x="95"/>
        <item x="82"/>
        <item x="61"/>
        <item x="36"/>
        <item x="60"/>
        <item x="90"/>
        <item x="104"/>
        <item x="105"/>
        <item x="106"/>
        <item x="84"/>
        <item x="124"/>
        <item x="103"/>
        <item x="107"/>
        <item x="85"/>
        <item x="98"/>
        <item x="6"/>
        <item x="102"/>
        <item x="69"/>
        <item x="99"/>
        <item x="115"/>
        <item x="117"/>
        <item x="108"/>
        <item x="111"/>
        <item x="109"/>
        <item x="113"/>
        <item x="112"/>
        <item x="118"/>
        <item x="121"/>
        <item x="125"/>
        <item x="122"/>
        <item x="94"/>
        <item x="13"/>
        <item x="120"/>
        <item x="140"/>
        <item x="114"/>
        <item x="132"/>
        <item x="110"/>
        <item x="142"/>
        <item x="116"/>
        <item x="131"/>
        <item x="123"/>
        <item x="129"/>
        <item x="119"/>
        <item x="126"/>
        <item x="130"/>
        <item x="141"/>
        <item x="136"/>
        <item x="143"/>
        <item x="138"/>
        <item x="139"/>
        <item x="127"/>
        <item x="137"/>
        <item x="18"/>
        <item x="152"/>
        <item x="153"/>
        <item x="149"/>
        <item x="27"/>
        <item x="164"/>
        <item x="25"/>
        <item x="75"/>
        <item x="28"/>
        <item x="29"/>
        <item x="31"/>
        <item x="30"/>
        <item x="144"/>
        <item x="145"/>
        <item x="26"/>
        <item x="160"/>
        <item x="163"/>
        <item x="156"/>
        <item x="154"/>
        <item x="165"/>
        <item x="155"/>
        <item x="157"/>
        <item x="32"/>
        <item x="133"/>
        <item x="166"/>
        <item x="89"/>
        <item x="101"/>
        <item x="100"/>
        <item x="169"/>
        <item x="146"/>
        <item x="170"/>
        <item x="172"/>
        <item x="167"/>
        <item x="176"/>
        <item x="181"/>
        <item x="168"/>
        <item x="134"/>
        <item x="151"/>
        <item x="205"/>
        <item x="180"/>
        <item x="213"/>
        <item x="150"/>
        <item x="185"/>
        <item x="173"/>
        <item x="177"/>
        <item x="148"/>
        <item x="197"/>
        <item x="200"/>
        <item x="171"/>
        <item x="198"/>
        <item x="199"/>
        <item x="159"/>
        <item x="52"/>
        <item x="212"/>
        <item x="174"/>
        <item x="182"/>
        <item x="215"/>
        <item x="201"/>
        <item x="202"/>
        <item x="178"/>
        <item x="147"/>
        <item x="204"/>
        <item x="183"/>
        <item x="219"/>
        <item x="184"/>
        <item x="217"/>
        <item x="179"/>
        <item x="206"/>
        <item x="203"/>
        <item x="216"/>
        <item x="218"/>
        <item x="210"/>
        <item x="207"/>
        <item x="17"/>
        <item x="224"/>
        <item x="222"/>
        <item x="7"/>
        <item x="8"/>
        <item x="220"/>
        <item x="10"/>
        <item x="221"/>
        <item x="214"/>
        <item x="223"/>
        <item x="239"/>
        <item x="251"/>
        <item x="230"/>
        <item x="11"/>
        <item x="237"/>
        <item x="175"/>
        <item x="211"/>
        <item x="12"/>
        <item x="232"/>
        <item x="238"/>
        <item x="161"/>
        <item x="50"/>
        <item x="21"/>
        <item x="256"/>
        <item x="240"/>
        <item x="266"/>
        <item x="307"/>
        <item x="9"/>
        <item x="250"/>
        <item x="231"/>
        <item x="293"/>
        <item x="255"/>
        <item x="162"/>
        <item x="196"/>
        <item x="158"/>
        <item x="262"/>
        <item x="253"/>
        <item x="283"/>
        <item x="225"/>
        <item x="301"/>
        <item x="319"/>
        <item x="272"/>
        <item x="241"/>
        <item x="186"/>
        <item x="318"/>
        <item x="304"/>
        <item x="78"/>
        <item x="242"/>
        <item x="294"/>
        <item x="287"/>
        <item x="267"/>
        <item x="187"/>
        <item x="270"/>
        <item x="284"/>
        <item x="128"/>
        <item x="288"/>
        <item x="209"/>
        <item x="233"/>
        <item x="312"/>
        <item x="302"/>
        <item x="260"/>
        <item x="254"/>
        <item x="308"/>
        <item x="317"/>
        <item x="273"/>
        <item x="292"/>
        <item x="299"/>
        <item x="243"/>
        <item x="248"/>
        <item x="208"/>
        <item x="285"/>
        <item x="188"/>
        <item x="289"/>
        <item x="189"/>
        <item x="244"/>
        <item x="226"/>
        <item x="257"/>
        <item x="261"/>
        <item x="252"/>
        <item x="303"/>
        <item x="274"/>
        <item x="278"/>
        <item x="295"/>
        <item x="265"/>
        <item x="305"/>
        <item x="290"/>
        <item x="315"/>
        <item x="191"/>
        <item x="279"/>
        <item x="190"/>
        <item x="258"/>
        <item x="291"/>
        <item x="245"/>
        <item x="277"/>
        <item x="192"/>
        <item x="264"/>
        <item x="227"/>
        <item x="234"/>
        <item x="309"/>
        <item x="281"/>
        <item x="135"/>
        <item x="275"/>
        <item x="300"/>
        <item x="296"/>
        <item x="246"/>
        <item x="249"/>
        <item x="297"/>
        <item x="194"/>
        <item x="193"/>
        <item x="247"/>
        <item x="228"/>
        <item x="235"/>
        <item x="316"/>
        <item x="314"/>
        <item x="271"/>
        <item x="286"/>
        <item x="280"/>
        <item x="310"/>
        <item x="259"/>
        <item x="311"/>
        <item x="282"/>
        <item x="263"/>
        <item x="276"/>
        <item x="298"/>
        <item x="313"/>
        <item x="306"/>
        <item x="195"/>
        <item x="268"/>
        <item x="236"/>
        <item x="269"/>
        <item x="229"/>
        <item t="default"/>
      </items>
    </pivotField>
    <pivotField axis="axisPage" multipleItemSelectionAllowed="1" showAll="0">
      <items count="9">
        <item m="1" x="6"/>
        <item h="1" m="1" x="4"/>
        <item x="1"/>
        <item h="1" m="1" x="3"/>
        <item h="1" x="2"/>
        <item m="1" x="7"/>
        <item h="1" x="0"/>
        <item h="1" m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1"/>
        <item x="2"/>
        <item x="3"/>
        <item x="0"/>
      </items>
    </pivotField>
    <pivotField showAll="0" defaultSubtota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</items>
    </pivotField>
    <pivotField showAll="0" defaultSubtota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</items>
    </pivotField>
    <pivotField showAll="0" defaultSubtotal="0">
      <items count="2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</items>
    </pivotField>
    <pivotField showAll="0" defaultSubtotal="0">
      <items count="2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</items>
    </pivotField>
    <pivotField showAll="0" defaultSubtotal="0">
      <items count="2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</items>
    </pivotField>
    <pivotField showAll="0" defaultSubtotal="0">
      <items count="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</items>
    </pivotField>
    <pivotField showAll="0" defaultSubtotal="0">
      <items count="2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</items>
    </pivotField>
    <pivotField showAll="0" defaultSubtotal="0">
      <items count="2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</items>
    </pivotField>
    <pivotField showAll="0" defaultSubtotal="0">
      <items count="2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</items>
    </pivotField>
  </pivotFields>
  <rowFields count="2">
    <field x="3"/>
    <field x="6"/>
  </rowFields>
  <rowItems count="26">
    <i>
      <x v="2"/>
    </i>
    <i>
      <x v="3"/>
    </i>
    <i>
      <x v="5"/>
    </i>
    <i>
      <x v="6"/>
    </i>
    <i>
      <x v="8"/>
    </i>
    <i>
      <x v="10"/>
    </i>
    <i>
      <x v="11"/>
    </i>
    <i>
      <x v="14"/>
    </i>
    <i>
      <x v="15"/>
    </i>
    <i>
      <x v="17"/>
    </i>
    <i>
      <x v="18"/>
    </i>
    <i>
      <x v="19"/>
    </i>
    <i>
      <x v="20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7"/>
    </i>
    <i t="grand">
      <x/>
    </i>
  </rowItems>
  <colFields count="1">
    <field x="10"/>
  </colFields>
  <colItems count="15">
    <i>
      <x v="95"/>
    </i>
    <i>
      <x v="268"/>
    </i>
    <i>
      <x v="291"/>
    </i>
    <i>
      <x v="296"/>
    </i>
    <i>
      <x v="302"/>
    </i>
    <i>
      <x v="307"/>
    </i>
    <i>
      <x v="308"/>
    </i>
    <i>
      <x v="312"/>
    </i>
    <i>
      <x v="330"/>
    </i>
    <i>
      <x v="336"/>
    </i>
    <i>
      <x v="348"/>
    </i>
    <i>
      <x v="349"/>
    </i>
    <i>
      <x v="350"/>
    </i>
    <i>
      <x v="351"/>
    </i>
    <i t="grand">
      <x/>
    </i>
  </colItems>
  <pageFields count="1">
    <pageField fld="13" hier="-1"/>
  </pageFields>
  <dataFields count="1">
    <dataField name="Soma de VL. FATURADO" fld="8" baseField="3" baseItem="11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5D5182-8289-43E4-AFFC-411AA0A65A32}" name="Tabela dinâmica4" cacheId="16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IK41" firstHeaderRow="1" firstDataRow="2" firstDataCol="1" rowPageCount="1" colPageCount="1"/>
  <pivotFields count="34">
    <pivotField showAll="0"/>
    <pivotField showAll="0"/>
    <pivotField showAll="0"/>
    <pivotField axis="axisRow" showAll="0">
      <items count="39">
        <item m="1" x="37"/>
        <item x="5"/>
        <item x="2"/>
        <item x="4"/>
        <item x="33"/>
        <item x="11"/>
        <item x="3"/>
        <item x="32"/>
        <item x="1"/>
        <item x="12"/>
        <item x="13"/>
        <item x="14"/>
        <item x="31"/>
        <item x="36"/>
        <item x="15"/>
        <item x="28"/>
        <item x="18"/>
        <item x="24"/>
        <item x="29"/>
        <item x="16"/>
        <item x="17"/>
        <item x="0"/>
        <item x="19"/>
        <item x="30"/>
        <item x="20"/>
        <item x="21"/>
        <item x="34"/>
        <item x="6"/>
        <item x="22"/>
        <item x="23"/>
        <item x="7"/>
        <item x="8"/>
        <item x="25"/>
        <item x="9"/>
        <item x="10"/>
        <item x="26"/>
        <item x="35"/>
        <item x="27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multipleItemSelectionAllowed="1" showAll="0">
      <items count="38">
        <item h="1" x="0"/>
        <item h="1" x="18"/>
        <item h="1" x="25"/>
        <item h="1" x="26"/>
        <item h="1" x="27"/>
        <item h="1" x="28"/>
        <item h="1" x="1"/>
        <item h="1" x="2"/>
        <item h="1" x="3"/>
        <item h="1" x="10"/>
        <item x="8"/>
        <item x="9"/>
        <item x="11"/>
        <item x="13"/>
        <item x="4"/>
        <item x="14"/>
        <item x="5"/>
        <item x="6"/>
        <item x="7"/>
        <item x="12"/>
        <item x="17"/>
        <item x="19"/>
        <item h="1" x="20"/>
        <item h="1" x="31"/>
        <item h="1" x="32"/>
        <item h="1" x="16"/>
        <item h="1" x="21"/>
        <item h="1" x="22"/>
        <item h="1" x="23"/>
        <item h="1" x="24"/>
        <item h="1" x="29"/>
        <item h="1" x="30"/>
        <item h="1" x="33"/>
        <item h="1" x="34"/>
        <item h="1" x="15"/>
        <item h="1" x="35"/>
        <item h="1" x="36"/>
        <item t="default"/>
      </items>
    </pivotField>
    <pivotField dataField="1" showAll="0"/>
    <pivotField showAll="0"/>
    <pivotField axis="axisCol" showAll="0">
      <items count="353">
        <item x="0"/>
        <item x="173"/>
        <item x="199"/>
        <item x="200"/>
        <item x="201"/>
        <item x="217"/>
        <item x="218"/>
        <item x="1"/>
        <item x="12"/>
        <item x="2"/>
        <item x="61"/>
        <item x="13"/>
        <item x="11"/>
        <item x="17"/>
        <item x="3"/>
        <item x="19"/>
        <item x="20"/>
        <item x="28"/>
        <item x="29"/>
        <item x="30"/>
        <item x="36"/>
        <item x="37"/>
        <item x="31"/>
        <item x="46"/>
        <item x="32"/>
        <item x="34"/>
        <item x="35"/>
        <item x="42"/>
        <item x="41"/>
        <item x="39"/>
        <item x="40"/>
        <item x="49"/>
        <item x="38"/>
        <item x="74"/>
        <item x="44"/>
        <item x="47"/>
        <item x="75"/>
        <item x="76"/>
        <item x="51"/>
        <item x="66"/>
        <item x="48"/>
        <item x="67"/>
        <item x="56"/>
        <item x="16"/>
        <item x="57"/>
        <item x="63"/>
        <item x="64"/>
        <item x="53"/>
        <item x="65"/>
        <item x="43"/>
        <item x="68"/>
        <item x="72"/>
        <item x="73"/>
        <item x="69"/>
        <item x="96"/>
        <item x="77"/>
        <item x="86"/>
        <item x="87"/>
        <item x="70"/>
        <item x="83"/>
        <item x="78"/>
        <item x="62"/>
        <item x="54"/>
        <item x="80"/>
        <item x="71"/>
        <item x="84"/>
        <item x="58"/>
        <item x="55"/>
        <item x="112"/>
        <item x="89"/>
        <item x="91"/>
        <item x="88"/>
        <item x="10"/>
        <item x="101"/>
        <item x="92"/>
        <item x="81"/>
        <item x="33"/>
        <item x="82"/>
        <item x="97"/>
        <item x="93"/>
        <item x="59"/>
        <item x="98"/>
        <item x="99"/>
        <item x="94"/>
        <item x="85"/>
        <item x="60"/>
        <item x="105"/>
        <item x="106"/>
        <item x="109"/>
        <item x="45"/>
        <item x="111"/>
        <item x="102"/>
        <item x="138"/>
        <item x="121"/>
        <item x="107"/>
        <item x="140"/>
        <item x="113"/>
        <item x="100"/>
        <item x="124"/>
        <item x="127"/>
        <item x="122"/>
        <item x="114"/>
        <item x="115"/>
        <item x="118"/>
        <item x="15"/>
        <item x="116"/>
        <item x="90"/>
        <item x="126"/>
        <item x="119"/>
        <item x="131"/>
        <item x="120"/>
        <item x="137"/>
        <item x="134"/>
        <item x="139"/>
        <item x="135"/>
        <item x="128"/>
        <item x="132"/>
        <item x="141"/>
        <item x="147"/>
        <item x="95"/>
        <item x="108"/>
        <item x="117"/>
        <item x="110"/>
        <item x="143"/>
        <item x="129"/>
        <item x="144"/>
        <item x="123"/>
        <item x="125"/>
        <item x="136"/>
        <item x="150"/>
        <item x="104"/>
        <item x="103"/>
        <item x="21"/>
        <item x="4"/>
        <item x="22"/>
        <item x="148"/>
        <item x="156"/>
        <item x="149"/>
        <item x="142"/>
        <item x="23"/>
        <item x="24"/>
        <item x="133"/>
        <item x="152"/>
        <item x="151"/>
        <item x="25"/>
        <item x="27"/>
        <item x="26"/>
        <item x="157"/>
        <item x="161"/>
        <item x="153"/>
        <item x="182"/>
        <item x="154"/>
        <item x="175"/>
        <item x="183"/>
        <item x="158"/>
        <item x="162"/>
        <item x="155"/>
        <item x="164"/>
        <item x="174"/>
        <item x="163"/>
        <item x="130"/>
        <item x="165"/>
        <item x="166"/>
        <item x="168"/>
        <item x="167"/>
        <item x="176"/>
        <item x="170"/>
        <item x="179"/>
        <item x="208"/>
        <item x="180"/>
        <item x="169"/>
        <item x="209"/>
        <item x="177"/>
        <item x="184"/>
        <item x="7"/>
        <item x="193"/>
        <item x="172"/>
        <item x="195"/>
        <item x="5"/>
        <item x="196"/>
        <item x="181"/>
        <item x="197"/>
        <item x="198"/>
        <item x="52"/>
        <item x="207"/>
        <item x="204"/>
        <item x="178"/>
        <item x="203"/>
        <item x="8"/>
        <item x="206"/>
        <item x="215"/>
        <item x="221"/>
        <item x="216"/>
        <item x="9"/>
        <item x="14"/>
        <item x="210"/>
        <item x="211"/>
        <item x="212"/>
        <item x="18"/>
        <item x="219"/>
        <item x="202"/>
        <item x="213"/>
        <item x="214"/>
        <item x="6"/>
        <item x="220"/>
        <item x="223"/>
        <item x="232"/>
        <item x="231"/>
        <item x="230"/>
        <item x="79"/>
        <item x="282"/>
        <item x="245"/>
        <item x="283"/>
        <item x="233"/>
        <item x="145"/>
        <item x="235"/>
        <item x="239"/>
        <item x="240"/>
        <item x="194"/>
        <item x="241"/>
        <item x="205"/>
        <item x="242"/>
        <item x="243"/>
        <item x="257"/>
        <item x="244"/>
        <item x="224"/>
        <item x="171"/>
        <item x="281"/>
        <item x="50"/>
        <item x="159"/>
        <item x="284"/>
        <item x="285"/>
        <item x="146"/>
        <item x="332"/>
        <item x="160"/>
        <item x="286"/>
        <item x="234"/>
        <item x="246"/>
        <item x="315"/>
        <item x="258"/>
        <item x="287"/>
        <item x="322"/>
        <item x="274"/>
        <item x="259"/>
        <item x="336"/>
        <item x="339"/>
        <item x="335"/>
        <item x="260"/>
        <item x="222"/>
        <item x="225"/>
        <item x="247"/>
        <item x="185"/>
        <item x="329"/>
        <item x="323"/>
        <item x="324"/>
        <item x="312"/>
        <item x="261"/>
        <item x="330"/>
        <item x="266"/>
        <item x="333"/>
        <item x="317"/>
        <item x="288"/>
        <item x="289"/>
        <item x="290"/>
        <item x="291"/>
        <item x="292"/>
        <item x="293"/>
        <item x="226"/>
        <item x="269"/>
        <item x="227"/>
        <item x="345"/>
        <item x="338"/>
        <item x="236"/>
        <item x="186"/>
        <item x="187"/>
        <item x="248"/>
        <item x="325"/>
        <item x="326"/>
        <item x="331"/>
        <item x="249"/>
        <item x="318"/>
        <item x="250"/>
        <item x="316"/>
        <item x="262"/>
        <item x="313"/>
        <item x="294"/>
        <item x="295"/>
        <item x="296"/>
        <item x="297"/>
        <item x="298"/>
        <item x="188"/>
        <item x="228"/>
        <item x="279"/>
        <item x="263"/>
        <item x="299"/>
        <item x="267"/>
        <item x="189"/>
        <item x="308"/>
        <item x="256"/>
        <item x="319"/>
        <item x="348"/>
        <item x="300"/>
        <item x="301"/>
        <item x="302"/>
        <item x="190"/>
        <item x="309"/>
        <item x="278"/>
        <item x="254"/>
        <item x="192"/>
        <item x="351"/>
        <item x="346"/>
        <item x="334"/>
        <item x="277"/>
        <item x="350"/>
        <item x="340"/>
        <item x="251"/>
        <item x="255"/>
        <item x="264"/>
        <item x="275"/>
        <item x="252"/>
        <item x="320"/>
        <item x="327"/>
        <item x="321"/>
        <item x="341"/>
        <item x="303"/>
        <item x="347"/>
        <item x="337"/>
        <item x="310"/>
        <item x="304"/>
        <item x="237"/>
        <item x="271"/>
        <item x="229"/>
        <item x="191"/>
        <item x="343"/>
        <item x="280"/>
        <item x="305"/>
        <item x="268"/>
        <item x="253"/>
        <item x="328"/>
        <item x="314"/>
        <item x="342"/>
        <item x="265"/>
        <item x="306"/>
        <item x="307"/>
        <item x="276"/>
        <item x="311"/>
        <item x="344"/>
        <item x="238"/>
        <item x="272"/>
        <item x="270"/>
        <item x="273"/>
        <item x="349"/>
        <item t="default"/>
      </items>
    </pivotField>
    <pivotField showAll="0">
      <items count="89">
        <item x="11"/>
        <item x="17"/>
        <item x="0"/>
        <item x="12"/>
        <item x="15"/>
        <item x="1"/>
        <item x="2"/>
        <item x="14"/>
        <item x="23"/>
        <item x="25"/>
        <item x="3"/>
        <item x="27"/>
        <item x="32"/>
        <item x="28"/>
        <item x="29"/>
        <item x="31"/>
        <item x="4"/>
        <item x="24"/>
        <item x="30"/>
        <item x="35"/>
        <item x="34"/>
        <item x="5"/>
        <item x="36"/>
        <item x="38"/>
        <item x="10"/>
        <item x="40"/>
        <item x="39"/>
        <item x="43"/>
        <item x="41"/>
        <item x="46"/>
        <item x="13"/>
        <item x="18"/>
        <item x="20"/>
        <item x="21"/>
        <item x="19"/>
        <item x="51"/>
        <item x="22"/>
        <item x="37"/>
        <item x="44"/>
        <item x="50"/>
        <item x="49"/>
        <item x="48"/>
        <item x="53"/>
        <item x="26"/>
        <item x="55"/>
        <item x="47"/>
        <item x="56"/>
        <item x="67"/>
        <item x="6"/>
        <item x="7"/>
        <item x="69"/>
        <item x="9"/>
        <item x="16"/>
        <item x="8"/>
        <item x="54"/>
        <item x="52"/>
        <item x="70"/>
        <item x="86"/>
        <item x="57"/>
        <item x="33"/>
        <item x="58"/>
        <item x="74"/>
        <item x="81"/>
        <item x="59"/>
        <item x="85"/>
        <item x="62"/>
        <item x="63"/>
        <item x="42"/>
        <item x="71"/>
        <item x="75"/>
        <item x="68"/>
        <item x="60"/>
        <item x="61"/>
        <item x="72"/>
        <item x="45"/>
        <item x="78"/>
        <item x="76"/>
        <item x="66"/>
        <item x="82"/>
        <item x="84"/>
        <item x="64"/>
        <item x="73"/>
        <item x="80"/>
        <item x="65"/>
        <item x="87"/>
        <item x="83"/>
        <item x="79"/>
        <item x="77"/>
        <item t="default"/>
      </items>
    </pivotField>
    <pivotField showAll="0">
      <items count="321">
        <item x="15"/>
        <item x="24"/>
        <item x="14"/>
        <item x="23"/>
        <item x="64"/>
        <item x="65"/>
        <item x="0"/>
        <item x="1"/>
        <item x="37"/>
        <item x="51"/>
        <item x="38"/>
        <item x="42"/>
        <item x="16"/>
        <item x="35"/>
        <item x="39"/>
        <item x="43"/>
        <item x="20"/>
        <item x="2"/>
        <item x="22"/>
        <item x="33"/>
        <item x="48"/>
        <item x="45"/>
        <item x="77"/>
        <item x="67"/>
        <item x="47"/>
        <item x="3"/>
        <item x="62"/>
        <item x="76"/>
        <item x="19"/>
        <item x="53"/>
        <item x="46"/>
        <item x="57"/>
        <item x="34"/>
        <item x="44"/>
        <item x="56"/>
        <item x="49"/>
        <item x="70"/>
        <item x="71"/>
        <item x="72"/>
        <item x="40"/>
        <item x="41"/>
        <item x="73"/>
        <item x="4"/>
        <item x="80"/>
        <item x="86"/>
        <item x="54"/>
        <item x="63"/>
        <item x="68"/>
        <item x="58"/>
        <item x="74"/>
        <item x="81"/>
        <item x="91"/>
        <item x="55"/>
        <item x="59"/>
        <item x="92"/>
        <item x="96"/>
        <item x="87"/>
        <item x="83"/>
        <item x="66"/>
        <item x="93"/>
        <item x="79"/>
        <item x="5"/>
        <item x="88"/>
        <item x="97"/>
        <item x="95"/>
        <item x="82"/>
        <item x="61"/>
        <item x="36"/>
        <item x="60"/>
        <item x="90"/>
        <item x="104"/>
        <item x="105"/>
        <item x="106"/>
        <item x="84"/>
        <item x="124"/>
        <item x="103"/>
        <item x="107"/>
        <item x="85"/>
        <item x="98"/>
        <item x="6"/>
        <item x="102"/>
        <item x="69"/>
        <item x="99"/>
        <item x="115"/>
        <item x="117"/>
        <item x="108"/>
        <item x="111"/>
        <item x="109"/>
        <item x="113"/>
        <item x="112"/>
        <item x="118"/>
        <item x="121"/>
        <item x="125"/>
        <item x="122"/>
        <item x="94"/>
        <item x="13"/>
        <item x="120"/>
        <item x="140"/>
        <item x="114"/>
        <item x="132"/>
        <item x="110"/>
        <item x="142"/>
        <item x="116"/>
        <item x="131"/>
        <item x="123"/>
        <item x="129"/>
        <item x="119"/>
        <item x="126"/>
        <item x="130"/>
        <item x="141"/>
        <item x="136"/>
        <item x="143"/>
        <item x="138"/>
        <item x="139"/>
        <item x="127"/>
        <item x="137"/>
        <item x="18"/>
        <item x="152"/>
        <item x="153"/>
        <item x="149"/>
        <item x="27"/>
        <item x="164"/>
        <item x="25"/>
        <item x="75"/>
        <item x="28"/>
        <item x="29"/>
        <item x="31"/>
        <item x="30"/>
        <item x="144"/>
        <item x="145"/>
        <item x="26"/>
        <item x="160"/>
        <item x="163"/>
        <item x="156"/>
        <item x="154"/>
        <item x="165"/>
        <item x="155"/>
        <item x="157"/>
        <item x="32"/>
        <item x="133"/>
        <item x="166"/>
        <item x="89"/>
        <item x="101"/>
        <item x="100"/>
        <item x="169"/>
        <item x="146"/>
        <item x="170"/>
        <item x="172"/>
        <item x="167"/>
        <item x="176"/>
        <item x="181"/>
        <item x="168"/>
        <item x="134"/>
        <item x="151"/>
        <item x="205"/>
        <item x="180"/>
        <item x="213"/>
        <item x="150"/>
        <item x="185"/>
        <item x="173"/>
        <item x="177"/>
        <item x="148"/>
        <item x="197"/>
        <item x="200"/>
        <item x="171"/>
        <item x="198"/>
        <item x="199"/>
        <item x="159"/>
        <item x="52"/>
        <item x="212"/>
        <item x="174"/>
        <item x="182"/>
        <item x="215"/>
        <item x="201"/>
        <item x="202"/>
        <item x="178"/>
        <item x="147"/>
        <item x="204"/>
        <item x="183"/>
        <item x="219"/>
        <item x="184"/>
        <item x="217"/>
        <item x="179"/>
        <item x="206"/>
        <item x="203"/>
        <item x="216"/>
        <item x="218"/>
        <item x="210"/>
        <item x="207"/>
        <item x="17"/>
        <item x="224"/>
        <item x="222"/>
        <item x="7"/>
        <item x="8"/>
        <item x="220"/>
        <item x="10"/>
        <item x="221"/>
        <item x="214"/>
        <item x="223"/>
        <item x="239"/>
        <item x="251"/>
        <item x="230"/>
        <item x="11"/>
        <item x="237"/>
        <item x="175"/>
        <item x="211"/>
        <item x="12"/>
        <item x="232"/>
        <item x="238"/>
        <item x="161"/>
        <item x="50"/>
        <item x="21"/>
        <item x="256"/>
        <item x="240"/>
        <item x="266"/>
        <item x="307"/>
        <item x="9"/>
        <item x="250"/>
        <item x="231"/>
        <item x="293"/>
        <item x="255"/>
        <item x="162"/>
        <item x="196"/>
        <item x="158"/>
        <item x="262"/>
        <item x="253"/>
        <item x="283"/>
        <item x="225"/>
        <item x="301"/>
        <item x="319"/>
        <item x="272"/>
        <item x="241"/>
        <item x="186"/>
        <item x="318"/>
        <item x="304"/>
        <item x="78"/>
        <item x="242"/>
        <item x="294"/>
        <item x="287"/>
        <item x="267"/>
        <item x="187"/>
        <item x="270"/>
        <item x="284"/>
        <item x="128"/>
        <item x="288"/>
        <item x="209"/>
        <item x="233"/>
        <item x="312"/>
        <item x="302"/>
        <item x="260"/>
        <item x="254"/>
        <item x="308"/>
        <item x="317"/>
        <item x="273"/>
        <item x="292"/>
        <item x="299"/>
        <item x="243"/>
        <item x="248"/>
        <item x="208"/>
        <item x="285"/>
        <item x="188"/>
        <item x="289"/>
        <item x="189"/>
        <item x="244"/>
        <item x="226"/>
        <item x="257"/>
        <item x="261"/>
        <item x="252"/>
        <item x="303"/>
        <item x="274"/>
        <item x="278"/>
        <item x="295"/>
        <item x="265"/>
        <item x="305"/>
        <item x="290"/>
        <item x="315"/>
        <item x="191"/>
        <item x="279"/>
        <item x="190"/>
        <item x="258"/>
        <item x="291"/>
        <item x="245"/>
        <item x="277"/>
        <item x="192"/>
        <item x="264"/>
        <item x="227"/>
        <item x="234"/>
        <item x="309"/>
        <item x="281"/>
        <item x="135"/>
        <item x="275"/>
        <item x="300"/>
        <item x="296"/>
        <item x="246"/>
        <item x="249"/>
        <item x="297"/>
        <item x="194"/>
        <item x="193"/>
        <item x="247"/>
        <item x="228"/>
        <item x="235"/>
        <item x="316"/>
        <item x="314"/>
        <item x="271"/>
        <item x="286"/>
        <item x="280"/>
        <item x="310"/>
        <item x="259"/>
        <item x="311"/>
        <item x="282"/>
        <item x="263"/>
        <item x="276"/>
        <item x="298"/>
        <item x="313"/>
        <item x="306"/>
        <item x="195"/>
        <item x="268"/>
        <item x="236"/>
        <item x="269"/>
        <item x="2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1"/>
        <item x="2"/>
        <item x="3"/>
        <item x="0"/>
      </items>
    </pivotField>
    <pivotField showAll="0" defaultSubtotal="0">
      <items count="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</items>
    </pivotField>
    <pivotField showAll="0" defaultSubtota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</items>
    </pivotField>
    <pivotField showAll="0" defaultSubtotal="0">
      <items count="2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</items>
    </pivotField>
    <pivotField showAll="0" defaultSubtotal="0">
      <items count="2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</items>
    </pivotField>
    <pivotField showAll="0" defaultSubtotal="0">
      <items count="2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</items>
    </pivotField>
    <pivotField showAll="0" defaultSubtotal="0">
      <items count="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</items>
    </pivotField>
    <pivotField showAll="0" defaultSubtotal="0">
      <items count="2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</items>
    </pivotField>
    <pivotField showAll="0" defaultSubtotal="0">
      <items count="2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</items>
    </pivotField>
    <pivotField showAll="0" defaultSubtotal="0">
      <items count="2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</items>
    </pivotField>
  </pivotFields>
  <rowFields count="1">
    <field x="3"/>
  </rowFields>
  <rowItems count="3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0"/>
  </colFields>
  <colItems count="237">
    <i>
      <x v="22"/>
    </i>
    <i>
      <x v="23"/>
    </i>
    <i>
      <x v="25"/>
    </i>
    <i>
      <x v="32"/>
    </i>
    <i>
      <x v="33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1"/>
    </i>
    <i>
      <x v="263"/>
    </i>
    <i>
      <x v="264"/>
    </i>
    <i>
      <x v="265"/>
    </i>
    <i>
      <x v="266"/>
    </i>
    <i>
      <x v="267"/>
    </i>
    <i>
      <x v="273"/>
    </i>
    <i>
      <x v="275"/>
    </i>
    <i>
      <x v="282"/>
    </i>
    <i t="grand">
      <x/>
    </i>
  </colItems>
  <pageFields count="1">
    <pageField fld="7" hier="-1"/>
  </pageFields>
  <dataFields count="1">
    <dataField name="Soma de VL. FATURADO" fld="8" baseField="3" baseItem="11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xcecutivo" xr10:uid="{BACD5299-AEF9-43CB-816A-923845B3B86A}" sourceName="Excecutivo">
  <pivotTables>
    <pivotTable tabId="67" name="Tabela dinâmica1"/>
  </pivotTables>
  <data>
    <tabular pivotCacheId="623568549">
      <items count="10">
        <i x="5" s="1"/>
        <i x="8" s="1"/>
        <i x="6" s="1"/>
        <i x="3" s="1"/>
        <i x="4" s="1"/>
        <i x="2" s="1"/>
        <i x="9" s="1" nd="1"/>
        <i x="7" s="1" nd="1"/>
        <i x="1" s="1" nd="1"/>
        <i x="0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E8A6EFE6-349B-4EED-901B-BBD09D664C1C}" sourceName="STATUS">
  <pivotTables>
    <pivotTable tabId="67" name="Tabela dinâmica1"/>
  </pivotTables>
  <data>
    <tabular pivotCacheId="623568549">
      <items count="8">
        <i x="0" s="1"/>
        <i x="6" s="1" nd="1"/>
        <i x="4" s="1" nd="1"/>
        <i x="1" s="1" nd="1"/>
        <i x="3" s="1" nd="1"/>
        <i x="2" s="1" nd="1"/>
        <i x="7" s="1" nd="1"/>
        <i x="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BU" xr10:uid="{227D9A72-832D-4FFF-BF3B-C0C7F435096E}" sourceName="BU">
  <pivotTables>
    <pivotTable tabId="67" name="Tabela dinâmica1"/>
  </pivotTables>
  <data>
    <tabular pivotCacheId="623568549">
      <items count="4">
        <i x="1" s="1"/>
        <i x="2" s="1"/>
        <i x="0" s="1"/>
        <i x="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retor_de_Operações" xr10:uid="{AAC6D7CB-FDA9-456B-9B4D-8883A2497A8B}" sourceName="Diretor de Operações">
  <pivotTables>
    <pivotTable tabId="67" name="Tabela dinâmica1"/>
  </pivotTables>
  <data>
    <tabular pivotCacheId="623568549">
      <items count="6">
        <i x="2" s="1"/>
        <i x="0" s="1"/>
        <i x="3" s="1"/>
        <i x="1" s="1"/>
        <i x="5" s="1" nd="1"/>
        <i x="4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NIVEL_RISCO" xr10:uid="{A2508985-71AA-4336-B231-79EECE1E8FB1}" sourceName="NIVEL RISCO">
  <pivotTables>
    <pivotTable tabId="67" name="Tabela dinâmica1"/>
  </pivotTables>
  <data>
    <tabular pivotCacheId="623568549">
      <items count="5">
        <i x="0" s="1"/>
        <i x="4" s="1" nd="1"/>
        <i x="2" s="1" nd="1"/>
        <i x="3" s="1" nd="1"/>
        <i x="1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xcecutivo" xr10:uid="{61F61674-D960-4C8D-AAF3-7CA2493C1031}" cache="SegmentaçãodeDados_Excecutivo" caption="Excecutivo" rowHeight="241300"/>
  <slicer name="STATUS" xr10:uid="{BCC7DDA8-27D2-461E-A844-A8A9C6804C59}" cache="SegmentaçãodeDados_STATUS" caption="STATUS" rowHeight="241300"/>
  <slicer name="BU" xr10:uid="{9F19B1D2-5CFF-4CA4-ADFE-22D02392C05C}" cache="SegmentaçãodeDados_BU" caption="BU" rowHeight="241300"/>
  <slicer name="Diretor de Operações" xr10:uid="{E4326C7A-A4BE-4591-AF33-79BD788AA13B}" cache="SegmentaçãodeDados_Diretor_de_Operações" caption="Diretor de Operações" rowHeight="234950"/>
  <slicer name="NIVEL RISCO" xr10:uid="{5A64F1FA-3F7A-41CF-A134-08903DF6BD45}" cache="SegmentaçãodeDados_NIVEL_RISCO" caption="NIVEL RISCO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399" totalsRowShown="0" totalsRowDxfId="414">
  <autoFilter ref="A1:Q2399" xr:uid="{DCCEE88F-378C-4292-B472-EE23718FB10B}"/>
  <tableColumns count="17">
    <tableColumn id="5" xr3:uid="{F1048976-94C3-4982-AFA9-D4633558AD4B}" name="CC" dataDxfId="413" totalsRowDxfId="412" dataCellStyle="Vírgula 3 2"/>
    <tableColumn id="1" xr3:uid="{32C29382-E2DD-410B-98B3-5678ED7AE8E8}" name="Excecutivo" dataDxfId="411" totalsRowDxfId="410" dataCellStyle="Vírgula 3 2"/>
    <tableColumn id="3" xr3:uid="{EFDC3046-70E5-414C-8526-4B3D95075D98}" name="Grupo Cliente" dataDxfId="409"/>
    <tableColumn id="4" xr3:uid="{078B8197-3BE4-405B-861F-1E1A723F659A}" name="CLIENTE" dataDxfId="408"/>
    <tableColumn id="2" xr3:uid="{4A15B0D5-F405-4726-9E3A-77278BB56FC9}" name="NFE" dataDxfId="407" totalsRowDxfId="406"/>
    <tableColumn id="7" xr3:uid="{BCD00B94-FADB-44FC-93CA-E5721C660E5F}" name="MÊS SERVIÇO" dataDxfId="405" totalsRowDxfId="404"/>
    <tableColumn id="8" xr3:uid="{23111A35-9BD6-4A7D-8F80-7283F4983548}" name="VL. FATURADO" dataDxfId="403" totalsRowDxfId="402" dataCellStyle="Vírgula 3 2"/>
    <tableColumn id="9" xr3:uid="{78EF7201-9048-448B-AE8F-7EDFE36149C8}" name="VL. LIQ. PRV." dataDxfId="401" totalsRowDxfId="400" dataCellStyle="Vírgula 3 2"/>
    <tableColumn id="10" xr3:uid="{F884EBB5-4165-4884-9A2E-244FE784B46B}" name="EMISSÃO" dataDxfId="399" totalsRowDxfId="398"/>
    <tableColumn id="11" xr3:uid="{7E3D4EDA-266F-4B94-9873-DD18655990C9}" name="PREV . PAG" dataDxfId="397" totalsRowDxfId="396" dataCellStyle="Vírgula 3 2"/>
    <tableColumn id="12" xr3:uid="{FD976058-E649-4011-B3E8-6B9C85D5DEDB}" name="DATA PAG." dataDxfId="395" totalsRowDxfId="394" dataCellStyle="Vírgula 9 2 2"/>
    <tableColumn id="13" xr3:uid="{F324E08B-167F-4927-BB32-51B020F3CDF3}" name="STATUS" dataDxfId="393" totalsRowDxfId="392"/>
    <tableColumn id="14" xr3:uid="{CAE1579F-7B0B-4176-9B3B-AB19DED6402D}" name="Risco" dataDxfId="391" totalsRowDxfId="390"/>
    <tableColumn id="15" xr3:uid="{661775A8-B353-42FF-91D1-A37D4F3E2FC1}" name="NIVEL RISCO" dataDxfId="389" totalsRowDxfId="388" dataCellStyle="Vírgula 3 2"/>
    <tableColumn id="16" xr3:uid="{36E07746-2238-4B6E-B0A5-939A6A2D6E1D}" name="BU" dataDxfId="387" totalsRowDxfId="386"/>
    <tableColumn id="17" xr3:uid="{4E40F205-10E7-4454-963E-05018D9F2B48}" name="Vertical" dataDxfId="385"/>
    <tableColumn id="21" xr3:uid="{DD16D295-81BB-4044-812C-91087D263D81}" name="Diretor de Operações" dataDxfId="384" totalsRowDxfId="38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69A3433F-82D5-45EE-AA68-E7AD904E99EF}">
    <text>TRSP</text>
  </threadedComment>
  <threadedComment ref="F14" dT="2024-11-07T00:19:21.47" personId="{508ED0A5-28C6-4BD0-BA76-F59BC2385554}" id="{336C3D84-5D34-4B3C-8B0F-06AA811ED3E1}">
    <text>Diferença reajuste</text>
  </threadedComment>
  <threadedComment ref="F14" dT="2025-06-27T10:40:20.32" personId="{67D415DC-73B9-4445-A002-91A513CC875D}" id="{2340CAC9-F14B-4E0B-AF36-6301F5FF61B3}" parentId="{336C3D84-5D34-4B3C-8B0F-06AA811ED3E1}">
    <text>SECRETARIA DA FAZENDA DO ESTADO DA BAHIA - NF8394, COMPETÊNCIA: MAIO/24 A ABRIL/25 - REAJUSTE</text>
  </threadedComment>
  <threadedComment ref="F15" dT="2024-11-07T00:19:21.47" personId="{508ED0A5-28C6-4BD0-BA76-F59BC2385554}" id="{EEB8ECBE-C83C-4E84-AE32-4016C12C6830}">
    <text>Diferença reajuste</text>
  </threadedComment>
  <threadedComment ref="F15" dT="2025-06-27T10:40:24.15" personId="{67D415DC-73B9-4445-A002-91A513CC875D}" id="{3E12E5E4-87F2-4164-8C0E-BD5C5EC3CC49}" parentId="{EEB8ECBE-C83C-4E84-AE32-4016C12C6830}">
    <text>SECRETARIA DA FAZENDA DO ESTADO DA BAHIA - NF8395, COMPETÊNCIA: MAIO/24 A ABRIL/25 - REAJUSTE</text>
  </threadedComment>
  <threadedComment ref="F16" dT="2024-11-07T00:19:21.47" personId="{508ED0A5-28C6-4BD0-BA76-F59BC2385554}" id="{64825184-C99F-4345-8C89-A25FB29BDE44}">
    <text>Diferença reajuste</text>
  </threadedComment>
  <threadedComment ref="F17" dT="2024-11-07T00:19:21.47" personId="{508ED0A5-28C6-4BD0-BA76-F59BC2385554}" id="{A1B37D4D-014A-451B-ABD7-B8AA6FA2A12C}">
    <text>Diferença reajuste</text>
  </threadedComment>
  <threadedComment ref="F18" dT="2024-11-07T00:19:21.47" personId="{508ED0A5-28C6-4BD0-BA76-F59BC2385554}" id="{9A673B68-59FD-459B-B32B-25F6E5D19DD6}">
    <text>Diferença reajuste</text>
  </threadedComment>
  <threadedComment ref="F19" dT="2024-11-07T00:19:21.47" personId="{508ED0A5-28C6-4BD0-BA76-F59BC2385554}" id="{0B0396D0-8BEB-4340-9775-104EAAA13755}">
    <text>Diferença reajuste</text>
  </threadedComment>
  <threadedComment ref="F20" dT="2024-11-07T00:19:21.47" personId="{508ED0A5-28C6-4BD0-BA76-F59BC2385554}" id="{CFD13F51-0F00-4FC8-B981-CD539A35A845}">
    <text>Diferença reajuste</text>
  </threadedComment>
  <threadedComment ref="F21" dT="2024-11-07T00:19:21.47" personId="{508ED0A5-28C6-4BD0-BA76-F59BC2385554}" id="{02AA0D44-12DC-4350-B8D9-AAAD25F1C526}">
    <text>Diferença reajuste</text>
  </threadedComment>
  <threadedComment ref="F22" dT="2024-11-07T00:19:21.47" personId="{508ED0A5-28C6-4BD0-BA76-F59BC2385554}" id="{4A557C96-0FE7-422F-86CC-AEEE37BE17D2}">
    <text>Diferença reajuste</text>
  </threadedComment>
  <threadedComment ref="F24" dT="2025-01-07T11:28:36.78" personId="{67D415DC-73B9-4445-A002-91A513CC875D}" id="{27DA62CF-7F3E-414B-A9EE-774F043A3108}">
    <text>COMPETÊNCIA: DEZEMBRO/24 - PROJETO</text>
  </threadedComment>
  <threadedComment ref="F25" dT="2025-01-07T11:28:40.25" personId="{67D415DC-73B9-4445-A002-91A513CC875D}" id="{72B2CC0D-38E8-4908-9B08-C972820444B1}">
    <text>COMPETÊNCIA: DEZEMBRO/24 - PROJETO</text>
  </threadedComment>
  <threadedComment ref="F26" dT="2025-04-22T19:16:28.63" personId="{E0F4F622-67A1-4BAE-AC1D-4359BE6B1935}" id="{5F210FEE-4ED9-4052-991A-435CF52F439F}">
    <text>Não colocar na projeção 2025</text>
  </threadedComment>
  <threadedComment ref="M27" dT="2023-10-11T15:05:58.35" personId="{67D415DC-73B9-4445-A002-91A513CC875D}" id="{612A55BE-D52E-4154-B0F1-01038C96C263}">
    <text>Risco de 1M</text>
  </threadedComment>
  <threadedComment ref="G39" dT="2024-10-24T12:01:50.84" personId="{E0F4F622-67A1-4BAE-AC1D-4359BE6B1935}" id="{FA4038BF-A1F6-424D-B30A-083DE35972AB}">
    <text>Commit</text>
  </threadedComment>
  <threadedComment ref="F52" dT="2025-01-14T11:13:51.46" personId="{67D415DC-73B9-4445-A002-91A513CC875D}" id="{6549DE52-8D03-4921-AF46-009D217A582E}">
    <text>UST</text>
  </threadedComment>
  <threadedComment ref="G70" dT="2025-02-04T12:17:40.62" personId="{67D415DC-73B9-4445-A002-91A513CC875D}" id="{6D450CB4-7370-4005-8129-E0CA326017BE}">
    <text>Serviço adicional</text>
  </threadedComment>
  <threadedComment ref="G78" dT="2025-01-27T11:22:24.29" personId="{67D415DC-73B9-4445-A002-91A513CC875D}" id="{FAC29DC7-56F5-4ED3-A1D4-311788F8E977}">
    <text>PARTE 2</text>
  </threadedComment>
  <threadedComment ref="M108" dT="2023-10-11T15:05:58.35" personId="{67D415DC-73B9-4445-A002-91A513CC875D}" id="{573D4391-02DB-4E12-8DA2-BB132E503AEA}">
    <text>Risco de 1M</text>
  </threadedComment>
  <threadedComment ref="G156" dT="2025-02-11T13:26:40.05" personId="{67D415DC-73B9-4445-A002-91A513CC875D}" id="{ACE1C0C2-F8FD-47E5-949E-924D49D293A0}">
    <text>7 dias, valor completo será de 2.300</text>
  </threadedComment>
  <threadedComment ref="F161" dT="2025-02-11T11:24:01.76" personId="{67D415DC-73B9-4445-A002-91A513CC875D}" id="{C505E990-C9C8-490A-A625-A1DCD1390F83}">
    <text>UST</text>
  </threadedComment>
  <threadedComment ref="M207" dT="2023-10-11T15:05:58.35" personId="{67D415DC-73B9-4445-A002-91A513CC875D}" id="{FE494523-17E5-4F8E-AC41-AD85C069A43C}">
    <text>Risco de 1M</text>
  </threadedComment>
  <threadedComment ref="M208" dT="2023-10-11T15:05:58.35" personId="{67D415DC-73B9-4445-A002-91A513CC875D}" id="{2D4AD8B6-ECB0-4F91-842F-2AD640B8BDE5}">
    <text>Risco de 1M</text>
  </threadedComment>
  <threadedComment ref="M209" dT="2023-10-11T15:05:58.35" personId="{67D415DC-73B9-4445-A002-91A513CC875D}" id="{A0927A5F-75AB-4DCB-AE24-416839D731A3}">
    <text>Risco de 1M</text>
  </threadedComment>
  <threadedComment ref="M210" dT="2023-10-11T15:05:58.35" personId="{67D415DC-73B9-4445-A002-91A513CC875D}" id="{B432ECB8-AFE9-416F-8093-67BF3AB8DBE7}">
    <text>Risco de 1M</text>
  </threadedComment>
  <threadedComment ref="M220" dT="2023-10-11T15:05:58.35" personId="{67D415DC-73B9-4445-A002-91A513CC875D}" id="{2B61CDFB-58F8-41D5-9EEF-6E0B2519C832}">
    <text>Risco de 1M</text>
  </threadedComment>
  <threadedComment ref="M324" dT="2023-10-11T15:05:58.35" personId="{67D415DC-73B9-4445-A002-91A513CC875D}" id="{65205B7B-E065-4398-B708-B452F09FB02D}">
    <text>Risco de 1M</text>
  </threadedComment>
  <threadedComment ref="M325" dT="2023-10-11T15:05:58.35" personId="{67D415DC-73B9-4445-A002-91A513CC875D}" id="{DA515458-55CC-4DDB-8F1F-03D60EB1DD35}">
    <text>Risco de 1M</text>
  </threadedComment>
  <threadedComment ref="M326" dT="2023-10-11T15:05:58.35" personId="{67D415DC-73B9-4445-A002-91A513CC875D}" id="{1D4CA765-9F3C-4511-B725-FD866C1F80CD}">
    <text>Risco de 1M</text>
  </threadedComment>
  <threadedComment ref="M327" dT="2023-10-11T15:05:58.35" personId="{67D415DC-73B9-4445-A002-91A513CC875D}" id="{AB983550-106E-4D4B-83AF-D57520E8E5E5}">
    <text>Risco de 1M</text>
  </threadedComment>
  <threadedComment ref="M339" dT="2023-10-11T15:05:58.35" personId="{67D415DC-73B9-4445-A002-91A513CC875D}" id="{D4E7FCB1-D659-467A-8289-098D54E6A4A9}">
    <text>Risco de 1M</text>
  </threadedComment>
  <threadedComment ref="F368" dT="2025-08-10T19:38:08.04" personId="{98DC1C35-8413-4FD6-AF8B-976297C30AC6}" id="{12E559D5-FAF9-464E-82E9-2C5A7E07A6A5}">
    <text>Acho que é Abril</text>
  </threadedComment>
  <threadedComment ref="F368" dT="2025-08-28T11:46:28.82" personId="{67D415DC-73B9-4445-A002-91A513CC875D}" id="{31C84D6E-EF3F-4BEA-9B37-EAA697F1E3D3}" parentId="{12E559D5-FAF9-464E-82E9-2C5A7E07A6A5}">
    <text>No formulário de fat. Está Março/25</text>
  </threadedComment>
  <threadedComment ref="M433" dT="2023-10-11T15:05:58.35" personId="{67D415DC-73B9-4445-A002-91A513CC875D}" id="{0E047504-0874-4758-BC81-5C9F7CF92551}">
    <text>Risco de 1M</text>
  </threadedComment>
  <threadedComment ref="M434" dT="2023-10-11T15:05:58.35" personId="{67D415DC-73B9-4445-A002-91A513CC875D}" id="{D75483AF-92F0-4DE1-842E-04E1E318493F}">
    <text>Risco de 1M</text>
  </threadedComment>
  <threadedComment ref="M435" dT="2023-10-11T15:05:58.35" personId="{67D415DC-73B9-4445-A002-91A513CC875D}" id="{56135BB2-6625-4CCB-931A-41422FD42CE6}">
    <text>Risco de 1M</text>
  </threadedComment>
  <threadedComment ref="M436" dT="2023-10-11T15:05:58.35" personId="{67D415DC-73B9-4445-A002-91A513CC875D}" id="{56B9E8DF-47FA-464B-B720-D7D7BFF52E3A}">
    <text>Risco de 1M</text>
  </threadedComment>
  <threadedComment ref="M437" dT="2023-10-11T15:05:58.35" personId="{67D415DC-73B9-4445-A002-91A513CC875D}" id="{A29E80A2-A404-4B24-A3B2-9A5A9D54E91C}">
    <text>Risco de 1M</text>
  </threadedComment>
  <threadedComment ref="M449" dT="2023-10-11T15:05:58.35" personId="{67D415DC-73B9-4445-A002-91A513CC875D}" id="{88A7245C-24B4-453D-9F17-8A9A555E8FAF}">
    <text>Risco de 1M</text>
  </threadedComment>
  <threadedComment ref="E500" dT="2025-05-13T11:44:56.85" personId="{67D415DC-73B9-4445-A002-91A513CC875D}" id="{2FFD0CFA-DA62-40F6-AE97-856E584A7A00}">
    <text>Contato com Jeane em 13/05/25, informei sobre o CC novo mas pediu para que deixasse no 1290.</text>
  </threadedComment>
  <threadedComment ref="G529" dT="2025-05-23T11:38:20.49" personId="{67D415DC-73B9-4445-A002-91A513CC875D}" id="{98144778-58B2-4C23-B5FE-143AAE4A256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1B1F112F-4D27-4F98-AA84-4952E7D197BB}">
    <text>Risco de 1M</text>
  </threadedComment>
  <threadedComment ref="M552" dT="2023-10-11T15:05:58.35" personId="{67D415DC-73B9-4445-A002-91A513CC875D}" id="{8E9DE130-5173-4C29-99F0-1EBC82CE3400}">
    <text>Risco de 1M</text>
  </threadedComment>
  <threadedComment ref="M553" dT="2023-10-11T15:05:58.35" personId="{67D415DC-73B9-4445-A002-91A513CC875D}" id="{3F7B1094-AF1C-4F2D-986E-C9462BA3F405}">
    <text>Risco de 1M</text>
  </threadedComment>
  <threadedComment ref="M554" dT="2023-10-11T15:05:58.35" personId="{67D415DC-73B9-4445-A002-91A513CC875D}" id="{501611E5-99D5-4A9C-89AD-CF1D2B1DCEA2}">
    <text>Risco de 1M</text>
  </threadedComment>
  <threadedComment ref="M555" dT="2023-10-11T15:05:58.35" personId="{67D415DC-73B9-4445-A002-91A513CC875D}" id="{34AB3D18-61FC-48F1-92B0-988882075AA8}">
    <text>Risco de 1M</text>
  </threadedComment>
  <threadedComment ref="M556" dT="2023-10-11T15:05:58.35" personId="{67D415DC-73B9-4445-A002-91A513CC875D}" id="{C34F5733-3517-4383-BD64-25735D3C8AA5}">
    <text>Risco de 1M</text>
  </threadedComment>
  <threadedComment ref="G559" dT="2025-04-09T12:33:07.85" personId="{67D415DC-73B9-4445-A002-91A513CC875D}" id="{664406CF-5180-4367-94D9-D7A0576B4F0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84C35A3C-B538-4109-9D23-40B0875D387A}">
    <text>Risco de 1M</text>
  </threadedComment>
  <threadedComment ref="F617" dT="2025-06-11T11:52:05.88" personId="{67D415DC-73B9-4445-A002-91A513CC875D}" id="{9DAB0286-07D4-462F-870C-3D74FEEB60A8}">
    <text xml:space="preserve"> COMPETÊNCIA: MAIO/25 - RETROATIVO</text>
  </threadedComment>
  <threadedComment ref="F646" dT="2025-04-10T17:48:03.06" personId="{67D415DC-73B9-4445-A002-91A513CC875D}" id="{BE6936DC-E7DD-4397-A2C0-41029C412DE9}">
    <text>Rogerio: Recebimento retroativo abr2024 a 2025</text>
  </threadedComment>
  <threadedComment ref="F646" dT="2025-06-12T11:24:15.85" personId="{67D415DC-73B9-4445-A002-91A513CC875D}" id="{91928E75-16C3-4B95-92A7-5AE14EE680D6}" parentId="{BE6936DC-E7DD-4397-A2C0-41029C412DE9}">
    <text>COMPETÊNCIA: MAIO/25 - REAJUSTE</text>
  </threadedComment>
  <threadedComment ref="M670" dT="2023-10-11T15:05:58.35" personId="{67D415DC-73B9-4445-A002-91A513CC875D}" id="{49DE1EB2-D4AE-4A54-BA84-5170354A3677}">
    <text>Risco de 1M</text>
  </threadedComment>
  <threadedComment ref="M671" dT="2023-10-11T15:05:58.35" personId="{67D415DC-73B9-4445-A002-91A513CC875D}" id="{E8E0BA0B-A5F2-4D90-8D24-8011DF2DA37C}">
    <text>Risco de 1M</text>
  </threadedComment>
  <threadedComment ref="M672" dT="2023-10-11T15:05:58.35" personId="{67D415DC-73B9-4445-A002-91A513CC875D}" id="{F01313D9-A162-45B2-B047-2A5E09E76D78}">
    <text>Risco de 1M</text>
  </threadedComment>
  <threadedComment ref="M673" dT="2023-10-11T15:05:58.35" personId="{67D415DC-73B9-4445-A002-91A513CC875D}" id="{CC3EBA53-3FD3-4623-A9FD-2D527AF0D2B5}">
    <text>Risco de 1M</text>
  </threadedComment>
  <threadedComment ref="F689" dT="2025-07-09T11:52:50.00" personId="{67D415DC-73B9-4445-A002-91A513CC875D}" id="{F4B757FC-C018-41C7-AC45-011531CC7123}">
    <text xml:space="preserve"> COMPETÊNCIA: JUNHO/25 - PROJETO</text>
  </threadedComment>
  <threadedComment ref="M691" dT="2023-10-11T15:05:58.35" personId="{67D415DC-73B9-4445-A002-91A513CC875D}" id="{F5EF41D6-9A7B-425D-8978-40256C3C393E}">
    <text>Risco de 1M</text>
  </threadedComment>
  <threadedComment ref="H737" dT="2025-08-18T11:50:50.17" personId="{67D415DC-73B9-4445-A002-91A513CC875D}" id="{967E5B0A-4D9C-42D2-A820-33CA7583E3B8}">
    <text>Glosa 2.316,11</text>
  </threadedComment>
  <threadedComment ref="G769" dT="2025-07-24T17:44:09.23" personId="{67D415DC-73B9-4445-A002-91A513CC875D}" id="{0403CBAB-4C6B-428D-838E-B10B3E0DCB62}">
    <text xml:space="preserve"> COMPETÊNCIA: OUTUBRO/25 - REAJUSTE</text>
  </threadedComment>
  <threadedComment ref="G770" dT="2025-07-24T17:44:09.23" personId="{67D415DC-73B9-4445-A002-91A513CC875D}" id="{9BF5DC8A-4C37-48D7-9428-CC2B2DA5D38D}">
    <text xml:space="preserve"> COMPETÊNCIA: OUTUBRO/25 - REAJUSTE</text>
  </threadedComment>
  <threadedComment ref="M786" dT="2023-10-11T15:05:58.35" personId="{67D415DC-73B9-4445-A002-91A513CC875D}" id="{57FAD4EC-35FD-424B-9BA6-941BC44F6283}">
    <text>Risco de 1M</text>
  </threadedComment>
  <threadedComment ref="M787" dT="2023-10-11T15:05:58.35" personId="{67D415DC-73B9-4445-A002-91A513CC875D}" id="{BCDF1314-390F-431E-8F86-9256881E97F5}">
    <text>Risco de 1M</text>
  </threadedComment>
  <threadedComment ref="M788" dT="2023-10-11T15:05:58.35" personId="{67D415DC-73B9-4445-A002-91A513CC875D}" id="{7EE396EC-031C-49EF-8B6D-3E6EB13D02F8}">
    <text>Risco de 1M</text>
  </threadedComment>
  <threadedComment ref="M789" dT="2023-10-11T15:05:58.35" personId="{67D415DC-73B9-4445-A002-91A513CC875D}" id="{3FDC42A4-4B4A-4883-81C0-C48073C1C716}">
    <text>Risco de 1M</text>
  </threadedComment>
  <threadedComment ref="M807" dT="2023-10-11T15:05:58.35" personId="{67D415DC-73B9-4445-A002-91A513CC875D}" id="{E2D6690A-C8FA-4CB4-BEEB-1C53BA396DD0}">
    <text>Risco de 1M</text>
  </threadedComment>
  <threadedComment ref="M808" dT="2023-10-11T15:05:58.35" personId="{67D415DC-73B9-4445-A002-91A513CC875D}" id="{69C99F58-BA22-4C8A-982C-DE918F9FE169}">
    <text>Risco de 1M</text>
  </threadedComment>
  <threadedComment ref="M809" dT="2023-10-11T15:05:58.35" personId="{67D415DC-73B9-4445-A002-91A513CC875D}" id="{466C1749-164E-4931-9CF8-C9FBB696B293}">
    <text>Risco de 1M</text>
  </threadedComment>
  <threadedComment ref="M810" dT="2023-10-11T15:05:58.35" personId="{67D415DC-73B9-4445-A002-91A513CC875D}" id="{D8D62868-7CB4-4C1C-B473-D409C16C0CA7}">
    <text>Risco de 1M</text>
  </threadedComment>
  <threadedComment ref="F856" dT="2025-09-02T11:41:22.61" personId="{67D415DC-73B9-4445-A002-91A513CC875D}" id="{92793B15-5897-425E-9318-5E9C6354612D}">
    <text>COMPETÊNCIA: REAJUSTE JANEIRO A JUNHO/25</text>
  </threadedComment>
  <threadedComment ref="F918" dT="2025-09-10T12:24:36.24" personId="{67D415DC-73B9-4445-A002-91A513CC875D}" id="{A023D54C-E744-4363-B516-164DD2D26D89}">
    <text>COMPETÊNCIA: JULHO/25 - PARTE 01</text>
  </threadedComment>
  <threadedComment ref="F919" dT="2025-08-19T11:23:38.37" personId="{67D415DC-73B9-4445-A002-91A513CC875D}" id="{E62F84A8-CEEF-47E5-89B7-7299DC21B8AC}">
    <text xml:space="preserve"> (Aditivo:5º Termo de Aditamento)
período de 28/07/2025 a 31/07/2025.</text>
  </threadedComment>
  <threadedComment ref="M946" dT="2023-10-11T15:05:58.35" personId="{67D415DC-73B9-4445-A002-91A513CC875D}" id="{3D35DCB1-AB37-45A7-8880-2391153C265F}">
    <text>Risco de 1M</text>
  </threadedComment>
  <threadedComment ref="M947" dT="2023-10-11T15:05:58.35" personId="{67D415DC-73B9-4445-A002-91A513CC875D}" id="{6DB46374-9951-4C46-8312-0CA8B3EEAFB7}">
    <text>Risco de 1M</text>
  </threadedComment>
  <threadedComment ref="M948" dT="2023-10-11T15:05:58.35" personId="{67D415DC-73B9-4445-A002-91A513CC875D}" id="{8E88878A-FB6D-46FD-979C-0B5306989764}">
    <text>Risco de 1M</text>
  </threadedComment>
  <threadedComment ref="M949" dT="2023-10-11T15:05:58.35" personId="{67D415DC-73B9-4445-A002-91A513CC875D}" id="{D2A32573-99AE-4EB6-8019-CC9F131A0E4F}">
    <text>Risco de 1M</text>
  </threadedComment>
  <threadedComment ref="M1079" dT="2023-10-11T15:05:58.35" personId="{67D415DC-73B9-4445-A002-91A513CC875D}" id="{7297D561-9BFB-4DC5-A806-1F14BEBDFE73}">
    <text>Risco de 1M</text>
  </threadedComment>
  <threadedComment ref="M1080" dT="2023-10-11T15:05:58.35" personId="{67D415DC-73B9-4445-A002-91A513CC875D}" id="{E1E44CEA-5A40-4331-BB91-57115FD027E4}">
    <text>Risco de 1M</text>
  </threadedComment>
  <threadedComment ref="M1081" dT="2023-10-11T15:05:58.35" personId="{67D415DC-73B9-4445-A002-91A513CC875D}" id="{CE352F7C-CFD1-4937-91D2-AAC4FE205983}">
    <text>Risco de 1M</text>
  </threadedComment>
  <threadedComment ref="M1082" dT="2023-10-11T15:05:58.35" personId="{67D415DC-73B9-4445-A002-91A513CC875D}" id="{496F2803-5814-4A69-9DFF-6DD2355B914F}">
    <text>Risco de 1M</text>
  </threadedComment>
  <threadedComment ref="F1138" dT="2025-10-14T11:23:34.17" personId="{67D415DC-73B9-4445-A002-91A513CC875D}" id="{6B05E386-0CAB-437F-881E-F132C6733468}">
    <text xml:space="preserve">COMPETÊNCIA: NOVEMBRO/24 A DEZ/24 - REAJUSTE </text>
  </threadedComment>
  <threadedComment ref="F1139" dT="2025-10-14T11:23:44.91" personId="{67D415DC-73B9-4445-A002-91A513CC875D}" id="{9B59577E-4B80-48D4-B1CA-739E78DD2157}">
    <text xml:space="preserve">COMPETÊNCIA: JANEIRO/25 A MAIO/25 - REAJUSTE </text>
  </threadedComment>
  <threadedComment ref="F1140" dT="2025-10-14T11:23:57.66" personId="{67D415DC-73B9-4445-A002-91A513CC875D}" id="{84961539-1C3B-4811-8AC5-30792D9E9115}">
    <text>SETEMBRO/25 - UST</text>
  </threadedComment>
  <threadedComment ref="J1148" dT="2026-05-21T13:18:14.35" personId="{67D415DC-73B9-4445-A002-91A513CC875D}" id="{FEDFE453-97D5-4B51-A3BE-337728507562}">
    <text>Cliente paga com 60 dias</text>
  </threadedComment>
  <threadedComment ref="M1223" dT="2023-10-11T15:05:58.35" personId="{67D415DC-73B9-4445-A002-91A513CC875D}" id="{9FFC213A-32A7-4611-A21D-4B47E69AE3D4}">
    <text>Risco de 1M</text>
  </threadedComment>
  <threadedComment ref="M1224" dT="2023-10-11T15:05:58.35" personId="{67D415DC-73B9-4445-A002-91A513CC875D}" id="{E23E6636-5AA6-4226-B3A4-59D685B9055A}">
    <text>Risco de 1M</text>
  </threadedComment>
  <threadedComment ref="M1225" dT="2023-10-11T15:05:58.35" personId="{67D415DC-73B9-4445-A002-91A513CC875D}" id="{EDEBBB05-2F2E-4694-86BC-3013526BDE9D}">
    <text>Risco de 1M</text>
  </threadedComment>
  <threadedComment ref="M1226" dT="2023-10-11T15:05:58.35" personId="{67D415DC-73B9-4445-A002-91A513CC875D}" id="{E114F98C-909A-429C-8124-D123972F18EC}">
    <text>Risco de 1M</text>
  </threadedComment>
  <threadedComment ref="F1375" dT="2025-11-11T11:15:59.63" personId="{67D415DC-73B9-4445-A002-91A513CC875D}" id="{2E99864C-D5C3-4C84-B550-B75CB65DC661}">
    <text xml:space="preserve"> OUTUBRO/25 - UST</text>
  </threadedComment>
  <threadedComment ref="F1380" dT="2025-11-07T11:19:33.85" personId="{67D415DC-73B9-4445-A002-91A513CC875D}" id="{D03C8CF7-0934-4117-BE68-4434320FFCC1}">
    <text>REAJUSTE - JUN/25 A SET/25</text>
  </threadedComment>
  <threadedComment ref="F1430" dT="2025-10-02T11:27:44.28" personId="{67D415DC-73B9-4445-A002-91A513CC875D}" id="{5BC3D748-2E6E-4A7E-81CD-C360603C252D}">
    <text>COMPETÊNCIA: OUTUBRO -  REAJUSTE SP1</text>
  </threadedComment>
  <threadedComment ref="F1431" dT="2025-10-02T11:27:58.22" personId="{67D415DC-73B9-4445-A002-91A513CC875D}" id="{9DD68C3A-40AB-4DAC-B135-1EEF21A99A3D}">
    <text xml:space="preserve"> COMPETÊNCIA: OUTUBRO -  REAJUSTE SP0</text>
  </threadedComment>
  <threadedComment ref="F1435" dT="2026-05-25T11:31:31.11" personId="{67D415DC-73B9-4445-A002-91A513CC875D}" id="{1C49A865-0F4A-4D67-8877-6046F2660D68}">
    <text>Prestação de serviço ao GLPI /Inventário de ativos, realizado no mês de abril/26.</text>
  </threadedComment>
  <threadedComment ref="F1724" dT="2026-01-15T13:07:08.92" personId="{67D415DC-73B9-4445-A002-91A513CC875D}" id="{30CF35FA-4962-4324-A78D-8380389BBCC5}">
    <text>REONERACAO</text>
  </threadedComment>
  <threadedComment ref="G1727" dT="2026-04-13T20:15:03.83" personId="{67D415DC-73B9-4445-A002-91A513CC875D}" id="{1FF804CD-49AF-4E16-8DD3-4727148DBCD9}">
    <text xml:space="preserve">2k projeto de ativos
</text>
  </threadedComment>
  <threadedComment ref="F1765" dT="2026-05-18T11:31:18.22" personId="{67D415DC-73B9-4445-A002-91A513CC875D}" id="{A43C3549-A1D4-449E-84C6-3B28240259CE}">
    <text>UST MARÇO/26</text>
  </threadedComment>
  <threadedComment ref="F1766" dT="2026-05-25T11:33:07.39" personId="{67D415DC-73B9-4445-A002-91A513CC875D}" id="{F3D1D9CD-913A-4A0D-A2F3-F0D9FF53740F}">
    <text>UST</text>
  </threadedComment>
  <threadedComment ref="M1768" dT="2023-10-11T15:05:58.35" personId="{67D415DC-73B9-4445-A002-91A513CC875D}" id="{61C337CF-3D4F-41B3-BD39-0F158344005E}">
    <text>Risco de 1M</text>
  </threadedComment>
  <threadedComment ref="M1769" dT="2023-10-11T15:05:58.35" personId="{67D415DC-73B9-4445-A002-91A513CC875D}" id="{C877BD60-3489-4DC4-9479-1A95674378F1}">
    <text>Risco de 1M</text>
  </threadedComment>
  <threadedComment ref="M1770" dT="2023-10-11T15:05:58.35" personId="{67D415DC-73B9-4445-A002-91A513CC875D}" id="{9B53CC47-2DA5-498A-AF5D-8D7E8BEB7FBE}">
    <text>Risco de 1M</text>
  </threadedComment>
  <threadedComment ref="M1771" dT="2023-10-11T15:05:58.35" personId="{67D415DC-73B9-4445-A002-91A513CC875D}" id="{156D9E80-9284-41D5-9D03-61AE88D2420F}">
    <text>Risco de 1M</text>
  </threadedComment>
  <threadedComment ref="M1772" dT="2023-10-11T15:05:58.35" personId="{67D415DC-73B9-4445-A002-91A513CC875D}" id="{375CFD8E-2494-45B5-BDDE-14F1DBA4F917}">
    <text>Risco de 1M</text>
  </threadedComment>
  <threadedComment ref="M1773" dT="2023-10-11T15:05:58.35" personId="{67D415DC-73B9-4445-A002-91A513CC875D}" id="{FA4526F8-96A1-4D48-91D6-6B4EA8BA5F1D}">
    <text>Risco de 1M</text>
  </threadedComment>
  <threadedComment ref="M1774" dT="2023-10-11T15:05:58.35" personId="{67D415DC-73B9-4445-A002-91A513CC875D}" id="{EC7C036B-14B4-4048-92FD-004DB4701DCC}">
    <text>Risco de 1M</text>
  </threadedComment>
  <threadedComment ref="M1775" dT="2023-10-11T15:05:58.35" personId="{67D415DC-73B9-4445-A002-91A513CC875D}" id="{FA3B99CE-9A4F-4412-BAC5-1632B2B1D136}">
    <text>Risco de 1M</text>
  </threadedComment>
  <threadedComment ref="G1999" dT="2025-10-09T19:27:22.65" personId="{67D415DC-73B9-4445-A002-91A513CC875D}" id="{3D398482-5878-40B3-9FC3-1D394B8BF1EC}">
    <text>REAJUSTE</text>
  </threadedComment>
  <threadedComment ref="G2001" dT="2025-10-09T19:27:22.65" personId="{67D415DC-73B9-4445-A002-91A513CC875D}" id="{CE3D32E3-FD5C-4AE1-A834-22F57FFEB536}">
    <text>retroativo 108k + 1,5% reequilibrio</text>
  </threadedComment>
  <threadedComment ref="F2003" dT="2026-01-15T13:03:05.94" personId="{67D415DC-73B9-4445-A002-91A513CC875D}" id="{4C9D9A1A-9E8D-41B6-BFB3-4A429493951E}">
    <text>REONERACAO</text>
  </threadedComment>
  <threadedComment ref="F2006" dT="2026-05-22T11:57:35.06" personId="{67D415DC-73B9-4445-A002-91A513CC875D}" id="{663981B3-D159-4678-BA27-2997CBEE3EF6}">
    <text>Retroativo maio/25</text>
  </threadedComment>
  <threadedComment ref="G2007" dT="2026-04-13T20:15:14.98" personId="{67D415DC-73B9-4445-A002-91A513CC875D}" id="{DE32FBDF-0B81-4200-8AA4-40F2CAABBE57}">
    <text xml:space="preserve">pedido de pagamento antecipado 
</text>
  </threadedComment>
  <threadedComment ref="G2010" dT="2025-10-02T12:52:28.82" personId="{67D415DC-73B9-4445-A002-91A513CC875D}" id="{ECC8D335-31BB-4534-AFDC-3BB38D6D6479}">
    <text>Valor referente a UST disponível no contrato que precisa ser abatido do que foi realmente faturado + retroativo do reequilibrio que ainda não foi dado entrada</text>
  </threadedComment>
  <threadedComment ref="G2011" dT="2025-10-02T12:52:28.82" personId="{67D415DC-73B9-4445-A002-91A513CC875D}" id="{351EB751-DF31-419F-B1AD-17CC093FF997}">
    <text>Valor referente a UST disponível no contrato que precisa ser abatido do que foi realmente faturado + retroativo do reequilibrio que ainda não foi dado entrada</text>
  </threadedComment>
  <threadedComment ref="G2012" dT="2025-10-02T12:52:28.82" personId="{67D415DC-73B9-4445-A002-91A513CC875D}" id="{2823F23A-51BC-4BA1-BA39-C1C6023EC76D}">
    <text>NOVEMBRO UST</text>
  </threadedComment>
  <threadedComment ref="F2014" dT="2026-03-03T12:46:16.25" personId="{67D415DC-73B9-4445-A002-91A513CC875D}" id="{0556AFA1-35E5-4FC8-A5BC-83297E6F751C}">
    <text>UST DEZEMBRO</text>
  </threadedComment>
  <threadedComment ref="F2016" dT="2026-03-09T11:31:37.29" personId="{67D415DC-73B9-4445-A002-91A513CC875D}" id="{7A8B90F3-F3A8-4D19-A6D3-32CB842B1FEF}">
    <text>ust</text>
  </threadedComment>
  <threadedComment ref="F2017" dT="2026-01-15T13:03:50.04" personId="{67D415DC-73B9-4445-A002-91A513CC875D}" id="{CC8093A2-439A-49DF-845F-55940454F256}">
    <text>REONERACAO</text>
  </threadedComment>
  <threadedComment ref="F2027" dT="2025-12-18T12:29:19.31" personId="{67D415DC-73B9-4445-A002-91A513CC875D}" id="{FC4734CB-6D53-42FD-93BD-08E4FC576407}">
    <text>Parcial dezembro</text>
  </threadedComment>
  <threadedComment ref="G2035" dT="2025-10-09T19:24:38.93" personId="{67D415DC-73B9-4445-A002-91A513CC875D}" id="{972952D6-DD9F-4A0A-8977-720DE8ED6BD5}">
    <text>Mensal + reajuste</text>
  </threadedComment>
  <threadedComment ref="F2037" dT="2026-01-15T13:04:26.93" personId="{67D415DC-73B9-4445-A002-91A513CC875D}" id="{2B19AF8C-3DEE-48A5-8683-C45967065B10}">
    <text xml:space="preserve">Reajuste Retroativo período de 28/10/25 a 30/04/2026. </text>
  </threadedComment>
  <threadedComment ref="F2047" dT="2026-01-15T13:05:33.25" personId="{67D415DC-73B9-4445-A002-91A513CC875D}" id="{AB9C1203-90EE-4E3F-B5DC-D40F434DD37D}">
    <text>REONERACAO</text>
  </threadedComment>
  <threadedComment ref="G2055" dT="2026-01-13T13:42:46.62" personId="{67D415DC-73B9-4445-A002-91A513CC875D}" id="{3490E643-8BA5-47AE-A436-87B9A821A7D8}">
    <text>RETROATIVO</text>
  </threadedComment>
  <threadedComment ref="H2082" dT="2026-05-20T11:38:00.45" personId="{67D415DC-73B9-4445-A002-91A513CC875D}" id="{8FB8C6B4-9277-4D89-B476-5E03344D961D}">
    <text>Glosa 1.931,63. Recebido 218.282,06</text>
  </threadedComment>
  <threadedComment ref="G2084" dT="2025-10-09T19:23:25.85" personId="{67D415DC-73B9-4445-A002-91A513CC875D}" id="{0330A85E-8F82-4179-BA0F-076E96DC766A}">
    <text>Rogério Gordilho:
- 26k retroativo - alto risco
- previsão de reajuste de 5,5%</text>
  </threadedComment>
  <threadedComment ref="F2085" dT="2025-12-11T10:52:30.37" personId="{67D415DC-73B9-4445-A002-91A513CC875D}" id="{8BBEB940-FE99-4FA5-BF9E-DB0BB82BCEC1}">
    <text>UST</text>
  </threadedComment>
  <threadedComment ref="G2085" dT="2025-10-09T19:23:25.85" personId="{67D415DC-73B9-4445-A002-91A513CC875D}" id="{A65A5BC7-73DB-406B-BE74-22FE7F769B58}">
    <text>Rogério Gordilho:
- 26k retroativo - alto risco
- previsão de reajuste de 5,5%</text>
  </threadedComment>
  <threadedComment ref="F2087" dT="2026-01-19T11:26:34.69" personId="{67D415DC-73B9-4445-A002-91A513CC875D}" id="{213F47F4-F7CC-49FF-88DA-8EBFD93399A5}">
    <text>UST</text>
  </threadedComment>
  <threadedComment ref="G2089" dT="2026-06-09T13:30:07.25" personId="{67D415DC-73B9-4445-A002-91A513CC875D}" id="{AB0D4687-0D14-46EA-B9F6-B4760D44A2C6}">
    <text xml:space="preserve">reajuste contratual retroativo ao período de janeiro a abril/2026 = R$36.839,68 </text>
  </threadedComment>
  <threadedComment ref="G2097" dT="2025-10-09T19:23:25.85" personId="{67D415DC-73B9-4445-A002-91A513CC875D}" id="{55646C8D-EB13-42DD-8E95-71E9A5B3AD36}">
    <text>Rogério Gordilho:
- 26k retroativo - alto risco
- previsão de reajuste de 5,5%</text>
  </threadedComment>
  <threadedComment ref="F2099" dT="2026-01-15T13:06:01.57" personId="{67D415DC-73B9-4445-A002-91A513CC875D}" id="{36FBA783-28D3-4A3A-9EF6-93AA42D03D42}">
    <text>REONERACAO</text>
  </threadedComment>
  <threadedComment ref="G2131" dT="2025-12-16T11:33:30.26" personId="{67D415DC-73B9-4445-A002-91A513CC875D}" id="{C7E6999E-ED33-4AC2-B4B4-354FA30554F1}">
    <text>Parcial Dezembro</text>
  </threadedComment>
  <threadedComment ref="F2132" dT="2026-01-13T17:14:58.17" personId="{67D415DC-73B9-4445-A002-91A513CC875D}" id="{8350FC46-4CA9-47D9-BA80-445A71C4D6D0}">
    <text>Corumba: Saída do JULIEN -28k sem reposição e antecipacao de 83k para dez/2025</text>
  </threadedComment>
  <threadedComment ref="F2133" dT="2026-01-13T17:14:58.17" personId="{67D415DC-73B9-4445-A002-91A513CC875D}" id="{E44E1E5F-E9EF-4243-AC09-4E589F71629C}">
    <text>Corumba: Saída do JULIEN -28k sem reposição e antecipacao de 83k para dez/2025</text>
  </threadedComment>
  <threadedComment ref="F2134" dT="2026-01-13T17:14:58.17" personId="{67D415DC-73B9-4445-A002-91A513CC875D}" id="{6C7E54B8-D064-4262-8EC0-99AEAE86DDD9}">
    <text>Corumba: Saída do JULIEN -28k sem reposição e antecipacao de 83k para dez/2025</text>
  </threadedComment>
  <threadedComment ref="F2135" dT="2026-01-13T17:14:58.17" personId="{67D415DC-73B9-4445-A002-91A513CC875D}" id="{DD62CC72-21C4-4420-8469-08ACF7AFB202}">
    <text>Corumba: Saída do JULIEN -28k sem reposição e antecipacao de 83k para dez/2025</text>
  </threadedComment>
  <threadedComment ref="G2162" dT="2026-01-13T17:17:30.80" personId="{67D415DC-73B9-4445-A002-91A513CC875D}" id="{C8616BAB-FD10-42C1-B4CA-D77688A4CFCF}">
    <text>Redução contratual por redução de time (Kamoi + 2)</text>
  </threadedComment>
  <threadedComment ref="G2163" dT="2026-01-13T17:17:30.80" personId="{67D415DC-73B9-4445-A002-91A513CC875D}" id="{8C2D38A4-D591-401B-9B41-B29EF89A5576}">
    <text>Redução contratual por redução de time (Kamoi + 2)</text>
  </threadedComment>
  <threadedComment ref="G2164" dT="2026-01-13T17:17:30.80" personId="{67D415DC-73B9-4445-A002-91A513CC875D}" id="{AEF2FC78-2EA2-47F9-A0AB-466194520DB9}">
    <text>Redução contratual por redução de time (Kamoi + 2)</text>
  </threadedComment>
  <threadedComment ref="G2165" dT="2026-01-13T17:17:30.80" personId="{67D415DC-73B9-4445-A002-91A513CC875D}" id="{B7083934-EA59-4676-8D0B-F3AE72D4C446}">
    <text>Redução contratual por redução de time (Kamoi + 2)</text>
  </threadedComment>
  <threadedComment ref="G2190" dT="2026-04-13T19:07:33.01" personId="{67D415DC-73B9-4445-A002-91A513CC875D}" id="{EBCA7AD4-2A01-4E9A-A6F7-0520D882263E}">
    <text>valor mensal reajustado conforme reequilibrio + diferença de reequilibrio de jan/25 a mai/26</text>
  </threadedComment>
  <threadedComment ref="G2194" dT="2025-10-09T18:07:48.92" personId="{67D415DC-73B9-4445-A002-91A513CC875D}" id="{04DD0A5F-29D4-45AE-A7F8-97F624BA4D21}">
    <text>Lizandra Serra Pimenta:
Reequilibrio: 53.139
Reajuste antigo: 607.000
Reajuste atual: 111.798</text>
  </threadedComment>
  <threadedComment ref="F2200" dT="2024-10-11T19:23:14.86" personId="{E0F4F622-67A1-4BAE-AC1D-4359BE6B1935}" id="{B2F2A6F8-2689-4B4A-A1E1-36BF97900616}">
    <text>reajuste</text>
  </threadedComment>
  <threadedComment ref="F2203" dT="2025-12-02T11:28:27.17" personId="{67D415DC-73B9-4445-A002-91A513CC875D}" id="{B1B944F6-C623-410C-A4CF-A84B7D90D2FA}">
    <text xml:space="preserve"> COMPETÊNCIA: OUTUBRO/25 - REAJUSTE</text>
  </threadedComment>
  <threadedComment ref="F2204" dT="2025-12-02T11:28:27.17" personId="{67D415DC-73B9-4445-A002-91A513CC875D}" id="{08AA2432-6DFB-4931-B95F-F0DA48CEFBC0}">
    <text xml:space="preserve"> COMPETÊNCIA: OUTUBRO/25 - REAJUSTE</text>
  </threadedComment>
  <threadedComment ref="F2207" dT="2025-12-10T12:23:45.86" personId="{67D415DC-73B9-4445-A002-91A513CC875D}" id="{9530AE64-6802-4AF0-9412-22CFD7B104DA}">
    <text xml:space="preserve"> COMPETÊNCIA: OUTUBRO/25 - REAJUSTE</text>
  </threadedComment>
  <threadedComment ref="G2215" dT="2025-10-09T14:20:52.58" personId="{67D415DC-73B9-4445-A002-91A513CC875D}" id="{DFA90B24-9B3F-4198-B3D1-7580B519818E}">
    <text>ANTONIO: 357k reequilíbrio esta na PGE, risco alto.</text>
  </threadedComment>
  <threadedComment ref="G2215" dT="2025-12-15T11:19:54.74" personId="{67D415DC-73B9-4445-A002-91A513CC875D}" id="{0B432AC2-EDF2-4576-88B3-E8E4F6D036A0}" parentId="{DFA90B24-9B3F-4198-B3D1-7580B519818E}">
    <text>100k faturado em 12/12 maior que o previsto do mês (sem o reeq.)</text>
  </threadedComment>
  <threadedComment ref="G2215" dT="2025-12-18T12:30:37.99" personId="{67D415DC-73B9-4445-A002-91A513CC875D}" id="{D86E8273-F959-4DE4-8DD3-16CB4DC76961}" parentId="{DFA90B24-9B3F-4198-B3D1-7580B519818E}">
    <text>PROJETO OS</text>
  </threadedComment>
  <threadedComment ref="E2216" dT="2026-03-12T11:50:08.75" personId="{67D415DC-73B9-4445-A002-91A513CC875D}" id="{7E045F1F-A00E-4B97-89FC-00B0AC2B55AB}">
    <text>Avisar a WAGNER quando for paga.</text>
  </threadedComment>
  <threadedComment ref="G2220" dT="2025-10-09T14:20:52.58" personId="{67D415DC-73B9-4445-A002-91A513CC875D}" id="{45D907D5-96EB-4E92-9FF3-667105067657}">
    <text>ANTONIO: 357k reequilíbrio esta na PGE, risco alto.</text>
  </threadedComment>
  <threadedComment ref="G2220" dT="2025-12-15T11:19:54.74" personId="{67D415DC-73B9-4445-A002-91A513CC875D}" id="{122EF3B3-322E-4F20-B3DE-E2BA4EFA5D3F}" parentId="{45D907D5-96EB-4E92-9FF3-667105067657}">
    <text>100k faturado em 12/12 maior que o previsto do mês (sem o reeq.)</text>
  </threadedComment>
  <threadedComment ref="E2232" dT="2026-03-12T11:50:08.75" personId="{67D415DC-73B9-4445-A002-91A513CC875D}" id="{B1D9736C-E2D3-4300-9EE2-514E2E2AA05C}">
    <text>Avisar a WAGNER quando for paga.</text>
  </threadedComment>
  <threadedComment ref="F2250" dT="2026-01-15T13:06:32.28" personId="{67D415DC-73B9-4445-A002-91A513CC875D}" id="{E9CF0DFB-CBF4-4659-8D08-E1362ACAA20F}">
    <text>REONERACAO</text>
  </threadedComment>
  <threadedComment ref="F2276" dT="2026-01-15T13:08:05.73" personId="{67D415DC-73B9-4445-A002-91A513CC875D}" id="{2F01657A-B583-4211-AA9E-6A8399A5CBC9}">
    <text>REONERACAO</text>
  </threadedComment>
  <threadedComment ref="G2283" dT="2026-05-08T11:47:00.28" personId="{67D415DC-73B9-4445-A002-91A513CC875D}" id="{C82EE2F3-020C-48D1-AFFA-ADA24344659F}">
    <text>Período 29 a 31/03</text>
  </threadedComment>
  <threadedComment ref="G2289" dT="2026-05-08T11:46:48.56" personId="{67D415DC-73B9-4445-A002-91A513CC875D}" id="{2FAD19DE-A126-4FBA-B8B3-8919AECB282D}">
    <text>Período 01 a 28/03</text>
  </threadedComment>
  <threadedComment ref="G2330" dT="2026-06-09T13:15:08.29" personId="{67D415DC-73B9-4445-A002-91A513CC875D}" id="{576AB6EB-8102-417D-B33D-503A00CACBF9}">
    <text xml:space="preserve">Racional do retroativos reajuste 2026:
Janeiro: R$ 1.302,00 
Fevereiro: R$ 1.302,00 
Março: R$ 1.302,00 
Abril: R$ 1.302,00 
Total de: R$ 5.208,00
</text>
  </threadedComment>
  <threadedComment ref="F2392" dT="2026-01-15T13:00:00.69" personId="{67D415DC-73B9-4445-A002-91A513CC875D}" id="{8F163685-9D9F-49C9-91FE-C3780F2F5F5A}">
    <text>REONERAÇAO</text>
  </threadedComment>
  <threadedComment ref="F2393" dT="2026-01-15T13:00:00.69" personId="{67D415DC-73B9-4445-A002-91A513CC875D}" id="{8AD1F50D-DB4A-49BE-90E9-587A9E8FEAAD}">
    <text>REONERAÇAO</text>
  </threadedComment>
  <threadedComment ref="F2394" dT="2026-01-15T13:00:00.69" personId="{67D415DC-73B9-4445-A002-91A513CC875D}" id="{C1420183-AEC9-4077-A188-5ADB95EA5218}">
    <text>REONERAÇAO</text>
  </threadedComment>
  <threadedComment ref="F2395" dT="2026-01-15T13:00:00.69" personId="{67D415DC-73B9-4445-A002-91A513CC875D}" id="{CEC9FAC3-A744-4E24-AE57-F89BDC2F872B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19F18-AC4A-43ED-B1B6-02EBDB9247DE}">
  <sheetPr>
    <tabColor theme="4" tint="0.39997558519241921"/>
    <pageSetUpPr fitToPage="1"/>
  </sheetPr>
  <dimension ref="A2:V68"/>
  <sheetViews>
    <sheetView showGridLines="0" topLeftCell="A4" zoomScaleNormal="100" workbookViewId="0">
      <selection activeCell="H15" sqref="H15"/>
    </sheetView>
  </sheetViews>
  <sheetFormatPr defaultColWidth="8.6640625" defaultRowHeight="14.4" x14ac:dyDescent="0.3"/>
  <cols>
    <col min="1" max="1" width="11.44140625" bestFit="1" customWidth="1"/>
    <col min="3" max="5" width="8.44140625" customWidth="1"/>
    <col min="6" max="6" width="4.44140625" customWidth="1"/>
    <col min="7" max="7" width="21.5546875" bestFit="1" customWidth="1"/>
    <col min="8" max="8" width="18.5546875" bestFit="1" customWidth="1"/>
    <col min="9" max="10" width="11.44140625" bestFit="1" customWidth="1"/>
    <col min="11" max="11" width="24.88671875" bestFit="1" customWidth="1"/>
    <col min="12" max="12" width="26.6640625" bestFit="1" customWidth="1"/>
    <col min="13" max="13" width="24.88671875" bestFit="1" customWidth="1"/>
    <col min="14" max="17" width="10.77734375" bestFit="1" customWidth="1"/>
    <col min="18" max="18" width="11.44140625" bestFit="1" customWidth="1"/>
    <col min="19" max="19" width="16.33203125" customWidth="1"/>
    <col min="20" max="20" width="10.109375" customWidth="1"/>
    <col min="21" max="21" width="10.88671875" bestFit="1" customWidth="1"/>
    <col min="22" max="22" width="7.44140625" bestFit="1" customWidth="1"/>
    <col min="23" max="23" width="26.33203125" bestFit="1" customWidth="1"/>
    <col min="24" max="24" width="24.6640625" bestFit="1" customWidth="1"/>
    <col min="25" max="38" width="10.6640625" bestFit="1" customWidth="1"/>
    <col min="39" max="39" width="11.44140625" bestFit="1" customWidth="1"/>
    <col min="40" max="64" width="10.6640625" bestFit="1" customWidth="1"/>
    <col min="65" max="65" width="12.44140625" bestFit="1" customWidth="1"/>
    <col min="66" max="66" width="10.6640625" bestFit="1" customWidth="1"/>
    <col min="67" max="67" width="11" bestFit="1" customWidth="1"/>
    <col min="68" max="68" width="10.6640625" bestFit="1" customWidth="1"/>
    <col min="69" max="77" width="11" bestFit="1" customWidth="1"/>
    <col min="78" max="78" width="10.6640625" bestFit="1" customWidth="1"/>
    <col min="79" max="79" width="11" bestFit="1" customWidth="1"/>
    <col min="80" max="80" width="10.6640625" bestFit="1" customWidth="1"/>
    <col min="81" max="81" width="11" bestFit="1" customWidth="1"/>
    <col min="82" max="84" width="10.6640625" bestFit="1" customWidth="1"/>
    <col min="85" max="93" width="11" bestFit="1" customWidth="1"/>
    <col min="94" max="94" width="10.6640625" bestFit="1" customWidth="1"/>
    <col min="95" max="96" width="11" bestFit="1" customWidth="1"/>
    <col min="97" max="97" width="10.6640625" bestFit="1" customWidth="1"/>
    <col min="98" max="98" width="11" bestFit="1" customWidth="1"/>
    <col min="99" max="99" width="10.6640625" bestFit="1" customWidth="1"/>
    <col min="100" max="105" width="11" bestFit="1" customWidth="1"/>
    <col min="106" max="106" width="10.6640625" bestFit="1" customWidth="1"/>
    <col min="107" max="110" width="11" bestFit="1" customWidth="1"/>
    <col min="111" max="111" width="10.6640625" bestFit="1" customWidth="1"/>
    <col min="112" max="120" width="11" bestFit="1" customWidth="1"/>
    <col min="121" max="121" width="12" bestFit="1" customWidth="1"/>
    <col min="122" max="123" width="10.6640625" bestFit="1" customWidth="1"/>
    <col min="124" max="124" width="11" bestFit="1" customWidth="1"/>
    <col min="125" max="126" width="12" bestFit="1" customWidth="1"/>
    <col min="127" max="128" width="10.6640625" bestFit="1" customWidth="1"/>
    <col min="129" max="130" width="12" bestFit="1" customWidth="1"/>
    <col min="131" max="131" width="10.6640625" bestFit="1" customWidth="1"/>
    <col min="132" max="133" width="12" bestFit="1" customWidth="1"/>
    <col min="134" max="134" width="10.6640625" bestFit="1" customWidth="1"/>
    <col min="135" max="135" width="11" bestFit="1" customWidth="1"/>
    <col min="136" max="136" width="12" bestFit="1" customWidth="1"/>
    <col min="137" max="137" width="10.6640625" bestFit="1" customWidth="1"/>
    <col min="138" max="139" width="12" bestFit="1" customWidth="1"/>
  </cols>
  <sheetData>
    <row r="2" spans="7:22" x14ac:dyDescent="0.3">
      <c r="G2" s="7" t="s">
        <v>25</v>
      </c>
      <c r="H2" t="s">
        <v>26</v>
      </c>
    </row>
    <row r="4" spans="7:22" x14ac:dyDescent="0.3">
      <c r="G4" s="7" t="s">
        <v>1</v>
      </c>
      <c r="H4" s="7" t="s">
        <v>194</v>
      </c>
    </row>
    <row r="5" spans="7:22" ht="28.8" x14ac:dyDescent="0.3">
      <c r="H5" t="s">
        <v>720</v>
      </c>
      <c r="I5" s="172" t="s">
        <v>19</v>
      </c>
      <c r="S5" s="87" t="s">
        <v>27</v>
      </c>
      <c r="T5" s="87" t="s">
        <v>28</v>
      </c>
      <c r="U5" s="88" t="s">
        <v>29</v>
      </c>
      <c r="V5" s="88" t="s">
        <v>30</v>
      </c>
    </row>
    <row r="6" spans="7:22" x14ac:dyDescent="0.3">
      <c r="G6" s="7" t="s">
        <v>0</v>
      </c>
      <c r="I6" s="172"/>
      <c r="S6" s="89" t="s">
        <v>31</v>
      </c>
      <c r="T6" s="92">
        <f>(2581428+841643+159298+90250+62419)/1000-U6</f>
        <v>3434.038</v>
      </c>
      <c r="U6" s="92">
        <v>301</v>
      </c>
      <c r="V6" s="92">
        <f>T6+U6</f>
        <v>3735.038</v>
      </c>
    </row>
    <row r="7" spans="7:22" x14ac:dyDescent="0.3">
      <c r="G7" s="4" t="s">
        <v>32</v>
      </c>
      <c r="H7" s="2">
        <v>2295789.54</v>
      </c>
      <c r="I7" s="2">
        <v>2295789.54</v>
      </c>
      <c r="S7" s="89" t="s">
        <v>33</v>
      </c>
      <c r="T7" s="92">
        <f>(1984911+514414)/1000-U7</f>
        <v>636.73999999999978</v>
      </c>
      <c r="U7" s="92">
        <f>1862585/1000</f>
        <v>1862.585</v>
      </c>
      <c r="V7" s="92">
        <f t="shared" ref="V7:V9" si="0">T7+U7</f>
        <v>2499.3249999999998</v>
      </c>
    </row>
    <row r="8" spans="7:22" x14ac:dyDescent="0.3">
      <c r="G8" s="4" t="s">
        <v>141</v>
      </c>
      <c r="H8" s="2">
        <v>1596824.32</v>
      </c>
      <c r="I8" s="2">
        <v>1596824.32</v>
      </c>
      <c r="S8" s="89" t="s">
        <v>35</v>
      </c>
      <c r="T8" s="92">
        <f>(2977638+581877+46834+2326272+236281+157388+66291+56875)/1000-U8</f>
        <v>5774.7359999999999</v>
      </c>
      <c r="U8" s="92">
        <f>674720/1000</f>
        <v>674.72</v>
      </c>
      <c r="V8" s="92">
        <f t="shared" si="0"/>
        <v>6449.4560000000001</v>
      </c>
    </row>
    <row r="9" spans="7:22" x14ac:dyDescent="0.3">
      <c r="G9" s="4" t="s">
        <v>38</v>
      </c>
      <c r="H9" s="2">
        <v>1200033.68</v>
      </c>
      <c r="I9" s="2">
        <v>1200033.68</v>
      </c>
      <c r="S9" s="90" t="s">
        <v>37</v>
      </c>
      <c r="T9" s="93">
        <f>(904944+3900)/1000</f>
        <v>908.84400000000005</v>
      </c>
      <c r="U9" s="93">
        <v>0</v>
      </c>
      <c r="V9" s="92">
        <f t="shared" si="0"/>
        <v>908.84400000000005</v>
      </c>
    </row>
    <row r="10" spans="7:22" x14ac:dyDescent="0.3">
      <c r="G10" s="4" t="s">
        <v>44</v>
      </c>
      <c r="H10" s="2">
        <v>849733.57</v>
      </c>
      <c r="I10" s="2">
        <v>849733.57</v>
      </c>
      <c r="S10" s="91" t="s">
        <v>19</v>
      </c>
      <c r="T10" s="94">
        <f>SUM(T6:T9)</f>
        <v>10754.358</v>
      </c>
      <c r="U10" s="94">
        <f>SUM(U6:U9)</f>
        <v>2838.3050000000003</v>
      </c>
      <c r="V10" s="94">
        <f>SUM(V6:V9)</f>
        <v>13592.663</v>
      </c>
    </row>
    <row r="11" spans="7:22" x14ac:dyDescent="0.3">
      <c r="G11" s="4" t="s">
        <v>196</v>
      </c>
      <c r="H11" s="2">
        <v>849376.33999999985</v>
      </c>
      <c r="I11" s="2">
        <v>849376.33999999985</v>
      </c>
    </row>
    <row r="12" spans="7:22" x14ac:dyDescent="0.3">
      <c r="G12" s="173" t="s">
        <v>39</v>
      </c>
      <c r="H12" s="2">
        <v>738644.92</v>
      </c>
      <c r="I12" s="2">
        <v>738644.92</v>
      </c>
    </row>
    <row r="13" spans="7:22" x14ac:dyDescent="0.3">
      <c r="G13" s="4" t="s">
        <v>200</v>
      </c>
      <c r="H13" s="2">
        <v>650444.69000000006</v>
      </c>
      <c r="I13" s="2">
        <v>650444.69000000006</v>
      </c>
    </row>
    <row r="14" spans="7:22" x14ac:dyDescent="0.3">
      <c r="G14" s="4" t="s">
        <v>34</v>
      </c>
      <c r="H14" s="2">
        <v>584399.41</v>
      </c>
      <c r="I14" s="2">
        <v>584399.41</v>
      </c>
    </row>
    <row r="15" spans="7:22" x14ac:dyDescent="0.3">
      <c r="G15" s="4" t="s">
        <v>348</v>
      </c>
      <c r="H15" s="2">
        <v>466200.21</v>
      </c>
      <c r="I15" s="2">
        <v>466200.21</v>
      </c>
    </row>
    <row r="16" spans="7:22" x14ac:dyDescent="0.3">
      <c r="G16" s="4" t="s">
        <v>45</v>
      </c>
      <c r="H16" s="2">
        <v>372813.64</v>
      </c>
      <c r="I16" s="2">
        <v>372813.64</v>
      </c>
    </row>
    <row r="17" spans="7:9" x14ac:dyDescent="0.3">
      <c r="G17" s="4" t="s">
        <v>109</v>
      </c>
      <c r="H17" s="2">
        <v>295573.44</v>
      </c>
      <c r="I17" s="2">
        <v>295573.44</v>
      </c>
    </row>
    <row r="18" spans="7:9" x14ac:dyDescent="0.3">
      <c r="G18" s="4" t="s">
        <v>36</v>
      </c>
      <c r="H18" s="2">
        <v>294000.96000000002</v>
      </c>
      <c r="I18" s="2">
        <v>294000.96000000002</v>
      </c>
    </row>
    <row r="19" spans="7:9" x14ac:dyDescent="0.3">
      <c r="G19" s="4" t="s">
        <v>208</v>
      </c>
      <c r="H19" s="2">
        <v>236280.79</v>
      </c>
      <c r="I19" s="2">
        <v>236280.79</v>
      </c>
    </row>
    <row r="20" spans="7:9" x14ac:dyDescent="0.3">
      <c r="G20" s="173" t="s">
        <v>16</v>
      </c>
      <c r="H20" s="2">
        <v>188124.63</v>
      </c>
      <c r="I20" s="2">
        <v>188124.63</v>
      </c>
    </row>
    <row r="21" spans="7:9" x14ac:dyDescent="0.3">
      <c r="G21" s="173" t="s">
        <v>17</v>
      </c>
      <c r="H21" s="2">
        <v>107871.54000000001</v>
      </c>
      <c r="I21" s="2">
        <v>107871.54000000001</v>
      </c>
    </row>
    <row r="22" spans="7:9" x14ac:dyDescent="0.3">
      <c r="G22" s="4" t="s">
        <v>178</v>
      </c>
      <c r="H22" s="2">
        <v>96505.35</v>
      </c>
      <c r="I22" s="2">
        <v>96505.35</v>
      </c>
    </row>
    <row r="23" spans="7:9" x14ac:dyDescent="0.3">
      <c r="G23" s="4" t="s">
        <v>95</v>
      </c>
      <c r="H23" s="2">
        <v>90040.33</v>
      </c>
      <c r="I23" s="2">
        <v>90040.33</v>
      </c>
    </row>
    <row r="24" spans="7:9" x14ac:dyDescent="0.3">
      <c r="G24" s="4" t="s">
        <v>42</v>
      </c>
      <c r="H24" s="2">
        <v>89050</v>
      </c>
      <c r="I24" s="2">
        <v>89050</v>
      </c>
    </row>
    <row r="25" spans="7:9" x14ac:dyDescent="0.3">
      <c r="G25" s="4" t="s">
        <v>197</v>
      </c>
      <c r="H25" s="2">
        <v>67781.399999999994</v>
      </c>
      <c r="I25" s="2">
        <v>67781.399999999994</v>
      </c>
    </row>
    <row r="26" spans="7:9" x14ac:dyDescent="0.3">
      <c r="G26" s="4" t="s">
        <v>21</v>
      </c>
      <c r="H26" s="2">
        <v>58691.384950926935</v>
      </c>
      <c r="I26" s="2">
        <v>58691.384950926935</v>
      </c>
    </row>
    <row r="27" spans="7:9" x14ac:dyDescent="0.3">
      <c r="G27" s="4" t="s">
        <v>40</v>
      </c>
      <c r="H27" s="2">
        <v>58691.22</v>
      </c>
      <c r="I27" s="2">
        <v>58691.22</v>
      </c>
    </row>
    <row r="28" spans="7:9" x14ac:dyDescent="0.3">
      <c r="G28" s="4" t="s">
        <v>165</v>
      </c>
      <c r="H28" s="2">
        <v>52080</v>
      </c>
      <c r="I28" s="2">
        <v>52080</v>
      </c>
    </row>
    <row r="29" spans="7:9" x14ac:dyDescent="0.3">
      <c r="G29" s="4" t="s">
        <v>41</v>
      </c>
      <c r="H29" s="2">
        <v>48547.199999999997</v>
      </c>
      <c r="I29" s="2">
        <v>48547.199999999997</v>
      </c>
    </row>
    <row r="30" spans="7:9" x14ac:dyDescent="0.3">
      <c r="G30" s="4" t="s">
        <v>175</v>
      </c>
      <c r="H30" s="2">
        <v>38384.53</v>
      </c>
      <c r="I30" s="2">
        <v>38384.53</v>
      </c>
    </row>
    <row r="31" spans="7:9" x14ac:dyDescent="0.3">
      <c r="G31" s="4" t="s">
        <v>121</v>
      </c>
      <c r="H31" s="2">
        <v>11009.7</v>
      </c>
      <c r="I31" s="2">
        <v>11009.7</v>
      </c>
    </row>
    <row r="32" spans="7:9" x14ac:dyDescent="0.3">
      <c r="G32" s="4" t="s">
        <v>4</v>
      </c>
      <c r="H32" s="2">
        <v>4535.1000000000004</v>
      </c>
      <c r="I32" s="2">
        <v>4535.1000000000004</v>
      </c>
    </row>
    <row r="33" spans="1:10" x14ac:dyDescent="0.3">
      <c r="A33" s="8"/>
      <c r="G33" s="4" t="s">
        <v>19</v>
      </c>
      <c r="H33" s="2">
        <v>11341427.894950928</v>
      </c>
      <c r="I33" s="2">
        <v>11341427.894950928</v>
      </c>
    </row>
    <row r="34" spans="1:10" x14ac:dyDescent="0.3">
      <c r="A34" s="8"/>
    </row>
    <row r="35" spans="1:10" x14ac:dyDescent="0.3">
      <c r="A35" s="8"/>
    </row>
    <row r="45" spans="1:10" x14ac:dyDescent="0.3">
      <c r="G45" s="4"/>
      <c r="H45" s="2"/>
      <c r="I45" s="2"/>
      <c r="J45" s="2"/>
    </row>
    <row r="46" spans="1:10" x14ac:dyDescent="0.3">
      <c r="G46" s="4"/>
      <c r="H46" s="2"/>
      <c r="I46" s="2"/>
      <c r="J46" s="2"/>
    </row>
    <row r="47" spans="1:10" x14ac:dyDescent="0.3">
      <c r="G47" s="4"/>
      <c r="H47" s="2"/>
      <c r="I47" s="2"/>
      <c r="J47" s="2"/>
    </row>
    <row r="52" spans="7:11" ht="15" thickBot="1" x14ac:dyDescent="0.35"/>
    <row r="53" spans="7:11" ht="28.8" x14ac:dyDescent="0.3">
      <c r="G53" s="99" t="s">
        <v>195</v>
      </c>
      <c r="H53" s="164" t="s">
        <v>877</v>
      </c>
      <c r="I53" s="34" t="s">
        <v>878</v>
      </c>
      <c r="J53" s="99" t="s">
        <v>30</v>
      </c>
      <c r="K53" s="164" t="s">
        <v>879</v>
      </c>
    </row>
    <row r="54" spans="7:11" x14ac:dyDescent="0.3">
      <c r="G54" s="100" t="s">
        <v>32</v>
      </c>
      <c r="H54" s="106">
        <v>-1703541.5228571428</v>
      </c>
      <c r="I54" s="106">
        <v>1020096</v>
      </c>
      <c r="J54" s="106">
        <f>I54+H54</f>
        <v>-683445.52285714285</v>
      </c>
    </row>
    <row r="55" spans="7:11" x14ac:dyDescent="0.3">
      <c r="G55" s="100" t="s">
        <v>3</v>
      </c>
      <c r="H55" s="106">
        <v>-400000</v>
      </c>
      <c r="I55" s="106">
        <v>0</v>
      </c>
      <c r="J55" s="106">
        <f t="shared" ref="J55:J68" si="1">I55+H55</f>
        <v>-400000</v>
      </c>
    </row>
    <row r="56" spans="7:11" x14ac:dyDescent="0.3">
      <c r="G56" s="100" t="s">
        <v>34</v>
      </c>
      <c r="H56" s="106">
        <v>-201188.92999999993</v>
      </c>
      <c r="I56" s="106">
        <v>34583</v>
      </c>
      <c r="J56" s="106">
        <f t="shared" si="1"/>
        <v>-166605.92999999993</v>
      </c>
    </row>
    <row r="57" spans="7:11" x14ac:dyDescent="0.3">
      <c r="G57" s="100" t="s">
        <v>16</v>
      </c>
      <c r="H57" s="106">
        <v>-120533</v>
      </c>
      <c r="I57" s="106">
        <v>0</v>
      </c>
      <c r="J57" s="106">
        <v>0</v>
      </c>
      <c r="K57" s="1" t="s">
        <v>880</v>
      </c>
    </row>
    <row r="58" spans="7:11" x14ac:dyDescent="0.3">
      <c r="G58" s="100" t="s">
        <v>109</v>
      </c>
      <c r="H58" s="106">
        <v>-107023.9</v>
      </c>
      <c r="I58" s="106">
        <v>102892.1</v>
      </c>
      <c r="J58" s="106">
        <f t="shared" si="1"/>
        <v>-4131.7999999999884</v>
      </c>
    </row>
    <row r="59" spans="7:11" x14ac:dyDescent="0.3">
      <c r="G59" s="100" t="s">
        <v>41</v>
      </c>
      <c r="H59" s="106">
        <v>-103571.84831999999</v>
      </c>
      <c r="I59" s="106">
        <v>48547.199999999997</v>
      </c>
      <c r="J59" s="106">
        <f t="shared" si="1"/>
        <v>-55024.648319999993</v>
      </c>
    </row>
    <row r="60" spans="7:11" x14ac:dyDescent="0.3">
      <c r="G60" s="100" t="s">
        <v>17</v>
      </c>
      <c r="H60" s="106">
        <v>-89150</v>
      </c>
      <c r="I60" s="106">
        <v>0</v>
      </c>
      <c r="J60" s="106">
        <f t="shared" si="1"/>
        <v>-89150</v>
      </c>
    </row>
    <row r="61" spans="7:11" x14ac:dyDescent="0.3">
      <c r="G61" s="100" t="s">
        <v>196</v>
      </c>
      <c r="H61" s="106">
        <v>-84692</v>
      </c>
      <c r="I61" s="106">
        <v>84692</v>
      </c>
      <c r="J61" s="106">
        <f t="shared" si="1"/>
        <v>0</v>
      </c>
    </row>
    <row r="62" spans="7:11" x14ac:dyDescent="0.3">
      <c r="G62" s="100" t="s">
        <v>200</v>
      </c>
      <c r="H62" s="106">
        <v>-79795.429999999469</v>
      </c>
      <c r="I62" s="106">
        <v>0</v>
      </c>
      <c r="J62" s="106">
        <f t="shared" si="1"/>
        <v>-79795.429999999469</v>
      </c>
    </row>
    <row r="63" spans="7:11" x14ac:dyDescent="0.3">
      <c r="G63" s="100" t="s">
        <v>141</v>
      </c>
      <c r="H63" s="106">
        <v>-56245.079999999842</v>
      </c>
      <c r="I63" s="106">
        <v>41368</v>
      </c>
      <c r="J63" s="106">
        <f t="shared" si="1"/>
        <v>-14877.079999999842</v>
      </c>
      <c r="K63" s="1" t="s">
        <v>881</v>
      </c>
    </row>
    <row r="64" spans="7:11" x14ac:dyDescent="0.3">
      <c r="G64" s="100" t="s">
        <v>38</v>
      </c>
      <c r="H64" s="106">
        <v>-52924.800000000047</v>
      </c>
      <c r="I64" s="106">
        <v>0</v>
      </c>
      <c r="J64" s="106">
        <f t="shared" si="1"/>
        <v>-52924.800000000047</v>
      </c>
    </row>
    <row r="65" spans="7:10" x14ac:dyDescent="0.3">
      <c r="G65" s="100" t="s">
        <v>178</v>
      </c>
      <c r="H65" s="106">
        <v>-29491.720000000016</v>
      </c>
      <c r="I65" s="106">
        <v>0</v>
      </c>
      <c r="J65" s="106">
        <f t="shared" si="1"/>
        <v>-29491.720000000016</v>
      </c>
    </row>
    <row r="66" spans="7:10" x14ac:dyDescent="0.3">
      <c r="G66" s="100" t="s">
        <v>165</v>
      </c>
      <c r="H66" s="106">
        <v>-26040</v>
      </c>
      <c r="I66" s="106">
        <v>26040</v>
      </c>
      <c r="J66" s="106">
        <f t="shared" si="1"/>
        <v>0</v>
      </c>
    </row>
    <row r="67" spans="7:10" x14ac:dyDescent="0.3">
      <c r="G67" s="100" t="s">
        <v>169</v>
      </c>
      <c r="H67" s="106">
        <v>-800</v>
      </c>
      <c r="I67" s="106">
        <v>0</v>
      </c>
      <c r="J67" s="106">
        <f t="shared" si="1"/>
        <v>-800</v>
      </c>
    </row>
    <row r="68" spans="7:10" x14ac:dyDescent="0.3">
      <c r="G68" s="166" t="s">
        <v>876</v>
      </c>
      <c r="H68" s="165">
        <f>SUM(H54:H67)</f>
        <v>-3054998.2311771414</v>
      </c>
      <c r="I68" s="165">
        <f>SUM(I54:I67)</f>
        <v>1358218.3</v>
      </c>
      <c r="J68" s="165">
        <f t="shared" si="1"/>
        <v>-1696779.9311771414</v>
      </c>
    </row>
  </sheetData>
  <conditionalFormatting sqref="H54:J67">
    <cfRule type="cellIs" dxfId="84" priority="1" operator="lessThan">
      <formula>0</formula>
    </cfRule>
    <cfRule type="cellIs" dxfId="83" priority="2" operator="lessThan">
      <formula>-535168</formula>
    </cfRule>
    <cfRule type="cellIs" dxfId="82" priority="3" operator="lessThan">
      <formula>0</formula>
    </cfRule>
  </conditionalFormatting>
  <conditionalFormatting sqref="H68:J68">
    <cfRule type="cellIs" dxfId="81" priority="10" operator="greaterThan">
      <formula>0</formula>
    </cfRule>
    <cfRule type="cellIs" dxfId="80" priority="1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36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C6C1A-F6E1-4ECD-A5F7-88A11A7F9FBE}">
  <dimension ref="A1:D2"/>
  <sheetViews>
    <sheetView workbookViewId="0">
      <selection activeCell="D2" sqref="D2"/>
    </sheetView>
  </sheetViews>
  <sheetFormatPr defaultRowHeight="14.4" x14ac:dyDescent="0.3"/>
  <cols>
    <col min="1" max="3" width="16.109375" customWidth="1"/>
    <col min="4" max="4" width="11.44140625" bestFit="1" customWidth="1"/>
  </cols>
  <sheetData>
    <row r="1" spans="1:4" x14ac:dyDescent="0.3">
      <c r="A1" s="129" t="s">
        <v>47</v>
      </c>
      <c r="B1" s="129" t="s">
        <v>48</v>
      </c>
      <c r="C1" s="129" t="s">
        <v>49</v>
      </c>
    </row>
    <row r="2" spans="1:4" x14ac:dyDescent="0.3">
      <c r="A2" s="156">
        <v>21934119.901177142</v>
      </c>
      <c r="B2" s="156">
        <v>17201225.644986663</v>
      </c>
      <c r="C2" s="156">
        <v>19968580.08532</v>
      </c>
      <c r="D2" s="2">
        <f>SUM(A2:C2)</f>
        <v>59103925.631483808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30" t="s">
        <v>50</v>
      </c>
      <c r="B1" t="s">
        <v>51</v>
      </c>
      <c r="C1" t="s">
        <v>52</v>
      </c>
      <c r="D1" t="s">
        <v>53</v>
      </c>
      <c r="E1" t="s">
        <v>54</v>
      </c>
    </row>
    <row r="2" spans="1:5" x14ac:dyDescent="0.3">
      <c r="A2" s="30">
        <v>1413</v>
      </c>
      <c r="B2" t="s">
        <v>55</v>
      </c>
      <c r="C2" t="s">
        <v>56</v>
      </c>
      <c r="D2" t="s">
        <v>57</v>
      </c>
      <c r="E2" t="s">
        <v>58</v>
      </c>
    </row>
    <row r="3" spans="1:5" x14ac:dyDescent="0.3">
      <c r="A3" s="30">
        <v>1455</v>
      </c>
      <c r="B3" t="s">
        <v>59</v>
      </c>
      <c r="C3" t="s">
        <v>60</v>
      </c>
      <c r="D3" t="s">
        <v>60</v>
      </c>
      <c r="E3" t="s">
        <v>58</v>
      </c>
    </row>
    <row r="4" spans="1:5" x14ac:dyDescent="0.3">
      <c r="A4" s="30">
        <v>1497</v>
      </c>
      <c r="B4" t="s">
        <v>59</v>
      </c>
      <c r="C4" t="s">
        <v>60</v>
      </c>
      <c r="D4" t="s">
        <v>61</v>
      </c>
      <c r="E4" t="s">
        <v>58</v>
      </c>
    </row>
    <row r="5" spans="1:5" x14ac:dyDescent="0.3">
      <c r="A5" s="30">
        <v>1463</v>
      </c>
      <c r="B5" t="s">
        <v>62</v>
      </c>
      <c r="C5" t="s">
        <v>63</v>
      </c>
      <c r="D5" t="s">
        <v>64</v>
      </c>
      <c r="E5" t="s">
        <v>65</v>
      </c>
    </row>
    <row r="6" spans="1:5" x14ac:dyDescent="0.3">
      <c r="A6" s="30">
        <v>1464</v>
      </c>
      <c r="B6" t="s">
        <v>62</v>
      </c>
      <c r="C6" t="s">
        <v>63</v>
      </c>
      <c r="D6" t="s">
        <v>66</v>
      </c>
      <c r="E6" t="s">
        <v>65</v>
      </c>
    </row>
    <row r="7" spans="1:5" x14ac:dyDescent="0.3">
      <c r="A7" s="30">
        <v>1461</v>
      </c>
      <c r="B7" t="s">
        <v>62</v>
      </c>
      <c r="C7" t="s">
        <v>63</v>
      </c>
      <c r="D7" t="s">
        <v>67</v>
      </c>
      <c r="E7" t="s">
        <v>65</v>
      </c>
    </row>
    <row r="8" spans="1:5" x14ac:dyDescent="0.3">
      <c r="A8" s="30">
        <v>1465</v>
      </c>
      <c r="B8" t="s">
        <v>62</v>
      </c>
      <c r="C8" t="s">
        <v>63</v>
      </c>
      <c r="D8" t="s">
        <v>67</v>
      </c>
      <c r="E8" t="s">
        <v>65</v>
      </c>
    </row>
    <row r="9" spans="1:5" x14ac:dyDescent="0.3">
      <c r="A9" s="30">
        <v>1472</v>
      </c>
      <c r="B9" t="s">
        <v>62</v>
      </c>
      <c r="C9" t="s">
        <v>41</v>
      </c>
      <c r="D9" t="s">
        <v>41</v>
      </c>
      <c r="E9" t="s">
        <v>68</v>
      </c>
    </row>
    <row r="10" spans="1:5" x14ac:dyDescent="0.3">
      <c r="A10" s="30">
        <v>1496</v>
      </c>
      <c r="B10" t="s">
        <v>62</v>
      </c>
      <c r="C10" t="s">
        <v>69</v>
      </c>
      <c r="D10" t="s">
        <v>69</v>
      </c>
      <c r="E10" t="s">
        <v>68</v>
      </c>
    </row>
    <row r="11" spans="1:5" x14ac:dyDescent="0.3">
      <c r="A11" s="30">
        <v>1489</v>
      </c>
      <c r="B11" t="s">
        <v>62</v>
      </c>
      <c r="C11" t="s">
        <v>70</v>
      </c>
      <c r="D11" t="s">
        <v>70</v>
      </c>
      <c r="E11" t="s">
        <v>68</v>
      </c>
    </row>
    <row r="12" spans="1:5" x14ac:dyDescent="0.3">
      <c r="A12" s="30">
        <v>1391</v>
      </c>
      <c r="B12" t="s">
        <v>71</v>
      </c>
      <c r="C12" t="s">
        <v>22</v>
      </c>
      <c r="D12" t="s">
        <v>72</v>
      </c>
      <c r="E12" t="s">
        <v>68</v>
      </c>
    </row>
    <row r="13" spans="1:5" x14ac:dyDescent="0.3">
      <c r="A13" s="30">
        <v>1294</v>
      </c>
      <c r="B13" t="s">
        <v>71</v>
      </c>
      <c r="C13" t="s">
        <v>22</v>
      </c>
      <c r="D13" t="s">
        <v>73</v>
      </c>
      <c r="E13" t="s">
        <v>68</v>
      </c>
    </row>
    <row r="14" spans="1:5" x14ac:dyDescent="0.3">
      <c r="A14" s="30">
        <v>1474</v>
      </c>
      <c r="B14" t="s">
        <v>71</v>
      </c>
      <c r="C14" t="s">
        <v>22</v>
      </c>
      <c r="D14" t="s">
        <v>74</v>
      </c>
      <c r="E14" t="s">
        <v>68</v>
      </c>
    </row>
    <row r="15" spans="1:5" x14ac:dyDescent="0.3">
      <c r="A15" s="30">
        <v>1285</v>
      </c>
      <c r="B15" t="s">
        <v>71</v>
      </c>
      <c r="C15" t="s">
        <v>22</v>
      </c>
      <c r="D15" t="s">
        <v>75</v>
      </c>
      <c r="E15" t="s">
        <v>68</v>
      </c>
    </row>
    <row r="16" spans="1:5" x14ac:dyDescent="0.3">
      <c r="A16" s="30">
        <v>1354</v>
      </c>
      <c r="B16" t="s">
        <v>71</v>
      </c>
      <c r="C16" t="s">
        <v>22</v>
      </c>
      <c r="D16" t="s">
        <v>76</v>
      </c>
      <c r="E16" t="s">
        <v>68</v>
      </c>
    </row>
    <row r="17" spans="1:5" x14ac:dyDescent="0.3">
      <c r="A17" s="30">
        <v>1274</v>
      </c>
      <c r="B17" t="s">
        <v>71</v>
      </c>
      <c r="C17" t="s">
        <v>22</v>
      </c>
      <c r="D17" t="s">
        <v>77</v>
      </c>
      <c r="E17" t="s">
        <v>68</v>
      </c>
    </row>
    <row r="18" spans="1:5" x14ac:dyDescent="0.3">
      <c r="A18" s="30">
        <v>1484</v>
      </c>
      <c r="B18" t="s">
        <v>71</v>
      </c>
      <c r="C18" t="s">
        <v>78</v>
      </c>
      <c r="D18" t="s">
        <v>79</v>
      </c>
      <c r="E18" t="s">
        <v>68</v>
      </c>
    </row>
    <row r="19" spans="1:5" x14ac:dyDescent="0.3">
      <c r="A19" s="30">
        <v>1269</v>
      </c>
      <c r="B19" t="s">
        <v>71</v>
      </c>
      <c r="C19" t="s">
        <v>80</v>
      </c>
      <c r="D19" t="s">
        <v>81</v>
      </c>
      <c r="E19" t="s">
        <v>68</v>
      </c>
    </row>
    <row r="20" spans="1:5" x14ac:dyDescent="0.3">
      <c r="A20" s="30">
        <v>1262</v>
      </c>
      <c r="B20" t="s">
        <v>71</v>
      </c>
      <c r="C20" t="s">
        <v>80</v>
      </c>
      <c r="D20" t="s">
        <v>80</v>
      </c>
      <c r="E20" t="s">
        <v>68</v>
      </c>
    </row>
    <row r="21" spans="1:5" x14ac:dyDescent="0.3">
      <c r="A21" s="30">
        <v>1478</v>
      </c>
      <c r="B21" t="s">
        <v>71</v>
      </c>
      <c r="C21" t="s">
        <v>82</v>
      </c>
      <c r="D21" t="s">
        <v>82</v>
      </c>
      <c r="E21" t="s">
        <v>68</v>
      </c>
    </row>
    <row r="22" spans="1:5" x14ac:dyDescent="0.3">
      <c r="A22" s="30">
        <v>1393</v>
      </c>
      <c r="B22" t="s">
        <v>55</v>
      </c>
      <c r="C22" t="s">
        <v>83</v>
      </c>
      <c r="D22" t="s">
        <v>83</v>
      </c>
      <c r="E22" t="s">
        <v>58</v>
      </c>
    </row>
    <row r="23" spans="1:5" x14ac:dyDescent="0.3">
      <c r="A23" s="30">
        <v>1515</v>
      </c>
      <c r="B23" t="s">
        <v>84</v>
      </c>
      <c r="C23" t="s">
        <v>14</v>
      </c>
      <c r="D23" t="s">
        <v>85</v>
      </c>
      <c r="E23" t="s">
        <v>65</v>
      </c>
    </row>
    <row r="24" spans="1:5" x14ac:dyDescent="0.3">
      <c r="A24" s="30">
        <v>1519</v>
      </c>
      <c r="B24" t="s">
        <v>84</v>
      </c>
      <c r="C24" t="s">
        <v>14</v>
      </c>
      <c r="D24" t="s">
        <v>86</v>
      </c>
      <c r="E24" t="s">
        <v>65</v>
      </c>
    </row>
    <row r="25" spans="1:5" x14ac:dyDescent="0.3">
      <c r="A25" s="30">
        <v>1291</v>
      </c>
      <c r="B25" t="s">
        <v>84</v>
      </c>
      <c r="C25" t="s">
        <v>14</v>
      </c>
      <c r="D25" t="s">
        <v>14</v>
      </c>
      <c r="E25" t="s">
        <v>65</v>
      </c>
    </row>
    <row r="26" spans="1:5" x14ac:dyDescent="0.3">
      <c r="A26" s="30">
        <v>1482</v>
      </c>
      <c r="B26" t="s">
        <v>84</v>
      </c>
      <c r="C26" t="s">
        <v>87</v>
      </c>
      <c r="D26" t="s">
        <v>87</v>
      </c>
      <c r="E26" t="s">
        <v>58</v>
      </c>
    </row>
    <row r="27" spans="1:5" x14ac:dyDescent="0.3">
      <c r="A27" s="30">
        <v>1300</v>
      </c>
      <c r="B27" t="s">
        <v>84</v>
      </c>
      <c r="C27" t="s">
        <v>14</v>
      </c>
      <c r="D27" t="s">
        <v>88</v>
      </c>
      <c r="E27" t="s">
        <v>65</v>
      </c>
    </row>
    <row r="28" spans="1:5" x14ac:dyDescent="0.3">
      <c r="A28" s="30">
        <v>1290</v>
      </c>
      <c r="B28" t="s">
        <v>59</v>
      </c>
      <c r="C28" t="s">
        <v>40</v>
      </c>
      <c r="D28" t="s">
        <v>89</v>
      </c>
      <c r="E28" t="s">
        <v>58</v>
      </c>
    </row>
    <row r="29" spans="1:5" x14ac:dyDescent="0.3">
      <c r="A29" s="30">
        <v>1490</v>
      </c>
      <c r="B29" t="s">
        <v>59</v>
      </c>
      <c r="C29" t="s">
        <v>40</v>
      </c>
      <c r="D29" t="s">
        <v>90</v>
      </c>
      <c r="E29" t="s">
        <v>58</v>
      </c>
    </row>
    <row r="30" spans="1:5" x14ac:dyDescent="0.3">
      <c r="A30" s="30">
        <v>1284</v>
      </c>
      <c r="B30" t="s">
        <v>71</v>
      </c>
      <c r="C30" t="s">
        <v>91</v>
      </c>
      <c r="D30" t="s">
        <v>92</v>
      </c>
      <c r="E30" t="s">
        <v>68</v>
      </c>
    </row>
    <row r="31" spans="1:5" x14ac:dyDescent="0.3">
      <c r="A31" s="30">
        <v>1230</v>
      </c>
      <c r="B31" t="s">
        <v>93</v>
      </c>
      <c r="C31" t="s">
        <v>94</v>
      </c>
      <c r="D31" t="s">
        <v>95</v>
      </c>
      <c r="E31" t="s">
        <v>58</v>
      </c>
    </row>
    <row r="32" spans="1:5" x14ac:dyDescent="0.3">
      <c r="A32" s="30">
        <v>1378</v>
      </c>
      <c r="B32" t="s">
        <v>96</v>
      </c>
      <c r="C32" t="s">
        <v>23</v>
      </c>
      <c r="D32" t="s">
        <v>23</v>
      </c>
      <c r="E32" t="s">
        <v>58</v>
      </c>
    </row>
    <row r="33" spans="1:5" x14ac:dyDescent="0.3">
      <c r="A33" s="30">
        <v>1364</v>
      </c>
      <c r="B33" t="s">
        <v>84</v>
      </c>
      <c r="C33" t="s">
        <v>11</v>
      </c>
      <c r="D33" t="s">
        <v>97</v>
      </c>
      <c r="E33" t="s">
        <v>58</v>
      </c>
    </row>
    <row r="34" spans="1:5" x14ac:dyDescent="0.3">
      <c r="A34" s="30">
        <v>1321</v>
      </c>
      <c r="B34" t="s">
        <v>84</v>
      </c>
      <c r="C34" t="s">
        <v>11</v>
      </c>
      <c r="D34" t="s">
        <v>98</v>
      </c>
      <c r="E34" t="s">
        <v>58</v>
      </c>
    </row>
    <row r="35" spans="1:5" x14ac:dyDescent="0.3">
      <c r="A35" s="30">
        <v>1361</v>
      </c>
      <c r="B35" t="s">
        <v>84</v>
      </c>
      <c r="C35" t="s">
        <v>11</v>
      </c>
      <c r="D35" t="s">
        <v>98</v>
      </c>
      <c r="E35" t="s">
        <v>58</v>
      </c>
    </row>
    <row r="36" spans="1:5" x14ac:dyDescent="0.3">
      <c r="A36" s="30">
        <v>1339</v>
      </c>
      <c r="B36" t="s">
        <v>84</v>
      </c>
      <c r="C36" t="s">
        <v>11</v>
      </c>
      <c r="D36" t="s">
        <v>99</v>
      </c>
      <c r="E36" t="s">
        <v>58</v>
      </c>
    </row>
    <row r="37" spans="1:5" x14ac:dyDescent="0.3">
      <c r="A37" s="30">
        <v>1247</v>
      </c>
      <c r="B37" t="s">
        <v>55</v>
      </c>
      <c r="C37" t="s">
        <v>21</v>
      </c>
      <c r="D37" t="s">
        <v>21</v>
      </c>
      <c r="E37" t="s">
        <v>58</v>
      </c>
    </row>
    <row r="38" spans="1:5" x14ac:dyDescent="0.3">
      <c r="A38" s="30">
        <v>1525</v>
      </c>
      <c r="B38" t="s">
        <v>55</v>
      </c>
      <c r="C38" t="s">
        <v>21</v>
      </c>
      <c r="D38" t="s">
        <v>100</v>
      </c>
      <c r="E38" t="s">
        <v>58</v>
      </c>
    </row>
    <row r="39" spans="1:5" x14ac:dyDescent="0.3">
      <c r="A39" s="30">
        <v>1358</v>
      </c>
      <c r="B39" t="s">
        <v>55</v>
      </c>
      <c r="C39" t="s">
        <v>17</v>
      </c>
      <c r="D39" t="s">
        <v>101</v>
      </c>
      <c r="E39" t="s">
        <v>58</v>
      </c>
    </row>
    <row r="40" spans="1:5" x14ac:dyDescent="0.3">
      <c r="A40" s="30">
        <v>1458</v>
      </c>
      <c r="B40" t="s">
        <v>96</v>
      </c>
      <c r="C40" t="s">
        <v>20</v>
      </c>
      <c r="D40" t="s">
        <v>20</v>
      </c>
      <c r="E40" t="s">
        <v>68</v>
      </c>
    </row>
    <row r="41" spans="1:5" x14ac:dyDescent="0.3">
      <c r="A41" s="30">
        <v>1466</v>
      </c>
      <c r="B41" t="s">
        <v>62</v>
      </c>
      <c r="C41" t="s">
        <v>20</v>
      </c>
      <c r="D41" t="s">
        <v>102</v>
      </c>
      <c r="E41" t="s">
        <v>68</v>
      </c>
    </row>
    <row r="42" spans="1:5" x14ac:dyDescent="0.3">
      <c r="A42" s="30">
        <v>1454</v>
      </c>
      <c r="B42" t="s">
        <v>55</v>
      </c>
      <c r="C42" t="s">
        <v>18</v>
      </c>
      <c r="D42" t="s">
        <v>103</v>
      </c>
      <c r="E42" t="s">
        <v>65</v>
      </c>
    </row>
    <row r="43" spans="1:5" x14ac:dyDescent="0.3">
      <c r="A43" s="30">
        <v>1279</v>
      </c>
      <c r="B43" t="s">
        <v>55</v>
      </c>
      <c r="C43" t="s">
        <v>18</v>
      </c>
      <c r="D43" t="s">
        <v>104</v>
      </c>
      <c r="E43" t="s">
        <v>65</v>
      </c>
    </row>
    <row r="44" spans="1:5" x14ac:dyDescent="0.3">
      <c r="A44" s="30">
        <v>1438</v>
      </c>
      <c r="B44" t="s">
        <v>55</v>
      </c>
      <c r="C44" t="s">
        <v>18</v>
      </c>
      <c r="D44" t="s">
        <v>105</v>
      </c>
      <c r="E44" t="s">
        <v>65</v>
      </c>
    </row>
    <row r="45" spans="1:5" x14ac:dyDescent="0.3">
      <c r="A45" s="30">
        <v>1261</v>
      </c>
      <c r="B45" t="s">
        <v>55</v>
      </c>
      <c r="C45" t="s">
        <v>18</v>
      </c>
      <c r="D45" t="s">
        <v>106</v>
      </c>
      <c r="E45" t="s">
        <v>65</v>
      </c>
    </row>
    <row r="46" spans="1:5" x14ac:dyDescent="0.3">
      <c r="A46" s="30">
        <v>1379</v>
      </c>
      <c r="B46" t="s">
        <v>96</v>
      </c>
      <c r="C46" t="s">
        <v>107</v>
      </c>
      <c r="D46" t="s">
        <v>108</v>
      </c>
      <c r="E46" t="s">
        <v>65</v>
      </c>
    </row>
    <row r="47" spans="1:5" x14ac:dyDescent="0.3">
      <c r="A47" s="30">
        <v>1499</v>
      </c>
      <c r="B47" t="s">
        <v>93</v>
      </c>
      <c r="C47" t="s">
        <v>109</v>
      </c>
      <c r="D47" t="s">
        <v>109</v>
      </c>
      <c r="E47" t="s">
        <v>58</v>
      </c>
    </row>
    <row r="48" spans="1:5" x14ac:dyDescent="0.3">
      <c r="A48" s="30">
        <v>1348</v>
      </c>
      <c r="B48" t="s">
        <v>93</v>
      </c>
      <c r="C48" t="s">
        <v>15</v>
      </c>
      <c r="D48" t="s">
        <v>15</v>
      </c>
      <c r="E48" t="s">
        <v>58</v>
      </c>
    </row>
    <row r="49" spans="1:5" x14ac:dyDescent="0.3">
      <c r="A49" s="30">
        <v>1473</v>
      </c>
      <c r="B49" t="s">
        <v>93</v>
      </c>
      <c r="C49" t="s">
        <v>15</v>
      </c>
      <c r="D49" t="s">
        <v>15</v>
      </c>
      <c r="E49" t="s">
        <v>58</v>
      </c>
    </row>
    <row r="50" spans="1:5" x14ac:dyDescent="0.3">
      <c r="A50" s="30">
        <v>1278</v>
      </c>
      <c r="B50" t="s">
        <v>84</v>
      </c>
      <c r="C50" t="s">
        <v>9</v>
      </c>
      <c r="D50" t="s">
        <v>110</v>
      </c>
      <c r="E50" t="s">
        <v>65</v>
      </c>
    </row>
    <row r="51" spans="1:5" x14ac:dyDescent="0.3">
      <c r="A51" s="30">
        <v>1282</v>
      </c>
      <c r="B51" t="s">
        <v>55</v>
      </c>
      <c r="C51" t="s">
        <v>111</v>
      </c>
      <c r="D51" t="s">
        <v>111</v>
      </c>
      <c r="E51" t="s">
        <v>65</v>
      </c>
    </row>
    <row r="52" spans="1:5" x14ac:dyDescent="0.3">
      <c r="A52" s="30">
        <v>1281</v>
      </c>
      <c r="B52" t="s">
        <v>55</v>
      </c>
      <c r="C52" t="s">
        <v>111</v>
      </c>
      <c r="D52" t="s">
        <v>112</v>
      </c>
      <c r="E52" t="s">
        <v>65</v>
      </c>
    </row>
    <row r="53" spans="1:5" x14ac:dyDescent="0.3">
      <c r="A53" s="30">
        <v>1423</v>
      </c>
      <c r="B53" t="s">
        <v>71</v>
      </c>
      <c r="C53" t="s">
        <v>113</v>
      </c>
      <c r="D53" t="s">
        <v>113</v>
      </c>
      <c r="E53" t="s">
        <v>58</v>
      </c>
    </row>
    <row r="54" spans="1:5" x14ac:dyDescent="0.3">
      <c r="A54" s="30">
        <v>1390</v>
      </c>
      <c r="B54" t="s">
        <v>84</v>
      </c>
      <c r="C54" t="s">
        <v>5</v>
      </c>
      <c r="D54" t="s">
        <v>114</v>
      </c>
      <c r="E54" t="s">
        <v>65</v>
      </c>
    </row>
    <row r="55" spans="1:5" x14ac:dyDescent="0.3">
      <c r="A55" s="30">
        <v>1298</v>
      </c>
      <c r="B55" t="s">
        <v>84</v>
      </c>
      <c r="C55" t="s">
        <v>115</v>
      </c>
      <c r="D55" t="s">
        <v>116</v>
      </c>
      <c r="E55" t="s">
        <v>65</v>
      </c>
    </row>
    <row r="56" spans="1:5" x14ac:dyDescent="0.3">
      <c r="A56" s="30">
        <v>1322</v>
      </c>
      <c r="E56" t="s">
        <v>58</v>
      </c>
    </row>
    <row r="57" spans="1:5" x14ac:dyDescent="0.3">
      <c r="A57" s="30">
        <v>1296</v>
      </c>
      <c r="B57" t="s">
        <v>34</v>
      </c>
      <c r="C57" t="s">
        <v>34</v>
      </c>
      <c r="D57" t="s">
        <v>34</v>
      </c>
      <c r="E57" t="s">
        <v>58</v>
      </c>
    </row>
    <row r="58" spans="1:5" x14ac:dyDescent="0.3">
      <c r="A58" s="30">
        <v>6105</v>
      </c>
      <c r="E58" t="s">
        <v>58</v>
      </c>
    </row>
    <row r="59" spans="1:5" x14ac:dyDescent="0.3">
      <c r="A59" s="30">
        <v>1433</v>
      </c>
      <c r="E59" t="s">
        <v>58</v>
      </c>
    </row>
    <row r="60" spans="1:5" x14ac:dyDescent="0.3">
      <c r="A60" s="30">
        <v>1446</v>
      </c>
      <c r="E60" t="s">
        <v>58</v>
      </c>
    </row>
    <row r="61" spans="1:5" x14ac:dyDescent="0.3">
      <c r="A61" s="30">
        <v>1313</v>
      </c>
      <c r="B61" t="s">
        <v>117</v>
      </c>
      <c r="C61" t="s">
        <v>5</v>
      </c>
      <c r="D61" t="s">
        <v>118</v>
      </c>
      <c r="E61" t="s">
        <v>65</v>
      </c>
    </row>
    <row r="62" spans="1:5" x14ac:dyDescent="0.3">
      <c r="A62" s="30">
        <v>1369</v>
      </c>
      <c r="B62" t="s">
        <v>71</v>
      </c>
      <c r="C62" t="s">
        <v>119</v>
      </c>
      <c r="D62" t="s">
        <v>119</v>
      </c>
      <c r="E62" t="s">
        <v>68</v>
      </c>
    </row>
    <row r="63" spans="1:5" x14ac:dyDescent="0.3">
      <c r="A63" s="30">
        <v>1260</v>
      </c>
      <c r="B63" t="s">
        <v>120</v>
      </c>
      <c r="C63" t="s">
        <v>121</v>
      </c>
      <c r="D63" t="s">
        <v>121</v>
      </c>
      <c r="E63" t="s">
        <v>68</v>
      </c>
    </row>
    <row r="64" spans="1:5" x14ac:dyDescent="0.3">
      <c r="A64" s="30">
        <v>1221</v>
      </c>
      <c r="B64" t="s">
        <v>71</v>
      </c>
      <c r="C64" t="s">
        <v>3</v>
      </c>
      <c r="D64" t="s">
        <v>122</v>
      </c>
      <c r="E64" t="s">
        <v>68</v>
      </c>
    </row>
    <row r="65" spans="1:5" x14ac:dyDescent="0.3">
      <c r="A65" s="30">
        <v>1366</v>
      </c>
      <c r="B65" t="s">
        <v>71</v>
      </c>
      <c r="C65" t="s">
        <v>123</v>
      </c>
      <c r="D65" t="s">
        <v>124</v>
      </c>
      <c r="E65" t="s">
        <v>65</v>
      </c>
    </row>
    <row r="66" spans="1:5" x14ac:dyDescent="0.3">
      <c r="A66" s="30">
        <v>1259</v>
      </c>
      <c r="B66" t="s">
        <v>71</v>
      </c>
      <c r="C66" t="s">
        <v>123</v>
      </c>
      <c r="D66" t="s">
        <v>125</v>
      </c>
      <c r="E66" t="s">
        <v>68</v>
      </c>
    </row>
    <row r="67" spans="1:5" x14ac:dyDescent="0.3">
      <c r="A67" s="30">
        <v>1341</v>
      </c>
      <c r="B67" t="s">
        <v>71</v>
      </c>
      <c r="C67" t="s">
        <v>123</v>
      </c>
      <c r="D67" t="s">
        <v>126</v>
      </c>
      <c r="E67" t="s">
        <v>68</v>
      </c>
    </row>
    <row r="68" spans="1:5" x14ac:dyDescent="0.3">
      <c r="A68" s="30">
        <v>1400</v>
      </c>
      <c r="B68" t="s">
        <v>71</v>
      </c>
      <c r="C68" t="s">
        <v>123</v>
      </c>
      <c r="D68" t="s">
        <v>127</v>
      </c>
      <c r="E68" t="s">
        <v>68</v>
      </c>
    </row>
    <row r="69" spans="1:5" x14ac:dyDescent="0.3">
      <c r="A69" s="30">
        <v>1388</v>
      </c>
      <c r="B69" t="s">
        <v>71</v>
      </c>
      <c r="C69" t="s">
        <v>123</v>
      </c>
      <c r="D69" t="s">
        <v>128</v>
      </c>
      <c r="E69" t="s">
        <v>68</v>
      </c>
    </row>
    <row r="70" spans="1:5" x14ac:dyDescent="0.3">
      <c r="A70" s="30">
        <v>1268</v>
      </c>
      <c r="B70" t="s">
        <v>129</v>
      </c>
      <c r="C70" t="s">
        <v>130</v>
      </c>
      <c r="D70" t="s">
        <v>131</v>
      </c>
      <c r="E70" t="s">
        <v>68</v>
      </c>
    </row>
    <row r="71" spans="1:5" x14ac:dyDescent="0.3">
      <c r="A71" s="30">
        <v>1534</v>
      </c>
      <c r="B71" t="s">
        <v>129</v>
      </c>
      <c r="C71" t="s">
        <v>130</v>
      </c>
      <c r="D71" t="s">
        <v>866</v>
      </c>
      <c r="E71" t="s">
        <v>68</v>
      </c>
    </row>
    <row r="72" spans="1:5" x14ac:dyDescent="0.3">
      <c r="A72" s="30">
        <v>1356</v>
      </c>
      <c r="B72" t="s">
        <v>129</v>
      </c>
      <c r="C72" t="s">
        <v>130</v>
      </c>
      <c r="D72" t="s">
        <v>132</v>
      </c>
      <c r="E72" t="s">
        <v>68</v>
      </c>
    </row>
    <row r="73" spans="1:5" x14ac:dyDescent="0.3">
      <c r="A73" s="30">
        <v>1481</v>
      </c>
      <c r="B73" t="s">
        <v>129</v>
      </c>
      <c r="C73" t="s">
        <v>130</v>
      </c>
      <c r="D73" t="s">
        <v>133</v>
      </c>
      <c r="E73" t="s">
        <v>68</v>
      </c>
    </row>
    <row r="74" spans="1:5" x14ac:dyDescent="0.3">
      <c r="A74" s="30">
        <v>1376</v>
      </c>
      <c r="B74" t="s">
        <v>120</v>
      </c>
      <c r="C74" t="s">
        <v>115</v>
      </c>
      <c r="D74" t="s">
        <v>134</v>
      </c>
      <c r="E74" t="s">
        <v>65</v>
      </c>
    </row>
    <row r="75" spans="1:5" x14ac:dyDescent="0.3">
      <c r="A75" s="30">
        <v>1485</v>
      </c>
      <c r="B75" t="s">
        <v>120</v>
      </c>
      <c r="C75" t="s">
        <v>135</v>
      </c>
      <c r="D75" t="s">
        <v>136</v>
      </c>
      <c r="E75" t="s">
        <v>68</v>
      </c>
    </row>
    <row r="76" spans="1:5" x14ac:dyDescent="0.3">
      <c r="A76" s="30">
        <v>1486</v>
      </c>
      <c r="B76" t="s">
        <v>120</v>
      </c>
      <c r="C76" t="s">
        <v>135</v>
      </c>
      <c r="D76" t="s">
        <v>137</v>
      </c>
      <c r="E76" t="s">
        <v>68</v>
      </c>
    </row>
    <row r="77" spans="1:5" x14ac:dyDescent="0.3">
      <c r="A77" s="30">
        <v>1487</v>
      </c>
      <c r="B77" t="s">
        <v>120</v>
      </c>
      <c r="C77" t="s">
        <v>135</v>
      </c>
      <c r="D77" t="s">
        <v>138</v>
      </c>
      <c r="E77" t="s">
        <v>68</v>
      </c>
    </row>
    <row r="78" spans="1:5" x14ac:dyDescent="0.3">
      <c r="A78" s="30">
        <v>1506</v>
      </c>
      <c r="B78" t="s">
        <v>120</v>
      </c>
      <c r="C78" t="s">
        <v>135</v>
      </c>
      <c r="D78" t="s">
        <v>139</v>
      </c>
      <c r="E78" t="s">
        <v>68</v>
      </c>
    </row>
    <row r="79" spans="1:5" x14ac:dyDescent="0.3">
      <c r="A79" s="30">
        <v>1244</v>
      </c>
      <c r="B79" t="s">
        <v>120</v>
      </c>
      <c r="C79" t="s">
        <v>115</v>
      </c>
      <c r="D79" t="s">
        <v>140</v>
      </c>
      <c r="E79" t="s">
        <v>65</v>
      </c>
    </row>
    <row r="80" spans="1:5" x14ac:dyDescent="0.3">
      <c r="A80" s="30">
        <v>1494</v>
      </c>
      <c r="B80" t="s">
        <v>129</v>
      </c>
      <c r="C80" t="s">
        <v>141</v>
      </c>
      <c r="D80" t="s">
        <v>142</v>
      </c>
      <c r="E80" t="s">
        <v>68</v>
      </c>
    </row>
    <row r="81" spans="1:5" x14ac:dyDescent="0.3">
      <c r="A81" s="30">
        <v>1493</v>
      </c>
      <c r="B81" t="s">
        <v>129</v>
      </c>
      <c r="C81" t="s">
        <v>141</v>
      </c>
      <c r="D81" t="s">
        <v>143</v>
      </c>
      <c r="E81" t="s">
        <v>68</v>
      </c>
    </row>
    <row r="82" spans="1:5" x14ac:dyDescent="0.3">
      <c r="A82" s="30">
        <v>1357</v>
      </c>
      <c r="B82" t="s">
        <v>120</v>
      </c>
      <c r="C82" t="s">
        <v>144</v>
      </c>
      <c r="D82" t="s">
        <v>144</v>
      </c>
      <c r="E82" t="s">
        <v>68</v>
      </c>
    </row>
    <row r="83" spans="1:5" x14ac:dyDescent="0.3">
      <c r="A83" s="30">
        <v>1491</v>
      </c>
      <c r="B83" t="s">
        <v>120</v>
      </c>
      <c r="C83" t="s">
        <v>145</v>
      </c>
      <c r="D83" t="s">
        <v>145</v>
      </c>
      <c r="E83" t="s">
        <v>68</v>
      </c>
    </row>
    <row r="84" spans="1:5" x14ac:dyDescent="0.3">
      <c r="A84" s="30">
        <v>1289</v>
      </c>
      <c r="B84" t="s">
        <v>55</v>
      </c>
      <c r="C84" t="s">
        <v>32</v>
      </c>
      <c r="D84" t="s">
        <v>146</v>
      </c>
      <c r="E84" t="s">
        <v>65</v>
      </c>
    </row>
    <row r="85" spans="1:5" x14ac:dyDescent="0.3">
      <c r="A85" s="30">
        <v>1288</v>
      </c>
      <c r="B85" t="s">
        <v>55</v>
      </c>
      <c r="C85" t="s">
        <v>32</v>
      </c>
      <c r="D85" t="s">
        <v>147</v>
      </c>
      <c r="E85" t="s">
        <v>65</v>
      </c>
    </row>
    <row r="86" spans="1:5" x14ac:dyDescent="0.3">
      <c r="A86" s="30">
        <v>1271</v>
      </c>
      <c r="B86" t="s">
        <v>55</v>
      </c>
      <c r="C86" t="s">
        <v>32</v>
      </c>
      <c r="D86" t="s">
        <v>148</v>
      </c>
      <c r="E86" t="s">
        <v>65</v>
      </c>
    </row>
    <row r="87" spans="1:5" x14ac:dyDescent="0.3">
      <c r="A87" s="30">
        <v>1299</v>
      </c>
      <c r="B87" t="s">
        <v>55</v>
      </c>
      <c r="C87" t="s">
        <v>32</v>
      </c>
      <c r="D87" t="s">
        <v>149</v>
      </c>
      <c r="E87" t="s">
        <v>65</v>
      </c>
    </row>
    <row r="88" spans="1:5" x14ac:dyDescent="0.3">
      <c r="A88" s="30">
        <v>1476</v>
      </c>
      <c r="B88" t="s">
        <v>59</v>
      </c>
      <c r="C88" t="s">
        <v>150</v>
      </c>
      <c r="D88" t="s">
        <v>151</v>
      </c>
      <c r="E88" t="s">
        <v>58</v>
      </c>
    </row>
    <row r="89" spans="1:5" x14ac:dyDescent="0.3">
      <c r="A89" s="30">
        <v>1394</v>
      </c>
      <c r="B89" t="s">
        <v>59</v>
      </c>
      <c r="C89" t="s">
        <v>7</v>
      </c>
      <c r="D89" t="s">
        <v>152</v>
      </c>
      <c r="E89" t="s">
        <v>58</v>
      </c>
    </row>
    <row r="90" spans="1:5" x14ac:dyDescent="0.3">
      <c r="A90" s="30">
        <v>1426</v>
      </c>
      <c r="B90" t="s">
        <v>93</v>
      </c>
      <c r="C90" t="s">
        <v>153</v>
      </c>
      <c r="D90" t="s">
        <v>154</v>
      </c>
      <c r="E90" t="s">
        <v>58</v>
      </c>
    </row>
    <row r="91" spans="1:5" x14ac:dyDescent="0.3">
      <c r="A91" s="30">
        <v>1360</v>
      </c>
      <c r="B91" t="s">
        <v>71</v>
      </c>
      <c r="C91" t="s">
        <v>12</v>
      </c>
      <c r="D91" t="s">
        <v>155</v>
      </c>
      <c r="E91" t="s">
        <v>68</v>
      </c>
    </row>
    <row r="92" spans="1:5" x14ac:dyDescent="0.3">
      <c r="A92" s="30">
        <v>1500</v>
      </c>
      <c r="B92" t="s">
        <v>71</v>
      </c>
      <c r="C92" t="s">
        <v>12</v>
      </c>
      <c r="D92" t="s">
        <v>156</v>
      </c>
      <c r="E92" t="s">
        <v>68</v>
      </c>
    </row>
    <row r="93" spans="1:5" x14ac:dyDescent="0.3">
      <c r="A93" s="30">
        <v>1387</v>
      </c>
      <c r="B93" t="s">
        <v>71</v>
      </c>
      <c r="C93" t="s">
        <v>12</v>
      </c>
      <c r="D93" t="s">
        <v>157</v>
      </c>
      <c r="E93" t="s">
        <v>68</v>
      </c>
    </row>
    <row r="94" spans="1:5" x14ac:dyDescent="0.3">
      <c r="A94" s="30">
        <v>1460</v>
      </c>
      <c r="B94" t="s">
        <v>96</v>
      </c>
      <c r="C94" t="s">
        <v>24</v>
      </c>
      <c r="D94" t="s">
        <v>158</v>
      </c>
      <c r="E94" t="s">
        <v>65</v>
      </c>
    </row>
    <row r="95" spans="1:5" x14ac:dyDescent="0.3">
      <c r="A95" s="30">
        <v>1287</v>
      </c>
      <c r="B95" t="s">
        <v>93</v>
      </c>
      <c r="C95" t="s">
        <v>39</v>
      </c>
      <c r="D95" t="s">
        <v>159</v>
      </c>
      <c r="E95" t="s">
        <v>65</v>
      </c>
    </row>
    <row r="96" spans="1:5" x14ac:dyDescent="0.3">
      <c r="A96" s="30">
        <v>1273</v>
      </c>
      <c r="B96" t="s">
        <v>93</v>
      </c>
      <c r="C96" t="s">
        <v>39</v>
      </c>
      <c r="D96" t="s">
        <v>160</v>
      </c>
      <c r="E96" t="s">
        <v>65</v>
      </c>
    </row>
    <row r="97" spans="1:5" x14ac:dyDescent="0.3">
      <c r="A97" s="30">
        <v>1277</v>
      </c>
      <c r="B97" t="s">
        <v>93</v>
      </c>
      <c r="C97" t="s">
        <v>39</v>
      </c>
      <c r="D97" t="s">
        <v>161</v>
      </c>
      <c r="E97" t="s">
        <v>65</v>
      </c>
    </row>
    <row r="98" spans="1:5" x14ac:dyDescent="0.3">
      <c r="A98" s="30">
        <v>1514</v>
      </c>
      <c r="B98" t="s">
        <v>93</v>
      </c>
      <c r="C98" t="s">
        <v>39</v>
      </c>
      <c r="D98" t="s">
        <v>162</v>
      </c>
      <c r="E98" t="s">
        <v>65</v>
      </c>
    </row>
    <row r="99" spans="1:5" x14ac:dyDescent="0.3">
      <c r="A99" s="30">
        <v>1475</v>
      </c>
      <c r="B99" t="s">
        <v>93</v>
      </c>
      <c r="C99" t="s">
        <v>163</v>
      </c>
      <c r="D99" t="s">
        <v>164</v>
      </c>
      <c r="E99" t="s">
        <v>58</v>
      </c>
    </row>
    <row r="100" spans="1:5" x14ac:dyDescent="0.3">
      <c r="A100" s="30">
        <v>1275</v>
      </c>
      <c r="B100" t="s">
        <v>62</v>
      </c>
      <c r="C100" t="s">
        <v>165</v>
      </c>
      <c r="D100" t="s">
        <v>166</v>
      </c>
      <c r="E100" t="s">
        <v>68</v>
      </c>
    </row>
    <row r="101" spans="1:5" x14ac:dyDescent="0.3">
      <c r="A101" s="30">
        <v>1479</v>
      </c>
      <c r="B101" t="s">
        <v>62</v>
      </c>
      <c r="C101" t="s">
        <v>165</v>
      </c>
      <c r="D101" t="s">
        <v>167</v>
      </c>
      <c r="E101" t="s">
        <v>68</v>
      </c>
    </row>
    <row r="102" spans="1:5" x14ac:dyDescent="0.3">
      <c r="A102" s="30">
        <v>1398</v>
      </c>
      <c r="B102" t="s">
        <v>120</v>
      </c>
      <c r="C102" t="s">
        <v>168</v>
      </c>
      <c r="D102" t="s">
        <v>169</v>
      </c>
      <c r="E102" t="s">
        <v>58</v>
      </c>
    </row>
    <row r="103" spans="1:5" x14ac:dyDescent="0.3">
      <c r="A103" s="30">
        <v>1468</v>
      </c>
      <c r="B103" t="s">
        <v>55</v>
      </c>
      <c r="C103" t="s">
        <v>170</v>
      </c>
      <c r="D103" t="s">
        <v>171</v>
      </c>
      <c r="E103" t="s">
        <v>65</v>
      </c>
    </row>
    <row r="104" spans="1:5" x14ac:dyDescent="0.3">
      <c r="A104" s="30">
        <v>1462</v>
      </c>
      <c r="B104" t="s">
        <v>172</v>
      </c>
      <c r="C104" t="s">
        <v>173</v>
      </c>
      <c r="D104" t="s">
        <v>174</v>
      </c>
      <c r="E104" t="s">
        <v>58</v>
      </c>
    </row>
    <row r="105" spans="1:5" x14ac:dyDescent="0.3">
      <c r="A105" s="30">
        <v>1470</v>
      </c>
      <c r="B105" t="s">
        <v>172</v>
      </c>
      <c r="C105" t="s">
        <v>175</v>
      </c>
      <c r="D105" t="s">
        <v>176</v>
      </c>
      <c r="E105" t="s">
        <v>58</v>
      </c>
    </row>
    <row r="106" spans="1:5" x14ac:dyDescent="0.3">
      <c r="A106" s="30">
        <v>1511</v>
      </c>
      <c r="B106" t="s">
        <v>172</v>
      </c>
      <c r="C106" t="s">
        <v>177</v>
      </c>
      <c r="D106" t="s">
        <v>177</v>
      </c>
      <c r="E106" t="s">
        <v>58</v>
      </c>
    </row>
    <row r="107" spans="1:5" x14ac:dyDescent="0.3">
      <c r="A107" s="30">
        <v>1483</v>
      </c>
      <c r="B107" t="s">
        <v>172</v>
      </c>
      <c r="C107" t="s">
        <v>178</v>
      </c>
      <c r="D107" t="s">
        <v>178</v>
      </c>
      <c r="E107" t="s">
        <v>58</v>
      </c>
    </row>
    <row r="108" spans="1:5" x14ac:dyDescent="0.3">
      <c r="A108" s="30">
        <v>1533</v>
      </c>
      <c r="B108" t="s">
        <v>172</v>
      </c>
      <c r="C108" t="s">
        <v>178</v>
      </c>
      <c r="D108" t="s">
        <v>864</v>
      </c>
      <c r="E108" t="s">
        <v>58</v>
      </c>
    </row>
    <row r="109" spans="1:5" x14ac:dyDescent="0.3">
      <c r="A109" s="30">
        <v>1389</v>
      </c>
      <c r="B109" t="s">
        <v>172</v>
      </c>
      <c r="C109" t="s">
        <v>179</v>
      </c>
      <c r="D109" t="s">
        <v>180</v>
      </c>
      <c r="E109" t="s">
        <v>58</v>
      </c>
    </row>
    <row r="110" spans="1:5" x14ac:dyDescent="0.3">
      <c r="A110" s="30">
        <v>1292</v>
      </c>
      <c r="B110" t="s">
        <v>71</v>
      </c>
      <c r="C110" t="s">
        <v>78</v>
      </c>
      <c r="D110" t="s">
        <v>78</v>
      </c>
      <c r="E110" t="s">
        <v>68</v>
      </c>
    </row>
    <row r="111" spans="1:5" x14ac:dyDescent="0.3">
      <c r="A111" s="30">
        <v>1507</v>
      </c>
      <c r="B111" t="s">
        <v>71</v>
      </c>
      <c r="C111" t="s">
        <v>78</v>
      </c>
      <c r="D111" t="s">
        <v>181</v>
      </c>
      <c r="E111" t="s">
        <v>68</v>
      </c>
    </row>
    <row r="112" spans="1:5" x14ac:dyDescent="0.3">
      <c r="A112" s="30">
        <v>1512</v>
      </c>
      <c r="B112" t="s">
        <v>71</v>
      </c>
      <c r="C112" t="s">
        <v>78</v>
      </c>
      <c r="D112" t="s">
        <v>182</v>
      </c>
      <c r="E112" t="s">
        <v>68</v>
      </c>
    </row>
    <row r="113" spans="1:5" x14ac:dyDescent="0.3">
      <c r="A113" s="30">
        <v>1480</v>
      </c>
      <c r="B113" t="s">
        <v>183</v>
      </c>
      <c r="C113" t="s">
        <v>184</v>
      </c>
      <c r="D113" t="s">
        <v>184</v>
      </c>
      <c r="E113" t="s">
        <v>68</v>
      </c>
    </row>
    <row r="114" spans="1:5" x14ac:dyDescent="0.3">
      <c r="A114" s="30">
        <v>1508</v>
      </c>
      <c r="B114" t="s">
        <v>71</v>
      </c>
      <c r="C114" t="s">
        <v>78</v>
      </c>
      <c r="D114" t="s">
        <v>185</v>
      </c>
      <c r="E114" t="s">
        <v>68</v>
      </c>
    </row>
    <row r="115" spans="1:5" x14ac:dyDescent="0.3">
      <c r="A115" s="30">
        <v>1501</v>
      </c>
      <c r="B115" t="s">
        <v>120</v>
      </c>
      <c r="C115" t="s">
        <v>3</v>
      </c>
      <c r="D115" t="s">
        <v>186</v>
      </c>
      <c r="E115" t="s">
        <v>68</v>
      </c>
    </row>
    <row r="116" spans="1:5" x14ac:dyDescent="0.3">
      <c r="A116" s="30">
        <v>1518</v>
      </c>
      <c r="B116" t="s">
        <v>59</v>
      </c>
      <c r="C116" s="86" t="s">
        <v>187</v>
      </c>
      <c r="D116" s="86" t="s">
        <v>188</v>
      </c>
      <c r="E116" t="s">
        <v>58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74" customFormat="1" ht="33" customHeight="1" x14ac:dyDescent="0.3">
      <c r="A1" s="114" t="s">
        <v>223</v>
      </c>
      <c r="B1" s="114" t="s">
        <v>224</v>
      </c>
      <c r="C1" s="115" t="s">
        <v>53</v>
      </c>
      <c r="D1" s="115" t="s">
        <v>191</v>
      </c>
      <c r="E1" s="114" t="s">
        <v>205</v>
      </c>
      <c r="F1" s="114" t="s">
        <v>225</v>
      </c>
      <c r="G1" s="114" t="s">
        <v>226</v>
      </c>
      <c r="H1" s="114" t="s">
        <v>227</v>
      </c>
      <c r="I1" s="114" t="s">
        <v>228</v>
      </c>
    </row>
    <row r="2" spans="1:9" s="75" customFormat="1" ht="13.8" x14ac:dyDescent="0.3">
      <c r="A2" s="80">
        <v>1101</v>
      </c>
      <c r="B2" s="80" t="s">
        <v>229</v>
      </c>
      <c r="C2" s="80" t="s">
        <v>230</v>
      </c>
      <c r="D2" s="80" t="s">
        <v>231</v>
      </c>
      <c r="E2" s="80" t="s">
        <v>232</v>
      </c>
      <c r="F2" s="80" t="s">
        <v>233</v>
      </c>
      <c r="G2" s="80" t="s">
        <v>234</v>
      </c>
      <c r="H2" s="80" t="s">
        <v>216</v>
      </c>
      <c r="I2" s="80" t="s">
        <v>235</v>
      </c>
    </row>
    <row r="3" spans="1:9" x14ac:dyDescent="0.3">
      <c r="A3" s="81">
        <v>1102</v>
      </c>
      <c r="B3" s="81" t="s">
        <v>236</v>
      </c>
      <c r="C3" s="81" t="s">
        <v>13</v>
      </c>
      <c r="D3" s="81" t="s">
        <v>237</v>
      </c>
      <c r="E3" s="81"/>
      <c r="F3" s="81"/>
      <c r="G3" s="81"/>
      <c r="H3" s="81"/>
      <c r="I3" s="81" t="s">
        <v>235</v>
      </c>
    </row>
    <row r="4" spans="1:9" s="75" customFormat="1" ht="13.8" x14ac:dyDescent="0.3">
      <c r="A4" s="80">
        <v>1103</v>
      </c>
      <c r="B4" s="80" t="s">
        <v>238</v>
      </c>
      <c r="C4" s="80" t="s">
        <v>230</v>
      </c>
      <c r="D4" s="80" t="s">
        <v>231</v>
      </c>
      <c r="E4" s="80" t="s">
        <v>232</v>
      </c>
      <c r="F4" s="80" t="s">
        <v>233</v>
      </c>
      <c r="G4" s="80" t="s">
        <v>117</v>
      </c>
      <c r="H4" s="80" t="s">
        <v>216</v>
      </c>
      <c r="I4" s="80" t="s">
        <v>235</v>
      </c>
    </row>
    <row r="5" spans="1:9" s="75" customFormat="1" ht="13.8" x14ac:dyDescent="0.3">
      <c r="A5" s="80">
        <v>1104</v>
      </c>
      <c r="B5" s="80" t="s">
        <v>239</v>
      </c>
      <c r="C5" s="80" t="s">
        <v>230</v>
      </c>
      <c r="D5" s="80" t="s">
        <v>231</v>
      </c>
      <c r="E5" s="80" t="s">
        <v>232</v>
      </c>
      <c r="F5" s="80" t="s">
        <v>233</v>
      </c>
      <c r="G5" s="80" t="s">
        <v>117</v>
      </c>
      <c r="H5" s="80" t="s">
        <v>216</v>
      </c>
      <c r="I5" s="80" t="s">
        <v>235</v>
      </c>
    </row>
    <row r="6" spans="1:9" s="75" customFormat="1" ht="13.8" x14ac:dyDescent="0.3">
      <c r="A6" s="80">
        <v>1105</v>
      </c>
      <c r="B6" s="80" t="s">
        <v>240</v>
      </c>
      <c r="C6" s="80" t="s">
        <v>241</v>
      </c>
      <c r="D6" s="80" t="s">
        <v>231</v>
      </c>
      <c r="E6" s="80" t="s">
        <v>232</v>
      </c>
      <c r="F6" s="80" t="s">
        <v>233</v>
      </c>
      <c r="G6" s="80" t="s">
        <v>242</v>
      </c>
      <c r="H6" s="80" t="s">
        <v>216</v>
      </c>
      <c r="I6" s="80" t="s">
        <v>235</v>
      </c>
    </row>
    <row r="7" spans="1:9" s="75" customFormat="1" ht="13.8" x14ac:dyDescent="0.3">
      <c r="A7" s="80">
        <v>1109</v>
      </c>
      <c r="B7" s="80" t="s">
        <v>243</v>
      </c>
      <c r="C7" s="80" t="s">
        <v>244</v>
      </c>
      <c r="D7" s="80" t="s">
        <v>231</v>
      </c>
      <c r="E7" s="80" t="s">
        <v>232</v>
      </c>
      <c r="F7" s="80" t="s">
        <v>233</v>
      </c>
      <c r="G7" s="80" t="s">
        <v>212</v>
      </c>
      <c r="H7" s="80" t="s">
        <v>216</v>
      </c>
      <c r="I7" s="80" t="s">
        <v>235</v>
      </c>
    </row>
    <row r="8" spans="1:9" s="75" customFormat="1" ht="13.8" x14ac:dyDescent="0.3">
      <c r="A8" s="80">
        <v>1110</v>
      </c>
      <c r="B8" s="80" t="s">
        <v>245</v>
      </c>
      <c r="C8" s="80" t="s">
        <v>246</v>
      </c>
      <c r="D8" s="80" t="s">
        <v>231</v>
      </c>
      <c r="E8" s="80" t="s">
        <v>232</v>
      </c>
      <c r="F8" s="80" t="s">
        <v>233</v>
      </c>
      <c r="G8" s="80" t="s">
        <v>117</v>
      </c>
      <c r="H8" s="80" t="s">
        <v>216</v>
      </c>
      <c r="I8" s="80" t="s">
        <v>235</v>
      </c>
    </row>
    <row r="9" spans="1:9" s="75" customFormat="1" ht="13.8" x14ac:dyDescent="0.3">
      <c r="A9" s="80">
        <v>1111</v>
      </c>
      <c r="B9" s="80" t="s">
        <v>247</v>
      </c>
      <c r="C9" s="80" t="s">
        <v>248</v>
      </c>
      <c r="D9" s="80" t="s">
        <v>231</v>
      </c>
      <c r="E9" s="80" t="s">
        <v>232</v>
      </c>
      <c r="F9" s="80" t="s">
        <v>233</v>
      </c>
      <c r="G9" s="80" t="s">
        <v>117</v>
      </c>
      <c r="H9" s="80" t="s">
        <v>216</v>
      </c>
      <c r="I9" s="80" t="s">
        <v>235</v>
      </c>
    </row>
    <row r="10" spans="1:9" s="75" customFormat="1" ht="13.8" x14ac:dyDescent="0.3">
      <c r="A10" s="80">
        <v>1114</v>
      </c>
      <c r="B10" s="80" t="s">
        <v>249</v>
      </c>
      <c r="C10" s="80" t="s">
        <v>241</v>
      </c>
      <c r="D10" s="80" t="s">
        <v>231</v>
      </c>
      <c r="E10" s="80" t="s">
        <v>232</v>
      </c>
      <c r="F10" s="80" t="s">
        <v>233</v>
      </c>
      <c r="G10" s="80" t="s">
        <v>242</v>
      </c>
      <c r="H10" s="80" t="s">
        <v>216</v>
      </c>
      <c r="I10" s="80" t="s">
        <v>235</v>
      </c>
    </row>
    <row r="11" spans="1:9" s="75" customFormat="1" ht="13.8" x14ac:dyDescent="0.3">
      <c r="A11" s="80">
        <v>1116</v>
      </c>
      <c r="B11" s="80" t="s">
        <v>250</v>
      </c>
      <c r="C11" s="80" t="s">
        <v>251</v>
      </c>
      <c r="D11" s="80" t="s">
        <v>231</v>
      </c>
      <c r="E11" s="80" t="s">
        <v>232</v>
      </c>
      <c r="F11" s="80" t="s">
        <v>233</v>
      </c>
      <c r="G11" s="80" t="s">
        <v>252</v>
      </c>
      <c r="H11" s="80" t="s">
        <v>216</v>
      </c>
      <c r="I11" s="80" t="s">
        <v>235</v>
      </c>
    </row>
    <row r="12" spans="1:9" s="75" customFormat="1" ht="13.8" x14ac:dyDescent="0.3">
      <c r="A12" s="80">
        <v>1117</v>
      </c>
      <c r="B12" s="80" t="s">
        <v>253</v>
      </c>
      <c r="C12" s="80" t="s">
        <v>230</v>
      </c>
      <c r="D12" s="80" t="s">
        <v>231</v>
      </c>
      <c r="E12" s="80" t="s">
        <v>232</v>
      </c>
      <c r="F12" s="80" t="s">
        <v>233</v>
      </c>
      <c r="G12" s="80" t="s">
        <v>242</v>
      </c>
      <c r="H12" s="80" t="s">
        <v>216</v>
      </c>
      <c r="I12" s="80" t="s">
        <v>235</v>
      </c>
    </row>
    <row r="13" spans="1:9" s="75" customFormat="1" ht="13.8" x14ac:dyDescent="0.3">
      <c r="A13" s="80">
        <v>1118</v>
      </c>
      <c r="B13" s="80" t="s">
        <v>254</v>
      </c>
      <c r="C13" s="80" t="s">
        <v>255</v>
      </c>
      <c r="D13" s="80" t="s">
        <v>231</v>
      </c>
      <c r="E13" s="80" t="s">
        <v>232</v>
      </c>
      <c r="F13" s="80" t="s">
        <v>233</v>
      </c>
      <c r="G13" s="80" t="s">
        <v>117</v>
      </c>
      <c r="H13" s="80" t="s">
        <v>216</v>
      </c>
      <c r="I13" s="80" t="s">
        <v>235</v>
      </c>
    </row>
    <row r="14" spans="1:9" x14ac:dyDescent="0.3">
      <c r="A14" s="82">
        <v>1119</v>
      </c>
      <c r="B14" s="82" t="s">
        <v>256</v>
      </c>
      <c r="C14" s="81" t="s">
        <v>13</v>
      </c>
      <c r="D14" s="81" t="s">
        <v>237</v>
      </c>
      <c r="E14" s="81"/>
      <c r="F14" s="81"/>
      <c r="G14" s="82"/>
      <c r="H14" s="81"/>
      <c r="I14" s="81" t="s">
        <v>235</v>
      </c>
    </row>
    <row r="15" spans="1:9" x14ac:dyDescent="0.3">
      <c r="A15" s="82">
        <v>1136</v>
      </c>
      <c r="B15" s="82" t="s">
        <v>257</v>
      </c>
      <c r="C15" s="81" t="s">
        <v>13</v>
      </c>
      <c r="D15" s="81" t="s">
        <v>237</v>
      </c>
      <c r="E15" s="81"/>
      <c r="F15" s="81"/>
      <c r="G15" s="82"/>
      <c r="H15" s="81"/>
      <c r="I15" s="81" t="s">
        <v>235</v>
      </c>
    </row>
    <row r="16" spans="1:9" s="75" customFormat="1" ht="13.8" x14ac:dyDescent="0.3">
      <c r="A16" s="80">
        <v>1139</v>
      </c>
      <c r="B16" s="80" t="s">
        <v>258</v>
      </c>
      <c r="C16" s="80" t="s">
        <v>246</v>
      </c>
      <c r="D16" s="80" t="s">
        <v>231</v>
      </c>
      <c r="E16" s="80" t="s">
        <v>232</v>
      </c>
      <c r="F16" s="80" t="s">
        <v>233</v>
      </c>
      <c r="G16" s="80" t="s">
        <v>259</v>
      </c>
      <c r="H16" s="80" t="s">
        <v>216</v>
      </c>
      <c r="I16" s="80" t="s">
        <v>235</v>
      </c>
    </row>
    <row r="17" spans="1:9" s="75" customFormat="1" ht="13.8" x14ac:dyDescent="0.3">
      <c r="A17" s="80">
        <v>1140</v>
      </c>
      <c r="B17" s="80" t="s">
        <v>260</v>
      </c>
      <c r="C17" s="80" t="s">
        <v>246</v>
      </c>
      <c r="D17" s="80" t="s">
        <v>231</v>
      </c>
      <c r="E17" s="80" t="s">
        <v>232</v>
      </c>
      <c r="F17" s="80" t="s">
        <v>233</v>
      </c>
      <c r="G17" s="80" t="s">
        <v>261</v>
      </c>
      <c r="H17" s="80" t="s">
        <v>216</v>
      </c>
      <c r="I17" s="80" t="s">
        <v>235</v>
      </c>
    </row>
    <row r="18" spans="1:9" s="75" customFormat="1" ht="13.8" x14ac:dyDescent="0.3">
      <c r="A18" s="80">
        <v>1141</v>
      </c>
      <c r="B18" s="80" t="s">
        <v>262</v>
      </c>
      <c r="C18" s="80" t="s">
        <v>246</v>
      </c>
      <c r="D18" s="80" t="s">
        <v>231</v>
      </c>
      <c r="E18" s="80" t="s">
        <v>232</v>
      </c>
      <c r="F18" s="80" t="s">
        <v>233</v>
      </c>
      <c r="G18" s="80" t="s">
        <v>234</v>
      </c>
      <c r="H18" s="80" t="s">
        <v>216</v>
      </c>
      <c r="I18" s="80" t="s">
        <v>235</v>
      </c>
    </row>
    <row r="19" spans="1:9" x14ac:dyDescent="0.3">
      <c r="A19" s="82">
        <v>1142</v>
      </c>
      <c r="B19" s="81" t="s">
        <v>263</v>
      </c>
      <c r="C19" s="81" t="s">
        <v>13</v>
      </c>
      <c r="D19" s="81" t="s">
        <v>237</v>
      </c>
      <c r="E19" s="81"/>
      <c r="F19" s="81"/>
      <c r="G19" s="82"/>
      <c r="H19" s="81"/>
      <c r="I19" s="81" t="s">
        <v>235</v>
      </c>
    </row>
    <row r="20" spans="1:9" x14ac:dyDescent="0.3">
      <c r="A20" s="82">
        <v>1143</v>
      </c>
      <c r="B20" s="81" t="s">
        <v>264</v>
      </c>
      <c r="C20" s="81" t="s">
        <v>13</v>
      </c>
      <c r="D20" s="81" t="s">
        <v>237</v>
      </c>
      <c r="E20" s="81"/>
      <c r="F20" s="81"/>
      <c r="G20" s="82"/>
      <c r="H20" s="81"/>
      <c r="I20" s="81" t="s">
        <v>235</v>
      </c>
    </row>
    <row r="21" spans="1:9" x14ac:dyDescent="0.3">
      <c r="A21" s="82">
        <v>1144</v>
      </c>
      <c r="B21" s="81" t="s">
        <v>265</v>
      </c>
      <c r="C21" s="81" t="s">
        <v>13</v>
      </c>
      <c r="D21" s="81" t="s">
        <v>237</v>
      </c>
      <c r="E21" s="81"/>
      <c r="F21" s="81"/>
      <c r="G21" s="82"/>
      <c r="H21" s="81"/>
      <c r="I21" s="81" t="s">
        <v>235</v>
      </c>
    </row>
    <row r="22" spans="1:9" x14ac:dyDescent="0.3">
      <c r="A22" s="80">
        <v>1145</v>
      </c>
      <c r="B22" s="81" t="s">
        <v>266</v>
      </c>
      <c r="C22" s="81" t="s">
        <v>246</v>
      </c>
      <c r="D22" s="81" t="s">
        <v>237</v>
      </c>
      <c r="E22" s="81"/>
      <c r="F22" s="81"/>
      <c r="G22" s="81"/>
      <c r="H22" s="81"/>
      <c r="I22" s="81" t="s">
        <v>235</v>
      </c>
    </row>
    <row r="23" spans="1:9" s="75" customFormat="1" ht="13.8" x14ac:dyDescent="0.3">
      <c r="A23" s="80">
        <v>1146</v>
      </c>
      <c r="B23" s="80" t="s">
        <v>267</v>
      </c>
      <c r="C23" s="80" t="s">
        <v>268</v>
      </c>
      <c r="D23" s="80" t="s">
        <v>231</v>
      </c>
      <c r="E23" s="80" t="s">
        <v>232</v>
      </c>
      <c r="F23" s="80" t="s">
        <v>233</v>
      </c>
      <c r="G23" s="80" t="s">
        <v>222</v>
      </c>
      <c r="H23" s="80" t="s">
        <v>216</v>
      </c>
      <c r="I23" s="80" t="s">
        <v>235</v>
      </c>
    </row>
    <row r="24" spans="1:9" x14ac:dyDescent="0.3">
      <c r="A24" s="82">
        <v>1147</v>
      </c>
      <c r="B24" s="81" t="s">
        <v>269</v>
      </c>
      <c r="C24" s="81" t="s">
        <v>13</v>
      </c>
      <c r="D24" s="81" t="s">
        <v>237</v>
      </c>
      <c r="E24" s="81"/>
      <c r="F24" s="81"/>
      <c r="G24" s="82"/>
      <c r="H24" s="81"/>
      <c r="I24" s="81" t="s">
        <v>235</v>
      </c>
    </row>
    <row r="25" spans="1:9" x14ac:dyDescent="0.3">
      <c r="A25" s="82">
        <v>1149</v>
      </c>
      <c r="B25" s="81" t="s">
        <v>270</v>
      </c>
      <c r="C25" s="81" t="s">
        <v>13</v>
      </c>
      <c r="D25" s="81" t="s">
        <v>237</v>
      </c>
      <c r="E25" s="81"/>
      <c r="F25" s="81"/>
      <c r="G25" s="82"/>
      <c r="H25" s="81"/>
      <c r="I25" s="81" t="s">
        <v>235</v>
      </c>
    </row>
    <row r="26" spans="1:9" s="75" customFormat="1" ht="13.8" x14ac:dyDescent="0.3">
      <c r="A26" s="80">
        <v>1150</v>
      </c>
      <c r="B26" s="80" t="s">
        <v>271</v>
      </c>
      <c r="C26" s="80" t="s">
        <v>230</v>
      </c>
      <c r="D26" s="80" t="s">
        <v>231</v>
      </c>
      <c r="E26" s="80" t="s">
        <v>232</v>
      </c>
      <c r="F26" s="80" t="s">
        <v>233</v>
      </c>
      <c r="G26" s="80" t="s">
        <v>117</v>
      </c>
      <c r="H26" s="80" t="s">
        <v>216</v>
      </c>
      <c r="I26" s="80" t="s">
        <v>235</v>
      </c>
    </row>
    <row r="27" spans="1:9" x14ac:dyDescent="0.3">
      <c r="A27" s="82">
        <v>1151</v>
      </c>
      <c r="B27" s="81" t="s">
        <v>272</v>
      </c>
      <c r="C27" s="81" t="s">
        <v>13</v>
      </c>
      <c r="D27" s="81" t="s">
        <v>237</v>
      </c>
      <c r="E27" s="81"/>
      <c r="F27" s="81"/>
      <c r="G27" s="82"/>
      <c r="H27" s="81"/>
      <c r="I27" s="81" t="s">
        <v>235</v>
      </c>
    </row>
    <row r="28" spans="1:9" x14ac:dyDescent="0.3">
      <c r="A28" s="82">
        <v>1152</v>
      </c>
      <c r="B28" s="81" t="s">
        <v>273</v>
      </c>
      <c r="C28" s="81" t="s">
        <v>13</v>
      </c>
      <c r="D28" s="81" t="s">
        <v>237</v>
      </c>
      <c r="E28" s="81"/>
      <c r="F28" s="81"/>
      <c r="G28" s="82"/>
      <c r="H28" s="81"/>
      <c r="I28" s="81" t="s">
        <v>235</v>
      </c>
    </row>
    <row r="29" spans="1:9" s="75" customFormat="1" ht="13.8" x14ac:dyDescent="0.3">
      <c r="A29" s="80">
        <v>1153</v>
      </c>
      <c r="B29" s="80" t="s">
        <v>274</v>
      </c>
      <c r="C29" s="80" t="s">
        <v>241</v>
      </c>
      <c r="D29" s="80" t="s">
        <v>231</v>
      </c>
      <c r="E29" s="80" t="s">
        <v>232</v>
      </c>
      <c r="F29" s="80" t="s">
        <v>233</v>
      </c>
      <c r="G29" s="80" t="s">
        <v>242</v>
      </c>
      <c r="H29" s="80" t="s">
        <v>216</v>
      </c>
      <c r="I29" s="80" t="s">
        <v>235</v>
      </c>
    </row>
    <row r="30" spans="1:9" x14ac:dyDescent="0.3">
      <c r="A30" s="81">
        <v>1154</v>
      </c>
      <c r="B30" s="81" t="s">
        <v>275</v>
      </c>
      <c r="C30" s="81" t="s">
        <v>13</v>
      </c>
      <c r="D30" s="81" t="s">
        <v>237</v>
      </c>
      <c r="E30" s="81"/>
      <c r="F30" s="81"/>
      <c r="G30" s="81"/>
      <c r="H30" s="81"/>
      <c r="I30" s="81" t="s">
        <v>235</v>
      </c>
    </row>
    <row r="31" spans="1:9" s="75" customFormat="1" ht="13.8" x14ac:dyDescent="0.3">
      <c r="A31" s="80">
        <v>1155</v>
      </c>
      <c r="B31" s="80" t="s">
        <v>276</v>
      </c>
      <c r="C31" s="80" t="s">
        <v>251</v>
      </c>
      <c r="D31" s="80" t="s">
        <v>231</v>
      </c>
      <c r="E31" s="80" t="s">
        <v>232</v>
      </c>
      <c r="F31" s="80" t="s">
        <v>233</v>
      </c>
      <c r="G31" s="80" t="s">
        <v>252</v>
      </c>
      <c r="H31" s="80" t="s">
        <v>216</v>
      </c>
      <c r="I31" s="80" t="s">
        <v>235</v>
      </c>
    </row>
    <row r="32" spans="1:9" s="75" customFormat="1" ht="13.8" x14ac:dyDescent="0.3">
      <c r="A32" s="80">
        <v>1156</v>
      </c>
      <c r="B32" s="80" t="s">
        <v>277</v>
      </c>
      <c r="C32" s="80" t="s">
        <v>278</v>
      </c>
      <c r="D32" s="80" t="s">
        <v>231</v>
      </c>
      <c r="E32" s="80" t="s">
        <v>232</v>
      </c>
      <c r="F32" s="80" t="s">
        <v>233</v>
      </c>
      <c r="G32" s="80" t="s">
        <v>117</v>
      </c>
      <c r="H32" s="80" t="s">
        <v>216</v>
      </c>
      <c r="I32" s="80" t="s">
        <v>235</v>
      </c>
    </row>
    <row r="33" spans="1:9" s="75" customFormat="1" ht="13.8" x14ac:dyDescent="0.3">
      <c r="A33" s="80">
        <v>1157</v>
      </c>
      <c r="B33" s="80" t="s">
        <v>279</v>
      </c>
      <c r="C33" s="80" t="s">
        <v>268</v>
      </c>
      <c r="D33" s="80" t="s">
        <v>231</v>
      </c>
      <c r="E33" s="80" t="s">
        <v>232</v>
      </c>
      <c r="F33" s="80" t="s">
        <v>233</v>
      </c>
      <c r="G33" s="80" t="s">
        <v>280</v>
      </c>
      <c r="H33" s="80" t="s">
        <v>216</v>
      </c>
      <c r="I33" s="80" t="s">
        <v>235</v>
      </c>
    </row>
    <row r="34" spans="1:9" s="75" customFormat="1" ht="13.8" x14ac:dyDescent="0.3">
      <c r="A34" s="80">
        <v>1158</v>
      </c>
      <c r="B34" s="80" t="s">
        <v>281</v>
      </c>
      <c r="C34" s="80" t="s">
        <v>241</v>
      </c>
      <c r="D34" s="80" t="s">
        <v>231</v>
      </c>
      <c r="E34" s="80" t="s">
        <v>232</v>
      </c>
      <c r="F34" s="80" t="s">
        <v>233</v>
      </c>
      <c r="G34" s="80" t="s">
        <v>242</v>
      </c>
      <c r="H34" s="80" t="s">
        <v>216</v>
      </c>
      <c r="I34" s="80" t="s">
        <v>235</v>
      </c>
    </row>
    <row r="35" spans="1:9" s="75" customFormat="1" ht="13.8" x14ac:dyDescent="0.3">
      <c r="A35" s="80">
        <v>1159</v>
      </c>
      <c r="B35" s="80" t="s">
        <v>282</v>
      </c>
      <c r="C35" s="80" t="s">
        <v>268</v>
      </c>
      <c r="D35" s="80" t="s">
        <v>231</v>
      </c>
      <c r="E35" s="80" t="s">
        <v>232</v>
      </c>
      <c r="F35" s="80" t="s">
        <v>233</v>
      </c>
      <c r="G35" s="80" t="s">
        <v>283</v>
      </c>
      <c r="H35" s="80" t="s">
        <v>216</v>
      </c>
      <c r="I35" s="80" t="s">
        <v>235</v>
      </c>
    </row>
    <row r="36" spans="1:9" s="75" customFormat="1" ht="13.8" x14ac:dyDescent="0.3">
      <c r="A36" s="80">
        <v>1160</v>
      </c>
      <c r="B36" s="80" t="s">
        <v>284</v>
      </c>
      <c r="C36" s="80" t="s">
        <v>246</v>
      </c>
      <c r="D36" s="80" t="s">
        <v>231</v>
      </c>
      <c r="E36" s="80" t="s">
        <v>232</v>
      </c>
      <c r="F36" s="80" t="s">
        <v>233</v>
      </c>
      <c r="G36" s="80" t="s">
        <v>234</v>
      </c>
      <c r="H36" s="80" t="s">
        <v>216</v>
      </c>
      <c r="I36" s="80" t="s">
        <v>235</v>
      </c>
    </row>
    <row r="37" spans="1:9" x14ac:dyDescent="0.3">
      <c r="A37" s="80">
        <v>1161</v>
      </c>
      <c r="B37" s="81" t="s">
        <v>285</v>
      </c>
      <c r="C37" s="81" t="s">
        <v>246</v>
      </c>
      <c r="D37" s="81" t="s">
        <v>237</v>
      </c>
      <c r="E37" s="81"/>
      <c r="F37" s="81"/>
      <c r="G37" s="81"/>
      <c r="H37" s="81"/>
      <c r="I37" s="81" t="s">
        <v>235</v>
      </c>
    </row>
    <row r="38" spans="1:9" s="75" customFormat="1" ht="13.8" x14ac:dyDescent="0.3">
      <c r="A38" s="80">
        <v>1162</v>
      </c>
      <c r="B38" s="80" t="s">
        <v>286</v>
      </c>
      <c r="C38" s="80" t="s">
        <v>287</v>
      </c>
      <c r="D38" s="80" t="s">
        <v>231</v>
      </c>
      <c r="E38" s="80" t="s">
        <v>232</v>
      </c>
      <c r="F38" s="80" t="s">
        <v>233</v>
      </c>
      <c r="G38" s="80" t="s">
        <v>117</v>
      </c>
      <c r="H38" s="80" t="s">
        <v>216</v>
      </c>
      <c r="I38" s="80" t="s">
        <v>235</v>
      </c>
    </row>
    <row r="39" spans="1:9" s="75" customFormat="1" ht="13.8" x14ac:dyDescent="0.3">
      <c r="A39" s="80">
        <v>1163</v>
      </c>
      <c r="B39" s="80" t="s">
        <v>288</v>
      </c>
      <c r="C39" s="80" t="s">
        <v>255</v>
      </c>
      <c r="D39" s="80" t="s">
        <v>231</v>
      </c>
      <c r="E39" s="80" t="s">
        <v>232</v>
      </c>
      <c r="F39" s="80" t="s">
        <v>233</v>
      </c>
      <c r="G39" s="80" t="s">
        <v>117</v>
      </c>
      <c r="H39" s="80" t="s">
        <v>216</v>
      </c>
      <c r="I39" s="80" t="s">
        <v>235</v>
      </c>
    </row>
    <row r="40" spans="1:9" s="75" customFormat="1" ht="13.8" x14ac:dyDescent="0.3">
      <c r="A40" s="80">
        <v>1164</v>
      </c>
      <c r="B40" s="80" t="s">
        <v>289</v>
      </c>
      <c r="C40" s="80" t="s">
        <v>268</v>
      </c>
      <c r="D40" s="80" t="s">
        <v>231</v>
      </c>
      <c r="E40" s="80" t="s">
        <v>232</v>
      </c>
      <c r="F40" s="80" t="s">
        <v>233</v>
      </c>
      <c r="G40" s="80" t="s">
        <v>222</v>
      </c>
      <c r="H40" s="80" t="s">
        <v>216</v>
      </c>
      <c r="I40" s="80" t="s">
        <v>235</v>
      </c>
    </row>
    <row r="41" spans="1:9" s="75" customFormat="1" ht="13.8" x14ac:dyDescent="0.3">
      <c r="A41" s="80">
        <v>1167</v>
      </c>
      <c r="B41" s="80" t="s">
        <v>290</v>
      </c>
      <c r="C41" s="80" t="s">
        <v>268</v>
      </c>
      <c r="D41" s="80" t="s">
        <v>231</v>
      </c>
      <c r="E41" s="80" t="s">
        <v>232</v>
      </c>
      <c r="F41" s="80" t="s">
        <v>233</v>
      </c>
      <c r="G41" s="80" t="s">
        <v>283</v>
      </c>
      <c r="H41" s="80" t="s">
        <v>216</v>
      </c>
      <c r="I41" s="80" t="s">
        <v>235</v>
      </c>
    </row>
    <row r="42" spans="1:9" s="75" customFormat="1" ht="13.8" x14ac:dyDescent="0.3">
      <c r="A42" s="80">
        <v>1170</v>
      </c>
      <c r="B42" s="80" t="s">
        <v>291</v>
      </c>
      <c r="C42" s="80" t="s">
        <v>241</v>
      </c>
      <c r="D42" s="80" t="s">
        <v>231</v>
      </c>
      <c r="E42" s="80" t="s">
        <v>232</v>
      </c>
      <c r="F42" s="80" t="s">
        <v>233</v>
      </c>
      <c r="G42" s="80" t="s">
        <v>242</v>
      </c>
      <c r="H42" s="80" t="s">
        <v>216</v>
      </c>
      <c r="I42" s="80" t="s">
        <v>235</v>
      </c>
    </row>
    <row r="43" spans="1:9" s="75" customFormat="1" ht="13.8" x14ac:dyDescent="0.3">
      <c r="A43" s="80">
        <v>1171</v>
      </c>
      <c r="B43" s="80" t="s">
        <v>292</v>
      </c>
      <c r="C43" s="80" t="s">
        <v>246</v>
      </c>
      <c r="D43" s="80" t="s">
        <v>231</v>
      </c>
      <c r="E43" s="80" t="s">
        <v>232</v>
      </c>
      <c r="F43" s="80" t="s">
        <v>233</v>
      </c>
      <c r="G43" s="80" t="s">
        <v>259</v>
      </c>
      <c r="H43" s="80" t="s">
        <v>216</v>
      </c>
      <c r="I43" s="80" t="s">
        <v>235</v>
      </c>
    </row>
    <row r="44" spans="1:9" s="75" customFormat="1" ht="13.8" x14ac:dyDescent="0.3">
      <c r="A44" s="80">
        <v>1172</v>
      </c>
      <c r="B44" s="80" t="s">
        <v>293</v>
      </c>
      <c r="C44" s="80" t="s">
        <v>268</v>
      </c>
      <c r="D44" s="80" t="s">
        <v>231</v>
      </c>
      <c r="E44" s="80" t="s">
        <v>232</v>
      </c>
      <c r="F44" s="80" t="s">
        <v>233</v>
      </c>
      <c r="G44" s="80" t="s">
        <v>222</v>
      </c>
      <c r="H44" s="80" t="s">
        <v>216</v>
      </c>
      <c r="I44" s="80" t="s">
        <v>235</v>
      </c>
    </row>
    <row r="45" spans="1:9" s="75" customFormat="1" ht="13.8" x14ac:dyDescent="0.3">
      <c r="A45" s="80">
        <v>1173</v>
      </c>
      <c r="B45" s="80" t="s">
        <v>294</v>
      </c>
      <c r="C45" s="80" t="s">
        <v>295</v>
      </c>
      <c r="D45" s="80" t="s">
        <v>231</v>
      </c>
      <c r="E45" s="80" t="s">
        <v>199</v>
      </c>
      <c r="F45" s="80" t="s">
        <v>233</v>
      </c>
      <c r="G45" s="80" t="s">
        <v>193</v>
      </c>
      <c r="H45" s="80" t="s">
        <v>216</v>
      </c>
      <c r="I45" s="80" t="s">
        <v>235</v>
      </c>
    </row>
    <row r="46" spans="1:9" s="75" customFormat="1" ht="13.8" x14ac:dyDescent="0.3">
      <c r="A46" s="80">
        <v>1199</v>
      </c>
      <c r="B46" s="80" t="s">
        <v>296</v>
      </c>
      <c r="C46" s="80" t="s">
        <v>230</v>
      </c>
      <c r="D46" s="80" t="s">
        <v>231</v>
      </c>
      <c r="E46" s="80" t="s">
        <v>232</v>
      </c>
      <c r="F46" s="80" t="s">
        <v>233</v>
      </c>
      <c r="G46" s="80" t="s">
        <v>117</v>
      </c>
      <c r="H46" s="80" t="s">
        <v>216</v>
      </c>
      <c r="I46" s="80" t="s">
        <v>235</v>
      </c>
    </row>
    <row r="47" spans="1:9" s="75" customFormat="1" ht="13.8" x14ac:dyDescent="0.3">
      <c r="A47" s="83">
        <v>6102</v>
      </c>
      <c r="B47" s="80" t="s">
        <v>297</v>
      </c>
      <c r="C47" s="80" t="s">
        <v>298</v>
      </c>
      <c r="D47" s="80" t="s">
        <v>231</v>
      </c>
      <c r="E47" s="80" t="s">
        <v>232</v>
      </c>
      <c r="F47" s="80" t="s">
        <v>233</v>
      </c>
      <c r="G47" s="80" t="s">
        <v>117</v>
      </c>
      <c r="H47" s="80" t="s">
        <v>216</v>
      </c>
      <c r="I47" s="80" t="s">
        <v>235</v>
      </c>
    </row>
    <row r="48" spans="1:9" s="75" customFormat="1" ht="13.8" x14ac:dyDescent="0.3">
      <c r="A48" s="83">
        <v>6103</v>
      </c>
      <c r="B48" s="80" t="s">
        <v>299</v>
      </c>
      <c r="C48" s="80" t="s">
        <v>298</v>
      </c>
      <c r="D48" s="80" t="s">
        <v>231</v>
      </c>
      <c r="E48" s="80" t="s">
        <v>232</v>
      </c>
      <c r="F48" s="80" t="s">
        <v>233</v>
      </c>
      <c r="G48" s="80" t="s">
        <v>117</v>
      </c>
      <c r="H48" s="80" t="s">
        <v>216</v>
      </c>
      <c r="I48" s="80" t="s">
        <v>235</v>
      </c>
    </row>
    <row r="49" spans="1:9" x14ac:dyDescent="0.3">
      <c r="A49" s="83">
        <v>6118</v>
      </c>
      <c r="B49" s="81" t="s">
        <v>300</v>
      </c>
      <c r="C49" s="81" t="s">
        <v>246</v>
      </c>
      <c r="D49" s="81" t="s">
        <v>237</v>
      </c>
      <c r="E49" s="81"/>
      <c r="F49" s="81"/>
      <c r="G49" s="81"/>
      <c r="H49" s="81"/>
      <c r="I49" s="81" t="s">
        <v>235</v>
      </c>
    </row>
    <row r="50" spans="1:9" s="75" customFormat="1" ht="13.8" x14ac:dyDescent="0.3">
      <c r="A50" s="83">
        <v>6119</v>
      </c>
      <c r="B50" s="83" t="s">
        <v>301</v>
      </c>
      <c r="C50" s="80" t="s">
        <v>230</v>
      </c>
      <c r="D50" s="80" t="s">
        <v>231</v>
      </c>
      <c r="E50" s="80" t="s">
        <v>232</v>
      </c>
      <c r="F50" s="80" t="s">
        <v>233</v>
      </c>
      <c r="G50" s="80" t="s">
        <v>117</v>
      </c>
      <c r="H50" s="80" t="s">
        <v>216</v>
      </c>
      <c r="I50" s="80" t="s">
        <v>235</v>
      </c>
    </row>
    <row r="51" spans="1:9" s="75" customFormat="1" ht="13.8" x14ac:dyDescent="0.3">
      <c r="A51" s="83">
        <v>6120</v>
      </c>
      <c r="B51" s="83" t="s">
        <v>302</v>
      </c>
      <c r="C51" s="80" t="s">
        <v>230</v>
      </c>
      <c r="D51" s="80" t="s">
        <v>231</v>
      </c>
      <c r="E51" s="80" t="s">
        <v>232</v>
      </c>
      <c r="F51" s="80" t="s">
        <v>233</v>
      </c>
      <c r="G51" s="80" t="s">
        <v>242</v>
      </c>
      <c r="H51" s="80" t="s">
        <v>216</v>
      </c>
      <c r="I51" s="80" t="s">
        <v>235</v>
      </c>
    </row>
    <row r="52" spans="1:9" s="76" customFormat="1" x14ac:dyDescent="0.3">
      <c r="A52" s="83">
        <v>9900</v>
      </c>
      <c r="B52" t="s">
        <v>303</v>
      </c>
      <c r="C52" s="86" t="s">
        <v>304</v>
      </c>
      <c r="D52" s="80" t="s">
        <v>231</v>
      </c>
      <c r="E52" s="80" t="s">
        <v>202</v>
      </c>
      <c r="F52" s="86" t="s">
        <v>233</v>
      </c>
      <c r="G52" s="86" t="s">
        <v>212</v>
      </c>
      <c r="H52" s="80" t="s">
        <v>216</v>
      </c>
      <c r="I52" s="80" t="s">
        <v>305</v>
      </c>
    </row>
    <row r="53" spans="1:9" s="76" customFormat="1" ht="13.8" x14ac:dyDescent="0.3">
      <c r="A53" s="82">
        <v>1201</v>
      </c>
      <c r="B53" s="82" t="s">
        <v>306</v>
      </c>
      <c r="C53" s="82" t="s">
        <v>304</v>
      </c>
      <c r="D53" s="81" t="s">
        <v>237</v>
      </c>
      <c r="E53" s="81"/>
      <c r="F53" s="81"/>
      <c r="G53" s="82"/>
      <c r="H53" s="82"/>
      <c r="I53" s="81" t="s">
        <v>305</v>
      </c>
    </row>
    <row r="54" spans="1:9" s="76" customFormat="1" ht="13.8" x14ac:dyDescent="0.3">
      <c r="A54" s="82">
        <v>1202</v>
      </c>
      <c r="B54" s="82" t="s">
        <v>307</v>
      </c>
      <c r="C54" s="81" t="s">
        <v>13</v>
      </c>
      <c r="D54" s="81" t="s">
        <v>237</v>
      </c>
      <c r="E54" s="82"/>
      <c r="F54" s="82"/>
      <c r="G54" s="82"/>
      <c r="H54" s="82"/>
      <c r="I54" s="81" t="s">
        <v>305</v>
      </c>
    </row>
    <row r="55" spans="1:9" s="76" customFormat="1" ht="13.8" x14ac:dyDescent="0.3">
      <c r="A55" s="82">
        <v>1203</v>
      </c>
      <c r="B55" s="82" t="s">
        <v>308</v>
      </c>
      <c r="C55" s="81" t="s">
        <v>13</v>
      </c>
      <c r="D55" s="81" t="s">
        <v>237</v>
      </c>
      <c r="E55" s="82"/>
      <c r="F55" s="82"/>
      <c r="G55" s="82"/>
      <c r="H55" s="82"/>
      <c r="I55" s="81" t="s">
        <v>305</v>
      </c>
    </row>
    <row r="56" spans="1:9" s="76" customFormat="1" ht="13.8" x14ac:dyDescent="0.3">
      <c r="A56" s="82">
        <v>1204</v>
      </c>
      <c r="B56" s="82" t="s">
        <v>309</v>
      </c>
      <c r="C56" s="81" t="s">
        <v>13</v>
      </c>
      <c r="D56" s="81" t="s">
        <v>237</v>
      </c>
      <c r="E56" s="82"/>
      <c r="F56" s="82"/>
      <c r="G56" s="82"/>
      <c r="H56" s="82"/>
      <c r="I56" s="81" t="s">
        <v>305</v>
      </c>
    </row>
    <row r="57" spans="1:9" s="76" customFormat="1" ht="13.8" x14ac:dyDescent="0.3">
      <c r="A57" s="82">
        <v>1205</v>
      </c>
      <c r="B57" s="82" t="s">
        <v>310</v>
      </c>
      <c r="C57" s="81" t="s">
        <v>13</v>
      </c>
      <c r="D57" s="81" t="s">
        <v>237</v>
      </c>
      <c r="E57" s="82"/>
      <c r="F57" s="82"/>
      <c r="G57" s="82"/>
      <c r="H57" s="82"/>
      <c r="I57" s="81" t="s">
        <v>305</v>
      </c>
    </row>
    <row r="58" spans="1:9" s="76" customFormat="1" ht="13.8" x14ac:dyDescent="0.3">
      <c r="A58" s="82">
        <v>1206</v>
      </c>
      <c r="B58" s="82" t="s">
        <v>311</v>
      </c>
      <c r="C58" s="81" t="s">
        <v>13</v>
      </c>
      <c r="D58" s="81" t="s">
        <v>237</v>
      </c>
      <c r="E58" s="82"/>
      <c r="F58" s="82"/>
      <c r="G58" s="82"/>
      <c r="H58" s="82"/>
      <c r="I58" s="81" t="s">
        <v>305</v>
      </c>
    </row>
    <row r="59" spans="1:9" s="76" customFormat="1" ht="13.8" x14ac:dyDescent="0.3">
      <c r="A59" s="84">
        <v>1207</v>
      </c>
      <c r="B59" s="84" t="s">
        <v>312</v>
      </c>
      <c r="C59" s="133" t="s">
        <v>39</v>
      </c>
      <c r="D59" s="81" t="s">
        <v>237</v>
      </c>
      <c r="E59" s="81"/>
      <c r="F59" s="81"/>
      <c r="G59" s="84"/>
      <c r="H59" s="84"/>
      <c r="I59" s="81" t="s">
        <v>305</v>
      </c>
    </row>
    <row r="60" spans="1:9" s="76" customFormat="1" ht="13.8" x14ac:dyDescent="0.3">
      <c r="A60" s="84">
        <v>1208</v>
      </c>
      <c r="B60" s="84" t="s">
        <v>313</v>
      </c>
      <c r="C60" s="81" t="s">
        <v>13</v>
      </c>
      <c r="D60" s="81" t="s">
        <v>237</v>
      </c>
      <c r="E60" s="84"/>
      <c r="F60" s="84"/>
      <c r="G60" s="84"/>
      <c r="H60" s="84"/>
      <c r="I60" s="81" t="s">
        <v>305</v>
      </c>
    </row>
    <row r="61" spans="1:9" s="76" customFormat="1" ht="13.8" x14ac:dyDescent="0.3">
      <c r="A61" s="84">
        <v>1209</v>
      </c>
      <c r="B61" s="84" t="s">
        <v>314</v>
      </c>
      <c r="C61" s="81" t="s">
        <v>13</v>
      </c>
      <c r="D61" s="81" t="s">
        <v>237</v>
      </c>
      <c r="E61" s="84"/>
      <c r="F61" s="84"/>
      <c r="G61" s="84"/>
      <c r="H61" s="84"/>
      <c r="I61" s="81" t="s">
        <v>305</v>
      </c>
    </row>
    <row r="62" spans="1:9" s="76" customFormat="1" ht="13.8" x14ac:dyDescent="0.3">
      <c r="A62" s="84">
        <v>1210</v>
      </c>
      <c r="B62" s="84" t="s">
        <v>315</v>
      </c>
      <c r="C62" s="81" t="s">
        <v>13</v>
      </c>
      <c r="D62" s="81" t="s">
        <v>237</v>
      </c>
      <c r="E62" s="84"/>
      <c r="F62" s="84"/>
      <c r="G62" s="84"/>
      <c r="H62" s="84"/>
      <c r="I62" s="81" t="s">
        <v>305</v>
      </c>
    </row>
    <row r="63" spans="1:9" s="76" customFormat="1" ht="13.8" x14ac:dyDescent="0.3">
      <c r="A63" s="84">
        <v>1211</v>
      </c>
      <c r="B63" s="84" t="s">
        <v>316</v>
      </c>
      <c r="C63" s="81" t="s">
        <v>13</v>
      </c>
      <c r="D63" s="81" t="s">
        <v>237</v>
      </c>
      <c r="E63" s="84"/>
      <c r="F63" s="84"/>
      <c r="G63" s="84"/>
      <c r="H63" s="84"/>
      <c r="I63" s="81" t="s">
        <v>305</v>
      </c>
    </row>
    <row r="64" spans="1:9" s="76" customFormat="1" ht="13.8" x14ac:dyDescent="0.3">
      <c r="A64" s="82">
        <v>1212</v>
      </c>
      <c r="B64" s="82" t="s">
        <v>317</v>
      </c>
      <c r="C64" s="81" t="s">
        <v>13</v>
      </c>
      <c r="D64" s="81" t="s">
        <v>237</v>
      </c>
      <c r="E64" s="82"/>
      <c r="F64" s="82"/>
      <c r="G64" s="82"/>
      <c r="H64" s="82"/>
      <c r="I64" s="81" t="s">
        <v>305</v>
      </c>
    </row>
    <row r="65" spans="1:9" s="76" customFormat="1" ht="13.8" x14ac:dyDescent="0.3">
      <c r="A65" s="82">
        <v>1213</v>
      </c>
      <c r="B65" s="82" t="s">
        <v>318</v>
      </c>
      <c r="C65" s="81" t="s">
        <v>13</v>
      </c>
      <c r="D65" s="81" t="s">
        <v>237</v>
      </c>
      <c r="E65" s="82"/>
      <c r="F65" s="82"/>
      <c r="G65" s="82"/>
      <c r="H65" s="82"/>
      <c r="I65" s="81" t="s">
        <v>305</v>
      </c>
    </row>
    <row r="66" spans="1:9" s="76" customFormat="1" ht="13.8" x14ac:dyDescent="0.3">
      <c r="A66" s="82">
        <v>1214</v>
      </c>
      <c r="B66" s="82" t="s">
        <v>319</v>
      </c>
      <c r="C66" s="81" t="s">
        <v>13</v>
      </c>
      <c r="D66" s="81" t="s">
        <v>237</v>
      </c>
      <c r="E66" s="82"/>
      <c r="F66" s="82"/>
      <c r="G66" s="82"/>
      <c r="H66" s="82"/>
      <c r="I66" s="81" t="s">
        <v>305</v>
      </c>
    </row>
    <row r="67" spans="1:9" s="76" customFormat="1" ht="13.8" x14ac:dyDescent="0.3">
      <c r="A67" s="84">
        <v>1215</v>
      </c>
      <c r="B67" s="84" t="s">
        <v>320</v>
      </c>
      <c r="C67" s="81" t="s">
        <v>321</v>
      </c>
      <c r="D67" s="81" t="s">
        <v>237</v>
      </c>
      <c r="E67" s="81"/>
      <c r="F67" s="81"/>
      <c r="G67" s="81"/>
      <c r="H67" s="81"/>
      <c r="I67" s="81" t="s">
        <v>235</v>
      </c>
    </row>
    <row r="68" spans="1:9" s="76" customFormat="1" ht="13.8" x14ac:dyDescent="0.3">
      <c r="A68" s="84">
        <v>1216</v>
      </c>
      <c r="B68" s="84" t="s">
        <v>322</v>
      </c>
      <c r="C68" s="81" t="s">
        <v>13</v>
      </c>
      <c r="D68" s="81" t="s">
        <v>237</v>
      </c>
      <c r="E68" s="84"/>
      <c r="F68" s="84"/>
      <c r="G68" s="84"/>
      <c r="H68" s="84"/>
      <c r="I68" s="81" t="s">
        <v>305</v>
      </c>
    </row>
    <row r="69" spans="1:9" s="76" customFormat="1" ht="13.8" x14ac:dyDescent="0.3">
      <c r="A69" s="84">
        <v>1217</v>
      </c>
      <c r="B69" s="84" t="s">
        <v>323</v>
      </c>
      <c r="C69" s="133" t="s">
        <v>39</v>
      </c>
      <c r="D69" s="81" t="s">
        <v>237</v>
      </c>
      <c r="E69" s="81"/>
      <c r="F69" s="81"/>
      <c r="G69" s="84"/>
      <c r="H69" s="84"/>
      <c r="I69" s="81" t="s">
        <v>305</v>
      </c>
    </row>
    <row r="70" spans="1:9" s="76" customFormat="1" ht="13.8" x14ac:dyDescent="0.3">
      <c r="A70" s="84">
        <v>1218</v>
      </c>
      <c r="B70" s="84" t="s">
        <v>324</v>
      </c>
      <c r="C70" s="84" t="s">
        <v>3</v>
      </c>
      <c r="D70" s="81" t="s">
        <v>237</v>
      </c>
      <c r="E70" s="81"/>
      <c r="F70" s="81"/>
      <c r="G70" s="84"/>
      <c r="H70" s="84"/>
      <c r="I70" s="81" t="s">
        <v>305</v>
      </c>
    </row>
    <row r="71" spans="1:9" s="76" customFormat="1" ht="13.8" x14ac:dyDescent="0.3">
      <c r="A71" s="84">
        <v>1219</v>
      </c>
      <c r="B71" s="84" t="s">
        <v>325</v>
      </c>
      <c r="C71" s="81" t="s">
        <v>13</v>
      </c>
      <c r="D71" s="81" t="s">
        <v>237</v>
      </c>
      <c r="E71" s="84"/>
      <c r="F71" s="84"/>
      <c r="G71" s="84"/>
      <c r="H71" s="84"/>
      <c r="I71" s="81" t="s">
        <v>305</v>
      </c>
    </row>
    <row r="72" spans="1:9" s="75" customFormat="1" ht="13.8" x14ac:dyDescent="0.3">
      <c r="A72" s="84">
        <v>1220</v>
      </c>
      <c r="B72" s="84" t="s">
        <v>326</v>
      </c>
      <c r="C72" s="133" t="s">
        <v>39</v>
      </c>
      <c r="D72" s="81" t="s">
        <v>237</v>
      </c>
      <c r="E72" s="81"/>
      <c r="F72" s="81"/>
      <c r="G72" s="84"/>
      <c r="H72" s="84"/>
      <c r="I72" s="81" t="s">
        <v>305</v>
      </c>
    </row>
    <row r="73" spans="1:9" s="75" customFormat="1" ht="13.8" x14ac:dyDescent="0.3">
      <c r="A73" s="85">
        <v>1221</v>
      </c>
      <c r="B73" s="85" t="s">
        <v>327</v>
      </c>
      <c r="C73" s="80" t="s">
        <v>3</v>
      </c>
      <c r="D73" s="80" t="s">
        <v>231</v>
      </c>
      <c r="E73" s="80" t="s">
        <v>202</v>
      </c>
      <c r="F73" s="80" t="s">
        <v>328</v>
      </c>
      <c r="G73" s="80" t="s">
        <v>209</v>
      </c>
      <c r="H73" s="80" t="s">
        <v>203</v>
      </c>
      <c r="I73" s="80" t="s">
        <v>305</v>
      </c>
    </row>
    <row r="74" spans="1:9" s="76" customFormat="1" ht="13.8" x14ac:dyDescent="0.3">
      <c r="A74" s="86">
        <v>1222</v>
      </c>
      <c r="B74" s="86" t="s">
        <v>329</v>
      </c>
      <c r="C74" s="86" t="s">
        <v>304</v>
      </c>
      <c r="D74" s="86" t="s">
        <v>231</v>
      </c>
      <c r="E74" s="80" t="s">
        <v>199</v>
      </c>
      <c r="F74" s="86" t="s">
        <v>233</v>
      </c>
      <c r="G74" s="86" t="s">
        <v>330</v>
      </c>
      <c r="H74" s="80" t="s">
        <v>216</v>
      </c>
      <c r="I74" s="80" t="s">
        <v>305</v>
      </c>
    </row>
    <row r="75" spans="1:9" s="76" customFormat="1" ht="13.8" x14ac:dyDescent="0.3">
      <c r="A75" s="84">
        <v>1223</v>
      </c>
      <c r="B75" s="84" t="s">
        <v>331</v>
      </c>
      <c r="C75" s="133" t="s">
        <v>39</v>
      </c>
      <c r="D75" s="81" t="s">
        <v>237</v>
      </c>
      <c r="E75" s="81"/>
      <c r="F75" s="81"/>
      <c r="G75" s="84"/>
      <c r="H75" s="84"/>
      <c r="I75" s="81" t="s">
        <v>305</v>
      </c>
    </row>
    <row r="76" spans="1:9" s="76" customFormat="1" ht="13.8" x14ac:dyDescent="0.3">
      <c r="A76" s="84">
        <v>1224</v>
      </c>
      <c r="B76" s="84" t="s">
        <v>332</v>
      </c>
      <c r="C76" s="81" t="s">
        <v>13</v>
      </c>
      <c r="D76" s="81" t="s">
        <v>237</v>
      </c>
      <c r="E76" s="84"/>
      <c r="F76" s="84"/>
      <c r="G76" s="84"/>
      <c r="H76" s="84"/>
      <c r="I76" s="81" t="s">
        <v>305</v>
      </c>
    </row>
    <row r="77" spans="1:9" s="76" customFormat="1" ht="13.8" x14ac:dyDescent="0.3">
      <c r="A77" s="84">
        <v>1225</v>
      </c>
      <c r="B77" s="84" t="s">
        <v>333</v>
      </c>
      <c r="C77" s="84" t="s">
        <v>334</v>
      </c>
      <c r="D77" s="81" t="s">
        <v>237</v>
      </c>
      <c r="E77" s="81"/>
      <c r="F77" s="81"/>
      <c r="G77" s="84"/>
      <c r="H77" s="84"/>
      <c r="I77" s="81" t="s">
        <v>305</v>
      </c>
    </row>
    <row r="78" spans="1:9" s="76" customFormat="1" ht="13.8" x14ac:dyDescent="0.3">
      <c r="A78" s="84">
        <v>1226</v>
      </c>
      <c r="B78" s="84" t="s">
        <v>335</v>
      </c>
      <c r="C78" s="81" t="s">
        <v>8</v>
      </c>
      <c r="D78" s="81" t="s">
        <v>237</v>
      </c>
      <c r="E78" s="81"/>
      <c r="F78" s="81"/>
      <c r="G78" s="84"/>
      <c r="H78" s="84"/>
      <c r="I78" s="81" t="s">
        <v>305</v>
      </c>
    </row>
    <row r="79" spans="1:9" s="76" customFormat="1" ht="13.8" x14ac:dyDescent="0.3">
      <c r="A79" s="82">
        <v>1227</v>
      </c>
      <c r="B79" s="82" t="s">
        <v>336</v>
      </c>
      <c r="C79" s="82" t="s">
        <v>32</v>
      </c>
      <c r="D79" s="81" t="s">
        <v>237</v>
      </c>
      <c r="E79" s="81"/>
      <c r="F79" s="81"/>
      <c r="G79" s="82"/>
      <c r="H79" s="82"/>
      <c r="I79" s="81" t="s">
        <v>305</v>
      </c>
    </row>
    <row r="80" spans="1:9" s="76" customFormat="1" ht="13.8" x14ac:dyDescent="0.3">
      <c r="A80" s="84">
        <v>1228</v>
      </c>
      <c r="B80" s="84" t="s">
        <v>337</v>
      </c>
      <c r="C80" s="81" t="s">
        <v>13</v>
      </c>
      <c r="D80" s="81" t="s">
        <v>237</v>
      </c>
      <c r="E80" s="84"/>
      <c r="F80" s="84"/>
      <c r="G80" s="84"/>
      <c r="H80" s="84"/>
      <c r="I80" s="81" t="s">
        <v>305</v>
      </c>
    </row>
    <row r="81" spans="1:9" s="75" customFormat="1" ht="13.8" x14ac:dyDescent="0.3">
      <c r="A81" s="84">
        <v>1229</v>
      </c>
      <c r="B81" s="84" t="s">
        <v>338</v>
      </c>
      <c r="C81" s="81" t="s">
        <v>34</v>
      </c>
      <c r="D81" s="81" t="s">
        <v>237</v>
      </c>
      <c r="E81" s="81"/>
      <c r="F81" s="81"/>
      <c r="G81" s="84"/>
      <c r="H81" s="84"/>
      <c r="I81" s="81" t="s">
        <v>305</v>
      </c>
    </row>
    <row r="82" spans="1:9" s="76" customFormat="1" ht="13.8" x14ac:dyDescent="0.3">
      <c r="A82" s="86">
        <v>1230</v>
      </c>
      <c r="B82" s="86" t="s">
        <v>339</v>
      </c>
      <c r="C82" s="86" t="s">
        <v>95</v>
      </c>
      <c r="D82" s="86" t="s">
        <v>231</v>
      </c>
      <c r="E82" s="80" t="s">
        <v>199</v>
      </c>
      <c r="F82" s="80" t="s">
        <v>340</v>
      </c>
      <c r="G82" s="83" t="s">
        <v>204</v>
      </c>
      <c r="H82" s="80" t="s">
        <v>217</v>
      </c>
      <c r="I82" s="80" t="s">
        <v>305</v>
      </c>
    </row>
    <row r="83" spans="1:9" s="75" customFormat="1" ht="13.8" x14ac:dyDescent="0.3">
      <c r="A83" s="84">
        <v>1231</v>
      </c>
      <c r="B83" s="84" t="s">
        <v>341</v>
      </c>
      <c r="C83" s="81" t="s">
        <v>13</v>
      </c>
      <c r="D83" s="81" t="s">
        <v>237</v>
      </c>
      <c r="E83" s="84"/>
      <c r="F83" s="84"/>
      <c r="G83" s="84"/>
      <c r="H83" s="84"/>
      <c r="I83" s="81" t="s">
        <v>305</v>
      </c>
    </row>
    <row r="84" spans="1:9" s="76" customFormat="1" ht="13.8" x14ac:dyDescent="0.3">
      <c r="A84" s="83">
        <v>1233</v>
      </c>
      <c r="B84" s="83" t="s">
        <v>342</v>
      </c>
      <c r="C84" s="80" t="s">
        <v>34</v>
      </c>
      <c r="D84" s="83" t="s">
        <v>231</v>
      </c>
      <c r="E84" s="80" t="s">
        <v>202</v>
      </c>
      <c r="F84" s="80" t="s">
        <v>328</v>
      </c>
      <c r="G84" s="86" t="s">
        <v>84</v>
      </c>
      <c r="H84" s="80" t="s">
        <v>207</v>
      </c>
      <c r="I84" s="80" t="s">
        <v>305</v>
      </c>
    </row>
    <row r="85" spans="1:9" s="76" customFormat="1" ht="13.8" x14ac:dyDescent="0.3">
      <c r="A85" s="84">
        <v>1234</v>
      </c>
      <c r="B85" s="84" t="s">
        <v>343</v>
      </c>
      <c r="C85" s="81" t="s">
        <v>13</v>
      </c>
      <c r="D85" s="81" t="s">
        <v>237</v>
      </c>
      <c r="E85" s="84"/>
      <c r="F85" s="84"/>
      <c r="G85" s="84"/>
      <c r="H85" s="84"/>
      <c r="I85" s="81" t="s">
        <v>305</v>
      </c>
    </row>
    <row r="86" spans="1:9" s="76" customFormat="1" ht="13.8" x14ac:dyDescent="0.3">
      <c r="A86" s="82">
        <v>1235</v>
      </c>
      <c r="B86" s="82" t="s">
        <v>344</v>
      </c>
      <c r="C86" s="82" t="s">
        <v>6</v>
      </c>
      <c r="D86" s="81" t="s">
        <v>237</v>
      </c>
      <c r="E86" s="81" t="s">
        <v>199</v>
      </c>
      <c r="F86" s="81" t="s">
        <v>340</v>
      </c>
      <c r="G86" s="82"/>
      <c r="H86" s="82"/>
      <c r="I86" s="81" t="s">
        <v>305</v>
      </c>
    </row>
    <row r="87" spans="1:9" s="76" customFormat="1" ht="13.8" x14ac:dyDescent="0.3">
      <c r="A87" s="84">
        <v>1236</v>
      </c>
      <c r="B87" s="84" t="s">
        <v>345</v>
      </c>
      <c r="C87" s="81" t="s">
        <v>13</v>
      </c>
      <c r="D87" s="81" t="s">
        <v>237</v>
      </c>
      <c r="E87" s="84"/>
      <c r="F87" s="84"/>
      <c r="G87" s="84"/>
      <c r="H87" s="84"/>
      <c r="I87" s="81" t="s">
        <v>305</v>
      </c>
    </row>
    <row r="88" spans="1:9" s="76" customFormat="1" ht="13.8" x14ac:dyDescent="0.3">
      <c r="A88" s="82">
        <v>1237</v>
      </c>
      <c r="B88" s="82" t="s">
        <v>346</v>
      </c>
      <c r="C88" s="82" t="s">
        <v>32</v>
      </c>
      <c r="D88" s="81" t="s">
        <v>237</v>
      </c>
      <c r="E88" s="81"/>
      <c r="F88" s="81"/>
      <c r="G88" s="82"/>
      <c r="H88" s="82"/>
      <c r="I88" s="81" t="s">
        <v>305</v>
      </c>
    </row>
    <row r="89" spans="1:9" s="76" customFormat="1" ht="13.8" x14ac:dyDescent="0.3">
      <c r="A89" s="84">
        <v>1238</v>
      </c>
      <c r="B89" s="84" t="s">
        <v>347</v>
      </c>
      <c r="C89" s="81" t="s">
        <v>348</v>
      </c>
      <c r="D89" s="81" t="s">
        <v>237</v>
      </c>
      <c r="E89" s="81"/>
      <c r="F89" s="81"/>
      <c r="G89" s="84"/>
      <c r="H89" s="84"/>
      <c r="I89" s="81" t="s">
        <v>305</v>
      </c>
    </row>
    <row r="90" spans="1:9" s="76" customFormat="1" ht="13.8" x14ac:dyDescent="0.3">
      <c r="A90" s="84">
        <v>1239</v>
      </c>
      <c r="B90" s="84" t="s">
        <v>349</v>
      </c>
      <c r="C90" s="82" t="s">
        <v>32</v>
      </c>
      <c r="D90" s="81" t="s">
        <v>237</v>
      </c>
      <c r="E90" s="81"/>
      <c r="F90" s="81"/>
      <c r="G90" s="84"/>
      <c r="H90" s="84"/>
      <c r="I90" s="81" t="s">
        <v>305</v>
      </c>
    </row>
    <row r="91" spans="1:9" s="76" customFormat="1" ht="13.8" x14ac:dyDescent="0.3">
      <c r="A91" s="84">
        <v>1240</v>
      </c>
      <c r="B91" s="84" t="s">
        <v>350</v>
      </c>
      <c r="C91" s="81" t="s">
        <v>351</v>
      </c>
      <c r="D91" s="81" t="s">
        <v>237</v>
      </c>
      <c r="E91" s="81"/>
      <c r="F91" s="81"/>
      <c r="G91" s="84"/>
      <c r="H91" s="84"/>
      <c r="I91" s="81" t="s">
        <v>305</v>
      </c>
    </row>
    <row r="92" spans="1:9" s="76" customFormat="1" ht="13.8" x14ac:dyDescent="0.3">
      <c r="A92" s="84">
        <v>1241</v>
      </c>
      <c r="B92" s="84" t="s">
        <v>352</v>
      </c>
      <c r="C92" s="133" t="s">
        <v>39</v>
      </c>
      <c r="D92" s="81" t="s">
        <v>237</v>
      </c>
      <c r="E92" s="81"/>
      <c r="F92" s="81"/>
      <c r="G92" s="84"/>
      <c r="H92" s="84"/>
      <c r="I92" s="81" t="s">
        <v>305</v>
      </c>
    </row>
    <row r="93" spans="1:9" s="76" customFormat="1" ht="13.8" x14ac:dyDescent="0.3">
      <c r="A93" s="84">
        <v>1242</v>
      </c>
      <c r="B93" s="84" t="s">
        <v>353</v>
      </c>
      <c r="C93" s="84" t="s">
        <v>354</v>
      </c>
      <c r="D93" s="81" t="s">
        <v>237</v>
      </c>
      <c r="E93" s="81"/>
      <c r="F93" s="81"/>
      <c r="G93" s="84"/>
      <c r="H93" s="84"/>
      <c r="I93" s="81" t="s">
        <v>305</v>
      </c>
    </row>
    <row r="94" spans="1:9" s="76" customFormat="1" ht="13.8" x14ac:dyDescent="0.3">
      <c r="A94" s="84">
        <v>1243</v>
      </c>
      <c r="B94" s="84" t="s">
        <v>355</v>
      </c>
      <c r="C94" s="133" t="s">
        <v>351</v>
      </c>
      <c r="D94" s="81" t="s">
        <v>237</v>
      </c>
      <c r="E94" s="81"/>
      <c r="F94" s="81"/>
      <c r="G94" s="84"/>
      <c r="H94" s="84"/>
      <c r="I94" s="81" t="s">
        <v>305</v>
      </c>
    </row>
    <row r="95" spans="1:9" s="76" customFormat="1" ht="13.8" x14ac:dyDescent="0.3">
      <c r="A95" s="84">
        <v>1244</v>
      </c>
      <c r="B95" s="84" t="s">
        <v>356</v>
      </c>
      <c r="C95" s="84" t="s">
        <v>36</v>
      </c>
      <c r="D95" s="81" t="s">
        <v>237</v>
      </c>
      <c r="E95" s="81"/>
      <c r="F95" s="81"/>
      <c r="G95" s="84"/>
      <c r="H95" s="84"/>
      <c r="I95" s="81" t="s">
        <v>305</v>
      </c>
    </row>
    <row r="96" spans="1:9" s="76" customFormat="1" ht="13.8" x14ac:dyDescent="0.3">
      <c r="A96" s="84">
        <v>1245</v>
      </c>
      <c r="B96" s="84" t="s">
        <v>357</v>
      </c>
      <c r="C96" s="84" t="s">
        <v>40</v>
      </c>
      <c r="D96" s="81" t="s">
        <v>237</v>
      </c>
      <c r="E96" s="81"/>
      <c r="F96" s="81"/>
      <c r="G96" s="84"/>
      <c r="H96" s="84"/>
      <c r="I96" s="81" t="s">
        <v>305</v>
      </c>
    </row>
    <row r="97" spans="1:9" s="75" customFormat="1" ht="13.8" x14ac:dyDescent="0.3">
      <c r="A97" s="84">
        <v>1246</v>
      </c>
      <c r="B97" s="84" t="s">
        <v>358</v>
      </c>
      <c r="C97" s="81" t="s">
        <v>13</v>
      </c>
      <c r="D97" s="81" t="s">
        <v>237</v>
      </c>
      <c r="E97" s="84"/>
      <c r="F97" s="84"/>
      <c r="G97" s="84"/>
      <c r="H97" s="84"/>
      <c r="I97" s="81" t="s">
        <v>305</v>
      </c>
    </row>
    <row r="98" spans="1:9" s="75" customFormat="1" ht="13.8" x14ac:dyDescent="0.3">
      <c r="A98" s="86">
        <v>1247</v>
      </c>
      <c r="B98" s="86" t="s">
        <v>359</v>
      </c>
      <c r="C98" s="86" t="s">
        <v>21</v>
      </c>
      <c r="D98" s="86" t="s">
        <v>231</v>
      </c>
      <c r="E98" s="80" t="s">
        <v>202</v>
      </c>
      <c r="F98" s="80" t="s">
        <v>340</v>
      </c>
      <c r="G98" s="86" t="s">
        <v>215</v>
      </c>
      <c r="H98" s="80" t="s">
        <v>213</v>
      </c>
      <c r="I98" s="80" t="s">
        <v>305</v>
      </c>
    </row>
    <row r="99" spans="1:9" s="76" customFormat="1" ht="13.8" x14ac:dyDescent="0.3">
      <c r="A99" s="86">
        <v>1248</v>
      </c>
      <c r="B99" s="86" t="s">
        <v>360</v>
      </c>
      <c r="C99" s="86" t="s">
        <v>36</v>
      </c>
      <c r="D99" s="86" t="s">
        <v>231</v>
      </c>
      <c r="E99" s="80" t="s">
        <v>202</v>
      </c>
      <c r="F99" s="80" t="s">
        <v>340</v>
      </c>
      <c r="G99" s="86" t="s">
        <v>84</v>
      </c>
      <c r="H99" s="80" t="s">
        <v>207</v>
      </c>
      <c r="I99" s="80" t="s">
        <v>305</v>
      </c>
    </row>
    <row r="100" spans="1:9" s="76" customFormat="1" ht="13.8" x14ac:dyDescent="0.3">
      <c r="A100" s="84">
        <v>1250</v>
      </c>
      <c r="B100" s="84" t="s">
        <v>361</v>
      </c>
      <c r="C100" s="84" t="s">
        <v>13</v>
      </c>
      <c r="D100" s="81" t="s">
        <v>237</v>
      </c>
      <c r="E100" s="84"/>
      <c r="F100" s="84"/>
      <c r="G100" s="84"/>
      <c r="H100" s="84"/>
      <c r="I100" s="81" t="s">
        <v>305</v>
      </c>
    </row>
    <row r="101" spans="1:9" s="76" customFormat="1" ht="13.8" x14ac:dyDescent="0.3">
      <c r="A101" s="84">
        <v>1251</v>
      </c>
      <c r="B101" s="84" t="s">
        <v>362</v>
      </c>
      <c r="C101" s="84" t="s">
        <v>363</v>
      </c>
      <c r="D101" s="81" t="s">
        <v>237</v>
      </c>
      <c r="E101" s="81"/>
      <c r="F101" s="81"/>
      <c r="G101" s="84"/>
      <c r="H101" s="84"/>
      <c r="I101" s="81" t="s">
        <v>305</v>
      </c>
    </row>
    <row r="102" spans="1:9" s="76" customFormat="1" ht="13.8" x14ac:dyDescent="0.3">
      <c r="A102" s="84">
        <v>1252</v>
      </c>
      <c r="B102" s="84" t="s">
        <v>364</v>
      </c>
      <c r="C102" s="84" t="s">
        <v>6</v>
      </c>
      <c r="D102" s="81" t="s">
        <v>237</v>
      </c>
      <c r="E102" s="81"/>
      <c r="F102" s="81"/>
      <c r="G102" s="84"/>
      <c r="H102" s="84"/>
      <c r="I102" s="81" t="s">
        <v>305</v>
      </c>
    </row>
    <row r="103" spans="1:9" s="76" customFormat="1" ht="13.8" x14ac:dyDescent="0.3">
      <c r="A103" s="84">
        <v>1253</v>
      </c>
      <c r="B103" s="84" t="s">
        <v>365</v>
      </c>
      <c r="C103" s="84" t="s">
        <v>6</v>
      </c>
      <c r="D103" s="81" t="s">
        <v>237</v>
      </c>
      <c r="E103" s="81"/>
      <c r="F103" s="81"/>
      <c r="G103" s="84"/>
      <c r="H103" s="84"/>
      <c r="I103" s="81" t="s">
        <v>305</v>
      </c>
    </row>
    <row r="104" spans="1:9" s="76" customFormat="1" ht="13.8" x14ac:dyDescent="0.3">
      <c r="A104" s="84">
        <v>1254</v>
      </c>
      <c r="B104" s="84" t="s">
        <v>366</v>
      </c>
      <c r="C104" s="84" t="s">
        <v>6</v>
      </c>
      <c r="D104" s="81" t="s">
        <v>237</v>
      </c>
      <c r="E104" s="81"/>
      <c r="F104" s="81"/>
      <c r="G104" s="84"/>
      <c r="H104" s="84"/>
      <c r="I104" s="81" t="s">
        <v>305</v>
      </c>
    </row>
    <row r="105" spans="1:9" s="76" customFormat="1" ht="13.8" x14ac:dyDescent="0.3">
      <c r="A105" s="84">
        <v>1255</v>
      </c>
      <c r="B105" s="84" t="s">
        <v>367</v>
      </c>
      <c r="C105" s="84" t="s">
        <v>6</v>
      </c>
      <c r="D105" s="81" t="s">
        <v>237</v>
      </c>
      <c r="E105" s="81"/>
      <c r="F105" s="81"/>
      <c r="G105" s="84"/>
      <c r="H105" s="84"/>
      <c r="I105" s="81" t="s">
        <v>305</v>
      </c>
    </row>
    <row r="106" spans="1:9" s="76" customFormat="1" ht="13.8" x14ac:dyDescent="0.3">
      <c r="A106" s="84">
        <v>1256</v>
      </c>
      <c r="B106" s="84" t="s">
        <v>368</v>
      </c>
      <c r="C106" s="84" t="s">
        <v>6</v>
      </c>
      <c r="D106" s="81" t="s">
        <v>237</v>
      </c>
      <c r="E106" s="81"/>
      <c r="F106" s="81"/>
      <c r="G106" s="84"/>
      <c r="H106" s="84"/>
      <c r="I106" s="81" t="s">
        <v>305</v>
      </c>
    </row>
    <row r="107" spans="1:9" s="76" customFormat="1" ht="13.8" x14ac:dyDescent="0.3">
      <c r="A107" s="84">
        <v>1257</v>
      </c>
      <c r="B107" s="84" t="s">
        <v>369</v>
      </c>
      <c r="C107" s="84" t="s">
        <v>6</v>
      </c>
      <c r="D107" s="81" t="s">
        <v>237</v>
      </c>
      <c r="E107" s="81"/>
      <c r="F107" s="81"/>
      <c r="G107" s="84"/>
      <c r="H107" s="84"/>
      <c r="I107" s="81" t="s">
        <v>305</v>
      </c>
    </row>
    <row r="108" spans="1:9" s="75" customFormat="1" ht="13.8" x14ac:dyDescent="0.3">
      <c r="A108" s="84">
        <v>1258</v>
      </c>
      <c r="B108" s="84" t="s">
        <v>370</v>
      </c>
      <c r="C108" s="84" t="s">
        <v>6</v>
      </c>
      <c r="D108" s="81" t="s">
        <v>237</v>
      </c>
      <c r="E108" s="81"/>
      <c r="F108" s="81"/>
      <c r="G108" s="84"/>
      <c r="H108" s="84"/>
      <c r="I108" s="81" t="s">
        <v>305</v>
      </c>
    </row>
    <row r="109" spans="1:9" s="75" customFormat="1" ht="13.8" x14ac:dyDescent="0.3">
      <c r="A109" s="86">
        <v>1259</v>
      </c>
      <c r="B109" s="86" t="s">
        <v>371</v>
      </c>
      <c r="C109" s="80" t="s">
        <v>3</v>
      </c>
      <c r="D109" s="80" t="s">
        <v>231</v>
      </c>
      <c r="E109" s="80" t="s">
        <v>199</v>
      </c>
      <c r="F109" s="80" t="s">
        <v>328</v>
      </c>
      <c r="G109" s="80" t="s">
        <v>209</v>
      </c>
      <c r="H109" s="80" t="s">
        <v>203</v>
      </c>
      <c r="I109" s="80" t="s">
        <v>305</v>
      </c>
    </row>
    <row r="110" spans="1:9" s="76" customFormat="1" ht="13.8" x14ac:dyDescent="0.3">
      <c r="A110" s="86">
        <v>1260</v>
      </c>
      <c r="B110" s="86" t="s">
        <v>372</v>
      </c>
      <c r="C110" s="80" t="s">
        <v>121</v>
      </c>
      <c r="D110" s="80" t="s">
        <v>231</v>
      </c>
      <c r="E110" s="80" t="s">
        <v>199</v>
      </c>
      <c r="F110" s="80" t="s">
        <v>373</v>
      </c>
      <c r="G110" s="80" t="s">
        <v>193</v>
      </c>
      <c r="H110" s="80" t="s">
        <v>207</v>
      </c>
      <c r="I110" s="80" t="s">
        <v>305</v>
      </c>
    </row>
    <row r="111" spans="1:9" s="75" customFormat="1" ht="13.8" x14ac:dyDescent="0.3">
      <c r="A111" s="84">
        <v>1261</v>
      </c>
      <c r="B111" s="84" t="s">
        <v>374</v>
      </c>
      <c r="C111" s="84" t="s">
        <v>334</v>
      </c>
      <c r="D111" s="81" t="s">
        <v>237</v>
      </c>
      <c r="E111" s="81" t="s">
        <v>202</v>
      </c>
      <c r="F111" s="81" t="s">
        <v>373</v>
      </c>
      <c r="G111" s="84"/>
      <c r="H111" s="84"/>
      <c r="I111" s="81" t="s">
        <v>305</v>
      </c>
    </row>
    <row r="112" spans="1:9" s="75" customFormat="1" ht="13.8" x14ac:dyDescent="0.3">
      <c r="A112" s="86">
        <v>1262</v>
      </c>
      <c r="B112" s="86" t="s">
        <v>375</v>
      </c>
      <c r="C112" s="86" t="s">
        <v>45</v>
      </c>
      <c r="D112" s="86" t="s">
        <v>231</v>
      </c>
      <c r="E112" s="80" t="s">
        <v>199</v>
      </c>
      <c r="F112" s="80" t="s">
        <v>376</v>
      </c>
      <c r="G112" s="80" t="s">
        <v>193</v>
      </c>
      <c r="H112" s="80" t="s">
        <v>207</v>
      </c>
      <c r="I112" s="80" t="s">
        <v>305</v>
      </c>
    </row>
    <row r="113" spans="1:9" s="76" customFormat="1" ht="13.8" x14ac:dyDescent="0.3">
      <c r="A113" s="86">
        <v>1263</v>
      </c>
      <c r="B113" s="86" t="s">
        <v>377</v>
      </c>
      <c r="C113" s="86" t="s">
        <v>304</v>
      </c>
      <c r="D113" s="86" t="s">
        <v>231</v>
      </c>
      <c r="E113" s="80" t="s">
        <v>201</v>
      </c>
      <c r="F113" s="86" t="s">
        <v>233</v>
      </c>
      <c r="G113" s="80" t="s">
        <v>222</v>
      </c>
      <c r="H113" s="80" t="s">
        <v>216</v>
      </c>
      <c r="I113" s="80" t="s">
        <v>305</v>
      </c>
    </row>
    <row r="114" spans="1:9" s="76" customFormat="1" ht="13.8" x14ac:dyDescent="0.3">
      <c r="A114" s="84">
        <v>1264</v>
      </c>
      <c r="B114" s="84" t="s">
        <v>378</v>
      </c>
      <c r="C114" s="84" t="s">
        <v>334</v>
      </c>
      <c r="D114" s="81" t="s">
        <v>237</v>
      </c>
      <c r="E114" s="81"/>
      <c r="F114" s="81"/>
      <c r="G114" s="84"/>
      <c r="H114" s="84"/>
      <c r="I114" s="81" t="s">
        <v>305</v>
      </c>
    </row>
    <row r="115" spans="1:9" s="76" customFormat="1" ht="13.8" x14ac:dyDescent="0.3">
      <c r="A115" s="84">
        <v>1265</v>
      </c>
      <c r="B115" s="84" t="s">
        <v>379</v>
      </c>
      <c r="C115" s="84" t="s">
        <v>380</v>
      </c>
      <c r="D115" s="81" t="s">
        <v>237</v>
      </c>
      <c r="E115" s="81"/>
      <c r="F115" s="81"/>
      <c r="G115" s="84"/>
      <c r="H115" s="84"/>
      <c r="I115" s="81" t="s">
        <v>305</v>
      </c>
    </row>
    <row r="116" spans="1:9" s="75" customFormat="1" ht="13.8" x14ac:dyDescent="0.3">
      <c r="A116" s="84">
        <v>1266</v>
      </c>
      <c r="B116" s="84" t="s">
        <v>381</v>
      </c>
      <c r="C116" s="84" t="s">
        <v>334</v>
      </c>
      <c r="D116" s="81" t="s">
        <v>237</v>
      </c>
      <c r="E116" s="81"/>
      <c r="F116" s="81"/>
      <c r="G116" s="84"/>
      <c r="H116" s="84"/>
      <c r="I116" s="81" t="s">
        <v>305</v>
      </c>
    </row>
    <row r="117" spans="1:9" s="75" customFormat="1" ht="13.8" x14ac:dyDescent="0.3">
      <c r="A117" s="86">
        <v>1267</v>
      </c>
      <c r="B117" s="86" t="s">
        <v>382</v>
      </c>
      <c r="C117" s="86" t="s">
        <v>304</v>
      </c>
      <c r="D117" s="86" t="s">
        <v>231</v>
      </c>
      <c r="E117" s="80" t="s">
        <v>199</v>
      </c>
      <c r="F117" s="86" t="s">
        <v>233</v>
      </c>
      <c r="G117" s="86" t="s">
        <v>330</v>
      </c>
      <c r="H117" s="80" t="s">
        <v>216</v>
      </c>
      <c r="I117" s="80" t="s">
        <v>305</v>
      </c>
    </row>
    <row r="118" spans="1:9" s="75" customFormat="1" ht="13.8" x14ac:dyDescent="0.3">
      <c r="A118" s="86">
        <v>1268</v>
      </c>
      <c r="B118" s="86" t="s">
        <v>383</v>
      </c>
      <c r="C118" s="86" t="s">
        <v>141</v>
      </c>
      <c r="D118" s="86" t="s">
        <v>231</v>
      </c>
      <c r="E118" s="80" t="s">
        <v>199</v>
      </c>
      <c r="F118" s="80" t="s">
        <v>376</v>
      </c>
      <c r="G118" s="80" t="s">
        <v>193</v>
      </c>
      <c r="H118" s="80" t="s">
        <v>207</v>
      </c>
      <c r="I118" s="80" t="s">
        <v>305</v>
      </c>
    </row>
    <row r="119" spans="1:9" s="76" customFormat="1" ht="13.8" x14ac:dyDescent="0.3">
      <c r="A119" s="86">
        <v>1269</v>
      </c>
      <c r="B119" s="86" t="s">
        <v>384</v>
      </c>
      <c r="C119" s="86" t="s">
        <v>45</v>
      </c>
      <c r="D119" s="86" t="s">
        <v>231</v>
      </c>
      <c r="E119" s="80" t="s">
        <v>202</v>
      </c>
      <c r="F119" s="80" t="s">
        <v>376</v>
      </c>
      <c r="G119" s="80" t="s">
        <v>193</v>
      </c>
      <c r="H119" s="80" t="s">
        <v>207</v>
      </c>
      <c r="I119" s="80" t="s">
        <v>305</v>
      </c>
    </row>
    <row r="120" spans="1:9" s="75" customFormat="1" ht="13.8" x14ac:dyDescent="0.3">
      <c r="A120" s="84">
        <v>1270</v>
      </c>
      <c r="B120" s="84" t="s">
        <v>385</v>
      </c>
      <c r="C120" s="81" t="s">
        <v>386</v>
      </c>
      <c r="D120" s="81" t="s">
        <v>237</v>
      </c>
      <c r="E120" s="81"/>
      <c r="F120" s="81"/>
      <c r="G120" s="84"/>
      <c r="H120" s="84"/>
      <c r="I120" s="81" t="s">
        <v>305</v>
      </c>
    </row>
    <row r="121" spans="1:9" s="76" customFormat="1" ht="13.8" x14ac:dyDescent="0.3">
      <c r="A121" s="86">
        <v>1271</v>
      </c>
      <c r="B121" s="86" t="s">
        <v>387</v>
      </c>
      <c r="C121" s="85" t="s">
        <v>32</v>
      </c>
      <c r="D121" s="86" t="s">
        <v>231</v>
      </c>
      <c r="E121" s="80" t="s">
        <v>202</v>
      </c>
      <c r="F121" s="80" t="s">
        <v>340</v>
      </c>
      <c r="G121" s="86" t="s">
        <v>204</v>
      </c>
      <c r="H121" s="80" t="s">
        <v>217</v>
      </c>
      <c r="I121" s="80" t="s">
        <v>305</v>
      </c>
    </row>
    <row r="122" spans="1:9" s="75" customFormat="1" ht="13.8" x14ac:dyDescent="0.3">
      <c r="A122" s="84">
        <v>1272</v>
      </c>
      <c r="B122" s="84" t="s">
        <v>388</v>
      </c>
      <c r="C122" s="84" t="s">
        <v>334</v>
      </c>
      <c r="D122" s="81" t="s">
        <v>237</v>
      </c>
      <c r="E122" s="81"/>
      <c r="F122" s="81"/>
      <c r="G122" s="84"/>
      <c r="H122" s="84"/>
      <c r="I122" s="81" t="s">
        <v>305</v>
      </c>
    </row>
    <row r="123" spans="1:9" s="75" customFormat="1" ht="13.8" x14ac:dyDescent="0.3">
      <c r="A123" s="83">
        <v>1273</v>
      </c>
      <c r="B123" s="83" t="s">
        <v>389</v>
      </c>
      <c r="C123" s="83" t="s">
        <v>39</v>
      </c>
      <c r="D123" s="83" t="s">
        <v>231</v>
      </c>
      <c r="E123" s="80" t="s">
        <v>202</v>
      </c>
      <c r="F123" s="80" t="s">
        <v>340</v>
      </c>
      <c r="G123" s="83" t="s">
        <v>204</v>
      </c>
      <c r="H123" s="80" t="s">
        <v>217</v>
      </c>
      <c r="I123" s="80" t="s">
        <v>305</v>
      </c>
    </row>
    <row r="124" spans="1:9" s="75" customFormat="1" ht="13.8" x14ac:dyDescent="0.3">
      <c r="A124" s="86">
        <v>1274</v>
      </c>
      <c r="B124" s="86" t="s">
        <v>390</v>
      </c>
      <c r="C124" s="80" t="s">
        <v>196</v>
      </c>
      <c r="D124" s="80" t="s">
        <v>231</v>
      </c>
      <c r="E124" s="80" t="s">
        <v>199</v>
      </c>
      <c r="F124" s="80" t="s">
        <v>376</v>
      </c>
      <c r="G124" s="80" t="s">
        <v>71</v>
      </c>
      <c r="H124" s="80" t="s">
        <v>203</v>
      </c>
      <c r="I124" s="80" t="s">
        <v>305</v>
      </c>
    </row>
    <row r="125" spans="1:9" s="76" customFormat="1" ht="13.8" x14ac:dyDescent="0.3">
      <c r="A125" s="86">
        <v>1275</v>
      </c>
      <c r="B125" s="86" t="s">
        <v>391</v>
      </c>
      <c r="C125" s="86" t="s">
        <v>165</v>
      </c>
      <c r="D125" s="86" t="s">
        <v>231</v>
      </c>
      <c r="E125" s="80" t="s">
        <v>199</v>
      </c>
      <c r="F125" s="80" t="s">
        <v>376</v>
      </c>
      <c r="G125" s="80" t="s">
        <v>193</v>
      </c>
      <c r="H125" s="80" t="s">
        <v>207</v>
      </c>
      <c r="I125" s="80" t="s">
        <v>305</v>
      </c>
    </row>
    <row r="126" spans="1:9" s="75" customFormat="1" ht="13.8" x14ac:dyDescent="0.3">
      <c r="A126" s="84">
        <v>1276</v>
      </c>
      <c r="B126" s="84" t="s">
        <v>392</v>
      </c>
      <c r="C126" s="82" t="s">
        <v>32</v>
      </c>
      <c r="D126" s="81" t="s">
        <v>237</v>
      </c>
      <c r="E126" s="81"/>
      <c r="F126" s="81"/>
      <c r="G126" s="84"/>
      <c r="H126" s="84"/>
      <c r="I126" s="81" t="s">
        <v>305</v>
      </c>
    </row>
    <row r="127" spans="1:9" s="75" customFormat="1" ht="13.8" x14ac:dyDescent="0.3">
      <c r="A127" s="83">
        <v>1277</v>
      </c>
      <c r="B127" s="83" t="s">
        <v>393</v>
      </c>
      <c r="C127" s="83" t="s">
        <v>39</v>
      </c>
      <c r="D127" s="83" t="s">
        <v>231</v>
      </c>
      <c r="E127" s="80" t="s">
        <v>202</v>
      </c>
      <c r="F127" s="80" t="s">
        <v>340</v>
      </c>
      <c r="G127" s="83" t="s">
        <v>204</v>
      </c>
      <c r="H127" s="80" t="s">
        <v>217</v>
      </c>
      <c r="I127" s="80" t="s">
        <v>305</v>
      </c>
    </row>
    <row r="128" spans="1:9" s="76" customFormat="1" ht="13.8" x14ac:dyDescent="0.3">
      <c r="A128" s="86">
        <v>1278</v>
      </c>
      <c r="B128" s="86" t="s">
        <v>394</v>
      </c>
      <c r="C128" s="86" t="s">
        <v>395</v>
      </c>
      <c r="D128" s="86" t="s">
        <v>231</v>
      </c>
      <c r="E128" s="80" t="s">
        <v>202</v>
      </c>
      <c r="F128" s="80" t="s">
        <v>340</v>
      </c>
      <c r="G128" s="86" t="s">
        <v>211</v>
      </c>
      <c r="H128" s="80" t="s">
        <v>207</v>
      </c>
      <c r="I128" s="80" t="s">
        <v>305</v>
      </c>
    </row>
    <row r="129" spans="1:9" s="76" customFormat="1" ht="13.8" x14ac:dyDescent="0.3">
      <c r="A129" s="84">
        <v>1279</v>
      </c>
      <c r="B129" s="84" t="s">
        <v>396</v>
      </c>
      <c r="C129" s="84" t="s">
        <v>334</v>
      </c>
      <c r="D129" s="81" t="s">
        <v>237</v>
      </c>
      <c r="E129" s="81"/>
      <c r="F129" s="81"/>
      <c r="G129" s="84"/>
      <c r="H129" s="84"/>
      <c r="I129" s="81" t="s">
        <v>305</v>
      </c>
    </row>
    <row r="130" spans="1:9" s="76" customFormat="1" ht="13.8" x14ac:dyDescent="0.3">
      <c r="A130" s="84">
        <v>1280</v>
      </c>
      <c r="B130" s="84" t="s">
        <v>397</v>
      </c>
      <c r="C130" s="81" t="s">
        <v>398</v>
      </c>
      <c r="D130" s="81" t="s">
        <v>237</v>
      </c>
      <c r="E130" s="81"/>
      <c r="F130" s="81"/>
      <c r="G130" s="84"/>
      <c r="H130" s="84"/>
      <c r="I130" s="81" t="s">
        <v>305</v>
      </c>
    </row>
    <row r="131" spans="1:9" s="76" customFormat="1" ht="13.8" x14ac:dyDescent="0.3">
      <c r="A131" s="84">
        <v>1281</v>
      </c>
      <c r="B131" s="84" t="s">
        <v>399</v>
      </c>
      <c r="C131" s="84" t="s">
        <v>400</v>
      </c>
      <c r="D131" s="81" t="s">
        <v>237</v>
      </c>
      <c r="E131" s="81"/>
      <c r="F131" s="81"/>
      <c r="G131" s="84"/>
      <c r="H131" s="84"/>
      <c r="I131" s="81" t="s">
        <v>305</v>
      </c>
    </row>
    <row r="132" spans="1:9" s="76" customFormat="1" ht="13.8" x14ac:dyDescent="0.3">
      <c r="A132" s="84">
        <v>1282</v>
      </c>
      <c r="B132" s="84" t="s">
        <v>401</v>
      </c>
      <c r="C132" s="84" t="s">
        <v>400</v>
      </c>
      <c r="D132" s="81" t="s">
        <v>237</v>
      </c>
      <c r="E132" s="81"/>
      <c r="F132" s="81"/>
      <c r="G132" s="84"/>
      <c r="H132" s="84"/>
      <c r="I132" s="81" t="s">
        <v>305</v>
      </c>
    </row>
    <row r="133" spans="1:9" s="76" customFormat="1" ht="13.8" x14ac:dyDescent="0.3">
      <c r="A133" s="84">
        <v>1283</v>
      </c>
      <c r="B133" s="84" t="s">
        <v>402</v>
      </c>
      <c r="C133" s="81" t="s">
        <v>34</v>
      </c>
      <c r="D133" s="81" t="s">
        <v>237</v>
      </c>
      <c r="E133" s="81"/>
      <c r="F133" s="81"/>
      <c r="G133" s="84"/>
      <c r="H133" s="84"/>
      <c r="I133" s="81" t="s">
        <v>305</v>
      </c>
    </row>
    <row r="134" spans="1:9" s="75" customFormat="1" ht="13.8" x14ac:dyDescent="0.3">
      <c r="A134" s="84">
        <v>1284</v>
      </c>
      <c r="B134" s="84" t="s">
        <v>403</v>
      </c>
      <c r="C134" s="84" t="s">
        <v>363</v>
      </c>
      <c r="D134" s="81" t="s">
        <v>237</v>
      </c>
      <c r="E134" s="81"/>
      <c r="F134" s="81"/>
      <c r="G134" s="84"/>
      <c r="H134" s="84"/>
      <c r="I134" s="81" t="s">
        <v>305</v>
      </c>
    </row>
    <row r="135" spans="1:9" s="75" customFormat="1" ht="13.8" x14ac:dyDescent="0.3">
      <c r="A135" s="86">
        <v>1285</v>
      </c>
      <c r="B135" s="86" t="s">
        <v>404</v>
      </c>
      <c r="C135" s="80" t="s">
        <v>196</v>
      </c>
      <c r="D135" s="80" t="s">
        <v>231</v>
      </c>
      <c r="E135" s="80" t="s">
        <v>199</v>
      </c>
      <c r="F135" s="80" t="s">
        <v>376</v>
      </c>
      <c r="G135" s="80" t="s">
        <v>71</v>
      </c>
      <c r="H135" s="80" t="s">
        <v>203</v>
      </c>
      <c r="I135" s="80" t="s">
        <v>305</v>
      </c>
    </row>
    <row r="136" spans="1:9" s="75" customFormat="1" ht="13.8" x14ac:dyDescent="0.3">
      <c r="A136" s="84">
        <v>1286</v>
      </c>
      <c r="B136" s="84" t="s">
        <v>405</v>
      </c>
      <c r="C136" s="84" t="s">
        <v>121</v>
      </c>
      <c r="D136" s="84" t="s">
        <v>237</v>
      </c>
      <c r="E136" s="81" t="s">
        <v>202</v>
      </c>
      <c r="F136" s="81" t="s">
        <v>376</v>
      </c>
      <c r="G136" s="80" t="s">
        <v>193</v>
      </c>
      <c r="H136" s="80" t="s">
        <v>207</v>
      </c>
      <c r="I136" s="80" t="s">
        <v>305</v>
      </c>
    </row>
    <row r="137" spans="1:9" s="75" customFormat="1" ht="13.8" x14ac:dyDescent="0.3">
      <c r="A137" s="83">
        <v>1287</v>
      </c>
      <c r="B137" s="83" t="s">
        <v>406</v>
      </c>
      <c r="C137" s="83" t="s">
        <v>39</v>
      </c>
      <c r="D137" s="83" t="s">
        <v>231</v>
      </c>
      <c r="E137" s="80" t="s">
        <v>199</v>
      </c>
      <c r="F137" s="80" t="s">
        <v>340</v>
      </c>
      <c r="G137" s="83" t="s">
        <v>204</v>
      </c>
      <c r="H137" s="80" t="s">
        <v>217</v>
      </c>
      <c r="I137" s="80" t="s">
        <v>305</v>
      </c>
    </row>
    <row r="138" spans="1:9" s="75" customFormat="1" ht="13.8" x14ac:dyDescent="0.3">
      <c r="A138" s="86">
        <v>1288</v>
      </c>
      <c r="B138" s="86" t="s">
        <v>407</v>
      </c>
      <c r="C138" s="85" t="s">
        <v>32</v>
      </c>
      <c r="D138" s="86" t="s">
        <v>231</v>
      </c>
      <c r="E138" s="80" t="s">
        <v>199</v>
      </c>
      <c r="F138" s="80" t="s">
        <v>340</v>
      </c>
      <c r="G138" s="86" t="s">
        <v>204</v>
      </c>
      <c r="H138" s="80" t="s">
        <v>217</v>
      </c>
      <c r="I138" s="80" t="s">
        <v>305</v>
      </c>
    </row>
    <row r="139" spans="1:9" s="75" customFormat="1" ht="13.8" x14ac:dyDescent="0.3">
      <c r="A139" s="86">
        <v>1289</v>
      </c>
      <c r="B139" s="86" t="s">
        <v>408</v>
      </c>
      <c r="C139" s="85" t="s">
        <v>32</v>
      </c>
      <c r="D139" s="86" t="s">
        <v>231</v>
      </c>
      <c r="E139" s="80" t="s">
        <v>202</v>
      </c>
      <c r="F139" s="80" t="s">
        <v>340</v>
      </c>
      <c r="G139" s="86" t="s">
        <v>204</v>
      </c>
      <c r="H139" s="80" t="s">
        <v>217</v>
      </c>
      <c r="I139" s="80" t="s">
        <v>305</v>
      </c>
    </row>
    <row r="140" spans="1:9" s="75" customFormat="1" ht="13.8" x14ac:dyDescent="0.3">
      <c r="A140" s="86">
        <v>1290</v>
      </c>
      <c r="B140" s="86" t="s">
        <v>409</v>
      </c>
      <c r="C140" s="86" t="s">
        <v>40</v>
      </c>
      <c r="D140" s="86" t="s">
        <v>231</v>
      </c>
      <c r="E140" s="80" t="s">
        <v>202</v>
      </c>
      <c r="F140" s="80" t="s">
        <v>328</v>
      </c>
      <c r="G140" s="86" t="s">
        <v>215</v>
      </c>
      <c r="H140" s="80" t="s">
        <v>213</v>
      </c>
      <c r="I140" s="80" t="s">
        <v>305</v>
      </c>
    </row>
    <row r="141" spans="1:9" s="136" customFormat="1" ht="13.8" x14ac:dyDescent="0.3">
      <c r="A141" s="83">
        <v>1291</v>
      </c>
      <c r="B141" s="83" t="s">
        <v>410</v>
      </c>
      <c r="C141" s="80" t="s">
        <v>34</v>
      </c>
      <c r="D141" s="83" t="s">
        <v>231</v>
      </c>
      <c r="E141" s="80" t="s">
        <v>202</v>
      </c>
      <c r="F141" s="80" t="s">
        <v>328</v>
      </c>
      <c r="G141" s="86" t="s">
        <v>84</v>
      </c>
      <c r="H141" s="80" t="s">
        <v>207</v>
      </c>
      <c r="I141" s="80" t="s">
        <v>305</v>
      </c>
    </row>
    <row r="142" spans="1:9" s="75" customFormat="1" ht="13.8" x14ac:dyDescent="0.3">
      <c r="A142" s="86">
        <v>1292</v>
      </c>
      <c r="B142" s="86" t="s">
        <v>411</v>
      </c>
      <c r="C142" s="80" t="s">
        <v>200</v>
      </c>
      <c r="D142" s="80" t="s">
        <v>231</v>
      </c>
      <c r="E142" s="80" t="s">
        <v>199</v>
      </c>
      <c r="F142" s="80" t="s">
        <v>376</v>
      </c>
      <c r="G142" s="80" t="s">
        <v>71</v>
      </c>
      <c r="H142" s="80" t="s">
        <v>203</v>
      </c>
      <c r="I142" s="80" t="s">
        <v>305</v>
      </c>
    </row>
    <row r="143" spans="1:9" s="75" customFormat="1" ht="13.8" x14ac:dyDescent="0.3">
      <c r="A143" s="86">
        <v>1293</v>
      </c>
      <c r="B143" s="86" t="s">
        <v>412</v>
      </c>
      <c r="C143" s="80" t="s">
        <v>196</v>
      </c>
      <c r="D143" s="80" t="s">
        <v>231</v>
      </c>
      <c r="E143" s="80" t="s">
        <v>199</v>
      </c>
      <c r="F143" s="80" t="s">
        <v>376</v>
      </c>
      <c r="G143" s="80" t="s">
        <v>71</v>
      </c>
      <c r="H143" s="80" t="s">
        <v>203</v>
      </c>
      <c r="I143" s="80" t="s">
        <v>305</v>
      </c>
    </row>
    <row r="144" spans="1:9" s="75" customFormat="1" ht="13.8" x14ac:dyDescent="0.3">
      <c r="A144" s="86">
        <v>1294</v>
      </c>
      <c r="B144" s="86" t="s">
        <v>413</v>
      </c>
      <c r="C144" s="80" t="s">
        <v>196</v>
      </c>
      <c r="D144" s="80" t="s">
        <v>231</v>
      </c>
      <c r="E144" s="80" t="s">
        <v>199</v>
      </c>
      <c r="F144" s="80" t="s">
        <v>376</v>
      </c>
      <c r="G144" s="80" t="s">
        <v>71</v>
      </c>
      <c r="H144" s="80" t="s">
        <v>203</v>
      </c>
      <c r="I144" s="80" t="s">
        <v>305</v>
      </c>
    </row>
    <row r="145" spans="1:9" s="75" customFormat="1" ht="13.8" x14ac:dyDescent="0.3">
      <c r="A145" s="86">
        <v>1295</v>
      </c>
      <c r="B145" s="86" t="s">
        <v>414</v>
      </c>
      <c r="C145" s="86" t="s">
        <v>304</v>
      </c>
      <c r="D145" s="86" t="s">
        <v>231</v>
      </c>
      <c r="E145" s="80" t="s">
        <v>199</v>
      </c>
      <c r="F145" s="86" t="s">
        <v>233</v>
      </c>
      <c r="G145" s="86" t="s">
        <v>415</v>
      </c>
      <c r="H145" s="80" t="s">
        <v>216</v>
      </c>
      <c r="I145" s="80" t="s">
        <v>305</v>
      </c>
    </row>
    <row r="146" spans="1:9" s="76" customFormat="1" ht="13.8" x14ac:dyDescent="0.3">
      <c r="A146" s="86">
        <v>1296</v>
      </c>
      <c r="B146" s="86" t="s">
        <v>416</v>
      </c>
      <c r="C146" s="80" t="s">
        <v>34</v>
      </c>
      <c r="D146" s="86" t="s">
        <v>231</v>
      </c>
      <c r="E146" s="80" t="s">
        <v>202</v>
      </c>
      <c r="F146" s="80" t="s">
        <v>328</v>
      </c>
      <c r="G146" s="86" t="s">
        <v>84</v>
      </c>
      <c r="H146" s="80" t="s">
        <v>207</v>
      </c>
      <c r="I146" s="80" t="s">
        <v>305</v>
      </c>
    </row>
    <row r="147" spans="1:9" s="75" customFormat="1" ht="13.8" x14ac:dyDescent="0.3">
      <c r="A147" s="84">
        <v>1297</v>
      </c>
      <c r="B147" s="86" t="s">
        <v>417</v>
      </c>
      <c r="C147" s="84" t="s">
        <v>111</v>
      </c>
      <c r="D147" s="81" t="s">
        <v>237</v>
      </c>
      <c r="E147" s="81"/>
      <c r="F147" s="81"/>
      <c r="G147" s="84"/>
      <c r="H147" s="84"/>
      <c r="I147" s="81" t="s">
        <v>305</v>
      </c>
    </row>
    <row r="148" spans="1:9" s="75" customFormat="1" ht="13.8" x14ac:dyDescent="0.3">
      <c r="A148" s="86">
        <v>1298</v>
      </c>
      <c r="B148" s="86" t="s">
        <v>418</v>
      </c>
      <c r="C148" s="86" t="s">
        <v>36</v>
      </c>
      <c r="D148" s="86" t="s">
        <v>231</v>
      </c>
      <c r="E148" s="80" t="s">
        <v>202</v>
      </c>
      <c r="F148" s="80" t="s">
        <v>340</v>
      </c>
      <c r="G148" s="86" t="s">
        <v>84</v>
      </c>
      <c r="H148" s="80" t="s">
        <v>207</v>
      </c>
      <c r="I148" s="80" t="s">
        <v>305</v>
      </c>
    </row>
    <row r="149" spans="1:9" s="75" customFormat="1" ht="13.8" x14ac:dyDescent="0.3">
      <c r="A149" s="86">
        <v>1299</v>
      </c>
      <c r="B149" s="86" t="s">
        <v>419</v>
      </c>
      <c r="C149" s="85" t="s">
        <v>32</v>
      </c>
      <c r="D149" s="86" t="s">
        <v>231</v>
      </c>
      <c r="E149" s="80" t="s">
        <v>199</v>
      </c>
      <c r="F149" s="80" t="s">
        <v>340</v>
      </c>
      <c r="G149" s="86" t="s">
        <v>204</v>
      </c>
      <c r="H149" s="80" t="s">
        <v>217</v>
      </c>
      <c r="I149" s="80" t="s">
        <v>305</v>
      </c>
    </row>
    <row r="150" spans="1:9" s="76" customFormat="1" ht="13.8" x14ac:dyDescent="0.3">
      <c r="A150" s="86">
        <v>1300</v>
      </c>
      <c r="B150" s="86" t="s">
        <v>420</v>
      </c>
      <c r="C150" s="80" t="s">
        <v>34</v>
      </c>
      <c r="D150" s="86" t="s">
        <v>231</v>
      </c>
      <c r="E150" s="80" t="s">
        <v>202</v>
      </c>
      <c r="F150" s="80" t="s">
        <v>328</v>
      </c>
      <c r="G150" s="86" t="s">
        <v>84</v>
      </c>
      <c r="H150" s="80" t="s">
        <v>207</v>
      </c>
      <c r="I150" s="80" t="s">
        <v>305</v>
      </c>
    </row>
    <row r="151" spans="1:9" s="76" customFormat="1" ht="13.8" x14ac:dyDescent="0.3">
      <c r="A151" s="84">
        <v>1301</v>
      </c>
      <c r="B151" s="86" t="s">
        <v>421</v>
      </c>
      <c r="C151" s="81" t="s">
        <v>13</v>
      </c>
      <c r="D151" s="81" t="s">
        <v>237</v>
      </c>
      <c r="E151" s="84"/>
      <c r="F151" s="84"/>
      <c r="G151" s="84"/>
      <c r="H151" s="84"/>
      <c r="I151" s="81" t="s">
        <v>305</v>
      </c>
    </row>
    <row r="152" spans="1:9" s="76" customFormat="1" ht="13.8" x14ac:dyDescent="0.3">
      <c r="A152" s="84">
        <v>1302</v>
      </c>
      <c r="B152" s="86" t="s">
        <v>422</v>
      </c>
      <c r="C152" s="81" t="s">
        <v>13</v>
      </c>
      <c r="D152" s="81" t="s">
        <v>237</v>
      </c>
      <c r="E152" s="84"/>
      <c r="F152" s="84"/>
      <c r="G152" s="84"/>
      <c r="H152" s="84"/>
      <c r="I152" s="81" t="s">
        <v>305</v>
      </c>
    </row>
    <row r="153" spans="1:9" s="76" customFormat="1" ht="13.8" x14ac:dyDescent="0.3">
      <c r="A153" s="84">
        <v>1303</v>
      </c>
      <c r="B153" s="86" t="s">
        <v>423</v>
      </c>
      <c r="C153" s="81" t="s">
        <v>13</v>
      </c>
      <c r="D153" s="81" t="s">
        <v>237</v>
      </c>
      <c r="E153" s="84"/>
      <c r="F153" s="84"/>
      <c r="G153" s="84"/>
      <c r="H153" s="84"/>
      <c r="I153" s="81" t="s">
        <v>305</v>
      </c>
    </row>
    <row r="154" spans="1:9" s="76" customFormat="1" ht="13.8" x14ac:dyDescent="0.3">
      <c r="A154" s="84">
        <v>1304</v>
      </c>
      <c r="B154" s="86" t="s">
        <v>424</v>
      </c>
      <c r="C154" s="81" t="s">
        <v>13</v>
      </c>
      <c r="D154" s="81" t="s">
        <v>237</v>
      </c>
      <c r="E154" s="84"/>
      <c r="F154" s="84"/>
      <c r="G154" s="84"/>
      <c r="H154" s="84"/>
      <c r="I154" s="81" t="s">
        <v>305</v>
      </c>
    </row>
    <row r="155" spans="1:9" s="76" customFormat="1" ht="13.8" x14ac:dyDescent="0.3">
      <c r="A155" s="84">
        <v>1305</v>
      </c>
      <c r="B155" s="86" t="s">
        <v>425</v>
      </c>
      <c r="C155" s="81" t="s">
        <v>13</v>
      </c>
      <c r="D155" s="81" t="s">
        <v>237</v>
      </c>
      <c r="E155" s="84"/>
      <c r="F155" s="84"/>
      <c r="G155" s="84"/>
      <c r="H155" s="84"/>
      <c r="I155" s="81" t="s">
        <v>305</v>
      </c>
    </row>
    <row r="156" spans="1:9" s="76" customFormat="1" ht="13.8" x14ac:dyDescent="0.3">
      <c r="A156" s="84">
        <v>1306</v>
      </c>
      <c r="B156" s="86" t="s">
        <v>426</v>
      </c>
      <c r="C156" s="84" t="s">
        <v>13</v>
      </c>
      <c r="D156" s="81" t="s">
        <v>237</v>
      </c>
      <c r="E156" s="84"/>
      <c r="F156" s="84"/>
      <c r="G156" s="84"/>
      <c r="H156" s="84"/>
      <c r="I156" s="81" t="s">
        <v>305</v>
      </c>
    </row>
    <row r="157" spans="1:9" s="76" customFormat="1" ht="13.8" x14ac:dyDescent="0.3">
      <c r="A157" s="84">
        <v>1307</v>
      </c>
      <c r="B157" s="86" t="s">
        <v>427</v>
      </c>
      <c r="C157" s="81" t="s">
        <v>13</v>
      </c>
      <c r="D157" s="81" t="s">
        <v>237</v>
      </c>
      <c r="E157" s="84"/>
      <c r="F157" s="84"/>
      <c r="G157" s="84"/>
      <c r="H157" s="84"/>
      <c r="I157" s="81" t="s">
        <v>305</v>
      </c>
    </row>
    <row r="158" spans="1:9" s="76" customFormat="1" ht="13.8" x14ac:dyDescent="0.3">
      <c r="A158" s="84">
        <v>1308</v>
      </c>
      <c r="B158" s="86" t="s">
        <v>428</v>
      </c>
      <c r="C158" s="133" t="s">
        <v>39</v>
      </c>
      <c r="D158" s="81" t="s">
        <v>237</v>
      </c>
      <c r="E158" s="81"/>
      <c r="F158" s="81"/>
      <c r="G158" s="84"/>
      <c r="H158" s="84"/>
      <c r="I158" s="81" t="s">
        <v>305</v>
      </c>
    </row>
    <row r="159" spans="1:9" s="76" customFormat="1" ht="13.8" x14ac:dyDescent="0.3">
      <c r="A159" s="84">
        <v>1309</v>
      </c>
      <c r="B159" s="86" t="s">
        <v>429</v>
      </c>
      <c r="C159" s="133" t="s">
        <v>16</v>
      </c>
      <c r="D159" s="81" t="s">
        <v>237</v>
      </c>
      <c r="E159" s="81"/>
      <c r="F159" s="81"/>
      <c r="G159" s="84"/>
      <c r="H159" s="84"/>
      <c r="I159" s="81" t="s">
        <v>305</v>
      </c>
    </row>
    <row r="160" spans="1:9" s="76" customFormat="1" ht="13.8" x14ac:dyDescent="0.3">
      <c r="A160" s="84">
        <v>1310</v>
      </c>
      <c r="B160" s="86" t="s">
        <v>430</v>
      </c>
      <c r="C160" s="81" t="s">
        <v>13</v>
      </c>
      <c r="D160" s="81" t="s">
        <v>237</v>
      </c>
      <c r="E160" s="84"/>
      <c r="F160" s="84"/>
      <c r="G160" s="84"/>
      <c r="H160" s="84"/>
      <c r="I160" s="81" t="s">
        <v>305</v>
      </c>
    </row>
    <row r="161" spans="1:9" s="75" customFormat="1" ht="13.8" x14ac:dyDescent="0.3">
      <c r="A161" s="84">
        <v>1311</v>
      </c>
      <c r="B161" s="86" t="s">
        <v>431</v>
      </c>
      <c r="C161" s="81" t="s">
        <v>13</v>
      </c>
      <c r="D161" s="81" t="s">
        <v>237</v>
      </c>
      <c r="E161" s="84"/>
      <c r="F161" s="84"/>
      <c r="G161" s="84"/>
      <c r="H161" s="84"/>
      <c r="I161" s="81" t="s">
        <v>305</v>
      </c>
    </row>
    <row r="162" spans="1:9" s="76" customFormat="1" ht="13.8" x14ac:dyDescent="0.3">
      <c r="A162" s="86">
        <v>1312</v>
      </c>
      <c r="B162" s="86" t="s">
        <v>432</v>
      </c>
      <c r="C162" s="86" t="s">
        <v>304</v>
      </c>
      <c r="D162" s="86" t="s">
        <v>231</v>
      </c>
      <c r="E162" s="80" t="s">
        <v>202</v>
      </c>
      <c r="F162" s="86" t="s">
        <v>233</v>
      </c>
      <c r="G162" s="80" t="s">
        <v>212</v>
      </c>
      <c r="H162" s="80" t="s">
        <v>216</v>
      </c>
      <c r="I162" s="80" t="s">
        <v>305</v>
      </c>
    </row>
    <row r="163" spans="1:9" s="75" customFormat="1" ht="13.8" x14ac:dyDescent="0.3">
      <c r="A163" s="84">
        <v>1313</v>
      </c>
      <c r="B163" s="86" t="s">
        <v>433</v>
      </c>
      <c r="C163" s="133" t="s">
        <v>16</v>
      </c>
      <c r="D163" s="81" t="s">
        <v>237</v>
      </c>
      <c r="E163" s="81"/>
      <c r="F163" s="81"/>
      <c r="G163" s="84"/>
      <c r="H163" s="84"/>
      <c r="I163" s="81" t="s">
        <v>305</v>
      </c>
    </row>
    <row r="164" spans="1:9" s="76" customFormat="1" ht="13.8" x14ac:dyDescent="0.3">
      <c r="A164" s="86">
        <v>1314</v>
      </c>
      <c r="B164" s="86" t="s">
        <v>434</v>
      </c>
      <c r="C164" s="86" t="s">
        <v>304</v>
      </c>
      <c r="D164" s="86" t="s">
        <v>231</v>
      </c>
      <c r="E164" s="80" t="s">
        <v>202</v>
      </c>
      <c r="F164" s="86" t="s">
        <v>233</v>
      </c>
      <c r="G164" s="80" t="s">
        <v>212</v>
      </c>
      <c r="H164" s="80" t="s">
        <v>216</v>
      </c>
      <c r="I164" s="80" t="s">
        <v>305</v>
      </c>
    </row>
    <row r="165" spans="1:9" s="76" customFormat="1" ht="13.8" x14ac:dyDescent="0.3">
      <c r="A165" s="84">
        <v>1315</v>
      </c>
      <c r="B165" s="86" t="s">
        <v>435</v>
      </c>
      <c r="C165" s="81" t="s">
        <v>13</v>
      </c>
      <c r="D165" s="81" t="s">
        <v>237</v>
      </c>
      <c r="E165" s="84"/>
      <c r="F165" s="84"/>
      <c r="G165" s="84"/>
      <c r="H165" s="84"/>
      <c r="I165" s="81" t="s">
        <v>305</v>
      </c>
    </row>
    <row r="166" spans="1:9" s="75" customFormat="1" ht="13.8" x14ac:dyDescent="0.3">
      <c r="A166" s="84">
        <v>1316</v>
      </c>
      <c r="B166" s="86" t="s">
        <v>436</v>
      </c>
      <c r="C166" s="81" t="s">
        <v>13</v>
      </c>
      <c r="D166" s="81" t="s">
        <v>237</v>
      </c>
      <c r="E166" s="84"/>
      <c r="F166" s="84"/>
      <c r="G166" s="84"/>
      <c r="H166" s="84"/>
      <c r="I166" s="81" t="s">
        <v>305</v>
      </c>
    </row>
    <row r="167" spans="1:9" s="76" customFormat="1" ht="13.8" x14ac:dyDescent="0.3">
      <c r="A167" s="86">
        <v>1317</v>
      </c>
      <c r="B167" s="86" t="s">
        <v>437</v>
      </c>
      <c r="C167" s="86" t="s">
        <v>304</v>
      </c>
      <c r="D167" s="86" t="s">
        <v>231</v>
      </c>
      <c r="E167" s="80" t="s">
        <v>202</v>
      </c>
      <c r="F167" s="86" t="s">
        <v>233</v>
      </c>
      <c r="G167" s="80" t="s">
        <v>212</v>
      </c>
      <c r="H167" s="80" t="s">
        <v>216</v>
      </c>
      <c r="I167" s="80" t="s">
        <v>305</v>
      </c>
    </row>
    <row r="168" spans="1:9" s="76" customFormat="1" ht="13.8" x14ac:dyDescent="0.3">
      <c r="A168" s="84">
        <v>1318</v>
      </c>
      <c r="B168" s="86" t="s">
        <v>438</v>
      </c>
      <c r="C168" s="81" t="s">
        <v>13</v>
      </c>
      <c r="D168" s="81" t="s">
        <v>237</v>
      </c>
      <c r="E168" s="84"/>
      <c r="F168" s="84"/>
      <c r="G168" s="84"/>
      <c r="H168" s="84"/>
      <c r="I168" s="81" t="s">
        <v>305</v>
      </c>
    </row>
    <row r="169" spans="1:9" s="76" customFormat="1" ht="13.8" x14ac:dyDescent="0.3">
      <c r="A169" s="84">
        <v>1319</v>
      </c>
      <c r="B169" s="86" t="s">
        <v>439</v>
      </c>
      <c r="C169" s="81" t="s">
        <v>13</v>
      </c>
      <c r="D169" s="81" t="s">
        <v>237</v>
      </c>
      <c r="E169" s="84"/>
      <c r="F169" s="84"/>
      <c r="G169" s="84"/>
      <c r="H169" s="84"/>
      <c r="I169" s="81" t="s">
        <v>305</v>
      </c>
    </row>
    <row r="170" spans="1:9" s="76" customFormat="1" ht="13.8" x14ac:dyDescent="0.3">
      <c r="A170" s="84">
        <v>1320</v>
      </c>
      <c r="B170" s="86" t="s">
        <v>440</v>
      </c>
      <c r="C170" s="81" t="s">
        <v>13</v>
      </c>
      <c r="D170" s="81" t="s">
        <v>237</v>
      </c>
      <c r="E170" s="84"/>
      <c r="F170" s="84"/>
      <c r="G170" s="84"/>
      <c r="H170" s="84"/>
      <c r="I170" s="81" t="s">
        <v>305</v>
      </c>
    </row>
    <row r="171" spans="1:9" s="76" customFormat="1" ht="13.8" x14ac:dyDescent="0.3">
      <c r="A171" s="133">
        <v>1321</v>
      </c>
      <c r="B171" s="86" t="s">
        <v>441</v>
      </c>
      <c r="C171" s="81" t="s">
        <v>2</v>
      </c>
      <c r="D171" s="81" t="s">
        <v>237</v>
      </c>
      <c r="E171" s="81"/>
      <c r="F171" s="81"/>
      <c r="G171" s="84"/>
      <c r="H171" s="84"/>
      <c r="I171" s="81" t="s">
        <v>305</v>
      </c>
    </row>
    <row r="172" spans="1:9" s="76" customFormat="1" ht="13.8" x14ac:dyDescent="0.3">
      <c r="A172" s="84">
        <v>1322</v>
      </c>
      <c r="B172" s="86" t="s">
        <v>442</v>
      </c>
      <c r="C172" s="84" t="s">
        <v>13</v>
      </c>
      <c r="D172" s="81" t="s">
        <v>237</v>
      </c>
      <c r="E172" s="84"/>
      <c r="F172" s="84"/>
      <c r="G172" s="84"/>
      <c r="H172" s="84"/>
      <c r="I172" s="81" t="s">
        <v>305</v>
      </c>
    </row>
    <row r="173" spans="1:9" s="76" customFormat="1" ht="13.8" x14ac:dyDescent="0.3">
      <c r="A173" s="84">
        <v>1323</v>
      </c>
      <c r="B173" s="86" t="s">
        <v>443</v>
      </c>
      <c r="C173" s="84" t="s">
        <v>38</v>
      </c>
      <c r="D173" s="81" t="s">
        <v>237</v>
      </c>
      <c r="E173" s="81"/>
      <c r="F173" s="81"/>
      <c r="G173" s="84"/>
      <c r="H173" s="84"/>
      <c r="I173" s="81" t="s">
        <v>305</v>
      </c>
    </row>
    <row r="174" spans="1:9" s="76" customFormat="1" ht="13.8" x14ac:dyDescent="0.3">
      <c r="A174" s="84">
        <v>1324</v>
      </c>
      <c r="B174" s="86" t="s">
        <v>444</v>
      </c>
      <c r="C174" s="84" t="s">
        <v>13</v>
      </c>
      <c r="D174" s="81" t="s">
        <v>237</v>
      </c>
      <c r="E174" s="84"/>
      <c r="F174" s="84"/>
      <c r="G174" s="84"/>
      <c r="H174" s="84"/>
      <c r="I174" s="81" t="s">
        <v>305</v>
      </c>
    </row>
    <row r="175" spans="1:9" s="76" customFormat="1" ht="13.8" x14ac:dyDescent="0.3">
      <c r="A175" s="84">
        <v>1325</v>
      </c>
      <c r="B175" s="86" t="s">
        <v>445</v>
      </c>
      <c r="C175" s="84" t="s">
        <v>13</v>
      </c>
      <c r="D175" s="81" t="s">
        <v>237</v>
      </c>
      <c r="E175" s="84"/>
      <c r="F175" s="84"/>
      <c r="G175" s="84"/>
      <c r="H175" s="84"/>
      <c r="I175" s="81" t="s">
        <v>305</v>
      </c>
    </row>
    <row r="176" spans="1:9" s="76" customFormat="1" ht="13.8" x14ac:dyDescent="0.3">
      <c r="A176" s="84">
        <v>1326</v>
      </c>
      <c r="B176" s="86" t="s">
        <v>446</v>
      </c>
      <c r="C176" s="84" t="s">
        <v>13</v>
      </c>
      <c r="D176" s="81" t="s">
        <v>237</v>
      </c>
      <c r="E176" s="84"/>
      <c r="F176" s="84"/>
      <c r="G176" s="84"/>
      <c r="H176" s="84"/>
      <c r="I176" s="81" t="s">
        <v>305</v>
      </c>
    </row>
    <row r="177" spans="1:9" s="76" customFormat="1" ht="13.8" x14ac:dyDescent="0.3">
      <c r="A177" s="84">
        <v>1327</v>
      </c>
      <c r="B177" s="86" t="s">
        <v>447</v>
      </c>
      <c r="C177" s="84" t="s">
        <v>13</v>
      </c>
      <c r="D177" s="81" t="s">
        <v>237</v>
      </c>
      <c r="E177" s="84"/>
      <c r="F177" s="84"/>
      <c r="G177" s="84"/>
      <c r="H177" s="84"/>
      <c r="I177" s="81" t="s">
        <v>305</v>
      </c>
    </row>
    <row r="178" spans="1:9" s="75" customFormat="1" ht="13.8" x14ac:dyDescent="0.3">
      <c r="A178" s="84">
        <v>1328</v>
      </c>
      <c r="B178" s="86" t="s">
        <v>448</v>
      </c>
      <c r="C178" s="133" t="s">
        <v>16</v>
      </c>
      <c r="D178" s="81" t="s">
        <v>237</v>
      </c>
      <c r="E178" s="81"/>
      <c r="F178" s="81"/>
      <c r="G178" s="84"/>
      <c r="H178" s="84"/>
      <c r="I178" s="81" t="s">
        <v>305</v>
      </c>
    </row>
    <row r="179" spans="1:9" s="76" customFormat="1" ht="13.8" x14ac:dyDescent="0.3">
      <c r="A179" s="86">
        <v>1329</v>
      </c>
      <c r="B179" s="86" t="s">
        <v>449</v>
      </c>
      <c r="C179" s="86" t="s">
        <v>304</v>
      </c>
      <c r="D179" s="86" t="s">
        <v>231</v>
      </c>
      <c r="E179" s="80" t="s">
        <v>202</v>
      </c>
      <c r="F179" s="86" t="s">
        <v>233</v>
      </c>
      <c r="G179" s="80" t="s">
        <v>212</v>
      </c>
      <c r="H179" s="80" t="s">
        <v>216</v>
      </c>
      <c r="I179" s="80" t="s">
        <v>305</v>
      </c>
    </row>
    <row r="180" spans="1:9" s="76" customFormat="1" ht="13.8" x14ac:dyDescent="0.3">
      <c r="A180" s="84">
        <v>1330</v>
      </c>
      <c r="B180" s="86" t="s">
        <v>450</v>
      </c>
      <c r="C180" s="84" t="s">
        <v>13</v>
      </c>
      <c r="D180" s="81" t="s">
        <v>237</v>
      </c>
      <c r="E180" s="84"/>
      <c r="F180" s="84"/>
      <c r="G180" s="84"/>
      <c r="H180" s="84"/>
      <c r="I180" s="81" t="s">
        <v>305</v>
      </c>
    </row>
    <row r="181" spans="1:9" s="76" customFormat="1" ht="13.8" x14ac:dyDescent="0.3">
      <c r="A181" s="84">
        <v>1331</v>
      </c>
      <c r="B181" s="86" t="s">
        <v>451</v>
      </c>
      <c r="C181" s="84" t="s">
        <v>452</v>
      </c>
      <c r="D181" s="81" t="s">
        <v>237</v>
      </c>
      <c r="E181" s="81"/>
      <c r="F181" s="81"/>
      <c r="G181" s="84"/>
      <c r="H181" s="84"/>
      <c r="I181" s="81" t="s">
        <v>305</v>
      </c>
    </row>
    <row r="182" spans="1:9" s="76" customFormat="1" ht="13.8" x14ac:dyDescent="0.3">
      <c r="A182" s="84">
        <v>1332</v>
      </c>
      <c r="B182" s="86" t="s">
        <v>453</v>
      </c>
      <c r="C182" s="133" t="s">
        <v>16</v>
      </c>
      <c r="D182" s="81" t="s">
        <v>237</v>
      </c>
      <c r="E182" s="81"/>
      <c r="F182" s="81"/>
      <c r="G182" s="84"/>
      <c r="H182" s="84"/>
      <c r="I182" s="81" t="s">
        <v>305</v>
      </c>
    </row>
    <row r="183" spans="1:9" s="75" customFormat="1" ht="13.8" x14ac:dyDescent="0.3">
      <c r="A183" s="84">
        <v>1333</v>
      </c>
      <c r="B183" s="86" t="s">
        <v>454</v>
      </c>
      <c r="C183" s="81" t="s">
        <v>2</v>
      </c>
      <c r="D183" s="81" t="s">
        <v>237</v>
      </c>
      <c r="E183" s="81"/>
      <c r="F183" s="81"/>
      <c r="G183" s="84"/>
      <c r="H183" s="84"/>
      <c r="I183" s="81" t="s">
        <v>305</v>
      </c>
    </row>
    <row r="184" spans="1:9" s="76" customFormat="1" ht="13.8" x14ac:dyDescent="0.3">
      <c r="A184" s="86">
        <v>1334</v>
      </c>
      <c r="B184" s="86" t="s">
        <v>455</v>
      </c>
      <c r="C184" s="86" t="s">
        <v>304</v>
      </c>
      <c r="D184" s="86" t="s">
        <v>231</v>
      </c>
      <c r="E184" s="80" t="s">
        <v>202</v>
      </c>
      <c r="F184" s="86" t="s">
        <v>233</v>
      </c>
      <c r="G184" s="80" t="s">
        <v>212</v>
      </c>
      <c r="H184" s="80" t="s">
        <v>216</v>
      </c>
      <c r="I184" s="80" t="s">
        <v>305</v>
      </c>
    </row>
    <row r="185" spans="1:9" s="76" customFormat="1" ht="13.8" x14ac:dyDescent="0.3">
      <c r="A185" s="84">
        <v>1335</v>
      </c>
      <c r="B185" s="86" t="s">
        <v>456</v>
      </c>
      <c r="C185" s="84" t="s">
        <v>13</v>
      </c>
      <c r="D185" s="81" t="s">
        <v>237</v>
      </c>
      <c r="E185" s="84"/>
      <c r="F185" s="84"/>
      <c r="G185" s="84"/>
      <c r="H185" s="84"/>
      <c r="I185" s="81" t="s">
        <v>305</v>
      </c>
    </row>
    <row r="186" spans="1:9" s="76" customFormat="1" ht="13.8" x14ac:dyDescent="0.3">
      <c r="A186" s="84">
        <v>1336</v>
      </c>
      <c r="B186" s="86" t="s">
        <v>457</v>
      </c>
      <c r="C186" s="84" t="s">
        <v>13</v>
      </c>
      <c r="D186" s="81" t="s">
        <v>237</v>
      </c>
      <c r="E186" s="84"/>
      <c r="F186" s="84"/>
      <c r="G186" s="84"/>
      <c r="H186" s="84"/>
      <c r="I186" s="81" t="s">
        <v>305</v>
      </c>
    </row>
    <row r="187" spans="1:9" s="76" customFormat="1" ht="13.8" x14ac:dyDescent="0.3">
      <c r="A187" s="84">
        <v>1337</v>
      </c>
      <c r="B187" s="86" t="s">
        <v>458</v>
      </c>
      <c r="C187" s="84" t="s">
        <v>38</v>
      </c>
      <c r="D187" s="81" t="s">
        <v>237</v>
      </c>
      <c r="E187" s="81"/>
      <c r="F187" s="81"/>
      <c r="G187" s="84"/>
      <c r="H187" s="84"/>
      <c r="I187" s="81" t="s">
        <v>305</v>
      </c>
    </row>
    <row r="188" spans="1:9" s="76" customFormat="1" ht="13.8" x14ac:dyDescent="0.3">
      <c r="A188" s="84">
        <v>1338</v>
      </c>
      <c r="B188" s="86" t="s">
        <v>459</v>
      </c>
      <c r="C188" s="84" t="s">
        <v>13</v>
      </c>
      <c r="D188" s="81" t="s">
        <v>237</v>
      </c>
      <c r="E188" s="84"/>
      <c r="F188" s="84"/>
      <c r="G188" s="84"/>
      <c r="H188" s="84"/>
      <c r="I188" s="81" t="s">
        <v>305</v>
      </c>
    </row>
    <row r="189" spans="1:9" s="76" customFormat="1" ht="13.8" x14ac:dyDescent="0.3">
      <c r="A189" s="84">
        <v>1339</v>
      </c>
      <c r="B189" s="86" t="s">
        <v>460</v>
      </c>
      <c r="C189" s="81" t="s">
        <v>2</v>
      </c>
      <c r="D189" s="81" t="s">
        <v>237</v>
      </c>
      <c r="E189" s="81"/>
      <c r="F189" s="81"/>
      <c r="G189" s="84"/>
      <c r="H189" s="84"/>
      <c r="I189" s="81" t="s">
        <v>305</v>
      </c>
    </row>
    <row r="190" spans="1:9" s="76" customFormat="1" ht="13.8" x14ac:dyDescent="0.3">
      <c r="A190" s="84">
        <v>1340</v>
      </c>
      <c r="B190" s="86" t="s">
        <v>461</v>
      </c>
      <c r="C190" s="84" t="s">
        <v>13</v>
      </c>
      <c r="D190" s="81" t="s">
        <v>237</v>
      </c>
      <c r="E190" s="84"/>
      <c r="F190" s="84"/>
      <c r="G190" s="84"/>
      <c r="H190" s="84"/>
      <c r="I190" s="81" t="s">
        <v>305</v>
      </c>
    </row>
    <row r="191" spans="1:9" s="76" customFormat="1" ht="13.8" x14ac:dyDescent="0.3">
      <c r="A191" s="84">
        <v>1341</v>
      </c>
      <c r="B191" s="86" t="s">
        <v>462</v>
      </c>
      <c r="C191" s="84" t="s">
        <v>3</v>
      </c>
      <c r="D191" s="81" t="s">
        <v>237</v>
      </c>
      <c r="E191" s="81" t="s">
        <v>202</v>
      </c>
      <c r="F191" s="81" t="s">
        <v>328</v>
      </c>
      <c r="G191" s="82"/>
      <c r="H191" s="84" t="s">
        <v>203</v>
      </c>
      <c r="I191" s="81" t="s">
        <v>305</v>
      </c>
    </row>
    <row r="192" spans="1:9" s="76" customFormat="1" ht="13.8" x14ac:dyDescent="0.3">
      <c r="A192" s="84">
        <v>1342</v>
      </c>
      <c r="B192" s="86" t="s">
        <v>463</v>
      </c>
      <c r="C192" s="84" t="s">
        <v>13</v>
      </c>
      <c r="D192" s="81" t="s">
        <v>237</v>
      </c>
      <c r="E192" s="84"/>
      <c r="F192" s="84"/>
      <c r="G192" s="84"/>
      <c r="H192" s="84"/>
      <c r="I192" s="81" t="s">
        <v>305</v>
      </c>
    </row>
    <row r="193" spans="1:9" s="76" customFormat="1" ht="13.8" x14ac:dyDescent="0.3">
      <c r="A193" s="84">
        <v>1343</v>
      </c>
      <c r="B193" s="86" t="s">
        <v>464</v>
      </c>
      <c r="C193" s="84" t="s">
        <v>13</v>
      </c>
      <c r="D193" s="81" t="s">
        <v>237</v>
      </c>
      <c r="E193" s="84"/>
      <c r="F193" s="84"/>
      <c r="G193" s="84"/>
      <c r="H193" s="84"/>
      <c r="I193" s="81" t="s">
        <v>305</v>
      </c>
    </row>
    <row r="194" spans="1:9" s="76" customFormat="1" ht="13.8" x14ac:dyDescent="0.3">
      <c r="A194" s="84">
        <v>1344</v>
      </c>
      <c r="B194" s="86" t="s">
        <v>465</v>
      </c>
      <c r="C194" s="84" t="s">
        <v>40</v>
      </c>
      <c r="D194" s="81" t="s">
        <v>237</v>
      </c>
      <c r="E194" s="81"/>
      <c r="F194" s="81"/>
      <c r="G194" s="84"/>
      <c r="H194" s="84"/>
      <c r="I194" s="81" t="s">
        <v>305</v>
      </c>
    </row>
    <row r="195" spans="1:9" s="75" customFormat="1" ht="13.8" x14ac:dyDescent="0.3">
      <c r="A195" s="84">
        <v>1345</v>
      </c>
      <c r="B195" s="86" t="s">
        <v>466</v>
      </c>
      <c r="C195" s="84" t="s">
        <v>13</v>
      </c>
      <c r="D195" s="81" t="s">
        <v>237</v>
      </c>
      <c r="E195" s="84"/>
      <c r="F195" s="84"/>
      <c r="G195" s="84"/>
      <c r="H195" s="84"/>
      <c r="I195" s="81" t="s">
        <v>305</v>
      </c>
    </row>
    <row r="196" spans="1:9" s="76" customFormat="1" ht="13.8" x14ac:dyDescent="0.3">
      <c r="A196" s="86">
        <v>1346</v>
      </c>
      <c r="B196" s="86" t="s">
        <v>467</v>
      </c>
      <c r="C196" s="86" t="s">
        <v>304</v>
      </c>
      <c r="D196" s="86" t="s">
        <v>231</v>
      </c>
      <c r="E196" s="80" t="s">
        <v>202</v>
      </c>
      <c r="F196" s="86" t="s">
        <v>233</v>
      </c>
      <c r="G196" s="80" t="s">
        <v>212</v>
      </c>
      <c r="H196" s="80" t="s">
        <v>216</v>
      </c>
      <c r="I196" s="80" t="s">
        <v>305</v>
      </c>
    </row>
    <row r="197" spans="1:9" s="75" customFormat="1" ht="13.8" x14ac:dyDescent="0.3">
      <c r="A197" s="84">
        <v>1347</v>
      </c>
      <c r="B197" s="86" t="s">
        <v>468</v>
      </c>
      <c r="C197" s="84" t="s">
        <v>13</v>
      </c>
      <c r="D197" s="81" t="s">
        <v>237</v>
      </c>
      <c r="E197" s="84"/>
      <c r="F197" s="84"/>
      <c r="G197" s="84"/>
      <c r="H197" s="84"/>
      <c r="I197" s="81" t="s">
        <v>305</v>
      </c>
    </row>
    <row r="198" spans="1:9" s="75" customFormat="1" ht="13.8" x14ac:dyDescent="0.3">
      <c r="A198" s="86">
        <v>1348</v>
      </c>
      <c r="B198" s="86" t="s">
        <v>469</v>
      </c>
      <c r="C198" s="86" t="s">
        <v>208</v>
      </c>
      <c r="D198" s="86" t="s">
        <v>231</v>
      </c>
      <c r="E198" s="80" t="s">
        <v>202</v>
      </c>
      <c r="F198" s="80" t="s">
        <v>340</v>
      </c>
      <c r="G198" s="86" t="s">
        <v>215</v>
      </c>
      <c r="H198" s="80" t="s">
        <v>213</v>
      </c>
      <c r="I198" s="80" t="s">
        <v>305</v>
      </c>
    </row>
    <row r="199" spans="1:9" s="75" customFormat="1" ht="13.8" x14ac:dyDescent="0.3">
      <c r="A199" s="86">
        <v>1349</v>
      </c>
      <c r="B199" s="86" t="s">
        <v>470</v>
      </c>
      <c r="C199" s="86" t="s">
        <v>304</v>
      </c>
      <c r="D199" s="86" t="s">
        <v>231</v>
      </c>
      <c r="E199" s="80" t="s">
        <v>202</v>
      </c>
      <c r="F199" s="86" t="s">
        <v>233</v>
      </c>
      <c r="G199" s="80" t="s">
        <v>212</v>
      </c>
      <c r="H199" s="80" t="s">
        <v>216</v>
      </c>
      <c r="I199" s="80" t="s">
        <v>305</v>
      </c>
    </row>
    <row r="200" spans="1:9" s="75" customFormat="1" ht="13.8" x14ac:dyDescent="0.3">
      <c r="A200" s="86">
        <v>1350</v>
      </c>
      <c r="B200" s="86" t="s">
        <v>471</v>
      </c>
      <c r="C200" s="86" t="s">
        <v>304</v>
      </c>
      <c r="D200" s="86" t="s">
        <v>231</v>
      </c>
      <c r="E200" s="80" t="s">
        <v>202</v>
      </c>
      <c r="F200" s="86" t="s">
        <v>233</v>
      </c>
      <c r="G200" s="80" t="s">
        <v>212</v>
      </c>
      <c r="H200" s="80" t="s">
        <v>216</v>
      </c>
      <c r="I200" s="80" t="s">
        <v>305</v>
      </c>
    </row>
    <row r="201" spans="1:9" s="76" customFormat="1" ht="13.8" x14ac:dyDescent="0.3">
      <c r="A201" s="86">
        <v>1351</v>
      </c>
      <c r="B201" s="86" t="s">
        <v>472</v>
      </c>
      <c r="C201" s="86" t="s">
        <v>304</v>
      </c>
      <c r="D201" s="86" t="s">
        <v>231</v>
      </c>
      <c r="E201" s="80" t="s">
        <v>202</v>
      </c>
      <c r="F201" s="86" t="s">
        <v>233</v>
      </c>
      <c r="G201" s="80" t="s">
        <v>212</v>
      </c>
      <c r="H201" s="80" t="s">
        <v>216</v>
      </c>
      <c r="I201" s="80" t="s">
        <v>305</v>
      </c>
    </row>
    <row r="202" spans="1:9" s="75" customFormat="1" ht="13.8" x14ac:dyDescent="0.3">
      <c r="A202" s="84">
        <v>1352</v>
      </c>
      <c r="B202" s="86" t="s">
        <v>473</v>
      </c>
      <c r="C202" s="84" t="s">
        <v>38</v>
      </c>
      <c r="D202" s="81" t="s">
        <v>237</v>
      </c>
      <c r="E202" s="81"/>
      <c r="F202" s="81"/>
      <c r="G202" s="84"/>
      <c r="H202" s="84"/>
      <c r="I202" s="81" t="s">
        <v>305</v>
      </c>
    </row>
    <row r="203" spans="1:9" s="75" customFormat="1" ht="13.8" x14ac:dyDescent="0.3">
      <c r="A203" s="86">
        <v>1353</v>
      </c>
      <c r="B203" s="86" t="s">
        <v>474</v>
      </c>
      <c r="C203" s="86" t="s">
        <v>304</v>
      </c>
      <c r="D203" s="86" t="s">
        <v>231</v>
      </c>
      <c r="E203" s="80" t="s">
        <v>202</v>
      </c>
      <c r="F203" s="86" t="s">
        <v>233</v>
      </c>
      <c r="G203" s="80" t="s">
        <v>212</v>
      </c>
      <c r="H203" s="80" t="s">
        <v>216</v>
      </c>
      <c r="I203" s="80" t="s">
        <v>305</v>
      </c>
    </row>
    <row r="204" spans="1:9" s="76" customFormat="1" ht="13.8" x14ac:dyDescent="0.3">
      <c r="A204" s="86">
        <v>1354</v>
      </c>
      <c r="B204" s="86" t="s">
        <v>475</v>
      </c>
      <c r="C204" s="80" t="s">
        <v>196</v>
      </c>
      <c r="D204" s="80" t="s">
        <v>231</v>
      </c>
      <c r="E204" s="80" t="s">
        <v>199</v>
      </c>
      <c r="F204" s="80" t="s">
        <v>376</v>
      </c>
      <c r="G204" s="80" t="s">
        <v>71</v>
      </c>
      <c r="H204" s="80" t="s">
        <v>203</v>
      </c>
      <c r="I204" s="80" t="s">
        <v>305</v>
      </c>
    </row>
    <row r="205" spans="1:9" s="75" customFormat="1" ht="13.8" x14ac:dyDescent="0.3">
      <c r="A205" s="84">
        <v>1355</v>
      </c>
      <c r="B205" s="86" t="s">
        <v>476</v>
      </c>
      <c r="C205" s="84" t="s">
        <v>477</v>
      </c>
      <c r="D205" s="81" t="s">
        <v>237</v>
      </c>
      <c r="E205" s="81"/>
      <c r="F205" s="81"/>
      <c r="G205" s="84"/>
      <c r="H205" s="84"/>
      <c r="I205" s="81" t="s">
        <v>305</v>
      </c>
    </row>
    <row r="206" spans="1:9" s="75" customFormat="1" ht="13.8" x14ac:dyDescent="0.3">
      <c r="A206" s="86">
        <v>1356</v>
      </c>
      <c r="B206" s="86" t="s">
        <v>478</v>
      </c>
      <c r="C206" s="86" t="s">
        <v>141</v>
      </c>
      <c r="D206" s="86" t="s">
        <v>231</v>
      </c>
      <c r="E206" s="80" t="s">
        <v>199</v>
      </c>
      <c r="F206" s="80" t="s">
        <v>376</v>
      </c>
      <c r="G206" s="80" t="s">
        <v>193</v>
      </c>
      <c r="H206" s="80" t="s">
        <v>207</v>
      </c>
      <c r="I206" s="80" t="s">
        <v>305</v>
      </c>
    </row>
    <row r="207" spans="1:9" s="75" customFormat="1" ht="13.8" x14ac:dyDescent="0.3">
      <c r="A207" s="86">
        <v>1357</v>
      </c>
      <c r="B207" s="86" t="s">
        <v>479</v>
      </c>
      <c r="C207" s="86" t="s">
        <v>197</v>
      </c>
      <c r="D207" s="86" t="s">
        <v>231</v>
      </c>
      <c r="E207" s="80" t="s">
        <v>199</v>
      </c>
      <c r="F207" s="80" t="s">
        <v>376</v>
      </c>
      <c r="G207" s="80" t="s">
        <v>193</v>
      </c>
      <c r="H207" s="80" t="s">
        <v>207</v>
      </c>
      <c r="I207" s="80" t="s">
        <v>305</v>
      </c>
    </row>
    <row r="208" spans="1:9" s="76" customFormat="1" ht="13.8" x14ac:dyDescent="0.3">
      <c r="A208" s="83">
        <v>1358</v>
      </c>
      <c r="B208" s="86" t="s">
        <v>480</v>
      </c>
      <c r="C208" s="83" t="s">
        <v>17</v>
      </c>
      <c r="D208" s="83" t="s">
        <v>231</v>
      </c>
      <c r="E208" s="80" t="s">
        <v>202</v>
      </c>
      <c r="F208" s="80" t="s">
        <v>340</v>
      </c>
      <c r="G208" s="83" t="s">
        <v>215</v>
      </c>
      <c r="H208" s="80" t="s">
        <v>213</v>
      </c>
      <c r="I208" s="80" t="s">
        <v>305</v>
      </c>
    </row>
    <row r="209" spans="1:9" s="75" customFormat="1" ht="13.8" x14ac:dyDescent="0.3">
      <c r="A209" s="84">
        <v>1359</v>
      </c>
      <c r="B209" s="86" t="s">
        <v>481</v>
      </c>
      <c r="C209" s="84" t="s">
        <v>482</v>
      </c>
      <c r="D209" s="81" t="s">
        <v>237</v>
      </c>
      <c r="E209" s="81"/>
      <c r="F209" s="81"/>
      <c r="G209" s="84"/>
      <c r="H209" s="84"/>
      <c r="I209" s="81" t="s">
        <v>305</v>
      </c>
    </row>
    <row r="210" spans="1:9" s="76" customFormat="1" ht="13.8" x14ac:dyDescent="0.3">
      <c r="A210" s="86">
        <v>1360</v>
      </c>
      <c r="B210" s="86" t="s">
        <v>483</v>
      </c>
      <c r="C210" s="80" t="s">
        <v>44</v>
      </c>
      <c r="D210" s="80" t="s">
        <v>231</v>
      </c>
      <c r="E210" s="80" t="s">
        <v>199</v>
      </c>
      <c r="F210" s="80" t="s">
        <v>376</v>
      </c>
      <c r="G210" s="80" t="s">
        <v>71</v>
      </c>
      <c r="H210" s="80" t="s">
        <v>203</v>
      </c>
      <c r="I210" s="80" t="s">
        <v>305</v>
      </c>
    </row>
    <row r="211" spans="1:9" s="76" customFormat="1" ht="13.8" x14ac:dyDescent="0.3">
      <c r="A211" s="84">
        <v>1361</v>
      </c>
      <c r="B211" s="86" t="s">
        <v>484</v>
      </c>
      <c r="C211" s="81" t="s">
        <v>2</v>
      </c>
      <c r="D211" s="81" t="s">
        <v>237</v>
      </c>
      <c r="E211" s="81"/>
      <c r="F211" s="81"/>
      <c r="G211" s="84"/>
      <c r="H211" s="84"/>
      <c r="I211" s="81" t="s">
        <v>305</v>
      </c>
    </row>
    <row r="212" spans="1:9" x14ac:dyDescent="0.3">
      <c r="A212" s="84">
        <v>1362</v>
      </c>
      <c r="B212" s="86" t="s">
        <v>485</v>
      </c>
      <c r="C212" s="133" t="s">
        <v>16</v>
      </c>
      <c r="D212" s="81" t="s">
        <v>237</v>
      </c>
      <c r="E212" s="81"/>
      <c r="F212" s="81"/>
      <c r="G212" s="84"/>
      <c r="H212" s="84"/>
      <c r="I212" s="81" t="s">
        <v>305</v>
      </c>
    </row>
    <row r="213" spans="1:9" s="76" customFormat="1" ht="13.8" x14ac:dyDescent="0.3">
      <c r="A213" s="84">
        <v>1363</v>
      </c>
      <c r="B213" s="86" t="s">
        <v>486</v>
      </c>
      <c r="C213" s="84" t="s">
        <v>45</v>
      </c>
      <c r="D213" s="80" t="s">
        <v>237</v>
      </c>
      <c r="E213" s="84" t="s">
        <v>199</v>
      </c>
      <c r="F213" s="84" t="s">
        <v>376</v>
      </c>
      <c r="G213" s="84"/>
      <c r="H213" s="80"/>
      <c r="I213" s="80" t="s">
        <v>305</v>
      </c>
    </row>
    <row r="214" spans="1:9" x14ac:dyDescent="0.3">
      <c r="A214" s="84">
        <v>1364</v>
      </c>
      <c r="B214" s="86" t="s">
        <v>487</v>
      </c>
      <c r="C214" s="84" t="s">
        <v>2</v>
      </c>
      <c r="D214" s="81" t="s">
        <v>237</v>
      </c>
      <c r="E214" s="81"/>
      <c r="F214" s="81"/>
      <c r="G214" s="84"/>
      <c r="H214" s="84"/>
      <c r="I214" s="81" t="s">
        <v>305</v>
      </c>
    </row>
    <row r="215" spans="1:9" s="75" customFormat="1" ht="13.8" x14ac:dyDescent="0.3">
      <c r="A215" s="84">
        <v>1365</v>
      </c>
      <c r="B215" s="86" t="s">
        <v>488</v>
      </c>
      <c r="C215" s="84" t="s">
        <v>489</v>
      </c>
      <c r="D215" s="80" t="s">
        <v>237</v>
      </c>
      <c r="E215" s="80"/>
      <c r="F215" s="80"/>
      <c r="G215" s="84"/>
      <c r="H215" s="80"/>
      <c r="I215" s="80" t="s">
        <v>305</v>
      </c>
    </row>
    <row r="216" spans="1:9" x14ac:dyDescent="0.3">
      <c r="A216" s="84">
        <v>1366</v>
      </c>
      <c r="B216" s="84" t="s">
        <v>490</v>
      </c>
      <c r="C216" s="81" t="s">
        <v>3</v>
      </c>
      <c r="D216" s="81" t="s">
        <v>237</v>
      </c>
      <c r="E216" s="81" t="s">
        <v>202</v>
      </c>
      <c r="F216" s="81" t="s">
        <v>328</v>
      </c>
      <c r="G216" s="81" t="s">
        <v>209</v>
      </c>
      <c r="H216" s="81" t="s">
        <v>203</v>
      </c>
      <c r="I216" s="81" t="s">
        <v>305</v>
      </c>
    </row>
    <row r="217" spans="1:9" s="75" customFormat="1" ht="13.8" x14ac:dyDescent="0.3">
      <c r="A217" s="84">
        <v>1367</v>
      </c>
      <c r="B217" s="86" t="s">
        <v>491</v>
      </c>
      <c r="C217" s="84" t="s">
        <v>489</v>
      </c>
      <c r="D217" s="80" t="s">
        <v>237</v>
      </c>
      <c r="E217" s="80"/>
      <c r="F217" s="84"/>
      <c r="G217" s="84"/>
      <c r="H217" s="80"/>
      <c r="I217" s="80" t="s">
        <v>305</v>
      </c>
    </row>
    <row r="218" spans="1:9" s="76" customFormat="1" ht="13.8" x14ac:dyDescent="0.3">
      <c r="A218" s="86">
        <v>1368</v>
      </c>
      <c r="B218" s="86" t="s">
        <v>492</v>
      </c>
      <c r="C218" s="86" t="s">
        <v>141</v>
      </c>
      <c r="D218" s="86" t="s">
        <v>231</v>
      </c>
      <c r="E218" s="80" t="s">
        <v>199</v>
      </c>
      <c r="F218" s="80" t="s">
        <v>376</v>
      </c>
      <c r="G218" s="80" t="s">
        <v>193</v>
      </c>
      <c r="H218" s="80" t="s">
        <v>207</v>
      </c>
      <c r="I218" s="80" t="s">
        <v>305</v>
      </c>
    </row>
    <row r="219" spans="1:9" s="76" customFormat="1" ht="13.8" x14ac:dyDescent="0.3">
      <c r="A219" s="84">
        <v>1369</v>
      </c>
      <c r="B219" s="86" t="s">
        <v>493</v>
      </c>
      <c r="C219" s="84" t="s">
        <v>494</v>
      </c>
      <c r="D219" s="81" t="s">
        <v>237</v>
      </c>
      <c r="E219" s="81"/>
      <c r="F219" s="81"/>
      <c r="G219" s="84"/>
      <c r="H219" s="84"/>
      <c r="I219" s="81" t="s">
        <v>305</v>
      </c>
    </row>
    <row r="220" spans="1:9" s="76" customFormat="1" ht="13.8" x14ac:dyDescent="0.3">
      <c r="A220" s="84">
        <v>1370</v>
      </c>
      <c r="B220" s="86" t="s">
        <v>495</v>
      </c>
      <c r="C220" s="84" t="s">
        <v>38</v>
      </c>
      <c r="D220" s="81" t="s">
        <v>237</v>
      </c>
      <c r="E220" s="81"/>
      <c r="F220" s="81"/>
      <c r="G220" s="84"/>
      <c r="H220" s="84"/>
      <c r="I220" s="81" t="s">
        <v>305</v>
      </c>
    </row>
    <row r="221" spans="1:9" s="75" customFormat="1" ht="13.8" x14ac:dyDescent="0.3">
      <c r="A221" s="84">
        <v>1371</v>
      </c>
      <c r="B221" s="86" t="s">
        <v>496</v>
      </c>
      <c r="C221" s="84" t="s">
        <v>497</v>
      </c>
      <c r="D221" s="81" t="s">
        <v>237</v>
      </c>
      <c r="E221" s="81"/>
      <c r="F221" s="81"/>
      <c r="G221" s="84"/>
      <c r="H221" s="84"/>
      <c r="I221" s="81" t="s">
        <v>305</v>
      </c>
    </row>
    <row r="222" spans="1:9" s="75" customFormat="1" ht="13.8" x14ac:dyDescent="0.3">
      <c r="A222" s="86">
        <v>1372</v>
      </c>
      <c r="B222" s="86" t="s">
        <v>498</v>
      </c>
      <c r="C222" s="86" t="s">
        <v>304</v>
      </c>
      <c r="D222" s="86" t="s">
        <v>231</v>
      </c>
      <c r="E222" s="80" t="s">
        <v>202</v>
      </c>
      <c r="F222" s="86" t="s">
        <v>233</v>
      </c>
      <c r="G222" s="80" t="s">
        <v>212</v>
      </c>
      <c r="H222" s="80" t="s">
        <v>216</v>
      </c>
      <c r="I222" s="80" t="s">
        <v>305</v>
      </c>
    </row>
    <row r="223" spans="1:9" s="76" customFormat="1" ht="13.8" x14ac:dyDescent="0.3">
      <c r="A223" s="86">
        <v>1373</v>
      </c>
      <c r="B223" s="86" t="s">
        <v>499</v>
      </c>
      <c r="C223" s="86" t="s">
        <v>304</v>
      </c>
      <c r="D223" s="86" t="s">
        <v>231</v>
      </c>
      <c r="E223" s="80" t="s">
        <v>202</v>
      </c>
      <c r="F223" s="86" t="s">
        <v>233</v>
      </c>
      <c r="G223" s="80" t="s">
        <v>212</v>
      </c>
      <c r="H223" s="80" t="s">
        <v>216</v>
      </c>
      <c r="I223" s="80" t="s">
        <v>305</v>
      </c>
    </row>
    <row r="224" spans="1:9" s="76" customFormat="1" ht="13.8" x14ac:dyDescent="0.3">
      <c r="A224" s="84">
        <v>1374</v>
      </c>
      <c r="B224" s="86" t="s">
        <v>500</v>
      </c>
      <c r="C224" s="84" t="s">
        <v>501</v>
      </c>
      <c r="D224" s="81" t="s">
        <v>237</v>
      </c>
      <c r="E224" s="81"/>
      <c r="F224" s="81"/>
      <c r="G224" s="84"/>
      <c r="H224" s="84"/>
      <c r="I224" s="81" t="s">
        <v>305</v>
      </c>
    </row>
    <row r="225" spans="1:9" s="76" customFormat="1" ht="13.8" x14ac:dyDescent="0.3">
      <c r="A225" s="84">
        <v>1375</v>
      </c>
      <c r="B225" s="86" t="s">
        <v>502</v>
      </c>
      <c r="C225" s="84" t="s">
        <v>13</v>
      </c>
      <c r="D225" s="81" t="s">
        <v>237</v>
      </c>
      <c r="E225" s="84"/>
      <c r="F225" s="84"/>
      <c r="G225" s="84"/>
      <c r="H225" s="84"/>
      <c r="I225" s="81" t="s">
        <v>305</v>
      </c>
    </row>
    <row r="226" spans="1:9" s="76" customFormat="1" ht="13.8" x14ac:dyDescent="0.3">
      <c r="A226" s="84">
        <v>1376</v>
      </c>
      <c r="B226" s="86" t="s">
        <v>503</v>
      </c>
      <c r="C226" s="84" t="s">
        <v>36</v>
      </c>
      <c r="D226" s="81" t="s">
        <v>237</v>
      </c>
      <c r="E226" s="81"/>
      <c r="F226" s="81"/>
      <c r="G226" s="84"/>
      <c r="H226" s="84"/>
      <c r="I226" s="81" t="s">
        <v>305</v>
      </c>
    </row>
    <row r="227" spans="1:9" s="75" customFormat="1" ht="13.8" x14ac:dyDescent="0.3">
      <c r="A227" s="84">
        <v>1377</v>
      </c>
      <c r="B227" s="86" t="s">
        <v>504</v>
      </c>
      <c r="C227" s="84" t="s">
        <v>505</v>
      </c>
      <c r="D227" s="81" t="s">
        <v>237</v>
      </c>
      <c r="E227" s="81"/>
      <c r="F227" s="81"/>
      <c r="G227" s="84"/>
      <c r="H227" s="84"/>
      <c r="I227" s="81" t="s">
        <v>305</v>
      </c>
    </row>
    <row r="228" spans="1:9" s="76" customFormat="1" ht="13.8" x14ac:dyDescent="0.3">
      <c r="A228" s="84">
        <v>1378</v>
      </c>
      <c r="B228" s="84" t="s">
        <v>506</v>
      </c>
      <c r="C228" s="84" t="s">
        <v>4</v>
      </c>
      <c r="D228" s="81" t="s">
        <v>237</v>
      </c>
      <c r="E228" s="81" t="s">
        <v>201</v>
      </c>
      <c r="F228" s="81" t="s">
        <v>376</v>
      </c>
      <c r="G228" s="81"/>
      <c r="H228" s="81" t="s">
        <v>207</v>
      </c>
      <c r="I228" s="81" t="s">
        <v>305</v>
      </c>
    </row>
    <row r="229" spans="1:9" s="76" customFormat="1" ht="13.8" x14ac:dyDescent="0.3">
      <c r="A229" s="84">
        <v>1379</v>
      </c>
      <c r="B229" s="86" t="s">
        <v>507</v>
      </c>
      <c r="C229" s="81" t="s">
        <v>398</v>
      </c>
      <c r="D229" s="81" t="s">
        <v>237</v>
      </c>
      <c r="E229" s="81"/>
      <c r="F229" s="81"/>
      <c r="G229" s="84"/>
      <c r="H229" s="84"/>
      <c r="I229" s="81" t="s">
        <v>305</v>
      </c>
    </row>
    <row r="230" spans="1:9" s="76" customFormat="1" ht="13.8" x14ac:dyDescent="0.3">
      <c r="A230" s="84">
        <v>1380</v>
      </c>
      <c r="B230" s="86" t="s">
        <v>508</v>
      </c>
      <c r="C230" s="84" t="s">
        <v>334</v>
      </c>
      <c r="D230" s="81" t="s">
        <v>237</v>
      </c>
      <c r="E230" s="81"/>
      <c r="F230" s="81"/>
      <c r="G230" s="84"/>
      <c r="H230" s="84"/>
      <c r="I230" s="81" t="s">
        <v>305</v>
      </c>
    </row>
    <row r="231" spans="1:9" s="76" customFormat="1" ht="13.8" x14ac:dyDescent="0.3">
      <c r="A231" s="84">
        <v>1381</v>
      </c>
      <c r="B231" s="86" t="s">
        <v>509</v>
      </c>
      <c r="C231" s="84" t="s">
        <v>510</v>
      </c>
      <c r="D231" s="81" t="s">
        <v>237</v>
      </c>
      <c r="E231" s="81"/>
      <c r="F231" s="81"/>
      <c r="G231" s="84"/>
      <c r="H231" s="84"/>
      <c r="I231" s="81" t="s">
        <v>305</v>
      </c>
    </row>
    <row r="232" spans="1:9" s="76" customFormat="1" ht="13.8" x14ac:dyDescent="0.3">
      <c r="A232" s="84">
        <v>1382</v>
      </c>
      <c r="B232" s="86" t="s">
        <v>511</v>
      </c>
      <c r="C232" s="84" t="s">
        <v>13</v>
      </c>
      <c r="D232" s="81" t="s">
        <v>237</v>
      </c>
      <c r="E232" s="84"/>
      <c r="F232" s="84"/>
      <c r="G232" s="84"/>
      <c r="H232" s="84"/>
      <c r="I232" s="81" t="s">
        <v>305</v>
      </c>
    </row>
    <row r="233" spans="1:9" s="76" customFormat="1" ht="13.8" x14ac:dyDescent="0.3">
      <c r="A233" s="84">
        <v>1383</v>
      </c>
      <c r="B233" s="86" t="s">
        <v>512</v>
      </c>
      <c r="C233" s="84" t="s">
        <v>513</v>
      </c>
      <c r="D233" s="81" t="s">
        <v>237</v>
      </c>
      <c r="E233" s="81"/>
      <c r="F233" s="81"/>
      <c r="G233" s="84"/>
      <c r="H233" s="84"/>
      <c r="I233" s="81" t="s">
        <v>305</v>
      </c>
    </row>
    <row r="234" spans="1:9" s="76" customFormat="1" ht="13.8" x14ac:dyDescent="0.3">
      <c r="A234" s="84">
        <v>1384</v>
      </c>
      <c r="B234" s="86" t="s">
        <v>514</v>
      </c>
      <c r="C234" s="84" t="s">
        <v>477</v>
      </c>
      <c r="D234" s="81" t="s">
        <v>237</v>
      </c>
      <c r="E234" s="81"/>
      <c r="F234" s="81"/>
      <c r="G234" s="84"/>
      <c r="H234" s="84"/>
      <c r="I234" s="81" t="s">
        <v>305</v>
      </c>
    </row>
    <row r="235" spans="1:9" s="76" customFormat="1" ht="13.8" x14ac:dyDescent="0.3">
      <c r="A235" s="84">
        <v>1385</v>
      </c>
      <c r="B235" s="86" t="s">
        <v>515</v>
      </c>
      <c r="C235" s="84" t="s">
        <v>13</v>
      </c>
      <c r="D235" s="81" t="s">
        <v>237</v>
      </c>
      <c r="E235" s="84"/>
      <c r="F235" s="84"/>
      <c r="G235" s="84"/>
      <c r="H235" s="84"/>
      <c r="I235" s="81" t="s">
        <v>305</v>
      </c>
    </row>
    <row r="236" spans="1:9" s="75" customFormat="1" ht="13.8" x14ac:dyDescent="0.3">
      <c r="A236" s="84">
        <v>1386</v>
      </c>
      <c r="B236" s="86" t="s">
        <v>516</v>
      </c>
      <c r="C236" s="84" t="s">
        <v>38</v>
      </c>
      <c r="D236" s="81" t="s">
        <v>237</v>
      </c>
      <c r="E236" s="81"/>
      <c r="F236" s="81"/>
      <c r="G236" s="84"/>
      <c r="H236" s="84"/>
      <c r="I236" s="81" t="s">
        <v>305</v>
      </c>
    </row>
    <row r="237" spans="1:9" s="75" customFormat="1" ht="13.8" x14ac:dyDescent="0.3">
      <c r="A237" s="86">
        <v>1387</v>
      </c>
      <c r="B237" s="86" t="s">
        <v>517</v>
      </c>
      <c r="C237" s="80" t="s">
        <v>44</v>
      </c>
      <c r="D237" s="80" t="s">
        <v>231</v>
      </c>
      <c r="E237" s="80" t="s">
        <v>202</v>
      </c>
      <c r="F237" s="80" t="s">
        <v>376</v>
      </c>
      <c r="G237" s="80" t="s">
        <v>71</v>
      </c>
      <c r="H237" s="80" t="s">
        <v>203</v>
      </c>
      <c r="I237" s="80" t="s">
        <v>305</v>
      </c>
    </row>
    <row r="238" spans="1:9" s="75" customFormat="1" ht="13.8" x14ac:dyDescent="0.3">
      <c r="A238" s="86">
        <v>1388</v>
      </c>
      <c r="B238" s="86" t="s">
        <v>518</v>
      </c>
      <c r="C238" s="80" t="s">
        <v>3</v>
      </c>
      <c r="D238" s="80" t="s">
        <v>231</v>
      </c>
      <c r="E238" s="80" t="s">
        <v>199</v>
      </c>
      <c r="F238" s="80" t="s">
        <v>328</v>
      </c>
      <c r="G238" s="80" t="s">
        <v>209</v>
      </c>
      <c r="H238" s="80" t="s">
        <v>203</v>
      </c>
      <c r="I238" s="80" t="s">
        <v>305</v>
      </c>
    </row>
    <row r="239" spans="1:9" s="75" customFormat="1" ht="13.8" x14ac:dyDescent="0.3">
      <c r="A239" s="86">
        <v>1389</v>
      </c>
      <c r="B239" s="86" t="s">
        <v>214</v>
      </c>
      <c r="C239" s="86" t="s">
        <v>304</v>
      </c>
      <c r="D239" s="86" t="s">
        <v>231</v>
      </c>
      <c r="E239" s="80" t="s">
        <v>202</v>
      </c>
      <c r="F239" s="86" t="s">
        <v>233</v>
      </c>
      <c r="G239" s="80" t="s">
        <v>212</v>
      </c>
      <c r="H239" s="80" t="s">
        <v>216</v>
      </c>
      <c r="I239" s="80" t="s">
        <v>305</v>
      </c>
    </row>
    <row r="240" spans="1:9" s="75" customFormat="1" ht="13.8" x14ac:dyDescent="0.3">
      <c r="A240" s="83">
        <v>1390</v>
      </c>
      <c r="B240" s="86" t="s">
        <v>519</v>
      </c>
      <c r="C240" s="83" t="s">
        <v>16</v>
      </c>
      <c r="D240" s="83" t="s">
        <v>231</v>
      </c>
      <c r="E240" s="80" t="s">
        <v>202</v>
      </c>
      <c r="F240" s="80" t="s">
        <v>328</v>
      </c>
      <c r="G240" s="86" t="s">
        <v>84</v>
      </c>
      <c r="H240" s="80" t="s">
        <v>207</v>
      </c>
      <c r="I240" s="80" t="s">
        <v>305</v>
      </c>
    </row>
    <row r="241" spans="1:9" s="75" customFormat="1" ht="13.8" x14ac:dyDescent="0.3">
      <c r="A241" s="86">
        <v>1391</v>
      </c>
      <c r="B241" s="86" t="s">
        <v>520</v>
      </c>
      <c r="C241" s="80" t="s">
        <v>196</v>
      </c>
      <c r="D241" s="80" t="s">
        <v>231</v>
      </c>
      <c r="E241" s="80" t="s">
        <v>199</v>
      </c>
      <c r="F241" s="80" t="s">
        <v>376</v>
      </c>
      <c r="G241" s="80" t="s">
        <v>71</v>
      </c>
      <c r="H241" s="80" t="s">
        <v>203</v>
      </c>
      <c r="I241" s="80" t="s">
        <v>305</v>
      </c>
    </row>
    <row r="242" spans="1:9" s="75" customFormat="1" ht="13.8" x14ac:dyDescent="0.3">
      <c r="A242" s="86">
        <v>1392</v>
      </c>
      <c r="B242" s="86" t="s">
        <v>521</v>
      </c>
      <c r="C242" s="80" t="s">
        <v>200</v>
      </c>
      <c r="D242" s="80" t="s">
        <v>231</v>
      </c>
      <c r="E242" s="80" t="s">
        <v>199</v>
      </c>
      <c r="F242" s="80" t="s">
        <v>376</v>
      </c>
      <c r="G242" s="80" t="s">
        <v>71</v>
      </c>
      <c r="H242" s="80" t="s">
        <v>203</v>
      </c>
      <c r="I242" s="80" t="s">
        <v>305</v>
      </c>
    </row>
    <row r="243" spans="1:9" s="75" customFormat="1" ht="13.8" x14ac:dyDescent="0.3">
      <c r="A243" s="86">
        <v>1393</v>
      </c>
      <c r="B243" s="86" t="s">
        <v>522</v>
      </c>
      <c r="C243" s="86" t="s">
        <v>348</v>
      </c>
      <c r="D243" s="86" t="s">
        <v>231</v>
      </c>
      <c r="E243" s="80" t="s">
        <v>202</v>
      </c>
      <c r="F243" s="80" t="s">
        <v>340</v>
      </c>
      <c r="G243" s="86" t="s">
        <v>215</v>
      </c>
      <c r="H243" s="80" t="s">
        <v>213</v>
      </c>
      <c r="I243" s="80" t="s">
        <v>305</v>
      </c>
    </row>
    <row r="244" spans="1:9" s="75" customFormat="1" ht="13.8" x14ac:dyDescent="0.3">
      <c r="A244" s="86">
        <v>1394</v>
      </c>
      <c r="B244" s="86" t="s">
        <v>523</v>
      </c>
      <c r="C244" s="86" t="s">
        <v>38</v>
      </c>
      <c r="D244" s="86" t="s">
        <v>231</v>
      </c>
      <c r="E244" s="80" t="s">
        <v>202</v>
      </c>
      <c r="F244" s="80" t="s">
        <v>340</v>
      </c>
      <c r="G244" s="86" t="s">
        <v>210</v>
      </c>
      <c r="H244" s="80" t="s">
        <v>213</v>
      </c>
      <c r="I244" s="80" t="s">
        <v>305</v>
      </c>
    </row>
    <row r="245" spans="1:9" s="75" customFormat="1" ht="13.8" x14ac:dyDescent="0.3">
      <c r="A245" s="86">
        <v>1395</v>
      </c>
      <c r="B245" s="86" t="s">
        <v>524</v>
      </c>
      <c r="C245" s="80" t="s">
        <v>20</v>
      </c>
      <c r="D245" s="80" t="s">
        <v>231</v>
      </c>
      <c r="E245" s="80" t="s">
        <v>199</v>
      </c>
      <c r="F245" s="80" t="s">
        <v>376</v>
      </c>
      <c r="G245" s="80" t="s">
        <v>193</v>
      </c>
      <c r="H245" s="80" t="s">
        <v>207</v>
      </c>
      <c r="I245" s="80" t="s">
        <v>305</v>
      </c>
    </row>
    <row r="246" spans="1:9" s="75" customFormat="1" ht="13.8" x14ac:dyDescent="0.3">
      <c r="A246" s="86">
        <v>1396</v>
      </c>
      <c r="B246" s="86" t="s">
        <v>525</v>
      </c>
      <c r="C246" s="86" t="s">
        <v>196</v>
      </c>
      <c r="D246" s="86" t="s">
        <v>231</v>
      </c>
      <c r="E246" s="80" t="s">
        <v>201</v>
      </c>
      <c r="F246" s="80" t="s">
        <v>376</v>
      </c>
      <c r="G246" s="80" t="s">
        <v>71</v>
      </c>
      <c r="H246" s="80" t="s">
        <v>203</v>
      </c>
      <c r="I246" s="80" t="s">
        <v>305</v>
      </c>
    </row>
    <row r="247" spans="1:9" s="75" customFormat="1" ht="13.8" x14ac:dyDescent="0.3">
      <c r="A247" s="86">
        <v>1397</v>
      </c>
      <c r="B247" s="86" t="s">
        <v>526</v>
      </c>
      <c r="C247" s="80" t="s">
        <v>527</v>
      </c>
      <c r="D247" s="80" t="s">
        <v>231</v>
      </c>
      <c r="E247" s="80" t="s">
        <v>199</v>
      </c>
      <c r="F247" s="80" t="s">
        <v>373</v>
      </c>
      <c r="G247" s="80"/>
      <c r="H247" s="80" t="s">
        <v>207</v>
      </c>
      <c r="I247" s="80" t="s">
        <v>305</v>
      </c>
    </row>
    <row r="248" spans="1:9" s="75" customFormat="1" ht="13.8" x14ac:dyDescent="0.3">
      <c r="A248" s="86">
        <v>1398</v>
      </c>
      <c r="B248" s="86" t="s">
        <v>528</v>
      </c>
      <c r="C248" s="86" t="s">
        <v>169</v>
      </c>
      <c r="D248" s="86" t="s">
        <v>231</v>
      </c>
      <c r="E248" s="80" t="s">
        <v>202</v>
      </c>
      <c r="F248" s="80" t="s">
        <v>328</v>
      </c>
      <c r="G248" s="86" t="s">
        <v>193</v>
      </c>
      <c r="H248" s="80" t="s">
        <v>207</v>
      </c>
      <c r="I248" s="80" t="s">
        <v>305</v>
      </c>
    </row>
    <row r="249" spans="1:9" s="75" customFormat="1" ht="13.8" x14ac:dyDescent="0.3">
      <c r="A249" s="86">
        <v>1399</v>
      </c>
      <c r="B249" s="86" t="s">
        <v>529</v>
      </c>
      <c r="C249" s="86" t="s">
        <v>304</v>
      </c>
      <c r="D249" s="86" t="s">
        <v>231</v>
      </c>
      <c r="E249" s="80" t="s">
        <v>202</v>
      </c>
      <c r="F249" s="86" t="s">
        <v>233</v>
      </c>
      <c r="G249" s="80" t="s">
        <v>212</v>
      </c>
      <c r="H249" s="80" t="s">
        <v>216</v>
      </c>
      <c r="I249" s="80" t="s">
        <v>305</v>
      </c>
    </row>
    <row r="250" spans="1:9" s="76" customFormat="1" ht="13.8" x14ac:dyDescent="0.3">
      <c r="A250" s="86">
        <v>1400</v>
      </c>
      <c r="B250" s="86" t="s">
        <v>530</v>
      </c>
      <c r="C250" s="80" t="s">
        <v>3</v>
      </c>
      <c r="D250" s="80" t="s">
        <v>231</v>
      </c>
      <c r="E250" s="80" t="s">
        <v>199</v>
      </c>
      <c r="F250" s="80" t="s">
        <v>328</v>
      </c>
      <c r="G250" s="80" t="s">
        <v>209</v>
      </c>
      <c r="H250" s="80" t="s">
        <v>203</v>
      </c>
      <c r="I250" s="80" t="s">
        <v>305</v>
      </c>
    </row>
    <row r="251" spans="1:9" s="76" customFormat="1" ht="13.8" x14ac:dyDescent="0.3">
      <c r="A251" s="84">
        <v>1401</v>
      </c>
      <c r="B251" s="84" t="s">
        <v>531</v>
      </c>
      <c r="C251" s="84" t="s">
        <v>13</v>
      </c>
      <c r="D251" s="81" t="s">
        <v>237</v>
      </c>
      <c r="E251" s="84"/>
      <c r="F251" s="84"/>
      <c r="G251" s="84"/>
      <c r="H251" s="84"/>
      <c r="I251" s="81" t="s">
        <v>305</v>
      </c>
    </row>
    <row r="252" spans="1:9" s="76" customFormat="1" ht="13.8" x14ac:dyDescent="0.3">
      <c r="A252" s="84">
        <v>1402</v>
      </c>
      <c r="B252" s="84" t="s">
        <v>532</v>
      </c>
      <c r="C252" s="84" t="s">
        <v>13</v>
      </c>
      <c r="D252" s="81" t="s">
        <v>237</v>
      </c>
      <c r="E252" s="84"/>
      <c r="F252" s="84"/>
      <c r="G252" s="84"/>
      <c r="H252" s="84"/>
      <c r="I252" s="81" t="s">
        <v>305</v>
      </c>
    </row>
    <row r="253" spans="1:9" s="76" customFormat="1" ht="13.8" x14ac:dyDescent="0.3">
      <c r="A253" s="84">
        <v>1403</v>
      </c>
      <c r="B253" s="84" t="s">
        <v>533</v>
      </c>
      <c r="C253" s="84" t="s">
        <v>13</v>
      </c>
      <c r="D253" s="81" t="s">
        <v>237</v>
      </c>
      <c r="E253" s="84"/>
      <c r="F253" s="84"/>
      <c r="G253" s="84"/>
      <c r="H253" s="84"/>
      <c r="I253" s="81" t="s">
        <v>305</v>
      </c>
    </row>
    <row r="254" spans="1:9" s="76" customFormat="1" ht="13.8" x14ac:dyDescent="0.3">
      <c r="A254" s="84">
        <v>1404</v>
      </c>
      <c r="B254" s="84" t="s">
        <v>534</v>
      </c>
      <c r="C254" s="84" t="s">
        <v>13</v>
      </c>
      <c r="D254" s="81" t="s">
        <v>237</v>
      </c>
      <c r="E254" s="84"/>
      <c r="F254" s="84"/>
      <c r="G254" s="84"/>
      <c r="H254" s="84"/>
      <c r="I254" s="81" t="s">
        <v>305</v>
      </c>
    </row>
    <row r="255" spans="1:9" s="76" customFormat="1" ht="13.8" x14ac:dyDescent="0.3">
      <c r="A255" s="84">
        <v>1405</v>
      </c>
      <c r="B255" s="84" t="s">
        <v>535</v>
      </c>
      <c r="C255" s="84" t="s">
        <v>13</v>
      </c>
      <c r="D255" s="81" t="s">
        <v>237</v>
      </c>
      <c r="E255" s="84"/>
      <c r="F255" s="84"/>
      <c r="G255" s="84"/>
      <c r="H255" s="84"/>
      <c r="I255" s="81" t="s">
        <v>305</v>
      </c>
    </row>
    <row r="256" spans="1:9" s="76" customFormat="1" ht="13.8" x14ac:dyDescent="0.3">
      <c r="A256" s="84">
        <v>1407</v>
      </c>
      <c r="B256" s="84" t="s">
        <v>536</v>
      </c>
      <c r="C256" s="84" t="s">
        <v>13</v>
      </c>
      <c r="D256" s="81" t="s">
        <v>237</v>
      </c>
      <c r="E256" s="84"/>
      <c r="F256" s="84"/>
      <c r="G256" s="84"/>
      <c r="H256" s="84"/>
      <c r="I256" s="81" t="s">
        <v>305</v>
      </c>
    </row>
    <row r="257" spans="1:9" s="76" customFormat="1" ht="13.8" x14ac:dyDescent="0.3">
      <c r="A257" s="84">
        <v>1408</v>
      </c>
      <c r="B257" s="84" t="s">
        <v>537</v>
      </c>
      <c r="C257" s="84" t="s">
        <v>13</v>
      </c>
      <c r="D257" s="81" t="s">
        <v>237</v>
      </c>
      <c r="E257" s="84"/>
      <c r="F257" s="84"/>
      <c r="G257" s="84"/>
      <c r="H257" s="84"/>
      <c r="I257" s="81" t="s">
        <v>305</v>
      </c>
    </row>
    <row r="258" spans="1:9" s="76" customFormat="1" ht="13.8" x14ac:dyDescent="0.3">
      <c r="A258" s="84">
        <v>1409</v>
      </c>
      <c r="B258" s="84" t="s">
        <v>538</v>
      </c>
      <c r="C258" s="84" t="s">
        <v>13</v>
      </c>
      <c r="D258" s="81" t="s">
        <v>237</v>
      </c>
      <c r="E258" s="84"/>
      <c r="F258" s="84"/>
      <c r="G258" s="84"/>
      <c r="H258" s="84"/>
      <c r="I258" s="81" t="s">
        <v>305</v>
      </c>
    </row>
    <row r="259" spans="1:9" s="76" customFormat="1" ht="13.8" x14ac:dyDescent="0.3">
      <c r="A259" s="84">
        <v>1410</v>
      </c>
      <c r="B259" s="84" t="s">
        <v>539</v>
      </c>
      <c r="C259" s="84" t="s">
        <v>13</v>
      </c>
      <c r="D259" s="81" t="s">
        <v>237</v>
      </c>
      <c r="E259" s="84"/>
      <c r="F259" s="84"/>
      <c r="G259" s="84"/>
      <c r="H259" s="84"/>
      <c r="I259" s="81" t="s">
        <v>305</v>
      </c>
    </row>
    <row r="260" spans="1:9" s="76" customFormat="1" ht="13.8" x14ac:dyDescent="0.3">
      <c r="A260" s="84">
        <v>1411</v>
      </c>
      <c r="B260" s="84" t="s">
        <v>540</v>
      </c>
      <c r="C260" s="84" t="s">
        <v>541</v>
      </c>
      <c r="D260" s="81" t="s">
        <v>237</v>
      </c>
      <c r="E260" s="81"/>
      <c r="F260" s="81"/>
      <c r="G260" s="84"/>
      <c r="H260" s="84"/>
      <c r="I260" s="81" t="s">
        <v>305</v>
      </c>
    </row>
    <row r="261" spans="1:9" s="76" customFormat="1" ht="13.8" x14ac:dyDescent="0.3">
      <c r="A261" s="84">
        <v>1412</v>
      </c>
      <c r="B261" s="84" t="s">
        <v>542</v>
      </c>
      <c r="C261" s="84" t="s">
        <v>13</v>
      </c>
      <c r="D261" s="81" t="s">
        <v>237</v>
      </c>
      <c r="E261" s="84"/>
      <c r="F261" s="84"/>
      <c r="G261" s="84"/>
      <c r="H261" s="84"/>
      <c r="I261" s="81" t="s">
        <v>305</v>
      </c>
    </row>
    <row r="262" spans="1:9" s="76" customFormat="1" ht="13.8" x14ac:dyDescent="0.3">
      <c r="A262" s="84">
        <v>1413</v>
      </c>
      <c r="B262" s="84" t="s">
        <v>543</v>
      </c>
      <c r="C262" s="84" t="s">
        <v>544</v>
      </c>
      <c r="D262" s="81" t="s">
        <v>237</v>
      </c>
      <c r="E262" s="81"/>
      <c r="F262" s="81"/>
      <c r="G262" s="84"/>
      <c r="H262" s="84"/>
      <c r="I262" s="81" t="s">
        <v>305</v>
      </c>
    </row>
    <row r="263" spans="1:9" s="76" customFormat="1" ht="13.8" x14ac:dyDescent="0.3">
      <c r="A263" s="84">
        <v>1414</v>
      </c>
      <c r="B263" s="84" t="s">
        <v>545</v>
      </c>
      <c r="C263" s="84" t="s">
        <v>13</v>
      </c>
      <c r="D263" s="81" t="s">
        <v>237</v>
      </c>
      <c r="E263" s="84"/>
      <c r="F263" s="84"/>
      <c r="G263" s="84"/>
      <c r="H263" s="84"/>
      <c r="I263" s="81" t="s">
        <v>305</v>
      </c>
    </row>
    <row r="264" spans="1:9" s="76" customFormat="1" ht="13.8" x14ac:dyDescent="0.3">
      <c r="A264" s="84">
        <v>1415</v>
      </c>
      <c r="B264" s="84" t="s">
        <v>546</v>
      </c>
      <c r="C264" s="84" t="s">
        <v>13</v>
      </c>
      <c r="D264" s="81" t="s">
        <v>237</v>
      </c>
      <c r="E264" s="84"/>
      <c r="F264" s="84"/>
      <c r="G264" s="84"/>
      <c r="H264" s="84"/>
      <c r="I264" s="81" t="s">
        <v>305</v>
      </c>
    </row>
    <row r="265" spans="1:9" s="76" customFormat="1" ht="13.8" x14ac:dyDescent="0.3">
      <c r="A265" s="84">
        <v>1416</v>
      </c>
      <c r="B265" s="84" t="s">
        <v>547</v>
      </c>
      <c r="C265" s="84" t="s">
        <v>13</v>
      </c>
      <c r="D265" s="81" t="s">
        <v>237</v>
      </c>
      <c r="E265" s="84"/>
      <c r="F265" s="84"/>
      <c r="G265" s="84"/>
      <c r="H265" s="84"/>
      <c r="I265" s="81" t="s">
        <v>305</v>
      </c>
    </row>
    <row r="266" spans="1:9" s="76" customFormat="1" ht="13.8" x14ac:dyDescent="0.3">
      <c r="A266" s="84">
        <v>1417</v>
      </c>
      <c r="B266" s="84" t="s">
        <v>548</v>
      </c>
      <c r="C266" s="84" t="s">
        <v>13</v>
      </c>
      <c r="D266" s="81" t="s">
        <v>237</v>
      </c>
      <c r="E266" s="84"/>
      <c r="F266" s="84"/>
      <c r="G266" s="84"/>
      <c r="H266" s="84"/>
      <c r="I266" s="81" t="s">
        <v>305</v>
      </c>
    </row>
    <row r="267" spans="1:9" s="76" customFormat="1" ht="13.8" x14ac:dyDescent="0.3">
      <c r="A267" s="84">
        <v>1418</v>
      </c>
      <c r="B267" s="84" t="s">
        <v>549</v>
      </c>
      <c r="C267" s="84" t="s">
        <v>13</v>
      </c>
      <c r="D267" s="81" t="s">
        <v>237</v>
      </c>
      <c r="E267" s="84"/>
      <c r="F267" s="84"/>
      <c r="G267" s="84"/>
      <c r="H267" s="84"/>
      <c r="I267" s="81" t="s">
        <v>305</v>
      </c>
    </row>
    <row r="268" spans="1:9" s="76" customFormat="1" ht="13.8" x14ac:dyDescent="0.3">
      <c r="A268" s="84">
        <v>1419</v>
      </c>
      <c r="B268" s="84" t="s">
        <v>550</v>
      </c>
      <c r="C268" s="84" t="s">
        <v>551</v>
      </c>
      <c r="D268" s="81" t="s">
        <v>237</v>
      </c>
      <c r="E268" s="81"/>
      <c r="F268" s="81"/>
      <c r="G268" s="84"/>
      <c r="H268" s="84"/>
      <c r="I268" s="81" t="s">
        <v>305</v>
      </c>
    </row>
    <row r="269" spans="1:9" s="76" customFormat="1" ht="13.8" x14ac:dyDescent="0.3">
      <c r="A269" s="84">
        <v>1420</v>
      </c>
      <c r="B269" s="84" t="s">
        <v>552</v>
      </c>
      <c r="C269" s="84" t="s">
        <v>13</v>
      </c>
      <c r="D269" s="81" t="s">
        <v>237</v>
      </c>
      <c r="E269" s="84"/>
      <c r="F269" s="84"/>
      <c r="G269" s="84"/>
      <c r="H269" s="84"/>
      <c r="I269" s="81" t="s">
        <v>305</v>
      </c>
    </row>
    <row r="270" spans="1:9" s="76" customFormat="1" ht="13.8" x14ac:dyDescent="0.3">
      <c r="A270" s="84">
        <v>1421</v>
      </c>
      <c r="B270" s="84" t="s">
        <v>553</v>
      </c>
      <c r="C270" s="84" t="s">
        <v>13</v>
      </c>
      <c r="D270" s="81" t="s">
        <v>237</v>
      </c>
      <c r="E270" s="84"/>
      <c r="F270" s="84"/>
      <c r="G270" s="84"/>
      <c r="H270" s="84"/>
      <c r="I270" s="81" t="s">
        <v>305</v>
      </c>
    </row>
    <row r="271" spans="1:9" s="76" customFormat="1" ht="13.8" x14ac:dyDescent="0.3">
      <c r="A271" s="84">
        <v>1422</v>
      </c>
      <c r="B271" s="84" t="s">
        <v>554</v>
      </c>
      <c r="C271" s="84" t="s">
        <v>13</v>
      </c>
      <c r="D271" s="81" t="s">
        <v>237</v>
      </c>
      <c r="E271" s="84"/>
      <c r="F271" s="84"/>
      <c r="G271" s="84"/>
      <c r="H271" s="84"/>
      <c r="I271" s="81" t="s">
        <v>305</v>
      </c>
    </row>
    <row r="272" spans="1:9" s="76" customFormat="1" ht="13.8" x14ac:dyDescent="0.3">
      <c r="A272" s="84">
        <v>1423</v>
      </c>
      <c r="B272" s="84" t="s">
        <v>555</v>
      </c>
      <c r="C272" s="84" t="s">
        <v>556</v>
      </c>
      <c r="D272" s="81" t="s">
        <v>237</v>
      </c>
      <c r="E272" s="81" t="s">
        <v>199</v>
      </c>
      <c r="F272" s="81" t="s">
        <v>376</v>
      </c>
      <c r="G272" s="84"/>
      <c r="H272" s="84"/>
      <c r="I272" s="81" t="s">
        <v>305</v>
      </c>
    </row>
    <row r="273" spans="1:9" s="76" customFormat="1" ht="13.8" x14ac:dyDescent="0.3">
      <c r="A273" s="84">
        <v>1424</v>
      </c>
      <c r="B273" s="84" t="s">
        <v>557</v>
      </c>
      <c r="C273" s="84" t="s">
        <v>558</v>
      </c>
      <c r="D273" s="81" t="s">
        <v>237</v>
      </c>
      <c r="E273" s="81"/>
      <c r="F273" s="81"/>
      <c r="G273" s="84"/>
      <c r="H273" s="84"/>
      <c r="I273" s="81" t="s">
        <v>305</v>
      </c>
    </row>
    <row r="274" spans="1:9" s="75" customFormat="1" ht="13.8" x14ac:dyDescent="0.3">
      <c r="A274" s="84">
        <v>1425</v>
      </c>
      <c r="B274" s="84" t="s">
        <v>559</v>
      </c>
      <c r="C274" s="84" t="s">
        <v>13</v>
      </c>
      <c r="D274" s="81" t="s">
        <v>237</v>
      </c>
      <c r="E274" s="84"/>
      <c r="F274" s="84"/>
      <c r="G274" s="84"/>
      <c r="H274" s="84"/>
      <c r="I274" s="81" t="s">
        <v>305</v>
      </c>
    </row>
    <row r="275" spans="1:9" s="76" customFormat="1" ht="13.8" x14ac:dyDescent="0.3">
      <c r="A275" s="86">
        <v>1426</v>
      </c>
      <c r="B275" s="86" t="s">
        <v>560</v>
      </c>
      <c r="C275" s="86" t="s">
        <v>561</v>
      </c>
      <c r="D275" s="86" t="s">
        <v>231</v>
      </c>
      <c r="E275" s="80" t="s">
        <v>199</v>
      </c>
      <c r="F275" s="80" t="s">
        <v>376</v>
      </c>
      <c r="G275" s="86" t="s">
        <v>204</v>
      </c>
      <c r="H275" s="80" t="s">
        <v>217</v>
      </c>
      <c r="I275" s="80" t="s">
        <v>305</v>
      </c>
    </row>
    <row r="276" spans="1:9" s="76" customFormat="1" ht="13.8" x14ac:dyDescent="0.3">
      <c r="A276" s="84">
        <v>1427</v>
      </c>
      <c r="B276" s="84" t="s">
        <v>562</v>
      </c>
      <c r="C276" s="84" t="s">
        <v>13</v>
      </c>
      <c r="D276" s="81" t="s">
        <v>237</v>
      </c>
      <c r="E276" s="84"/>
      <c r="F276" s="84"/>
      <c r="G276" s="84"/>
      <c r="H276" s="84"/>
      <c r="I276" s="81" t="s">
        <v>305</v>
      </c>
    </row>
    <row r="277" spans="1:9" s="76" customFormat="1" ht="13.8" x14ac:dyDescent="0.3">
      <c r="A277" s="84">
        <v>1428</v>
      </c>
      <c r="B277" s="84" t="s">
        <v>563</v>
      </c>
      <c r="C277" s="84" t="s">
        <v>564</v>
      </c>
      <c r="D277" s="81" t="s">
        <v>237</v>
      </c>
      <c r="E277" s="81"/>
      <c r="F277" s="81"/>
      <c r="G277" s="84"/>
      <c r="H277" s="84"/>
      <c r="I277" s="81" t="s">
        <v>305</v>
      </c>
    </row>
    <row r="278" spans="1:9" s="76" customFormat="1" ht="13.8" x14ac:dyDescent="0.3">
      <c r="A278" s="84">
        <v>1429</v>
      </c>
      <c r="B278" s="84" t="s">
        <v>565</v>
      </c>
      <c r="C278" s="84" t="s">
        <v>95</v>
      </c>
      <c r="D278" s="81" t="s">
        <v>237</v>
      </c>
      <c r="E278" s="81"/>
      <c r="F278" s="81"/>
      <c r="G278" s="84"/>
      <c r="H278" s="84"/>
      <c r="I278" s="81" t="s">
        <v>305</v>
      </c>
    </row>
    <row r="279" spans="1:9" s="75" customFormat="1" ht="13.8" x14ac:dyDescent="0.3">
      <c r="A279" s="84">
        <v>1430</v>
      </c>
      <c r="B279" s="84" t="s">
        <v>566</v>
      </c>
      <c r="C279" s="84" t="s">
        <v>482</v>
      </c>
      <c r="D279" s="81" t="s">
        <v>237</v>
      </c>
      <c r="E279" s="81"/>
      <c r="F279" s="81"/>
      <c r="G279" s="84"/>
      <c r="H279" s="84"/>
      <c r="I279" s="81" t="s">
        <v>305</v>
      </c>
    </row>
    <row r="280" spans="1:9" s="76" customFormat="1" ht="13.8" x14ac:dyDescent="0.3">
      <c r="A280" s="86">
        <v>1431</v>
      </c>
      <c r="B280" s="86" t="s">
        <v>567</v>
      </c>
      <c r="C280" s="86" t="s">
        <v>304</v>
      </c>
      <c r="D280" s="86" t="s">
        <v>231</v>
      </c>
      <c r="E280" s="80" t="s">
        <v>199</v>
      </c>
      <c r="F280" s="86" t="s">
        <v>233</v>
      </c>
      <c r="G280" s="80" t="s">
        <v>283</v>
      </c>
      <c r="H280" s="80" t="s">
        <v>216</v>
      </c>
      <c r="I280" s="80" t="s">
        <v>305</v>
      </c>
    </row>
    <row r="281" spans="1:9" s="75" customFormat="1" ht="13.8" x14ac:dyDescent="0.3">
      <c r="A281" s="84">
        <v>1432</v>
      </c>
      <c r="B281" s="84" t="s">
        <v>568</v>
      </c>
      <c r="C281" s="84" t="s">
        <v>13</v>
      </c>
      <c r="D281" s="81" t="s">
        <v>237</v>
      </c>
      <c r="E281" s="84"/>
      <c r="F281" s="84"/>
      <c r="G281" s="84"/>
      <c r="H281" s="84"/>
      <c r="I281" s="81" t="s">
        <v>305</v>
      </c>
    </row>
    <row r="282" spans="1:9" s="76" customFormat="1" ht="13.8" x14ac:dyDescent="0.3">
      <c r="A282" s="86">
        <v>1433</v>
      </c>
      <c r="B282" s="86" t="s">
        <v>569</v>
      </c>
      <c r="C282" s="86" t="s">
        <v>321</v>
      </c>
      <c r="D282" s="86" t="s">
        <v>231</v>
      </c>
      <c r="E282" s="80" t="s">
        <v>202</v>
      </c>
      <c r="F282" s="80" t="s">
        <v>340</v>
      </c>
      <c r="G282" s="86" t="s">
        <v>211</v>
      </c>
      <c r="H282" s="80" t="s">
        <v>207</v>
      </c>
      <c r="I282" s="80" t="s">
        <v>305</v>
      </c>
    </row>
    <row r="283" spans="1:9" s="76" customFormat="1" ht="13.8" x14ac:dyDescent="0.3">
      <c r="A283" s="84">
        <v>1434</v>
      </c>
      <c r="B283" s="84" t="s">
        <v>570</v>
      </c>
      <c r="C283" s="84" t="s">
        <v>334</v>
      </c>
      <c r="D283" s="81" t="s">
        <v>237</v>
      </c>
      <c r="E283" s="81"/>
      <c r="F283" s="81"/>
      <c r="G283" s="84"/>
      <c r="H283" s="84"/>
      <c r="I283" s="81" t="s">
        <v>305</v>
      </c>
    </row>
    <row r="284" spans="1:9" s="76" customFormat="1" ht="13.8" x14ac:dyDescent="0.3">
      <c r="A284" s="84">
        <v>1435</v>
      </c>
      <c r="B284" s="84" t="s">
        <v>571</v>
      </c>
      <c r="C284" s="84" t="s">
        <v>572</v>
      </c>
      <c r="D284" s="81" t="s">
        <v>237</v>
      </c>
      <c r="E284" s="81"/>
      <c r="F284" s="81"/>
      <c r="G284" s="81"/>
      <c r="H284" s="84"/>
      <c r="I284" s="81" t="s">
        <v>305</v>
      </c>
    </row>
    <row r="285" spans="1:9" s="76" customFormat="1" ht="13.8" x14ac:dyDescent="0.3">
      <c r="A285" s="84">
        <v>1436</v>
      </c>
      <c r="B285" s="84" t="s">
        <v>573</v>
      </c>
      <c r="C285" s="84" t="s">
        <v>334</v>
      </c>
      <c r="D285" s="81" t="s">
        <v>237</v>
      </c>
      <c r="E285" s="81"/>
      <c r="F285" s="81"/>
      <c r="G285" s="84"/>
      <c r="H285" s="84"/>
      <c r="I285" s="81" t="s">
        <v>305</v>
      </c>
    </row>
    <row r="286" spans="1:9" s="76" customFormat="1" ht="13.8" x14ac:dyDescent="0.3">
      <c r="A286" s="84">
        <v>1437</v>
      </c>
      <c r="B286" s="84" t="s">
        <v>574</v>
      </c>
      <c r="C286" s="84" t="s">
        <v>575</v>
      </c>
      <c r="D286" s="81" t="s">
        <v>237</v>
      </c>
      <c r="E286" s="81"/>
      <c r="F286" s="81"/>
      <c r="G286" s="84"/>
      <c r="H286" s="84"/>
      <c r="I286" s="81" t="s">
        <v>305</v>
      </c>
    </row>
    <row r="287" spans="1:9" s="76" customFormat="1" ht="13.8" x14ac:dyDescent="0.3">
      <c r="A287" s="84">
        <v>1438</v>
      </c>
      <c r="B287" s="84" t="s">
        <v>576</v>
      </c>
      <c r="C287" s="84" t="s">
        <v>334</v>
      </c>
      <c r="D287" s="81" t="s">
        <v>237</v>
      </c>
      <c r="E287" s="81"/>
      <c r="F287" s="81"/>
      <c r="G287" s="84"/>
      <c r="H287" s="84"/>
      <c r="I287" s="81" t="s">
        <v>305</v>
      </c>
    </row>
    <row r="288" spans="1:9" s="76" customFormat="1" ht="13.8" x14ac:dyDescent="0.3">
      <c r="A288" s="84">
        <v>1439</v>
      </c>
      <c r="B288" s="84" t="s">
        <v>577</v>
      </c>
      <c r="C288" s="84" t="s">
        <v>10</v>
      </c>
      <c r="D288" s="81" t="s">
        <v>237</v>
      </c>
      <c r="E288" s="81"/>
      <c r="F288" s="81"/>
      <c r="G288" s="84"/>
      <c r="H288" s="84"/>
      <c r="I288" s="81" t="s">
        <v>305</v>
      </c>
    </row>
    <row r="289" spans="1:9" s="19" customFormat="1" x14ac:dyDescent="0.3">
      <c r="A289" s="84">
        <v>1440</v>
      </c>
      <c r="B289" s="84" t="s">
        <v>578</v>
      </c>
      <c r="C289" s="84" t="s">
        <v>579</v>
      </c>
      <c r="D289" s="81" t="s">
        <v>237</v>
      </c>
      <c r="E289" s="81"/>
      <c r="F289" s="81"/>
      <c r="G289" s="84"/>
      <c r="H289" s="84"/>
      <c r="I289" s="81" t="s">
        <v>305</v>
      </c>
    </row>
    <row r="290" spans="1:9" s="76" customFormat="1" ht="13.8" x14ac:dyDescent="0.3">
      <c r="A290" s="84">
        <v>1441</v>
      </c>
      <c r="B290" s="84" t="s">
        <v>580</v>
      </c>
      <c r="C290" s="84" t="s">
        <v>165</v>
      </c>
      <c r="D290" s="80" t="s">
        <v>237</v>
      </c>
      <c r="E290" s="80"/>
      <c r="F290" s="80"/>
      <c r="G290" s="81"/>
      <c r="H290" s="80"/>
      <c r="I290" s="80" t="s">
        <v>305</v>
      </c>
    </row>
    <row r="291" spans="1:9" s="76" customFormat="1" ht="13.8" x14ac:dyDescent="0.3">
      <c r="A291" s="84">
        <v>1442</v>
      </c>
      <c r="B291" s="84" t="s">
        <v>581</v>
      </c>
      <c r="C291" s="84" t="s">
        <v>582</v>
      </c>
      <c r="D291" s="81" t="s">
        <v>237</v>
      </c>
      <c r="E291" s="81"/>
      <c r="F291" s="81"/>
      <c r="G291" s="84"/>
      <c r="H291" s="84"/>
      <c r="I291" s="81" t="s">
        <v>305</v>
      </c>
    </row>
    <row r="292" spans="1:9" s="76" customFormat="1" ht="13.8" x14ac:dyDescent="0.3">
      <c r="A292" s="84">
        <v>1443</v>
      </c>
      <c r="B292" s="84" t="s">
        <v>583</v>
      </c>
      <c r="C292" s="84" t="s">
        <v>584</v>
      </c>
      <c r="D292" s="81" t="s">
        <v>237</v>
      </c>
      <c r="E292" s="81"/>
      <c r="F292" s="81"/>
      <c r="G292" s="84"/>
      <c r="H292" s="84"/>
      <c r="I292" s="81" t="s">
        <v>305</v>
      </c>
    </row>
    <row r="293" spans="1:9" s="76" customFormat="1" ht="13.8" x14ac:dyDescent="0.3">
      <c r="A293" s="84">
        <v>1444</v>
      </c>
      <c r="B293" s="84" t="s">
        <v>585</v>
      </c>
      <c r="C293" s="84" t="s">
        <v>586</v>
      </c>
      <c r="D293" s="81" t="s">
        <v>237</v>
      </c>
      <c r="E293" s="81"/>
      <c r="F293" s="81"/>
      <c r="G293" s="84"/>
      <c r="H293" s="84"/>
      <c r="I293" s="81" t="s">
        <v>305</v>
      </c>
    </row>
    <row r="294" spans="1:9" s="76" customFormat="1" ht="13.8" x14ac:dyDescent="0.3">
      <c r="A294" s="84">
        <v>1445</v>
      </c>
      <c r="B294" s="84" t="s">
        <v>587</v>
      </c>
      <c r="C294" s="84" t="s">
        <v>588</v>
      </c>
      <c r="D294" s="81" t="s">
        <v>237</v>
      </c>
      <c r="E294" s="84"/>
      <c r="F294" s="81"/>
      <c r="G294" s="84"/>
      <c r="H294" s="84"/>
      <c r="I294" s="81" t="s">
        <v>305</v>
      </c>
    </row>
    <row r="295" spans="1:9" s="75" customFormat="1" ht="13.8" x14ac:dyDescent="0.3">
      <c r="A295" s="84">
        <v>1446</v>
      </c>
      <c r="B295" s="84" t="s">
        <v>589</v>
      </c>
      <c r="C295" s="84" t="s">
        <v>590</v>
      </c>
      <c r="D295" s="81" t="s">
        <v>237</v>
      </c>
      <c r="E295" s="81"/>
      <c r="F295" s="81"/>
      <c r="G295" s="84"/>
      <c r="H295" s="84"/>
      <c r="I295" s="81" t="s">
        <v>305</v>
      </c>
    </row>
    <row r="296" spans="1:9" s="75" customFormat="1" ht="13.8" x14ac:dyDescent="0.3">
      <c r="A296" s="86">
        <v>1447</v>
      </c>
      <c r="B296" s="86" t="s">
        <v>591</v>
      </c>
      <c r="C296" s="86" t="s">
        <v>304</v>
      </c>
      <c r="D296" s="86" t="s">
        <v>231</v>
      </c>
      <c r="E296" s="80" t="s">
        <v>199</v>
      </c>
      <c r="F296" s="86" t="s">
        <v>233</v>
      </c>
      <c r="G296" s="80" t="s">
        <v>283</v>
      </c>
      <c r="H296" s="80" t="s">
        <v>216</v>
      </c>
      <c r="I296" s="80" t="s">
        <v>305</v>
      </c>
    </row>
    <row r="297" spans="1:9" s="75" customFormat="1" ht="13.8" x14ac:dyDescent="0.3">
      <c r="A297" s="86">
        <v>1448</v>
      </c>
      <c r="B297" s="86" t="s">
        <v>592</v>
      </c>
      <c r="C297" s="86" t="s">
        <v>304</v>
      </c>
      <c r="D297" s="86" t="s">
        <v>231</v>
      </c>
      <c r="E297" s="80" t="s">
        <v>199</v>
      </c>
      <c r="F297" s="86" t="s">
        <v>233</v>
      </c>
      <c r="G297" s="80" t="s">
        <v>283</v>
      </c>
      <c r="H297" s="80" t="s">
        <v>216</v>
      </c>
      <c r="I297" s="80" t="s">
        <v>305</v>
      </c>
    </row>
    <row r="298" spans="1:9" s="75" customFormat="1" ht="13.8" x14ac:dyDescent="0.3">
      <c r="A298" s="86">
        <v>1449</v>
      </c>
      <c r="B298" s="86" t="s">
        <v>593</v>
      </c>
      <c r="C298" s="86" t="s">
        <v>304</v>
      </c>
      <c r="D298" s="86" t="s">
        <v>231</v>
      </c>
      <c r="E298" s="80" t="s">
        <v>202</v>
      </c>
      <c r="F298" s="86" t="s">
        <v>233</v>
      </c>
      <c r="G298" s="80" t="s">
        <v>212</v>
      </c>
      <c r="H298" s="80" t="s">
        <v>216</v>
      </c>
      <c r="I298" s="80" t="s">
        <v>305</v>
      </c>
    </row>
    <row r="299" spans="1:9" s="76" customFormat="1" ht="13.8" x14ac:dyDescent="0.3">
      <c r="A299" s="86">
        <v>1450</v>
      </c>
      <c r="B299" s="86" t="s">
        <v>594</v>
      </c>
      <c r="C299" s="86" t="s">
        <v>304</v>
      </c>
      <c r="D299" s="86" t="s">
        <v>231</v>
      </c>
      <c r="E299" s="80" t="s">
        <v>202</v>
      </c>
      <c r="F299" s="86" t="s">
        <v>233</v>
      </c>
      <c r="G299" s="80" t="s">
        <v>212</v>
      </c>
      <c r="H299" s="80" t="s">
        <v>216</v>
      </c>
      <c r="I299" s="80" t="s">
        <v>305</v>
      </c>
    </row>
    <row r="300" spans="1:9" s="75" customFormat="1" ht="13.8" x14ac:dyDescent="0.3">
      <c r="A300" s="84">
        <v>1451</v>
      </c>
      <c r="B300" s="84" t="s">
        <v>595</v>
      </c>
      <c r="C300" s="84" t="s">
        <v>596</v>
      </c>
      <c r="D300" s="81" t="s">
        <v>237</v>
      </c>
      <c r="E300" s="81"/>
      <c r="F300" s="81"/>
      <c r="G300" s="84"/>
      <c r="H300" s="84"/>
      <c r="I300" s="81" t="s">
        <v>305</v>
      </c>
    </row>
    <row r="301" spans="1:9" s="75" customFormat="1" ht="13.8" x14ac:dyDescent="0.3">
      <c r="A301" s="86">
        <v>1452</v>
      </c>
      <c r="B301" s="86" t="s">
        <v>597</v>
      </c>
      <c r="C301" s="86" t="s">
        <v>304</v>
      </c>
      <c r="D301" s="86" t="s">
        <v>231</v>
      </c>
      <c r="E301" s="80" t="s">
        <v>201</v>
      </c>
      <c r="F301" s="86" t="s">
        <v>233</v>
      </c>
      <c r="G301" s="80" t="s">
        <v>222</v>
      </c>
      <c r="H301" s="80" t="s">
        <v>216</v>
      </c>
      <c r="I301" s="80" t="s">
        <v>305</v>
      </c>
    </row>
    <row r="302" spans="1:9" s="76" customFormat="1" ht="13.8" x14ac:dyDescent="0.3">
      <c r="A302" s="86">
        <v>1453</v>
      </c>
      <c r="B302" s="86" t="s">
        <v>598</v>
      </c>
      <c r="C302" s="86" t="s">
        <v>304</v>
      </c>
      <c r="D302" s="86" t="s">
        <v>231</v>
      </c>
      <c r="E302" s="80" t="s">
        <v>201</v>
      </c>
      <c r="F302" s="86" t="s">
        <v>233</v>
      </c>
      <c r="G302" s="80" t="s">
        <v>222</v>
      </c>
      <c r="H302" s="80" t="s">
        <v>216</v>
      </c>
      <c r="I302" s="80" t="s">
        <v>305</v>
      </c>
    </row>
    <row r="303" spans="1:9" s="75" customFormat="1" ht="13.8" x14ac:dyDescent="0.3">
      <c r="A303" s="84">
        <v>1454</v>
      </c>
      <c r="B303" s="84" t="s">
        <v>599</v>
      </c>
      <c r="C303" s="84" t="s">
        <v>334</v>
      </c>
      <c r="D303" s="81" t="s">
        <v>237</v>
      </c>
      <c r="E303" s="81"/>
      <c r="F303" s="81"/>
      <c r="G303" s="84"/>
      <c r="H303" s="84"/>
      <c r="I303" s="81" t="s">
        <v>305</v>
      </c>
    </row>
    <row r="304" spans="1:9" s="76" customFormat="1" ht="13.8" x14ac:dyDescent="0.3">
      <c r="A304" s="86">
        <v>1455</v>
      </c>
      <c r="B304" s="86" t="s">
        <v>600</v>
      </c>
      <c r="C304" s="86" t="s">
        <v>60</v>
      </c>
      <c r="D304" s="86" t="s">
        <v>231</v>
      </c>
      <c r="E304" s="80" t="s">
        <v>202</v>
      </c>
      <c r="F304" s="80" t="s">
        <v>373</v>
      </c>
      <c r="G304" s="86" t="s">
        <v>215</v>
      </c>
      <c r="H304" s="80" t="s">
        <v>213</v>
      </c>
      <c r="I304" s="80" t="s">
        <v>305</v>
      </c>
    </row>
    <row r="305" spans="1:9" s="76" customFormat="1" ht="13.8" x14ac:dyDescent="0.3">
      <c r="A305" s="84">
        <v>1456</v>
      </c>
      <c r="B305" s="84" t="s">
        <v>601</v>
      </c>
      <c r="C305" s="84" t="s">
        <v>596</v>
      </c>
      <c r="D305" s="81" t="s">
        <v>237</v>
      </c>
      <c r="E305" s="81"/>
      <c r="F305" s="81"/>
      <c r="G305" s="84"/>
      <c r="H305" s="84"/>
      <c r="I305" s="81" t="s">
        <v>305</v>
      </c>
    </row>
    <row r="306" spans="1:9" s="75" customFormat="1" ht="13.8" x14ac:dyDescent="0.3">
      <c r="A306" s="84">
        <v>1457</v>
      </c>
      <c r="B306" s="84" t="s">
        <v>602</v>
      </c>
      <c r="C306" s="84" t="s">
        <v>603</v>
      </c>
      <c r="D306" s="81" t="s">
        <v>237</v>
      </c>
      <c r="E306" s="81"/>
      <c r="F306" s="81"/>
      <c r="G306" s="84"/>
      <c r="H306" s="84"/>
      <c r="I306" s="81" t="s">
        <v>305</v>
      </c>
    </row>
    <row r="307" spans="1:9" s="76" customFormat="1" ht="13.8" x14ac:dyDescent="0.3">
      <c r="A307" s="86">
        <v>1458</v>
      </c>
      <c r="B307" s="86" t="s">
        <v>604</v>
      </c>
      <c r="C307" s="80" t="s">
        <v>20</v>
      </c>
      <c r="D307" s="80" t="s">
        <v>231</v>
      </c>
      <c r="E307" s="80" t="s">
        <v>201</v>
      </c>
      <c r="F307" s="80" t="s">
        <v>376</v>
      </c>
      <c r="G307" s="80" t="s">
        <v>193</v>
      </c>
      <c r="H307" s="80" t="s">
        <v>207</v>
      </c>
      <c r="I307" s="80" t="s">
        <v>305</v>
      </c>
    </row>
    <row r="308" spans="1:9" s="76" customFormat="1" ht="13.8" x14ac:dyDescent="0.3">
      <c r="A308" s="84">
        <v>1459</v>
      </c>
      <c r="B308" s="84" t="s">
        <v>605</v>
      </c>
      <c r="C308" s="84" t="s">
        <v>606</v>
      </c>
      <c r="D308" s="81" t="s">
        <v>237</v>
      </c>
      <c r="E308" s="81"/>
      <c r="F308" s="81"/>
      <c r="G308" s="84"/>
      <c r="H308" s="84"/>
      <c r="I308" s="81" t="s">
        <v>305</v>
      </c>
    </row>
    <row r="309" spans="1:9" s="19" customFormat="1" x14ac:dyDescent="0.3">
      <c r="A309" s="84">
        <v>1460</v>
      </c>
      <c r="B309" s="84" t="s">
        <v>607</v>
      </c>
      <c r="C309" s="84" t="s">
        <v>170</v>
      </c>
      <c r="D309" s="81" t="s">
        <v>237</v>
      </c>
      <c r="E309" s="81"/>
      <c r="F309" s="81"/>
      <c r="G309" s="81"/>
      <c r="H309" s="84"/>
      <c r="I309" s="81" t="s">
        <v>305</v>
      </c>
    </row>
    <row r="310" spans="1:9" s="75" customFormat="1" ht="13.8" x14ac:dyDescent="0.3">
      <c r="A310" s="84">
        <v>1461</v>
      </c>
      <c r="B310" s="84" t="s">
        <v>608</v>
      </c>
      <c r="C310" s="84" t="s">
        <v>609</v>
      </c>
      <c r="D310" s="80" t="s">
        <v>237</v>
      </c>
      <c r="E310" s="80"/>
      <c r="F310" s="80"/>
      <c r="G310" s="81"/>
      <c r="H310" s="80"/>
      <c r="I310" s="80" t="s">
        <v>305</v>
      </c>
    </row>
    <row r="311" spans="1:9" s="19" customFormat="1" x14ac:dyDescent="0.3">
      <c r="A311" s="86">
        <v>1462</v>
      </c>
      <c r="B311" s="86" t="s">
        <v>610</v>
      </c>
      <c r="C311" s="86" t="s">
        <v>169</v>
      </c>
      <c r="D311" s="86" t="s">
        <v>231</v>
      </c>
      <c r="E311" s="80" t="s">
        <v>202</v>
      </c>
      <c r="F311" s="80" t="s">
        <v>328</v>
      </c>
      <c r="G311" s="80" t="s">
        <v>212</v>
      </c>
      <c r="H311" s="80" t="s">
        <v>207</v>
      </c>
      <c r="I311" s="80" t="s">
        <v>305</v>
      </c>
    </row>
    <row r="312" spans="1:9" s="19" customFormat="1" x14ac:dyDescent="0.3">
      <c r="A312" s="84">
        <v>1463</v>
      </c>
      <c r="B312" s="84" t="s">
        <v>611</v>
      </c>
      <c r="C312" s="84" t="s">
        <v>609</v>
      </c>
      <c r="D312" s="80" t="s">
        <v>237</v>
      </c>
      <c r="E312" s="80"/>
      <c r="F312" s="80"/>
      <c r="G312" s="81"/>
      <c r="H312" s="80"/>
      <c r="I312" s="80" t="s">
        <v>305</v>
      </c>
    </row>
    <row r="313" spans="1:9" s="77" customFormat="1" x14ac:dyDescent="0.3">
      <c r="A313" s="84">
        <v>1464</v>
      </c>
      <c r="B313" s="84" t="s">
        <v>612</v>
      </c>
      <c r="C313" s="84" t="s">
        <v>609</v>
      </c>
      <c r="D313" s="80" t="s">
        <v>237</v>
      </c>
      <c r="E313" s="80"/>
      <c r="F313" s="80"/>
      <c r="G313" s="81"/>
      <c r="H313" s="80"/>
      <c r="I313" s="80" t="s">
        <v>305</v>
      </c>
    </row>
    <row r="314" spans="1:9" s="75" customFormat="1" ht="13.8" x14ac:dyDescent="0.3">
      <c r="A314" s="84">
        <v>1465</v>
      </c>
      <c r="B314" s="84" t="s">
        <v>613</v>
      </c>
      <c r="C314" s="81" t="s">
        <v>609</v>
      </c>
      <c r="D314" s="81" t="s">
        <v>237</v>
      </c>
      <c r="E314" s="81" t="s">
        <v>199</v>
      </c>
      <c r="F314" s="81" t="s">
        <v>376</v>
      </c>
      <c r="G314" s="81" t="s">
        <v>193</v>
      </c>
      <c r="H314" s="81" t="s">
        <v>207</v>
      </c>
      <c r="I314" s="81" t="s">
        <v>305</v>
      </c>
    </row>
    <row r="315" spans="1:9" s="19" customFormat="1" x14ac:dyDescent="0.3">
      <c r="A315" s="86">
        <v>1466</v>
      </c>
      <c r="B315" s="86" t="s">
        <v>614</v>
      </c>
      <c r="C315" s="80" t="s">
        <v>20</v>
      </c>
      <c r="D315" s="80" t="s">
        <v>231</v>
      </c>
      <c r="E315" s="80" t="s">
        <v>201</v>
      </c>
      <c r="F315" s="80" t="s">
        <v>376</v>
      </c>
      <c r="G315" s="80" t="s">
        <v>193</v>
      </c>
      <c r="H315" s="80" t="s">
        <v>207</v>
      </c>
      <c r="I315" s="80" t="s">
        <v>305</v>
      </c>
    </row>
    <row r="316" spans="1:9" s="76" customFormat="1" ht="13.8" x14ac:dyDescent="0.3">
      <c r="A316" s="84">
        <v>1467</v>
      </c>
      <c r="B316" s="84" t="s">
        <v>615</v>
      </c>
      <c r="C316" s="84" t="s">
        <v>616</v>
      </c>
      <c r="D316" s="80" t="s">
        <v>237</v>
      </c>
      <c r="E316" s="80"/>
      <c r="F316" s="80"/>
      <c r="G316" s="81"/>
      <c r="H316" s="80"/>
      <c r="I316" s="80" t="s">
        <v>305</v>
      </c>
    </row>
    <row r="317" spans="1:9" s="75" customFormat="1" ht="13.8" x14ac:dyDescent="0.3">
      <c r="A317" s="84">
        <v>1468</v>
      </c>
      <c r="B317" s="84" t="s">
        <v>617</v>
      </c>
      <c r="C317" s="84" t="s">
        <v>170</v>
      </c>
      <c r="D317" s="81" t="s">
        <v>237</v>
      </c>
      <c r="E317" s="81" t="s">
        <v>201</v>
      </c>
      <c r="F317" s="81" t="s">
        <v>373</v>
      </c>
      <c r="G317" s="84"/>
      <c r="H317" s="84"/>
      <c r="I317" s="81" t="s">
        <v>305</v>
      </c>
    </row>
    <row r="318" spans="1:9" s="75" customFormat="1" ht="13.8" x14ac:dyDescent="0.3">
      <c r="A318" s="86">
        <v>1469</v>
      </c>
      <c r="B318" s="86" t="s">
        <v>618</v>
      </c>
      <c r="C318" s="86" t="s">
        <v>619</v>
      </c>
      <c r="D318" s="86" t="s">
        <v>231</v>
      </c>
      <c r="E318" s="80" t="s">
        <v>202</v>
      </c>
      <c r="F318" s="80" t="s">
        <v>340</v>
      </c>
      <c r="G318" s="80" t="s">
        <v>212</v>
      </c>
      <c r="H318" s="80" t="s">
        <v>216</v>
      </c>
      <c r="I318" s="80" t="s">
        <v>305</v>
      </c>
    </row>
    <row r="319" spans="1:9" s="75" customFormat="1" ht="13.8" x14ac:dyDescent="0.3">
      <c r="A319" s="86">
        <v>1470</v>
      </c>
      <c r="B319" s="86" t="s">
        <v>620</v>
      </c>
      <c r="C319" s="86" t="s">
        <v>175</v>
      </c>
      <c r="D319" s="86" t="s">
        <v>231</v>
      </c>
      <c r="E319" s="80" t="s">
        <v>202</v>
      </c>
      <c r="F319" s="80" t="s">
        <v>373</v>
      </c>
      <c r="G319" s="86" t="s">
        <v>215</v>
      </c>
      <c r="H319" s="80" t="s">
        <v>213</v>
      </c>
      <c r="I319" s="80" t="s">
        <v>305</v>
      </c>
    </row>
    <row r="320" spans="1:9" s="75" customFormat="1" ht="13.8" x14ac:dyDescent="0.3">
      <c r="A320" s="86">
        <v>1471</v>
      </c>
      <c r="B320" s="86" t="s">
        <v>621</v>
      </c>
      <c r="C320" s="86" t="s">
        <v>304</v>
      </c>
      <c r="D320" s="86" t="s">
        <v>231</v>
      </c>
      <c r="E320" s="80" t="s">
        <v>202</v>
      </c>
      <c r="F320" s="86" t="s">
        <v>233</v>
      </c>
      <c r="G320" s="80" t="s">
        <v>212</v>
      </c>
      <c r="H320" s="80" t="s">
        <v>216</v>
      </c>
      <c r="I320" s="80" t="s">
        <v>305</v>
      </c>
    </row>
    <row r="321" spans="1:9" s="75" customFormat="1" ht="13.8" x14ac:dyDescent="0.3">
      <c r="A321" s="86">
        <v>1472</v>
      </c>
      <c r="B321" s="86" t="s">
        <v>622</v>
      </c>
      <c r="C321" s="86" t="s">
        <v>41</v>
      </c>
      <c r="D321" s="86" t="s">
        <v>231</v>
      </c>
      <c r="E321" s="80" t="s">
        <v>201</v>
      </c>
      <c r="F321" s="80" t="s">
        <v>376</v>
      </c>
      <c r="G321" s="80" t="s">
        <v>71</v>
      </c>
      <c r="H321" s="80" t="s">
        <v>203</v>
      </c>
      <c r="I321" s="80" t="s">
        <v>305</v>
      </c>
    </row>
    <row r="322" spans="1:9" s="75" customFormat="1" ht="13.8" x14ac:dyDescent="0.3">
      <c r="A322" s="86">
        <v>1473</v>
      </c>
      <c r="B322" s="86" t="s">
        <v>623</v>
      </c>
      <c r="C322" s="86" t="s">
        <v>208</v>
      </c>
      <c r="D322" s="86" t="s">
        <v>231</v>
      </c>
      <c r="E322" s="80" t="s">
        <v>202</v>
      </c>
      <c r="F322" s="80" t="s">
        <v>340</v>
      </c>
      <c r="G322" s="86" t="s">
        <v>215</v>
      </c>
      <c r="H322" s="80" t="s">
        <v>213</v>
      </c>
      <c r="I322" s="80" t="s">
        <v>305</v>
      </c>
    </row>
    <row r="323" spans="1:9" s="75" customFormat="1" ht="13.8" x14ac:dyDescent="0.3">
      <c r="A323" s="86">
        <v>1474</v>
      </c>
      <c r="B323" s="86" t="s">
        <v>624</v>
      </c>
      <c r="C323" s="80" t="s">
        <v>196</v>
      </c>
      <c r="D323" s="80" t="s">
        <v>231</v>
      </c>
      <c r="E323" s="80" t="s">
        <v>202</v>
      </c>
      <c r="F323" s="80" t="s">
        <v>376</v>
      </c>
      <c r="G323" s="80" t="s">
        <v>71</v>
      </c>
      <c r="H323" s="80" t="s">
        <v>203</v>
      </c>
      <c r="I323" s="80" t="s">
        <v>305</v>
      </c>
    </row>
    <row r="324" spans="1:9" s="75" customFormat="1" ht="13.8" x14ac:dyDescent="0.3">
      <c r="A324" s="86">
        <v>1475</v>
      </c>
      <c r="B324" s="86" t="s">
        <v>625</v>
      </c>
      <c r="C324" s="86" t="s">
        <v>95</v>
      </c>
      <c r="D324" s="86" t="s">
        <v>231</v>
      </c>
      <c r="E324" s="80" t="s">
        <v>199</v>
      </c>
      <c r="F324" s="80" t="s">
        <v>340</v>
      </c>
      <c r="G324" s="86" t="s">
        <v>204</v>
      </c>
      <c r="H324" s="80" t="s">
        <v>217</v>
      </c>
      <c r="I324" s="80" t="s">
        <v>305</v>
      </c>
    </row>
    <row r="325" spans="1:9" s="75" customFormat="1" ht="13.8" x14ac:dyDescent="0.3">
      <c r="A325" s="86">
        <v>1476</v>
      </c>
      <c r="B325" s="86" t="s">
        <v>626</v>
      </c>
      <c r="C325" s="86" t="s">
        <v>46</v>
      </c>
      <c r="D325" s="86" t="s">
        <v>231</v>
      </c>
      <c r="E325" s="80" t="s">
        <v>202</v>
      </c>
      <c r="F325" s="80" t="s">
        <v>340</v>
      </c>
      <c r="G325" s="86" t="s">
        <v>215</v>
      </c>
      <c r="H325" s="80" t="s">
        <v>213</v>
      </c>
      <c r="I325" s="80" t="s">
        <v>305</v>
      </c>
    </row>
    <row r="326" spans="1:9" s="75" customFormat="1" ht="13.8" x14ac:dyDescent="0.3">
      <c r="A326" s="86">
        <v>1477</v>
      </c>
      <c r="B326" s="86" t="s">
        <v>627</v>
      </c>
      <c r="C326" s="86" t="s">
        <v>304</v>
      </c>
      <c r="D326" s="86" t="s">
        <v>231</v>
      </c>
      <c r="E326" s="80" t="s">
        <v>201</v>
      </c>
      <c r="F326" s="86" t="s">
        <v>233</v>
      </c>
      <c r="G326" s="80" t="s">
        <v>222</v>
      </c>
      <c r="H326" s="80" t="s">
        <v>216</v>
      </c>
      <c r="I326" s="80" t="s">
        <v>305</v>
      </c>
    </row>
    <row r="327" spans="1:9" s="75" customFormat="1" ht="13.8" x14ac:dyDescent="0.3">
      <c r="A327" s="86">
        <v>1478</v>
      </c>
      <c r="B327" s="86" t="s">
        <v>628</v>
      </c>
      <c r="C327" s="80" t="s">
        <v>198</v>
      </c>
      <c r="D327" s="80" t="s">
        <v>231</v>
      </c>
      <c r="E327" s="80" t="s">
        <v>199</v>
      </c>
      <c r="F327" s="80" t="s">
        <v>376</v>
      </c>
      <c r="G327" s="80" t="s">
        <v>71</v>
      </c>
      <c r="H327" s="80" t="s">
        <v>203</v>
      </c>
      <c r="I327" s="80" t="s">
        <v>305</v>
      </c>
    </row>
    <row r="328" spans="1:9" s="75" customFormat="1" ht="13.8" x14ac:dyDescent="0.3">
      <c r="A328" s="86">
        <v>1479</v>
      </c>
      <c r="B328" s="86" t="s">
        <v>629</v>
      </c>
      <c r="C328" s="86" t="s">
        <v>165</v>
      </c>
      <c r="D328" s="86" t="s">
        <v>231</v>
      </c>
      <c r="E328" s="80" t="s">
        <v>201</v>
      </c>
      <c r="F328" s="80" t="s">
        <v>376</v>
      </c>
      <c r="G328" s="80" t="s">
        <v>193</v>
      </c>
      <c r="H328" s="80" t="s">
        <v>207</v>
      </c>
      <c r="I328" s="80" t="s">
        <v>305</v>
      </c>
    </row>
    <row r="329" spans="1:9" s="75" customFormat="1" ht="13.8" x14ac:dyDescent="0.3">
      <c r="A329" s="86">
        <v>1480</v>
      </c>
      <c r="B329" s="86" t="s">
        <v>630</v>
      </c>
      <c r="C329" s="80" t="s">
        <v>184</v>
      </c>
      <c r="D329" s="80" t="s">
        <v>231</v>
      </c>
      <c r="E329" s="80" t="s">
        <v>199</v>
      </c>
      <c r="F329" s="80" t="s">
        <v>376</v>
      </c>
      <c r="G329" s="80" t="s">
        <v>193</v>
      </c>
      <c r="H329" s="80" t="s">
        <v>207</v>
      </c>
      <c r="I329" s="80" t="s">
        <v>305</v>
      </c>
    </row>
    <row r="330" spans="1:9" s="75" customFormat="1" ht="13.8" x14ac:dyDescent="0.3">
      <c r="A330" s="86">
        <v>1481</v>
      </c>
      <c r="B330" s="86" t="s">
        <v>631</v>
      </c>
      <c r="C330" s="86" t="s">
        <v>141</v>
      </c>
      <c r="D330" s="86" t="s">
        <v>231</v>
      </c>
      <c r="E330" s="80" t="s">
        <v>199</v>
      </c>
      <c r="F330" s="80" t="s">
        <v>376</v>
      </c>
      <c r="G330" s="80" t="s">
        <v>193</v>
      </c>
      <c r="H330" s="80" t="s">
        <v>207</v>
      </c>
      <c r="I330" s="80" t="s">
        <v>305</v>
      </c>
    </row>
    <row r="331" spans="1:9" s="75" customFormat="1" ht="13.8" x14ac:dyDescent="0.3">
      <c r="A331" s="86">
        <v>1482</v>
      </c>
      <c r="B331" s="86" t="s">
        <v>632</v>
      </c>
      <c r="C331" s="80" t="s">
        <v>34</v>
      </c>
      <c r="D331" s="86" t="s">
        <v>231</v>
      </c>
      <c r="E331" s="80" t="s">
        <v>202</v>
      </c>
      <c r="F331" s="80" t="s">
        <v>328</v>
      </c>
      <c r="G331" s="86" t="s">
        <v>84</v>
      </c>
      <c r="H331" s="80" t="s">
        <v>207</v>
      </c>
      <c r="I331" s="80" t="s">
        <v>305</v>
      </c>
    </row>
    <row r="332" spans="1:9" s="75" customFormat="1" ht="13.8" x14ac:dyDescent="0.3">
      <c r="A332" s="86">
        <v>1483</v>
      </c>
      <c r="B332" s="86" t="s">
        <v>633</v>
      </c>
      <c r="C332" s="86" t="s">
        <v>178</v>
      </c>
      <c r="D332" s="86" t="s">
        <v>231</v>
      </c>
      <c r="E332" s="80" t="s">
        <v>202</v>
      </c>
      <c r="F332" s="80" t="s">
        <v>373</v>
      </c>
      <c r="G332" s="86" t="s">
        <v>193</v>
      </c>
      <c r="H332" s="80" t="s">
        <v>207</v>
      </c>
      <c r="I332" s="80" t="s">
        <v>305</v>
      </c>
    </row>
    <row r="333" spans="1:9" s="75" customFormat="1" ht="13.8" x14ac:dyDescent="0.3">
      <c r="A333" s="86">
        <v>1533</v>
      </c>
      <c r="B333" s="86" t="s">
        <v>863</v>
      </c>
      <c r="C333" s="86" t="s">
        <v>178</v>
      </c>
      <c r="D333" s="86" t="s">
        <v>231</v>
      </c>
      <c r="E333" s="80" t="s">
        <v>202</v>
      </c>
      <c r="F333" s="80" t="s">
        <v>373</v>
      </c>
      <c r="G333" s="86" t="s">
        <v>193</v>
      </c>
      <c r="H333" s="80" t="s">
        <v>207</v>
      </c>
      <c r="I333" s="80" t="s">
        <v>305</v>
      </c>
    </row>
    <row r="334" spans="1:9" s="75" customFormat="1" ht="13.8" x14ac:dyDescent="0.3">
      <c r="A334" s="86">
        <v>1484</v>
      </c>
      <c r="B334" s="86" t="s">
        <v>634</v>
      </c>
      <c r="C334" s="80" t="s">
        <v>200</v>
      </c>
      <c r="D334" s="80" t="s">
        <v>231</v>
      </c>
      <c r="E334" s="80" t="s">
        <v>201</v>
      </c>
      <c r="F334" s="80" t="s">
        <v>376</v>
      </c>
      <c r="G334" s="80" t="s">
        <v>71</v>
      </c>
      <c r="H334" s="80" t="s">
        <v>203</v>
      </c>
      <c r="I334" s="80" t="s">
        <v>305</v>
      </c>
    </row>
    <row r="335" spans="1:9" s="75" customFormat="1" ht="13.8" x14ac:dyDescent="0.3">
      <c r="A335" s="86">
        <v>1485</v>
      </c>
      <c r="B335" s="86" t="s">
        <v>635</v>
      </c>
      <c r="C335" s="80" t="s">
        <v>43</v>
      </c>
      <c r="D335" s="86" t="s">
        <v>231</v>
      </c>
      <c r="E335" s="80" t="s">
        <v>199</v>
      </c>
      <c r="F335" s="80" t="s">
        <v>376</v>
      </c>
      <c r="G335" s="80" t="s">
        <v>193</v>
      </c>
      <c r="H335" s="80" t="s">
        <v>207</v>
      </c>
      <c r="I335" s="80" t="s">
        <v>305</v>
      </c>
    </row>
    <row r="336" spans="1:9" s="75" customFormat="1" ht="13.8" x14ac:dyDescent="0.3">
      <c r="A336" s="86">
        <v>1486</v>
      </c>
      <c r="B336" s="86" t="s">
        <v>636</v>
      </c>
      <c r="C336" s="80" t="s">
        <v>43</v>
      </c>
      <c r="D336" s="86" t="s">
        <v>231</v>
      </c>
      <c r="E336" s="80" t="s">
        <v>202</v>
      </c>
      <c r="F336" s="80" t="s">
        <v>376</v>
      </c>
      <c r="G336" s="80" t="s">
        <v>193</v>
      </c>
      <c r="H336" s="80" t="s">
        <v>207</v>
      </c>
      <c r="I336" s="80" t="s">
        <v>305</v>
      </c>
    </row>
    <row r="337" spans="1:9" s="75" customFormat="1" ht="13.8" x14ac:dyDescent="0.3">
      <c r="A337" s="86">
        <v>1487</v>
      </c>
      <c r="B337" s="86" t="s">
        <v>637</v>
      </c>
      <c r="C337" s="80" t="s">
        <v>43</v>
      </c>
      <c r="D337" s="86" t="s">
        <v>231</v>
      </c>
      <c r="E337" s="80" t="s">
        <v>201</v>
      </c>
      <c r="F337" s="80" t="s">
        <v>376</v>
      </c>
      <c r="G337" s="80" t="s">
        <v>193</v>
      </c>
      <c r="H337" s="80" t="s">
        <v>207</v>
      </c>
      <c r="I337" s="80" t="s">
        <v>305</v>
      </c>
    </row>
    <row r="338" spans="1:9" s="75" customFormat="1" ht="13.8" x14ac:dyDescent="0.3">
      <c r="A338" s="86">
        <v>1488</v>
      </c>
      <c r="B338" s="86" t="s">
        <v>638</v>
      </c>
      <c r="C338" s="86" t="s">
        <v>304</v>
      </c>
      <c r="D338" s="86" t="s">
        <v>231</v>
      </c>
      <c r="E338" s="80" t="s">
        <v>201</v>
      </c>
      <c r="F338" s="86" t="s">
        <v>233</v>
      </c>
      <c r="G338" s="80" t="s">
        <v>222</v>
      </c>
      <c r="H338" s="80" t="s">
        <v>216</v>
      </c>
      <c r="I338" s="80" t="s">
        <v>305</v>
      </c>
    </row>
    <row r="339" spans="1:9" s="75" customFormat="1" ht="13.8" x14ac:dyDescent="0.3">
      <c r="A339" s="86">
        <v>1489</v>
      </c>
      <c r="B339" s="86" t="s">
        <v>639</v>
      </c>
      <c r="C339" s="80" t="s">
        <v>42</v>
      </c>
      <c r="D339" s="80" t="s">
        <v>231</v>
      </c>
      <c r="E339" s="80" t="s">
        <v>201</v>
      </c>
      <c r="F339" s="80" t="s">
        <v>376</v>
      </c>
      <c r="G339" s="80" t="s">
        <v>193</v>
      </c>
      <c r="H339" s="80" t="s">
        <v>207</v>
      </c>
      <c r="I339" s="80" t="s">
        <v>305</v>
      </c>
    </row>
    <row r="340" spans="1:9" s="75" customFormat="1" ht="13.8" x14ac:dyDescent="0.3">
      <c r="A340" s="86">
        <v>1490</v>
      </c>
      <c r="B340" s="86" t="s">
        <v>640</v>
      </c>
      <c r="C340" s="86" t="s">
        <v>40</v>
      </c>
      <c r="D340" s="86" t="s">
        <v>231</v>
      </c>
      <c r="E340" s="80" t="s">
        <v>202</v>
      </c>
      <c r="F340" s="80" t="s">
        <v>328</v>
      </c>
      <c r="G340" s="86" t="s">
        <v>215</v>
      </c>
      <c r="H340" s="80" t="s">
        <v>213</v>
      </c>
      <c r="I340" s="80" t="s">
        <v>305</v>
      </c>
    </row>
    <row r="341" spans="1:9" s="75" customFormat="1" ht="13.8" x14ac:dyDescent="0.3">
      <c r="A341" s="84">
        <v>1491</v>
      </c>
      <c r="B341" s="84" t="s">
        <v>641</v>
      </c>
      <c r="C341" s="81" t="s">
        <v>220</v>
      </c>
      <c r="D341" s="81" t="s">
        <v>237</v>
      </c>
      <c r="E341" s="81" t="s">
        <v>199</v>
      </c>
      <c r="F341" s="81" t="s">
        <v>376</v>
      </c>
      <c r="G341" s="81" t="s">
        <v>193</v>
      </c>
      <c r="H341" s="81" t="s">
        <v>207</v>
      </c>
      <c r="I341" s="81" t="s">
        <v>305</v>
      </c>
    </row>
    <row r="342" spans="1:9" s="75" customFormat="1" ht="13.8" x14ac:dyDescent="0.3">
      <c r="A342" s="86">
        <v>1492</v>
      </c>
      <c r="B342" s="86" t="s">
        <v>642</v>
      </c>
      <c r="C342" s="86" t="s">
        <v>304</v>
      </c>
      <c r="D342" s="86" t="s">
        <v>231</v>
      </c>
      <c r="E342" s="80" t="s">
        <v>199</v>
      </c>
      <c r="F342" s="86" t="s">
        <v>233</v>
      </c>
      <c r="G342" s="86" t="s">
        <v>643</v>
      </c>
      <c r="H342" s="80" t="s">
        <v>216</v>
      </c>
      <c r="I342" s="80" t="s">
        <v>305</v>
      </c>
    </row>
    <row r="343" spans="1:9" s="75" customFormat="1" ht="13.8" x14ac:dyDescent="0.3">
      <c r="A343" s="86">
        <v>1493</v>
      </c>
      <c r="B343" s="86" t="s">
        <v>644</v>
      </c>
      <c r="C343" s="86" t="s">
        <v>141</v>
      </c>
      <c r="D343" s="86" t="s">
        <v>231</v>
      </c>
      <c r="E343" s="80" t="s">
        <v>202</v>
      </c>
      <c r="F343" s="80" t="s">
        <v>376</v>
      </c>
      <c r="G343" s="80" t="s">
        <v>193</v>
      </c>
      <c r="H343" s="80" t="s">
        <v>207</v>
      </c>
      <c r="I343" s="80" t="s">
        <v>305</v>
      </c>
    </row>
    <row r="344" spans="1:9" s="75" customFormat="1" ht="13.8" x14ac:dyDescent="0.3">
      <c r="A344" s="86">
        <v>1494</v>
      </c>
      <c r="B344" s="86" t="s">
        <v>645</v>
      </c>
      <c r="C344" s="86" t="s">
        <v>141</v>
      </c>
      <c r="D344" s="86" t="s">
        <v>231</v>
      </c>
      <c r="E344" s="80" t="s">
        <v>201</v>
      </c>
      <c r="F344" s="80" t="s">
        <v>376</v>
      </c>
      <c r="G344" s="80" t="s">
        <v>193</v>
      </c>
      <c r="H344" s="80" t="s">
        <v>207</v>
      </c>
      <c r="I344" s="80" t="s">
        <v>305</v>
      </c>
    </row>
    <row r="345" spans="1:9" s="75" customFormat="1" ht="13.8" x14ac:dyDescent="0.3">
      <c r="A345" s="86">
        <v>1495</v>
      </c>
      <c r="B345" s="86" t="s">
        <v>646</v>
      </c>
      <c r="C345" s="86" t="s">
        <v>304</v>
      </c>
      <c r="D345" s="86" t="s">
        <v>231</v>
      </c>
      <c r="E345" s="80" t="s">
        <v>201</v>
      </c>
      <c r="F345" s="86" t="s">
        <v>233</v>
      </c>
      <c r="G345" s="80" t="s">
        <v>222</v>
      </c>
      <c r="H345" s="80" t="s">
        <v>216</v>
      </c>
      <c r="I345" s="80" t="s">
        <v>305</v>
      </c>
    </row>
    <row r="346" spans="1:9" s="75" customFormat="1" ht="13.8" x14ac:dyDescent="0.3">
      <c r="A346" s="86">
        <v>1496</v>
      </c>
      <c r="B346" s="86" t="s">
        <v>647</v>
      </c>
      <c r="C346" s="80" t="s">
        <v>20</v>
      </c>
      <c r="D346" s="80" t="s">
        <v>231</v>
      </c>
      <c r="E346" s="80" t="s">
        <v>201</v>
      </c>
      <c r="F346" s="80" t="s">
        <v>376</v>
      </c>
      <c r="G346" s="80" t="s">
        <v>193</v>
      </c>
      <c r="H346" s="80" t="s">
        <v>207</v>
      </c>
      <c r="I346" s="80" t="s">
        <v>305</v>
      </c>
    </row>
    <row r="347" spans="1:9" s="75" customFormat="1" ht="13.8" x14ac:dyDescent="0.3">
      <c r="A347" s="86">
        <v>1497</v>
      </c>
      <c r="B347" s="86" t="s">
        <v>648</v>
      </c>
      <c r="C347" s="86" t="s">
        <v>60</v>
      </c>
      <c r="D347" s="86" t="s">
        <v>231</v>
      </c>
      <c r="E347" s="80" t="s">
        <v>202</v>
      </c>
      <c r="F347" s="80" t="s">
        <v>373</v>
      </c>
      <c r="G347" s="86" t="s">
        <v>215</v>
      </c>
      <c r="H347" s="80" t="s">
        <v>213</v>
      </c>
      <c r="I347" s="80" t="s">
        <v>305</v>
      </c>
    </row>
    <row r="348" spans="1:9" s="75" customFormat="1" ht="13.8" x14ac:dyDescent="0.3">
      <c r="A348" s="86">
        <v>1498</v>
      </c>
      <c r="B348" s="86" t="s">
        <v>649</v>
      </c>
      <c r="C348" s="80" t="s">
        <v>219</v>
      </c>
      <c r="D348" s="80" t="s">
        <v>231</v>
      </c>
      <c r="E348" s="80" t="s">
        <v>199</v>
      </c>
      <c r="F348" s="80" t="s">
        <v>376</v>
      </c>
      <c r="G348" s="80" t="s">
        <v>71</v>
      </c>
      <c r="H348" s="80" t="s">
        <v>203</v>
      </c>
      <c r="I348" s="80" t="s">
        <v>305</v>
      </c>
    </row>
    <row r="349" spans="1:9" s="75" customFormat="1" ht="13.8" x14ac:dyDescent="0.3">
      <c r="A349" s="86">
        <v>1499</v>
      </c>
      <c r="B349" s="86" t="s">
        <v>650</v>
      </c>
      <c r="C349" s="86" t="s">
        <v>109</v>
      </c>
      <c r="D349" s="86" t="s">
        <v>231</v>
      </c>
      <c r="E349" s="80" t="s">
        <v>199</v>
      </c>
      <c r="F349" s="80" t="s">
        <v>373</v>
      </c>
      <c r="G349" s="86" t="s">
        <v>71</v>
      </c>
      <c r="H349" s="80" t="s">
        <v>203</v>
      </c>
      <c r="I349" s="80" t="s">
        <v>305</v>
      </c>
    </row>
    <row r="350" spans="1:9" s="75" customFormat="1" ht="13.8" x14ac:dyDescent="0.3">
      <c r="A350" s="86">
        <v>1500</v>
      </c>
      <c r="B350" s="86" t="s">
        <v>651</v>
      </c>
      <c r="C350" s="80" t="s">
        <v>44</v>
      </c>
      <c r="D350" s="80" t="s">
        <v>231</v>
      </c>
      <c r="E350" s="80" t="s">
        <v>201</v>
      </c>
      <c r="F350" s="80" t="s">
        <v>376</v>
      </c>
      <c r="G350" s="80" t="s">
        <v>71</v>
      </c>
      <c r="H350" s="80" t="s">
        <v>203</v>
      </c>
      <c r="I350" s="80" t="s">
        <v>305</v>
      </c>
    </row>
    <row r="351" spans="1:9" s="75" customFormat="1" ht="13.8" x14ac:dyDescent="0.3">
      <c r="A351" s="86">
        <v>1501</v>
      </c>
      <c r="B351" s="86" t="s">
        <v>186</v>
      </c>
      <c r="C351" s="80" t="s">
        <v>3</v>
      </c>
      <c r="D351" s="80" t="s">
        <v>231</v>
      </c>
      <c r="E351" s="80" t="s">
        <v>202</v>
      </c>
      <c r="F351" s="80" t="s">
        <v>328</v>
      </c>
      <c r="G351" s="80" t="s">
        <v>209</v>
      </c>
      <c r="H351" s="80" t="s">
        <v>203</v>
      </c>
      <c r="I351" s="80" t="s">
        <v>305</v>
      </c>
    </row>
    <row r="352" spans="1:9" s="75" customFormat="1" ht="13.8" x14ac:dyDescent="0.3">
      <c r="A352" s="86">
        <v>1502</v>
      </c>
      <c r="B352" s="86" t="s">
        <v>652</v>
      </c>
      <c r="C352" s="86" t="s">
        <v>45</v>
      </c>
      <c r="D352" s="86" t="s">
        <v>231</v>
      </c>
      <c r="E352" s="80" t="s">
        <v>199</v>
      </c>
      <c r="F352" s="80" t="s">
        <v>376</v>
      </c>
      <c r="G352" s="80" t="s">
        <v>193</v>
      </c>
      <c r="H352" s="80" t="s">
        <v>207</v>
      </c>
      <c r="I352" s="80" t="s">
        <v>305</v>
      </c>
    </row>
    <row r="353" spans="1:12" s="75" customFormat="1" ht="13.8" x14ac:dyDescent="0.3">
      <c r="A353" s="86">
        <v>1503</v>
      </c>
      <c r="B353" s="86" t="s">
        <v>653</v>
      </c>
      <c r="C353" s="80" t="s">
        <v>184</v>
      </c>
      <c r="D353" s="80" t="s">
        <v>231</v>
      </c>
      <c r="E353" s="80" t="s">
        <v>199</v>
      </c>
      <c r="F353" s="80" t="s">
        <v>376</v>
      </c>
      <c r="G353" s="80" t="s">
        <v>193</v>
      </c>
      <c r="H353" s="80" t="s">
        <v>207</v>
      </c>
      <c r="I353" s="80" t="s">
        <v>305</v>
      </c>
    </row>
    <row r="354" spans="1:12" s="75" customFormat="1" ht="13.8" x14ac:dyDescent="0.3">
      <c r="A354" s="86">
        <v>1504</v>
      </c>
      <c r="B354" s="86" t="s">
        <v>654</v>
      </c>
      <c r="C354" s="80" t="s">
        <v>184</v>
      </c>
      <c r="D354" s="80" t="s">
        <v>231</v>
      </c>
      <c r="E354" s="80" t="s">
        <v>199</v>
      </c>
      <c r="F354" s="80" t="s">
        <v>376</v>
      </c>
      <c r="G354" s="80" t="s">
        <v>193</v>
      </c>
      <c r="H354" s="80" t="s">
        <v>207</v>
      </c>
      <c r="I354" s="80" t="s">
        <v>305</v>
      </c>
    </row>
    <row r="355" spans="1:12" s="75" customFormat="1" ht="13.8" x14ac:dyDescent="0.3">
      <c r="A355" s="86">
        <v>1505</v>
      </c>
      <c r="B355" s="86" t="s">
        <v>655</v>
      </c>
      <c r="C355" s="80" t="s">
        <v>184</v>
      </c>
      <c r="D355" s="80" t="s">
        <v>231</v>
      </c>
      <c r="E355" s="80" t="s">
        <v>202</v>
      </c>
      <c r="F355" s="80" t="s">
        <v>376</v>
      </c>
      <c r="G355" s="80" t="s">
        <v>193</v>
      </c>
      <c r="H355" s="80" t="s">
        <v>207</v>
      </c>
      <c r="I355" s="80" t="s">
        <v>305</v>
      </c>
    </row>
    <row r="356" spans="1:12" s="75" customFormat="1" ht="13.8" x14ac:dyDescent="0.3">
      <c r="A356" s="86">
        <v>1506</v>
      </c>
      <c r="B356" s="86" t="s">
        <v>656</v>
      </c>
      <c r="C356" s="80" t="s">
        <v>43</v>
      </c>
      <c r="D356" s="86" t="s">
        <v>231</v>
      </c>
      <c r="E356" s="80" t="s">
        <v>201</v>
      </c>
      <c r="F356" s="80" t="s">
        <v>376</v>
      </c>
      <c r="G356" s="80" t="s">
        <v>193</v>
      </c>
      <c r="H356" s="80" t="s">
        <v>207</v>
      </c>
      <c r="I356" s="80" t="s">
        <v>305</v>
      </c>
    </row>
    <row r="357" spans="1:12" s="75" customFormat="1" ht="13.8" x14ac:dyDescent="0.3">
      <c r="A357" s="86">
        <v>1507</v>
      </c>
      <c r="B357" s="86" t="s">
        <v>657</v>
      </c>
      <c r="C357" s="80" t="s">
        <v>200</v>
      </c>
      <c r="D357" s="80" t="s">
        <v>231</v>
      </c>
      <c r="E357" s="80" t="s">
        <v>199</v>
      </c>
      <c r="F357" s="80" t="s">
        <v>376</v>
      </c>
      <c r="G357" s="80" t="s">
        <v>71</v>
      </c>
      <c r="H357" s="80" t="s">
        <v>203</v>
      </c>
      <c r="I357" s="80" t="s">
        <v>305</v>
      </c>
    </row>
    <row r="358" spans="1:12" s="75" customFormat="1" ht="13.8" x14ac:dyDescent="0.3">
      <c r="A358" s="86">
        <v>1508</v>
      </c>
      <c r="B358" s="86" t="s">
        <v>658</v>
      </c>
      <c r="C358" s="80" t="s">
        <v>200</v>
      </c>
      <c r="D358" s="80" t="s">
        <v>231</v>
      </c>
      <c r="E358" s="80" t="s">
        <v>201</v>
      </c>
      <c r="F358" s="80" t="s">
        <v>376</v>
      </c>
      <c r="G358" s="80" t="s">
        <v>71</v>
      </c>
      <c r="H358" s="80" t="s">
        <v>203</v>
      </c>
      <c r="I358" s="80" t="s">
        <v>305</v>
      </c>
    </row>
    <row r="359" spans="1:12" s="75" customFormat="1" x14ac:dyDescent="0.3">
      <c r="A359" s="86">
        <v>1509</v>
      </c>
      <c r="B359" s="86" t="s">
        <v>659</v>
      </c>
      <c r="C359" s="86" t="s">
        <v>660</v>
      </c>
      <c r="D359" s="86" t="s">
        <v>231</v>
      </c>
      <c r="E359" s="80" t="s">
        <v>232</v>
      </c>
      <c r="F359" s="80" t="s">
        <v>233</v>
      </c>
      <c r="G359" s="80" t="s">
        <v>117</v>
      </c>
      <c r="H359" s="80" t="s">
        <v>216</v>
      </c>
      <c r="I359" s="80" t="s">
        <v>305</v>
      </c>
      <c r="L359" s="77"/>
    </row>
    <row r="360" spans="1:12" s="75" customFormat="1" x14ac:dyDescent="0.3">
      <c r="A360" s="86">
        <v>1510</v>
      </c>
      <c r="B360" s="86" t="s">
        <v>661</v>
      </c>
      <c r="C360" s="86" t="s">
        <v>662</v>
      </c>
      <c r="D360" s="86" t="s">
        <v>231</v>
      </c>
      <c r="E360" s="80" t="s">
        <v>232</v>
      </c>
      <c r="F360" s="80" t="s">
        <v>233</v>
      </c>
      <c r="G360" s="80" t="s">
        <v>117</v>
      </c>
      <c r="H360" s="80" t="s">
        <v>216</v>
      </c>
      <c r="I360" s="80" t="s">
        <v>305</v>
      </c>
      <c r="L360" s="77"/>
    </row>
    <row r="361" spans="1:12" s="75" customFormat="1" x14ac:dyDescent="0.3">
      <c r="A361" s="86">
        <v>1511</v>
      </c>
      <c r="B361" s="86" t="s">
        <v>663</v>
      </c>
      <c r="C361" s="86" t="s">
        <v>218</v>
      </c>
      <c r="D361" s="86" t="s">
        <v>231</v>
      </c>
      <c r="E361" s="80" t="s">
        <v>202</v>
      </c>
      <c r="F361" s="80" t="s">
        <v>340</v>
      </c>
      <c r="G361" s="85" t="s">
        <v>212</v>
      </c>
      <c r="H361" s="80" t="s">
        <v>207</v>
      </c>
      <c r="I361" s="80" t="s">
        <v>305</v>
      </c>
      <c r="L361" s="77"/>
    </row>
    <row r="362" spans="1:12" s="75" customFormat="1" ht="13.8" x14ac:dyDescent="0.3">
      <c r="A362" s="86">
        <v>1512</v>
      </c>
      <c r="B362" s="86" t="s">
        <v>664</v>
      </c>
      <c r="C362" s="80" t="s">
        <v>200</v>
      </c>
      <c r="D362" s="86" t="s">
        <v>231</v>
      </c>
      <c r="E362" s="80" t="s">
        <v>202</v>
      </c>
      <c r="F362" s="80" t="s">
        <v>376</v>
      </c>
      <c r="G362" s="80" t="s">
        <v>71</v>
      </c>
      <c r="H362" s="80" t="s">
        <v>203</v>
      </c>
      <c r="I362" s="80" t="s">
        <v>305</v>
      </c>
      <c r="L362" s="73"/>
    </row>
    <row r="363" spans="1:12" s="75" customFormat="1" ht="13.8" x14ac:dyDescent="0.3">
      <c r="A363" s="86">
        <v>1513</v>
      </c>
      <c r="B363" s="86" t="s">
        <v>665</v>
      </c>
      <c r="C363" s="80" t="s">
        <v>44</v>
      </c>
      <c r="D363" s="86" t="s">
        <v>231</v>
      </c>
      <c r="E363" s="80" t="s">
        <v>199</v>
      </c>
      <c r="F363" s="80" t="s">
        <v>376</v>
      </c>
      <c r="G363" s="80" t="s">
        <v>71</v>
      </c>
      <c r="H363" s="80" t="s">
        <v>203</v>
      </c>
      <c r="I363" s="80" t="s">
        <v>305</v>
      </c>
      <c r="L363" s="73"/>
    </row>
    <row r="364" spans="1:12" s="75" customFormat="1" ht="13.8" x14ac:dyDescent="0.3">
      <c r="A364" s="86">
        <v>1514</v>
      </c>
      <c r="B364" s="86" t="s">
        <v>666</v>
      </c>
      <c r="C364" s="80" t="s">
        <v>39</v>
      </c>
      <c r="D364" s="86" t="s">
        <v>231</v>
      </c>
      <c r="E364" s="80" t="s">
        <v>199</v>
      </c>
      <c r="F364" s="80" t="s">
        <v>340</v>
      </c>
      <c r="G364" s="80" t="s">
        <v>204</v>
      </c>
      <c r="H364" s="80" t="s">
        <v>217</v>
      </c>
      <c r="I364" s="80" t="s">
        <v>305</v>
      </c>
    </row>
    <row r="365" spans="1:12" s="75" customFormat="1" ht="13.8" x14ac:dyDescent="0.3">
      <c r="A365" s="86">
        <v>1515</v>
      </c>
      <c r="B365" s="86" t="s">
        <v>667</v>
      </c>
      <c r="C365" s="80" t="s">
        <v>34</v>
      </c>
      <c r="D365" s="86" t="s">
        <v>231</v>
      </c>
      <c r="E365" s="80" t="s">
        <v>202</v>
      </c>
      <c r="F365" s="80" t="s">
        <v>328</v>
      </c>
      <c r="G365" s="80" t="s">
        <v>84</v>
      </c>
      <c r="H365" s="80" t="s">
        <v>207</v>
      </c>
      <c r="I365" s="80" t="s">
        <v>305</v>
      </c>
    </row>
    <row r="366" spans="1:12" s="75" customFormat="1" ht="13.8" x14ac:dyDescent="0.3">
      <c r="A366" s="86">
        <v>1516</v>
      </c>
      <c r="B366" s="86" t="s">
        <v>668</v>
      </c>
      <c r="C366" s="80" t="s">
        <v>304</v>
      </c>
      <c r="D366" s="86" t="s">
        <v>231</v>
      </c>
      <c r="E366" s="80" t="s">
        <v>199</v>
      </c>
      <c r="F366" s="80" t="s">
        <v>233</v>
      </c>
      <c r="G366" s="80" t="s">
        <v>330</v>
      </c>
      <c r="H366" s="80" t="s">
        <v>216</v>
      </c>
      <c r="I366" s="80" t="s">
        <v>305</v>
      </c>
    </row>
    <row r="367" spans="1:12" s="75" customFormat="1" x14ac:dyDescent="0.3">
      <c r="A367" s="86">
        <v>1517</v>
      </c>
      <c r="B367" s="86" t="s">
        <v>669</v>
      </c>
      <c r="C367" s="80" t="s">
        <v>304</v>
      </c>
      <c r="D367" s="86" t="s">
        <v>231</v>
      </c>
      <c r="E367" s="80" t="s">
        <v>232</v>
      </c>
      <c r="F367" s="80" t="s">
        <v>233</v>
      </c>
      <c r="G367" s="80" t="s">
        <v>242</v>
      </c>
      <c r="H367" s="80" t="s">
        <v>216</v>
      </c>
      <c r="I367" s="80" t="s">
        <v>235</v>
      </c>
      <c r="K367" s="77"/>
    </row>
    <row r="368" spans="1:12" s="75" customFormat="1" ht="13.8" x14ac:dyDescent="0.3">
      <c r="A368" s="86">
        <v>1518</v>
      </c>
      <c r="B368" s="86" t="s">
        <v>188</v>
      </c>
      <c r="C368" s="80" t="s">
        <v>38</v>
      </c>
      <c r="D368" s="86" t="s">
        <v>231</v>
      </c>
      <c r="E368" s="80" t="s">
        <v>199</v>
      </c>
      <c r="F368" s="80" t="s">
        <v>340</v>
      </c>
      <c r="G368" s="80" t="s">
        <v>210</v>
      </c>
      <c r="H368" s="80" t="s">
        <v>213</v>
      </c>
      <c r="I368" s="80" t="s">
        <v>305</v>
      </c>
    </row>
    <row r="369" spans="1:11" s="75" customFormat="1" x14ac:dyDescent="0.3">
      <c r="A369" s="86">
        <v>1519</v>
      </c>
      <c r="B369" s="86" t="s">
        <v>670</v>
      </c>
      <c r="C369" s="80" t="s">
        <v>34</v>
      </c>
      <c r="D369" s="86" t="s">
        <v>231</v>
      </c>
      <c r="E369" s="80" t="s">
        <v>202</v>
      </c>
      <c r="F369" s="80" t="s">
        <v>328</v>
      </c>
      <c r="G369" s="80" t="s">
        <v>84</v>
      </c>
      <c r="H369" s="80" t="s">
        <v>207</v>
      </c>
      <c r="I369" s="80" t="s">
        <v>305</v>
      </c>
      <c r="K369" s="77"/>
    </row>
    <row r="370" spans="1:11" s="75" customFormat="1" x14ac:dyDescent="0.3">
      <c r="A370" s="86">
        <v>1520</v>
      </c>
      <c r="B370" s="86" t="s">
        <v>671</v>
      </c>
      <c r="C370" s="80" t="s">
        <v>3</v>
      </c>
      <c r="D370" s="85" t="s">
        <v>231</v>
      </c>
      <c r="E370" s="80" t="s">
        <v>201</v>
      </c>
      <c r="F370" s="80" t="s">
        <v>328</v>
      </c>
      <c r="G370" s="80" t="s">
        <v>209</v>
      </c>
      <c r="H370" s="80" t="s">
        <v>203</v>
      </c>
      <c r="I370" s="80" t="s">
        <v>305</v>
      </c>
      <c r="K370" s="77"/>
    </row>
    <row r="371" spans="1:11" s="75" customFormat="1" x14ac:dyDescent="0.3">
      <c r="A371" s="86">
        <v>1521</v>
      </c>
      <c r="B371" s="86" t="s">
        <v>672</v>
      </c>
      <c r="C371" s="80" t="s">
        <v>141</v>
      </c>
      <c r="D371" s="85" t="s">
        <v>231</v>
      </c>
      <c r="E371" s="80" t="s">
        <v>199</v>
      </c>
      <c r="F371" s="80" t="s">
        <v>376</v>
      </c>
      <c r="G371" s="80" t="s">
        <v>193</v>
      </c>
      <c r="H371" s="80" t="s">
        <v>207</v>
      </c>
      <c r="I371" s="80" t="s">
        <v>305</v>
      </c>
      <c r="K371" s="77"/>
    </row>
    <row r="372" spans="1:11" s="75" customFormat="1" x14ac:dyDescent="0.3">
      <c r="A372" s="86">
        <v>1522</v>
      </c>
      <c r="B372" s="86" t="s">
        <v>673</v>
      </c>
      <c r="C372" s="80" t="s">
        <v>141</v>
      </c>
      <c r="D372" s="85" t="s">
        <v>231</v>
      </c>
      <c r="E372" s="80" t="s">
        <v>199</v>
      </c>
      <c r="F372" s="80" t="s">
        <v>376</v>
      </c>
      <c r="G372" s="80" t="s">
        <v>193</v>
      </c>
      <c r="H372" s="80" t="s">
        <v>207</v>
      </c>
      <c r="I372" s="80" t="s">
        <v>305</v>
      </c>
      <c r="K372" s="78"/>
    </row>
    <row r="373" spans="1:11" s="75" customFormat="1" x14ac:dyDescent="0.3">
      <c r="A373" s="86">
        <v>1523</v>
      </c>
      <c r="B373" s="86" t="s">
        <v>674</v>
      </c>
      <c r="C373" s="80" t="s">
        <v>141</v>
      </c>
      <c r="D373" s="85" t="s">
        <v>231</v>
      </c>
      <c r="E373" s="80" t="s">
        <v>199</v>
      </c>
      <c r="F373" s="80" t="s">
        <v>376</v>
      </c>
      <c r="G373" s="80" t="s">
        <v>193</v>
      </c>
      <c r="H373" s="80" t="s">
        <v>207</v>
      </c>
      <c r="I373" s="80" t="s">
        <v>305</v>
      </c>
      <c r="K373" s="78"/>
    </row>
    <row r="374" spans="1:11" s="75" customFormat="1" x14ac:dyDescent="0.3">
      <c r="A374" s="86">
        <v>1534</v>
      </c>
      <c r="B374" s="86" t="s">
        <v>865</v>
      </c>
      <c r="C374" s="80" t="s">
        <v>141</v>
      </c>
      <c r="D374" s="85" t="s">
        <v>231</v>
      </c>
      <c r="E374" s="80" t="s">
        <v>199</v>
      </c>
      <c r="F374" s="80" t="s">
        <v>376</v>
      </c>
      <c r="G374" s="80" t="s">
        <v>193</v>
      </c>
      <c r="H374" s="80" t="s">
        <v>207</v>
      </c>
      <c r="I374" s="80" t="s">
        <v>305</v>
      </c>
      <c r="K374" s="78"/>
    </row>
    <row r="375" spans="1:11" s="75" customFormat="1" x14ac:dyDescent="0.3">
      <c r="A375" s="86">
        <v>1524</v>
      </c>
      <c r="B375" s="86" t="s">
        <v>675</v>
      </c>
      <c r="C375" s="86" t="s">
        <v>304</v>
      </c>
      <c r="D375" s="86" t="s">
        <v>231</v>
      </c>
      <c r="E375" s="80" t="s">
        <v>199</v>
      </c>
      <c r="F375" s="86" t="s">
        <v>233</v>
      </c>
      <c r="G375" s="80" t="s">
        <v>283</v>
      </c>
      <c r="H375" s="80" t="s">
        <v>216</v>
      </c>
      <c r="I375" s="80" t="s">
        <v>305</v>
      </c>
      <c r="K375" s="78"/>
    </row>
    <row r="376" spans="1:11" s="75" customFormat="1" x14ac:dyDescent="0.3">
      <c r="A376" s="86">
        <v>1525</v>
      </c>
      <c r="B376" s="86" t="s">
        <v>867</v>
      </c>
      <c r="C376" s="80" t="s">
        <v>21</v>
      </c>
      <c r="D376" s="85" t="s">
        <v>231</v>
      </c>
      <c r="E376" s="80" t="s">
        <v>202</v>
      </c>
      <c r="F376" s="80" t="s">
        <v>340</v>
      </c>
      <c r="G376" s="80" t="s">
        <v>215</v>
      </c>
      <c r="H376" s="80" t="s">
        <v>213</v>
      </c>
      <c r="I376" s="80" t="s">
        <v>305</v>
      </c>
      <c r="K376" s="78"/>
    </row>
    <row r="377" spans="1:11" s="75" customFormat="1" x14ac:dyDescent="0.3">
      <c r="A377" s="86">
        <v>3134</v>
      </c>
      <c r="B377" s="86" t="s">
        <v>676</v>
      </c>
      <c r="C377" s="80" t="s">
        <v>304</v>
      </c>
      <c r="D377" s="80" t="s">
        <v>231</v>
      </c>
      <c r="E377" s="80" t="s">
        <v>202</v>
      </c>
      <c r="F377" s="80" t="s">
        <v>233</v>
      </c>
      <c r="G377" s="80" t="s">
        <v>212</v>
      </c>
      <c r="H377" s="80" t="s">
        <v>216</v>
      </c>
      <c r="I377" s="80" t="s">
        <v>305</v>
      </c>
      <c r="K377" s="77"/>
    </row>
    <row r="378" spans="1:11" s="75" customFormat="1" x14ac:dyDescent="0.3">
      <c r="A378" s="86">
        <v>3135</v>
      </c>
      <c r="B378" s="86" t="s">
        <v>677</v>
      </c>
      <c r="C378" s="80" t="s">
        <v>304</v>
      </c>
      <c r="D378" s="80" t="s">
        <v>231</v>
      </c>
      <c r="E378" s="80" t="s">
        <v>202</v>
      </c>
      <c r="F378" s="80" t="s">
        <v>233</v>
      </c>
      <c r="G378" s="80" t="s">
        <v>212</v>
      </c>
      <c r="H378" s="80" t="s">
        <v>216</v>
      </c>
      <c r="I378" s="80" t="s">
        <v>305</v>
      </c>
      <c r="K378" s="78"/>
    </row>
    <row r="379" spans="1:11" s="75" customFormat="1" x14ac:dyDescent="0.3">
      <c r="A379" s="86">
        <v>3136</v>
      </c>
      <c r="B379" s="86" t="s">
        <v>678</v>
      </c>
      <c r="C379" s="80" t="s">
        <v>304</v>
      </c>
      <c r="D379" s="80" t="s">
        <v>231</v>
      </c>
      <c r="E379" s="80" t="s">
        <v>202</v>
      </c>
      <c r="F379" s="80" t="s">
        <v>233</v>
      </c>
      <c r="G379" s="80" t="s">
        <v>212</v>
      </c>
      <c r="H379" s="80" t="s">
        <v>216</v>
      </c>
      <c r="I379" s="80" t="s">
        <v>305</v>
      </c>
      <c r="K379" s="78"/>
    </row>
    <row r="380" spans="1:11" s="75" customFormat="1" x14ac:dyDescent="0.3">
      <c r="A380" s="86">
        <v>3137</v>
      </c>
      <c r="B380" s="86" t="s">
        <v>679</v>
      </c>
      <c r="C380" s="80" t="s">
        <v>304</v>
      </c>
      <c r="D380" s="80" t="s">
        <v>231</v>
      </c>
      <c r="E380" s="80" t="s">
        <v>202</v>
      </c>
      <c r="F380" s="80" t="s">
        <v>233</v>
      </c>
      <c r="G380" s="80" t="s">
        <v>212</v>
      </c>
      <c r="H380" s="80" t="s">
        <v>216</v>
      </c>
      <c r="I380" s="80" t="s">
        <v>305</v>
      </c>
      <c r="K380" s="77"/>
    </row>
    <row r="381" spans="1:11" s="75" customFormat="1" ht="13.8" x14ac:dyDescent="0.3">
      <c r="A381" s="86">
        <v>3138</v>
      </c>
      <c r="B381" s="86" t="s">
        <v>680</v>
      </c>
      <c r="C381" s="80" t="s">
        <v>304</v>
      </c>
      <c r="D381" s="80" t="s">
        <v>231</v>
      </c>
      <c r="E381" s="80" t="s">
        <v>202</v>
      </c>
      <c r="F381" s="80" t="s">
        <v>233</v>
      </c>
      <c r="G381" s="80" t="s">
        <v>212</v>
      </c>
      <c r="H381" s="80" t="s">
        <v>216</v>
      </c>
      <c r="I381" s="80" t="s">
        <v>305</v>
      </c>
      <c r="K381" s="79"/>
    </row>
    <row r="382" spans="1:11" s="75" customFormat="1" x14ac:dyDescent="0.3">
      <c r="A382" s="86">
        <v>3139</v>
      </c>
      <c r="B382" s="86" t="s">
        <v>681</v>
      </c>
      <c r="C382" s="80" t="s">
        <v>304</v>
      </c>
      <c r="D382" s="80" t="s">
        <v>231</v>
      </c>
      <c r="E382" s="80" t="s">
        <v>202</v>
      </c>
      <c r="F382" s="80" t="s">
        <v>233</v>
      </c>
      <c r="G382" s="80" t="s">
        <v>212</v>
      </c>
      <c r="H382" s="80" t="s">
        <v>216</v>
      </c>
      <c r="I382" s="80" t="s">
        <v>305</v>
      </c>
      <c r="K382" s="78"/>
    </row>
    <row r="383" spans="1:11" s="75" customFormat="1" x14ac:dyDescent="0.3">
      <c r="A383" s="86">
        <v>3140</v>
      </c>
      <c r="B383" s="86" t="s">
        <v>682</v>
      </c>
      <c r="C383" s="80" t="s">
        <v>304</v>
      </c>
      <c r="D383" s="80" t="s">
        <v>231</v>
      </c>
      <c r="E383" s="80" t="s">
        <v>202</v>
      </c>
      <c r="F383" s="80" t="s">
        <v>233</v>
      </c>
      <c r="G383" s="80" t="s">
        <v>212</v>
      </c>
      <c r="H383" s="80" t="s">
        <v>216</v>
      </c>
      <c r="I383" s="80" t="s">
        <v>305</v>
      </c>
      <c r="K383" s="77"/>
    </row>
    <row r="384" spans="1:11" s="75" customFormat="1" ht="13.8" x14ac:dyDescent="0.3">
      <c r="A384" s="86">
        <v>3141</v>
      </c>
      <c r="B384" s="86" t="s">
        <v>683</v>
      </c>
      <c r="C384" s="80" t="s">
        <v>304</v>
      </c>
      <c r="D384" s="80" t="s">
        <v>231</v>
      </c>
      <c r="E384" s="80" t="s">
        <v>202</v>
      </c>
      <c r="F384" s="80" t="s">
        <v>233</v>
      </c>
      <c r="G384" s="80" t="s">
        <v>212</v>
      </c>
      <c r="H384" s="80" t="s">
        <v>216</v>
      </c>
      <c r="I384" s="80" t="s">
        <v>305</v>
      </c>
    </row>
    <row r="385" spans="1:9" s="75" customFormat="1" ht="13.8" x14ac:dyDescent="0.3">
      <c r="A385" s="86">
        <v>3142</v>
      </c>
      <c r="B385" s="86" t="s">
        <v>684</v>
      </c>
      <c r="C385" s="80" t="s">
        <v>304</v>
      </c>
      <c r="D385" s="80" t="s">
        <v>231</v>
      </c>
      <c r="E385" s="80" t="s">
        <v>202</v>
      </c>
      <c r="F385" s="80" t="s">
        <v>233</v>
      </c>
      <c r="G385" s="80" t="s">
        <v>212</v>
      </c>
      <c r="H385" s="80" t="s">
        <v>216</v>
      </c>
      <c r="I385" s="80" t="s">
        <v>305</v>
      </c>
    </row>
    <row r="386" spans="1:9" s="75" customFormat="1" ht="13.8" x14ac:dyDescent="0.3">
      <c r="A386" s="86">
        <v>3143</v>
      </c>
      <c r="B386" s="86" t="s">
        <v>685</v>
      </c>
      <c r="C386" s="80" t="s">
        <v>304</v>
      </c>
      <c r="D386" s="80" t="s">
        <v>231</v>
      </c>
      <c r="E386" s="80" t="s">
        <v>202</v>
      </c>
      <c r="F386" s="80" t="s">
        <v>233</v>
      </c>
      <c r="G386" s="80" t="s">
        <v>212</v>
      </c>
      <c r="H386" s="80" t="s">
        <v>216</v>
      </c>
      <c r="I386" s="80" t="s">
        <v>305</v>
      </c>
    </row>
    <row r="387" spans="1:9" s="75" customFormat="1" ht="13.8" x14ac:dyDescent="0.3">
      <c r="A387" s="86">
        <v>3144</v>
      </c>
      <c r="B387" s="86" t="s">
        <v>686</v>
      </c>
      <c r="C387" s="80" t="s">
        <v>304</v>
      </c>
      <c r="D387" s="80" t="s">
        <v>231</v>
      </c>
      <c r="E387" s="80" t="s">
        <v>202</v>
      </c>
      <c r="F387" s="80" t="s">
        <v>233</v>
      </c>
      <c r="G387" s="80" t="s">
        <v>212</v>
      </c>
      <c r="H387" s="80" t="s">
        <v>216</v>
      </c>
      <c r="I387" s="80" t="s">
        <v>305</v>
      </c>
    </row>
    <row r="388" spans="1:9" s="75" customFormat="1" ht="13.8" x14ac:dyDescent="0.3">
      <c r="A388" s="86">
        <v>3145</v>
      </c>
      <c r="B388" s="86" t="s">
        <v>687</v>
      </c>
      <c r="C388" s="80" t="s">
        <v>304</v>
      </c>
      <c r="D388" s="80" t="s">
        <v>231</v>
      </c>
      <c r="E388" s="80" t="s">
        <v>202</v>
      </c>
      <c r="F388" s="80" t="s">
        <v>233</v>
      </c>
      <c r="G388" s="80" t="s">
        <v>212</v>
      </c>
      <c r="H388" s="80" t="s">
        <v>216</v>
      </c>
      <c r="I388" s="80" t="s">
        <v>305</v>
      </c>
    </row>
    <row r="389" spans="1:9" s="75" customFormat="1" ht="13.8" x14ac:dyDescent="0.3">
      <c r="A389" s="86">
        <v>3146</v>
      </c>
      <c r="B389" s="86" t="s">
        <v>688</v>
      </c>
      <c r="C389" s="80" t="s">
        <v>304</v>
      </c>
      <c r="D389" s="80" t="s">
        <v>231</v>
      </c>
      <c r="E389" s="80" t="s">
        <v>202</v>
      </c>
      <c r="F389" s="80" t="s">
        <v>233</v>
      </c>
      <c r="G389" s="80" t="s">
        <v>212</v>
      </c>
      <c r="H389" s="80" t="s">
        <v>216</v>
      </c>
      <c r="I389" s="80" t="s">
        <v>305</v>
      </c>
    </row>
    <row r="390" spans="1:9" s="75" customFormat="1" ht="13.8" x14ac:dyDescent="0.3">
      <c r="A390" s="86">
        <v>3147</v>
      </c>
      <c r="B390" s="86" t="s">
        <v>689</v>
      </c>
      <c r="C390" s="80" t="s">
        <v>304</v>
      </c>
      <c r="D390" s="80" t="s">
        <v>231</v>
      </c>
      <c r="E390" s="80" t="s">
        <v>202</v>
      </c>
      <c r="F390" s="80" t="s">
        <v>233</v>
      </c>
      <c r="G390" s="80" t="s">
        <v>212</v>
      </c>
      <c r="H390" s="80" t="s">
        <v>216</v>
      </c>
      <c r="I390" s="80" t="s">
        <v>305</v>
      </c>
    </row>
    <row r="391" spans="1:9" s="75" customFormat="1" ht="13.8" x14ac:dyDescent="0.3">
      <c r="A391" s="86">
        <v>3148</v>
      </c>
      <c r="B391" s="86" t="s">
        <v>690</v>
      </c>
      <c r="C391" s="80" t="s">
        <v>304</v>
      </c>
      <c r="D391" s="80" t="s">
        <v>231</v>
      </c>
      <c r="E391" s="80" t="s">
        <v>202</v>
      </c>
      <c r="F391" s="80" t="s">
        <v>233</v>
      </c>
      <c r="G391" s="80" t="s">
        <v>212</v>
      </c>
      <c r="H391" s="80" t="s">
        <v>216</v>
      </c>
      <c r="I391" s="80" t="s">
        <v>305</v>
      </c>
    </row>
    <row r="392" spans="1:9" s="75" customFormat="1" ht="13.8" x14ac:dyDescent="0.3">
      <c r="A392" s="86">
        <v>3149</v>
      </c>
      <c r="B392" s="86" t="s">
        <v>691</v>
      </c>
      <c r="C392" s="80" t="s">
        <v>304</v>
      </c>
      <c r="D392" s="80" t="s">
        <v>231</v>
      </c>
      <c r="E392" s="80" t="s">
        <v>202</v>
      </c>
      <c r="F392" s="80" t="s">
        <v>233</v>
      </c>
      <c r="G392" s="80" t="s">
        <v>212</v>
      </c>
      <c r="H392" s="80" t="s">
        <v>216</v>
      </c>
      <c r="I392" s="80" t="s">
        <v>305</v>
      </c>
    </row>
    <row r="393" spans="1:9" s="75" customFormat="1" ht="13.8" x14ac:dyDescent="0.3">
      <c r="A393" s="86">
        <v>3150</v>
      </c>
      <c r="B393" s="86" t="s">
        <v>692</v>
      </c>
      <c r="C393" s="80" t="s">
        <v>304</v>
      </c>
      <c r="D393" s="80" t="s">
        <v>231</v>
      </c>
      <c r="E393" s="80" t="s">
        <v>202</v>
      </c>
      <c r="F393" s="80" t="s">
        <v>233</v>
      </c>
      <c r="G393" s="80" t="s">
        <v>212</v>
      </c>
      <c r="H393" s="80" t="s">
        <v>216</v>
      </c>
      <c r="I393" s="80" t="s">
        <v>305</v>
      </c>
    </row>
    <row r="394" spans="1:9" s="75" customFormat="1" ht="13.8" x14ac:dyDescent="0.3">
      <c r="A394" s="86">
        <v>3151</v>
      </c>
      <c r="B394" s="86" t="s">
        <v>693</v>
      </c>
      <c r="C394" s="80" t="s">
        <v>304</v>
      </c>
      <c r="D394" s="80" t="s">
        <v>231</v>
      </c>
      <c r="E394" s="80" t="s">
        <v>202</v>
      </c>
      <c r="F394" s="80" t="s">
        <v>233</v>
      </c>
      <c r="G394" s="80" t="s">
        <v>212</v>
      </c>
      <c r="H394" s="80" t="s">
        <v>216</v>
      </c>
      <c r="I394" s="80" t="s">
        <v>305</v>
      </c>
    </row>
    <row r="395" spans="1:9" s="75" customFormat="1" ht="13.8" x14ac:dyDescent="0.3">
      <c r="A395" s="86">
        <v>3152</v>
      </c>
      <c r="B395" s="86" t="s">
        <v>694</v>
      </c>
      <c r="C395" s="80" t="s">
        <v>304</v>
      </c>
      <c r="D395" s="80" t="s">
        <v>231</v>
      </c>
      <c r="E395" s="80" t="s">
        <v>202</v>
      </c>
      <c r="F395" s="80" t="s">
        <v>233</v>
      </c>
      <c r="G395" s="80" t="s">
        <v>212</v>
      </c>
      <c r="H395" s="80" t="s">
        <v>216</v>
      </c>
      <c r="I395" s="80" t="s">
        <v>305</v>
      </c>
    </row>
    <row r="396" spans="1:9" s="75" customFormat="1" ht="13.8" x14ac:dyDescent="0.3">
      <c r="A396" s="86">
        <v>3153</v>
      </c>
      <c r="B396" s="86" t="s">
        <v>695</v>
      </c>
      <c r="C396" s="80" t="s">
        <v>304</v>
      </c>
      <c r="D396" s="80" t="s">
        <v>231</v>
      </c>
      <c r="E396" s="80" t="s">
        <v>202</v>
      </c>
      <c r="F396" s="80" t="s">
        <v>233</v>
      </c>
      <c r="G396" s="80" t="s">
        <v>212</v>
      </c>
      <c r="H396" s="80" t="s">
        <v>216</v>
      </c>
      <c r="I396" s="80" t="s">
        <v>305</v>
      </c>
    </row>
    <row r="397" spans="1:9" s="75" customFormat="1" ht="13.8" x14ac:dyDescent="0.3">
      <c r="A397" s="86">
        <v>3154</v>
      </c>
      <c r="B397" s="86" t="s">
        <v>696</v>
      </c>
      <c r="C397" s="80" t="s">
        <v>304</v>
      </c>
      <c r="D397" s="80" t="s">
        <v>231</v>
      </c>
      <c r="E397" s="80" t="s">
        <v>202</v>
      </c>
      <c r="F397" s="80" t="s">
        <v>233</v>
      </c>
      <c r="G397" s="80" t="s">
        <v>212</v>
      </c>
      <c r="H397" s="80" t="s">
        <v>216</v>
      </c>
      <c r="I397" s="80" t="s">
        <v>305</v>
      </c>
    </row>
    <row r="398" spans="1:9" s="75" customFormat="1" ht="13.8" x14ac:dyDescent="0.3">
      <c r="A398" s="86">
        <v>3155</v>
      </c>
      <c r="B398" s="86" t="s">
        <v>697</v>
      </c>
      <c r="C398" s="80" t="s">
        <v>304</v>
      </c>
      <c r="D398" s="80" t="s">
        <v>231</v>
      </c>
      <c r="E398" s="80" t="s">
        <v>202</v>
      </c>
      <c r="F398" s="80" t="s">
        <v>233</v>
      </c>
      <c r="G398" s="80" t="s">
        <v>212</v>
      </c>
      <c r="H398" s="80" t="s">
        <v>216</v>
      </c>
      <c r="I398" s="80" t="s">
        <v>305</v>
      </c>
    </row>
    <row r="399" spans="1:9" s="75" customFormat="1" ht="13.8" x14ac:dyDescent="0.3">
      <c r="A399" s="86">
        <v>3156</v>
      </c>
      <c r="B399" s="86" t="s">
        <v>698</v>
      </c>
      <c r="C399" s="80" t="s">
        <v>304</v>
      </c>
      <c r="D399" s="80" t="s">
        <v>231</v>
      </c>
      <c r="E399" s="80" t="s">
        <v>202</v>
      </c>
      <c r="F399" s="80" t="s">
        <v>233</v>
      </c>
      <c r="G399" s="80" t="s">
        <v>212</v>
      </c>
      <c r="H399" s="80" t="s">
        <v>216</v>
      </c>
      <c r="I399" s="80" t="s">
        <v>305</v>
      </c>
    </row>
    <row r="400" spans="1:9" s="75" customFormat="1" ht="13.8" x14ac:dyDescent="0.3">
      <c r="A400" s="86">
        <v>3157</v>
      </c>
      <c r="B400" s="86" t="s">
        <v>699</v>
      </c>
      <c r="C400" s="80" t="s">
        <v>304</v>
      </c>
      <c r="D400" s="80" t="s">
        <v>231</v>
      </c>
      <c r="E400" s="80" t="s">
        <v>202</v>
      </c>
      <c r="F400" s="80" t="s">
        <v>233</v>
      </c>
      <c r="G400" s="80" t="s">
        <v>212</v>
      </c>
      <c r="H400" s="80" t="s">
        <v>216</v>
      </c>
      <c r="I400" s="80" t="s">
        <v>305</v>
      </c>
    </row>
    <row r="401" spans="1:9" s="75" customFormat="1" ht="13.8" x14ac:dyDescent="0.3">
      <c r="A401" s="86">
        <v>3158</v>
      </c>
      <c r="B401" s="86" t="s">
        <v>700</v>
      </c>
      <c r="C401" s="80" t="s">
        <v>304</v>
      </c>
      <c r="D401" s="80" t="s">
        <v>231</v>
      </c>
      <c r="E401" s="80" t="s">
        <v>202</v>
      </c>
      <c r="F401" s="80" t="s">
        <v>233</v>
      </c>
      <c r="G401" s="80" t="s">
        <v>212</v>
      </c>
      <c r="H401" s="80" t="s">
        <v>216</v>
      </c>
      <c r="I401" s="80" t="s">
        <v>305</v>
      </c>
    </row>
    <row r="402" spans="1:9" x14ac:dyDescent="0.3">
      <c r="A402" s="86">
        <v>3159</v>
      </c>
      <c r="B402" s="86" t="s">
        <v>701</v>
      </c>
      <c r="C402" s="80" t="s">
        <v>304</v>
      </c>
      <c r="D402" s="80" t="s">
        <v>231</v>
      </c>
      <c r="E402" s="80" t="s">
        <v>202</v>
      </c>
      <c r="F402" s="80" t="s">
        <v>233</v>
      </c>
      <c r="G402" s="80" t="s">
        <v>212</v>
      </c>
      <c r="H402" s="80" t="s">
        <v>216</v>
      </c>
      <c r="I402" s="80" t="s">
        <v>305</v>
      </c>
    </row>
    <row r="403" spans="1:9" x14ac:dyDescent="0.3">
      <c r="A403" s="86">
        <v>3160</v>
      </c>
      <c r="B403" s="86" t="s">
        <v>702</v>
      </c>
      <c r="C403" s="80" t="s">
        <v>304</v>
      </c>
      <c r="D403" s="80" t="s">
        <v>231</v>
      </c>
      <c r="E403" s="80" t="s">
        <v>202</v>
      </c>
      <c r="F403" s="80" t="s">
        <v>233</v>
      </c>
      <c r="G403" s="80" t="s">
        <v>212</v>
      </c>
      <c r="H403" s="80" t="s">
        <v>216</v>
      </c>
      <c r="I403" s="80" t="s">
        <v>305</v>
      </c>
    </row>
    <row r="404" spans="1:9" x14ac:dyDescent="0.3">
      <c r="A404" s="86">
        <v>3161</v>
      </c>
      <c r="B404" s="86" t="s">
        <v>703</v>
      </c>
      <c r="C404" s="80" t="s">
        <v>304</v>
      </c>
      <c r="D404" s="80" t="s">
        <v>231</v>
      </c>
      <c r="E404" s="80" t="s">
        <v>202</v>
      </c>
      <c r="F404" s="80" t="s">
        <v>233</v>
      </c>
      <c r="G404" s="80" t="s">
        <v>212</v>
      </c>
      <c r="H404" s="80" t="s">
        <v>216</v>
      </c>
      <c r="I404" s="80" t="s">
        <v>305</v>
      </c>
    </row>
    <row r="405" spans="1:9" x14ac:dyDescent="0.3">
      <c r="A405" s="86">
        <v>3162</v>
      </c>
      <c r="B405" s="86" t="s">
        <v>704</v>
      </c>
      <c r="C405" s="80" t="s">
        <v>304</v>
      </c>
      <c r="D405" s="80" t="s">
        <v>231</v>
      </c>
      <c r="E405" s="80" t="s">
        <v>202</v>
      </c>
      <c r="F405" s="80" t="s">
        <v>233</v>
      </c>
      <c r="G405" s="80" t="s">
        <v>212</v>
      </c>
      <c r="H405" s="80" t="s">
        <v>216</v>
      </c>
      <c r="I405" s="80" t="s">
        <v>305</v>
      </c>
    </row>
    <row r="406" spans="1:9" x14ac:dyDescent="0.3">
      <c r="A406" s="86">
        <v>3163</v>
      </c>
      <c r="B406" s="86" t="s">
        <v>705</v>
      </c>
      <c r="C406" s="80" t="s">
        <v>304</v>
      </c>
      <c r="D406" s="80" t="s">
        <v>231</v>
      </c>
      <c r="E406" s="80" t="s">
        <v>202</v>
      </c>
      <c r="F406" s="80" t="s">
        <v>233</v>
      </c>
      <c r="G406" s="80" t="s">
        <v>212</v>
      </c>
      <c r="H406" s="80" t="s">
        <v>216</v>
      </c>
      <c r="I406" s="80" t="s">
        <v>305</v>
      </c>
    </row>
    <row r="407" spans="1:9" x14ac:dyDescent="0.3">
      <c r="A407" s="86">
        <v>3164</v>
      </c>
      <c r="B407" s="86" t="s">
        <v>706</v>
      </c>
      <c r="C407" s="80" t="s">
        <v>304</v>
      </c>
      <c r="D407" s="80" t="s">
        <v>231</v>
      </c>
      <c r="E407" s="80" t="s">
        <v>202</v>
      </c>
      <c r="F407" s="80" t="s">
        <v>233</v>
      </c>
      <c r="G407" s="80" t="s">
        <v>212</v>
      </c>
      <c r="H407" s="80" t="s">
        <v>216</v>
      </c>
      <c r="I407" s="80" t="s">
        <v>305</v>
      </c>
    </row>
    <row r="408" spans="1:9" x14ac:dyDescent="0.3">
      <c r="A408" s="86">
        <v>3165</v>
      </c>
      <c r="B408" s="86" t="s">
        <v>707</v>
      </c>
      <c r="C408" s="80" t="s">
        <v>304</v>
      </c>
      <c r="D408" s="80" t="s">
        <v>231</v>
      </c>
      <c r="E408" s="80" t="s">
        <v>202</v>
      </c>
      <c r="F408" s="80" t="s">
        <v>233</v>
      </c>
      <c r="G408" s="80" t="s">
        <v>212</v>
      </c>
      <c r="H408" s="80" t="s">
        <v>216</v>
      </c>
      <c r="I408" s="80" t="s">
        <v>305</v>
      </c>
    </row>
    <row r="409" spans="1:9" x14ac:dyDescent="0.3">
      <c r="A409" s="86">
        <v>3166</v>
      </c>
      <c r="B409" s="86" t="s">
        <v>708</v>
      </c>
      <c r="C409" s="80" t="s">
        <v>304</v>
      </c>
      <c r="D409" s="80" t="s">
        <v>231</v>
      </c>
      <c r="E409" s="80" t="s">
        <v>202</v>
      </c>
      <c r="F409" s="80" t="s">
        <v>233</v>
      </c>
      <c r="G409" s="80" t="s">
        <v>212</v>
      </c>
      <c r="H409" s="80" t="s">
        <v>216</v>
      </c>
      <c r="I409" s="80" t="s">
        <v>305</v>
      </c>
    </row>
    <row r="410" spans="1:9" x14ac:dyDescent="0.3">
      <c r="A410" s="86">
        <v>3168</v>
      </c>
      <c r="B410" s="86" t="s">
        <v>709</v>
      </c>
      <c r="C410" s="80" t="s">
        <v>304</v>
      </c>
      <c r="D410" s="80" t="s">
        <v>231</v>
      </c>
      <c r="E410" s="80" t="s">
        <v>202</v>
      </c>
      <c r="F410" s="80" t="s">
        <v>233</v>
      </c>
      <c r="G410" s="80" t="s">
        <v>212</v>
      </c>
      <c r="H410" s="80" t="s">
        <v>216</v>
      </c>
      <c r="I410" s="80" t="s">
        <v>305</v>
      </c>
    </row>
    <row r="411" spans="1:9" x14ac:dyDescent="0.3">
      <c r="A411" s="86">
        <v>3167</v>
      </c>
      <c r="B411" s="86" t="s">
        <v>710</v>
      </c>
      <c r="C411" s="80" t="s">
        <v>304</v>
      </c>
      <c r="D411" s="80" t="s">
        <v>231</v>
      </c>
      <c r="E411" s="80" t="s">
        <v>202</v>
      </c>
      <c r="F411" s="80" t="s">
        <v>233</v>
      </c>
      <c r="G411" s="80" t="s">
        <v>212</v>
      </c>
      <c r="H411" s="80" t="s">
        <v>216</v>
      </c>
      <c r="I411" s="80" t="s">
        <v>305</v>
      </c>
    </row>
    <row r="412" spans="1:9" x14ac:dyDescent="0.3">
      <c r="A412" s="86">
        <v>3169</v>
      </c>
      <c r="B412" s="86" t="s">
        <v>711</v>
      </c>
      <c r="C412" s="80" t="s">
        <v>304</v>
      </c>
      <c r="D412" s="80" t="s">
        <v>231</v>
      </c>
      <c r="E412" s="80" t="s">
        <v>202</v>
      </c>
      <c r="F412" s="80" t="s">
        <v>233</v>
      </c>
      <c r="G412" s="80" t="s">
        <v>212</v>
      </c>
      <c r="H412" s="80" t="s">
        <v>216</v>
      </c>
      <c r="I412" s="80" t="s">
        <v>305</v>
      </c>
    </row>
    <row r="413" spans="1:9" x14ac:dyDescent="0.3">
      <c r="A413">
        <v>3170</v>
      </c>
      <c r="B413" t="s">
        <v>712</v>
      </c>
      <c r="C413" t="s">
        <v>304</v>
      </c>
      <c r="D413" t="s">
        <v>231</v>
      </c>
      <c r="E413" t="s">
        <v>202</v>
      </c>
      <c r="F413" t="s">
        <v>233</v>
      </c>
      <c r="G413" t="s">
        <v>212</v>
      </c>
      <c r="H413" t="s">
        <v>216</v>
      </c>
      <c r="I413" t="s">
        <v>305</v>
      </c>
    </row>
    <row r="414" spans="1:9" s="75" customFormat="1" ht="13.8" x14ac:dyDescent="0.3">
      <c r="A414" s="80">
        <v>1526</v>
      </c>
      <c r="B414" s="86" t="s">
        <v>713</v>
      </c>
      <c r="C414" s="80" t="s">
        <v>251</v>
      </c>
      <c r="D414" s="80" t="s">
        <v>231</v>
      </c>
      <c r="E414" s="80" t="s">
        <v>232</v>
      </c>
      <c r="F414" s="80" t="s">
        <v>233</v>
      </c>
      <c r="G414" s="80" t="s">
        <v>252</v>
      </c>
      <c r="H414" s="80" t="s">
        <v>216</v>
      </c>
      <c r="I414" s="80" t="s">
        <v>235</v>
      </c>
    </row>
    <row r="415" spans="1:9" x14ac:dyDescent="0.3">
      <c r="A415" s="80">
        <v>1531</v>
      </c>
      <c r="B415" s="80" t="s">
        <v>714</v>
      </c>
      <c r="C415" s="80" t="s">
        <v>230</v>
      </c>
      <c r="D415" s="80" t="s">
        <v>231</v>
      </c>
      <c r="E415" s="80" t="s">
        <v>232</v>
      </c>
      <c r="F415" s="80" t="s">
        <v>233</v>
      </c>
      <c r="G415" s="80" t="s">
        <v>117</v>
      </c>
      <c r="H415" s="80" t="s">
        <v>216</v>
      </c>
      <c r="I415" s="80" t="s">
        <v>235</v>
      </c>
    </row>
    <row r="416" spans="1:9" x14ac:dyDescent="0.3">
      <c r="G416" t="s">
        <v>715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8B620-65E3-4A28-8A93-B64945D838FF}">
  <dimension ref="A1:IK81"/>
  <sheetViews>
    <sheetView showGridLines="0" zoomScale="130" zoomScaleNormal="130" workbookViewId="0">
      <selection activeCell="A15" sqref="A15"/>
    </sheetView>
  </sheetViews>
  <sheetFormatPr defaultRowHeight="14.4" x14ac:dyDescent="0.3"/>
  <cols>
    <col min="1" max="1" width="21.77734375" bestFit="1" customWidth="1"/>
    <col min="2" max="2" width="18.5546875" bestFit="1" customWidth="1"/>
    <col min="3" max="7" width="10.77734375" bestFit="1" customWidth="1"/>
    <col min="8" max="8" width="21.5546875" bestFit="1" customWidth="1"/>
    <col min="9" max="9" width="18.5546875" bestFit="1" customWidth="1"/>
    <col min="10" max="208" width="10.77734375" bestFit="1" customWidth="1"/>
    <col min="209" max="209" width="11.44140625" bestFit="1" customWidth="1"/>
    <col min="210" max="244" width="10.77734375" bestFit="1" customWidth="1"/>
    <col min="245" max="245" width="12.44140625" bestFit="1" customWidth="1"/>
    <col min="246" max="247" width="11.21875" bestFit="1" customWidth="1"/>
    <col min="248" max="248" width="12.88671875" bestFit="1" customWidth="1"/>
    <col min="249" max="249" width="12" bestFit="1" customWidth="1"/>
    <col min="250" max="250" width="11" bestFit="1" customWidth="1"/>
    <col min="251" max="251" width="10.6640625" bestFit="1" customWidth="1"/>
    <col min="252" max="252" width="11" bestFit="1" customWidth="1"/>
    <col min="253" max="266" width="10.6640625" bestFit="1" customWidth="1"/>
    <col min="267" max="269" width="11" bestFit="1" customWidth="1"/>
    <col min="270" max="271" width="10.6640625" bestFit="1" customWidth="1"/>
    <col min="272" max="272" width="11" bestFit="1" customWidth="1"/>
    <col min="273" max="285" width="10.6640625" bestFit="1" customWidth="1"/>
    <col min="286" max="286" width="11" bestFit="1" customWidth="1"/>
    <col min="287" max="288" width="10.6640625" bestFit="1" customWidth="1"/>
    <col min="289" max="290" width="11" bestFit="1" customWidth="1"/>
    <col min="291" max="291" width="10.6640625" bestFit="1" customWidth="1"/>
    <col min="292" max="293" width="11" bestFit="1" customWidth="1"/>
    <col min="294" max="302" width="10.6640625" bestFit="1" customWidth="1"/>
    <col min="303" max="303" width="11" bestFit="1" customWidth="1"/>
    <col min="304" max="304" width="10.6640625" bestFit="1" customWidth="1"/>
    <col min="305" max="306" width="11" bestFit="1" customWidth="1"/>
    <col min="307" max="308" width="10.6640625" bestFit="1" customWidth="1"/>
    <col min="309" max="309" width="11" bestFit="1" customWidth="1"/>
    <col min="310" max="310" width="10.6640625" bestFit="1" customWidth="1"/>
    <col min="311" max="311" width="11" bestFit="1" customWidth="1"/>
    <col min="312" max="314" width="10.6640625" bestFit="1" customWidth="1"/>
    <col min="315" max="315" width="11" bestFit="1" customWidth="1"/>
    <col min="316" max="316" width="10.6640625" bestFit="1" customWidth="1"/>
    <col min="317" max="317" width="11" bestFit="1" customWidth="1"/>
    <col min="318" max="320" width="10.6640625" bestFit="1" customWidth="1"/>
    <col min="321" max="321" width="12" bestFit="1" customWidth="1"/>
    <col min="322" max="322" width="10.6640625" bestFit="1" customWidth="1"/>
    <col min="323" max="326" width="11" bestFit="1" customWidth="1"/>
    <col min="327" max="327" width="10.6640625" bestFit="1" customWidth="1"/>
    <col min="328" max="329" width="11" bestFit="1" customWidth="1"/>
    <col min="330" max="331" width="10.6640625" bestFit="1" customWidth="1"/>
    <col min="332" max="332" width="11" bestFit="1" customWidth="1"/>
    <col min="333" max="338" width="10.6640625" bestFit="1" customWidth="1"/>
    <col min="339" max="339" width="11" bestFit="1" customWidth="1"/>
    <col min="340" max="343" width="10.6640625" bestFit="1" customWidth="1"/>
    <col min="344" max="344" width="11" bestFit="1" customWidth="1"/>
    <col min="345" max="345" width="10.6640625" bestFit="1" customWidth="1"/>
    <col min="346" max="348" width="11" bestFit="1" customWidth="1"/>
    <col min="349" max="357" width="10.6640625" bestFit="1" customWidth="1"/>
    <col min="358" max="358" width="12" bestFit="1" customWidth="1"/>
    <col min="359" max="359" width="10.6640625" bestFit="1" customWidth="1"/>
    <col min="360" max="360" width="12" bestFit="1" customWidth="1"/>
    <col min="361" max="363" width="10.6640625" bestFit="1" customWidth="1"/>
    <col min="364" max="364" width="10" bestFit="1" customWidth="1"/>
    <col min="365" max="365" width="12" bestFit="1" customWidth="1"/>
  </cols>
  <sheetData>
    <row r="1" spans="1:245" x14ac:dyDescent="0.3">
      <c r="B1" s="132">
        <v>195135476.33000001</v>
      </c>
      <c r="C1" s="132"/>
      <c r="H1" s="7" t="s">
        <v>716</v>
      </c>
      <c r="I1" t="s">
        <v>190</v>
      </c>
    </row>
    <row r="2" spans="1:245" x14ac:dyDescent="0.3">
      <c r="A2" s="171" t="s">
        <v>717</v>
      </c>
      <c r="B2" s="171"/>
      <c r="C2" s="171"/>
      <c r="D2" s="171"/>
      <c r="H2" t="s">
        <v>718</v>
      </c>
    </row>
    <row r="3" spans="1:245" x14ac:dyDescent="0.3">
      <c r="A3" s="126" t="s">
        <v>192</v>
      </c>
      <c r="B3" s="130">
        <v>46050</v>
      </c>
      <c r="C3" s="130"/>
      <c r="D3" s="129" t="s">
        <v>206</v>
      </c>
      <c r="H3" s="7" t="s">
        <v>1</v>
      </c>
      <c r="I3" s="7" t="s">
        <v>194</v>
      </c>
    </row>
    <row r="4" spans="1:245" x14ac:dyDescent="0.3">
      <c r="A4" s="4" t="s">
        <v>196</v>
      </c>
      <c r="B4" s="8">
        <v>31041784.170000013</v>
      </c>
      <c r="C4" s="8">
        <f t="shared" ref="C4:C39" si="0">VLOOKUP(A4,$H$7:$K$45,4,0)</f>
        <v>3177.53</v>
      </c>
      <c r="D4" s="8">
        <f t="shared" ref="D4:D39" si="1">C4-B4</f>
        <v>-31038606.640000012</v>
      </c>
      <c r="H4" s="7" t="s">
        <v>0</v>
      </c>
      <c r="I4" s="3">
        <v>45659</v>
      </c>
      <c r="J4" s="3">
        <v>45660</v>
      </c>
      <c r="K4" s="3">
        <v>45665</v>
      </c>
      <c r="L4" s="3">
        <v>45678</v>
      </c>
      <c r="M4" s="3">
        <v>45679</v>
      </c>
      <c r="N4" s="3">
        <v>45684</v>
      </c>
      <c r="O4" s="3">
        <v>45685</v>
      </c>
      <c r="P4" s="3">
        <v>45686</v>
      </c>
      <c r="Q4" s="3">
        <v>45687</v>
      </c>
      <c r="R4" s="3">
        <v>45691</v>
      </c>
      <c r="S4" s="3">
        <v>45692</v>
      </c>
      <c r="T4" s="3">
        <v>45693</v>
      </c>
      <c r="U4" s="3">
        <v>45694</v>
      </c>
      <c r="V4" s="3">
        <v>45695</v>
      </c>
      <c r="W4" s="3">
        <v>45698</v>
      </c>
      <c r="X4" s="3">
        <v>45699</v>
      </c>
      <c r="Y4" s="3">
        <v>45700</v>
      </c>
      <c r="Z4" s="3">
        <v>45701</v>
      </c>
      <c r="AA4" s="3">
        <v>45702</v>
      </c>
      <c r="AB4" s="3">
        <v>45706</v>
      </c>
      <c r="AC4" s="3">
        <v>45707</v>
      </c>
      <c r="AD4" s="3">
        <v>45708</v>
      </c>
      <c r="AE4" s="3">
        <v>45709</v>
      </c>
      <c r="AF4" s="3">
        <v>45712</v>
      </c>
      <c r="AG4" s="3">
        <v>45713</v>
      </c>
      <c r="AH4" s="3">
        <v>45714</v>
      </c>
      <c r="AI4" s="3">
        <v>45715</v>
      </c>
      <c r="AJ4" s="3">
        <v>45721</v>
      </c>
      <c r="AK4" s="3">
        <v>45722</v>
      </c>
      <c r="AL4" s="3">
        <v>45723</v>
      </c>
      <c r="AM4" s="3">
        <v>45726</v>
      </c>
      <c r="AN4" s="3">
        <v>45727</v>
      </c>
      <c r="AO4" s="3">
        <v>45728</v>
      </c>
      <c r="AP4" s="3">
        <v>45729</v>
      </c>
      <c r="AQ4" s="3">
        <v>45730</v>
      </c>
      <c r="AR4" s="3">
        <v>45733</v>
      </c>
      <c r="AS4" s="3">
        <v>45734</v>
      </c>
      <c r="AT4" s="3">
        <v>45735</v>
      </c>
      <c r="AU4" s="3">
        <v>45736</v>
      </c>
      <c r="AV4" s="3">
        <v>45737</v>
      </c>
      <c r="AW4" s="3">
        <v>45740</v>
      </c>
      <c r="AX4" s="3">
        <v>45742</v>
      </c>
      <c r="AY4" s="3">
        <v>45743</v>
      </c>
      <c r="AZ4" s="3">
        <v>45744</v>
      </c>
      <c r="BA4" s="3">
        <v>45747</v>
      </c>
      <c r="BB4" s="3">
        <v>45748</v>
      </c>
      <c r="BC4" s="3">
        <v>45749</v>
      </c>
      <c r="BD4" s="3">
        <v>45750</v>
      </c>
      <c r="BE4" s="3">
        <v>45751</v>
      </c>
      <c r="BF4" s="3">
        <v>45754</v>
      </c>
      <c r="BG4" s="3">
        <v>45755</v>
      </c>
      <c r="BH4" s="3">
        <v>45756</v>
      </c>
      <c r="BI4" s="3">
        <v>45757</v>
      </c>
      <c r="BJ4" s="3">
        <v>45758</v>
      </c>
      <c r="BK4" s="3">
        <v>45761</v>
      </c>
      <c r="BL4" s="3">
        <v>45762</v>
      </c>
      <c r="BM4" s="3">
        <v>45763</v>
      </c>
      <c r="BN4" s="3">
        <v>45764</v>
      </c>
      <c r="BO4" s="3">
        <v>45769</v>
      </c>
      <c r="BP4" s="3">
        <v>45770</v>
      </c>
      <c r="BQ4" s="3">
        <v>45771</v>
      </c>
      <c r="BR4" s="3">
        <v>45772</v>
      </c>
      <c r="BS4" s="3">
        <v>45775</v>
      </c>
      <c r="BT4" s="3">
        <v>45776</v>
      </c>
      <c r="BU4" s="3">
        <v>45779</v>
      </c>
      <c r="BV4" s="3">
        <v>45782</v>
      </c>
      <c r="BW4" s="3">
        <v>45783</v>
      </c>
      <c r="BX4" s="3">
        <v>45784</v>
      </c>
      <c r="BY4" s="3">
        <v>45785</v>
      </c>
      <c r="BZ4" s="3">
        <v>45786</v>
      </c>
      <c r="CA4" s="3">
        <v>45789</v>
      </c>
      <c r="CB4" s="3">
        <v>45790</v>
      </c>
      <c r="CC4" s="3">
        <v>45791</v>
      </c>
      <c r="CD4" s="3">
        <v>45792</v>
      </c>
      <c r="CE4" s="3">
        <v>45793</v>
      </c>
      <c r="CF4" s="3">
        <v>45796</v>
      </c>
      <c r="CG4" s="3">
        <v>45797</v>
      </c>
      <c r="CH4" s="3">
        <v>45798</v>
      </c>
      <c r="CI4" s="3">
        <v>45799</v>
      </c>
      <c r="CJ4" s="3">
        <v>45800</v>
      </c>
      <c r="CK4" s="3">
        <v>45803</v>
      </c>
      <c r="CL4" s="3">
        <v>45804</v>
      </c>
      <c r="CM4" s="3">
        <v>45805</v>
      </c>
      <c r="CN4" s="3">
        <v>45807</v>
      </c>
      <c r="CO4" s="3">
        <v>45810</v>
      </c>
      <c r="CP4" s="3">
        <v>45811</v>
      </c>
      <c r="CQ4" s="3">
        <v>45812</v>
      </c>
      <c r="CR4" s="3">
        <v>45813</v>
      </c>
      <c r="CS4" s="3">
        <v>45814</v>
      </c>
      <c r="CT4" s="3">
        <v>45817</v>
      </c>
      <c r="CU4" s="3">
        <v>45818</v>
      </c>
      <c r="CV4" s="3">
        <v>45819</v>
      </c>
      <c r="CW4" s="3">
        <v>45820</v>
      </c>
      <c r="CX4" s="3">
        <v>45821</v>
      </c>
      <c r="CY4" s="3">
        <v>45824</v>
      </c>
      <c r="CZ4" s="3">
        <v>45825</v>
      </c>
      <c r="DA4" s="3">
        <v>45826</v>
      </c>
      <c r="DB4" s="3">
        <v>45828</v>
      </c>
      <c r="DC4" s="3">
        <v>45831</v>
      </c>
      <c r="DD4" s="3">
        <v>45833</v>
      </c>
      <c r="DE4" s="3">
        <v>45834</v>
      </c>
      <c r="DF4" s="3">
        <v>45835</v>
      </c>
      <c r="DG4" s="3">
        <v>45839</v>
      </c>
      <c r="DH4" s="3">
        <v>45841</v>
      </c>
      <c r="DI4" s="3">
        <v>45842</v>
      </c>
      <c r="DJ4" s="3">
        <v>45845</v>
      </c>
      <c r="DK4" s="3">
        <v>45846</v>
      </c>
      <c r="DL4" s="3">
        <v>45848</v>
      </c>
      <c r="DM4" s="3">
        <v>45849</v>
      </c>
      <c r="DN4" s="3">
        <v>45852</v>
      </c>
      <c r="DO4" s="3">
        <v>45853</v>
      </c>
      <c r="DP4" s="3">
        <v>45854</v>
      </c>
      <c r="DQ4" s="3">
        <v>45855</v>
      </c>
      <c r="DR4" s="3">
        <v>45856</v>
      </c>
      <c r="DS4" s="3">
        <v>45859</v>
      </c>
      <c r="DT4" s="3">
        <v>45860</v>
      </c>
      <c r="DU4" s="3">
        <v>45861</v>
      </c>
      <c r="DV4" s="3">
        <v>45862</v>
      </c>
      <c r="DW4" s="3">
        <v>45863</v>
      </c>
      <c r="DX4" s="3">
        <v>45866</v>
      </c>
      <c r="DY4" s="3">
        <v>45868</v>
      </c>
      <c r="DZ4" s="3">
        <v>45869</v>
      </c>
      <c r="EA4" s="3">
        <v>45870</v>
      </c>
      <c r="EB4" s="3">
        <v>45873</v>
      </c>
      <c r="EC4" s="3">
        <v>45874</v>
      </c>
      <c r="ED4" s="3">
        <v>45875</v>
      </c>
      <c r="EE4" s="3">
        <v>45876</v>
      </c>
      <c r="EF4" s="3">
        <v>45877</v>
      </c>
      <c r="EG4" s="3">
        <v>45880</v>
      </c>
      <c r="EH4" s="3">
        <v>45881</v>
      </c>
      <c r="EI4" s="3">
        <v>45882</v>
      </c>
      <c r="EJ4" s="3">
        <v>45883</v>
      </c>
      <c r="EK4" s="3">
        <v>45884</v>
      </c>
      <c r="EL4" s="3">
        <v>45887</v>
      </c>
      <c r="EM4" s="3">
        <v>45888</v>
      </c>
      <c r="EN4" s="3">
        <v>45890</v>
      </c>
      <c r="EO4" s="3">
        <v>45891</v>
      </c>
      <c r="EP4" s="3">
        <v>45894</v>
      </c>
      <c r="EQ4" s="3">
        <v>45895</v>
      </c>
      <c r="ER4" s="3">
        <v>45896</v>
      </c>
      <c r="ES4" s="3">
        <v>45901</v>
      </c>
      <c r="ET4" s="3">
        <v>45902</v>
      </c>
      <c r="EU4" s="3">
        <v>45903</v>
      </c>
      <c r="EV4" s="3">
        <v>45904</v>
      </c>
      <c r="EW4" s="3">
        <v>45905</v>
      </c>
      <c r="EX4" s="3">
        <v>45908</v>
      </c>
      <c r="EY4" s="3">
        <v>45909</v>
      </c>
      <c r="EZ4" s="3">
        <v>45910</v>
      </c>
      <c r="FA4" s="3">
        <v>45911</v>
      </c>
      <c r="FB4" s="3">
        <v>45912</v>
      </c>
      <c r="FC4" s="3">
        <v>45915</v>
      </c>
      <c r="FD4" s="3">
        <v>45916</v>
      </c>
      <c r="FE4" s="3">
        <v>45917</v>
      </c>
      <c r="FF4" s="3">
        <v>45918</v>
      </c>
      <c r="FG4" s="3">
        <v>45919</v>
      </c>
      <c r="FH4" s="3">
        <v>45922</v>
      </c>
      <c r="FI4" s="3">
        <v>45924</v>
      </c>
      <c r="FJ4" s="3">
        <v>45925</v>
      </c>
      <c r="FK4" s="3">
        <v>45926</v>
      </c>
      <c r="FL4" s="3">
        <v>45929</v>
      </c>
      <c r="FM4" s="3">
        <v>45930</v>
      </c>
      <c r="FN4" s="3">
        <v>45931</v>
      </c>
      <c r="FO4" s="3">
        <v>45932</v>
      </c>
      <c r="FP4" s="3">
        <v>45933</v>
      </c>
      <c r="FQ4" s="3">
        <v>45936</v>
      </c>
      <c r="FR4" s="3">
        <v>45937</v>
      </c>
      <c r="FS4" s="3">
        <v>45938</v>
      </c>
      <c r="FT4" s="3">
        <v>45939</v>
      </c>
      <c r="FU4" s="3">
        <v>45940</v>
      </c>
      <c r="FV4" s="3">
        <v>45943</v>
      </c>
      <c r="FW4" s="3">
        <v>45944</v>
      </c>
      <c r="FX4" s="3">
        <v>45945</v>
      </c>
      <c r="FY4" s="3">
        <v>45946</v>
      </c>
      <c r="FZ4" s="3">
        <v>45947</v>
      </c>
      <c r="GA4" s="3">
        <v>45950</v>
      </c>
      <c r="GB4" s="3">
        <v>45951</v>
      </c>
      <c r="GC4" s="3">
        <v>45952</v>
      </c>
      <c r="GD4" s="3">
        <v>45953</v>
      </c>
      <c r="GE4" s="3">
        <v>45954</v>
      </c>
      <c r="GF4" s="3">
        <v>45957</v>
      </c>
      <c r="GG4" s="3">
        <v>45958</v>
      </c>
      <c r="GH4" s="3">
        <v>45959</v>
      </c>
      <c r="GI4" s="3">
        <v>45964</v>
      </c>
      <c r="GJ4" s="3">
        <v>45965</v>
      </c>
      <c r="GK4" s="3">
        <v>45966</v>
      </c>
      <c r="GL4" s="3">
        <v>45967</v>
      </c>
      <c r="GM4" s="3">
        <v>45968</v>
      </c>
      <c r="GN4" s="3">
        <v>45971</v>
      </c>
      <c r="GO4" s="3">
        <v>45972</v>
      </c>
      <c r="GP4" s="3">
        <v>45973</v>
      </c>
      <c r="GQ4" s="3">
        <v>45974</v>
      </c>
      <c r="GR4" s="3">
        <v>45975</v>
      </c>
      <c r="GS4" s="3">
        <v>45978</v>
      </c>
      <c r="GT4" s="3">
        <v>45979</v>
      </c>
      <c r="GU4" s="3">
        <v>45980</v>
      </c>
      <c r="GV4" s="3">
        <v>45982</v>
      </c>
      <c r="GW4" s="3">
        <v>45985</v>
      </c>
      <c r="GX4" s="3">
        <v>45986</v>
      </c>
      <c r="GY4" s="3">
        <v>45987</v>
      </c>
      <c r="GZ4" s="3">
        <v>45988</v>
      </c>
      <c r="HA4" s="3">
        <v>45992</v>
      </c>
      <c r="HB4" s="3">
        <v>45993</v>
      </c>
      <c r="HC4" s="3">
        <v>45994</v>
      </c>
      <c r="HD4" s="3">
        <v>45995</v>
      </c>
      <c r="HE4" s="3">
        <v>45996</v>
      </c>
      <c r="HF4" s="3">
        <v>46000</v>
      </c>
      <c r="HG4" s="3">
        <v>46001</v>
      </c>
      <c r="HH4" s="3">
        <v>46002</v>
      </c>
      <c r="HI4" s="3">
        <v>46003</v>
      </c>
      <c r="HJ4" s="3">
        <v>46006</v>
      </c>
      <c r="HK4" s="3">
        <v>46007</v>
      </c>
      <c r="HL4" s="3">
        <v>46008</v>
      </c>
      <c r="HM4" s="3">
        <v>46009</v>
      </c>
      <c r="HN4" s="3">
        <v>46010</v>
      </c>
      <c r="HO4" s="3">
        <v>46013</v>
      </c>
      <c r="HP4" s="3">
        <v>46021</v>
      </c>
      <c r="HQ4" s="3">
        <v>46024</v>
      </c>
      <c r="HR4" s="3">
        <v>46027</v>
      </c>
      <c r="HS4" s="3">
        <v>46028</v>
      </c>
      <c r="HT4" s="3">
        <v>46029</v>
      </c>
      <c r="HU4" s="3">
        <v>46030</v>
      </c>
      <c r="HV4" s="3">
        <v>46031</v>
      </c>
      <c r="HW4" s="3">
        <v>46034</v>
      </c>
      <c r="HX4" s="3">
        <v>46035</v>
      </c>
      <c r="HY4" s="3">
        <v>46036</v>
      </c>
      <c r="HZ4" s="3">
        <v>46037</v>
      </c>
      <c r="IA4" s="3">
        <v>46038</v>
      </c>
      <c r="IB4" s="3">
        <v>46042</v>
      </c>
      <c r="IC4" s="3">
        <v>46044</v>
      </c>
      <c r="ID4" s="3">
        <v>46045</v>
      </c>
      <c r="IE4" s="3">
        <v>46048</v>
      </c>
      <c r="IF4" s="3">
        <v>46049</v>
      </c>
      <c r="IG4" s="3">
        <v>46055</v>
      </c>
      <c r="IH4" s="3">
        <v>46056</v>
      </c>
      <c r="II4" s="3">
        <v>46058</v>
      </c>
      <c r="IJ4" s="3">
        <v>46071</v>
      </c>
      <c r="IK4" t="s">
        <v>19</v>
      </c>
    </row>
    <row r="5" spans="1:245" x14ac:dyDescent="0.3">
      <c r="A5" s="4" t="s">
        <v>32</v>
      </c>
      <c r="B5" s="8">
        <v>24644498.517854072</v>
      </c>
      <c r="C5" s="8">
        <f t="shared" si="0"/>
        <v>0</v>
      </c>
      <c r="D5" s="8">
        <f t="shared" si="1"/>
        <v>-24644498.517854072</v>
      </c>
      <c r="H5" s="4" t="s">
        <v>4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>
        <v>4281.29</v>
      </c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>
        <v>4281.29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>
        <v>4281.29</v>
      </c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>
        <v>4281.29</v>
      </c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>
        <v>4281.29</v>
      </c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>
        <v>4281.29</v>
      </c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>
        <v>4281.29</v>
      </c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>
        <v>4281.29</v>
      </c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  <c r="FS5" s="8"/>
      <c r="FT5" s="8"/>
      <c r="FU5" s="8"/>
      <c r="FV5" s="8"/>
      <c r="FW5" s="8"/>
      <c r="FX5" s="8"/>
      <c r="FY5" s="8"/>
      <c r="FZ5" s="8">
        <v>4281.29</v>
      </c>
      <c r="GA5" s="8"/>
      <c r="GB5" s="8"/>
      <c r="GC5" s="8"/>
      <c r="GD5" s="8"/>
      <c r="GE5" s="8"/>
      <c r="GF5" s="8"/>
      <c r="GG5" s="8"/>
      <c r="GH5" s="8"/>
      <c r="GI5" s="8"/>
      <c r="GJ5" s="8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>
        <v>35010.28</v>
      </c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8"/>
      <c r="HN5" s="8"/>
      <c r="HO5" s="8"/>
      <c r="HP5" s="8"/>
      <c r="HQ5" s="8"/>
      <c r="HR5" s="8"/>
      <c r="HS5" s="8"/>
      <c r="HT5" s="8"/>
      <c r="HU5" s="8"/>
      <c r="HV5" s="8">
        <v>4535.1000000000004</v>
      </c>
      <c r="HW5" s="8"/>
      <c r="HX5" s="8"/>
      <c r="HY5" s="8"/>
      <c r="HZ5" s="8"/>
      <c r="IA5" s="8"/>
      <c r="IB5" s="8">
        <v>4535.1000000000004</v>
      </c>
      <c r="IC5" s="8"/>
      <c r="ID5" s="8"/>
      <c r="IE5" s="8"/>
      <c r="IF5" s="8"/>
      <c r="IG5" s="8"/>
      <c r="IH5" s="8"/>
      <c r="II5" s="8"/>
      <c r="IJ5" s="8"/>
      <c r="IK5" s="8">
        <v>82612.090000000011</v>
      </c>
    </row>
    <row r="6" spans="1:245" x14ac:dyDescent="0.3">
      <c r="A6" s="4" t="s">
        <v>141</v>
      </c>
      <c r="B6" s="8">
        <v>24932572.080000002</v>
      </c>
      <c r="C6" s="8">
        <f t="shared" si="0"/>
        <v>0</v>
      </c>
      <c r="D6" s="8">
        <f t="shared" si="1"/>
        <v>-24932572.080000002</v>
      </c>
      <c r="H6" s="4" t="s">
        <v>60</v>
      </c>
      <c r="I6" s="8"/>
      <c r="J6" s="8"/>
      <c r="K6" s="8"/>
      <c r="L6" s="8"/>
      <c r="M6" s="8"/>
      <c r="N6" s="8"/>
      <c r="O6" s="8"/>
      <c r="P6" s="8"/>
      <c r="Q6" s="8"/>
      <c r="R6" s="8">
        <v>54003.39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>
        <v>54003.39</v>
      </c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>
        <v>17681.61</v>
      </c>
      <c r="BC6" s="8"/>
      <c r="BD6" s="8">
        <v>13547.48</v>
      </c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>
        <v>54003.39</v>
      </c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>
        <v>54003.39</v>
      </c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>
        <v>57435.39</v>
      </c>
      <c r="DH6" s="8"/>
      <c r="DI6" s="8"/>
      <c r="DJ6" s="8"/>
      <c r="DK6" s="8">
        <v>5472.8</v>
      </c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>
        <v>54003.39</v>
      </c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>
        <v>54003.39</v>
      </c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>
        <v>54003.39</v>
      </c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>
        <v>56875.77</v>
      </c>
      <c r="GJ6" s="8">
        <v>9575.9</v>
      </c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>
        <v>56875.77</v>
      </c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>
        <v>56875.77</v>
      </c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>
        <v>652364.22000000009</v>
      </c>
    </row>
    <row r="7" spans="1:245" x14ac:dyDescent="0.3">
      <c r="A7" s="4" t="s">
        <v>3</v>
      </c>
      <c r="B7" s="8">
        <v>15716188.969999997</v>
      </c>
      <c r="C7" s="8">
        <f t="shared" si="0"/>
        <v>0</v>
      </c>
      <c r="D7" s="8">
        <f t="shared" si="1"/>
        <v>-15716188.969999997</v>
      </c>
      <c r="H7" s="4" t="s">
        <v>34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>
        <v>39000</v>
      </c>
      <c r="U7" s="8">
        <v>764799.57000000007</v>
      </c>
      <c r="V7" s="8"/>
      <c r="W7" s="8"/>
      <c r="X7" s="8">
        <v>35127.120000000003</v>
      </c>
      <c r="Y7" s="8">
        <v>305125.3</v>
      </c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>
        <v>800538.57000000007</v>
      </c>
      <c r="AL7" s="8"/>
      <c r="AM7" s="8">
        <v>39000</v>
      </c>
      <c r="AN7" s="8">
        <v>333377.46000000002</v>
      </c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>
        <v>827537.29</v>
      </c>
      <c r="BD7" s="8"/>
      <c r="BE7" s="8"/>
      <c r="BF7" s="8">
        <v>39000</v>
      </c>
      <c r="BG7" s="8"/>
      <c r="BH7" s="8"/>
      <c r="BI7" s="8"/>
      <c r="BJ7" s="8"/>
      <c r="BK7" s="8"/>
      <c r="BL7" s="8">
        <v>341672.06</v>
      </c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>
        <v>39000</v>
      </c>
      <c r="BZ7" s="8"/>
      <c r="CA7" s="8">
        <v>462378.86</v>
      </c>
      <c r="CB7" s="8"/>
      <c r="CC7" s="8"/>
      <c r="CD7" s="8"/>
      <c r="CE7" s="8">
        <v>367574.26</v>
      </c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>
        <v>39000</v>
      </c>
      <c r="CS7" s="8"/>
      <c r="CT7" s="8"/>
      <c r="CU7" s="8"/>
      <c r="CV7" s="8"/>
      <c r="CW7" s="8"/>
      <c r="CX7" s="8"/>
      <c r="CY7" s="8">
        <v>319851.14</v>
      </c>
      <c r="CZ7" s="8">
        <v>1176132.73</v>
      </c>
      <c r="DA7" s="8"/>
      <c r="DB7" s="8"/>
      <c r="DC7" s="8"/>
      <c r="DD7" s="8"/>
      <c r="DE7" s="8"/>
      <c r="DF7" s="8">
        <v>35127.120000000003</v>
      </c>
      <c r="DG7" s="8"/>
      <c r="DH7" s="8"/>
      <c r="DI7" s="8">
        <v>39000</v>
      </c>
      <c r="DJ7" s="8">
        <v>35127.120000000003</v>
      </c>
      <c r="DK7" s="8"/>
      <c r="DL7" s="8"/>
      <c r="DM7" s="8"/>
      <c r="DN7" s="8"/>
      <c r="DO7" s="8">
        <v>287717.94</v>
      </c>
      <c r="DP7" s="8"/>
      <c r="DQ7" s="8">
        <v>781159.78</v>
      </c>
      <c r="DR7" s="8"/>
      <c r="DS7" s="8"/>
      <c r="DT7" s="8"/>
      <c r="DU7" s="8"/>
      <c r="DV7" s="8"/>
      <c r="DW7" s="8"/>
      <c r="DX7" s="8"/>
      <c r="DY7" s="8"/>
      <c r="DZ7" s="8"/>
      <c r="EA7" s="8">
        <v>39000</v>
      </c>
      <c r="EB7" s="8"/>
      <c r="EC7" s="8">
        <v>35127.120000000003</v>
      </c>
      <c r="ED7" s="8"/>
      <c r="EE7" s="8"/>
      <c r="EF7" s="8"/>
      <c r="EG7" s="8">
        <v>818703.81</v>
      </c>
      <c r="EH7" s="8"/>
      <c r="EI7" s="8"/>
      <c r="EJ7" s="8">
        <v>287717.94</v>
      </c>
      <c r="EK7" s="8"/>
      <c r="EL7" s="8"/>
      <c r="EM7" s="8"/>
      <c r="EN7" s="8"/>
      <c r="EO7" s="8"/>
      <c r="EP7" s="8"/>
      <c r="EQ7" s="8"/>
      <c r="ER7" s="8"/>
      <c r="ES7" s="8"/>
      <c r="ET7" s="8"/>
      <c r="EU7" s="8">
        <v>35000</v>
      </c>
      <c r="EV7" s="8"/>
      <c r="EW7" s="8">
        <v>39000</v>
      </c>
      <c r="EX7" s="8"/>
      <c r="EY7" s="8"/>
      <c r="EZ7" s="8"/>
      <c r="FA7" s="8">
        <v>287717.94</v>
      </c>
      <c r="FB7" s="8">
        <v>35127.120000000003</v>
      </c>
      <c r="FC7" s="8"/>
      <c r="FD7" s="8">
        <v>853192.83</v>
      </c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>
        <v>35682.61</v>
      </c>
      <c r="FQ7" s="8"/>
      <c r="FR7" s="8">
        <v>39000</v>
      </c>
      <c r="FS7" s="8"/>
      <c r="FT7" s="8"/>
      <c r="FU7" s="8"/>
      <c r="FV7" s="8">
        <v>287717.94</v>
      </c>
      <c r="FW7" s="8"/>
      <c r="FX7" s="8"/>
      <c r="FY7" s="8">
        <v>917050.68</v>
      </c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>
        <v>39000</v>
      </c>
      <c r="GM7" s="8">
        <v>37210.160000000003</v>
      </c>
      <c r="GN7" s="8"/>
      <c r="GO7" s="8"/>
      <c r="GP7" s="8"/>
      <c r="GQ7" s="8"/>
      <c r="GR7" s="8">
        <v>287717.94</v>
      </c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>
        <v>39000</v>
      </c>
      <c r="HE7" s="8"/>
      <c r="HF7" s="8"/>
      <c r="HG7" s="8"/>
      <c r="HH7" s="8">
        <v>37210.160000000003</v>
      </c>
      <c r="HI7" s="8"/>
      <c r="HJ7" s="8"/>
      <c r="HK7" s="8"/>
      <c r="HL7" s="8">
        <v>1577638.2400000002</v>
      </c>
      <c r="HM7" s="8">
        <v>275717.94</v>
      </c>
      <c r="HN7" s="8"/>
      <c r="HO7" s="8">
        <v>302899.45999999996</v>
      </c>
      <c r="HP7" s="8"/>
      <c r="HQ7" s="8"/>
      <c r="HR7" s="8"/>
      <c r="HS7" s="8"/>
      <c r="HT7" s="8"/>
      <c r="HU7" s="8"/>
      <c r="HV7" s="8"/>
      <c r="HW7" s="8">
        <v>49616.75</v>
      </c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>
        <v>13463294.959999997</v>
      </c>
    </row>
    <row r="8" spans="1:245" x14ac:dyDescent="0.3">
      <c r="A8" s="4" t="s">
        <v>44</v>
      </c>
      <c r="B8" s="8">
        <v>15072620.179999996</v>
      </c>
      <c r="C8" s="8">
        <f t="shared" si="0"/>
        <v>0</v>
      </c>
      <c r="D8" s="8">
        <f t="shared" si="1"/>
        <v>-15072620.179999996</v>
      </c>
      <c r="H8" s="4" t="s">
        <v>109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>
        <v>105800</v>
      </c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>
        <v>52900</v>
      </c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>
        <v>52900</v>
      </c>
      <c r="FO8" s="8">
        <v>52900</v>
      </c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>
        <v>52900</v>
      </c>
      <c r="GM8" s="8">
        <v>61208.7</v>
      </c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>
        <v>52900</v>
      </c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>
        <v>431508.7</v>
      </c>
    </row>
    <row r="9" spans="1:245" x14ac:dyDescent="0.3">
      <c r="A9" s="4" t="s">
        <v>38</v>
      </c>
      <c r="B9" s="8">
        <v>14806316.100000003</v>
      </c>
      <c r="C9" s="8">
        <f t="shared" si="0"/>
        <v>0</v>
      </c>
      <c r="D9" s="47">
        <f t="shared" si="1"/>
        <v>-14806316.100000003</v>
      </c>
      <c r="H9" s="4" t="s">
        <v>196</v>
      </c>
      <c r="I9" s="8"/>
      <c r="J9" s="8"/>
      <c r="K9" s="8">
        <v>3177.53</v>
      </c>
      <c r="L9" s="8"/>
      <c r="M9" s="8"/>
      <c r="N9" s="8"/>
      <c r="O9" s="8"/>
      <c r="P9" s="8">
        <v>39410.92</v>
      </c>
      <c r="Q9" s="8">
        <v>21543.39</v>
      </c>
      <c r="R9" s="8"/>
      <c r="S9" s="8"/>
      <c r="T9" s="8"/>
      <c r="U9" s="8">
        <v>4941.09</v>
      </c>
      <c r="V9" s="8">
        <v>730252.61</v>
      </c>
      <c r="W9" s="8">
        <v>175329</v>
      </c>
      <c r="X9" s="8">
        <v>41659.15</v>
      </c>
      <c r="Y9" s="8">
        <v>314814.06</v>
      </c>
      <c r="Z9" s="8">
        <v>231059.82</v>
      </c>
      <c r="AA9" s="8"/>
      <c r="AB9" s="8"/>
      <c r="AC9" s="8"/>
      <c r="AD9" s="8"/>
      <c r="AE9" s="8"/>
      <c r="AF9" s="8"/>
      <c r="AG9" s="8"/>
      <c r="AH9" s="8">
        <v>25534.32</v>
      </c>
      <c r="AI9" s="8">
        <v>7089.08</v>
      </c>
      <c r="AJ9" s="8"/>
      <c r="AK9" s="8">
        <v>6225.2</v>
      </c>
      <c r="AL9" s="8"/>
      <c r="AM9" s="8">
        <v>362855.31</v>
      </c>
      <c r="AN9" s="8">
        <v>11560.94</v>
      </c>
      <c r="AO9" s="8">
        <v>160318.6</v>
      </c>
      <c r="AP9" s="8">
        <v>789982.47000000009</v>
      </c>
      <c r="AQ9" s="8">
        <v>64116.099999999991</v>
      </c>
      <c r="AR9" s="8">
        <v>10587.49</v>
      </c>
      <c r="AS9" s="8">
        <v>10587.49</v>
      </c>
      <c r="AT9" s="8"/>
      <c r="AU9" s="8"/>
      <c r="AV9" s="8"/>
      <c r="AW9" s="8"/>
      <c r="AX9" s="8"/>
      <c r="AY9" s="8">
        <v>21582.58</v>
      </c>
      <c r="AZ9" s="8"/>
      <c r="BA9" s="8">
        <v>24572.639999999999</v>
      </c>
      <c r="BB9" s="8"/>
      <c r="BC9" s="8">
        <v>21118</v>
      </c>
      <c r="BD9" s="8"/>
      <c r="BE9" s="8"/>
      <c r="BF9" s="8"/>
      <c r="BG9" s="8">
        <v>9175.0300000000007</v>
      </c>
      <c r="BH9" s="8">
        <v>192543.12</v>
      </c>
      <c r="BI9" s="8">
        <v>665320.94999999995</v>
      </c>
      <c r="BJ9" s="8">
        <v>404696.85</v>
      </c>
      <c r="BK9" s="8">
        <v>53781</v>
      </c>
      <c r="BL9" s="8"/>
      <c r="BM9" s="8"/>
      <c r="BN9" s="8"/>
      <c r="BO9" s="8"/>
      <c r="BP9" s="8"/>
      <c r="BQ9" s="8"/>
      <c r="BR9" s="8"/>
      <c r="BS9" s="8">
        <v>32623.4</v>
      </c>
      <c r="BT9" s="8"/>
      <c r="BU9" s="8"/>
      <c r="BV9" s="8">
        <v>42272.42</v>
      </c>
      <c r="BW9" s="8"/>
      <c r="BX9" s="8"/>
      <c r="BY9" s="8"/>
      <c r="BZ9" s="8">
        <v>609121.17000000004</v>
      </c>
      <c r="CA9" s="8">
        <v>288193.93</v>
      </c>
      <c r="CB9" s="8">
        <v>294240.94</v>
      </c>
      <c r="CC9" s="8">
        <v>41842.06</v>
      </c>
      <c r="CD9" s="8">
        <v>338946.19</v>
      </c>
      <c r="CE9" s="8"/>
      <c r="CF9" s="8"/>
      <c r="CG9" s="8">
        <v>83827.540000000008</v>
      </c>
      <c r="CH9" s="8"/>
      <c r="CI9" s="8">
        <v>965.79</v>
      </c>
      <c r="CJ9" s="8"/>
      <c r="CK9" s="8">
        <v>48441.86</v>
      </c>
      <c r="CL9" s="8"/>
      <c r="CM9" s="8">
        <v>27075</v>
      </c>
      <c r="CN9" s="8"/>
      <c r="CO9" s="8"/>
      <c r="CP9" s="8"/>
      <c r="CQ9" s="8"/>
      <c r="CR9" s="8">
        <v>126601.58</v>
      </c>
      <c r="CS9" s="8"/>
      <c r="CT9" s="8">
        <v>1143280.3399999999</v>
      </c>
      <c r="CU9" s="8">
        <v>250436.25</v>
      </c>
      <c r="CV9" s="8">
        <v>353183.28</v>
      </c>
      <c r="CW9" s="8"/>
      <c r="CX9" s="8"/>
      <c r="CY9" s="8"/>
      <c r="CZ9" s="8"/>
      <c r="DA9" s="8"/>
      <c r="DB9" s="8">
        <v>3562.53</v>
      </c>
      <c r="DC9" s="8"/>
      <c r="DD9" s="8"/>
      <c r="DE9" s="8">
        <v>35337.800000000003</v>
      </c>
      <c r="DF9" s="8"/>
      <c r="DG9" s="8"/>
      <c r="DH9" s="8"/>
      <c r="DI9" s="8"/>
      <c r="DJ9" s="8"/>
      <c r="DK9" s="8">
        <v>932059.07</v>
      </c>
      <c r="DL9" s="8">
        <v>122834.03</v>
      </c>
      <c r="DM9" s="8"/>
      <c r="DN9" s="8">
        <v>603582.71</v>
      </c>
      <c r="DO9" s="8"/>
      <c r="DP9" s="8">
        <v>154715.53</v>
      </c>
      <c r="DQ9" s="8"/>
      <c r="DR9" s="8"/>
      <c r="DS9" s="8"/>
      <c r="DT9" s="8"/>
      <c r="DU9" s="8"/>
      <c r="DV9" s="8"/>
      <c r="DW9" s="8"/>
      <c r="DX9" s="8">
        <v>13375.12</v>
      </c>
      <c r="DY9" s="8"/>
      <c r="DZ9" s="8"/>
      <c r="EA9" s="8"/>
      <c r="EB9" s="8"/>
      <c r="EC9" s="8"/>
      <c r="ED9" s="8"/>
      <c r="EE9" s="8"/>
      <c r="EF9" s="8">
        <v>329405.53000000003</v>
      </c>
      <c r="EG9" s="8">
        <v>126870.48</v>
      </c>
      <c r="EH9" s="8">
        <v>1522859.7499999998</v>
      </c>
      <c r="EI9" s="8">
        <v>360823.52999999997</v>
      </c>
      <c r="EJ9" s="8">
        <v>274566</v>
      </c>
      <c r="EK9" s="8">
        <v>1111.48</v>
      </c>
      <c r="EL9" s="8"/>
      <c r="EM9" s="8"/>
      <c r="EN9" s="8"/>
      <c r="EO9" s="8"/>
      <c r="EP9" s="8"/>
      <c r="EQ9" s="8">
        <v>25534.32</v>
      </c>
      <c r="ER9" s="8"/>
      <c r="ES9" s="8"/>
      <c r="ET9" s="8"/>
      <c r="EU9" s="8"/>
      <c r="EV9" s="8"/>
      <c r="EW9" s="8">
        <v>524055.5</v>
      </c>
      <c r="EX9" s="8">
        <v>17269.2</v>
      </c>
      <c r="EY9" s="8">
        <v>624474.48</v>
      </c>
      <c r="EZ9" s="8">
        <v>486177.36</v>
      </c>
      <c r="FA9" s="8">
        <v>787068.66</v>
      </c>
      <c r="FB9" s="8">
        <v>336022.44</v>
      </c>
      <c r="FC9" s="8"/>
      <c r="FD9" s="8"/>
      <c r="FE9" s="8"/>
      <c r="FF9" s="8"/>
      <c r="FG9" s="8"/>
      <c r="FH9" s="8"/>
      <c r="FI9" s="8"/>
      <c r="FJ9" s="8"/>
      <c r="FK9" s="8">
        <v>14477.09</v>
      </c>
      <c r="FL9" s="8"/>
      <c r="FM9" s="8">
        <v>27966.16</v>
      </c>
      <c r="FN9" s="8"/>
      <c r="FO9" s="8"/>
      <c r="FP9" s="8"/>
      <c r="FQ9" s="8">
        <v>285389.41000000003</v>
      </c>
      <c r="FR9" s="8">
        <v>690729.98</v>
      </c>
      <c r="FS9" s="8"/>
      <c r="FT9" s="8"/>
      <c r="FU9" s="8">
        <v>891072.65999999992</v>
      </c>
      <c r="FV9" s="8">
        <v>1006460.86</v>
      </c>
      <c r="FW9" s="8">
        <v>488997.15</v>
      </c>
      <c r="FX9" s="8">
        <v>201888.69</v>
      </c>
      <c r="FY9" s="8"/>
      <c r="FZ9" s="8"/>
      <c r="GA9" s="8"/>
      <c r="GB9" s="8"/>
      <c r="GC9" s="8">
        <v>19968.05</v>
      </c>
      <c r="GD9" s="8"/>
      <c r="GE9" s="8"/>
      <c r="GF9" s="8">
        <v>25534.32</v>
      </c>
      <c r="GG9" s="8"/>
      <c r="GH9" s="8"/>
      <c r="GI9" s="8"/>
      <c r="GJ9" s="8"/>
      <c r="GK9" s="8">
        <v>976963.57000000007</v>
      </c>
      <c r="GL9" s="8">
        <v>420246.64</v>
      </c>
      <c r="GM9" s="8">
        <v>265621.28999999998</v>
      </c>
      <c r="GN9" s="8">
        <v>392096.18</v>
      </c>
      <c r="GO9" s="8"/>
      <c r="GP9" s="8">
        <v>487909.18000000005</v>
      </c>
      <c r="GQ9" s="8">
        <v>526362.52</v>
      </c>
      <c r="GR9" s="8"/>
      <c r="GS9" s="8">
        <v>181920.64000000001</v>
      </c>
      <c r="GT9" s="8">
        <v>246371.27000000002</v>
      </c>
      <c r="GU9" s="8">
        <v>308663.91000000003</v>
      </c>
      <c r="GV9" s="8"/>
      <c r="GW9" s="8"/>
      <c r="GX9" s="8"/>
      <c r="GY9" s="8"/>
      <c r="GZ9" s="8">
        <v>25534.32</v>
      </c>
      <c r="HA9" s="8">
        <v>13192.46</v>
      </c>
      <c r="HB9" s="8"/>
      <c r="HC9" s="8">
        <v>278730.06</v>
      </c>
      <c r="HD9" s="8">
        <v>1188989.6900000002</v>
      </c>
      <c r="HE9" s="8">
        <v>558274.69999999995</v>
      </c>
      <c r="HF9" s="8">
        <v>475837.19</v>
      </c>
      <c r="HG9" s="8"/>
      <c r="HH9" s="8">
        <v>90752.1</v>
      </c>
      <c r="HI9" s="8">
        <v>321276.05</v>
      </c>
      <c r="HJ9" s="8">
        <v>73598.95</v>
      </c>
      <c r="HK9" s="8">
        <v>79062.59</v>
      </c>
      <c r="HL9" s="8"/>
      <c r="HM9" s="8"/>
      <c r="HN9" s="8"/>
      <c r="HO9" s="8"/>
      <c r="HP9" s="8"/>
      <c r="HQ9" s="8"/>
      <c r="HR9" s="8"/>
      <c r="HS9" s="8"/>
      <c r="HT9" s="8">
        <v>122915.52</v>
      </c>
      <c r="HU9" s="8">
        <v>21088.86</v>
      </c>
      <c r="HV9" s="8">
        <v>493379.68</v>
      </c>
      <c r="HW9" s="8">
        <v>13419.9</v>
      </c>
      <c r="HX9" s="8">
        <v>766763.49</v>
      </c>
      <c r="HY9" s="8">
        <v>552339.29</v>
      </c>
      <c r="HZ9" s="8">
        <v>141397.74</v>
      </c>
      <c r="IA9" s="8"/>
      <c r="IB9" s="8"/>
      <c r="IC9" s="8"/>
      <c r="ID9" s="8"/>
      <c r="IE9" s="8"/>
      <c r="IF9" s="8"/>
      <c r="IG9" s="8">
        <v>53988.63</v>
      </c>
      <c r="IH9" s="8"/>
      <c r="II9" s="8"/>
      <c r="IJ9" s="8"/>
      <c r="IK9" s="8">
        <v>28095772.79999999</v>
      </c>
    </row>
    <row r="10" spans="1:245" x14ac:dyDescent="0.3">
      <c r="A10" s="4" t="s">
        <v>34</v>
      </c>
      <c r="B10" s="8">
        <v>13463294.959999997</v>
      </c>
      <c r="C10" s="8">
        <f t="shared" si="0"/>
        <v>0</v>
      </c>
      <c r="D10" s="8">
        <f t="shared" si="1"/>
        <v>-13463294.959999997</v>
      </c>
      <c r="H10" s="4" t="s">
        <v>200</v>
      </c>
      <c r="I10" s="8">
        <v>51510.57</v>
      </c>
      <c r="J10" s="8">
        <v>61378.96</v>
      </c>
      <c r="K10" s="8"/>
      <c r="L10" s="8"/>
      <c r="M10" s="8"/>
      <c r="N10" s="8"/>
      <c r="O10" s="8"/>
      <c r="P10" s="8"/>
      <c r="Q10" s="8"/>
      <c r="R10" s="8"/>
      <c r="S10" s="8">
        <v>199299.97999999998</v>
      </c>
      <c r="T10" s="8">
        <v>27048</v>
      </c>
      <c r="U10" s="8">
        <v>124852.04999999999</v>
      </c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>
        <v>112889.53</v>
      </c>
      <c r="AL10" s="8"/>
      <c r="AM10" s="8">
        <v>148988.68</v>
      </c>
      <c r="AN10" s="8"/>
      <c r="AO10" s="8"/>
      <c r="AP10" s="8"/>
      <c r="AQ10" s="8">
        <v>36570.74</v>
      </c>
      <c r="AR10" s="8"/>
      <c r="AS10" s="8">
        <v>117983.04000000001</v>
      </c>
      <c r="AT10" s="8"/>
      <c r="AU10" s="8"/>
      <c r="AV10" s="8"/>
      <c r="AW10" s="8"/>
      <c r="AX10" s="8"/>
      <c r="AY10" s="8"/>
      <c r="AZ10" s="8"/>
      <c r="BA10" s="8"/>
      <c r="BB10" s="8"/>
      <c r="BC10" s="8">
        <v>4656.58</v>
      </c>
      <c r="BD10" s="8">
        <v>36570.74</v>
      </c>
      <c r="BE10" s="8"/>
      <c r="BF10" s="8"/>
      <c r="BG10" s="8">
        <v>173202.55</v>
      </c>
      <c r="BH10" s="8"/>
      <c r="BI10" s="8"/>
      <c r="BJ10" s="8"/>
      <c r="BK10" s="8">
        <v>51968.72</v>
      </c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>
        <v>45034.51</v>
      </c>
      <c r="BW10" s="8"/>
      <c r="BX10" s="8"/>
      <c r="BY10" s="8">
        <v>31008</v>
      </c>
      <c r="BZ10" s="8">
        <v>36103.71</v>
      </c>
      <c r="CA10" s="8">
        <v>273358.46000000002</v>
      </c>
      <c r="CB10" s="8"/>
      <c r="CC10" s="8">
        <v>122703.37</v>
      </c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>
        <v>34633.19</v>
      </c>
      <c r="CT10" s="8">
        <v>31008</v>
      </c>
      <c r="CU10" s="8">
        <v>134253.73000000001</v>
      </c>
      <c r="CV10" s="8"/>
      <c r="CW10" s="8">
        <v>36570.74</v>
      </c>
      <c r="CX10" s="8">
        <v>247970.97</v>
      </c>
      <c r="CY10" s="8">
        <v>12330.05</v>
      </c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>
        <v>285439.40000000002</v>
      </c>
      <c r="DN10" s="8">
        <v>31008</v>
      </c>
      <c r="DO10" s="8">
        <v>51968.979999999996</v>
      </c>
      <c r="DP10" s="8"/>
      <c r="DQ10" s="8"/>
      <c r="DR10" s="8"/>
      <c r="DS10" s="8">
        <v>33408</v>
      </c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>
        <v>36601.06</v>
      </c>
      <c r="EG10" s="8"/>
      <c r="EH10" s="8">
        <v>197639.2</v>
      </c>
      <c r="EI10" s="8">
        <v>34633.19</v>
      </c>
      <c r="EJ10" s="8">
        <v>181414.13</v>
      </c>
      <c r="EK10" s="8"/>
      <c r="EL10" s="8"/>
      <c r="EM10" s="8"/>
      <c r="EN10" s="8"/>
      <c r="EO10" s="8"/>
      <c r="EP10" s="8"/>
      <c r="EQ10" s="8"/>
      <c r="ER10" s="8"/>
      <c r="ES10" s="8">
        <v>48434.61</v>
      </c>
      <c r="ET10" s="8"/>
      <c r="EU10" s="8"/>
      <c r="EV10" s="8"/>
      <c r="EW10" s="8"/>
      <c r="EX10" s="8">
        <v>36601.06</v>
      </c>
      <c r="EY10" s="8"/>
      <c r="EZ10" s="8">
        <v>31008</v>
      </c>
      <c r="FA10" s="8">
        <v>58290</v>
      </c>
      <c r="FB10" s="8">
        <v>34633.19</v>
      </c>
      <c r="FC10" s="8">
        <v>173046.57</v>
      </c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>
        <v>78866.14</v>
      </c>
      <c r="FP10" s="8">
        <v>127877.22</v>
      </c>
      <c r="FQ10" s="8"/>
      <c r="FR10" s="8">
        <v>126157</v>
      </c>
      <c r="FS10" s="8">
        <v>78837.8</v>
      </c>
      <c r="FT10" s="8"/>
      <c r="FU10" s="8"/>
      <c r="FV10" s="8">
        <v>34633.19</v>
      </c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>
        <v>605100.66</v>
      </c>
      <c r="GJ10" s="8"/>
      <c r="GK10" s="8"/>
      <c r="GL10" s="8"/>
      <c r="GM10" s="8"/>
      <c r="GN10" s="8">
        <v>65641.19</v>
      </c>
      <c r="GO10" s="8">
        <v>81286.77</v>
      </c>
      <c r="GP10" s="8"/>
      <c r="GQ10" s="8">
        <v>57072</v>
      </c>
      <c r="GR10" s="8">
        <v>119185.65</v>
      </c>
      <c r="GS10" s="8"/>
      <c r="GT10" s="8">
        <v>236342.34000000003</v>
      </c>
      <c r="GU10" s="8"/>
      <c r="GV10" s="8"/>
      <c r="GW10" s="8"/>
      <c r="GX10" s="8"/>
      <c r="GY10" s="8"/>
      <c r="GZ10" s="8"/>
      <c r="HA10" s="8">
        <v>428409.35</v>
      </c>
      <c r="HB10" s="8">
        <v>188452.03</v>
      </c>
      <c r="HC10" s="8">
        <v>36601.06</v>
      </c>
      <c r="HD10" s="8">
        <v>2584.1799999999998</v>
      </c>
      <c r="HE10" s="8">
        <v>298458.13</v>
      </c>
      <c r="HF10" s="8">
        <v>15295.14</v>
      </c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>
        <v>31008</v>
      </c>
      <c r="HR10" s="8">
        <v>263388.53000000003</v>
      </c>
      <c r="HS10" s="8">
        <v>222360.72999999998</v>
      </c>
      <c r="HT10" s="8"/>
      <c r="HU10" s="8"/>
      <c r="HV10" s="8"/>
      <c r="HW10" s="8"/>
      <c r="HX10" s="8"/>
      <c r="HY10" s="8"/>
      <c r="HZ10" s="8"/>
      <c r="IA10" s="8">
        <v>57764.87</v>
      </c>
      <c r="IB10" s="8"/>
      <c r="IC10" s="8"/>
      <c r="ID10" s="8"/>
      <c r="IE10" s="8"/>
      <c r="IF10" s="8"/>
      <c r="IG10" s="8"/>
      <c r="IH10" s="8">
        <v>52867.66</v>
      </c>
      <c r="II10" s="8"/>
      <c r="IJ10" s="8"/>
      <c r="IK10" s="8">
        <v>6594209.8999999994</v>
      </c>
    </row>
    <row r="11" spans="1:245" x14ac:dyDescent="0.3">
      <c r="A11" s="4" t="s">
        <v>39</v>
      </c>
      <c r="B11" s="8">
        <v>9958778.9799999986</v>
      </c>
      <c r="C11" s="8">
        <f t="shared" si="0"/>
        <v>0</v>
      </c>
      <c r="D11" s="8">
        <f t="shared" si="1"/>
        <v>-9958778.9799999986</v>
      </c>
      <c r="H11" s="4" t="s">
        <v>42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>
        <v>42812.21</v>
      </c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>
        <v>42812.21</v>
      </c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>
        <v>42812.21</v>
      </c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>
        <v>42812.21</v>
      </c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>
        <v>42812.21</v>
      </c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>
        <v>42812.21</v>
      </c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>
        <v>42812.21</v>
      </c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>
        <v>42812.21</v>
      </c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>
        <v>42812.21</v>
      </c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>
        <v>385309.89</v>
      </c>
    </row>
    <row r="12" spans="1:245" x14ac:dyDescent="0.3">
      <c r="A12" s="4" t="s">
        <v>200</v>
      </c>
      <c r="B12" s="8">
        <v>6869342.240000003</v>
      </c>
      <c r="C12" s="8">
        <f t="shared" si="0"/>
        <v>0</v>
      </c>
      <c r="D12" s="8">
        <f t="shared" si="1"/>
        <v>-6869342.240000003</v>
      </c>
      <c r="H12" s="4" t="s">
        <v>169</v>
      </c>
      <c r="I12" s="8"/>
      <c r="J12" s="8"/>
      <c r="K12" s="8"/>
      <c r="L12" s="8"/>
      <c r="M12" s="8"/>
      <c r="N12" s="8"/>
      <c r="O12" s="8"/>
      <c r="P12" s="8"/>
      <c r="Q12" s="8"/>
      <c r="R12" s="8">
        <v>48000</v>
      </c>
      <c r="S12" s="8"/>
      <c r="T12" s="8"/>
      <c r="U12" s="8"/>
      <c r="V12" s="8"/>
      <c r="W12" s="8"/>
      <c r="X12" s="8"/>
      <c r="Y12" s="8"/>
      <c r="Z12" s="8"/>
      <c r="AA12" s="8">
        <v>49434.68</v>
      </c>
      <c r="AB12" s="8">
        <v>13110.33</v>
      </c>
      <c r="AC12" s="8"/>
      <c r="AD12" s="8"/>
      <c r="AE12" s="8"/>
      <c r="AF12" s="8"/>
      <c r="AG12" s="8"/>
      <c r="AH12" s="8"/>
      <c r="AI12" s="8"/>
      <c r="AJ12" s="8">
        <v>48000</v>
      </c>
      <c r="AK12" s="8"/>
      <c r="AL12" s="8"/>
      <c r="AM12" s="8"/>
      <c r="AN12" s="8"/>
      <c r="AO12" s="8"/>
      <c r="AP12" s="8"/>
      <c r="AQ12" s="8">
        <v>49434.68</v>
      </c>
      <c r="AR12" s="8"/>
      <c r="AS12" s="8"/>
      <c r="AT12" s="8"/>
      <c r="AU12" s="8"/>
      <c r="AV12" s="8"/>
      <c r="AW12" s="8">
        <v>13110.33</v>
      </c>
      <c r="AX12" s="8"/>
      <c r="AY12" s="8"/>
      <c r="AZ12" s="8"/>
      <c r="BA12" s="8"/>
      <c r="BB12" s="8"/>
      <c r="BC12" s="8"/>
      <c r="BD12" s="8">
        <v>48000</v>
      </c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>
        <v>17902.11</v>
      </c>
      <c r="BR12" s="8"/>
      <c r="BS12" s="8"/>
      <c r="BT12" s="8"/>
      <c r="BU12" s="8"/>
      <c r="BV12" s="8">
        <v>48000</v>
      </c>
      <c r="BW12" s="8"/>
      <c r="BX12" s="8"/>
      <c r="BY12" s="8">
        <v>26093.54</v>
      </c>
      <c r="BZ12" s="8"/>
      <c r="CA12" s="8"/>
      <c r="CB12" s="8"/>
      <c r="CC12" s="8"/>
      <c r="CD12" s="8"/>
      <c r="CE12" s="8">
        <v>5562</v>
      </c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>
        <v>48000</v>
      </c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>
        <v>22241.65</v>
      </c>
      <c r="DD12" s="8">
        <v>241584.16999999998</v>
      </c>
      <c r="DE12" s="8"/>
      <c r="DF12" s="8">
        <v>26093.53549280767</v>
      </c>
      <c r="DG12" s="8"/>
      <c r="DH12" s="8"/>
      <c r="DI12" s="8"/>
      <c r="DJ12" s="8"/>
      <c r="DK12" s="8"/>
      <c r="DL12" s="8"/>
      <c r="DM12" s="8"/>
      <c r="DN12" s="8">
        <v>48000</v>
      </c>
      <c r="DO12" s="8"/>
      <c r="DP12" s="8"/>
      <c r="DQ12" s="8"/>
      <c r="DR12" s="8"/>
      <c r="DS12" s="8"/>
      <c r="DT12" s="8"/>
      <c r="DU12" s="8"/>
      <c r="DV12" s="8">
        <v>101663.6899999999</v>
      </c>
      <c r="DW12" s="8"/>
      <c r="DX12" s="8">
        <v>26093.54</v>
      </c>
      <c r="DY12" s="8"/>
      <c r="DZ12" s="8"/>
      <c r="EA12" s="8"/>
      <c r="EB12" s="8"/>
      <c r="EC12" s="8"/>
      <c r="ED12" s="8">
        <v>48000</v>
      </c>
      <c r="EE12" s="8"/>
      <c r="EF12" s="8"/>
      <c r="EG12" s="8"/>
      <c r="EH12" s="8"/>
      <c r="EI12" s="8"/>
      <c r="EJ12" s="8"/>
      <c r="EK12" s="8"/>
      <c r="EL12" s="8"/>
      <c r="EM12" s="8">
        <v>26093.54</v>
      </c>
      <c r="EN12" s="8"/>
      <c r="EO12" s="8"/>
      <c r="EP12" s="8"/>
      <c r="EQ12" s="8"/>
      <c r="ER12" s="8"/>
      <c r="ES12" s="8"/>
      <c r="ET12" s="8"/>
      <c r="EU12" s="8">
        <v>49342.67</v>
      </c>
      <c r="EV12" s="8"/>
      <c r="EW12" s="8">
        <v>5562</v>
      </c>
      <c r="EX12" s="8"/>
      <c r="EY12" s="8">
        <v>102013.35</v>
      </c>
      <c r="EZ12" s="8"/>
      <c r="FA12" s="8"/>
      <c r="FB12" s="8"/>
      <c r="FC12" s="8"/>
      <c r="FD12" s="8"/>
      <c r="FE12" s="8"/>
      <c r="FF12" s="8"/>
      <c r="FG12" s="8"/>
      <c r="FH12" s="8"/>
      <c r="FI12" s="8">
        <v>75919.81</v>
      </c>
      <c r="FJ12" s="8"/>
      <c r="FK12" s="8"/>
      <c r="FL12" s="8"/>
      <c r="FM12" s="8"/>
      <c r="FN12" s="8">
        <v>48800</v>
      </c>
      <c r="FO12" s="8">
        <v>26093.54</v>
      </c>
      <c r="FP12" s="8"/>
      <c r="FQ12" s="8"/>
      <c r="FR12" s="8"/>
      <c r="FS12" s="8">
        <v>75919.81</v>
      </c>
      <c r="FT12" s="8"/>
      <c r="FU12" s="8"/>
      <c r="FV12" s="8">
        <v>22241.65</v>
      </c>
      <c r="FW12" s="8"/>
      <c r="FX12" s="8">
        <v>44483.3</v>
      </c>
      <c r="FY12" s="8"/>
      <c r="FZ12" s="8"/>
      <c r="GA12" s="8">
        <v>40000</v>
      </c>
      <c r="GB12" s="8">
        <v>38934</v>
      </c>
      <c r="GC12" s="8"/>
      <c r="GD12" s="8"/>
      <c r="GE12" s="8"/>
      <c r="GF12" s="8"/>
      <c r="GG12" s="8"/>
      <c r="GH12" s="8"/>
      <c r="GI12" s="8">
        <v>800</v>
      </c>
      <c r="GJ12" s="8"/>
      <c r="GK12" s="8"/>
      <c r="GL12" s="8"/>
      <c r="GM12" s="8"/>
      <c r="GN12" s="8"/>
      <c r="GO12" s="8"/>
      <c r="GP12" s="8"/>
      <c r="GQ12" s="8">
        <v>26093.54</v>
      </c>
      <c r="GR12" s="8"/>
      <c r="GS12" s="8"/>
      <c r="GT12" s="8"/>
      <c r="GU12" s="8">
        <v>75919.81</v>
      </c>
      <c r="GV12" s="8"/>
      <c r="GW12" s="8"/>
      <c r="GX12" s="8">
        <v>13916.55</v>
      </c>
      <c r="GY12" s="8"/>
      <c r="GZ12" s="8"/>
      <c r="HA12" s="8"/>
      <c r="HB12" s="8"/>
      <c r="HC12" s="8">
        <v>800</v>
      </c>
      <c r="HD12" s="8"/>
      <c r="HE12" s="8"/>
      <c r="HF12" s="8"/>
      <c r="HG12" s="8"/>
      <c r="HH12" s="8">
        <v>74594.42</v>
      </c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>
        <v>800</v>
      </c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>
        <v>1676652.2454928078</v>
      </c>
    </row>
    <row r="13" spans="1:245" x14ac:dyDescent="0.3">
      <c r="A13" s="4" t="s">
        <v>348</v>
      </c>
      <c r="B13" s="8">
        <v>5869249.4300000006</v>
      </c>
      <c r="C13" s="8">
        <f t="shared" si="0"/>
        <v>0</v>
      </c>
      <c r="D13" s="8">
        <f t="shared" si="1"/>
        <v>-5869249.4300000006</v>
      </c>
      <c r="H13" s="4" t="s">
        <v>46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>
        <v>665940.80000000005</v>
      </c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>
        <v>615.64</v>
      </c>
      <c r="BF13" s="8">
        <v>318628.40000000002</v>
      </c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>
        <v>318943.41000000003</v>
      </c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>
        <v>319032.53000000003</v>
      </c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>
        <v>318628.40000000002</v>
      </c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>
        <v>495.3</v>
      </c>
      <c r="EE13" s="8"/>
      <c r="EF13" s="8">
        <v>318628.40000000002</v>
      </c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>
        <v>318901.52</v>
      </c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>
        <v>319107.69</v>
      </c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>
        <v>337562.88</v>
      </c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>
        <v>470722.93999999994</v>
      </c>
      <c r="HI13" s="8"/>
      <c r="HJ13" s="8"/>
      <c r="HK13" s="8"/>
      <c r="HL13" s="8">
        <v>1334.78</v>
      </c>
      <c r="HM13" s="8"/>
      <c r="HN13" s="8"/>
      <c r="HO13" s="8"/>
      <c r="HP13" s="8"/>
      <c r="HQ13" s="8"/>
      <c r="HR13" s="8"/>
      <c r="HS13" s="8"/>
      <c r="HT13" s="8"/>
      <c r="HU13" s="8"/>
      <c r="HV13" s="8">
        <v>344649.91</v>
      </c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>
        <v>4053192.6</v>
      </c>
    </row>
    <row r="14" spans="1:245" x14ac:dyDescent="0.3">
      <c r="A14" s="4" t="s">
        <v>45</v>
      </c>
      <c r="B14" s="8">
        <v>4676814.5300000021</v>
      </c>
      <c r="C14" s="8">
        <f t="shared" si="0"/>
        <v>0</v>
      </c>
      <c r="D14" s="8">
        <f t="shared" si="1"/>
        <v>-4676814.5300000021</v>
      </c>
      <c r="H14" s="4" t="s">
        <v>40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>
        <v>53175.27</v>
      </c>
      <c r="T14" s="8"/>
      <c r="U14" s="8"/>
      <c r="V14" s="8"/>
      <c r="W14" s="8">
        <v>690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>
        <v>55475.27</v>
      </c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>
        <v>2300</v>
      </c>
      <c r="BE14" s="8"/>
      <c r="BF14" s="8">
        <v>53175.27</v>
      </c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>
        <v>53175.27</v>
      </c>
      <c r="BX14" s="8"/>
      <c r="BY14" s="8"/>
      <c r="BZ14" s="8"/>
      <c r="CA14" s="8">
        <v>2300</v>
      </c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>
        <v>55475.27</v>
      </c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>
        <v>55475.27</v>
      </c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>
        <v>53175.27</v>
      </c>
      <c r="EF14" s="8">
        <v>2300</v>
      </c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>
        <v>55475.27</v>
      </c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>
        <v>53175.27</v>
      </c>
      <c r="FS14" s="8"/>
      <c r="FT14" s="8">
        <v>2300</v>
      </c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>
        <v>66765.19</v>
      </c>
      <c r="GM14" s="8">
        <v>2300</v>
      </c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>
        <v>58229.99</v>
      </c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>
        <v>55929.99</v>
      </c>
      <c r="HU14" s="8"/>
      <c r="HV14" s="8">
        <v>2300</v>
      </c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>
        <v>683192.60000000009</v>
      </c>
    </row>
    <row r="15" spans="1:245" x14ac:dyDescent="0.3">
      <c r="A15" s="4" t="s">
        <v>184</v>
      </c>
      <c r="B15" s="8">
        <v>4222044.8</v>
      </c>
      <c r="C15" s="8">
        <f t="shared" si="0"/>
        <v>0</v>
      </c>
      <c r="D15" s="8">
        <f t="shared" si="1"/>
        <v>-4222044.8</v>
      </c>
      <c r="H15" s="4" t="s">
        <v>184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>
        <v>181894.56</v>
      </c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>
        <v>321034.56</v>
      </c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>
        <v>339684.24</v>
      </c>
      <c r="CG15" s="8"/>
      <c r="CH15" s="8"/>
      <c r="CI15" s="8"/>
      <c r="CJ15" s="8"/>
      <c r="CK15" s="8"/>
      <c r="CL15" s="8"/>
      <c r="CM15" s="8"/>
      <c r="CN15" s="8"/>
      <c r="CO15" s="8"/>
      <c r="CP15" s="8">
        <v>276669.15999999997</v>
      </c>
      <c r="CQ15" s="8"/>
      <c r="CR15" s="8"/>
      <c r="CS15" s="8"/>
      <c r="CT15" s="8"/>
      <c r="CU15" s="8">
        <v>40182.239999999998</v>
      </c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>
        <v>329664.71999999997</v>
      </c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>
        <v>331667.28000000003</v>
      </c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>
        <v>323657.03999999998</v>
      </c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>
        <v>493114</v>
      </c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>
        <v>514141</v>
      </c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>
        <v>535168</v>
      </c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>
        <v>535168</v>
      </c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>
        <v>4222044.8</v>
      </c>
    </row>
    <row r="16" spans="1:245" x14ac:dyDescent="0.3">
      <c r="A16" s="4" t="s">
        <v>46</v>
      </c>
      <c r="B16" s="8">
        <v>4096207.5999999996</v>
      </c>
      <c r="C16" s="8">
        <f t="shared" si="0"/>
        <v>0</v>
      </c>
      <c r="D16" s="8">
        <f t="shared" si="1"/>
        <v>-4096207.5999999996</v>
      </c>
      <c r="H16" s="4" t="s">
        <v>218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>
        <v>9520</v>
      </c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>
        <v>32220</v>
      </c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>
        <v>41740</v>
      </c>
    </row>
    <row r="17" spans="1:245" x14ac:dyDescent="0.3">
      <c r="A17" s="4" t="s">
        <v>36</v>
      </c>
      <c r="B17" s="8">
        <v>3470567.63</v>
      </c>
      <c r="C17" s="8">
        <f t="shared" si="0"/>
        <v>0</v>
      </c>
      <c r="D17" s="8">
        <f t="shared" si="1"/>
        <v>-3470567.63</v>
      </c>
      <c r="H17" s="4" t="s">
        <v>95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>
        <v>67387.39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>
        <v>67387.39</v>
      </c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>
        <v>67387.39</v>
      </c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>
        <v>67387.39</v>
      </c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>
        <v>68083.960000000006</v>
      </c>
      <c r="CU17" s="8">
        <v>8858.83</v>
      </c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>
        <v>70696.11</v>
      </c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>
        <v>70696.11</v>
      </c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>
        <v>70696.11</v>
      </c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>
        <v>70696.11</v>
      </c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>
        <v>86064.83</v>
      </c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>
        <v>88370.14</v>
      </c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>
        <v>88370.14</v>
      </c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>
        <v>892081.9</v>
      </c>
    </row>
    <row r="18" spans="1:245" x14ac:dyDescent="0.3">
      <c r="A18" s="4" t="s">
        <v>208</v>
      </c>
      <c r="B18" s="8">
        <v>2848277.46</v>
      </c>
      <c r="C18" s="8">
        <f t="shared" si="0"/>
        <v>0</v>
      </c>
      <c r="D18" s="8">
        <f t="shared" si="1"/>
        <v>-2848277.46</v>
      </c>
      <c r="H18" s="4" t="s">
        <v>41</v>
      </c>
      <c r="I18" s="8"/>
      <c r="J18" s="8"/>
      <c r="K18" s="8"/>
      <c r="L18" s="8"/>
      <c r="M18" s="8"/>
      <c r="N18" s="8"/>
      <c r="O18" s="8"/>
      <c r="P18" s="8"/>
      <c r="Q18" s="8"/>
      <c r="R18" s="8">
        <v>107611.2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>
        <v>92442.6</v>
      </c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78132.600000000006</v>
      </c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>
        <v>101744.1</v>
      </c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>
        <v>115676.9</v>
      </c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>
        <v>80422.2</v>
      </c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>
        <v>100742.39999999999</v>
      </c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>
        <v>93301.2</v>
      </c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>
        <v>57597.75</v>
      </c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>
        <v>60316.65</v>
      </c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>
        <v>51733.11</v>
      </c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>
        <v>48547.199999999997</v>
      </c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>
        <v>988267.90999999992</v>
      </c>
    </row>
    <row r="19" spans="1:245" x14ac:dyDescent="0.3">
      <c r="A19" s="4" t="s">
        <v>16</v>
      </c>
      <c r="B19" s="8">
        <v>1837765.7200000004</v>
      </c>
      <c r="C19" s="8">
        <f t="shared" si="0"/>
        <v>0</v>
      </c>
      <c r="D19" s="8">
        <f t="shared" si="1"/>
        <v>-1837765.7200000004</v>
      </c>
      <c r="H19" s="4" t="s">
        <v>221</v>
      </c>
      <c r="I19" s="8"/>
      <c r="J19" s="8"/>
      <c r="K19" s="8"/>
      <c r="L19" s="8"/>
      <c r="M19" s="8"/>
      <c r="N19" s="8"/>
      <c r="O19" s="8"/>
      <c r="P19" s="8"/>
      <c r="Q19" s="8"/>
      <c r="R19" s="8">
        <v>800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>
        <v>800</v>
      </c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>
        <v>800</v>
      </c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>
        <v>800</v>
      </c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>
        <v>800</v>
      </c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>
        <v>2685.34</v>
      </c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>
        <v>6685.34</v>
      </c>
    </row>
    <row r="20" spans="1:245" x14ac:dyDescent="0.3">
      <c r="A20" s="4" t="s">
        <v>169</v>
      </c>
      <c r="B20" s="8">
        <v>1790192.8754928075</v>
      </c>
      <c r="C20" s="8">
        <f t="shared" si="0"/>
        <v>0</v>
      </c>
      <c r="D20" s="8">
        <f t="shared" si="1"/>
        <v>-1790192.8754928075</v>
      </c>
      <c r="H20" s="4" t="s">
        <v>175</v>
      </c>
      <c r="I20" s="8"/>
      <c r="J20" s="8"/>
      <c r="K20" s="8"/>
      <c r="L20" s="8"/>
      <c r="M20" s="8"/>
      <c r="N20" s="8"/>
      <c r="O20" s="8"/>
      <c r="P20" s="8"/>
      <c r="Q20" s="8"/>
      <c r="R20" s="8">
        <v>36700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>
        <v>36700</v>
      </c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>
        <v>36700</v>
      </c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>
        <v>36700</v>
      </c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>
        <v>36700</v>
      </c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>
        <v>36700</v>
      </c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>
        <v>36700</v>
      </c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>
        <v>36700</v>
      </c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>
        <v>36700</v>
      </c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>
        <v>36700</v>
      </c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>
        <v>36700</v>
      </c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>
        <v>36700</v>
      </c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>
        <v>440400</v>
      </c>
    </row>
    <row r="21" spans="1:245" x14ac:dyDescent="0.3">
      <c r="A21" s="4" t="s">
        <v>17</v>
      </c>
      <c r="B21" s="8">
        <v>1244111.3700000001</v>
      </c>
      <c r="C21" s="8">
        <f t="shared" si="0"/>
        <v>0</v>
      </c>
      <c r="D21" s="8">
        <f t="shared" si="1"/>
        <v>-1244111.3700000001</v>
      </c>
      <c r="H21" s="4" t="s">
        <v>21</v>
      </c>
      <c r="I21" s="8"/>
      <c r="J21" s="8"/>
      <c r="K21" s="8"/>
      <c r="L21" s="8"/>
      <c r="M21" s="8"/>
      <c r="N21" s="8"/>
      <c r="O21" s="8"/>
      <c r="P21" s="8"/>
      <c r="Q21" s="8"/>
      <c r="R21" s="8">
        <v>38395.360000000001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>
        <v>38395.360000000001</v>
      </c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>
        <v>38395.360000000001</v>
      </c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>
        <v>38395.360000000001</v>
      </c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>
        <v>38395.360000000001</v>
      </c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>
        <v>38395.360000000001</v>
      </c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>
        <v>38395.360000000001</v>
      </c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>
        <v>38395.360000000001</v>
      </c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>
        <v>38395.360000000001</v>
      </c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>
        <v>38395.360000000001</v>
      </c>
      <c r="GK21" s="8"/>
      <c r="GL21" s="8"/>
      <c r="GM21" s="8"/>
      <c r="GN21" s="8"/>
      <c r="GO21" s="8"/>
      <c r="GP21" s="8"/>
      <c r="GQ21" s="8"/>
      <c r="GR21" s="8"/>
      <c r="GS21" s="8"/>
      <c r="GT21" s="8">
        <v>38395.360000000001</v>
      </c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>
        <v>38395.360000000001</v>
      </c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>
        <v>460744.31999999989</v>
      </c>
    </row>
    <row r="22" spans="1:245" x14ac:dyDescent="0.3">
      <c r="A22" s="4" t="s">
        <v>198</v>
      </c>
      <c r="B22" s="8">
        <v>1002665.9400000003</v>
      </c>
      <c r="C22" s="8">
        <f t="shared" si="0"/>
        <v>0</v>
      </c>
      <c r="D22" s="8">
        <f t="shared" si="1"/>
        <v>-1002665.9400000003</v>
      </c>
      <c r="H22" s="4" t="s">
        <v>17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>
        <v>94585.86</v>
      </c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>
        <v>85164.92</v>
      </c>
      <c r="AT22" s="8"/>
      <c r="AU22" s="8">
        <v>20467.93</v>
      </c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>
        <v>99779.72</v>
      </c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>
        <v>15890.83</v>
      </c>
      <c r="CO22" s="8"/>
      <c r="CP22" s="8"/>
      <c r="CQ22" s="8"/>
      <c r="CR22" s="8"/>
      <c r="CS22" s="8">
        <v>85164.92</v>
      </c>
      <c r="CT22" s="8"/>
      <c r="CU22" s="8"/>
      <c r="CV22" s="8">
        <v>92472.319999999992</v>
      </c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>
        <v>97887.4</v>
      </c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>
        <v>97353.62</v>
      </c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>
        <v>89150.64</v>
      </c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>
        <v>89150.64</v>
      </c>
      <c r="FT22" s="8"/>
      <c r="FU22" s="8"/>
      <c r="FV22" s="8">
        <v>38184.090000000004</v>
      </c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>
        <v>89150.64</v>
      </c>
      <c r="GR22" s="8"/>
      <c r="GS22" s="8"/>
      <c r="GT22" s="8"/>
      <c r="GU22" s="8"/>
      <c r="GV22" s="8"/>
      <c r="GW22" s="8"/>
      <c r="GX22" s="8">
        <v>7649.4</v>
      </c>
      <c r="GY22" s="8"/>
      <c r="GZ22" s="8"/>
      <c r="HA22" s="8"/>
      <c r="HB22" s="8"/>
      <c r="HC22" s="8"/>
      <c r="HD22" s="8">
        <v>89150.64</v>
      </c>
      <c r="HE22" s="8"/>
      <c r="HF22" s="8"/>
      <c r="HG22" s="8">
        <v>7649.4</v>
      </c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>
        <v>89150.64</v>
      </c>
      <c r="HY22" s="8"/>
      <c r="HZ22" s="8"/>
      <c r="IA22" s="8">
        <v>7649.4</v>
      </c>
      <c r="IB22" s="8"/>
      <c r="IC22" s="8"/>
      <c r="ID22" s="8"/>
      <c r="IE22" s="8"/>
      <c r="IF22" s="8"/>
      <c r="IG22" s="8"/>
      <c r="IH22" s="8"/>
      <c r="II22" s="8"/>
      <c r="IJ22" s="8"/>
      <c r="IK22" s="8">
        <v>1195653.0099999998</v>
      </c>
    </row>
    <row r="23" spans="1:245" x14ac:dyDescent="0.3">
      <c r="A23" s="4" t="s">
        <v>178</v>
      </c>
      <c r="B23" s="8">
        <v>989376</v>
      </c>
      <c r="C23" s="8">
        <f t="shared" si="0"/>
        <v>0</v>
      </c>
      <c r="D23" s="8">
        <f t="shared" si="1"/>
        <v>-989376</v>
      </c>
      <c r="H23" s="4" t="s">
        <v>208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>
        <v>450378.94</v>
      </c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>
        <v>225302.23</v>
      </c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>
        <v>218090.58</v>
      </c>
      <c r="CX23" s="8"/>
      <c r="CY23" s="8"/>
      <c r="CZ23" s="8">
        <v>225302.23</v>
      </c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>
        <v>225527.76</v>
      </c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>
        <v>55544.98</v>
      </c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>
        <v>236280.79</v>
      </c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>
        <v>236280.79</v>
      </c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>
        <v>236280.79</v>
      </c>
      <c r="GV23" s="8"/>
      <c r="GW23" s="8"/>
      <c r="GX23" s="8"/>
      <c r="GY23" s="8"/>
      <c r="GZ23" s="8"/>
      <c r="HA23" s="8"/>
      <c r="HB23" s="8"/>
      <c r="HC23" s="8"/>
      <c r="HD23" s="8"/>
      <c r="HE23" s="8">
        <v>236280.79</v>
      </c>
      <c r="HF23" s="8"/>
      <c r="HG23" s="8">
        <v>236280.79</v>
      </c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>
        <v>2581550.67</v>
      </c>
    </row>
    <row r="24" spans="1:245" x14ac:dyDescent="0.3">
      <c r="A24" s="4" t="s">
        <v>41</v>
      </c>
      <c r="B24" s="8">
        <v>988267.90999999992</v>
      </c>
      <c r="C24" s="8">
        <f t="shared" si="0"/>
        <v>0</v>
      </c>
      <c r="D24" s="8">
        <f t="shared" si="1"/>
        <v>-988267.90999999992</v>
      </c>
      <c r="H24" s="4" t="s">
        <v>16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>
        <v>191510.84</v>
      </c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>
        <v>156264.84</v>
      </c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>
        <v>191510.84</v>
      </c>
      <c r="CD24" s="8"/>
      <c r="CE24" s="8">
        <v>147286.9</v>
      </c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>
        <v>147325.76000000001</v>
      </c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>
        <v>147345.19</v>
      </c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>
        <v>147364.62</v>
      </c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>
        <v>147656.07</v>
      </c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>
        <v>146956.59</v>
      </c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>
        <v>1423221.6500000004</v>
      </c>
    </row>
    <row r="25" spans="1:245" x14ac:dyDescent="0.3">
      <c r="A25" s="4" t="s">
        <v>95</v>
      </c>
      <c r="B25" s="8">
        <v>908329.37</v>
      </c>
      <c r="C25" s="8">
        <f t="shared" si="0"/>
        <v>0</v>
      </c>
      <c r="D25" s="8">
        <f t="shared" si="1"/>
        <v>-908329.37</v>
      </c>
      <c r="H25" s="4" t="s">
        <v>121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>
        <v>10395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>
        <v>10395</v>
      </c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>
        <v>10914</v>
      </c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>
        <v>10914</v>
      </c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>
        <v>10914</v>
      </c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>
        <v>10914</v>
      </c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>
        <v>10914</v>
      </c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>
        <v>10914</v>
      </c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>
        <v>10914</v>
      </c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>
        <v>10914</v>
      </c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>
        <v>10914</v>
      </c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>
        <v>10914</v>
      </c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>
        <v>129930</v>
      </c>
    </row>
    <row r="26" spans="1:245" x14ac:dyDescent="0.3">
      <c r="A26" s="4" t="s">
        <v>60</v>
      </c>
      <c r="B26" s="8">
        <v>766115.76000000013</v>
      </c>
      <c r="C26" s="8" t="e">
        <f t="shared" si="0"/>
        <v>#N/A</v>
      </c>
      <c r="D26" s="8" t="e">
        <f t="shared" si="1"/>
        <v>#N/A</v>
      </c>
      <c r="H26" s="4" t="s">
        <v>43</v>
      </c>
      <c r="I26" s="8"/>
      <c r="J26" s="8"/>
      <c r="K26" s="8"/>
      <c r="L26" s="8"/>
      <c r="M26" s="8"/>
      <c r="N26" s="8"/>
      <c r="O26" s="8"/>
      <c r="P26" s="8"/>
      <c r="Q26" s="8"/>
      <c r="R26" s="8">
        <v>72798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>
        <v>61632</v>
      </c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>
        <v>3198</v>
      </c>
      <c r="BC26" s="8"/>
      <c r="BD26" s="8"/>
      <c r="BE26" s="8">
        <v>30030.639999999999</v>
      </c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>
        <v>24807.919999999998</v>
      </c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>
        <v>27419.279999999999</v>
      </c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>
        <v>54185.72</v>
      </c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>
        <v>30030.639999999999</v>
      </c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>
        <v>7834.08</v>
      </c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>
        <v>53404.800000000003</v>
      </c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>
        <v>39163.519999999997</v>
      </c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>
        <v>404504.60000000003</v>
      </c>
    </row>
    <row r="27" spans="1:245" x14ac:dyDescent="0.3">
      <c r="A27" s="4" t="s">
        <v>40</v>
      </c>
      <c r="B27" s="8">
        <v>700303.41</v>
      </c>
      <c r="C27" s="8">
        <f t="shared" si="0"/>
        <v>0</v>
      </c>
      <c r="D27" s="8">
        <f t="shared" si="1"/>
        <v>-700303.41</v>
      </c>
      <c r="H27" s="4" t="s">
        <v>45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>
        <v>385245.63</v>
      </c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>
        <v>349744.87</v>
      </c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>
        <v>369926.83</v>
      </c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>
        <v>370692.68000000005</v>
      </c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>
        <v>388411.46</v>
      </c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>
        <v>385161.92000000004</v>
      </c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>
        <v>376912.09</v>
      </c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>
        <v>373596.75</v>
      </c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>
        <v>446144.12</v>
      </c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>
        <v>452049.20999999996</v>
      </c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>
        <v>428446.64999999997</v>
      </c>
      <c r="HG27" s="8"/>
      <c r="HH27" s="8"/>
      <c r="HI27" s="8"/>
      <c r="HJ27" s="8">
        <v>83672.320000000007</v>
      </c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>
        <v>301945.24000000005</v>
      </c>
      <c r="IE27" s="8"/>
      <c r="IF27" s="8"/>
      <c r="IG27" s="8"/>
      <c r="IH27" s="8"/>
      <c r="II27" s="8"/>
      <c r="IJ27" s="8"/>
      <c r="IK27" s="8">
        <v>4711949.7700000005</v>
      </c>
    </row>
    <row r="28" spans="1:245" x14ac:dyDescent="0.3">
      <c r="A28" s="4" t="s">
        <v>109</v>
      </c>
      <c r="B28" s="8">
        <v>654431.08000000007</v>
      </c>
      <c r="C28" s="8">
        <f t="shared" si="0"/>
        <v>0</v>
      </c>
      <c r="D28" s="8">
        <f t="shared" si="1"/>
        <v>-654431.08000000007</v>
      </c>
      <c r="H28" s="4" t="s">
        <v>3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>
        <v>628540.06999999995</v>
      </c>
      <c r="AB28" s="8"/>
      <c r="AC28" s="8"/>
      <c r="AD28" s="8"/>
      <c r="AE28" s="8"/>
      <c r="AF28" s="8"/>
      <c r="AG28" s="8"/>
      <c r="AH28" s="8"/>
      <c r="AI28" s="8"/>
      <c r="AJ28" s="8">
        <v>863061.21</v>
      </c>
      <c r="AK28" s="8"/>
      <c r="AL28" s="8"/>
      <c r="AM28" s="8"/>
      <c r="AN28" s="8">
        <v>245875.23</v>
      </c>
      <c r="AO28" s="8"/>
      <c r="AP28" s="8">
        <v>347113.33</v>
      </c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>
        <v>1034955.6100000001</v>
      </c>
      <c r="BC28" s="8"/>
      <c r="BD28" s="8"/>
      <c r="BE28" s="8"/>
      <c r="BF28" s="8"/>
      <c r="BG28" s="8"/>
      <c r="BH28" s="8"/>
      <c r="BI28" s="8">
        <v>167338.09</v>
      </c>
      <c r="BJ28" s="8"/>
      <c r="BK28" s="8"/>
      <c r="BL28" s="8">
        <v>789232.90999999992</v>
      </c>
      <c r="BM28" s="8">
        <v>347113.33</v>
      </c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>
        <v>142440.16</v>
      </c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>
        <v>328484.2</v>
      </c>
      <c r="CP28" s="8"/>
      <c r="CQ28" s="8"/>
      <c r="CR28" s="8"/>
      <c r="CS28" s="8"/>
      <c r="CT28" s="8"/>
      <c r="CU28" s="8"/>
      <c r="CV28" s="8">
        <v>77751.44</v>
      </c>
      <c r="CW28" s="8"/>
      <c r="CX28" s="8"/>
      <c r="CY28" s="8"/>
      <c r="CZ28" s="8">
        <v>340150.71</v>
      </c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>
        <v>389570.32</v>
      </c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>
        <v>586734.32000000007</v>
      </c>
      <c r="EB28" s="8"/>
      <c r="EC28" s="8"/>
      <c r="ED28" s="8"/>
      <c r="EE28" s="8"/>
      <c r="EF28" s="8"/>
      <c r="EG28" s="8"/>
      <c r="EH28" s="8"/>
      <c r="EI28" s="8"/>
      <c r="EJ28" s="8"/>
      <c r="EK28" s="8">
        <v>416558.81</v>
      </c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>
        <v>297531.55</v>
      </c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>
        <v>450392.57999999996</v>
      </c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>
        <v>283638.89</v>
      </c>
      <c r="GJ28" s="8"/>
      <c r="GK28" s="8"/>
      <c r="GL28" s="8"/>
      <c r="GM28" s="8"/>
      <c r="GN28" s="8"/>
      <c r="GO28" s="8">
        <v>720820.58000000007</v>
      </c>
      <c r="GP28" s="8"/>
      <c r="GQ28" s="8"/>
      <c r="GR28" s="8"/>
      <c r="GS28" s="8"/>
      <c r="GT28" s="8"/>
      <c r="GU28" s="8">
        <v>825633.3</v>
      </c>
      <c r="GV28" s="8"/>
      <c r="GW28" s="8"/>
      <c r="GX28" s="8"/>
      <c r="GY28" s="8"/>
      <c r="GZ28" s="8"/>
      <c r="HA28" s="8">
        <v>3550236.11</v>
      </c>
      <c r="HB28" s="8"/>
      <c r="HC28" s="8"/>
      <c r="HD28" s="8"/>
      <c r="HE28" s="8">
        <v>639761.97</v>
      </c>
      <c r="HF28" s="8">
        <v>811600.61</v>
      </c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>
        <v>785320.39</v>
      </c>
      <c r="HZ28" s="8">
        <v>446333.25</v>
      </c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>
        <v>15516188.970000001</v>
      </c>
    </row>
    <row r="29" spans="1:245" x14ac:dyDescent="0.3">
      <c r="A29" s="4" t="s">
        <v>165</v>
      </c>
      <c r="B29" s="8">
        <v>522152.39999999997</v>
      </c>
      <c r="C29" s="8">
        <f t="shared" si="0"/>
        <v>0</v>
      </c>
      <c r="D29" s="8">
        <f t="shared" si="1"/>
        <v>-522152.39999999997</v>
      </c>
      <c r="H29" s="4" t="s">
        <v>197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>
        <v>14150.77</v>
      </c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>
        <v>14150.77</v>
      </c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>
        <v>17625.599999999999</v>
      </c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>
        <v>45927.14</v>
      </c>
    </row>
    <row r="30" spans="1:245" x14ac:dyDescent="0.3">
      <c r="A30" s="4" t="s">
        <v>21</v>
      </c>
      <c r="B30" s="8">
        <v>460744.31999999989</v>
      </c>
      <c r="C30" s="8">
        <f t="shared" si="0"/>
        <v>0</v>
      </c>
      <c r="D30" s="8">
        <f t="shared" si="1"/>
        <v>-460744.31999999989</v>
      </c>
      <c r="H30" s="4" t="s">
        <v>141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>
        <v>82737</v>
      </c>
      <c r="BW30" s="8"/>
      <c r="BX30" s="8"/>
      <c r="BY30" s="8"/>
      <c r="BZ30" s="8"/>
      <c r="CA30" s="8"/>
      <c r="CB30" s="8"/>
      <c r="CC30" s="8">
        <v>1349304.29</v>
      </c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>
        <v>82737</v>
      </c>
      <c r="CQ30" s="8"/>
      <c r="CR30" s="8"/>
      <c r="CS30" s="8"/>
      <c r="CT30" s="8">
        <v>117873</v>
      </c>
      <c r="CU30" s="8"/>
      <c r="CV30" s="8">
        <v>1383947.05</v>
      </c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>
        <v>82737</v>
      </c>
      <c r="DJ30" s="8">
        <v>134712</v>
      </c>
      <c r="DK30" s="8"/>
      <c r="DL30" s="8"/>
      <c r="DM30" s="8"/>
      <c r="DN30" s="8">
        <v>1394932.6199999999</v>
      </c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>
        <v>30310.2</v>
      </c>
      <c r="EF30" s="8"/>
      <c r="EG30" s="8"/>
      <c r="EH30" s="8"/>
      <c r="EI30" s="8"/>
      <c r="EJ30" s="8">
        <v>1550152.83</v>
      </c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>
        <v>1537885.4</v>
      </c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>
        <v>41368</v>
      </c>
      <c r="FP30" s="8"/>
      <c r="FQ30" s="8"/>
      <c r="FR30" s="8"/>
      <c r="FS30" s="8"/>
      <c r="FT30" s="8"/>
      <c r="FU30" s="8"/>
      <c r="FV30" s="8">
        <v>1693188.21</v>
      </c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>
        <v>41368</v>
      </c>
      <c r="GK30" s="8">
        <v>165717.72</v>
      </c>
      <c r="GL30" s="8">
        <v>784755.72</v>
      </c>
      <c r="GM30" s="8"/>
      <c r="GN30" s="8"/>
      <c r="GO30" s="8"/>
      <c r="GP30" s="8"/>
      <c r="GQ30" s="8">
        <v>2013674.6099999999</v>
      </c>
      <c r="GR30" s="8"/>
      <c r="GS30" s="8"/>
      <c r="GT30" s="8"/>
      <c r="GU30" s="8"/>
      <c r="GV30" s="8"/>
      <c r="GW30" s="8"/>
      <c r="GX30" s="8"/>
      <c r="GY30" s="8"/>
      <c r="GZ30" s="8"/>
      <c r="HA30" s="8">
        <v>5219027.43</v>
      </c>
      <c r="HB30" s="8"/>
      <c r="HC30" s="8"/>
      <c r="HD30" s="8"/>
      <c r="HE30" s="8"/>
      <c r="HF30" s="8"/>
      <c r="HG30" s="8"/>
      <c r="HH30" s="8">
        <v>82736</v>
      </c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>
        <v>41368</v>
      </c>
      <c r="IA30" s="8"/>
      <c r="IB30" s="8"/>
      <c r="IC30" s="8"/>
      <c r="ID30" s="8"/>
      <c r="IE30" s="8"/>
      <c r="IF30" s="8"/>
      <c r="IG30" s="8"/>
      <c r="IH30" s="8"/>
      <c r="II30" s="8">
        <v>41368</v>
      </c>
      <c r="IJ30" s="8">
        <v>2024322.99</v>
      </c>
      <c r="IK30" s="8">
        <v>19896223.07</v>
      </c>
    </row>
    <row r="31" spans="1:245" x14ac:dyDescent="0.3">
      <c r="A31" s="4" t="s">
        <v>175</v>
      </c>
      <c r="B31" s="8">
        <v>440400</v>
      </c>
      <c r="C31" s="8">
        <f t="shared" si="0"/>
        <v>0</v>
      </c>
      <c r="D31" s="8">
        <f t="shared" si="1"/>
        <v>-440400</v>
      </c>
      <c r="H31" s="4" t="s">
        <v>36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>
        <v>275594.28999999998</v>
      </c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>
        <v>275594.28999999998</v>
      </c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>
        <v>275594.28999999998</v>
      </c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>
        <v>275594.28999999998</v>
      </c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>
        <v>275594.28999999998</v>
      </c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>
        <v>275594.28999999998</v>
      </c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>
        <v>275594.28999999998</v>
      </c>
      <c r="EO31" s="8"/>
      <c r="EP31" s="8"/>
      <c r="EQ31" s="8"/>
      <c r="ER31" s="8"/>
      <c r="ES31" s="8"/>
      <c r="ET31" s="8"/>
      <c r="EU31" s="8"/>
      <c r="EV31" s="8"/>
      <c r="EW31" s="8"/>
      <c r="EX31" s="8">
        <v>275594.28999999998</v>
      </c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>
        <v>103813.34</v>
      </c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>
        <v>279997.09000000003</v>
      </c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>
        <v>294000.96000000002</v>
      </c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>
        <v>294000.96000000002</v>
      </c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>
        <v>294000.96000000002</v>
      </c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>
        <v>3470567.6299999994</v>
      </c>
    </row>
    <row r="32" spans="1:245" x14ac:dyDescent="0.3">
      <c r="A32" s="4" t="s">
        <v>43</v>
      </c>
      <c r="B32" s="8">
        <v>440107.80000000005</v>
      </c>
      <c r="C32" s="8">
        <f t="shared" si="0"/>
        <v>0</v>
      </c>
      <c r="D32" s="8">
        <f t="shared" si="1"/>
        <v>-440107.80000000005</v>
      </c>
      <c r="H32" s="4" t="s">
        <v>32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>
        <v>913208.74</v>
      </c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>
        <v>3133365.49</v>
      </c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>
        <v>923639.66</v>
      </c>
      <c r="BI32" s="8"/>
      <c r="BJ32" s="8">
        <v>1020096</v>
      </c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>
        <v>255597.54</v>
      </c>
      <c r="BX32" s="8"/>
      <c r="BY32" s="8"/>
      <c r="BZ32" s="8">
        <v>1688137.75</v>
      </c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>
        <v>157241.24</v>
      </c>
      <c r="CL32" s="8"/>
      <c r="CM32" s="8"/>
      <c r="CN32" s="8"/>
      <c r="CO32" s="8"/>
      <c r="CP32" s="8"/>
      <c r="CQ32" s="8"/>
      <c r="CR32" s="8"/>
      <c r="CS32" s="8">
        <v>1413723.06</v>
      </c>
      <c r="CT32" s="8">
        <v>255597.54</v>
      </c>
      <c r="CU32" s="8">
        <v>288631.78000000003</v>
      </c>
      <c r="CV32" s="8">
        <v>219449.92</v>
      </c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>
        <v>257289.7</v>
      </c>
      <c r="DH32" s="8"/>
      <c r="DI32" s="8">
        <v>1413722.28</v>
      </c>
      <c r="DJ32" s="8"/>
      <c r="DK32" s="8">
        <v>255597.54</v>
      </c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>
        <v>255597.54</v>
      </c>
      <c r="EF32" s="8"/>
      <c r="EG32" s="8">
        <v>1702352.9978540773</v>
      </c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>
        <v>937854.43</v>
      </c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>
        <v>1020096</v>
      </c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>
        <v>255597.54</v>
      </c>
      <c r="FX32" s="8">
        <v>288631.78000000003</v>
      </c>
      <c r="FY32" s="8"/>
      <c r="FZ32" s="8"/>
      <c r="GA32" s="8"/>
      <c r="GB32" s="8"/>
      <c r="GC32" s="8"/>
      <c r="GD32" s="8">
        <v>393560.01</v>
      </c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>
        <v>255597.54</v>
      </c>
      <c r="GV32" s="8"/>
      <c r="GW32" s="8">
        <v>694925.03</v>
      </c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>
        <v>2342109.75</v>
      </c>
      <c r="HI32" s="8"/>
      <c r="HJ32" s="8"/>
      <c r="HK32" s="8">
        <v>649103.9</v>
      </c>
      <c r="HL32" s="8">
        <v>1020096</v>
      </c>
      <c r="HM32" s="8">
        <v>425525.76000000001</v>
      </c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>
        <v>22436346.517854072</v>
      </c>
    </row>
    <row r="33" spans="1:245" x14ac:dyDescent="0.3">
      <c r="A33" s="4" t="s">
        <v>42</v>
      </c>
      <c r="B33" s="8">
        <v>385309.89</v>
      </c>
      <c r="C33" s="8">
        <f t="shared" si="0"/>
        <v>0</v>
      </c>
      <c r="D33" s="8">
        <f t="shared" si="1"/>
        <v>-385309.89</v>
      </c>
      <c r="H33" s="4" t="s">
        <v>38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>
        <v>93647.49</v>
      </c>
      <c r="AB33" s="8"/>
      <c r="AC33" s="8">
        <v>111600.22</v>
      </c>
      <c r="AD33" s="8">
        <v>151139.01</v>
      </c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>
        <v>442026.6</v>
      </c>
      <c r="AQ33" s="8"/>
      <c r="AR33" s="8">
        <v>255880</v>
      </c>
      <c r="AS33" s="8"/>
      <c r="AT33" s="8"/>
      <c r="AU33" s="8"/>
      <c r="AV33" s="8"/>
      <c r="AW33" s="8"/>
      <c r="AX33" s="8">
        <v>111600.22</v>
      </c>
      <c r="AY33" s="8"/>
      <c r="AZ33" s="8">
        <v>368355.11</v>
      </c>
      <c r="BA33" s="8"/>
      <c r="BB33" s="8">
        <v>222403.39</v>
      </c>
      <c r="BC33" s="8"/>
      <c r="BD33" s="8"/>
      <c r="BE33" s="8">
        <v>22096.36</v>
      </c>
      <c r="BF33" s="8">
        <v>73671.48</v>
      </c>
      <c r="BG33" s="8"/>
      <c r="BH33" s="8"/>
      <c r="BI33" s="8">
        <v>512412.86</v>
      </c>
      <c r="BJ33" s="8">
        <v>111600.22</v>
      </c>
      <c r="BK33" s="8"/>
      <c r="BL33" s="8"/>
      <c r="BM33" s="8">
        <v>134177.92000000001</v>
      </c>
      <c r="BN33" s="8"/>
      <c r="BO33" s="8"/>
      <c r="BP33" s="8">
        <v>127355.8</v>
      </c>
      <c r="BQ33" s="8"/>
      <c r="BR33" s="8"/>
      <c r="BS33" s="8"/>
      <c r="BT33" s="8"/>
      <c r="BU33" s="8"/>
      <c r="BV33" s="8"/>
      <c r="BW33" s="8">
        <v>19502.89</v>
      </c>
      <c r="BX33" s="8"/>
      <c r="BY33" s="8"/>
      <c r="BZ33" s="8">
        <v>84858.04</v>
      </c>
      <c r="CA33" s="8">
        <v>111600.22</v>
      </c>
      <c r="CB33" s="8"/>
      <c r="CC33" s="8"/>
      <c r="CD33" s="8"/>
      <c r="CE33" s="8">
        <v>85000</v>
      </c>
      <c r="CF33" s="8"/>
      <c r="CG33" s="8">
        <v>283355.11</v>
      </c>
      <c r="CH33" s="8">
        <v>178140.34</v>
      </c>
      <c r="CI33" s="8"/>
      <c r="CJ33" s="8"/>
      <c r="CK33" s="8"/>
      <c r="CL33" s="8"/>
      <c r="CM33" s="8">
        <v>127355.8</v>
      </c>
      <c r="CN33" s="8"/>
      <c r="CO33" s="8"/>
      <c r="CP33" s="8"/>
      <c r="CQ33" s="8"/>
      <c r="CR33" s="8">
        <v>222403.39</v>
      </c>
      <c r="CS33" s="8">
        <v>91705.61</v>
      </c>
      <c r="CT33" s="8">
        <v>117291.83</v>
      </c>
      <c r="CU33" s="8">
        <v>222403.39</v>
      </c>
      <c r="CV33" s="8">
        <v>580207.5</v>
      </c>
      <c r="CW33" s="8"/>
      <c r="CX33" s="8">
        <v>133850.94</v>
      </c>
      <c r="CY33" s="8"/>
      <c r="CZ33" s="8"/>
      <c r="DA33" s="8">
        <v>222403.39</v>
      </c>
      <c r="DB33" s="8"/>
      <c r="DC33" s="8"/>
      <c r="DD33" s="8">
        <v>17881.25</v>
      </c>
      <c r="DE33" s="8"/>
      <c r="DF33" s="8">
        <v>233745.96</v>
      </c>
      <c r="DG33" s="8"/>
      <c r="DH33" s="8"/>
      <c r="DI33" s="8"/>
      <c r="DJ33" s="8">
        <v>76253.39</v>
      </c>
      <c r="DK33" s="8">
        <v>117291.83</v>
      </c>
      <c r="DL33" s="8"/>
      <c r="DM33" s="8"/>
      <c r="DN33" s="8"/>
      <c r="DO33" s="8"/>
      <c r="DP33" s="8">
        <v>285758.08000000002</v>
      </c>
      <c r="DQ33" s="8">
        <v>387141.22</v>
      </c>
      <c r="DR33" s="8">
        <v>18317.38</v>
      </c>
      <c r="DS33" s="8">
        <v>226733.58</v>
      </c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>
        <v>216555.6</v>
      </c>
      <c r="EF33" s="8"/>
      <c r="EG33" s="8"/>
      <c r="EH33" s="8"/>
      <c r="EI33" s="8">
        <v>20934.14</v>
      </c>
      <c r="EJ33" s="8"/>
      <c r="EK33" s="8">
        <v>387141.22</v>
      </c>
      <c r="EL33" s="8"/>
      <c r="EM33" s="8">
        <v>199315.68</v>
      </c>
      <c r="EN33" s="8"/>
      <c r="EO33" s="8"/>
      <c r="EP33" s="8">
        <v>133850.94</v>
      </c>
      <c r="EQ33" s="8"/>
      <c r="ER33" s="8"/>
      <c r="ES33" s="8"/>
      <c r="ET33" s="8"/>
      <c r="EU33" s="8"/>
      <c r="EV33" s="8">
        <v>89018.28</v>
      </c>
      <c r="EW33" s="8"/>
      <c r="EX33" s="8"/>
      <c r="EY33" s="8"/>
      <c r="EZ33" s="8"/>
      <c r="FA33" s="8">
        <v>479367.77</v>
      </c>
      <c r="FB33" s="8"/>
      <c r="FC33" s="8">
        <v>117291.83</v>
      </c>
      <c r="FD33" s="8">
        <v>133850.94</v>
      </c>
      <c r="FE33" s="8">
        <v>387141.22</v>
      </c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>
        <v>226733.57</v>
      </c>
      <c r="FT33" s="8"/>
      <c r="FU33" s="8"/>
      <c r="FV33" s="8">
        <v>117291.83</v>
      </c>
      <c r="FW33" s="8">
        <v>13956.1</v>
      </c>
      <c r="FX33" s="8"/>
      <c r="FY33" s="8">
        <v>484893.37</v>
      </c>
      <c r="FZ33" s="8"/>
      <c r="GA33" s="8">
        <v>195140.88</v>
      </c>
      <c r="GB33" s="8"/>
      <c r="GC33" s="8"/>
      <c r="GD33" s="8"/>
      <c r="GE33" s="8"/>
      <c r="GF33" s="8"/>
      <c r="GG33" s="8"/>
      <c r="GH33" s="8">
        <v>133850.94</v>
      </c>
      <c r="GI33" s="8"/>
      <c r="GJ33" s="8"/>
      <c r="GK33" s="8"/>
      <c r="GL33" s="8"/>
      <c r="GM33" s="8"/>
      <c r="GN33" s="8"/>
      <c r="GO33" s="8"/>
      <c r="GP33" s="8"/>
      <c r="GQ33" s="8"/>
      <c r="GR33" s="8">
        <v>183803.6</v>
      </c>
      <c r="GS33" s="8">
        <v>8722.56</v>
      </c>
      <c r="GT33" s="8">
        <v>233745.96</v>
      </c>
      <c r="GU33" s="8">
        <v>288767.44999999995</v>
      </c>
      <c r="GV33" s="8">
        <v>140971.81</v>
      </c>
      <c r="GW33" s="8">
        <v>313649.51</v>
      </c>
      <c r="GX33" s="8">
        <v>65119.78</v>
      </c>
      <c r="GY33" s="8">
        <v>102979.54999999999</v>
      </c>
      <c r="GZ33" s="8"/>
      <c r="HA33" s="8">
        <v>66967.34</v>
      </c>
      <c r="HB33" s="8"/>
      <c r="HC33" s="8"/>
      <c r="HD33" s="8">
        <v>123531.76</v>
      </c>
      <c r="HE33" s="8">
        <v>94087.62</v>
      </c>
      <c r="HF33" s="8">
        <v>35604.35</v>
      </c>
      <c r="HG33" s="8">
        <v>249062.91999999998</v>
      </c>
      <c r="HH33" s="8">
        <v>307611.57</v>
      </c>
      <c r="HI33" s="8">
        <v>700802.57000000007</v>
      </c>
      <c r="HJ33" s="8"/>
      <c r="HK33" s="8"/>
      <c r="HL33" s="8">
        <v>135321.62</v>
      </c>
      <c r="HM33" s="8"/>
      <c r="HN33" s="8"/>
      <c r="HO33" s="8"/>
      <c r="HP33" s="8"/>
      <c r="HQ33" s="8"/>
      <c r="HR33" s="8"/>
      <c r="HS33" s="8"/>
      <c r="HT33" s="8"/>
      <c r="HU33" s="8"/>
      <c r="HV33" s="8">
        <v>181994.94</v>
      </c>
      <c r="HW33" s="8"/>
      <c r="HX33" s="8"/>
      <c r="HY33" s="8"/>
      <c r="HZ33" s="8"/>
      <c r="IA33" s="8">
        <v>119825.81</v>
      </c>
      <c r="IB33" s="8"/>
      <c r="IC33" s="8">
        <v>74471.12</v>
      </c>
      <c r="ID33" s="8"/>
      <c r="IE33" s="8">
        <v>407737.13</v>
      </c>
      <c r="IF33" s="8">
        <v>140971.81</v>
      </c>
      <c r="IG33" s="8"/>
      <c r="IH33" s="8"/>
      <c r="II33" s="8"/>
      <c r="IJ33" s="8"/>
      <c r="IK33" s="8">
        <v>13893252.909999998</v>
      </c>
    </row>
    <row r="34" spans="1:245" x14ac:dyDescent="0.3">
      <c r="A34" s="4" t="s">
        <v>121</v>
      </c>
      <c r="B34" s="8">
        <v>129930</v>
      </c>
      <c r="C34" s="8">
        <f t="shared" si="0"/>
        <v>0</v>
      </c>
      <c r="D34" s="8">
        <f t="shared" si="1"/>
        <v>-129930</v>
      </c>
      <c r="H34" s="4" t="s">
        <v>44</v>
      </c>
      <c r="I34" s="8"/>
      <c r="J34" s="8"/>
      <c r="K34" s="8"/>
      <c r="L34" s="8">
        <v>321311.59999999998</v>
      </c>
      <c r="M34" s="8">
        <v>226257.35</v>
      </c>
      <c r="N34" s="8">
        <v>47330</v>
      </c>
      <c r="O34" s="8">
        <v>154906.32</v>
      </c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>
        <v>92203.51999999999</v>
      </c>
      <c r="AG34" s="8">
        <v>389573.91</v>
      </c>
      <c r="AH34" s="8">
        <v>422022.48000000004</v>
      </c>
      <c r="AI34" s="8">
        <v>13699.2</v>
      </c>
      <c r="AJ34" s="8"/>
      <c r="AK34" s="8">
        <v>56125.760000000002</v>
      </c>
      <c r="AL34" s="8"/>
      <c r="AM34" s="8"/>
      <c r="AN34" s="8">
        <v>13437.2</v>
      </c>
      <c r="AO34" s="8"/>
      <c r="AP34" s="8"/>
      <c r="AQ34" s="8"/>
      <c r="AR34" s="8"/>
      <c r="AS34" s="8"/>
      <c r="AT34" s="8">
        <v>454996.45</v>
      </c>
      <c r="AU34" s="8">
        <v>224021.8</v>
      </c>
      <c r="AV34" s="8">
        <v>92795.04</v>
      </c>
      <c r="AW34" s="8">
        <v>59031.360000000001</v>
      </c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>
        <v>265391.64</v>
      </c>
      <c r="BQ34" s="8"/>
      <c r="BR34" s="8">
        <v>14423.2</v>
      </c>
      <c r="BS34" s="8">
        <v>40600</v>
      </c>
      <c r="BT34" s="8">
        <v>138161.60000000001</v>
      </c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>
        <v>257513.52000000002</v>
      </c>
      <c r="CH34" s="8">
        <v>291756.00000000006</v>
      </c>
      <c r="CI34" s="8">
        <v>249191.2</v>
      </c>
      <c r="CJ34" s="8">
        <v>41688</v>
      </c>
      <c r="CK34" s="8"/>
      <c r="CL34" s="8">
        <v>40600</v>
      </c>
      <c r="CM34" s="8"/>
      <c r="CN34" s="8">
        <v>270681.59999999998</v>
      </c>
      <c r="CO34" s="8"/>
      <c r="CP34" s="8"/>
      <c r="CQ34" s="8">
        <v>31621.38</v>
      </c>
      <c r="CR34" s="8"/>
      <c r="CS34" s="8">
        <v>352886.31999999995</v>
      </c>
      <c r="CT34" s="8">
        <v>754303.37000000011</v>
      </c>
      <c r="CU34" s="8">
        <v>18684.8</v>
      </c>
      <c r="CV34" s="8"/>
      <c r="CW34" s="8">
        <v>192067.36000000002</v>
      </c>
      <c r="CX34" s="8"/>
      <c r="CY34" s="8"/>
      <c r="CZ34" s="8"/>
      <c r="DA34" s="8"/>
      <c r="DB34" s="8"/>
      <c r="DC34" s="8"/>
      <c r="DD34" s="8">
        <v>35501.120000000003</v>
      </c>
      <c r="DE34" s="8"/>
      <c r="DF34" s="8"/>
      <c r="DG34" s="8"/>
      <c r="DH34" s="8">
        <v>35006.639999999999</v>
      </c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>
        <v>228664.48</v>
      </c>
      <c r="DU34" s="8">
        <v>466854.61</v>
      </c>
      <c r="DV34" s="8"/>
      <c r="DW34" s="8">
        <v>499518.1399999999</v>
      </c>
      <c r="DX34" s="8">
        <v>161688.38</v>
      </c>
      <c r="DY34" s="8"/>
      <c r="DZ34" s="8">
        <v>39238.080000000002</v>
      </c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>
        <v>709770.23999999999</v>
      </c>
      <c r="EP34" s="8">
        <v>483467.34</v>
      </c>
      <c r="EQ34" s="8">
        <v>106618.79999999999</v>
      </c>
      <c r="ER34" s="8">
        <v>138002.72</v>
      </c>
      <c r="ES34" s="8"/>
      <c r="ET34" s="8"/>
      <c r="EU34" s="8"/>
      <c r="EV34" s="8"/>
      <c r="EW34" s="8"/>
      <c r="EX34" s="8"/>
      <c r="EY34" s="8"/>
      <c r="EZ34" s="8"/>
      <c r="FA34" s="8">
        <v>597713.43999999994</v>
      </c>
      <c r="FB34" s="8">
        <v>581020.48</v>
      </c>
      <c r="FC34" s="8">
        <v>116486.64</v>
      </c>
      <c r="FD34" s="8">
        <v>77864.160000000003</v>
      </c>
      <c r="FE34" s="8"/>
      <c r="FF34" s="8"/>
      <c r="FG34" s="8"/>
      <c r="FH34" s="8"/>
      <c r="FI34" s="8">
        <v>112629.6</v>
      </c>
      <c r="FJ34" s="8"/>
      <c r="FK34" s="8"/>
      <c r="FL34" s="8">
        <v>36125</v>
      </c>
      <c r="FM34" s="8"/>
      <c r="FN34" s="8">
        <v>131571.16999999998</v>
      </c>
      <c r="FO34" s="8"/>
      <c r="FP34" s="8"/>
      <c r="FQ34" s="8">
        <v>217767.44</v>
      </c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>
        <v>860583.64</v>
      </c>
      <c r="GD34" s="8">
        <v>157629.12</v>
      </c>
      <c r="GE34" s="8">
        <v>347430.56</v>
      </c>
      <c r="GF34" s="8"/>
      <c r="GG34" s="8">
        <v>170096.96</v>
      </c>
      <c r="GH34" s="8">
        <v>59809.760000000002</v>
      </c>
      <c r="GI34" s="8"/>
      <c r="GJ34" s="8"/>
      <c r="GK34" s="8">
        <v>38428.400000000001</v>
      </c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>
        <v>727863.94</v>
      </c>
      <c r="GX34" s="8">
        <v>80322.64</v>
      </c>
      <c r="GY34" s="8">
        <v>120386.88</v>
      </c>
      <c r="GZ34" s="8">
        <v>231408.96</v>
      </c>
      <c r="HA34" s="8">
        <v>290225.28000000003</v>
      </c>
      <c r="HB34" s="8"/>
      <c r="HC34" s="8">
        <v>259355.91999999998</v>
      </c>
      <c r="HD34" s="8">
        <v>529889.02</v>
      </c>
      <c r="HE34" s="8">
        <v>59353.2</v>
      </c>
      <c r="HF34" s="8">
        <v>340944.24</v>
      </c>
      <c r="HG34" s="8"/>
      <c r="HH34" s="8">
        <v>96292.800000000003</v>
      </c>
      <c r="HI34" s="8">
        <v>123386.4</v>
      </c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>
        <v>195222</v>
      </c>
      <c r="IA34" s="8"/>
      <c r="IB34" s="8"/>
      <c r="IC34" s="8"/>
      <c r="ID34" s="8">
        <v>81200</v>
      </c>
      <c r="IE34" s="8"/>
      <c r="IF34" s="8"/>
      <c r="IG34" s="8"/>
      <c r="IH34" s="8"/>
      <c r="II34" s="8"/>
      <c r="IJ34" s="8"/>
      <c r="IK34" s="8">
        <v>15072620.180000003</v>
      </c>
    </row>
    <row r="35" spans="1:245" x14ac:dyDescent="0.3">
      <c r="A35" s="4" t="s">
        <v>4</v>
      </c>
      <c r="B35" s="8">
        <v>82612.09</v>
      </c>
      <c r="C35" s="8" t="e">
        <f t="shared" si="0"/>
        <v>#N/A</v>
      </c>
      <c r="D35" s="8" t="e">
        <f t="shared" si="1"/>
        <v>#N/A</v>
      </c>
      <c r="H35" s="4" t="s">
        <v>39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>
        <v>314860.65000000002</v>
      </c>
      <c r="AC35" s="8"/>
      <c r="AD35" s="8"/>
      <c r="AE35" s="8"/>
      <c r="AF35" s="8"/>
      <c r="AG35" s="8"/>
      <c r="AH35" s="8"/>
      <c r="AI35" s="8"/>
      <c r="AJ35" s="8"/>
      <c r="AK35" s="8"/>
      <c r="AL35" s="8">
        <v>717326.48</v>
      </c>
      <c r="AM35" s="8"/>
      <c r="AN35" s="8"/>
      <c r="AO35" s="8"/>
      <c r="AP35" s="8"/>
      <c r="AQ35" s="8"/>
      <c r="AR35" s="8"/>
      <c r="AS35" s="8">
        <v>154365.24</v>
      </c>
      <c r="AT35" s="8"/>
      <c r="AU35" s="8"/>
      <c r="AV35" s="8">
        <v>513355.19</v>
      </c>
      <c r="AW35" s="8"/>
      <c r="AX35" s="8"/>
      <c r="AY35" s="8"/>
      <c r="AZ35" s="8"/>
      <c r="BA35" s="8"/>
      <c r="BB35" s="8"/>
      <c r="BC35" s="8">
        <v>128598.96</v>
      </c>
      <c r="BD35" s="8"/>
      <c r="BE35" s="8"/>
      <c r="BF35" s="8"/>
      <c r="BG35" s="8"/>
      <c r="BH35" s="8"/>
      <c r="BI35" s="8"/>
      <c r="BJ35" s="8"/>
      <c r="BK35" s="8">
        <v>154365.24</v>
      </c>
      <c r="BL35" s="8"/>
      <c r="BM35" s="8"/>
      <c r="BN35" s="8"/>
      <c r="BO35" s="8"/>
      <c r="BP35" s="8"/>
      <c r="BQ35" s="8"/>
      <c r="BR35" s="8"/>
      <c r="BS35" s="8"/>
      <c r="BT35" s="8"/>
      <c r="BU35" s="8">
        <v>529170.02</v>
      </c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>
        <v>772168.82</v>
      </c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>
        <v>154365.24</v>
      </c>
      <c r="CV35" s="8"/>
      <c r="CW35" s="8"/>
      <c r="CX35" s="8">
        <v>647604.16</v>
      </c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>
        <v>568914.26</v>
      </c>
      <c r="DT35" s="8"/>
      <c r="DU35" s="8">
        <v>154365.24</v>
      </c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>
        <v>20954.12</v>
      </c>
      <c r="EM35" s="8">
        <v>572666.5</v>
      </c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>
        <v>134447.14000000001</v>
      </c>
      <c r="EZ35" s="8">
        <v>571783.62</v>
      </c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>
        <v>162394.43</v>
      </c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>
        <v>573770.1</v>
      </c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>
        <v>604355.81999999995</v>
      </c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>
        <v>162394.43</v>
      </c>
      <c r="HD35" s="8">
        <v>786659.47</v>
      </c>
      <c r="HE35" s="8">
        <v>162394.43</v>
      </c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>
        <v>8561279.5599999987</v>
      </c>
    </row>
    <row r="36" spans="1:245" x14ac:dyDescent="0.3">
      <c r="A36" s="4" t="s">
        <v>197</v>
      </c>
      <c r="B36" s="8">
        <v>45927.14</v>
      </c>
      <c r="C36" s="8">
        <f t="shared" si="0"/>
        <v>0</v>
      </c>
      <c r="D36" s="8">
        <f t="shared" si="1"/>
        <v>-45927.14</v>
      </c>
      <c r="H36" s="4" t="s">
        <v>178</v>
      </c>
      <c r="I36" s="8"/>
      <c r="J36" s="8"/>
      <c r="K36" s="8"/>
      <c r="L36" s="8"/>
      <c r="M36" s="8"/>
      <c r="N36" s="8"/>
      <c r="O36" s="8"/>
      <c r="P36" s="8"/>
      <c r="Q36" s="8"/>
      <c r="R36" s="8">
        <v>82448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>
        <v>82448</v>
      </c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>
        <v>82448</v>
      </c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>
        <v>82448</v>
      </c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>
        <v>82448</v>
      </c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>
        <v>82448</v>
      </c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>
        <v>82448</v>
      </c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>
        <v>82448</v>
      </c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>
        <v>82448</v>
      </c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>
        <v>82448</v>
      </c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>
        <v>82448</v>
      </c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>
        <v>82448</v>
      </c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>
        <v>989376</v>
      </c>
    </row>
    <row r="37" spans="1:245" x14ac:dyDescent="0.3">
      <c r="A37" s="4" t="s">
        <v>218</v>
      </c>
      <c r="B37" s="8">
        <v>41740</v>
      </c>
      <c r="C37" s="8">
        <f t="shared" si="0"/>
        <v>0</v>
      </c>
      <c r="D37" s="8">
        <f t="shared" si="1"/>
        <v>-41740</v>
      </c>
      <c r="H37" s="4" t="s">
        <v>198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>
        <v>152512.01999999999</v>
      </c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>
        <v>76256.009999999995</v>
      </c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>
        <v>76256.009999999995</v>
      </c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>
        <v>76256.009999999995</v>
      </c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>
        <v>91208.01</v>
      </c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>
        <v>90249.599999999991</v>
      </c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>
        <v>90249.600000000006</v>
      </c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>
        <v>90249.600000000006</v>
      </c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>
        <v>80187.72</v>
      </c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>
        <v>88991.76</v>
      </c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>
        <v>90249.599999999991</v>
      </c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>
        <v>1002665.94</v>
      </c>
    </row>
    <row r="38" spans="1:245" x14ac:dyDescent="0.3">
      <c r="A38" s="4" t="s">
        <v>221</v>
      </c>
      <c r="B38" s="8">
        <f>15092.83-2592</f>
        <v>12500.83</v>
      </c>
      <c r="C38" s="8">
        <f t="shared" si="0"/>
        <v>0</v>
      </c>
      <c r="D38" s="8">
        <f t="shared" si="1"/>
        <v>-12500.83</v>
      </c>
      <c r="H38" s="4" t="s">
        <v>165</v>
      </c>
      <c r="I38" s="8"/>
      <c r="J38" s="8"/>
      <c r="K38" s="8"/>
      <c r="L38" s="8"/>
      <c r="M38" s="8"/>
      <c r="N38" s="8"/>
      <c r="O38" s="8"/>
      <c r="P38" s="8"/>
      <c r="Q38" s="8"/>
      <c r="R38" s="8">
        <v>31920</v>
      </c>
      <c r="S38" s="8"/>
      <c r="T38" s="8"/>
      <c r="U38" s="8">
        <v>52080</v>
      </c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>
        <v>7600</v>
      </c>
      <c r="AL38" s="8"/>
      <c r="AM38" s="8">
        <v>26040</v>
      </c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>
        <v>42807.240000000005</v>
      </c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>
        <v>42807.240000000005</v>
      </c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>
        <v>42807.240000000005</v>
      </c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>
        <v>31647.24</v>
      </c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>
        <v>42807.240000000005</v>
      </c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>
        <v>13640</v>
      </c>
      <c r="ET38" s="8">
        <v>16767.240000000002</v>
      </c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>
        <v>16767.240000000002</v>
      </c>
      <c r="FP38" s="8">
        <v>26040</v>
      </c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>
        <v>16767.240000000002</v>
      </c>
      <c r="GJ38" s="8">
        <v>26040</v>
      </c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>
        <v>85614.48000000001</v>
      </c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>
        <v>522152.39999999991</v>
      </c>
    </row>
    <row r="39" spans="1:245" x14ac:dyDescent="0.3">
      <c r="A39" s="4" t="s">
        <v>304</v>
      </c>
      <c r="B39" s="8">
        <v>3935.02</v>
      </c>
      <c r="C39" s="8" t="e">
        <f t="shared" si="0"/>
        <v>#N/A</v>
      </c>
      <c r="D39" s="8" t="e">
        <f t="shared" si="1"/>
        <v>#N/A</v>
      </c>
      <c r="H39" s="4" t="s">
        <v>214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>
        <v>1177.6500000000001</v>
      </c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>
        <v>2757.37</v>
      </c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>
        <v>11157.81</v>
      </c>
      <c r="IG39" s="8"/>
      <c r="IH39" s="8"/>
      <c r="II39" s="8"/>
      <c r="IJ39" s="8"/>
      <c r="IK39" s="8">
        <v>15092.83</v>
      </c>
    </row>
    <row r="40" spans="1:245" x14ac:dyDescent="0.3">
      <c r="A40" s="51" t="s">
        <v>19</v>
      </c>
      <c r="B40" s="135">
        <f>SUM(B4:B39)</f>
        <v>195135476.57334691</v>
      </c>
      <c r="C40" s="135" t="e">
        <f>SUM(C4:C39)</f>
        <v>#N/A</v>
      </c>
      <c r="D40" s="128" t="e">
        <f t="shared" ref="D40" si="2">SUM(D4:D39)</f>
        <v>#N/A</v>
      </c>
      <c r="H40" s="4" t="s">
        <v>348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>
        <v>432751.13</v>
      </c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>
        <v>432751.13</v>
      </c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>
        <v>591410.37</v>
      </c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>
        <v>446627.93</v>
      </c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>
        <v>457087.98</v>
      </c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>
        <v>464317.66</v>
      </c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>
        <v>473894.04</v>
      </c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>
        <v>475106.24</v>
      </c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>
        <v>466135.96</v>
      </c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>
        <v>468378.53</v>
      </c>
      <c r="GQ40" s="8"/>
      <c r="GR40" s="8">
        <v>105889.13</v>
      </c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>
        <v>474621.36</v>
      </c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>
        <v>469166.46</v>
      </c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>
        <v>5758137.9200000009</v>
      </c>
    </row>
    <row r="41" spans="1:245" x14ac:dyDescent="0.3">
      <c r="H41" s="4" t="s">
        <v>19</v>
      </c>
      <c r="I41" s="8">
        <v>51510.57</v>
      </c>
      <c r="J41" s="8">
        <v>61378.96</v>
      </c>
      <c r="K41" s="8">
        <v>3177.53</v>
      </c>
      <c r="L41" s="8">
        <v>321311.59999999998</v>
      </c>
      <c r="M41" s="8">
        <v>226257.35</v>
      </c>
      <c r="N41" s="8">
        <v>47330</v>
      </c>
      <c r="O41" s="8">
        <v>154906.32</v>
      </c>
      <c r="P41" s="8">
        <v>39410.92</v>
      </c>
      <c r="Q41" s="8">
        <v>21543.39</v>
      </c>
      <c r="R41" s="8">
        <v>472675.95</v>
      </c>
      <c r="S41" s="8">
        <v>262870.25</v>
      </c>
      <c r="T41" s="8">
        <v>66048</v>
      </c>
      <c r="U41" s="8">
        <v>1014060.1</v>
      </c>
      <c r="V41" s="8">
        <v>730252.61</v>
      </c>
      <c r="W41" s="8">
        <v>270604.86</v>
      </c>
      <c r="X41" s="8">
        <v>76786.27</v>
      </c>
      <c r="Y41" s="8">
        <v>1052690.49</v>
      </c>
      <c r="Z41" s="8">
        <v>231059.82</v>
      </c>
      <c r="AA41" s="8">
        <v>1960425.27</v>
      </c>
      <c r="AB41" s="8">
        <v>327970.98000000004</v>
      </c>
      <c r="AC41" s="8">
        <v>111600.22</v>
      </c>
      <c r="AD41" s="8">
        <v>151139.01</v>
      </c>
      <c r="AE41" s="8">
        <v>389526.92</v>
      </c>
      <c r="AF41" s="8">
        <v>92203.51999999999</v>
      </c>
      <c r="AG41" s="8">
        <v>389573.91</v>
      </c>
      <c r="AH41" s="8">
        <v>447556.80000000005</v>
      </c>
      <c r="AI41" s="8">
        <v>20788.28</v>
      </c>
      <c r="AJ41" s="8">
        <v>1157039.6000000001</v>
      </c>
      <c r="AK41" s="8">
        <v>1169692.2900000003</v>
      </c>
      <c r="AL41" s="8">
        <v>717326.48</v>
      </c>
      <c r="AM41" s="8">
        <v>1462724.2</v>
      </c>
      <c r="AN41" s="8">
        <v>604250.82999999996</v>
      </c>
      <c r="AO41" s="8">
        <v>593069.73</v>
      </c>
      <c r="AP41" s="8">
        <v>4712487.8899999997</v>
      </c>
      <c r="AQ41" s="8">
        <v>150121.51999999999</v>
      </c>
      <c r="AR41" s="8">
        <v>992440.72</v>
      </c>
      <c r="AS41" s="8">
        <v>549995.25</v>
      </c>
      <c r="AT41" s="8">
        <v>454996.45</v>
      </c>
      <c r="AU41" s="8">
        <v>248771.02</v>
      </c>
      <c r="AV41" s="8">
        <v>955895.1</v>
      </c>
      <c r="AW41" s="8">
        <v>72141.69</v>
      </c>
      <c r="AX41" s="8">
        <v>303111.06</v>
      </c>
      <c r="AY41" s="8">
        <v>21582.58</v>
      </c>
      <c r="AZ41" s="8">
        <v>368355.11</v>
      </c>
      <c r="BA41" s="8">
        <v>24572.639999999999</v>
      </c>
      <c r="BB41" s="8">
        <v>1481936.5800000003</v>
      </c>
      <c r="BC41" s="8">
        <v>1024718.07</v>
      </c>
      <c r="BD41" s="8">
        <v>220366.22</v>
      </c>
      <c r="BE41" s="8">
        <v>52742.64</v>
      </c>
      <c r="BF41" s="8">
        <v>484475.15</v>
      </c>
      <c r="BG41" s="8">
        <v>249764.96999999997</v>
      </c>
      <c r="BH41" s="8">
        <v>1116182.78</v>
      </c>
      <c r="BI41" s="8">
        <v>1345071.9</v>
      </c>
      <c r="BJ41" s="8">
        <v>1636172.7899999998</v>
      </c>
      <c r="BK41" s="8">
        <v>260114.96</v>
      </c>
      <c r="BL41" s="8">
        <v>1997909.63</v>
      </c>
      <c r="BM41" s="8">
        <v>485572.54000000004</v>
      </c>
      <c r="BN41" s="8">
        <v>369926.83</v>
      </c>
      <c r="BO41" s="8">
        <v>477299.4</v>
      </c>
      <c r="BP41" s="8">
        <v>392747.44</v>
      </c>
      <c r="BQ41" s="8">
        <v>17902.11</v>
      </c>
      <c r="BR41" s="8">
        <v>14423.2</v>
      </c>
      <c r="BS41" s="8">
        <v>73223.399999999994</v>
      </c>
      <c r="BT41" s="8">
        <v>363463.83</v>
      </c>
      <c r="BU41" s="8">
        <v>765842.92999999993</v>
      </c>
      <c r="BV41" s="8">
        <v>468251.33</v>
      </c>
      <c r="BW41" s="8">
        <v>647219.1100000001</v>
      </c>
      <c r="BX41" s="8">
        <v>67387.39</v>
      </c>
      <c r="BY41" s="8">
        <v>96101.540000000008</v>
      </c>
      <c r="BZ41" s="8">
        <v>2443028.59</v>
      </c>
      <c r="CA41" s="8">
        <v>1137831.47</v>
      </c>
      <c r="CB41" s="8">
        <v>569835.23</v>
      </c>
      <c r="CC41" s="8">
        <v>1705360.56</v>
      </c>
      <c r="CD41" s="8">
        <v>481386.35</v>
      </c>
      <c r="CE41" s="8">
        <v>605423.16</v>
      </c>
      <c r="CF41" s="8">
        <v>343965.52999999997</v>
      </c>
      <c r="CG41" s="8">
        <v>1396864.99</v>
      </c>
      <c r="CH41" s="8">
        <v>840589.02</v>
      </c>
      <c r="CI41" s="8">
        <v>696784.92</v>
      </c>
      <c r="CJ41" s="8">
        <v>41688</v>
      </c>
      <c r="CK41" s="8">
        <v>205683.09999999998</v>
      </c>
      <c r="CL41" s="8">
        <v>40600</v>
      </c>
      <c r="CM41" s="8">
        <v>154430.79999999999</v>
      </c>
      <c r="CN41" s="8">
        <v>362828.44</v>
      </c>
      <c r="CO41" s="8">
        <v>520889.74</v>
      </c>
      <c r="CP41" s="8">
        <v>666977</v>
      </c>
      <c r="CQ41" s="8">
        <v>31621.38</v>
      </c>
      <c r="CR41" s="8">
        <v>443480.24</v>
      </c>
      <c r="CS41" s="8">
        <v>2125438.8600000003</v>
      </c>
      <c r="CT41" s="8">
        <v>2487438.04</v>
      </c>
      <c r="CU41" s="8">
        <v>1117816.2600000002</v>
      </c>
      <c r="CV41" s="8">
        <v>3483132.02</v>
      </c>
      <c r="CW41" s="8">
        <v>446728.68</v>
      </c>
      <c r="CX41" s="8">
        <v>1029426.0700000001</v>
      </c>
      <c r="CY41" s="8">
        <v>612056.77</v>
      </c>
      <c r="CZ41" s="8">
        <v>1741585.67</v>
      </c>
      <c r="DA41" s="8">
        <v>610814.85000000009</v>
      </c>
      <c r="DB41" s="8">
        <v>3562.53</v>
      </c>
      <c r="DC41" s="8">
        <v>22241.65</v>
      </c>
      <c r="DD41" s="8">
        <v>294966.53999999998</v>
      </c>
      <c r="DE41" s="8">
        <v>35337.800000000003</v>
      </c>
      <c r="DF41" s="8">
        <v>294966.61549280764</v>
      </c>
      <c r="DG41" s="8">
        <v>444456.65</v>
      </c>
      <c r="DH41" s="8">
        <v>109466.09000000001</v>
      </c>
      <c r="DI41" s="8">
        <v>1661630.6600000001</v>
      </c>
      <c r="DJ41" s="8">
        <v>655928.92000000004</v>
      </c>
      <c r="DK41" s="8">
        <v>1880538.9</v>
      </c>
      <c r="DL41" s="8">
        <v>122834.03</v>
      </c>
      <c r="DM41" s="8">
        <v>616281.77</v>
      </c>
      <c r="DN41" s="8">
        <v>2684129.0499999998</v>
      </c>
      <c r="DO41" s="8">
        <v>339686.92</v>
      </c>
      <c r="DP41" s="8">
        <v>716067.89999999991</v>
      </c>
      <c r="DQ41" s="8">
        <v>1172582.29</v>
      </c>
      <c r="DR41" s="8">
        <v>165662.57</v>
      </c>
      <c r="DS41" s="8">
        <v>829055.84</v>
      </c>
      <c r="DT41" s="8">
        <v>613826.4</v>
      </c>
      <c r="DU41" s="8">
        <v>621219.85</v>
      </c>
      <c r="DV41" s="8">
        <v>101663.6899999999</v>
      </c>
      <c r="DW41" s="8">
        <v>499518.1399999999</v>
      </c>
      <c r="DX41" s="8">
        <v>201157.04</v>
      </c>
      <c r="DY41" s="8">
        <v>100742.39999999999</v>
      </c>
      <c r="DZ41" s="8">
        <v>39238.080000000002</v>
      </c>
      <c r="EA41" s="8">
        <v>675043.68</v>
      </c>
      <c r="EB41" s="8">
        <v>56962.979999999996</v>
      </c>
      <c r="EC41" s="8">
        <v>482347.33999999997</v>
      </c>
      <c r="ED41" s="8">
        <v>183843.3</v>
      </c>
      <c r="EE41" s="8">
        <v>555638.61</v>
      </c>
      <c r="EF41" s="8">
        <v>813884.59</v>
      </c>
      <c r="EG41" s="8">
        <v>3271871.2878540773</v>
      </c>
      <c r="EH41" s="8">
        <v>1720498.9499999997</v>
      </c>
      <c r="EI41" s="8">
        <v>416390.86</v>
      </c>
      <c r="EJ41" s="8">
        <v>2391204.52</v>
      </c>
      <c r="EK41" s="8">
        <v>804811.51</v>
      </c>
      <c r="EL41" s="8">
        <v>25235.41</v>
      </c>
      <c r="EM41" s="8">
        <v>1129743</v>
      </c>
      <c r="EN41" s="8">
        <v>652506.38</v>
      </c>
      <c r="EO41" s="8">
        <v>709770.23999999999</v>
      </c>
      <c r="EP41" s="8">
        <v>617318.28</v>
      </c>
      <c r="EQ41" s="8">
        <v>132153.12</v>
      </c>
      <c r="ER41" s="8">
        <v>138002.72</v>
      </c>
      <c r="ES41" s="8">
        <v>387076.38999999996</v>
      </c>
      <c r="ET41" s="8">
        <v>30918.010000000002</v>
      </c>
      <c r="EU41" s="8">
        <v>203490.66999999998</v>
      </c>
      <c r="EV41" s="8">
        <v>624340.78</v>
      </c>
      <c r="EW41" s="8">
        <v>568617.5</v>
      </c>
      <c r="EX41" s="8">
        <v>418615.18999999994</v>
      </c>
      <c r="EY41" s="8">
        <v>2421551.71</v>
      </c>
      <c r="EZ41" s="8">
        <v>1088968.98</v>
      </c>
      <c r="FA41" s="8">
        <v>3748043.21</v>
      </c>
      <c r="FB41" s="8">
        <v>986803.23</v>
      </c>
      <c r="FC41" s="8">
        <v>406825.04000000004</v>
      </c>
      <c r="FD41" s="8">
        <v>1392846.2599999998</v>
      </c>
      <c r="FE41" s="8">
        <v>387141.22</v>
      </c>
      <c r="FF41" s="8">
        <v>297531.55</v>
      </c>
      <c r="FG41" s="8">
        <v>236280.79</v>
      </c>
      <c r="FH41" s="8">
        <v>373596.75</v>
      </c>
      <c r="FI41" s="8">
        <v>188549.41</v>
      </c>
      <c r="FJ41" s="8">
        <v>1020096</v>
      </c>
      <c r="FK41" s="8">
        <v>14477.09</v>
      </c>
      <c r="FL41" s="8">
        <v>103242.75</v>
      </c>
      <c r="FM41" s="8">
        <v>27966.16</v>
      </c>
      <c r="FN41" s="8">
        <v>654678.40999999992</v>
      </c>
      <c r="FO41" s="8">
        <v>252694.92</v>
      </c>
      <c r="FP41" s="8">
        <v>322661.64</v>
      </c>
      <c r="FQ41" s="8">
        <v>573852.96</v>
      </c>
      <c r="FR41" s="8">
        <v>1402176.25</v>
      </c>
      <c r="FS41" s="8">
        <v>921034.39999999991</v>
      </c>
      <c r="FT41" s="8">
        <v>321407.69</v>
      </c>
      <c r="FU41" s="8">
        <v>1127353.45</v>
      </c>
      <c r="FV41" s="8">
        <v>3199717.77</v>
      </c>
      <c r="FW41" s="8">
        <v>799703.52</v>
      </c>
      <c r="FX41" s="8">
        <v>1001139.73</v>
      </c>
      <c r="FY41" s="8">
        <v>1681941.1400000001</v>
      </c>
      <c r="FZ41" s="8">
        <v>578051.39</v>
      </c>
      <c r="GA41" s="8">
        <v>235140.88</v>
      </c>
      <c r="GB41" s="8">
        <v>485078.12</v>
      </c>
      <c r="GC41" s="8">
        <v>933956.49</v>
      </c>
      <c r="GD41" s="8">
        <v>698145.72</v>
      </c>
      <c r="GE41" s="8">
        <v>347430.56</v>
      </c>
      <c r="GF41" s="8">
        <v>25534.32</v>
      </c>
      <c r="GG41" s="8">
        <v>170096.96</v>
      </c>
      <c r="GH41" s="8">
        <v>193660.7</v>
      </c>
      <c r="GI41" s="8">
        <v>1153561.2100000002</v>
      </c>
      <c r="GJ41" s="8">
        <v>158191.47</v>
      </c>
      <c r="GK41" s="8">
        <v>1261297.4099999999</v>
      </c>
      <c r="GL41" s="8">
        <v>1363667.55</v>
      </c>
      <c r="GM41" s="8">
        <v>452404.98</v>
      </c>
      <c r="GN41" s="8">
        <v>795300.25</v>
      </c>
      <c r="GO41" s="8">
        <v>1316248.3500000001</v>
      </c>
      <c r="GP41" s="8">
        <v>956287.71000000008</v>
      </c>
      <c r="GQ41" s="8">
        <v>2712353.31</v>
      </c>
      <c r="GR41" s="8">
        <v>1594953.1</v>
      </c>
      <c r="GS41" s="8">
        <v>190643.20000000001</v>
      </c>
      <c r="GT41" s="8">
        <v>754854.93</v>
      </c>
      <c r="GU41" s="8">
        <v>2442912.0099999998</v>
      </c>
      <c r="GV41" s="8">
        <v>140971.81</v>
      </c>
      <c r="GW41" s="8">
        <v>1736438.48</v>
      </c>
      <c r="GX41" s="8">
        <v>202018.65000000002</v>
      </c>
      <c r="GY41" s="8">
        <v>223366.43</v>
      </c>
      <c r="GZ41" s="8">
        <v>256943.28</v>
      </c>
      <c r="HA41" s="8">
        <v>10390339.060000001</v>
      </c>
      <c r="HB41" s="8">
        <v>188452.03</v>
      </c>
      <c r="HC41" s="8">
        <v>1328392.3299999998</v>
      </c>
      <c r="HD41" s="8">
        <v>3292656.11</v>
      </c>
      <c r="HE41" s="8">
        <v>2048610.8399999999</v>
      </c>
      <c r="HF41" s="8">
        <v>2107728.1799999997</v>
      </c>
      <c r="HG41" s="8">
        <v>545893.11</v>
      </c>
      <c r="HH41" s="8">
        <v>3502029.7399999998</v>
      </c>
      <c r="HI41" s="8">
        <v>1145465.02</v>
      </c>
      <c r="HJ41" s="8">
        <v>157271.27000000002</v>
      </c>
      <c r="HK41" s="8">
        <v>766561.85</v>
      </c>
      <c r="HL41" s="8">
        <v>2734390.6400000006</v>
      </c>
      <c r="HM41" s="8">
        <v>701243.7</v>
      </c>
      <c r="HN41" s="8">
        <v>48547.199999999997</v>
      </c>
      <c r="HO41" s="8">
        <v>302899.45999999996</v>
      </c>
      <c r="HP41" s="8">
        <v>32220</v>
      </c>
      <c r="HQ41" s="8">
        <v>767027.58</v>
      </c>
      <c r="HR41" s="8">
        <v>263388.53000000003</v>
      </c>
      <c r="HS41" s="8">
        <v>239986.33</v>
      </c>
      <c r="HT41" s="8">
        <v>178845.51</v>
      </c>
      <c r="HU41" s="8">
        <v>21088.86</v>
      </c>
      <c r="HV41" s="8">
        <v>1496026.0899999999</v>
      </c>
      <c r="HW41" s="8">
        <v>182984.65</v>
      </c>
      <c r="HX41" s="8">
        <v>1149915.0900000001</v>
      </c>
      <c r="HY41" s="8">
        <v>1426029.82</v>
      </c>
      <c r="HZ41" s="8">
        <v>824320.99</v>
      </c>
      <c r="IA41" s="8">
        <v>185240.08000000002</v>
      </c>
      <c r="IB41" s="8">
        <v>4535.1000000000004</v>
      </c>
      <c r="IC41" s="8">
        <v>74471.12</v>
      </c>
      <c r="ID41" s="8">
        <v>383145.24000000005</v>
      </c>
      <c r="IE41" s="8">
        <v>407737.13</v>
      </c>
      <c r="IF41" s="8">
        <v>152129.62</v>
      </c>
      <c r="IG41" s="8">
        <v>53988.63</v>
      </c>
      <c r="IH41" s="8">
        <v>52867.66</v>
      </c>
      <c r="II41" s="8">
        <v>41368</v>
      </c>
      <c r="IJ41" s="8">
        <v>2024322.99</v>
      </c>
      <c r="IK41" s="8">
        <v>180796715.04334685</v>
      </c>
    </row>
    <row r="42" spans="1:245" x14ac:dyDescent="0.3">
      <c r="S42" s="131"/>
      <c r="T42" s="131"/>
      <c r="W42" s="8"/>
      <c r="X42" s="8"/>
      <c r="Y42" s="8"/>
    </row>
    <row r="43" spans="1:245" x14ac:dyDescent="0.3">
      <c r="S43" s="8"/>
      <c r="T43" s="8"/>
      <c r="W43" s="8"/>
      <c r="X43" s="8"/>
      <c r="Y43" s="8"/>
    </row>
    <row r="52" spans="1:16" x14ac:dyDescent="0.3">
      <c r="A52" s="7" t="s">
        <v>191</v>
      </c>
      <c r="B52" t="s">
        <v>719</v>
      </c>
      <c r="J52" s="4"/>
      <c r="K52" s="8"/>
      <c r="L52" s="8"/>
      <c r="M52" s="8"/>
      <c r="N52" s="8"/>
      <c r="O52" s="8"/>
    </row>
    <row r="53" spans="1:16" x14ac:dyDescent="0.3">
      <c r="A53" t="s">
        <v>718</v>
      </c>
      <c r="J53" s="4"/>
      <c r="K53" s="8"/>
      <c r="L53" s="8"/>
      <c r="M53" s="8"/>
      <c r="N53" s="8"/>
      <c r="O53" s="8"/>
    </row>
    <row r="54" spans="1:16" x14ac:dyDescent="0.3">
      <c r="A54" s="7" t="s">
        <v>1</v>
      </c>
      <c r="B54" s="7" t="s">
        <v>194</v>
      </c>
    </row>
    <row r="55" spans="1:16" x14ac:dyDescent="0.3">
      <c r="A55" s="7" t="s">
        <v>0</v>
      </c>
      <c r="B55" s="3">
        <v>45778</v>
      </c>
      <c r="C55" s="3">
        <v>46082</v>
      </c>
      <c r="D55" s="3">
        <v>46113</v>
      </c>
      <c r="E55" s="3">
        <v>46093</v>
      </c>
      <c r="F55" s="3">
        <v>46101</v>
      </c>
      <c r="G55" s="3">
        <v>46143</v>
      </c>
      <c r="H55" s="3">
        <v>46174</v>
      </c>
      <c r="I55" s="3">
        <v>46179</v>
      </c>
      <c r="J55" s="3">
        <v>46141</v>
      </c>
      <c r="K55" s="3">
        <v>46154</v>
      </c>
      <c r="L55" s="3">
        <v>46171</v>
      </c>
      <c r="M55" s="3">
        <v>46112</v>
      </c>
      <c r="N55" s="3">
        <v>46202</v>
      </c>
      <c r="O55" s="3">
        <v>46204</v>
      </c>
      <c r="P55" t="s">
        <v>19</v>
      </c>
    </row>
    <row r="56" spans="1:16" x14ac:dyDescent="0.3">
      <c r="A56" s="4" t="s">
        <v>60</v>
      </c>
      <c r="B56" s="8"/>
      <c r="C56" s="8"/>
      <c r="D56" s="8"/>
      <c r="E56" s="8"/>
      <c r="F56" s="8"/>
      <c r="G56" s="8"/>
      <c r="H56" s="8">
        <v>56811</v>
      </c>
      <c r="I56" s="8"/>
      <c r="J56" s="8"/>
      <c r="K56" s="8"/>
      <c r="L56" s="8"/>
      <c r="M56" s="8"/>
      <c r="N56" s="8"/>
      <c r="O56" s="8"/>
      <c r="P56" s="8">
        <v>56811</v>
      </c>
    </row>
    <row r="57" spans="1:16" x14ac:dyDescent="0.3">
      <c r="A57" s="4" t="s">
        <v>34</v>
      </c>
      <c r="B57" s="8"/>
      <c r="C57" s="8"/>
      <c r="D57" s="8"/>
      <c r="E57" s="8"/>
      <c r="F57" s="8"/>
      <c r="G57" s="8"/>
      <c r="H57" s="8">
        <v>268936.5</v>
      </c>
      <c r="I57" s="8"/>
      <c r="J57" s="8"/>
      <c r="K57" s="8"/>
      <c r="L57" s="8"/>
      <c r="M57" s="8"/>
      <c r="N57" s="8"/>
      <c r="O57" s="8"/>
      <c r="P57" s="8">
        <v>268936.5</v>
      </c>
    </row>
    <row r="58" spans="1:16" x14ac:dyDescent="0.3">
      <c r="A58" s="4" t="s">
        <v>196</v>
      </c>
      <c r="B58" s="8"/>
      <c r="C58" s="8"/>
      <c r="D58" s="8"/>
      <c r="E58" s="8"/>
      <c r="F58" s="8"/>
      <c r="G58" s="8">
        <v>142662.37</v>
      </c>
      <c r="H58" s="8">
        <v>1750000</v>
      </c>
      <c r="I58" s="8"/>
      <c r="J58" s="8"/>
      <c r="K58" s="8"/>
      <c r="L58" s="8"/>
      <c r="M58" s="8"/>
      <c r="N58" s="8"/>
      <c r="O58" s="8"/>
      <c r="P58" s="8">
        <v>1892662.37</v>
      </c>
    </row>
    <row r="59" spans="1:16" x14ac:dyDescent="0.3">
      <c r="A59" s="4" t="s">
        <v>200</v>
      </c>
      <c r="B59" s="8"/>
      <c r="C59" s="8"/>
      <c r="D59" s="8"/>
      <c r="E59" s="8"/>
      <c r="F59" s="8"/>
      <c r="G59" s="8">
        <v>628000</v>
      </c>
      <c r="H59" s="8">
        <v>712045</v>
      </c>
      <c r="I59" s="8"/>
      <c r="J59" s="8"/>
      <c r="K59" s="8"/>
      <c r="L59" s="8"/>
      <c r="M59" s="8"/>
      <c r="N59" s="8"/>
      <c r="O59" s="8"/>
      <c r="P59" s="8">
        <v>1340045</v>
      </c>
    </row>
    <row r="60" spans="1:16" x14ac:dyDescent="0.3">
      <c r="A60" s="4" t="s">
        <v>169</v>
      </c>
      <c r="B60" s="8"/>
      <c r="C60" s="8"/>
      <c r="D60" s="8"/>
      <c r="E60" s="8"/>
      <c r="F60" s="8"/>
      <c r="G60" s="8">
        <v>800</v>
      </c>
      <c r="H60" s="8">
        <v>800</v>
      </c>
      <c r="I60" s="8"/>
      <c r="J60" s="8"/>
      <c r="K60" s="8"/>
      <c r="L60" s="8"/>
      <c r="M60" s="8"/>
      <c r="N60" s="8"/>
      <c r="O60" s="8"/>
      <c r="P60" s="8">
        <v>1600</v>
      </c>
    </row>
    <row r="61" spans="1:16" x14ac:dyDescent="0.3">
      <c r="A61" s="4" t="s">
        <v>46</v>
      </c>
      <c r="B61" s="8"/>
      <c r="C61" s="8">
        <v>43015</v>
      </c>
      <c r="D61" s="8"/>
      <c r="E61" s="8"/>
      <c r="F61" s="8"/>
      <c r="G61" s="8"/>
      <c r="H61" s="8">
        <v>369184</v>
      </c>
      <c r="I61" s="8"/>
      <c r="J61" s="8"/>
      <c r="K61" s="8"/>
      <c r="L61" s="8"/>
      <c r="M61" s="8"/>
      <c r="N61" s="8"/>
      <c r="O61" s="8"/>
      <c r="P61" s="8">
        <v>412199</v>
      </c>
    </row>
    <row r="62" spans="1:16" x14ac:dyDescent="0.3">
      <c r="A62" s="4" t="s">
        <v>40</v>
      </c>
      <c r="B62" s="8"/>
      <c r="C62" s="8">
        <v>7179</v>
      </c>
      <c r="D62" s="8"/>
      <c r="E62" s="8"/>
      <c r="F62" s="8"/>
      <c r="G62" s="8">
        <v>60325</v>
      </c>
      <c r="H62" s="8"/>
      <c r="I62" s="8"/>
      <c r="J62" s="8"/>
      <c r="K62" s="8"/>
      <c r="L62" s="8"/>
      <c r="M62" s="8"/>
      <c r="N62" s="8"/>
      <c r="O62" s="8"/>
      <c r="P62" s="8">
        <v>67504</v>
      </c>
    </row>
    <row r="63" spans="1:16" x14ac:dyDescent="0.3">
      <c r="A63" s="4" t="s">
        <v>95</v>
      </c>
      <c r="B63" s="8"/>
      <c r="C63" s="8"/>
      <c r="D63" s="8"/>
      <c r="E63" s="8"/>
      <c r="F63" s="8"/>
      <c r="G63" s="8"/>
      <c r="H63" s="8">
        <v>90040.33</v>
      </c>
      <c r="I63" s="8"/>
      <c r="J63" s="8"/>
      <c r="K63" s="8"/>
      <c r="L63" s="8"/>
      <c r="M63" s="8"/>
      <c r="N63" s="8"/>
      <c r="O63" s="8"/>
      <c r="P63" s="8">
        <v>90040.33</v>
      </c>
    </row>
    <row r="64" spans="1:16" x14ac:dyDescent="0.3">
      <c r="A64" s="4" t="s">
        <v>41</v>
      </c>
      <c r="B64" s="8"/>
      <c r="C64" s="8"/>
      <c r="D64" s="8"/>
      <c r="E64" s="8"/>
      <c r="F64" s="8"/>
      <c r="G64" s="8">
        <v>48000</v>
      </c>
      <c r="H64" s="8">
        <v>153029</v>
      </c>
      <c r="I64" s="8"/>
      <c r="J64" s="8"/>
      <c r="K64" s="8"/>
      <c r="L64" s="8"/>
      <c r="M64" s="8"/>
      <c r="N64" s="8"/>
      <c r="O64" s="8"/>
      <c r="P64" s="8">
        <v>201029</v>
      </c>
    </row>
    <row r="65" spans="1:16" x14ac:dyDescent="0.3">
      <c r="A65" s="4" t="s">
        <v>175</v>
      </c>
      <c r="B65" s="8"/>
      <c r="C65" s="8"/>
      <c r="D65" s="8"/>
      <c r="E65" s="8"/>
      <c r="F65" s="8"/>
      <c r="G65" s="8"/>
      <c r="H65" s="8">
        <v>38384.53</v>
      </c>
      <c r="I65" s="8"/>
      <c r="J65" s="8"/>
      <c r="K65" s="8"/>
      <c r="L65" s="8"/>
      <c r="M65" s="8"/>
      <c r="N65" s="8"/>
      <c r="O65" s="8"/>
      <c r="P65" s="8">
        <v>38384.53</v>
      </c>
    </row>
    <row r="66" spans="1:16" x14ac:dyDescent="0.3">
      <c r="A66" s="4" t="s">
        <v>21</v>
      </c>
      <c r="B66" s="8"/>
      <c r="C66" s="8"/>
      <c r="D66" s="8"/>
      <c r="E66" s="8"/>
      <c r="F66" s="8"/>
      <c r="G66" s="8"/>
      <c r="H66" s="8">
        <v>60000</v>
      </c>
      <c r="I66" s="8"/>
      <c r="J66" s="8"/>
      <c r="K66" s="8"/>
      <c r="L66" s="8"/>
      <c r="M66" s="8"/>
      <c r="N66" s="8"/>
      <c r="O66" s="8"/>
      <c r="P66" s="8">
        <v>60000</v>
      </c>
    </row>
    <row r="67" spans="1:16" x14ac:dyDescent="0.3">
      <c r="A67" s="4" t="s">
        <v>17</v>
      </c>
      <c r="B67" s="8"/>
      <c r="C67" s="8">
        <v>48458.36</v>
      </c>
      <c r="D67" s="8"/>
      <c r="E67" s="8"/>
      <c r="F67" s="8"/>
      <c r="G67" s="8"/>
      <c r="H67" s="8">
        <v>89150</v>
      </c>
      <c r="I67" s="8"/>
      <c r="J67" s="8"/>
      <c r="K67" s="8"/>
      <c r="L67" s="8"/>
      <c r="M67" s="8"/>
      <c r="N67" s="8"/>
      <c r="O67" s="8"/>
      <c r="P67" s="8">
        <v>137608.35999999999</v>
      </c>
    </row>
    <row r="68" spans="1:16" x14ac:dyDescent="0.3">
      <c r="A68" s="4" t="s">
        <v>208</v>
      </c>
      <c r="B68" s="8"/>
      <c r="C68" s="8">
        <v>30446</v>
      </c>
      <c r="D68" s="8"/>
      <c r="E68" s="8"/>
      <c r="F68" s="8"/>
      <c r="G68" s="8"/>
      <c r="H68" s="8">
        <v>236280.79</v>
      </c>
      <c r="I68" s="8"/>
      <c r="J68" s="8"/>
      <c r="K68" s="8"/>
      <c r="L68" s="8"/>
      <c r="M68" s="8"/>
      <c r="N68" s="8"/>
      <c r="O68" s="8"/>
      <c r="P68" s="8">
        <v>266726.79000000004</v>
      </c>
    </row>
    <row r="69" spans="1:16" x14ac:dyDescent="0.3">
      <c r="A69" s="4" t="s">
        <v>121</v>
      </c>
      <c r="B69" s="8"/>
      <c r="C69" s="8"/>
      <c r="D69" s="8"/>
      <c r="E69" s="8"/>
      <c r="F69" s="8"/>
      <c r="G69" s="8"/>
      <c r="H69" s="8">
        <v>11009.7</v>
      </c>
      <c r="I69" s="8"/>
      <c r="J69" s="8"/>
      <c r="K69" s="8"/>
      <c r="L69" s="8"/>
      <c r="M69" s="8"/>
      <c r="N69" s="8"/>
      <c r="O69" s="8"/>
      <c r="P69" s="8">
        <v>11009.7</v>
      </c>
    </row>
    <row r="70" spans="1:16" x14ac:dyDescent="0.3">
      <c r="A70" s="4" t="s">
        <v>45</v>
      </c>
      <c r="B70" s="8"/>
      <c r="C70" s="8"/>
      <c r="D70" s="8"/>
      <c r="E70" s="8"/>
      <c r="F70" s="8"/>
      <c r="G70" s="8"/>
      <c r="H70" s="8">
        <v>366529</v>
      </c>
      <c r="I70" s="8"/>
      <c r="J70" s="8"/>
      <c r="K70" s="8"/>
      <c r="L70" s="8"/>
      <c r="M70" s="8"/>
      <c r="N70" s="8"/>
      <c r="O70" s="8"/>
      <c r="P70" s="8">
        <v>366529</v>
      </c>
    </row>
    <row r="71" spans="1:16" x14ac:dyDescent="0.3">
      <c r="A71" s="4" t="s">
        <v>3</v>
      </c>
      <c r="B71" s="8"/>
      <c r="C71" s="8">
        <v>200000</v>
      </c>
      <c r="D71" s="8"/>
      <c r="E71" s="8">
        <v>1610000</v>
      </c>
      <c r="F71" s="8"/>
      <c r="G71" s="8"/>
      <c r="H71" s="8"/>
      <c r="I71" s="8"/>
      <c r="J71" s="8">
        <v>400000</v>
      </c>
      <c r="K71" s="8">
        <v>487400</v>
      </c>
      <c r="L71" s="8">
        <v>220000</v>
      </c>
      <c r="M71" s="8">
        <v>200000</v>
      </c>
      <c r="N71" s="8">
        <v>220000</v>
      </c>
      <c r="O71" s="8"/>
      <c r="P71" s="8">
        <v>3337400</v>
      </c>
    </row>
    <row r="72" spans="1:16" x14ac:dyDescent="0.3">
      <c r="A72" s="4" t="s">
        <v>197</v>
      </c>
      <c r="B72" s="8"/>
      <c r="C72" s="8"/>
      <c r="D72" s="8"/>
      <c r="E72" s="8"/>
      <c r="F72" s="8"/>
      <c r="G72" s="8"/>
      <c r="H72" s="8">
        <v>70502</v>
      </c>
      <c r="I72" s="8"/>
      <c r="J72" s="8"/>
      <c r="K72" s="8"/>
      <c r="L72" s="8"/>
      <c r="M72" s="8"/>
      <c r="N72" s="8"/>
      <c r="O72" s="8"/>
      <c r="P72" s="8">
        <v>70502</v>
      </c>
    </row>
    <row r="73" spans="1:16" x14ac:dyDescent="0.3">
      <c r="A73" s="4" t="s">
        <v>141</v>
      </c>
      <c r="B73" s="8"/>
      <c r="C73" s="8"/>
      <c r="D73" s="8"/>
      <c r="E73" s="8"/>
      <c r="F73" s="8"/>
      <c r="G73" s="8">
        <v>70552</v>
      </c>
      <c r="H73" s="8">
        <v>1580214</v>
      </c>
      <c r="I73" s="8"/>
      <c r="J73" s="8"/>
      <c r="K73" s="8"/>
      <c r="L73" s="8"/>
      <c r="M73" s="8"/>
      <c r="N73" s="8"/>
      <c r="O73" s="8"/>
      <c r="P73" s="8">
        <v>1650766</v>
      </c>
    </row>
    <row r="74" spans="1:16" x14ac:dyDescent="0.3">
      <c r="A74" s="4" t="s">
        <v>36</v>
      </c>
      <c r="B74" s="8"/>
      <c r="C74" s="8"/>
      <c r="D74" s="8"/>
      <c r="E74" s="8"/>
      <c r="F74" s="8"/>
      <c r="G74" s="8"/>
      <c r="H74" s="8">
        <v>372170</v>
      </c>
      <c r="I74" s="8"/>
      <c r="J74" s="8"/>
      <c r="K74" s="8"/>
      <c r="L74" s="8"/>
      <c r="M74" s="8"/>
      <c r="N74" s="8"/>
      <c r="O74" s="8"/>
      <c r="P74" s="8">
        <v>372170</v>
      </c>
    </row>
    <row r="75" spans="1:16" x14ac:dyDescent="0.3">
      <c r="A75" s="4" t="s">
        <v>32</v>
      </c>
      <c r="B75" s="8"/>
      <c r="C75" s="8">
        <v>453560</v>
      </c>
      <c r="D75" s="8">
        <v>602603.46</v>
      </c>
      <c r="E75" s="8"/>
      <c r="F75" s="8"/>
      <c r="G75" s="8">
        <v>396840</v>
      </c>
      <c r="H75" s="8">
        <v>1675709</v>
      </c>
      <c r="I75" s="8"/>
      <c r="J75" s="8"/>
      <c r="K75" s="8"/>
      <c r="L75" s="8"/>
      <c r="M75" s="8"/>
      <c r="N75" s="8"/>
      <c r="O75" s="8"/>
      <c r="P75" s="8">
        <v>3128712.46</v>
      </c>
    </row>
    <row r="76" spans="1:16" x14ac:dyDescent="0.3">
      <c r="A76" s="4" t="s">
        <v>38</v>
      </c>
      <c r="B76" s="8"/>
      <c r="C76" s="8">
        <v>480056</v>
      </c>
      <c r="D76" s="8"/>
      <c r="E76" s="8"/>
      <c r="F76" s="8">
        <v>104561.45</v>
      </c>
      <c r="G76" s="8"/>
      <c r="H76" s="8"/>
      <c r="I76" s="8"/>
      <c r="J76" s="8"/>
      <c r="K76" s="8"/>
      <c r="L76" s="8"/>
      <c r="M76" s="8"/>
      <c r="N76" s="8"/>
      <c r="O76" s="8">
        <v>1157914.94</v>
      </c>
      <c r="P76" s="8">
        <v>1742532.39</v>
      </c>
    </row>
    <row r="77" spans="1:16" x14ac:dyDescent="0.3">
      <c r="A77" s="4" t="s">
        <v>44</v>
      </c>
      <c r="B77" s="8"/>
      <c r="C77" s="8"/>
      <c r="D77" s="8">
        <v>1971289.7600000002</v>
      </c>
      <c r="E77" s="8"/>
      <c r="F77" s="8"/>
      <c r="G77" s="8"/>
      <c r="H77" s="8">
        <v>246254.56</v>
      </c>
      <c r="I77" s="8"/>
      <c r="J77" s="8"/>
      <c r="K77" s="8"/>
      <c r="L77" s="8"/>
      <c r="M77" s="8"/>
      <c r="N77" s="8"/>
      <c r="O77" s="8"/>
      <c r="P77" s="8">
        <v>2217544.3200000003</v>
      </c>
    </row>
    <row r="78" spans="1:16" x14ac:dyDescent="0.3">
      <c r="A78" s="4" t="s">
        <v>39</v>
      </c>
      <c r="B78" s="8">
        <v>94887.420000000042</v>
      </c>
      <c r="C78" s="8">
        <v>152681</v>
      </c>
      <c r="D78" s="8"/>
      <c r="E78" s="8"/>
      <c r="F78" s="8"/>
      <c r="G78" s="8"/>
      <c r="H78" s="8">
        <v>2400000</v>
      </c>
      <c r="I78" s="8"/>
      <c r="J78" s="8"/>
      <c r="K78" s="8"/>
      <c r="L78" s="8"/>
      <c r="M78" s="8"/>
      <c r="N78" s="8"/>
      <c r="O78" s="8"/>
      <c r="P78" s="8">
        <v>2647568.42</v>
      </c>
    </row>
    <row r="79" spans="1:16" x14ac:dyDescent="0.3">
      <c r="A79" s="4" t="s">
        <v>178</v>
      </c>
      <c r="B79" s="8"/>
      <c r="C79" s="8"/>
      <c r="D79" s="8"/>
      <c r="E79" s="8"/>
      <c r="F79" s="8"/>
      <c r="G79" s="8"/>
      <c r="H79" s="8">
        <v>37881.31</v>
      </c>
      <c r="I79" s="8"/>
      <c r="J79" s="8"/>
      <c r="K79" s="8"/>
      <c r="L79" s="8"/>
      <c r="M79" s="8"/>
      <c r="N79" s="8"/>
      <c r="O79" s="8"/>
      <c r="P79" s="8">
        <v>37881.31</v>
      </c>
    </row>
    <row r="80" spans="1:16" x14ac:dyDescent="0.3">
      <c r="A80" s="4" t="s">
        <v>348</v>
      </c>
      <c r="B80" s="8"/>
      <c r="C80" s="8">
        <v>93605.98000000001</v>
      </c>
      <c r="D80" s="8"/>
      <c r="E80" s="8"/>
      <c r="F80" s="8"/>
      <c r="G80" s="8"/>
      <c r="H80" s="8"/>
      <c r="I80" s="8">
        <v>469000</v>
      </c>
      <c r="J80" s="8"/>
      <c r="K80" s="8"/>
      <c r="L80" s="8"/>
      <c r="M80" s="8"/>
      <c r="N80" s="8"/>
      <c r="O80" s="8"/>
      <c r="P80" s="8">
        <v>562605.98</v>
      </c>
    </row>
    <row r="81" spans="1:16" x14ac:dyDescent="0.3">
      <c r="A81" s="4" t="s">
        <v>19</v>
      </c>
      <c r="B81" s="8">
        <v>94887.420000000042</v>
      </c>
      <c r="C81" s="8">
        <v>1509001.3399999999</v>
      </c>
      <c r="D81" s="8">
        <v>2573893.2200000002</v>
      </c>
      <c r="E81" s="8">
        <v>1610000</v>
      </c>
      <c r="F81" s="8">
        <v>104561.45</v>
      </c>
      <c r="G81" s="8">
        <v>1347179.37</v>
      </c>
      <c r="H81" s="8">
        <v>10584930.720000001</v>
      </c>
      <c r="I81" s="8">
        <v>469000</v>
      </c>
      <c r="J81" s="8">
        <v>400000</v>
      </c>
      <c r="K81" s="8">
        <v>487400</v>
      </c>
      <c r="L81" s="8">
        <v>220000</v>
      </c>
      <c r="M81" s="8">
        <v>200000</v>
      </c>
      <c r="N81" s="8">
        <v>220000</v>
      </c>
      <c r="O81" s="8">
        <v>1157914.94</v>
      </c>
      <c r="P81" s="8">
        <v>20978768.460000001</v>
      </c>
    </row>
  </sheetData>
  <mergeCells count="1">
    <mergeCell ref="A2:D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20"/>
  <sheetViews>
    <sheetView showGridLines="0" tabSelected="1" zoomScale="90" zoomScaleNormal="90" workbookViewId="0">
      <selection activeCell="E2" sqref="E2"/>
    </sheetView>
  </sheetViews>
  <sheetFormatPr defaultColWidth="9.109375" defaultRowHeight="14.4" x14ac:dyDescent="0.3"/>
  <cols>
    <col min="1" max="1" width="10.109375" style="9" customWidth="1"/>
    <col min="2" max="2" width="21.109375" customWidth="1"/>
    <col min="3" max="3" width="19.33203125" bestFit="1" customWidth="1"/>
    <col min="4" max="4" width="38.109375" customWidth="1"/>
    <col min="5" max="5" width="11.109375" style="117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103" customWidth="1"/>
    <col min="11" max="11" width="15" style="23" customWidth="1"/>
    <col min="12" max="12" width="14.6640625" style="32" customWidth="1"/>
    <col min="13" max="13" width="17.109375" style="12" customWidth="1"/>
    <col min="14" max="14" width="13.109375" style="12" customWidth="1"/>
    <col min="15" max="15" width="14" style="12" customWidth="1"/>
    <col min="16" max="17" width="13.44140625" style="1" customWidth="1"/>
    <col min="18" max="18" width="13" customWidth="1"/>
  </cols>
  <sheetData>
    <row r="1" spans="1:17" ht="14.25" customHeight="1" x14ac:dyDescent="0.3">
      <c r="A1" s="9" t="s">
        <v>50</v>
      </c>
      <c r="B1" t="s">
        <v>51</v>
      </c>
      <c r="C1" t="s">
        <v>52</v>
      </c>
      <c r="D1" s="60" t="s">
        <v>53</v>
      </c>
      <c r="E1" s="61" t="s">
        <v>721</v>
      </c>
      <c r="F1" s="62" t="s">
        <v>716</v>
      </c>
      <c r="G1" s="63" t="s">
        <v>722</v>
      </c>
      <c r="H1" s="63" t="s">
        <v>723</v>
      </c>
      <c r="I1" s="64" t="s">
        <v>724</v>
      </c>
      <c r="J1" s="125" t="s">
        <v>189</v>
      </c>
      <c r="K1" s="65" t="s">
        <v>725</v>
      </c>
      <c r="L1" s="66" t="s">
        <v>191</v>
      </c>
      <c r="M1" s="31" t="s">
        <v>726</v>
      </c>
      <c r="N1" t="s">
        <v>727</v>
      </c>
      <c r="O1" t="s">
        <v>205</v>
      </c>
      <c r="P1" t="s">
        <v>728</v>
      </c>
      <c r="Q1" t="s">
        <v>729</v>
      </c>
    </row>
    <row r="2" spans="1:17" x14ac:dyDescent="0.3">
      <c r="A2" s="25">
        <v>1398</v>
      </c>
      <c r="B2" t="s">
        <v>212</v>
      </c>
      <c r="C2" t="s">
        <v>169</v>
      </c>
      <c r="D2" t="s">
        <v>528</v>
      </c>
      <c r="E2" s="118">
        <v>8397</v>
      </c>
      <c r="F2" s="13">
        <v>45805</v>
      </c>
      <c r="G2" s="27">
        <v>275.56</v>
      </c>
      <c r="H2" s="27">
        <v>258.62</v>
      </c>
      <c r="I2" s="3">
        <v>45835</v>
      </c>
      <c r="J2" s="102">
        <v>45964</v>
      </c>
      <c r="K2" s="12">
        <v>45968</v>
      </c>
      <c r="L2" s="19" t="s">
        <v>731</v>
      </c>
      <c r="M2" s="36">
        <v>0</v>
      </c>
      <c r="N2"/>
      <c r="O2" t="s">
        <v>202</v>
      </c>
      <c r="P2" t="s">
        <v>328</v>
      </c>
      <c r="Q2" t="s">
        <v>207</v>
      </c>
    </row>
    <row r="3" spans="1:17" x14ac:dyDescent="0.3">
      <c r="A3" s="25">
        <v>1398</v>
      </c>
      <c r="B3" t="s">
        <v>212</v>
      </c>
      <c r="C3" t="s">
        <v>169</v>
      </c>
      <c r="D3" t="s">
        <v>528</v>
      </c>
      <c r="E3" s="121">
        <v>8506</v>
      </c>
      <c r="F3" s="13">
        <v>45866</v>
      </c>
      <c r="G3" s="27">
        <v>75919.81</v>
      </c>
      <c r="H3" s="24">
        <v>71250.740000000005</v>
      </c>
      <c r="I3" s="3">
        <v>45909</v>
      </c>
      <c r="J3" s="102">
        <v>45971</v>
      </c>
      <c r="K3" s="12">
        <v>45971</v>
      </c>
      <c r="L3" s="19" t="s">
        <v>731</v>
      </c>
      <c r="M3" s="36">
        <v>0</v>
      </c>
      <c r="N3"/>
      <c r="O3" t="s">
        <v>202</v>
      </c>
      <c r="P3" t="s">
        <v>328</v>
      </c>
      <c r="Q3" t="s">
        <v>207</v>
      </c>
    </row>
    <row r="4" spans="1:17" x14ac:dyDescent="0.3">
      <c r="A4" s="25">
        <v>1398</v>
      </c>
      <c r="B4" t="s">
        <v>212</v>
      </c>
      <c r="C4" t="s">
        <v>169</v>
      </c>
      <c r="D4" t="s">
        <v>528</v>
      </c>
      <c r="E4" s="121">
        <v>8566</v>
      </c>
      <c r="F4" s="13">
        <v>45866</v>
      </c>
      <c r="G4" s="27">
        <v>22241.65</v>
      </c>
      <c r="H4" s="27">
        <v>20873.79</v>
      </c>
      <c r="I4" s="3">
        <v>45945</v>
      </c>
      <c r="J4" s="102">
        <v>45999</v>
      </c>
      <c r="K4" s="12">
        <v>46003</v>
      </c>
      <c r="L4" s="19" t="s">
        <v>731</v>
      </c>
      <c r="M4" s="36">
        <v>0</v>
      </c>
      <c r="N4"/>
      <c r="O4" t="s">
        <v>202</v>
      </c>
      <c r="P4" t="s">
        <v>328</v>
      </c>
      <c r="Q4" t="s">
        <v>207</v>
      </c>
    </row>
    <row r="5" spans="1:17" x14ac:dyDescent="0.3">
      <c r="A5" s="25">
        <v>1398</v>
      </c>
      <c r="B5" t="s">
        <v>212</v>
      </c>
      <c r="C5" t="s">
        <v>169</v>
      </c>
      <c r="D5" t="s">
        <v>528</v>
      </c>
      <c r="E5" s="121">
        <v>8488</v>
      </c>
      <c r="F5" s="13">
        <v>45897</v>
      </c>
      <c r="G5" s="27">
        <v>48000</v>
      </c>
      <c r="H5" s="24">
        <v>45048</v>
      </c>
      <c r="I5" s="3">
        <v>45903</v>
      </c>
      <c r="J5" s="102">
        <v>45971</v>
      </c>
      <c r="K5" s="12">
        <v>45973</v>
      </c>
      <c r="L5" s="19" t="s">
        <v>731</v>
      </c>
      <c r="M5" s="36">
        <v>0</v>
      </c>
      <c r="N5"/>
      <c r="O5" t="s">
        <v>202</v>
      </c>
      <c r="P5" t="s">
        <v>328</v>
      </c>
      <c r="Q5" t="s">
        <v>207</v>
      </c>
    </row>
    <row r="6" spans="1:17" x14ac:dyDescent="0.3">
      <c r="A6" s="25">
        <v>1398</v>
      </c>
      <c r="B6" t="s">
        <v>212</v>
      </c>
      <c r="C6" t="s">
        <v>169</v>
      </c>
      <c r="D6" t="s">
        <v>528</v>
      </c>
      <c r="E6" s="121">
        <v>8524</v>
      </c>
      <c r="F6" s="13">
        <v>45897</v>
      </c>
      <c r="G6" s="27">
        <v>75919.81</v>
      </c>
      <c r="H6" s="24">
        <v>71250.740000000005</v>
      </c>
      <c r="I6" s="3">
        <v>45924</v>
      </c>
      <c r="J6" s="102">
        <v>45985</v>
      </c>
      <c r="K6" s="12">
        <v>45985</v>
      </c>
      <c r="L6" s="19" t="s">
        <v>731</v>
      </c>
      <c r="M6" s="36">
        <v>0</v>
      </c>
      <c r="N6"/>
      <c r="O6" t="s">
        <v>202</v>
      </c>
      <c r="P6" t="s">
        <v>328</v>
      </c>
      <c r="Q6" t="s">
        <v>207</v>
      </c>
    </row>
    <row r="7" spans="1:17" x14ac:dyDescent="0.3">
      <c r="A7" s="25">
        <v>1398</v>
      </c>
      <c r="B7" t="s">
        <v>212</v>
      </c>
      <c r="C7" t="s">
        <v>169</v>
      </c>
      <c r="D7" t="s">
        <v>528</v>
      </c>
      <c r="E7" s="121">
        <v>8529</v>
      </c>
      <c r="F7" s="13">
        <v>45928</v>
      </c>
      <c r="G7" s="27">
        <v>48000</v>
      </c>
      <c r="H7" s="24">
        <v>45048</v>
      </c>
      <c r="I7" s="3">
        <v>45931</v>
      </c>
      <c r="J7" s="102">
        <v>45985</v>
      </c>
      <c r="K7" s="12">
        <v>45989</v>
      </c>
      <c r="L7" s="19" t="s">
        <v>731</v>
      </c>
      <c r="M7" s="36">
        <v>0</v>
      </c>
      <c r="N7"/>
      <c r="O7" t="s">
        <v>202</v>
      </c>
      <c r="P7" t="s">
        <v>328</v>
      </c>
      <c r="Q7" t="s">
        <v>207</v>
      </c>
    </row>
    <row r="8" spans="1:17" x14ac:dyDescent="0.3">
      <c r="A8" s="9">
        <v>1390</v>
      </c>
      <c r="B8" t="s">
        <v>211</v>
      </c>
      <c r="C8" t="s">
        <v>16</v>
      </c>
      <c r="D8" t="s">
        <v>519</v>
      </c>
      <c r="E8" s="117">
        <v>1235</v>
      </c>
      <c r="F8" s="13">
        <v>45686</v>
      </c>
      <c r="G8" s="11">
        <v>191510.84</v>
      </c>
      <c r="H8" s="11">
        <v>169199.83</v>
      </c>
      <c r="I8" s="3">
        <v>45742</v>
      </c>
      <c r="J8" s="102">
        <v>45817</v>
      </c>
      <c r="K8" s="12">
        <v>45821</v>
      </c>
      <c r="L8" s="19" t="s">
        <v>731</v>
      </c>
      <c r="M8" s="35">
        <v>0</v>
      </c>
      <c r="N8"/>
      <c r="O8" t="s">
        <v>202</v>
      </c>
      <c r="P8" t="s">
        <v>328</v>
      </c>
      <c r="Q8" t="s">
        <v>207</v>
      </c>
    </row>
    <row r="9" spans="1:17" x14ac:dyDescent="0.3">
      <c r="A9" s="25">
        <v>1398</v>
      </c>
      <c r="B9" t="s">
        <v>212</v>
      </c>
      <c r="C9" t="s">
        <v>169</v>
      </c>
      <c r="D9" t="s">
        <v>528</v>
      </c>
      <c r="E9" s="118">
        <v>8537</v>
      </c>
      <c r="F9" s="13">
        <v>45928</v>
      </c>
      <c r="G9" s="27">
        <v>26093.54</v>
      </c>
      <c r="H9" s="24">
        <v>24488.79</v>
      </c>
      <c r="I9" s="3">
        <v>45932</v>
      </c>
      <c r="J9" s="102">
        <v>45964</v>
      </c>
      <c r="K9" s="12">
        <v>45964</v>
      </c>
      <c r="L9" s="19" t="s">
        <v>731</v>
      </c>
      <c r="M9" s="36">
        <v>0</v>
      </c>
      <c r="N9"/>
      <c r="O9" t="s">
        <v>202</v>
      </c>
      <c r="P9" t="s">
        <v>328</v>
      </c>
      <c r="Q9" t="s">
        <v>207</v>
      </c>
    </row>
    <row r="10" spans="1:17" x14ac:dyDescent="0.3">
      <c r="A10" s="9">
        <v>1390</v>
      </c>
      <c r="B10" t="s">
        <v>211</v>
      </c>
      <c r="C10" t="s">
        <v>16</v>
      </c>
      <c r="D10" t="s">
        <v>519</v>
      </c>
      <c r="E10" s="121">
        <v>1253</v>
      </c>
      <c r="F10" s="13">
        <v>45716</v>
      </c>
      <c r="G10" s="11">
        <v>182670.84</v>
      </c>
      <c r="H10" s="11">
        <v>161389.68</v>
      </c>
      <c r="I10" s="3">
        <v>45791</v>
      </c>
      <c r="J10" s="102">
        <v>45852</v>
      </c>
      <c r="K10" s="12">
        <v>45855</v>
      </c>
      <c r="L10" s="19" t="s">
        <v>731</v>
      </c>
      <c r="M10" s="35">
        <v>0</v>
      </c>
      <c r="N10"/>
      <c r="O10" t="s">
        <v>202</v>
      </c>
      <c r="P10" t="s">
        <v>328</v>
      </c>
      <c r="Q10" t="s">
        <v>207</v>
      </c>
    </row>
    <row r="11" spans="1:17" x14ac:dyDescent="0.3">
      <c r="A11" s="25">
        <v>1292</v>
      </c>
      <c r="B11" t="s">
        <v>71</v>
      </c>
      <c r="C11" t="s">
        <v>200</v>
      </c>
      <c r="D11" t="s">
        <v>411</v>
      </c>
      <c r="E11" s="121">
        <v>3794</v>
      </c>
      <c r="F11" s="13">
        <v>45624</v>
      </c>
      <c r="G11" s="24">
        <v>88281.31</v>
      </c>
      <c r="H11" s="24">
        <v>82852.009999999995</v>
      </c>
      <c r="I11" s="3">
        <v>45694</v>
      </c>
      <c r="J11" s="102">
        <v>45712</v>
      </c>
      <c r="K11" s="12">
        <v>45714</v>
      </c>
      <c r="L11" s="1" t="s">
        <v>731</v>
      </c>
      <c r="M11" s="36">
        <v>0</v>
      </c>
      <c r="N11"/>
      <c r="O11" t="s">
        <v>199</v>
      </c>
      <c r="P11" t="s">
        <v>376</v>
      </c>
      <c r="Q11" t="s">
        <v>203</v>
      </c>
    </row>
    <row r="12" spans="1:17" x14ac:dyDescent="0.3">
      <c r="A12" s="25">
        <v>1398</v>
      </c>
      <c r="B12" t="s">
        <v>212</v>
      </c>
      <c r="C12" t="s">
        <v>169</v>
      </c>
      <c r="D12" t="s">
        <v>528</v>
      </c>
      <c r="E12" s="118">
        <v>8546</v>
      </c>
      <c r="F12" s="13">
        <v>45928</v>
      </c>
      <c r="G12" s="27">
        <v>75919.81</v>
      </c>
      <c r="H12" s="24">
        <v>71250.740000000005</v>
      </c>
      <c r="I12" s="3">
        <v>45938</v>
      </c>
      <c r="J12" s="102">
        <v>45992</v>
      </c>
      <c r="K12" s="12">
        <v>45996</v>
      </c>
      <c r="L12" s="19" t="s">
        <v>731</v>
      </c>
      <c r="M12" s="36">
        <v>0</v>
      </c>
      <c r="N12"/>
      <c r="O12" t="s">
        <v>202</v>
      </c>
      <c r="P12" t="s">
        <v>328</v>
      </c>
      <c r="Q12" t="s">
        <v>207</v>
      </c>
    </row>
    <row r="13" spans="1:17" x14ac:dyDescent="0.3">
      <c r="A13" s="9">
        <v>1390</v>
      </c>
      <c r="B13" t="s">
        <v>211</v>
      </c>
      <c r="C13" t="s">
        <v>16</v>
      </c>
      <c r="D13" t="s">
        <v>519</v>
      </c>
      <c r="E13" s="121">
        <v>1252</v>
      </c>
      <c r="F13" s="13">
        <v>45716</v>
      </c>
      <c r="G13" s="11">
        <v>8840</v>
      </c>
      <c r="H13" s="11">
        <v>7810.14</v>
      </c>
      <c r="I13" s="3">
        <v>45791</v>
      </c>
      <c r="J13" s="102">
        <v>45852</v>
      </c>
      <c r="K13" s="12">
        <v>45855</v>
      </c>
      <c r="L13" s="19" t="s">
        <v>731</v>
      </c>
      <c r="M13" s="35">
        <v>0</v>
      </c>
      <c r="N13"/>
      <c r="O13" t="s">
        <v>202</v>
      </c>
      <c r="P13" t="s">
        <v>328</v>
      </c>
      <c r="Q13" t="s">
        <v>207</v>
      </c>
    </row>
    <row r="14" spans="1:17" x14ac:dyDescent="0.3">
      <c r="A14" s="25">
        <v>1394</v>
      </c>
      <c r="B14" t="s">
        <v>210</v>
      </c>
      <c r="C14" t="s">
        <v>38</v>
      </c>
      <c r="D14" t="s">
        <v>523</v>
      </c>
      <c r="E14" s="121">
        <v>8394</v>
      </c>
      <c r="F14" s="13">
        <v>45624</v>
      </c>
      <c r="G14" s="24">
        <v>52020</v>
      </c>
      <c r="H14" s="24">
        <v>48482.64</v>
      </c>
      <c r="I14" s="3">
        <v>45834</v>
      </c>
      <c r="J14" s="102">
        <v>45859</v>
      </c>
      <c r="K14" s="29">
        <v>45863</v>
      </c>
      <c r="L14" s="37" t="s">
        <v>731</v>
      </c>
      <c r="M14" s="42"/>
      <c r="N14" s="26"/>
      <c r="O14" t="s">
        <v>202</v>
      </c>
      <c r="P14" t="s">
        <v>340</v>
      </c>
      <c r="Q14" t="s">
        <v>213</v>
      </c>
    </row>
    <row r="15" spans="1:17" x14ac:dyDescent="0.3">
      <c r="A15" s="25">
        <v>1394</v>
      </c>
      <c r="B15" t="s">
        <v>210</v>
      </c>
      <c r="C15" t="s">
        <v>38</v>
      </c>
      <c r="D15" t="s">
        <v>523</v>
      </c>
      <c r="E15" s="121">
        <v>8395</v>
      </c>
      <c r="F15" s="13">
        <v>45624</v>
      </c>
      <c r="G15" s="11">
        <v>173413.32</v>
      </c>
      <c r="H15" s="27">
        <v>161621.21</v>
      </c>
      <c r="I15" s="3">
        <v>45834</v>
      </c>
      <c r="J15" s="102">
        <v>45873</v>
      </c>
      <c r="K15" s="29">
        <v>45875</v>
      </c>
      <c r="L15" s="37" t="s">
        <v>731</v>
      </c>
      <c r="M15" s="42"/>
      <c r="N15" s="26"/>
      <c r="O15" t="s">
        <v>202</v>
      </c>
      <c r="P15" t="s">
        <v>340</v>
      </c>
      <c r="Q15" t="s">
        <v>213</v>
      </c>
    </row>
    <row r="16" spans="1:17" x14ac:dyDescent="0.3">
      <c r="A16" s="25">
        <v>1394</v>
      </c>
      <c r="B16" t="s">
        <v>210</v>
      </c>
      <c r="C16" t="s">
        <v>38</v>
      </c>
      <c r="D16" t="s">
        <v>523</v>
      </c>
      <c r="E16" s="121">
        <v>8402</v>
      </c>
      <c r="F16" s="13">
        <v>45624</v>
      </c>
      <c r="G16" s="11">
        <v>77551.97</v>
      </c>
      <c r="H16" s="24">
        <v>72278.44</v>
      </c>
      <c r="I16" s="3">
        <v>45839</v>
      </c>
      <c r="J16" s="102">
        <v>45859</v>
      </c>
      <c r="K16" s="29">
        <v>45861</v>
      </c>
      <c r="L16" s="37" t="s">
        <v>731</v>
      </c>
      <c r="M16" s="42"/>
      <c r="N16" s="26"/>
      <c r="O16" t="s">
        <v>202</v>
      </c>
      <c r="P16" t="s">
        <v>340</v>
      </c>
      <c r="Q16" t="s">
        <v>213</v>
      </c>
    </row>
    <row r="17" spans="1:17" x14ac:dyDescent="0.3">
      <c r="A17" s="25">
        <v>1394</v>
      </c>
      <c r="B17" t="s">
        <v>210</v>
      </c>
      <c r="C17" t="s">
        <v>38</v>
      </c>
      <c r="D17" t="s">
        <v>523</v>
      </c>
      <c r="E17" s="121">
        <v>8404</v>
      </c>
      <c r="F17" s="13">
        <v>45624</v>
      </c>
      <c r="G17" s="11">
        <v>123.48</v>
      </c>
      <c r="H17" s="24">
        <v>115.08</v>
      </c>
      <c r="I17" s="3">
        <v>45839</v>
      </c>
      <c r="J17" s="102">
        <v>45866</v>
      </c>
      <c r="K17" s="29">
        <v>45867</v>
      </c>
      <c r="L17" s="1" t="s">
        <v>731</v>
      </c>
      <c r="M17" s="42"/>
      <c r="N17" s="26"/>
      <c r="O17" t="s">
        <v>202</v>
      </c>
      <c r="P17" t="s">
        <v>340</v>
      </c>
      <c r="Q17" t="s">
        <v>213</v>
      </c>
    </row>
    <row r="18" spans="1:17" x14ac:dyDescent="0.3">
      <c r="A18" s="25">
        <v>1394</v>
      </c>
      <c r="B18" t="s">
        <v>210</v>
      </c>
      <c r="C18" t="s">
        <v>38</v>
      </c>
      <c r="D18" t="s">
        <v>523</v>
      </c>
      <c r="E18" s="121">
        <v>8420</v>
      </c>
      <c r="F18" s="13">
        <v>45624</v>
      </c>
      <c r="G18" s="11">
        <v>47838.29</v>
      </c>
      <c r="H18" s="24">
        <v>44585.279999999999</v>
      </c>
      <c r="I18" s="3">
        <v>45848</v>
      </c>
      <c r="J18" s="102">
        <v>45866</v>
      </c>
      <c r="K18" s="29">
        <v>45868</v>
      </c>
      <c r="L18" s="37" t="s">
        <v>731</v>
      </c>
      <c r="M18" s="42"/>
      <c r="N18" s="26"/>
      <c r="O18" t="s">
        <v>202</v>
      </c>
      <c r="P18" t="s">
        <v>340</v>
      </c>
      <c r="Q18" t="s">
        <v>213</v>
      </c>
    </row>
    <row r="19" spans="1:17" x14ac:dyDescent="0.3">
      <c r="A19" s="25">
        <v>1394</v>
      </c>
      <c r="B19" t="s">
        <v>210</v>
      </c>
      <c r="C19" t="s">
        <v>38</v>
      </c>
      <c r="D19" t="s">
        <v>523</v>
      </c>
      <c r="E19" s="121">
        <v>8421</v>
      </c>
      <c r="F19" s="13">
        <v>45624</v>
      </c>
      <c r="G19" s="11">
        <v>68299.320000000007</v>
      </c>
      <c r="H19" s="24">
        <v>63654.96</v>
      </c>
      <c r="I19" s="3">
        <v>45849</v>
      </c>
      <c r="J19" s="102">
        <v>45870</v>
      </c>
      <c r="K19" s="29">
        <v>45870</v>
      </c>
      <c r="L19" s="37" t="s">
        <v>731</v>
      </c>
      <c r="M19" s="42"/>
      <c r="N19" s="26"/>
      <c r="O19" t="s">
        <v>202</v>
      </c>
      <c r="P19" t="s">
        <v>340</v>
      </c>
      <c r="Q19" t="s">
        <v>213</v>
      </c>
    </row>
    <row r="20" spans="1:17" x14ac:dyDescent="0.3">
      <c r="A20" s="25">
        <v>1394</v>
      </c>
      <c r="B20" t="s">
        <v>210</v>
      </c>
      <c r="C20" t="s">
        <v>38</v>
      </c>
      <c r="D20" t="s">
        <v>523</v>
      </c>
      <c r="E20" s="121">
        <v>8434</v>
      </c>
      <c r="F20" s="13">
        <v>45624</v>
      </c>
      <c r="G20" s="11">
        <v>96756.27</v>
      </c>
      <c r="H20" s="24">
        <v>90176.84</v>
      </c>
      <c r="I20" s="3">
        <v>45855</v>
      </c>
      <c r="J20" s="102">
        <v>45866</v>
      </c>
      <c r="K20" s="29">
        <v>45869</v>
      </c>
      <c r="L20" s="37" t="s">
        <v>731</v>
      </c>
      <c r="M20" s="42"/>
      <c r="N20" s="26"/>
      <c r="O20" t="s">
        <v>202</v>
      </c>
      <c r="P20" t="s">
        <v>340</v>
      </c>
      <c r="Q20" t="s">
        <v>213</v>
      </c>
    </row>
    <row r="21" spans="1:17" x14ac:dyDescent="0.3">
      <c r="A21" s="25">
        <v>1394</v>
      </c>
      <c r="B21" t="s">
        <v>210</v>
      </c>
      <c r="C21" t="s">
        <v>38</v>
      </c>
      <c r="D21" t="s">
        <v>523</v>
      </c>
      <c r="E21" s="121">
        <v>8438</v>
      </c>
      <c r="F21" s="13">
        <v>45624</v>
      </c>
      <c r="G21" s="11">
        <v>135430.28</v>
      </c>
      <c r="H21" s="24">
        <v>126221.02</v>
      </c>
      <c r="I21" s="3">
        <v>45859</v>
      </c>
      <c r="J21" s="102">
        <v>45887</v>
      </c>
      <c r="K21" s="29">
        <v>45887</v>
      </c>
      <c r="L21" s="37" t="s">
        <v>731</v>
      </c>
      <c r="M21" s="42"/>
      <c r="N21" s="26"/>
      <c r="O21" t="s">
        <v>202</v>
      </c>
      <c r="P21" t="s">
        <v>340</v>
      </c>
      <c r="Q21" t="s">
        <v>213</v>
      </c>
    </row>
    <row r="22" spans="1:17" x14ac:dyDescent="0.3">
      <c r="A22" s="9">
        <v>1394</v>
      </c>
      <c r="B22" t="s">
        <v>210</v>
      </c>
      <c r="C22" t="s">
        <v>38</v>
      </c>
      <c r="D22" t="s">
        <v>523</v>
      </c>
      <c r="E22" s="118">
        <v>8436</v>
      </c>
      <c r="F22" s="13">
        <v>45624</v>
      </c>
      <c r="G22" s="11">
        <v>10692.26</v>
      </c>
      <c r="H22" s="27">
        <v>9965.18</v>
      </c>
      <c r="I22" s="3">
        <v>45856</v>
      </c>
      <c r="J22" s="102">
        <v>45873</v>
      </c>
      <c r="K22" s="5">
        <v>45875</v>
      </c>
      <c r="L22" s="22" t="s">
        <v>731</v>
      </c>
      <c r="M22" s="56">
        <v>0</v>
      </c>
      <c r="N22" s="15"/>
      <c r="O22" t="s">
        <v>202</v>
      </c>
      <c r="P22" t="s">
        <v>340</v>
      </c>
      <c r="Q22" t="s">
        <v>213</v>
      </c>
    </row>
    <row r="23" spans="1:17" x14ac:dyDescent="0.3">
      <c r="A23" s="9">
        <v>1455</v>
      </c>
      <c r="B23" t="s">
        <v>215</v>
      </c>
      <c r="C23" t="s">
        <v>60</v>
      </c>
      <c r="D23" t="s">
        <v>600</v>
      </c>
      <c r="E23" s="121">
        <v>1203</v>
      </c>
      <c r="F23" s="13">
        <v>45654</v>
      </c>
      <c r="G23" s="24">
        <v>54003.39</v>
      </c>
      <c r="H23" s="24">
        <v>47712</v>
      </c>
      <c r="I23" s="3">
        <v>45659</v>
      </c>
      <c r="J23" s="102">
        <v>45684</v>
      </c>
      <c r="K23" s="12">
        <v>45688</v>
      </c>
      <c r="L23" s="22" t="s">
        <v>731</v>
      </c>
      <c r="M23" s="38"/>
      <c r="N23" s="15"/>
      <c r="O23" t="s">
        <v>202</v>
      </c>
      <c r="P23" t="s">
        <v>373</v>
      </c>
      <c r="Q23" t="s">
        <v>213</v>
      </c>
    </row>
    <row r="24" spans="1:17" x14ac:dyDescent="0.3">
      <c r="A24" s="9">
        <v>1455</v>
      </c>
      <c r="B24" t="s">
        <v>215</v>
      </c>
      <c r="C24" t="s">
        <v>60</v>
      </c>
      <c r="D24" t="s">
        <v>600</v>
      </c>
      <c r="E24" s="121">
        <v>1205</v>
      </c>
      <c r="F24" s="13">
        <v>45654</v>
      </c>
      <c r="G24" s="24">
        <v>2857.25</v>
      </c>
      <c r="H24" s="24">
        <v>2524.38</v>
      </c>
      <c r="I24" s="3">
        <v>45663</v>
      </c>
      <c r="J24" s="102">
        <v>45684</v>
      </c>
      <c r="K24" s="12">
        <v>45688</v>
      </c>
      <c r="L24" s="22" t="s">
        <v>731</v>
      </c>
      <c r="M24" s="38"/>
      <c r="N24" s="15"/>
      <c r="O24" t="s">
        <v>202</v>
      </c>
      <c r="P24" t="s">
        <v>373</v>
      </c>
      <c r="Q24" t="s">
        <v>213</v>
      </c>
    </row>
    <row r="25" spans="1:17" x14ac:dyDescent="0.3">
      <c r="A25" s="9">
        <v>1455</v>
      </c>
      <c r="B25" t="s">
        <v>215</v>
      </c>
      <c r="C25" t="s">
        <v>60</v>
      </c>
      <c r="D25" t="s">
        <v>600</v>
      </c>
      <c r="E25" s="121">
        <v>1204</v>
      </c>
      <c r="F25" s="13">
        <v>45654</v>
      </c>
      <c r="G25" s="24">
        <v>2418</v>
      </c>
      <c r="H25" s="24">
        <v>2136.3000000000002</v>
      </c>
      <c r="I25" s="3">
        <v>45663</v>
      </c>
      <c r="J25" s="102">
        <v>45684</v>
      </c>
      <c r="K25" s="12">
        <v>45688</v>
      </c>
      <c r="L25" s="22" t="s">
        <v>731</v>
      </c>
      <c r="M25" s="38"/>
      <c r="N25" s="15"/>
      <c r="O25" t="s">
        <v>202</v>
      </c>
      <c r="P25" t="s">
        <v>373</v>
      </c>
      <c r="Q25" t="s">
        <v>213</v>
      </c>
    </row>
    <row r="26" spans="1:17" x14ac:dyDescent="0.3">
      <c r="A26" s="25">
        <v>1455</v>
      </c>
      <c r="B26" t="s">
        <v>215</v>
      </c>
      <c r="C26" t="s">
        <v>60</v>
      </c>
      <c r="D26" t="s">
        <v>600</v>
      </c>
      <c r="E26" s="121">
        <v>8273</v>
      </c>
      <c r="F26" s="10">
        <v>45654</v>
      </c>
      <c r="G26" s="24">
        <v>54003.39</v>
      </c>
      <c r="H26" s="24">
        <v>47712</v>
      </c>
      <c r="I26" s="3">
        <v>45748</v>
      </c>
      <c r="J26" s="102">
        <v>45775</v>
      </c>
      <c r="K26" s="12">
        <v>45777</v>
      </c>
      <c r="L26" s="22" t="s">
        <v>731</v>
      </c>
      <c r="M26" s="42"/>
      <c r="N26" s="26"/>
      <c r="O26" t="s">
        <v>202</v>
      </c>
      <c r="P26" t="s">
        <v>373</v>
      </c>
      <c r="Q26" t="s">
        <v>213</v>
      </c>
    </row>
    <row r="27" spans="1:17" x14ac:dyDescent="0.3">
      <c r="A27" s="25">
        <v>1478</v>
      </c>
      <c r="B27" t="s">
        <v>71</v>
      </c>
      <c r="C27" t="s">
        <v>198</v>
      </c>
      <c r="D27" t="s">
        <v>628</v>
      </c>
      <c r="E27" s="121">
        <v>8167</v>
      </c>
      <c r="F27" s="13">
        <v>45654</v>
      </c>
      <c r="G27" s="24">
        <v>231360</v>
      </c>
      <c r="H27" s="24">
        <v>217131.36</v>
      </c>
      <c r="I27" s="3">
        <v>45659</v>
      </c>
      <c r="J27" s="102">
        <v>45663</v>
      </c>
      <c r="K27" s="12">
        <v>45667</v>
      </c>
      <c r="L27" s="19" t="s">
        <v>731</v>
      </c>
      <c r="M27" s="36"/>
      <c r="N27"/>
      <c r="O27" t="s">
        <v>199</v>
      </c>
      <c r="P27" t="s">
        <v>376</v>
      </c>
      <c r="Q27" t="s">
        <v>203</v>
      </c>
    </row>
    <row r="28" spans="1:17" x14ac:dyDescent="0.3">
      <c r="A28" s="9">
        <v>1391</v>
      </c>
      <c r="B28" t="s">
        <v>71</v>
      </c>
      <c r="C28" t="s">
        <v>196</v>
      </c>
      <c r="D28" t="s">
        <v>520</v>
      </c>
      <c r="E28" s="121">
        <v>3740</v>
      </c>
      <c r="F28" s="13">
        <v>45654</v>
      </c>
      <c r="G28" s="28">
        <v>125126.52</v>
      </c>
      <c r="H28" s="28">
        <v>117431.24</v>
      </c>
      <c r="I28" s="3">
        <v>45665</v>
      </c>
      <c r="J28" s="102">
        <v>45677</v>
      </c>
      <c r="K28" s="12">
        <v>45680</v>
      </c>
      <c r="L28" s="33" t="s">
        <v>731</v>
      </c>
      <c r="M28" s="38"/>
      <c r="N28" s="15"/>
      <c r="O28" t="s">
        <v>199</v>
      </c>
      <c r="P28" t="s">
        <v>376</v>
      </c>
      <c r="Q28" t="s">
        <v>203</v>
      </c>
    </row>
    <row r="29" spans="1:17" x14ac:dyDescent="0.3">
      <c r="A29" s="9">
        <v>1391</v>
      </c>
      <c r="B29" t="s">
        <v>71</v>
      </c>
      <c r="C29" t="s">
        <v>196</v>
      </c>
      <c r="D29" t="s">
        <v>520</v>
      </c>
      <c r="E29" s="121">
        <v>3742</v>
      </c>
      <c r="F29" s="13">
        <v>45654</v>
      </c>
      <c r="G29" s="28">
        <v>101943.56</v>
      </c>
      <c r="H29" s="28">
        <v>95674.03</v>
      </c>
      <c r="I29" s="3">
        <v>45665</v>
      </c>
      <c r="J29" s="102">
        <v>45677</v>
      </c>
      <c r="K29" s="12">
        <v>45680</v>
      </c>
      <c r="L29" s="33" t="s">
        <v>731</v>
      </c>
      <c r="M29" s="38"/>
      <c r="N29" s="15"/>
      <c r="O29" t="s">
        <v>199</v>
      </c>
      <c r="P29" t="s">
        <v>376</v>
      </c>
      <c r="Q29" t="s">
        <v>203</v>
      </c>
    </row>
    <row r="30" spans="1:17" x14ac:dyDescent="0.3">
      <c r="A30" s="9">
        <v>1391</v>
      </c>
      <c r="B30" t="s">
        <v>71</v>
      </c>
      <c r="C30" t="s">
        <v>196</v>
      </c>
      <c r="D30" t="s">
        <v>520</v>
      </c>
      <c r="E30" s="121">
        <v>3743</v>
      </c>
      <c r="F30" s="13">
        <v>45654</v>
      </c>
      <c r="G30" s="28">
        <v>221873.85</v>
      </c>
      <c r="H30" s="28">
        <v>208228.61</v>
      </c>
      <c r="I30" s="3">
        <v>45665</v>
      </c>
      <c r="J30" s="102">
        <v>45677</v>
      </c>
      <c r="K30" s="12">
        <v>45680</v>
      </c>
      <c r="L30" s="33" t="s">
        <v>731</v>
      </c>
      <c r="M30" s="38"/>
      <c r="N30" s="15"/>
      <c r="O30" t="s">
        <v>199</v>
      </c>
      <c r="P30" t="s">
        <v>376</v>
      </c>
      <c r="Q30" t="s">
        <v>203</v>
      </c>
    </row>
    <row r="31" spans="1:17" x14ac:dyDescent="0.3">
      <c r="A31" s="9">
        <v>1391</v>
      </c>
      <c r="B31" t="s">
        <v>71</v>
      </c>
      <c r="C31" t="s">
        <v>196</v>
      </c>
      <c r="D31" t="s">
        <v>520</v>
      </c>
      <c r="E31" s="121">
        <v>3744</v>
      </c>
      <c r="F31" s="13">
        <v>45654</v>
      </c>
      <c r="G31" s="28">
        <v>73997.55</v>
      </c>
      <c r="H31" s="28">
        <v>69446.7</v>
      </c>
      <c r="I31" s="3">
        <v>45665</v>
      </c>
      <c r="J31" s="102">
        <v>45677</v>
      </c>
      <c r="K31" s="12">
        <v>45680</v>
      </c>
      <c r="L31" s="33" t="s">
        <v>731</v>
      </c>
      <c r="M31" s="38"/>
      <c r="N31" s="15"/>
      <c r="O31" t="s">
        <v>199</v>
      </c>
      <c r="P31" t="s">
        <v>376</v>
      </c>
      <c r="Q31" t="s">
        <v>203</v>
      </c>
    </row>
    <row r="32" spans="1:17" x14ac:dyDescent="0.3">
      <c r="A32" s="25">
        <v>1294</v>
      </c>
      <c r="B32" t="s">
        <v>71</v>
      </c>
      <c r="C32" t="s">
        <v>196</v>
      </c>
      <c r="D32" t="s">
        <v>413</v>
      </c>
      <c r="E32" s="121">
        <v>3741</v>
      </c>
      <c r="F32" s="13">
        <v>45654</v>
      </c>
      <c r="G32" s="28">
        <v>32371.040000000001</v>
      </c>
      <c r="H32" s="28">
        <v>30380.22</v>
      </c>
      <c r="I32" s="3">
        <v>45665</v>
      </c>
      <c r="J32" s="102">
        <v>45677</v>
      </c>
      <c r="K32" s="12">
        <v>45680</v>
      </c>
      <c r="L32" s="1" t="s">
        <v>731</v>
      </c>
      <c r="M32" s="36">
        <v>0</v>
      </c>
      <c r="N32"/>
      <c r="O32" t="s">
        <v>199</v>
      </c>
      <c r="P32" t="s">
        <v>376</v>
      </c>
      <c r="Q32" t="s">
        <v>203</v>
      </c>
    </row>
    <row r="33" spans="1:17" x14ac:dyDescent="0.3">
      <c r="A33" s="25">
        <v>1294</v>
      </c>
      <c r="B33" t="s">
        <v>71</v>
      </c>
      <c r="C33" t="s">
        <v>196</v>
      </c>
      <c r="D33" t="s">
        <v>413</v>
      </c>
      <c r="E33" s="121">
        <v>3747</v>
      </c>
      <c r="F33" s="13">
        <v>45654</v>
      </c>
      <c r="G33" s="28">
        <v>106153.74</v>
      </c>
      <c r="H33" s="28">
        <v>99625.279999999999</v>
      </c>
      <c r="I33" s="3">
        <v>45667</v>
      </c>
      <c r="J33" s="102">
        <v>45684</v>
      </c>
      <c r="K33" s="12">
        <v>45684</v>
      </c>
      <c r="L33" s="1" t="s">
        <v>731</v>
      </c>
      <c r="M33" s="36">
        <v>0</v>
      </c>
      <c r="N33"/>
      <c r="O33" t="s">
        <v>199</v>
      </c>
      <c r="P33" t="s">
        <v>376</v>
      </c>
      <c r="Q33" t="s">
        <v>203</v>
      </c>
    </row>
    <row r="34" spans="1:17" x14ac:dyDescent="0.3">
      <c r="A34" s="25">
        <v>1294</v>
      </c>
      <c r="B34" t="s">
        <v>71</v>
      </c>
      <c r="C34" t="s">
        <v>196</v>
      </c>
      <c r="D34" t="s">
        <v>413</v>
      </c>
      <c r="E34" s="121">
        <v>3746</v>
      </c>
      <c r="F34" s="13">
        <v>45654</v>
      </c>
      <c r="G34" s="28">
        <v>232263.03</v>
      </c>
      <c r="H34" s="28">
        <v>217978.85</v>
      </c>
      <c r="I34" s="3">
        <v>45667</v>
      </c>
      <c r="J34" s="102">
        <v>45684</v>
      </c>
      <c r="K34" s="12">
        <v>45684</v>
      </c>
      <c r="L34" s="1" t="s">
        <v>731</v>
      </c>
      <c r="M34" s="36">
        <v>0</v>
      </c>
      <c r="N34"/>
      <c r="O34" t="s">
        <v>199</v>
      </c>
      <c r="P34" t="s">
        <v>376</v>
      </c>
      <c r="Q34" t="s">
        <v>203</v>
      </c>
    </row>
    <row r="35" spans="1:17" x14ac:dyDescent="0.3">
      <c r="A35" s="9">
        <v>1474</v>
      </c>
      <c r="B35" t="s">
        <v>71</v>
      </c>
      <c r="C35" t="s">
        <v>196</v>
      </c>
      <c r="D35" t="s">
        <v>624</v>
      </c>
      <c r="E35" s="121">
        <v>3748</v>
      </c>
      <c r="F35" s="13">
        <v>45654</v>
      </c>
      <c r="G35" s="28">
        <v>18741.330000000002</v>
      </c>
      <c r="H35" s="28">
        <v>17588.740000000002</v>
      </c>
      <c r="I35" s="3">
        <v>45667</v>
      </c>
      <c r="J35" s="102">
        <v>45684</v>
      </c>
      <c r="K35" s="12">
        <v>45684</v>
      </c>
      <c r="L35" s="1" t="s">
        <v>731</v>
      </c>
      <c r="M35" s="38"/>
      <c r="N35" s="15"/>
      <c r="O35" t="s">
        <v>202</v>
      </c>
      <c r="P35" t="s">
        <v>376</v>
      </c>
      <c r="Q35" t="s">
        <v>203</v>
      </c>
    </row>
    <row r="36" spans="1:17" x14ac:dyDescent="0.3">
      <c r="A36" s="25">
        <v>1292</v>
      </c>
      <c r="B36" t="s">
        <v>71</v>
      </c>
      <c r="C36" t="s">
        <v>200</v>
      </c>
      <c r="D36" t="s">
        <v>411</v>
      </c>
      <c r="E36" s="121">
        <v>3750</v>
      </c>
      <c r="F36" s="13">
        <v>45654</v>
      </c>
      <c r="G36" s="24">
        <v>21201.52</v>
      </c>
      <c r="H36" s="24">
        <v>19897.63</v>
      </c>
      <c r="I36" s="3">
        <v>45678</v>
      </c>
      <c r="J36" s="102">
        <v>45691</v>
      </c>
      <c r="K36" s="12">
        <v>45693</v>
      </c>
      <c r="L36" s="1" t="s">
        <v>731</v>
      </c>
      <c r="M36" s="36">
        <v>0</v>
      </c>
      <c r="N36"/>
      <c r="O36" t="s">
        <v>199</v>
      </c>
      <c r="P36" t="s">
        <v>376</v>
      </c>
      <c r="Q36" t="s">
        <v>203</v>
      </c>
    </row>
    <row r="37" spans="1:17" x14ac:dyDescent="0.3">
      <c r="A37" s="25">
        <v>1292</v>
      </c>
      <c r="B37" t="s">
        <v>71</v>
      </c>
      <c r="C37" t="s">
        <v>200</v>
      </c>
      <c r="D37" t="s">
        <v>411</v>
      </c>
      <c r="E37" s="121">
        <v>3749</v>
      </c>
      <c r="F37" s="13">
        <v>45654</v>
      </c>
      <c r="G37" s="24">
        <v>27461.040000000001</v>
      </c>
      <c r="H37" s="24">
        <v>25772.18</v>
      </c>
      <c r="I37" s="3">
        <v>45678</v>
      </c>
      <c r="J37" s="102">
        <v>45691</v>
      </c>
      <c r="K37" s="12">
        <v>45693</v>
      </c>
      <c r="L37" s="1" t="s">
        <v>731</v>
      </c>
      <c r="M37" s="36">
        <v>0</v>
      </c>
      <c r="N37"/>
      <c r="O37" t="s">
        <v>199</v>
      </c>
      <c r="P37" t="s">
        <v>376</v>
      </c>
      <c r="Q37" t="s">
        <v>203</v>
      </c>
    </row>
    <row r="38" spans="1:17" x14ac:dyDescent="0.3">
      <c r="A38" s="25">
        <v>1292</v>
      </c>
      <c r="B38" t="s">
        <v>71</v>
      </c>
      <c r="C38" t="s">
        <v>200</v>
      </c>
      <c r="D38" t="s">
        <v>411</v>
      </c>
      <c r="E38" s="121">
        <v>3793</v>
      </c>
      <c r="F38" s="13">
        <v>45654</v>
      </c>
      <c r="G38" s="24">
        <v>88281.31</v>
      </c>
      <c r="H38" s="24">
        <v>82852.009999999995</v>
      </c>
      <c r="I38" s="3">
        <v>45694</v>
      </c>
      <c r="J38" s="102">
        <v>45712</v>
      </c>
      <c r="K38" s="12">
        <v>45714</v>
      </c>
      <c r="L38" s="1" t="s">
        <v>731</v>
      </c>
      <c r="M38" s="36">
        <v>0</v>
      </c>
      <c r="N38"/>
      <c r="O38" t="s">
        <v>199</v>
      </c>
      <c r="P38" t="s">
        <v>376</v>
      </c>
      <c r="Q38" t="s">
        <v>203</v>
      </c>
    </row>
    <row r="39" spans="1:17" x14ac:dyDescent="0.3">
      <c r="A39" s="25">
        <v>1398</v>
      </c>
      <c r="B39" t="s">
        <v>212</v>
      </c>
      <c r="C39" t="s">
        <v>169</v>
      </c>
      <c r="D39" t="s">
        <v>528</v>
      </c>
      <c r="E39" s="118">
        <v>8170</v>
      </c>
      <c r="F39" s="13">
        <v>45654</v>
      </c>
      <c r="G39" s="107">
        <v>48000</v>
      </c>
      <c r="H39" s="24">
        <v>45048</v>
      </c>
      <c r="I39" s="3">
        <v>45663</v>
      </c>
      <c r="J39" s="102">
        <v>45684</v>
      </c>
      <c r="K39" s="12">
        <v>45688</v>
      </c>
      <c r="L39" s="19" t="s">
        <v>731</v>
      </c>
      <c r="M39" s="36">
        <v>0</v>
      </c>
      <c r="N39"/>
      <c r="O39" t="s">
        <v>202</v>
      </c>
      <c r="P39" t="s">
        <v>328</v>
      </c>
      <c r="Q39" t="s">
        <v>207</v>
      </c>
    </row>
    <row r="40" spans="1:17" x14ac:dyDescent="0.3">
      <c r="A40" s="25">
        <v>1398</v>
      </c>
      <c r="B40" t="s">
        <v>212</v>
      </c>
      <c r="C40" t="s">
        <v>169</v>
      </c>
      <c r="D40" t="s">
        <v>528</v>
      </c>
      <c r="E40" s="118">
        <v>8182</v>
      </c>
      <c r="F40" s="13">
        <v>45654</v>
      </c>
      <c r="G40" s="27">
        <v>11210.79</v>
      </c>
      <c r="H40" s="24">
        <v>10521.33</v>
      </c>
      <c r="I40" s="3">
        <v>45673</v>
      </c>
      <c r="J40" s="102">
        <v>45733</v>
      </c>
      <c r="K40" s="12">
        <v>45733</v>
      </c>
      <c r="L40" s="21" t="s">
        <v>731</v>
      </c>
      <c r="M40" s="36">
        <v>0</v>
      </c>
      <c r="N40"/>
      <c r="O40" t="s">
        <v>202</v>
      </c>
      <c r="P40" t="s">
        <v>328</v>
      </c>
      <c r="Q40" t="s">
        <v>207</v>
      </c>
    </row>
    <row r="41" spans="1:17" x14ac:dyDescent="0.3">
      <c r="A41" s="25">
        <v>1398</v>
      </c>
      <c r="B41" t="s">
        <v>212</v>
      </c>
      <c r="C41" t="s">
        <v>169</v>
      </c>
      <c r="D41" t="s">
        <v>528</v>
      </c>
      <c r="E41" s="118">
        <v>8184</v>
      </c>
      <c r="F41" s="13">
        <v>45654</v>
      </c>
      <c r="G41" s="27">
        <v>36914.53</v>
      </c>
      <c r="H41" s="24">
        <v>34726.400000000001</v>
      </c>
      <c r="I41" s="3">
        <v>45674</v>
      </c>
      <c r="J41" s="102">
        <v>45733</v>
      </c>
      <c r="K41" s="12">
        <v>45734</v>
      </c>
      <c r="L41" s="21" t="s">
        <v>731</v>
      </c>
      <c r="M41" s="36">
        <v>0</v>
      </c>
      <c r="N41"/>
      <c r="O41" t="s">
        <v>202</v>
      </c>
      <c r="P41" t="s">
        <v>328</v>
      </c>
      <c r="Q41" t="s">
        <v>207</v>
      </c>
    </row>
    <row r="42" spans="1:17" x14ac:dyDescent="0.3">
      <c r="A42" s="25">
        <v>1398</v>
      </c>
      <c r="B42" t="s">
        <v>212</v>
      </c>
      <c r="C42" t="s">
        <v>169</v>
      </c>
      <c r="D42" t="s">
        <v>528</v>
      </c>
      <c r="E42" s="121">
        <v>8184</v>
      </c>
      <c r="F42" s="13">
        <v>45654</v>
      </c>
      <c r="G42" s="27">
        <v>1309.3600000000006</v>
      </c>
      <c r="H42" s="27">
        <v>1146.71</v>
      </c>
      <c r="I42" s="3">
        <v>45674</v>
      </c>
      <c r="J42" s="102"/>
      <c r="K42" s="12"/>
      <c r="L42" s="21" t="s">
        <v>730</v>
      </c>
      <c r="M42" s="36">
        <v>0</v>
      </c>
      <c r="N42"/>
      <c r="O42" t="s">
        <v>202</v>
      </c>
      <c r="P42" t="s">
        <v>328</v>
      </c>
      <c r="Q42" t="s">
        <v>207</v>
      </c>
    </row>
    <row r="43" spans="1:17" x14ac:dyDescent="0.3">
      <c r="A43" s="25">
        <v>1398</v>
      </c>
      <c r="B43" t="s">
        <v>212</v>
      </c>
      <c r="C43" t="s">
        <v>169</v>
      </c>
      <c r="D43" t="s">
        <v>528</v>
      </c>
      <c r="E43" s="118">
        <v>8185</v>
      </c>
      <c r="F43" s="13">
        <v>45654</v>
      </c>
      <c r="G43" s="27">
        <v>23241.33</v>
      </c>
      <c r="H43" s="24">
        <v>21811.99</v>
      </c>
      <c r="I43" s="3">
        <v>45674</v>
      </c>
      <c r="J43" s="102">
        <v>45733</v>
      </c>
      <c r="K43" s="12">
        <v>45734</v>
      </c>
      <c r="L43" s="21" t="s">
        <v>731</v>
      </c>
      <c r="M43" s="36">
        <v>0</v>
      </c>
      <c r="N43"/>
      <c r="O43" t="s">
        <v>202</v>
      </c>
      <c r="P43" t="s">
        <v>328</v>
      </c>
      <c r="Q43" t="s">
        <v>207</v>
      </c>
    </row>
    <row r="44" spans="1:17" x14ac:dyDescent="0.3">
      <c r="A44" s="9">
        <v>1393</v>
      </c>
      <c r="B44" t="s">
        <v>215</v>
      </c>
      <c r="C44" t="s">
        <v>83</v>
      </c>
      <c r="D44" t="s">
        <v>522</v>
      </c>
      <c r="E44" s="121">
        <v>8181</v>
      </c>
      <c r="F44" s="13">
        <v>45654</v>
      </c>
      <c r="G44" s="11">
        <v>432751.13</v>
      </c>
      <c r="H44" s="11">
        <v>388177.77</v>
      </c>
      <c r="I44" s="3">
        <v>45671</v>
      </c>
      <c r="J44" s="102">
        <v>45684</v>
      </c>
      <c r="K44" s="5">
        <v>45686</v>
      </c>
      <c r="L44" s="21" t="s">
        <v>731</v>
      </c>
      <c r="M44" s="35">
        <v>0</v>
      </c>
      <c r="N44" s="15"/>
      <c r="O44" t="s">
        <v>202</v>
      </c>
      <c r="P44" t="s">
        <v>340</v>
      </c>
      <c r="Q44" t="s">
        <v>213</v>
      </c>
    </row>
    <row r="45" spans="1:17" x14ac:dyDescent="0.3">
      <c r="A45" s="25">
        <v>1476</v>
      </c>
      <c r="B45" t="s">
        <v>215</v>
      </c>
      <c r="C45" t="s">
        <v>46</v>
      </c>
      <c r="D45" t="s">
        <v>626</v>
      </c>
      <c r="E45" s="121">
        <v>8173</v>
      </c>
      <c r="F45" s="13">
        <v>45654</v>
      </c>
      <c r="G45" s="24">
        <v>318628.40000000002</v>
      </c>
      <c r="H45" s="24">
        <v>285809.68</v>
      </c>
      <c r="I45" s="3">
        <v>45665</v>
      </c>
      <c r="J45" s="102">
        <v>45691</v>
      </c>
      <c r="K45" s="29">
        <v>45694</v>
      </c>
      <c r="L45" s="95" t="s">
        <v>731</v>
      </c>
      <c r="M45" s="36"/>
      <c r="N45" s="26"/>
      <c r="O45" t="s">
        <v>202</v>
      </c>
      <c r="P45" t="s">
        <v>340</v>
      </c>
      <c r="Q45" t="s">
        <v>213</v>
      </c>
    </row>
    <row r="46" spans="1:17" x14ac:dyDescent="0.3">
      <c r="A46" s="9">
        <v>1300</v>
      </c>
      <c r="B46" t="s">
        <v>211</v>
      </c>
      <c r="C46" t="s">
        <v>34</v>
      </c>
      <c r="D46" t="s">
        <v>420</v>
      </c>
      <c r="E46" s="121">
        <v>1206</v>
      </c>
      <c r="F46" s="13">
        <v>45654</v>
      </c>
      <c r="G46" s="11">
        <v>269370.34999999998</v>
      </c>
      <c r="H46" s="11">
        <v>243376.11</v>
      </c>
      <c r="I46" s="3">
        <v>45670</v>
      </c>
      <c r="J46" s="102">
        <v>45719</v>
      </c>
      <c r="K46" s="5">
        <v>45723</v>
      </c>
      <c r="L46" s="37" t="s">
        <v>731</v>
      </c>
      <c r="M46" s="38">
        <v>0</v>
      </c>
      <c r="N46" s="15"/>
      <c r="O46" t="s">
        <v>202</v>
      </c>
      <c r="P46" t="s">
        <v>328</v>
      </c>
      <c r="Q46" t="s">
        <v>207</v>
      </c>
    </row>
    <row r="47" spans="1:17" x14ac:dyDescent="0.3">
      <c r="A47" s="9">
        <v>1300</v>
      </c>
      <c r="B47" t="s">
        <v>211</v>
      </c>
      <c r="C47" t="s">
        <v>34</v>
      </c>
      <c r="D47" t="s">
        <v>420</v>
      </c>
      <c r="E47" s="121">
        <v>8178</v>
      </c>
      <c r="F47" s="13">
        <v>45654</v>
      </c>
      <c r="G47" s="11">
        <v>35127.120000000003</v>
      </c>
      <c r="H47" s="11">
        <v>31737.35</v>
      </c>
      <c r="I47" s="3">
        <v>45670</v>
      </c>
      <c r="J47" s="102">
        <v>45698</v>
      </c>
      <c r="K47" s="5">
        <v>45700</v>
      </c>
      <c r="L47" s="37" t="s">
        <v>731</v>
      </c>
      <c r="M47" s="38">
        <v>0</v>
      </c>
      <c r="N47" s="15"/>
      <c r="O47" t="s">
        <v>202</v>
      </c>
      <c r="P47" t="s">
        <v>328</v>
      </c>
      <c r="Q47" t="s">
        <v>207</v>
      </c>
    </row>
    <row r="48" spans="1:17" x14ac:dyDescent="0.3">
      <c r="A48" s="9">
        <v>1290</v>
      </c>
      <c r="B48" t="s">
        <v>215</v>
      </c>
      <c r="C48" t="s">
        <v>40</v>
      </c>
      <c r="D48" t="s">
        <v>409</v>
      </c>
      <c r="E48" s="121">
        <v>8172</v>
      </c>
      <c r="F48" s="13">
        <v>45654</v>
      </c>
      <c r="G48" s="11">
        <v>53175.27</v>
      </c>
      <c r="H48" s="11">
        <v>46980.35</v>
      </c>
      <c r="I48" s="3">
        <v>45663</v>
      </c>
      <c r="J48" s="102">
        <v>45691</v>
      </c>
      <c r="K48" s="12">
        <v>45694</v>
      </c>
      <c r="L48" s="22" t="s">
        <v>731</v>
      </c>
      <c r="M48" s="35">
        <v>0</v>
      </c>
      <c r="N48" s="15"/>
      <c r="O48" t="s">
        <v>202</v>
      </c>
      <c r="P48" t="s">
        <v>328</v>
      </c>
      <c r="Q48" t="s">
        <v>213</v>
      </c>
    </row>
    <row r="49" spans="1:17" x14ac:dyDescent="0.3">
      <c r="A49" s="9">
        <v>1475</v>
      </c>
      <c r="B49" t="s">
        <v>204</v>
      </c>
      <c r="C49" t="s">
        <v>95</v>
      </c>
      <c r="D49" t="s">
        <v>625</v>
      </c>
      <c r="E49" s="121">
        <v>8179</v>
      </c>
      <c r="F49" s="13">
        <v>45654</v>
      </c>
      <c r="G49" s="11">
        <v>67387.39</v>
      </c>
      <c r="H49" s="11">
        <v>60446.49</v>
      </c>
      <c r="I49" s="3">
        <v>45670</v>
      </c>
      <c r="J49" s="102">
        <v>45684</v>
      </c>
      <c r="K49" s="12">
        <v>45687</v>
      </c>
      <c r="L49" s="19" t="s">
        <v>731</v>
      </c>
      <c r="M49" s="35">
        <v>0</v>
      </c>
      <c r="N49"/>
      <c r="O49" t="s">
        <v>199</v>
      </c>
      <c r="P49" t="s">
        <v>340</v>
      </c>
      <c r="Q49" t="s">
        <v>217</v>
      </c>
    </row>
    <row r="50" spans="1:17" x14ac:dyDescent="0.3">
      <c r="A50" s="9">
        <v>1378</v>
      </c>
      <c r="B50" t="s">
        <v>193</v>
      </c>
      <c r="C50" t="s">
        <v>4</v>
      </c>
      <c r="D50" t="s">
        <v>506</v>
      </c>
      <c r="E50" s="121">
        <v>8183</v>
      </c>
      <c r="F50" s="13">
        <v>45654</v>
      </c>
      <c r="G50" s="11">
        <v>4281.29</v>
      </c>
      <c r="H50" s="11">
        <v>4017.99</v>
      </c>
      <c r="I50" s="3">
        <v>45674</v>
      </c>
      <c r="J50" s="102">
        <v>45691</v>
      </c>
      <c r="K50" s="5">
        <v>45695</v>
      </c>
      <c r="L50" s="37" t="s">
        <v>731</v>
      </c>
      <c r="M50" s="38">
        <v>0</v>
      </c>
      <c r="N50" s="15"/>
      <c r="O50" t="s">
        <v>201</v>
      </c>
      <c r="P50" t="s">
        <v>376</v>
      </c>
      <c r="Q50" t="s">
        <v>207</v>
      </c>
    </row>
    <row r="51" spans="1:17" x14ac:dyDescent="0.3">
      <c r="A51" s="9">
        <v>1358</v>
      </c>
      <c r="B51" t="s">
        <v>215</v>
      </c>
      <c r="C51" t="s">
        <v>17</v>
      </c>
      <c r="D51" t="s">
        <v>480</v>
      </c>
      <c r="E51" s="121">
        <v>8174</v>
      </c>
      <c r="F51" s="13">
        <v>45654</v>
      </c>
      <c r="G51" s="11">
        <v>85164.92</v>
      </c>
      <c r="H51" s="11">
        <v>76392.929999999993</v>
      </c>
      <c r="I51" s="3">
        <v>45667</v>
      </c>
      <c r="J51" s="102">
        <v>45698</v>
      </c>
      <c r="K51" s="12">
        <v>45702</v>
      </c>
      <c r="L51" s="19" t="s">
        <v>731</v>
      </c>
      <c r="M51" s="35">
        <v>0</v>
      </c>
      <c r="N51"/>
      <c r="O51" t="s">
        <v>202</v>
      </c>
      <c r="P51" t="s">
        <v>340</v>
      </c>
      <c r="Q51" t="s">
        <v>213</v>
      </c>
    </row>
    <row r="52" spans="1:17" x14ac:dyDescent="0.3">
      <c r="A52" s="9">
        <v>1358</v>
      </c>
      <c r="B52" t="s">
        <v>215</v>
      </c>
      <c r="C52" t="s">
        <v>17</v>
      </c>
      <c r="D52" t="s">
        <v>480</v>
      </c>
      <c r="E52" s="121">
        <v>8175</v>
      </c>
      <c r="F52" s="13">
        <v>45654</v>
      </c>
      <c r="G52" s="11">
        <v>8209.93</v>
      </c>
      <c r="H52" s="11">
        <v>7364.3</v>
      </c>
      <c r="I52" s="3">
        <v>45670</v>
      </c>
      <c r="J52" s="102">
        <v>45705</v>
      </c>
      <c r="K52" s="17">
        <v>45709</v>
      </c>
      <c r="L52" s="19" t="s">
        <v>731</v>
      </c>
      <c r="M52" s="35">
        <v>0</v>
      </c>
      <c r="N52"/>
      <c r="O52" t="s">
        <v>202</v>
      </c>
      <c r="P52" t="s">
        <v>340</v>
      </c>
      <c r="Q52" t="s">
        <v>213</v>
      </c>
    </row>
    <row r="53" spans="1:17" x14ac:dyDescent="0.3">
      <c r="A53" s="9">
        <v>1473</v>
      </c>
      <c r="B53" t="s">
        <v>215</v>
      </c>
      <c r="C53" t="s">
        <v>208</v>
      </c>
      <c r="D53" t="s">
        <v>623</v>
      </c>
      <c r="E53" s="121">
        <v>8217</v>
      </c>
      <c r="F53" s="13">
        <v>45654</v>
      </c>
      <c r="G53" s="24">
        <v>225527.76</v>
      </c>
      <c r="H53" s="24">
        <v>209685.41</v>
      </c>
      <c r="I53" s="3">
        <v>45702</v>
      </c>
      <c r="J53" s="102">
        <v>45712</v>
      </c>
      <c r="K53" s="12">
        <v>45716</v>
      </c>
      <c r="L53" s="19" t="s">
        <v>731</v>
      </c>
      <c r="M53" s="35">
        <v>0</v>
      </c>
      <c r="N53"/>
      <c r="O53" t="s">
        <v>202</v>
      </c>
      <c r="P53" t="s">
        <v>340</v>
      </c>
      <c r="Q53" t="s">
        <v>213</v>
      </c>
    </row>
    <row r="54" spans="1:17" x14ac:dyDescent="0.3">
      <c r="A54" s="25">
        <v>1462</v>
      </c>
      <c r="B54" t="s">
        <v>212</v>
      </c>
      <c r="C54" t="s">
        <v>221</v>
      </c>
      <c r="D54" t="s">
        <v>610</v>
      </c>
      <c r="E54" s="121">
        <v>8188</v>
      </c>
      <c r="F54" s="13">
        <v>45654</v>
      </c>
      <c r="G54" s="24">
        <v>800</v>
      </c>
      <c r="H54" s="24">
        <v>750.8</v>
      </c>
      <c r="I54" s="3">
        <v>45680</v>
      </c>
      <c r="J54" s="102">
        <v>45684</v>
      </c>
      <c r="K54" s="12">
        <v>45688</v>
      </c>
      <c r="L54" s="19" t="s">
        <v>731</v>
      </c>
      <c r="M54" s="36">
        <v>0</v>
      </c>
      <c r="N54" s="26"/>
      <c r="O54" t="s">
        <v>202</v>
      </c>
      <c r="P54" t="s">
        <v>373</v>
      </c>
      <c r="Q54" t="s">
        <v>207</v>
      </c>
    </row>
    <row r="55" spans="1:17" x14ac:dyDescent="0.3">
      <c r="A55" s="9">
        <v>1390</v>
      </c>
      <c r="B55" t="s">
        <v>211</v>
      </c>
      <c r="C55" t="s">
        <v>16</v>
      </c>
      <c r="D55" t="s">
        <v>519</v>
      </c>
      <c r="E55" s="121">
        <v>1245</v>
      </c>
      <c r="F55" s="13">
        <v>45744</v>
      </c>
      <c r="G55" s="11">
        <v>156264.84</v>
      </c>
      <c r="H55" s="11">
        <v>138059.98000000001</v>
      </c>
      <c r="I55" s="3">
        <v>45769</v>
      </c>
      <c r="J55" s="102">
        <v>45852</v>
      </c>
      <c r="K55" s="12">
        <v>45855</v>
      </c>
      <c r="L55" s="19" t="s">
        <v>731</v>
      </c>
      <c r="M55" s="35">
        <v>0</v>
      </c>
      <c r="N55"/>
      <c r="O55" t="s">
        <v>202</v>
      </c>
      <c r="P55" t="s">
        <v>328</v>
      </c>
      <c r="Q55" t="s">
        <v>207</v>
      </c>
    </row>
    <row r="56" spans="1:17" x14ac:dyDescent="0.3">
      <c r="A56" s="14">
        <v>1260</v>
      </c>
      <c r="B56" t="s">
        <v>193</v>
      </c>
      <c r="C56" t="s">
        <v>121</v>
      </c>
      <c r="D56" t="s">
        <v>372</v>
      </c>
      <c r="E56" s="121">
        <v>3745</v>
      </c>
      <c r="F56" s="13">
        <v>45654</v>
      </c>
      <c r="G56" s="24">
        <v>10395</v>
      </c>
      <c r="H56" s="49">
        <v>9755.7000000000007</v>
      </c>
      <c r="I56" s="3">
        <v>45667</v>
      </c>
      <c r="J56" s="102">
        <v>45684</v>
      </c>
      <c r="K56" s="12">
        <v>45686</v>
      </c>
      <c r="L56" s="20" t="s">
        <v>731</v>
      </c>
      <c r="M56" s="35">
        <v>0</v>
      </c>
      <c r="N56"/>
      <c r="O56" t="s">
        <v>199</v>
      </c>
      <c r="P56" t="s">
        <v>373</v>
      </c>
      <c r="Q56" t="s">
        <v>207</v>
      </c>
    </row>
    <row r="57" spans="1:17" x14ac:dyDescent="0.3">
      <c r="A57" s="9">
        <v>1482</v>
      </c>
      <c r="B57" t="s">
        <v>211</v>
      </c>
      <c r="C57" t="s">
        <v>34</v>
      </c>
      <c r="D57" t="s">
        <v>632</v>
      </c>
      <c r="E57" s="121">
        <v>8168</v>
      </c>
      <c r="F57" s="13">
        <v>45654</v>
      </c>
      <c r="G57" s="11">
        <v>39000</v>
      </c>
      <c r="H57" s="11">
        <v>35236.5</v>
      </c>
      <c r="I57" s="3">
        <v>45660</v>
      </c>
      <c r="J57" s="102">
        <v>45677</v>
      </c>
      <c r="K57" s="5">
        <v>45680</v>
      </c>
      <c r="L57" s="37" t="s">
        <v>731</v>
      </c>
      <c r="M57" s="43"/>
      <c r="N57" s="15"/>
      <c r="O57" t="s">
        <v>202</v>
      </c>
      <c r="P57" t="s">
        <v>328</v>
      </c>
      <c r="Q57" t="s">
        <v>207</v>
      </c>
    </row>
    <row r="58" spans="1:17" x14ac:dyDescent="0.3">
      <c r="A58" s="9">
        <v>1262</v>
      </c>
      <c r="B58" t="s">
        <v>193</v>
      </c>
      <c r="C58" t="s">
        <v>45</v>
      </c>
      <c r="D58" t="s">
        <v>375</v>
      </c>
      <c r="E58" s="121">
        <v>3767</v>
      </c>
      <c r="F58" s="13">
        <v>45654</v>
      </c>
      <c r="G58" s="24">
        <v>8517.2199999999993</v>
      </c>
      <c r="H58" s="24">
        <v>7993.41</v>
      </c>
      <c r="I58" s="3">
        <v>45681</v>
      </c>
      <c r="J58" s="102">
        <v>45684</v>
      </c>
      <c r="K58" s="12">
        <v>45688</v>
      </c>
      <c r="L58" s="19" t="s">
        <v>731</v>
      </c>
      <c r="M58" s="35">
        <v>0</v>
      </c>
      <c r="N58" s="15"/>
      <c r="O58" t="s">
        <v>199</v>
      </c>
      <c r="P58" t="s">
        <v>376</v>
      </c>
      <c r="Q58" t="s">
        <v>207</v>
      </c>
    </row>
    <row r="59" spans="1:17" x14ac:dyDescent="0.3">
      <c r="A59" s="9">
        <v>1262</v>
      </c>
      <c r="B59" t="s">
        <v>193</v>
      </c>
      <c r="C59" t="s">
        <v>45</v>
      </c>
      <c r="D59" t="s">
        <v>375</v>
      </c>
      <c r="E59" s="121">
        <v>3766</v>
      </c>
      <c r="F59" s="13">
        <v>45654</v>
      </c>
      <c r="G59" s="24">
        <v>19873.509999999998</v>
      </c>
      <c r="H59" s="24">
        <v>18651.29</v>
      </c>
      <c r="I59" s="3">
        <v>45681</v>
      </c>
      <c r="J59" s="102">
        <v>45684</v>
      </c>
      <c r="K59" s="12">
        <v>45688</v>
      </c>
      <c r="L59" s="19" t="s">
        <v>731</v>
      </c>
      <c r="M59" s="35">
        <v>0</v>
      </c>
      <c r="N59" s="15"/>
      <c r="O59" t="s">
        <v>199</v>
      </c>
      <c r="P59" t="s">
        <v>376</v>
      </c>
      <c r="Q59" t="s">
        <v>207</v>
      </c>
    </row>
    <row r="60" spans="1:17" x14ac:dyDescent="0.3">
      <c r="A60" s="9">
        <v>1262</v>
      </c>
      <c r="B60" t="s">
        <v>193</v>
      </c>
      <c r="C60" t="s">
        <v>45</v>
      </c>
      <c r="D60" t="s">
        <v>375</v>
      </c>
      <c r="E60" s="121">
        <v>3765</v>
      </c>
      <c r="F60" s="13">
        <v>45654</v>
      </c>
      <c r="G60" s="24">
        <v>57982.34</v>
      </c>
      <c r="H60" s="24">
        <v>54416.42</v>
      </c>
      <c r="I60" s="3">
        <v>45681</v>
      </c>
      <c r="J60" s="102">
        <v>45684</v>
      </c>
      <c r="K60" s="12">
        <v>45688</v>
      </c>
      <c r="L60" s="19" t="s">
        <v>731</v>
      </c>
      <c r="M60" s="35">
        <v>0</v>
      </c>
      <c r="N60" s="15"/>
      <c r="O60" t="s">
        <v>199</v>
      </c>
      <c r="P60" t="s">
        <v>376</v>
      </c>
      <c r="Q60" t="s">
        <v>207</v>
      </c>
    </row>
    <row r="61" spans="1:17" x14ac:dyDescent="0.3">
      <c r="A61" s="9">
        <v>1269</v>
      </c>
      <c r="B61" t="s">
        <v>193</v>
      </c>
      <c r="C61" t="s">
        <v>45</v>
      </c>
      <c r="D61" t="s">
        <v>384</v>
      </c>
      <c r="E61" s="121">
        <v>3763</v>
      </c>
      <c r="F61" s="13">
        <v>45654</v>
      </c>
      <c r="G61" s="24">
        <v>198578.23</v>
      </c>
      <c r="H61" s="24">
        <v>186365.67</v>
      </c>
      <c r="I61" s="3">
        <v>45681</v>
      </c>
      <c r="J61" s="102">
        <v>45684</v>
      </c>
      <c r="K61" s="12">
        <v>45688</v>
      </c>
      <c r="L61" s="19" t="s">
        <v>731</v>
      </c>
      <c r="M61" s="35">
        <v>0</v>
      </c>
      <c r="N61" s="15"/>
      <c r="O61" t="s">
        <v>202</v>
      </c>
      <c r="P61" t="s">
        <v>376</v>
      </c>
      <c r="Q61" t="s">
        <v>207</v>
      </c>
    </row>
    <row r="62" spans="1:17" x14ac:dyDescent="0.3">
      <c r="A62" s="9">
        <v>1262</v>
      </c>
      <c r="B62" t="s">
        <v>193</v>
      </c>
      <c r="C62" t="s">
        <v>45</v>
      </c>
      <c r="D62" t="s">
        <v>375</v>
      </c>
      <c r="E62" s="121">
        <v>3762</v>
      </c>
      <c r="F62" s="13">
        <v>45654</v>
      </c>
      <c r="G62" s="24">
        <v>26442.98</v>
      </c>
      <c r="H62" s="24">
        <v>24816.74</v>
      </c>
      <c r="I62" s="3">
        <v>45681</v>
      </c>
      <c r="J62" s="102">
        <v>45684</v>
      </c>
      <c r="K62" s="12">
        <v>45688</v>
      </c>
      <c r="L62" s="19" t="s">
        <v>731</v>
      </c>
      <c r="M62" s="35">
        <v>0</v>
      </c>
      <c r="N62" s="15"/>
      <c r="O62" t="s">
        <v>199</v>
      </c>
      <c r="P62" t="s">
        <v>376</v>
      </c>
      <c r="Q62" t="s">
        <v>207</v>
      </c>
    </row>
    <row r="63" spans="1:17" x14ac:dyDescent="0.3">
      <c r="A63" s="25">
        <v>1269</v>
      </c>
      <c r="B63" t="s">
        <v>193</v>
      </c>
      <c r="C63" t="s">
        <v>45</v>
      </c>
      <c r="D63" t="s">
        <v>384</v>
      </c>
      <c r="E63" s="121">
        <v>3769</v>
      </c>
      <c r="F63" s="13">
        <v>45654</v>
      </c>
      <c r="G63" s="24">
        <v>6310.36</v>
      </c>
      <c r="H63" s="24">
        <v>5922.27</v>
      </c>
      <c r="I63" s="3">
        <v>45681</v>
      </c>
      <c r="J63" s="102">
        <v>45684</v>
      </c>
      <c r="K63" s="12">
        <v>45688</v>
      </c>
      <c r="L63" s="19" t="s">
        <v>731</v>
      </c>
      <c r="M63" s="36">
        <v>0</v>
      </c>
      <c r="N63" s="26"/>
      <c r="O63" t="s">
        <v>202</v>
      </c>
      <c r="P63" t="s">
        <v>376</v>
      </c>
      <c r="Q63" t="s">
        <v>207</v>
      </c>
    </row>
    <row r="64" spans="1:17" x14ac:dyDescent="0.3">
      <c r="A64" s="25">
        <v>1269</v>
      </c>
      <c r="B64" t="s">
        <v>193</v>
      </c>
      <c r="C64" t="s">
        <v>45</v>
      </c>
      <c r="D64" t="s">
        <v>384</v>
      </c>
      <c r="E64" s="121">
        <v>3768</v>
      </c>
      <c r="F64" s="13">
        <v>45654</v>
      </c>
      <c r="G64" s="24">
        <v>17033.400000000001</v>
      </c>
      <c r="H64" s="24">
        <v>15985.85</v>
      </c>
      <c r="I64" s="3">
        <v>45681</v>
      </c>
      <c r="J64" s="102">
        <v>45684</v>
      </c>
      <c r="K64" s="12">
        <v>45688</v>
      </c>
      <c r="L64" s="19" t="s">
        <v>731</v>
      </c>
      <c r="M64" s="36">
        <v>0</v>
      </c>
      <c r="N64" s="26"/>
      <c r="O64" t="s">
        <v>202</v>
      </c>
      <c r="P64" t="s">
        <v>376</v>
      </c>
      <c r="Q64" t="s">
        <v>207</v>
      </c>
    </row>
    <row r="65" spans="1:17" x14ac:dyDescent="0.3">
      <c r="A65" s="25">
        <v>1269</v>
      </c>
      <c r="B65" t="s">
        <v>193</v>
      </c>
      <c r="C65" t="s">
        <v>45</v>
      </c>
      <c r="D65" t="s">
        <v>384</v>
      </c>
      <c r="E65" s="121">
        <v>3770</v>
      </c>
      <c r="F65" s="13">
        <v>45654</v>
      </c>
      <c r="G65" s="24">
        <v>22383.29</v>
      </c>
      <c r="H65" s="24">
        <v>21006.720000000001</v>
      </c>
      <c r="I65" s="3">
        <v>45681</v>
      </c>
      <c r="J65" s="102">
        <v>45684</v>
      </c>
      <c r="K65" s="12">
        <v>45688</v>
      </c>
      <c r="L65" s="19" t="s">
        <v>731</v>
      </c>
      <c r="M65" s="36">
        <v>0</v>
      </c>
      <c r="N65" s="26"/>
      <c r="O65" t="s">
        <v>202</v>
      </c>
      <c r="P65" t="s">
        <v>376</v>
      </c>
      <c r="Q65" t="s">
        <v>207</v>
      </c>
    </row>
    <row r="66" spans="1:17" x14ac:dyDescent="0.3">
      <c r="A66" s="25">
        <v>1269</v>
      </c>
      <c r="B66" t="s">
        <v>193</v>
      </c>
      <c r="C66" t="s">
        <v>45</v>
      </c>
      <c r="D66" t="s">
        <v>384</v>
      </c>
      <c r="E66" s="121">
        <v>3764</v>
      </c>
      <c r="F66" s="13">
        <v>45654</v>
      </c>
      <c r="G66" s="24">
        <v>18775.89</v>
      </c>
      <c r="H66" s="24">
        <v>17621.169999999998</v>
      </c>
      <c r="I66" s="3">
        <v>45681</v>
      </c>
      <c r="J66" s="102">
        <v>45684</v>
      </c>
      <c r="K66" s="12">
        <v>45688</v>
      </c>
      <c r="L66" s="19" t="s">
        <v>731</v>
      </c>
      <c r="M66" s="36">
        <v>0</v>
      </c>
      <c r="N66" s="26"/>
      <c r="O66" t="s">
        <v>202</v>
      </c>
      <c r="P66" t="s">
        <v>376</v>
      </c>
      <c r="Q66" t="s">
        <v>207</v>
      </c>
    </row>
    <row r="67" spans="1:17" x14ac:dyDescent="0.3">
      <c r="A67" s="25">
        <v>1400</v>
      </c>
      <c r="B67" t="s">
        <v>209</v>
      </c>
      <c r="C67" t="s">
        <v>3</v>
      </c>
      <c r="D67" t="s">
        <v>530</v>
      </c>
      <c r="E67" s="121">
        <v>8198</v>
      </c>
      <c r="F67" s="13">
        <v>45654</v>
      </c>
      <c r="G67" s="24">
        <v>77751.44</v>
      </c>
      <c r="H67" s="27">
        <v>70248.429999999993</v>
      </c>
      <c r="I67" s="3">
        <v>45691</v>
      </c>
      <c r="J67" s="102">
        <v>45705</v>
      </c>
      <c r="K67" s="12">
        <v>45708</v>
      </c>
      <c r="L67" s="19" t="s">
        <v>731</v>
      </c>
      <c r="M67" s="36">
        <v>0</v>
      </c>
      <c r="N67"/>
      <c r="O67" t="s">
        <v>199</v>
      </c>
      <c r="P67" t="s">
        <v>328</v>
      </c>
      <c r="Q67" t="s">
        <v>203</v>
      </c>
    </row>
    <row r="68" spans="1:17" x14ac:dyDescent="0.3">
      <c r="A68" s="25">
        <v>1400</v>
      </c>
      <c r="B68" t="s">
        <v>209</v>
      </c>
      <c r="C68" t="s">
        <v>3</v>
      </c>
      <c r="D68" t="s">
        <v>530</v>
      </c>
      <c r="E68" s="121">
        <v>8197</v>
      </c>
      <c r="F68" s="13">
        <v>45654</v>
      </c>
      <c r="G68" s="24">
        <v>765030.98</v>
      </c>
      <c r="H68" s="27">
        <v>691205.5</v>
      </c>
      <c r="I68" s="3">
        <v>45691</v>
      </c>
      <c r="J68" s="102">
        <v>45705</v>
      </c>
      <c r="K68" s="12">
        <v>45708</v>
      </c>
      <c r="L68" s="19" t="s">
        <v>731</v>
      </c>
      <c r="M68" s="36">
        <v>0</v>
      </c>
      <c r="N68"/>
      <c r="O68" t="s">
        <v>199</v>
      </c>
      <c r="P68" t="s">
        <v>328</v>
      </c>
      <c r="Q68" t="s">
        <v>203</v>
      </c>
    </row>
    <row r="69" spans="1:17" x14ac:dyDescent="0.3">
      <c r="A69" s="9">
        <v>1366</v>
      </c>
      <c r="B69" t="s">
        <v>209</v>
      </c>
      <c r="C69" t="s">
        <v>3</v>
      </c>
      <c r="D69" t="s">
        <v>490</v>
      </c>
      <c r="E69" s="121">
        <v>1208</v>
      </c>
      <c r="F69" s="13">
        <v>45654</v>
      </c>
      <c r="G69" s="11">
        <v>347182.07</v>
      </c>
      <c r="H69" s="11">
        <v>313678.94</v>
      </c>
      <c r="I69" s="3">
        <v>45677</v>
      </c>
      <c r="J69" s="102">
        <v>45684</v>
      </c>
      <c r="K69" s="12">
        <v>45688</v>
      </c>
      <c r="L69" s="19" t="s">
        <v>731</v>
      </c>
      <c r="M69" s="35">
        <v>0</v>
      </c>
      <c r="N69"/>
      <c r="O69" t="s">
        <v>202</v>
      </c>
      <c r="P69" t="s">
        <v>328</v>
      </c>
      <c r="Q69" t="s">
        <v>203</v>
      </c>
    </row>
    <row r="70" spans="1:17" x14ac:dyDescent="0.3">
      <c r="A70" s="9">
        <v>1366</v>
      </c>
      <c r="B70" t="s">
        <v>209</v>
      </c>
      <c r="C70" t="s">
        <v>3</v>
      </c>
      <c r="D70" t="s">
        <v>490</v>
      </c>
      <c r="E70" s="121">
        <v>1214</v>
      </c>
      <c r="F70" s="13">
        <v>45654</v>
      </c>
      <c r="G70" s="11">
        <v>278553.75</v>
      </c>
      <c r="H70" s="11">
        <v>251673.31</v>
      </c>
      <c r="I70" s="3">
        <v>45691</v>
      </c>
      <c r="J70" s="102">
        <v>45698</v>
      </c>
      <c r="K70" s="12">
        <v>45701</v>
      </c>
      <c r="L70" s="19" t="s">
        <v>731</v>
      </c>
      <c r="M70" s="35">
        <v>0</v>
      </c>
      <c r="N70"/>
      <c r="O70" t="s">
        <v>202</v>
      </c>
      <c r="P70" t="s">
        <v>328</v>
      </c>
      <c r="Q70" t="s">
        <v>203</v>
      </c>
    </row>
    <row r="71" spans="1:17" x14ac:dyDescent="0.3">
      <c r="A71" s="9">
        <v>1388</v>
      </c>
      <c r="B71" t="s">
        <v>209</v>
      </c>
      <c r="C71" t="s">
        <v>3</v>
      </c>
      <c r="D71" t="s">
        <v>518</v>
      </c>
      <c r="E71" s="121">
        <v>3779</v>
      </c>
      <c r="F71" s="13">
        <v>45654</v>
      </c>
      <c r="G71" s="11">
        <v>70542.28</v>
      </c>
      <c r="H71" s="11">
        <v>63734.96</v>
      </c>
      <c r="I71" s="3">
        <v>45691</v>
      </c>
      <c r="J71" s="102">
        <v>45698</v>
      </c>
      <c r="K71" s="12">
        <v>45701</v>
      </c>
      <c r="L71" s="19" t="s">
        <v>731</v>
      </c>
      <c r="M71" s="35">
        <v>0</v>
      </c>
      <c r="N71"/>
      <c r="O71" t="s">
        <v>199</v>
      </c>
      <c r="P71" t="s">
        <v>328</v>
      </c>
      <c r="Q71" t="s">
        <v>203</v>
      </c>
    </row>
    <row r="72" spans="1:17" x14ac:dyDescent="0.3">
      <c r="A72" s="25">
        <v>1481</v>
      </c>
      <c r="B72" t="s">
        <v>193</v>
      </c>
      <c r="C72" t="s">
        <v>141</v>
      </c>
      <c r="D72" t="s">
        <v>631</v>
      </c>
      <c r="E72" s="121">
        <v>3822</v>
      </c>
      <c r="F72" s="52">
        <v>45654</v>
      </c>
      <c r="G72" s="24">
        <v>107000</v>
      </c>
      <c r="H72" s="24">
        <v>100419.5</v>
      </c>
      <c r="I72" s="3">
        <v>45702</v>
      </c>
      <c r="J72" s="102">
        <v>45726</v>
      </c>
      <c r="K72" s="12">
        <v>45727</v>
      </c>
      <c r="L72" s="19" t="s">
        <v>731</v>
      </c>
      <c r="M72" s="36">
        <v>0</v>
      </c>
      <c r="N72"/>
      <c r="O72" t="s">
        <v>199</v>
      </c>
      <c r="P72" t="s">
        <v>376</v>
      </c>
      <c r="Q72" t="s">
        <v>207</v>
      </c>
    </row>
    <row r="73" spans="1:17" x14ac:dyDescent="0.3">
      <c r="A73" s="9">
        <v>1298</v>
      </c>
      <c r="B73" t="s">
        <v>84</v>
      </c>
      <c r="C73" t="s">
        <v>36</v>
      </c>
      <c r="D73" t="s">
        <v>418</v>
      </c>
      <c r="E73" s="121">
        <v>1207</v>
      </c>
      <c r="F73" s="13">
        <v>45654</v>
      </c>
      <c r="G73" s="24">
        <v>275594.28999999998</v>
      </c>
      <c r="H73" s="24">
        <v>258645.25</v>
      </c>
      <c r="I73" s="3">
        <v>45674</v>
      </c>
      <c r="J73" s="102">
        <v>45684</v>
      </c>
      <c r="K73" s="12">
        <v>45688</v>
      </c>
      <c r="L73" s="19" t="s">
        <v>731</v>
      </c>
      <c r="M73" s="35">
        <v>0</v>
      </c>
      <c r="N73"/>
      <c r="O73" t="s">
        <v>202</v>
      </c>
      <c r="P73" t="s">
        <v>340</v>
      </c>
      <c r="Q73" t="s">
        <v>207</v>
      </c>
    </row>
    <row r="74" spans="1:17" x14ac:dyDescent="0.3">
      <c r="A74" s="9">
        <v>1289</v>
      </c>
      <c r="B74" t="s">
        <v>204</v>
      </c>
      <c r="C74" t="s">
        <v>32</v>
      </c>
      <c r="D74" t="s">
        <v>408</v>
      </c>
      <c r="E74" s="121">
        <v>8187</v>
      </c>
      <c r="F74" s="13">
        <v>45654</v>
      </c>
      <c r="G74" s="24">
        <v>176197.18</v>
      </c>
      <c r="H74" s="11">
        <v>164215.78</v>
      </c>
      <c r="I74" s="3">
        <v>45680</v>
      </c>
      <c r="J74" s="102">
        <v>45691</v>
      </c>
      <c r="K74" s="12">
        <v>45693</v>
      </c>
      <c r="L74" s="19" t="s">
        <v>731</v>
      </c>
      <c r="M74" s="35">
        <v>0</v>
      </c>
      <c r="N74"/>
      <c r="O74" t="s">
        <v>202</v>
      </c>
      <c r="P74" t="s">
        <v>340</v>
      </c>
      <c r="Q74" t="s">
        <v>217</v>
      </c>
    </row>
    <row r="75" spans="1:17" x14ac:dyDescent="0.3">
      <c r="A75" s="25">
        <v>1288</v>
      </c>
      <c r="B75" t="s">
        <v>204</v>
      </c>
      <c r="C75" t="s">
        <v>32</v>
      </c>
      <c r="D75" t="s">
        <v>407</v>
      </c>
      <c r="E75" s="121">
        <v>8186</v>
      </c>
      <c r="F75" s="13">
        <v>45654</v>
      </c>
      <c r="G75" s="24">
        <v>240212.72</v>
      </c>
      <c r="H75" s="24">
        <v>223878.26</v>
      </c>
      <c r="I75" s="3">
        <v>45680</v>
      </c>
      <c r="J75" s="102">
        <v>45698</v>
      </c>
      <c r="K75" s="12">
        <v>45698</v>
      </c>
      <c r="L75" s="19" t="s">
        <v>731</v>
      </c>
      <c r="M75" s="36">
        <v>0</v>
      </c>
      <c r="N75"/>
      <c r="O75" t="s">
        <v>199</v>
      </c>
      <c r="P75" t="s">
        <v>340</v>
      </c>
      <c r="Q75" t="s">
        <v>217</v>
      </c>
    </row>
    <row r="76" spans="1:17" x14ac:dyDescent="0.3">
      <c r="A76" s="9">
        <v>1271</v>
      </c>
      <c r="B76" t="s">
        <v>204</v>
      </c>
      <c r="C76" t="s">
        <v>32</v>
      </c>
      <c r="D76" t="s">
        <v>387</v>
      </c>
      <c r="E76" s="121">
        <v>8189</v>
      </c>
      <c r="F76" s="13">
        <v>45654</v>
      </c>
      <c r="G76" s="11">
        <v>255597.54</v>
      </c>
      <c r="H76" s="11">
        <v>238216.91</v>
      </c>
      <c r="I76" s="3">
        <v>45681</v>
      </c>
      <c r="J76" s="102">
        <v>45698</v>
      </c>
      <c r="K76" s="12">
        <v>45700</v>
      </c>
      <c r="L76" s="19" t="s">
        <v>731</v>
      </c>
      <c r="M76" s="35">
        <v>0</v>
      </c>
      <c r="N76"/>
      <c r="O76" t="s">
        <v>202</v>
      </c>
      <c r="P76" t="s">
        <v>340</v>
      </c>
      <c r="Q76" t="s">
        <v>217</v>
      </c>
    </row>
    <row r="77" spans="1:17" x14ac:dyDescent="0.3">
      <c r="A77" s="25">
        <v>1288</v>
      </c>
      <c r="B77" t="s">
        <v>204</v>
      </c>
      <c r="C77" t="s">
        <v>32</v>
      </c>
      <c r="D77" t="s">
        <v>407</v>
      </c>
      <c r="E77" s="121">
        <v>8623</v>
      </c>
      <c r="F77" s="13">
        <v>45958</v>
      </c>
      <c r="G77" s="24">
        <v>393007.28</v>
      </c>
      <c r="H77" s="27">
        <v>366282.78</v>
      </c>
      <c r="I77" s="3">
        <v>45985</v>
      </c>
      <c r="J77" s="102">
        <v>45992</v>
      </c>
      <c r="K77" s="12">
        <v>45995</v>
      </c>
      <c r="L77" s="19" t="s">
        <v>731</v>
      </c>
      <c r="M77" s="36"/>
      <c r="N77" s="26"/>
      <c r="O77" t="s">
        <v>199</v>
      </c>
      <c r="P77" t="s">
        <v>340</v>
      </c>
      <c r="Q77" t="s">
        <v>217</v>
      </c>
    </row>
    <row r="78" spans="1:17" x14ac:dyDescent="0.3">
      <c r="A78" s="9">
        <v>1299</v>
      </c>
      <c r="B78" t="s">
        <v>204</v>
      </c>
      <c r="C78" t="s">
        <v>32</v>
      </c>
      <c r="D78" t="s">
        <v>419</v>
      </c>
      <c r="E78" s="121">
        <v>8190</v>
      </c>
      <c r="F78" s="13">
        <v>45654</v>
      </c>
      <c r="G78" s="11">
        <v>816076.80000000005</v>
      </c>
      <c r="H78" s="11">
        <v>760583.57</v>
      </c>
      <c r="I78" s="3">
        <v>45681</v>
      </c>
      <c r="J78" s="102">
        <v>45698</v>
      </c>
      <c r="K78" s="12">
        <v>45698</v>
      </c>
      <c r="L78" s="19" t="s">
        <v>731</v>
      </c>
      <c r="M78" s="38"/>
      <c r="N78" s="15"/>
      <c r="O78" t="s">
        <v>199</v>
      </c>
      <c r="P78" t="s">
        <v>340</v>
      </c>
      <c r="Q78" t="s">
        <v>217</v>
      </c>
    </row>
    <row r="79" spans="1:17" x14ac:dyDescent="0.3">
      <c r="A79" s="25">
        <v>1394</v>
      </c>
      <c r="B79" t="s">
        <v>210</v>
      </c>
      <c r="C79" t="s">
        <v>38</v>
      </c>
      <c r="D79" t="s">
        <v>523</v>
      </c>
      <c r="E79" s="121">
        <v>8180</v>
      </c>
      <c r="F79" s="13">
        <v>45654</v>
      </c>
      <c r="G79" s="24">
        <v>15768.3</v>
      </c>
      <c r="H79" s="24">
        <v>14696.05</v>
      </c>
      <c r="I79" s="3">
        <v>45670</v>
      </c>
      <c r="J79" s="102">
        <v>45677</v>
      </c>
      <c r="K79" s="29">
        <v>45681</v>
      </c>
      <c r="L79" s="22" t="s">
        <v>731</v>
      </c>
      <c r="M79" s="36">
        <v>0</v>
      </c>
      <c r="N79" s="26"/>
      <c r="O79" t="s">
        <v>202</v>
      </c>
      <c r="P79" t="s">
        <v>340</v>
      </c>
      <c r="Q79" t="s">
        <v>213</v>
      </c>
    </row>
    <row r="80" spans="1:17" x14ac:dyDescent="0.3">
      <c r="A80" s="25">
        <v>1394</v>
      </c>
      <c r="B80" t="s">
        <v>210</v>
      </c>
      <c r="C80" t="s">
        <v>38</v>
      </c>
      <c r="D80" t="s">
        <v>523</v>
      </c>
      <c r="E80" s="121">
        <v>8177</v>
      </c>
      <c r="F80" s="13">
        <v>45654</v>
      </c>
      <c r="G80" s="24">
        <v>111600.22</v>
      </c>
      <c r="H80" s="24">
        <v>104011.41</v>
      </c>
      <c r="I80" s="3">
        <v>45670</v>
      </c>
      <c r="J80" s="102">
        <v>45677</v>
      </c>
      <c r="K80" s="29">
        <v>45681</v>
      </c>
      <c r="L80" s="22" t="s">
        <v>731</v>
      </c>
      <c r="M80" s="36">
        <v>0</v>
      </c>
      <c r="N80" s="26"/>
      <c r="O80" t="s">
        <v>202</v>
      </c>
      <c r="P80" t="s">
        <v>340</v>
      </c>
      <c r="Q80" t="s">
        <v>213</v>
      </c>
    </row>
    <row r="81" spans="1:17" x14ac:dyDescent="0.3">
      <c r="A81" s="25">
        <v>1394</v>
      </c>
      <c r="B81" t="s">
        <v>210</v>
      </c>
      <c r="C81" t="s">
        <v>38</v>
      </c>
      <c r="D81" t="s">
        <v>523</v>
      </c>
      <c r="E81" s="121">
        <v>8176</v>
      </c>
      <c r="F81" s="13">
        <v>45654</v>
      </c>
      <c r="G81" s="24">
        <v>62325.11</v>
      </c>
      <c r="H81" s="24">
        <v>58087</v>
      </c>
      <c r="I81" s="3">
        <v>45670</v>
      </c>
      <c r="J81" s="102">
        <v>45684</v>
      </c>
      <c r="K81" s="29">
        <v>45686</v>
      </c>
      <c r="L81" s="22" t="s">
        <v>731</v>
      </c>
      <c r="M81" s="36">
        <v>0</v>
      </c>
      <c r="N81" s="26"/>
      <c r="O81" t="s">
        <v>202</v>
      </c>
      <c r="P81" t="s">
        <v>340</v>
      </c>
      <c r="Q81" t="s">
        <v>213</v>
      </c>
    </row>
    <row r="82" spans="1:17" x14ac:dyDescent="0.3">
      <c r="A82" s="25">
        <v>1394</v>
      </c>
      <c r="B82" t="s">
        <v>210</v>
      </c>
      <c r="C82" t="s">
        <v>38</v>
      </c>
      <c r="D82" t="s">
        <v>523</v>
      </c>
      <c r="E82" s="121">
        <v>8192</v>
      </c>
      <c r="F82" s="13">
        <v>45654</v>
      </c>
      <c r="G82" s="24">
        <v>127355.8</v>
      </c>
      <c r="H82" s="24">
        <v>118695.6</v>
      </c>
      <c r="I82" s="3">
        <v>45686</v>
      </c>
      <c r="J82" s="102">
        <v>45691</v>
      </c>
      <c r="K82" s="29">
        <v>45695</v>
      </c>
      <c r="L82" s="22" t="s">
        <v>731</v>
      </c>
      <c r="M82" s="36">
        <v>0</v>
      </c>
      <c r="N82" s="26"/>
      <c r="O82" t="s">
        <v>202</v>
      </c>
      <c r="P82" t="s">
        <v>340</v>
      </c>
      <c r="Q82" t="s">
        <v>213</v>
      </c>
    </row>
    <row r="83" spans="1:17" x14ac:dyDescent="0.3">
      <c r="A83" s="25">
        <v>1394</v>
      </c>
      <c r="B83" t="s">
        <v>210</v>
      </c>
      <c r="C83" t="s">
        <v>38</v>
      </c>
      <c r="D83" t="s">
        <v>523</v>
      </c>
      <c r="E83" s="121">
        <v>8191</v>
      </c>
      <c r="F83" s="13">
        <v>45654</v>
      </c>
      <c r="G83" s="24">
        <v>138077.03</v>
      </c>
      <c r="H83" s="24">
        <v>128687.79</v>
      </c>
      <c r="I83" s="3">
        <v>45686</v>
      </c>
      <c r="J83" s="102">
        <v>45691</v>
      </c>
      <c r="K83" s="29">
        <v>45695</v>
      </c>
      <c r="L83" s="22" t="s">
        <v>731</v>
      </c>
      <c r="M83" s="36">
        <v>0</v>
      </c>
      <c r="N83" s="26"/>
      <c r="O83" t="s">
        <v>202</v>
      </c>
      <c r="P83" t="s">
        <v>340</v>
      </c>
      <c r="Q83" t="s">
        <v>213</v>
      </c>
    </row>
    <row r="84" spans="1:17" x14ac:dyDescent="0.3">
      <c r="A84" s="25">
        <v>1296</v>
      </c>
      <c r="B84" t="s">
        <v>84</v>
      </c>
      <c r="C84" t="s">
        <v>34</v>
      </c>
      <c r="D84" t="s">
        <v>416</v>
      </c>
      <c r="E84" s="121">
        <v>1296</v>
      </c>
      <c r="F84" s="13">
        <v>45897</v>
      </c>
      <c r="G84" s="24">
        <v>853192.83</v>
      </c>
      <c r="H84" s="24">
        <v>783657.62</v>
      </c>
      <c r="I84" s="3">
        <v>45916</v>
      </c>
      <c r="J84" s="102">
        <v>45931</v>
      </c>
      <c r="K84" s="29">
        <v>45931</v>
      </c>
      <c r="L84" s="19" t="s">
        <v>731</v>
      </c>
      <c r="M84" s="42"/>
      <c r="N84" s="26"/>
      <c r="O84" t="s">
        <v>202</v>
      </c>
      <c r="P84" t="s">
        <v>328</v>
      </c>
      <c r="Q84" t="s">
        <v>207</v>
      </c>
    </row>
    <row r="85" spans="1:17" x14ac:dyDescent="0.3">
      <c r="A85" s="25">
        <v>1394</v>
      </c>
      <c r="B85" t="s">
        <v>210</v>
      </c>
      <c r="C85" t="s">
        <v>38</v>
      </c>
      <c r="D85" t="s">
        <v>523</v>
      </c>
      <c r="E85" s="121">
        <v>8212</v>
      </c>
      <c r="F85" s="13">
        <v>45654</v>
      </c>
      <c r="G85" s="24">
        <v>283355.11</v>
      </c>
      <c r="H85" s="24">
        <v>264086.96000000002</v>
      </c>
      <c r="I85" s="3">
        <v>45700</v>
      </c>
      <c r="J85" s="102">
        <v>45712</v>
      </c>
      <c r="K85" s="29">
        <v>45715</v>
      </c>
      <c r="L85" s="22" t="s">
        <v>731</v>
      </c>
      <c r="M85" s="36">
        <v>0</v>
      </c>
      <c r="N85" s="26"/>
      <c r="O85" t="s">
        <v>202</v>
      </c>
      <c r="P85" t="s">
        <v>340</v>
      </c>
      <c r="Q85" t="s">
        <v>213</v>
      </c>
    </row>
    <row r="86" spans="1:17" x14ac:dyDescent="0.3">
      <c r="A86" s="25">
        <v>1394</v>
      </c>
      <c r="B86" t="s">
        <v>210</v>
      </c>
      <c r="C86" t="s">
        <v>38</v>
      </c>
      <c r="D86" t="s">
        <v>523</v>
      </c>
      <c r="E86" s="121">
        <v>8242</v>
      </c>
      <c r="F86" s="13">
        <v>45654</v>
      </c>
      <c r="G86" s="24">
        <v>215731.29</v>
      </c>
      <c r="H86" s="24">
        <v>201061.56</v>
      </c>
      <c r="I86" s="3">
        <v>45727</v>
      </c>
      <c r="J86" s="102">
        <v>45740</v>
      </c>
      <c r="K86" s="29">
        <v>45741</v>
      </c>
      <c r="L86" s="22" t="s">
        <v>731</v>
      </c>
      <c r="M86" s="36">
        <v>0</v>
      </c>
      <c r="N86" s="26"/>
      <c r="O86" t="s">
        <v>202</v>
      </c>
      <c r="P86" t="s">
        <v>340</v>
      </c>
      <c r="Q86" t="s">
        <v>213</v>
      </c>
    </row>
    <row r="87" spans="1:17" x14ac:dyDescent="0.3">
      <c r="A87" s="25">
        <v>1470</v>
      </c>
      <c r="B87" t="s">
        <v>212</v>
      </c>
      <c r="C87" t="s">
        <v>175</v>
      </c>
      <c r="D87" t="s">
        <v>620</v>
      </c>
      <c r="E87" s="121">
        <v>8169</v>
      </c>
      <c r="F87" s="13">
        <v>45654</v>
      </c>
      <c r="G87" s="24">
        <v>36700</v>
      </c>
      <c r="H87" s="24">
        <v>33708.949999999997</v>
      </c>
      <c r="I87" s="3">
        <v>45663</v>
      </c>
      <c r="J87" s="102">
        <v>45670</v>
      </c>
      <c r="K87" s="12">
        <v>45672</v>
      </c>
      <c r="L87" s="19" t="s">
        <v>731</v>
      </c>
      <c r="M87" s="36">
        <v>0</v>
      </c>
      <c r="N87" s="26"/>
      <c r="O87" t="s">
        <v>202</v>
      </c>
      <c r="P87" t="s">
        <v>328</v>
      </c>
      <c r="Q87" t="s">
        <v>213</v>
      </c>
    </row>
    <row r="88" spans="1:17" x14ac:dyDescent="0.3">
      <c r="A88" s="25">
        <v>1287</v>
      </c>
      <c r="B88" t="s">
        <v>204</v>
      </c>
      <c r="C88" t="s">
        <v>39</v>
      </c>
      <c r="D88" t="s">
        <v>406</v>
      </c>
      <c r="E88" s="121">
        <v>1212</v>
      </c>
      <c r="F88" s="53">
        <v>45654</v>
      </c>
      <c r="G88" s="24">
        <v>321048.58</v>
      </c>
      <c r="H88" s="24">
        <v>287980.58</v>
      </c>
      <c r="I88" s="3">
        <v>45691</v>
      </c>
      <c r="J88" s="102">
        <v>45705</v>
      </c>
      <c r="K88" s="12">
        <v>45708</v>
      </c>
      <c r="L88" s="19" t="s">
        <v>731</v>
      </c>
      <c r="M88" s="36">
        <v>0</v>
      </c>
      <c r="N88" s="26"/>
      <c r="O88" t="s">
        <v>199</v>
      </c>
      <c r="P88" t="s">
        <v>340</v>
      </c>
      <c r="Q88" t="s">
        <v>217</v>
      </c>
    </row>
    <row r="89" spans="1:17" x14ac:dyDescent="0.3">
      <c r="A89" s="25">
        <v>1287</v>
      </c>
      <c r="B89" t="s">
        <v>204</v>
      </c>
      <c r="C89" t="s">
        <v>39</v>
      </c>
      <c r="D89" t="s">
        <v>406</v>
      </c>
      <c r="E89" s="121">
        <v>1233</v>
      </c>
      <c r="F89" s="13">
        <v>45654</v>
      </c>
      <c r="G89" s="24">
        <v>139670.10999999999</v>
      </c>
      <c r="H89" s="24">
        <v>125284.09</v>
      </c>
      <c r="I89" s="3">
        <v>45734</v>
      </c>
      <c r="J89" s="102">
        <v>45748</v>
      </c>
      <c r="K89" s="12">
        <v>45751</v>
      </c>
      <c r="L89" s="19" t="s">
        <v>731</v>
      </c>
      <c r="M89" s="36">
        <v>0</v>
      </c>
      <c r="N89" s="26"/>
      <c r="O89" t="s">
        <v>199</v>
      </c>
      <c r="P89" t="s">
        <v>340</v>
      </c>
      <c r="Q89" t="s">
        <v>217</v>
      </c>
    </row>
    <row r="90" spans="1:17" x14ac:dyDescent="0.3">
      <c r="A90" s="25">
        <v>1273</v>
      </c>
      <c r="B90" t="s">
        <v>204</v>
      </c>
      <c r="C90" t="s">
        <v>39</v>
      </c>
      <c r="D90" t="s">
        <v>389</v>
      </c>
      <c r="E90" s="121">
        <v>1215</v>
      </c>
      <c r="F90" s="53">
        <v>45654</v>
      </c>
      <c r="G90" s="2">
        <v>568045.4</v>
      </c>
      <c r="H90" s="24">
        <v>509536.72</v>
      </c>
      <c r="I90" s="3">
        <v>45693</v>
      </c>
      <c r="J90" s="102">
        <v>45705</v>
      </c>
      <c r="K90" s="12">
        <v>45708</v>
      </c>
      <c r="L90" s="19" t="s">
        <v>731</v>
      </c>
      <c r="M90" s="36">
        <v>0</v>
      </c>
      <c r="N90"/>
      <c r="O90" t="s">
        <v>202</v>
      </c>
      <c r="P90" t="s">
        <v>340</v>
      </c>
      <c r="Q90" t="s">
        <v>217</v>
      </c>
    </row>
    <row r="91" spans="1:17" x14ac:dyDescent="0.3">
      <c r="A91" s="9">
        <v>1277</v>
      </c>
      <c r="B91" t="s">
        <v>204</v>
      </c>
      <c r="C91" t="s">
        <v>39</v>
      </c>
      <c r="D91" t="s">
        <v>393</v>
      </c>
      <c r="E91" s="121">
        <v>1218</v>
      </c>
      <c r="F91" s="13">
        <v>45654</v>
      </c>
      <c r="G91" s="24">
        <v>154365.24</v>
      </c>
      <c r="H91" s="11">
        <v>138465.63</v>
      </c>
      <c r="I91" s="3">
        <v>45700</v>
      </c>
      <c r="J91" s="102">
        <v>45726</v>
      </c>
      <c r="K91" s="12">
        <v>45726</v>
      </c>
      <c r="L91" s="19" t="s">
        <v>731</v>
      </c>
      <c r="M91" s="35">
        <v>0</v>
      </c>
      <c r="N91"/>
      <c r="O91" t="s">
        <v>202</v>
      </c>
      <c r="P91" t="s">
        <v>340</v>
      </c>
      <c r="Q91" t="s">
        <v>217</v>
      </c>
    </row>
    <row r="92" spans="1:17" x14ac:dyDescent="0.3">
      <c r="A92" s="25">
        <v>1268</v>
      </c>
      <c r="B92" t="s">
        <v>193</v>
      </c>
      <c r="C92" t="s">
        <v>141</v>
      </c>
      <c r="D92" t="s">
        <v>383</v>
      </c>
      <c r="E92" s="121">
        <v>3821</v>
      </c>
      <c r="F92" s="52">
        <v>45654</v>
      </c>
      <c r="G92" s="24">
        <v>1163985.01</v>
      </c>
      <c r="H92" s="24">
        <v>1092399.93</v>
      </c>
      <c r="I92" s="3">
        <v>45702</v>
      </c>
      <c r="J92" s="102">
        <v>45712</v>
      </c>
      <c r="K92" s="12">
        <v>45715</v>
      </c>
      <c r="L92" s="19" t="s">
        <v>731</v>
      </c>
      <c r="M92" s="36">
        <v>0</v>
      </c>
      <c r="N92"/>
      <c r="O92" t="s">
        <v>199</v>
      </c>
      <c r="P92" t="s">
        <v>376</v>
      </c>
      <c r="Q92" t="s">
        <v>207</v>
      </c>
    </row>
    <row r="93" spans="1:17" x14ac:dyDescent="0.3">
      <c r="A93" s="25">
        <v>1268</v>
      </c>
      <c r="B93" t="s">
        <v>193</v>
      </c>
      <c r="C93" t="s">
        <v>141</v>
      </c>
      <c r="D93" t="s">
        <v>383</v>
      </c>
      <c r="E93" s="121">
        <v>3820</v>
      </c>
      <c r="F93" s="52">
        <v>45654</v>
      </c>
      <c r="G93" s="24">
        <v>160251.95000000001</v>
      </c>
      <c r="H93" s="24">
        <v>150396.45000000001</v>
      </c>
      <c r="I93" s="3">
        <v>45702</v>
      </c>
      <c r="J93" s="102">
        <v>45712</v>
      </c>
      <c r="K93" s="12">
        <v>45715</v>
      </c>
      <c r="L93" s="19" t="s">
        <v>731</v>
      </c>
      <c r="M93" s="36">
        <v>0</v>
      </c>
      <c r="N93"/>
      <c r="O93" t="s">
        <v>199</v>
      </c>
      <c r="P93" t="s">
        <v>376</v>
      </c>
      <c r="Q93" t="s">
        <v>207</v>
      </c>
    </row>
    <row r="94" spans="1:17" x14ac:dyDescent="0.3">
      <c r="A94" s="25">
        <v>1268</v>
      </c>
      <c r="B94" t="s">
        <v>193</v>
      </c>
      <c r="C94" t="s">
        <v>141</v>
      </c>
      <c r="D94" t="s">
        <v>383</v>
      </c>
      <c r="E94" s="121">
        <v>3819</v>
      </c>
      <c r="F94" s="52">
        <v>45654</v>
      </c>
      <c r="G94" s="24">
        <v>59011.6</v>
      </c>
      <c r="H94" s="24">
        <v>55382.400000000001</v>
      </c>
      <c r="I94" s="3">
        <v>45702</v>
      </c>
      <c r="J94" s="102">
        <v>45712</v>
      </c>
      <c r="K94" s="12">
        <v>45715</v>
      </c>
      <c r="L94" s="19" t="s">
        <v>731</v>
      </c>
      <c r="M94" s="36">
        <v>0</v>
      </c>
      <c r="N94"/>
      <c r="O94" t="s">
        <v>199</v>
      </c>
      <c r="P94" t="s">
        <v>376</v>
      </c>
      <c r="Q94" t="s">
        <v>207</v>
      </c>
    </row>
    <row r="95" spans="1:17" x14ac:dyDescent="0.3">
      <c r="A95" s="25">
        <v>1268</v>
      </c>
      <c r="B95" t="s">
        <v>193</v>
      </c>
      <c r="C95" t="s">
        <v>141</v>
      </c>
      <c r="D95" t="s">
        <v>383</v>
      </c>
      <c r="E95" s="121">
        <v>3804</v>
      </c>
      <c r="F95" s="10">
        <v>45654</v>
      </c>
      <c r="G95" s="24">
        <v>82737</v>
      </c>
      <c r="H95" s="24">
        <v>77648.67</v>
      </c>
      <c r="I95" s="3">
        <v>45695</v>
      </c>
      <c r="J95" s="102">
        <v>45719</v>
      </c>
      <c r="K95" s="12">
        <v>45721</v>
      </c>
      <c r="L95" s="19" t="s">
        <v>731</v>
      </c>
      <c r="M95" s="36">
        <v>0</v>
      </c>
      <c r="N95"/>
      <c r="O95" t="s">
        <v>199</v>
      </c>
      <c r="P95" t="s">
        <v>376</v>
      </c>
      <c r="Q95" t="s">
        <v>207</v>
      </c>
    </row>
    <row r="96" spans="1:17" x14ac:dyDescent="0.3">
      <c r="A96" s="25">
        <v>1268</v>
      </c>
      <c r="B96" t="s">
        <v>193</v>
      </c>
      <c r="C96" t="s">
        <v>141</v>
      </c>
      <c r="D96" t="s">
        <v>383</v>
      </c>
      <c r="E96" s="121">
        <v>3803</v>
      </c>
      <c r="F96" s="10">
        <v>45654</v>
      </c>
      <c r="G96" s="24">
        <v>82737</v>
      </c>
      <c r="H96" s="24">
        <v>77648.67</v>
      </c>
      <c r="I96" s="3">
        <v>45695</v>
      </c>
      <c r="J96" s="102">
        <v>45719</v>
      </c>
      <c r="K96" s="12">
        <v>45721</v>
      </c>
      <c r="L96" s="19" t="s">
        <v>731</v>
      </c>
      <c r="M96" s="36">
        <v>0</v>
      </c>
      <c r="N96"/>
      <c r="O96" t="s">
        <v>199</v>
      </c>
      <c r="P96" t="s">
        <v>376</v>
      </c>
      <c r="Q96" t="s">
        <v>207</v>
      </c>
    </row>
    <row r="97" spans="1:17" x14ac:dyDescent="0.3">
      <c r="A97" s="25">
        <v>1268</v>
      </c>
      <c r="B97" t="s">
        <v>193</v>
      </c>
      <c r="C97" t="s">
        <v>141</v>
      </c>
      <c r="D97" t="s">
        <v>383</v>
      </c>
      <c r="E97" s="121">
        <v>3897</v>
      </c>
      <c r="F97" s="52">
        <v>45654</v>
      </c>
      <c r="G97" s="24">
        <v>54118.28</v>
      </c>
      <c r="H97" s="24">
        <v>50790.01</v>
      </c>
      <c r="I97" s="3">
        <v>45733</v>
      </c>
      <c r="J97" s="102">
        <v>45740</v>
      </c>
      <c r="K97" s="12">
        <v>45744</v>
      </c>
      <c r="L97" s="19" t="s">
        <v>731</v>
      </c>
      <c r="M97" s="36">
        <v>0</v>
      </c>
      <c r="N97"/>
      <c r="O97" t="s">
        <v>199</v>
      </c>
      <c r="P97" t="s">
        <v>376</v>
      </c>
      <c r="Q97" t="s">
        <v>207</v>
      </c>
    </row>
    <row r="98" spans="1:17" x14ac:dyDescent="0.3">
      <c r="A98" s="25">
        <v>1268</v>
      </c>
      <c r="B98" t="s">
        <v>193</v>
      </c>
      <c r="C98" t="s">
        <v>141</v>
      </c>
      <c r="D98" t="s">
        <v>383</v>
      </c>
      <c r="E98" s="121">
        <v>3898</v>
      </c>
      <c r="F98" s="52">
        <v>45654</v>
      </c>
      <c r="G98" s="24">
        <v>160658.32999999999</v>
      </c>
      <c r="H98" s="24">
        <v>150777.85</v>
      </c>
      <c r="I98" s="3">
        <v>45733</v>
      </c>
      <c r="J98" s="102">
        <v>45740</v>
      </c>
      <c r="K98" s="12">
        <v>45744</v>
      </c>
      <c r="L98" s="19" t="s">
        <v>731</v>
      </c>
      <c r="M98" s="36">
        <v>0</v>
      </c>
      <c r="N98"/>
      <c r="O98" t="s">
        <v>199</v>
      </c>
      <c r="P98" t="s">
        <v>376</v>
      </c>
      <c r="Q98" t="s">
        <v>207</v>
      </c>
    </row>
    <row r="99" spans="1:17" x14ac:dyDescent="0.3">
      <c r="A99" s="25">
        <v>1268</v>
      </c>
      <c r="B99" t="s">
        <v>193</v>
      </c>
      <c r="C99" t="s">
        <v>141</v>
      </c>
      <c r="D99" t="s">
        <v>383</v>
      </c>
      <c r="E99" s="121">
        <v>3899</v>
      </c>
      <c r="F99" s="52">
        <v>45654</v>
      </c>
      <c r="G99" s="24">
        <v>1143238.8</v>
      </c>
      <c r="H99" s="24">
        <v>1072929.6200000001</v>
      </c>
      <c r="I99" s="3">
        <v>45733</v>
      </c>
      <c r="J99" s="102">
        <v>45740</v>
      </c>
      <c r="K99" s="12">
        <v>45744</v>
      </c>
      <c r="L99" s="19" t="s">
        <v>731</v>
      </c>
      <c r="M99" s="36">
        <v>0</v>
      </c>
      <c r="N99"/>
      <c r="O99" t="s">
        <v>199</v>
      </c>
      <c r="P99" t="s">
        <v>376</v>
      </c>
      <c r="Q99" t="s">
        <v>207</v>
      </c>
    </row>
    <row r="100" spans="1:17" x14ac:dyDescent="0.3">
      <c r="A100" s="25">
        <v>1268</v>
      </c>
      <c r="B100" t="s">
        <v>193</v>
      </c>
      <c r="C100" t="s">
        <v>141</v>
      </c>
      <c r="D100" t="s">
        <v>383</v>
      </c>
      <c r="E100" s="121">
        <v>3877</v>
      </c>
      <c r="F100" s="52">
        <v>45654</v>
      </c>
      <c r="G100" s="24">
        <v>82737</v>
      </c>
      <c r="H100" s="24">
        <v>77648.679999999993</v>
      </c>
      <c r="I100" s="3">
        <v>45727</v>
      </c>
      <c r="J100" s="102">
        <v>45754</v>
      </c>
      <c r="K100" s="12">
        <v>45754</v>
      </c>
      <c r="L100" s="19" t="s">
        <v>731</v>
      </c>
      <c r="M100" s="36">
        <v>0</v>
      </c>
      <c r="N100"/>
      <c r="O100" t="s">
        <v>199</v>
      </c>
      <c r="P100" t="s">
        <v>376</v>
      </c>
      <c r="Q100" t="s">
        <v>207</v>
      </c>
    </row>
    <row r="101" spans="1:17" x14ac:dyDescent="0.3">
      <c r="A101" s="25">
        <v>1268</v>
      </c>
      <c r="B101" t="s">
        <v>193</v>
      </c>
      <c r="C101" t="s">
        <v>141</v>
      </c>
      <c r="D101" t="s">
        <v>383</v>
      </c>
      <c r="E101" s="121">
        <v>3945</v>
      </c>
      <c r="F101" s="10">
        <v>45654</v>
      </c>
      <c r="G101" s="24">
        <v>82737</v>
      </c>
      <c r="H101" s="24">
        <v>77648.679999999993</v>
      </c>
      <c r="I101" s="3">
        <v>45754</v>
      </c>
      <c r="J101" s="102">
        <v>45778</v>
      </c>
      <c r="K101" s="12">
        <v>45779</v>
      </c>
      <c r="L101" s="19" t="s">
        <v>731</v>
      </c>
      <c r="M101" s="36">
        <v>0</v>
      </c>
      <c r="N101"/>
      <c r="O101" t="s">
        <v>199</v>
      </c>
      <c r="P101" t="s">
        <v>376</v>
      </c>
      <c r="Q101" t="s">
        <v>207</v>
      </c>
    </row>
    <row r="102" spans="1:17" x14ac:dyDescent="0.3">
      <c r="A102" s="25">
        <v>1268</v>
      </c>
      <c r="B102" t="s">
        <v>193</v>
      </c>
      <c r="C102" t="s">
        <v>141</v>
      </c>
      <c r="D102" t="s">
        <v>383</v>
      </c>
      <c r="E102" s="121">
        <v>3968</v>
      </c>
      <c r="F102" s="10">
        <v>45654</v>
      </c>
      <c r="G102" s="24">
        <v>1102702.92</v>
      </c>
      <c r="H102" s="24">
        <v>1034886.69</v>
      </c>
      <c r="I102" s="3">
        <v>45761</v>
      </c>
      <c r="J102" s="102">
        <v>45775</v>
      </c>
      <c r="K102" s="12">
        <v>45776</v>
      </c>
      <c r="L102" s="19" t="s">
        <v>731</v>
      </c>
      <c r="M102" s="36">
        <v>0</v>
      </c>
      <c r="N102"/>
      <c r="O102" t="s">
        <v>199</v>
      </c>
      <c r="P102" t="s">
        <v>376</v>
      </c>
      <c r="Q102" t="s">
        <v>207</v>
      </c>
    </row>
    <row r="103" spans="1:17" x14ac:dyDescent="0.3">
      <c r="A103" s="25">
        <v>1268</v>
      </c>
      <c r="B103" t="s">
        <v>193</v>
      </c>
      <c r="C103" t="s">
        <v>141</v>
      </c>
      <c r="D103" t="s">
        <v>383</v>
      </c>
      <c r="E103" s="121">
        <v>3967</v>
      </c>
      <c r="F103" s="10">
        <v>45654</v>
      </c>
      <c r="G103" s="24">
        <v>84432.52</v>
      </c>
      <c r="H103" s="24">
        <v>79239.929999999993</v>
      </c>
      <c r="I103" s="3">
        <v>45761</v>
      </c>
      <c r="J103" s="102">
        <v>45775</v>
      </c>
      <c r="K103" s="12">
        <v>45776</v>
      </c>
      <c r="L103" s="19" t="s">
        <v>731</v>
      </c>
      <c r="M103" s="36">
        <v>0</v>
      </c>
      <c r="N103"/>
      <c r="O103" t="s">
        <v>199</v>
      </c>
      <c r="P103" t="s">
        <v>376</v>
      </c>
      <c r="Q103" t="s">
        <v>207</v>
      </c>
    </row>
    <row r="104" spans="1:17" x14ac:dyDescent="0.3">
      <c r="A104" s="25">
        <v>1268</v>
      </c>
      <c r="B104" t="s">
        <v>193</v>
      </c>
      <c r="C104" t="s">
        <v>141</v>
      </c>
      <c r="D104" t="s">
        <v>383</v>
      </c>
      <c r="E104" s="121">
        <v>3966</v>
      </c>
      <c r="F104" s="10">
        <v>45654</v>
      </c>
      <c r="G104" s="24">
        <v>113941.07</v>
      </c>
      <c r="H104" s="24">
        <v>106933.69</v>
      </c>
      <c r="I104" s="3">
        <v>45761</v>
      </c>
      <c r="J104" s="102">
        <v>45775</v>
      </c>
      <c r="K104" s="12">
        <v>45776</v>
      </c>
      <c r="L104" s="19" t="s">
        <v>731</v>
      </c>
      <c r="M104" s="36">
        <v>0</v>
      </c>
      <c r="N104"/>
      <c r="O104" t="s">
        <v>199</v>
      </c>
      <c r="P104" t="s">
        <v>376</v>
      </c>
      <c r="Q104" t="s">
        <v>207</v>
      </c>
    </row>
    <row r="105" spans="1:17" x14ac:dyDescent="0.3">
      <c r="A105" s="25">
        <v>1483</v>
      </c>
      <c r="B105" t="s">
        <v>212</v>
      </c>
      <c r="C105" t="s">
        <v>178</v>
      </c>
      <c r="D105" t="s">
        <v>633</v>
      </c>
      <c r="E105" s="121">
        <v>8194</v>
      </c>
      <c r="F105" s="13">
        <v>45654</v>
      </c>
      <c r="G105" s="24">
        <v>53591.199999999997</v>
      </c>
      <c r="H105" s="24">
        <v>50295.34</v>
      </c>
      <c r="I105" s="3">
        <v>45686</v>
      </c>
      <c r="J105" s="102">
        <v>45719</v>
      </c>
      <c r="K105" s="12">
        <v>45722</v>
      </c>
      <c r="L105" s="19" t="s">
        <v>731</v>
      </c>
      <c r="M105" s="36">
        <v>0</v>
      </c>
      <c r="N105" s="26"/>
      <c r="O105" t="s">
        <v>202</v>
      </c>
      <c r="P105" t="s">
        <v>328</v>
      </c>
      <c r="Q105" t="s">
        <v>207</v>
      </c>
    </row>
    <row r="106" spans="1:17" x14ac:dyDescent="0.3">
      <c r="A106" s="25">
        <v>1483</v>
      </c>
      <c r="B106" t="s">
        <v>212</v>
      </c>
      <c r="C106" t="s">
        <v>178</v>
      </c>
      <c r="D106" t="s">
        <v>633</v>
      </c>
      <c r="E106" s="121">
        <v>8195</v>
      </c>
      <c r="F106" s="13">
        <v>45654</v>
      </c>
      <c r="G106" s="24">
        <v>28856.799999999999</v>
      </c>
      <c r="H106" s="24">
        <v>26062.11</v>
      </c>
      <c r="I106" s="3">
        <v>45686</v>
      </c>
      <c r="J106" s="102">
        <v>45719</v>
      </c>
      <c r="K106" s="12">
        <v>45722</v>
      </c>
      <c r="L106" s="19" t="s">
        <v>731</v>
      </c>
      <c r="M106" s="36">
        <v>0</v>
      </c>
      <c r="N106" s="26"/>
      <c r="O106" t="s">
        <v>202</v>
      </c>
      <c r="P106" t="s">
        <v>328</v>
      </c>
      <c r="Q106" t="s">
        <v>207</v>
      </c>
    </row>
    <row r="107" spans="1:17" x14ac:dyDescent="0.3">
      <c r="A107" s="25">
        <v>1455</v>
      </c>
      <c r="B107" t="s">
        <v>215</v>
      </c>
      <c r="C107" t="s">
        <v>60</v>
      </c>
      <c r="D107" t="s">
        <v>600</v>
      </c>
      <c r="E107" s="121">
        <v>1213</v>
      </c>
      <c r="F107" s="13">
        <v>45686</v>
      </c>
      <c r="G107" s="24">
        <v>54003.39</v>
      </c>
      <c r="H107" s="24">
        <v>47712</v>
      </c>
      <c r="I107" s="3">
        <v>45691</v>
      </c>
      <c r="J107" s="102">
        <v>45712</v>
      </c>
      <c r="K107" s="12">
        <v>45716</v>
      </c>
      <c r="L107" s="22" t="s">
        <v>731</v>
      </c>
      <c r="M107" s="42"/>
      <c r="N107" s="26"/>
      <c r="O107" t="s">
        <v>202</v>
      </c>
      <c r="P107" t="s">
        <v>373</v>
      </c>
      <c r="Q107" t="s">
        <v>213</v>
      </c>
    </row>
    <row r="108" spans="1:17" x14ac:dyDescent="0.3">
      <c r="A108" s="25">
        <v>1478</v>
      </c>
      <c r="B108" t="s">
        <v>71</v>
      </c>
      <c r="C108" t="s">
        <v>198</v>
      </c>
      <c r="D108" t="s">
        <v>628</v>
      </c>
      <c r="E108" s="121">
        <v>8240</v>
      </c>
      <c r="F108" s="13">
        <v>45686</v>
      </c>
      <c r="G108" s="24">
        <v>76256.009999999995</v>
      </c>
      <c r="H108" s="24">
        <v>71566.27</v>
      </c>
      <c r="I108" s="3">
        <v>45726</v>
      </c>
      <c r="J108" s="102">
        <v>45740</v>
      </c>
      <c r="K108" s="12">
        <v>45744</v>
      </c>
      <c r="L108" s="19" t="s">
        <v>731</v>
      </c>
      <c r="M108" s="36"/>
      <c r="N108"/>
      <c r="O108" t="s">
        <v>199</v>
      </c>
      <c r="P108" t="s">
        <v>376</v>
      </c>
      <c r="Q108" t="s">
        <v>203</v>
      </c>
    </row>
    <row r="109" spans="1:17" x14ac:dyDescent="0.3">
      <c r="A109" s="9">
        <v>1391</v>
      </c>
      <c r="B109" t="s">
        <v>71</v>
      </c>
      <c r="C109" t="s">
        <v>196</v>
      </c>
      <c r="D109" t="s">
        <v>520</v>
      </c>
      <c r="E109" s="121">
        <v>3797</v>
      </c>
      <c r="F109" s="13">
        <v>45686</v>
      </c>
      <c r="G109" s="28">
        <v>4941.09</v>
      </c>
      <c r="H109" s="28">
        <v>4637.21</v>
      </c>
      <c r="I109" s="3">
        <v>45694</v>
      </c>
      <c r="J109" s="102">
        <v>45705</v>
      </c>
      <c r="K109" s="12">
        <v>45709</v>
      </c>
      <c r="L109" s="1" t="s">
        <v>731</v>
      </c>
      <c r="M109" s="38"/>
      <c r="N109" s="15"/>
      <c r="O109" t="s">
        <v>199</v>
      </c>
      <c r="P109" t="s">
        <v>376</v>
      </c>
      <c r="Q109" t="s">
        <v>203</v>
      </c>
    </row>
    <row r="110" spans="1:17" x14ac:dyDescent="0.3">
      <c r="A110" s="9">
        <v>1391</v>
      </c>
      <c r="B110" t="s">
        <v>71</v>
      </c>
      <c r="C110" t="s">
        <v>196</v>
      </c>
      <c r="D110" t="s">
        <v>520</v>
      </c>
      <c r="E110" s="121">
        <v>3802</v>
      </c>
      <c r="F110" s="13">
        <v>45686</v>
      </c>
      <c r="G110" s="28">
        <v>108495.78</v>
      </c>
      <c r="H110" s="40">
        <v>101823.29</v>
      </c>
      <c r="I110" s="3">
        <v>45695</v>
      </c>
      <c r="J110" s="102">
        <v>45712</v>
      </c>
      <c r="K110" s="12">
        <v>45712</v>
      </c>
      <c r="L110" s="1" t="s">
        <v>731</v>
      </c>
      <c r="M110" s="38"/>
      <c r="N110" s="15"/>
      <c r="O110" t="s">
        <v>199</v>
      </c>
      <c r="P110" t="s">
        <v>376</v>
      </c>
      <c r="Q110" t="s">
        <v>203</v>
      </c>
    </row>
    <row r="111" spans="1:17" x14ac:dyDescent="0.3">
      <c r="A111" s="9">
        <v>1391</v>
      </c>
      <c r="B111" t="s">
        <v>71</v>
      </c>
      <c r="C111" t="s">
        <v>196</v>
      </c>
      <c r="D111" t="s">
        <v>520</v>
      </c>
      <c r="E111" s="121">
        <v>3801</v>
      </c>
      <c r="F111" s="13">
        <v>45686</v>
      </c>
      <c r="G111" s="28">
        <v>235007.19</v>
      </c>
      <c r="H111" s="40">
        <v>220554.25</v>
      </c>
      <c r="I111" s="3">
        <v>45695</v>
      </c>
      <c r="J111" s="102">
        <v>45712</v>
      </c>
      <c r="K111" s="12">
        <v>45712</v>
      </c>
      <c r="L111" s="1" t="s">
        <v>731</v>
      </c>
      <c r="M111" s="38"/>
      <c r="N111" s="15"/>
      <c r="O111" t="s">
        <v>199</v>
      </c>
      <c r="P111" t="s">
        <v>376</v>
      </c>
      <c r="Q111" t="s">
        <v>203</v>
      </c>
    </row>
    <row r="112" spans="1:17" x14ac:dyDescent="0.3">
      <c r="A112" s="9">
        <v>1391</v>
      </c>
      <c r="B112" t="s">
        <v>71</v>
      </c>
      <c r="C112" t="s">
        <v>196</v>
      </c>
      <c r="D112" t="s">
        <v>520</v>
      </c>
      <c r="E112" s="121">
        <v>3800</v>
      </c>
      <c r="F112" s="13">
        <v>45686</v>
      </c>
      <c r="G112" s="28">
        <v>169277.18</v>
      </c>
      <c r="H112" s="40">
        <v>158866.63</v>
      </c>
      <c r="I112" s="3">
        <v>45695</v>
      </c>
      <c r="J112" s="102">
        <v>45712</v>
      </c>
      <c r="K112" s="12">
        <v>45712</v>
      </c>
      <c r="L112" s="1" t="s">
        <v>731</v>
      </c>
      <c r="M112" s="38"/>
      <c r="N112" s="15"/>
      <c r="O112" t="s">
        <v>199</v>
      </c>
      <c r="P112" t="s">
        <v>376</v>
      </c>
      <c r="Q112" t="s">
        <v>203</v>
      </c>
    </row>
    <row r="113" spans="1:17" x14ac:dyDescent="0.3">
      <c r="A113" s="9">
        <v>1391</v>
      </c>
      <c r="B113" t="s">
        <v>71</v>
      </c>
      <c r="C113" t="s">
        <v>196</v>
      </c>
      <c r="D113" t="s">
        <v>520</v>
      </c>
      <c r="E113" s="121">
        <v>3799</v>
      </c>
      <c r="F113" s="13">
        <v>45686</v>
      </c>
      <c r="G113" s="28">
        <v>47044.800000000003</v>
      </c>
      <c r="H113" s="40">
        <v>44151.55</v>
      </c>
      <c r="I113" s="3">
        <v>45695</v>
      </c>
      <c r="J113" s="102">
        <v>45712</v>
      </c>
      <c r="K113" s="12">
        <v>45712</v>
      </c>
      <c r="L113" s="1" t="s">
        <v>731</v>
      </c>
      <c r="M113" s="38"/>
      <c r="N113" s="15"/>
      <c r="O113" t="s">
        <v>199</v>
      </c>
      <c r="P113" t="s">
        <v>376</v>
      </c>
      <c r="Q113" t="s">
        <v>203</v>
      </c>
    </row>
    <row r="114" spans="1:17" x14ac:dyDescent="0.3">
      <c r="A114" s="9">
        <v>1391</v>
      </c>
      <c r="B114" t="s">
        <v>71</v>
      </c>
      <c r="C114" t="s">
        <v>196</v>
      </c>
      <c r="D114" t="s">
        <v>520</v>
      </c>
      <c r="E114" s="121">
        <v>3798</v>
      </c>
      <c r="F114" s="13">
        <v>45686</v>
      </c>
      <c r="G114" s="28">
        <v>170427.66</v>
      </c>
      <c r="H114" s="40">
        <v>159946.35999999999</v>
      </c>
      <c r="I114" s="3">
        <v>45695</v>
      </c>
      <c r="J114" s="102">
        <v>45712</v>
      </c>
      <c r="K114" s="12">
        <v>45712</v>
      </c>
      <c r="L114" s="1" t="s">
        <v>731</v>
      </c>
      <c r="M114" s="38"/>
      <c r="N114" s="15"/>
      <c r="O114" t="s">
        <v>199</v>
      </c>
      <c r="P114" t="s">
        <v>376</v>
      </c>
      <c r="Q114" t="s">
        <v>203</v>
      </c>
    </row>
    <row r="115" spans="1:17" x14ac:dyDescent="0.3">
      <c r="A115" s="9">
        <v>1391</v>
      </c>
      <c r="B115" t="s">
        <v>71</v>
      </c>
      <c r="C115" t="s">
        <v>196</v>
      </c>
      <c r="D115" t="s">
        <v>520</v>
      </c>
      <c r="E115" s="121">
        <v>3808</v>
      </c>
      <c r="F115" s="13">
        <v>45686</v>
      </c>
      <c r="G115" s="28">
        <v>7328.4</v>
      </c>
      <c r="H115" s="28">
        <v>6877.7</v>
      </c>
      <c r="I115" s="3">
        <v>45700</v>
      </c>
      <c r="J115" s="102">
        <v>45712</v>
      </c>
      <c r="K115" s="12">
        <v>45715</v>
      </c>
      <c r="L115" s="1" t="s">
        <v>731</v>
      </c>
      <c r="M115" s="38"/>
      <c r="N115" s="15"/>
      <c r="O115" t="s">
        <v>199</v>
      </c>
      <c r="P115" t="s">
        <v>376</v>
      </c>
      <c r="Q115" t="s">
        <v>203</v>
      </c>
    </row>
    <row r="116" spans="1:17" x14ac:dyDescent="0.3">
      <c r="A116" s="25">
        <v>1294</v>
      </c>
      <c r="B116" t="s">
        <v>71</v>
      </c>
      <c r="C116" t="s">
        <v>196</v>
      </c>
      <c r="D116" t="s">
        <v>413</v>
      </c>
      <c r="E116" s="121">
        <v>3739</v>
      </c>
      <c r="F116" s="13">
        <v>45686</v>
      </c>
      <c r="G116" s="28">
        <v>3177.53</v>
      </c>
      <c r="H116" s="28">
        <v>2982.11</v>
      </c>
      <c r="I116" s="3">
        <v>45665</v>
      </c>
      <c r="J116" s="102">
        <v>45677</v>
      </c>
      <c r="K116" s="12">
        <v>45680</v>
      </c>
      <c r="L116" s="1" t="s">
        <v>731</v>
      </c>
      <c r="M116" s="36">
        <v>0</v>
      </c>
      <c r="N116"/>
      <c r="O116" t="s">
        <v>199</v>
      </c>
      <c r="P116" t="s">
        <v>376</v>
      </c>
      <c r="Q116" t="s">
        <v>203</v>
      </c>
    </row>
    <row r="117" spans="1:17" x14ac:dyDescent="0.3">
      <c r="A117" s="25">
        <v>1294</v>
      </c>
      <c r="B117" t="s">
        <v>71</v>
      </c>
      <c r="C117" t="s">
        <v>196</v>
      </c>
      <c r="D117" t="s">
        <v>413</v>
      </c>
      <c r="E117" s="121">
        <v>3805</v>
      </c>
      <c r="F117" s="13">
        <v>45686</v>
      </c>
      <c r="G117" s="28">
        <v>175329</v>
      </c>
      <c r="H117" s="40">
        <v>164546.26</v>
      </c>
      <c r="I117" s="3">
        <v>45698</v>
      </c>
      <c r="J117" s="102">
        <v>45712</v>
      </c>
      <c r="K117" s="12">
        <v>45712</v>
      </c>
      <c r="L117" s="1" t="s">
        <v>731</v>
      </c>
      <c r="M117" s="36">
        <v>0</v>
      </c>
      <c r="N117"/>
      <c r="O117" t="s">
        <v>199</v>
      </c>
      <c r="P117" t="s">
        <v>376</v>
      </c>
      <c r="Q117" t="s">
        <v>203</v>
      </c>
    </row>
    <row r="118" spans="1:17" x14ac:dyDescent="0.3">
      <c r="A118" s="25">
        <v>1294</v>
      </c>
      <c r="B118" t="s">
        <v>71</v>
      </c>
      <c r="C118" t="s">
        <v>196</v>
      </c>
      <c r="D118" t="s">
        <v>413</v>
      </c>
      <c r="E118" s="121">
        <v>3807</v>
      </c>
      <c r="F118" s="13">
        <v>45686</v>
      </c>
      <c r="G118" s="28">
        <v>1817.87</v>
      </c>
      <c r="H118" s="28">
        <v>1706.07</v>
      </c>
      <c r="I118" s="3">
        <v>45699</v>
      </c>
      <c r="J118" s="102">
        <v>45712</v>
      </c>
      <c r="K118" s="12">
        <v>45714</v>
      </c>
      <c r="L118" s="1" t="s">
        <v>731</v>
      </c>
      <c r="M118" s="36">
        <v>0</v>
      </c>
      <c r="N118"/>
      <c r="O118" t="s">
        <v>199</v>
      </c>
      <c r="P118" t="s">
        <v>376</v>
      </c>
      <c r="Q118" t="s">
        <v>203</v>
      </c>
    </row>
    <row r="119" spans="1:17" x14ac:dyDescent="0.3">
      <c r="A119" s="25">
        <v>1294</v>
      </c>
      <c r="B119" t="s">
        <v>71</v>
      </c>
      <c r="C119" t="s">
        <v>196</v>
      </c>
      <c r="D119" t="s">
        <v>413</v>
      </c>
      <c r="E119" s="121">
        <v>3806</v>
      </c>
      <c r="F119" s="13">
        <v>45686</v>
      </c>
      <c r="G119" s="28">
        <v>39841.279999999999</v>
      </c>
      <c r="H119" s="28">
        <v>37391.040000000001</v>
      </c>
      <c r="I119" s="3">
        <v>45699</v>
      </c>
      <c r="J119" s="102">
        <v>45712</v>
      </c>
      <c r="K119" s="12">
        <v>45714</v>
      </c>
      <c r="L119" s="1" t="s">
        <v>731</v>
      </c>
      <c r="M119" s="36">
        <v>0</v>
      </c>
      <c r="N119"/>
      <c r="O119" t="s">
        <v>199</v>
      </c>
      <c r="P119" t="s">
        <v>376</v>
      </c>
      <c r="Q119" t="s">
        <v>203</v>
      </c>
    </row>
    <row r="120" spans="1:17" x14ac:dyDescent="0.3">
      <c r="A120" s="25">
        <v>1294</v>
      </c>
      <c r="B120" t="s">
        <v>71</v>
      </c>
      <c r="C120" t="s">
        <v>196</v>
      </c>
      <c r="D120" t="s">
        <v>413</v>
      </c>
      <c r="E120" s="121">
        <v>3810</v>
      </c>
      <c r="F120" s="13">
        <v>45686</v>
      </c>
      <c r="G120" s="28">
        <v>191553</v>
      </c>
      <c r="H120" s="28">
        <v>179772.49</v>
      </c>
      <c r="I120" s="3">
        <v>45700</v>
      </c>
      <c r="J120" s="102">
        <v>45712</v>
      </c>
      <c r="K120" s="12">
        <v>45715</v>
      </c>
      <c r="L120" s="1" t="s">
        <v>731</v>
      </c>
      <c r="M120" s="36">
        <v>0</v>
      </c>
      <c r="N120"/>
      <c r="O120" t="s">
        <v>199</v>
      </c>
      <c r="P120" t="s">
        <v>376</v>
      </c>
      <c r="Q120" t="s">
        <v>203</v>
      </c>
    </row>
    <row r="121" spans="1:17" x14ac:dyDescent="0.3">
      <c r="A121" s="25">
        <v>1294</v>
      </c>
      <c r="B121" t="s">
        <v>71</v>
      </c>
      <c r="C121" t="s">
        <v>196</v>
      </c>
      <c r="D121" t="s">
        <v>413</v>
      </c>
      <c r="E121" s="121">
        <v>3809</v>
      </c>
      <c r="F121" s="13">
        <v>45686</v>
      </c>
      <c r="G121" s="28">
        <v>115932.66</v>
      </c>
      <c r="H121" s="28">
        <v>108802.8</v>
      </c>
      <c r="I121" s="3">
        <v>45700</v>
      </c>
      <c r="J121" s="102">
        <v>45712</v>
      </c>
      <c r="K121" s="12">
        <v>45715</v>
      </c>
      <c r="L121" s="1" t="s">
        <v>731</v>
      </c>
      <c r="M121" s="36">
        <v>0</v>
      </c>
      <c r="N121"/>
      <c r="O121" t="s">
        <v>199</v>
      </c>
      <c r="P121" t="s">
        <v>376</v>
      </c>
      <c r="Q121" t="s">
        <v>203</v>
      </c>
    </row>
    <row r="122" spans="1:17" x14ac:dyDescent="0.3">
      <c r="A122" s="25">
        <v>1294</v>
      </c>
      <c r="B122" t="s">
        <v>71</v>
      </c>
      <c r="C122" t="s">
        <v>196</v>
      </c>
      <c r="D122" t="s">
        <v>413</v>
      </c>
      <c r="E122" s="121">
        <v>3817</v>
      </c>
      <c r="F122" s="13">
        <v>45686</v>
      </c>
      <c r="G122" s="28">
        <v>118992</v>
      </c>
      <c r="H122" s="28">
        <v>111673.99</v>
      </c>
      <c r="I122" s="3">
        <v>45701</v>
      </c>
      <c r="J122" s="102">
        <v>45712</v>
      </c>
      <c r="K122" s="12">
        <v>45716</v>
      </c>
      <c r="L122" s="1" t="s">
        <v>731</v>
      </c>
      <c r="M122" s="36">
        <v>0</v>
      </c>
      <c r="N122"/>
      <c r="O122" t="s">
        <v>199</v>
      </c>
      <c r="P122" t="s">
        <v>376</v>
      </c>
      <c r="Q122" t="s">
        <v>203</v>
      </c>
    </row>
    <row r="123" spans="1:17" x14ac:dyDescent="0.3">
      <c r="A123" s="25">
        <v>1294</v>
      </c>
      <c r="B123" t="s">
        <v>71</v>
      </c>
      <c r="C123" t="s">
        <v>196</v>
      </c>
      <c r="D123" t="s">
        <v>413</v>
      </c>
      <c r="E123" s="121">
        <v>3816</v>
      </c>
      <c r="F123" s="13">
        <v>45686</v>
      </c>
      <c r="G123" s="28">
        <v>41842.06</v>
      </c>
      <c r="H123" s="28">
        <v>39268.769999999997</v>
      </c>
      <c r="I123" s="3">
        <v>45701</v>
      </c>
      <c r="J123" s="102">
        <v>45712</v>
      </c>
      <c r="K123" s="12">
        <v>45716</v>
      </c>
      <c r="L123" s="1" t="s">
        <v>731</v>
      </c>
      <c r="M123" s="36">
        <v>0</v>
      </c>
      <c r="N123"/>
      <c r="O123" t="s">
        <v>199</v>
      </c>
      <c r="P123" t="s">
        <v>376</v>
      </c>
      <c r="Q123" t="s">
        <v>203</v>
      </c>
    </row>
    <row r="124" spans="1:17" x14ac:dyDescent="0.3">
      <c r="A124" s="25">
        <v>1294</v>
      </c>
      <c r="B124" t="s">
        <v>71</v>
      </c>
      <c r="C124" t="s">
        <v>196</v>
      </c>
      <c r="D124" t="s">
        <v>413</v>
      </c>
      <c r="E124" s="121">
        <v>3813</v>
      </c>
      <c r="F124" s="13">
        <v>45686</v>
      </c>
      <c r="G124" s="28">
        <v>156.41999999999999</v>
      </c>
      <c r="H124" s="28">
        <v>156.41999999999999</v>
      </c>
      <c r="I124" s="3">
        <v>45701</v>
      </c>
      <c r="J124" s="102">
        <v>45712</v>
      </c>
      <c r="K124" s="12">
        <v>45716</v>
      </c>
      <c r="L124" s="1" t="s">
        <v>731</v>
      </c>
      <c r="M124" s="36">
        <v>0</v>
      </c>
      <c r="N124"/>
      <c r="O124" t="s">
        <v>199</v>
      </c>
      <c r="P124" t="s">
        <v>376</v>
      </c>
      <c r="Q124" t="s">
        <v>203</v>
      </c>
    </row>
    <row r="125" spans="1:17" x14ac:dyDescent="0.3">
      <c r="A125" s="25">
        <v>1294</v>
      </c>
      <c r="B125" t="s">
        <v>71</v>
      </c>
      <c r="C125" t="s">
        <v>196</v>
      </c>
      <c r="D125" t="s">
        <v>413</v>
      </c>
      <c r="E125" s="121">
        <v>3812</v>
      </c>
      <c r="F125" s="13">
        <v>45686</v>
      </c>
      <c r="G125" s="28">
        <v>469.26</v>
      </c>
      <c r="H125" s="28">
        <v>447.44</v>
      </c>
      <c r="I125" s="3">
        <v>45701</v>
      </c>
      <c r="J125" s="102">
        <v>45712</v>
      </c>
      <c r="K125" s="12">
        <v>45716</v>
      </c>
      <c r="L125" s="1" t="s">
        <v>731</v>
      </c>
      <c r="M125" s="36">
        <v>0</v>
      </c>
      <c r="N125"/>
      <c r="O125" t="s">
        <v>199</v>
      </c>
      <c r="P125" t="s">
        <v>376</v>
      </c>
      <c r="Q125" t="s">
        <v>203</v>
      </c>
    </row>
    <row r="126" spans="1:17" x14ac:dyDescent="0.3">
      <c r="A126" s="25">
        <v>1294</v>
      </c>
      <c r="B126" t="s">
        <v>71</v>
      </c>
      <c r="C126" t="s">
        <v>196</v>
      </c>
      <c r="D126" t="s">
        <v>413</v>
      </c>
      <c r="E126" s="121">
        <v>3811</v>
      </c>
      <c r="F126" s="13">
        <v>45686</v>
      </c>
      <c r="G126" s="28">
        <v>3041.28</v>
      </c>
      <c r="H126" s="28">
        <v>2854.24</v>
      </c>
      <c r="I126" s="3">
        <v>45701</v>
      </c>
      <c r="J126" s="102">
        <v>45712</v>
      </c>
      <c r="K126" s="12">
        <v>45716</v>
      </c>
      <c r="L126" s="1" t="s">
        <v>731</v>
      </c>
      <c r="M126" s="36">
        <v>0</v>
      </c>
      <c r="N126"/>
      <c r="O126" t="s">
        <v>199</v>
      </c>
      <c r="P126" t="s">
        <v>376</v>
      </c>
      <c r="Q126" t="s">
        <v>203</v>
      </c>
    </row>
    <row r="127" spans="1:17" x14ac:dyDescent="0.3">
      <c r="A127" s="25">
        <v>1294</v>
      </c>
      <c r="B127" t="s">
        <v>71</v>
      </c>
      <c r="C127" t="s">
        <v>196</v>
      </c>
      <c r="D127" t="s">
        <v>413</v>
      </c>
      <c r="E127" s="121">
        <v>3880</v>
      </c>
      <c r="F127" s="13">
        <v>45686</v>
      </c>
      <c r="G127" s="28">
        <v>3018.11</v>
      </c>
      <c r="H127" s="28">
        <v>2832.5</v>
      </c>
      <c r="I127" s="3">
        <v>45727</v>
      </c>
      <c r="J127" s="102">
        <v>45740</v>
      </c>
      <c r="K127" s="12">
        <v>45742</v>
      </c>
      <c r="L127" s="1" t="s">
        <v>731</v>
      </c>
      <c r="M127" s="36">
        <v>0</v>
      </c>
      <c r="N127"/>
      <c r="O127" t="s">
        <v>199</v>
      </c>
      <c r="P127" t="s">
        <v>376</v>
      </c>
      <c r="Q127" t="s">
        <v>203</v>
      </c>
    </row>
    <row r="128" spans="1:17" x14ac:dyDescent="0.3">
      <c r="A128" s="9">
        <v>1474</v>
      </c>
      <c r="B128" t="s">
        <v>71</v>
      </c>
      <c r="C128" t="s">
        <v>196</v>
      </c>
      <c r="D128" t="s">
        <v>624</v>
      </c>
      <c r="E128" s="121">
        <v>3814</v>
      </c>
      <c r="F128" s="13">
        <v>45686</v>
      </c>
      <c r="G128" s="28">
        <v>24716.74</v>
      </c>
      <c r="H128" s="28">
        <v>23196.66</v>
      </c>
      <c r="I128" s="3">
        <v>45701</v>
      </c>
      <c r="J128" s="102">
        <v>45712</v>
      </c>
      <c r="K128" s="12">
        <v>45716</v>
      </c>
      <c r="L128" s="1" t="s">
        <v>731</v>
      </c>
      <c r="M128" s="38"/>
      <c r="N128" s="15"/>
      <c r="O128" t="s">
        <v>202</v>
      </c>
      <c r="P128" t="s">
        <v>376</v>
      </c>
      <c r="Q128" t="s">
        <v>203</v>
      </c>
    </row>
    <row r="129" spans="1:17" x14ac:dyDescent="0.3">
      <c r="A129" s="25">
        <v>1285</v>
      </c>
      <c r="B129" t="s">
        <v>71</v>
      </c>
      <c r="C129" t="s">
        <v>196</v>
      </c>
      <c r="D129" t="s">
        <v>404</v>
      </c>
      <c r="E129" s="121">
        <v>3777</v>
      </c>
      <c r="F129" s="13">
        <v>45686</v>
      </c>
      <c r="G129" s="24">
        <v>24318.400000000001</v>
      </c>
      <c r="H129" s="24">
        <v>22822.81</v>
      </c>
      <c r="I129" s="3">
        <v>45686</v>
      </c>
      <c r="J129" s="102">
        <v>45712</v>
      </c>
      <c r="K129" s="12">
        <v>45716</v>
      </c>
      <c r="L129" s="1" t="s">
        <v>731</v>
      </c>
      <c r="M129" s="36">
        <v>0</v>
      </c>
      <c r="N129" s="26"/>
      <c r="O129" t="s">
        <v>199</v>
      </c>
      <c r="P129" t="s">
        <v>376</v>
      </c>
      <c r="Q129" t="s">
        <v>203</v>
      </c>
    </row>
    <row r="130" spans="1:17" x14ac:dyDescent="0.3">
      <c r="A130" s="25">
        <v>1285</v>
      </c>
      <c r="B130" t="s">
        <v>71</v>
      </c>
      <c r="C130" t="s">
        <v>196</v>
      </c>
      <c r="D130" t="s">
        <v>404</v>
      </c>
      <c r="E130" s="121">
        <v>3776</v>
      </c>
      <c r="F130" s="13">
        <v>45686</v>
      </c>
      <c r="G130" s="24">
        <v>15092.52</v>
      </c>
      <c r="H130" s="24">
        <v>14164.33</v>
      </c>
      <c r="I130" s="3">
        <v>45686</v>
      </c>
      <c r="J130" s="102">
        <v>45712</v>
      </c>
      <c r="K130" s="12">
        <v>45716</v>
      </c>
      <c r="L130" s="1" t="s">
        <v>731</v>
      </c>
      <c r="M130" s="36">
        <v>0</v>
      </c>
      <c r="N130" s="26"/>
      <c r="O130" t="s">
        <v>199</v>
      </c>
      <c r="P130" t="s">
        <v>376</v>
      </c>
      <c r="Q130" t="s">
        <v>203</v>
      </c>
    </row>
    <row r="131" spans="1:17" x14ac:dyDescent="0.3">
      <c r="A131" s="25">
        <v>1285</v>
      </c>
      <c r="B131" t="s">
        <v>71</v>
      </c>
      <c r="C131" t="s">
        <v>196</v>
      </c>
      <c r="D131" t="s">
        <v>404</v>
      </c>
      <c r="E131" s="121">
        <v>3778</v>
      </c>
      <c r="F131" s="13">
        <v>45686</v>
      </c>
      <c r="G131" s="24">
        <v>21543.39</v>
      </c>
      <c r="H131" s="24">
        <v>20218.48</v>
      </c>
      <c r="I131" s="3">
        <v>45687</v>
      </c>
      <c r="J131" s="102">
        <v>45719</v>
      </c>
      <c r="K131" s="12">
        <v>45721</v>
      </c>
      <c r="L131" s="1" t="s">
        <v>731</v>
      </c>
      <c r="M131" s="36">
        <v>0</v>
      </c>
      <c r="N131" s="26"/>
      <c r="O131" t="s">
        <v>199</v>
      </c>
      <c r="P131" t="s">
        <v>376</v>
      </c>
      <c r="Q131" t="s">
        <v>203</v>
      </c>
    </row>
    <row r="132" spans="1:17" x14ac:dyDescent="0.3">
      <c r="A132" s="25">
        <v>1292</v>
      </c>
      <c r="B132" t="s">
        <v>71</v>
      </c>
      <c r="C132" t="s">
        <v>200</v>
      </c>
      <c r="D132" t="s">
        <v>411</v>
      </c>
      <c r="E132" s="121">
        <v>3736</v>
      </c>
      <c r="F132" s="13">
        <v>45686</v>
      </c>
      <c r="G132" s="24">
        <v>46853.99</v>
      </c>
      <c r="H132" s="24">
        <v>43972.47</v>
      </c>
      <c r="I132" s="3">
        <v>45659</v>
      </c>
      <c r="J132" s="102">
        <v>45670</v>
      </c>
      <c r="K132" s="12">
        <v>45674</v>
      </c>
      <c r="L132" s="1" t="s">
        <v>731</v>
      </c>
      <c r="M132" s="36">
        <v>0</v>
      </c>
      <c r="N132"/>
      <c r="O132" t="s">
        <v>199</v>
      </c>
      <c r="P132" t="s">
        <v>376</v>
      </c>
      <c r="Q132" t="s">
        <v>203</v>
      </c>
    </row>
    <row r="133" spans="1:17" x14ac:dyDescent="0.3">
      <c r="A133" s="25">
        <v>1292</v>
      </c>
      <c r="B133" t="s">
        <v>71</v>
      </c>
      <c r="C133" t="s">
        <v>200</v>
      </c>
      <c r="D133" t="s">
        <v>411</v>
      </c>
      <c r="E133" s="121">
        <v>3737</v>
      </c>
      <c r="F133" s="13">
        <v>45686</v>
      </c>
      <c r="G133" s="24">
        <v>4656.58</v>
      </c>
      <c r="H133" s="24">
        <v>4370.2</v>
      </c>
      <c r="I133" s="3">
        <v>45659</v>
      </c>
      <c r="J133" s="102">
        <v>45670</v>
      </c>
      <c r="K133" s="12">
        <v>45674</v>
      </c>
      <c r="L133" s="1" t="s">
        <v>731</v>
      </c>
      <c r="M133" s="36">
        <v>0</v>
      </c>
      <c r="N133"/>
      <c r="O133" t="s">
        <v>199</v>
      </c>
      <c r="P133" t="s">
        <v>376</v>
      </c>
      <c r="Q133" t="s">
        <v>203</v>
      </c>
    </row>
    <row r="134" spans="1:17" x14ac:dyDescent="0.3">
      <c r="A134" s="25">
        <v>1292</v>
      </c>
      <c r="B134" t="s">
        <v>71</v>
      </c>
      <c r="C134" t="s">
        <v>200</v>
      </c>
      <c r="D134" t="s">
        <v>411</v>
      </c>
      <c r="E134" s="121">
        <v>3738</v>
      </c>
      <c r="F134" s="13">
        <v>45686</v>
      </c>
      <c r="G134" s="24">
        <v>61378.96</v>
      </c>
      <c r="H134" s="24">
        <v>57604.160000000003</v>
      </c>
      <c r="I134" s="3">
        <v>45660</v>
      </c>
      <c r="J134" s="102">
        <v>45677</v>
      </c>
      <c r="K134" s="12">
        <v>45677</v>
      </c>
      <c r="L134" s="1" t="s">
        <v>731</v>
      </c>
      <c r="M134" s="36">
        <v>0</v>
      </c>
      <c r="N134"/>
      <c r="O134" t="s">
        <v>199</v>
      </c>
      <c r="P134" t="s">
        <v>376</v>
      </c>
      <c r="Q134" t="s">
        <v>203</v>
      </c>
    </row>
    <row r="135" spans="1:17" x14ac:dyDescent="0.3">
      <c r="A135" s="25">
        <v>1292</v>
      </c>
      <c r="B135" t="s">
        <v>71</v>
      </c>
      <c r="C135" t="s">
        <v>200</v>
      </c>
      <c r="D135" t="s">
        <v>411</v>
      </c>
      <c r="E135" s="121">
        <v>3902</v>
      </c>
      <c r="F135" s="13">
        <v>45686</v>
      </c>
      <c r="G135" s="24">
        <v>61800.639999999999</v>
      </c>
      <c r="H135" s="24">
        <v>57999.9</v>
      </c>
      <c r="I135" s="3">
        <v>45734</v>
      </c>
      <c r="J135" s="102">
        <v>45761</v>
      </c>
      <c r="K135" s="12">
        <v>45762</v>
      </c>
      <c r="L135" s="1" t="s">
        <v>731</v>
      </c>
      <c r="M135" s="36">
        <v>0</v>
      </c>
      <c r="N135"/>
      <c r="O135" t="s">
        <v>199</v>
      </c>
      <c r="P135" t="s">
        <v>376</v>
      </c>
      <c r="Q135" t="s">
        <v>203</v>
      </c>
    </row>
    <row r="136" spans="1:17" x14ac:dyDescent="0.3">
      <c r="A136" s="25">
        <v>1292</v>
      </c>
      <c r="B136" t="s">
        <v>71</v>
      </c>
      <c r="C136" t="s">
        <v>200</v>
      </c>
      <c r="D136" t="s">
        <v>411</v>
      </c>
      <c r="E136" s="121">
        <v>3792</v>
      </c>
      <c r="F136" s="13">
        <v>45686</v>
      </c>
      <c r="G136" s="24">
        <v>88281.31</v>
      </c>
      <c r="H136" s="24">
        <v>82852.009999999995</v>
      </c>
      <c r="I136" s="3">
        <v>45694</v>
      </c>
      <c r="J136" s="102">
        <v>45733</v>
      </c>
      <c r="K136" s="12">
        <v>45733</v>
      </c>
      <c r="L136" s="1" t="s">
        <v>731</v>
      </c>
      <c r="M136" s="36">
        <v>0</v>
      </c>
      <c r="N136"/>
      <c r="O136" t="s">
        <v>199</v>
      </c>
      <c r="P136" t="s">
        <v>376</v>
      </c>
      <c r="Q136" t="s">
        <v>203</v>
      </c>
    </row>
    <row r="137" spans="1:17" x14ac:dyDescent="0.3">
      <c r="A137" s="25">
        <v>1292</v>
      </c>
      <c r="B137" t="s">
        <v>71</v>
      </c>
      <c r="C137" t="s">
        <v>200</v>
      </c>
      <c r="D137" t="s">
        <v>411</v>
      </c>
      <c r="E137" s="121">
        <v>3786</v>
      </c>
      <c r="F137" s="13">
        <v>45686</v>
      </c>
      <c r="G137" s="24">
        <v>27048</v>
      </c>
      <c r="H137" s="24">
        <v>25384.55</v>
      </c>
      <c r="I137" s="3">
        <v>45692</v>
      </c>
      <c r="J137" s="102">
        <v>45705</v>
      </c>
      <c r="K137" s="12">
        <v>45707</v>
      </c>
      <c r="L137" s="1" t="s">
        <v>731</v>
      </c>
      <c r="M137" s="36">
        <v>0</v>
      </c>
      <c r="N137"/>
      <c r="O137" t="s">
        <v>199</v>
      </c>
      <c r="P137" t="s">
        <v>376</v>
      </c>
      <c r="Q137" t="s">
        <v>203</v>
      </c>
    </row>
    <row r="138" spans="1:17" x14ac:dyDescent="0.3">
      <c r="A138" s="25">
        <v>1292</v>
      </c>
      <c r="B138" t="s">
        <v>71</v>
      </c>
      <c r="C138" t="s">
        <v>200</v>
      </c>
      <c r="D138" t="s">
        <v>411</v>
      </c>
      <c r="E138" s="121">
        <v>3788</v>
      </c>
      <c r="F138" s="13">
        <v>45686</v>
      </c>
      <c r="G138" s="24">
        <v>55498.45</v>
      </c>
      <c r="H138" s="24">
        <v>52085.29</v>
      </c>
      <c r="I138" s="3">
        <v>45692</v>
      </c>
      <c r="J138" s="102">
        <v>45705</v>
      </c>
      <c r="K138" s="12">
        <v>45707</v>
      </c>
      <c r="L138" s="1" t="s">
        <v>731</v>
      </c>
      <c r="M138" s="36">
        <v>0</v>
      </c>
      <c r="N138"/>
      <c r="O138" t="s">
        <v>199</v>
      </c>
      <c r="P138" t="s">
        <v>376</v>
      </c>
      <c r="Q138" t="s">
        <v>203</v>
      </c>
    </row>
    <row r="139" spans="1:17" x14ac:dyDescent="0.3">
      <c r="A139" s="25">
        <v>1292</v>
      </c>
      <c r="B139" t="s">
        <v>71</v>
      </c>
      <c r="C139" t="s">
        <v>200</v>
      </c>
      <c r="D139" t="s">
        <v>411</v>
      </c>
      <c r="E139" s="121">
        <v>3787</v>
      </c>
      <c r="F139" s="13">
        <v>45686</v>
      </c>
      <c r="G139" s="24">
        <v>4656.58</v>
      </c>
      <c r="H139" s="24">
        <v>4370.2</v>
      </c>
      <c r="I139" s="3">
        <v>45692</v>
      </c>
      <c r="J139" s="102">
        <v>45705</v>
      </c>
      <c r="K139" s="12">
        <v>45707</v>
      </c>
      <c r="L139" s="1" t="s">
        <v>731</v>
      </c>
      <c r="M139" s="36">
        <v>0</v>
      </c>
      <c r="N139"/>
      <c r="O139" t="s">
        <v>199</v>
      </c>
      <c r="P139" t="s">
        <v>376</v>
      </c>
      <c r="Q139" t="s">
        <v>203</v>
      </c>
    </row>
    <row r="140" spans="1:17" x14ac:dyDescent="0.3">
      <c r="A140" s="25">
        <v>1292</v>
      </c>
      <c r="B140" t="s">
        <v>71</v>
      </c>
      <c r="C140" t="s">
        <v>200</v>
      </c>
      <c r="D140" t="s">
        <v>411</v>
      </c>
      <c r="E140" s="121">
        <v>3791</v>
      </c>
      <c r="F140" s="13">
        <v>45686</v>
      </c>
      <c r="G140" s="24">
        <v>61378.96</v>
      </c>
      <c r="H140" s="24">
        <v>57604.160000000003</v>
      </c>
      <c r="I140" s="3">
        <v>45692</v>
      </c>
      <c r="J140" s="102">
        <v>45705</v>
      </c>
      <c r="K140" s="12">
        <v>45708</v>
      </c>
      <c r="L140" s="1" t="s">
        <v>731</v>
      </c>
      <c r="M140" s="36">
        <v>0</v>
      </c>
      <c r="N140"/>
      <c r="O140" t="s">
        <v>199</v>
      </c>
      <c r="P140" t="s">
        <v>376</v>
      </c>
      <c r="Q140" t="s">
        <v>203</v>
      </c>
    </row>
    <row r="141" spans="1:17" x14ac:dyDescent="0.3">
      <c r="A141" s="25">
        <v>1292</v>
      </c>
      <c r="B141" t="s">
        <v>71</v>
      </c>
      <c r="C141" t="s">
        <v>200</v>
      </c>
      <c r="D141" t="s">
        <v>411</v>
      </c>
      <c r="E141" s="121">
        <v>3790</v>
      </c>
      <c r="F141" s="13">
        <v>45686</v>
      </c>
      <c r="G141" s="24">
        <v>27048</v>
      </c>
      <c r="H141" s="24">
        <v>25384.55</v>
      </c>
      <c r="I141" s="3">
        <v>45693</v>
      </c>
      <c r="J141" s="102">
        <v>45705</v>
      </c>
      <c r="K141" s="12">
        <v>45708</v>
      </c>
      <c r="L141" s="1" t="s">
        <v>731</v>
      </c>
      <c r="M141" s="36">
        <v>0</v>
      </c>
      <c r="N141"/>
      <c r="O141" t="s">
        <v>199</v>
      </c>
      <c r="P141" t="s">
        <v>376</v>
      </c>
      <c r="Q141" t="s">
        <v>203</v>
      </c>
    </row>
    <row r="142" spans="1:17" x14ac:dyDescent="0.3">
      <c r="A142" s="25">
        <v>1292</v>
      </c>
      <c r="B142" t="s">
        <v>71</v>
      </c>
      <c r="C142" t="s">
        <v>200</v>
      </c>
      <c r="D142" t="s">
        <v>411</v>
      </c>
      <c r="E142" s="121">
        <v>3789</v>
      </c>
      <c r="F142" s="13">
        <v>45686</v>
      </c>
      <c r="G142" s="24">
        <v>46853.99</v>
      </c>
      <c r="H142" s="24">
        <v>43972.47</v>
      </c>
      <c r="I142" s="3">
        <v>45692</v>
      </c>
      <c r="J142" s="102">
        <v>45705</v>
      </c>
      <c r="K142" s="12">
        <v>45708</v>
      </c>
      <c r="L142" s="1" t="s">
        <v>731</v>
      </c>
      <c r="M142" s="36">
        <v>0</v>
      </c>
      <c r="N142"/>
      <c r="O142" t="s">
        <v>199</v>
      </c>
      <c r="P142" t="s">
        <v>376</v>
      </c>
      <c r="Q142" t="s">
        <v>203</v>
      </c>
    </row>
    <row r="143" spans="1:17" x14ac:dyDescent="0.3">
      <c r="A143" s="25">
        <v>1484</v>
      </c>
      <c r="B143" t="s">
        <v>71</v>
      </c>
      <c r="C143" t="s">
        <v>200</v>
      </c>
      <c r="D143" t="s">
        <v>634</v>
      </c>
      <c r="E143" s="121">
        <v>3795</v>
      </c>
      <c r="F143" s="13">
        <v>45686</v>
      </c>
      <c r="G143" s="24">
        <v>36570.74</v>
      </c>
      <c r="H143" s="24">
        <v>34321.64</v>
      </c>
      <c r="I143" s="3">
        <v>45694</v>
      </c>
      <c r="J143" s="102">
        <v>45705</v>
      </c>
      <c r="K143" s="12">
        <v>45709</v>
      </c>
      <c r="L143" s="1" t="s">
        <v>731</v>
      </c>
      <c r="M143" s="36">
        <v>0</v>
      </c>
      <c r="N143"/>
      <c r="O143" t="s">
        <v>201</v>
      </c>
      <c r="P143" t="s">
        <v>376</v>
      </c>
      <c r="Q143" t="s">
        <v>203</v>
      </c>
    </row>
    <row r="144" spans="1:17" x14ac:dyDescent="0.3">
      <c r="A144" s="25">
        <v>1484</v>
      </c>
      <c r="B144" t="s">
        <v>71</v>
      </c>
      <c r="C144" t="s">
        <v>200</v>
      </c>
      <c r="D144" t="s">
        <v>634</v>
      </c>
      <c r="E144" s="121">
        <v>3785</v>
      </c>
      <c r="F144" s="13">
        <v>45686</v>
      </c>
      <c r="G144" s="24">
        <v>3864</v>
      </c>
      <c r="H144" s="24">
        <v>3626.36</v>
      </c>
      <c r="I144" s="3">
        <v>45692</v>
      </c>
      <c r="J144" s="102">
        <v>45705</v>
      </c>
      <c r="K144" s="12">
        <v>45707</v>
      </c>
      <c r="L144" s="1" t="s">
        <v>731</v>
      </c>
      <c r="M144" s="36">
        <v>0</v>
      </c>
      <c r="N144"/>
      <c r="O144" t="s">
        <v>201</v>
      </c>
      <c r="P144" t="s">
        <v>376</v>
      </c>
      <c r="Q144" t="s">
        <v>203</v>
      </c>
    </row>
    <row r="145" spans="1:17" x14ac:dyDescent="0.3">
      <c r="A145" s="25">
        <v>1398</v>
      </c>
      <c r="B145" t="s">
        <v>212</v>
      </c>
      <c r="C145" t="s">
        <v>169</v>
      </c>
      <c r="D145" t="s">
        <v>528</v>
      </c>
      <c r="E145" s="118">
        <v>8203</v>
      </c>
      <c r="F145" s="13">
        <v>45686</v>
      </c>
      <c r="G145" s="27">
        <v>48000</v>
      </c>
      <c r="H145" s="27">
        <v>45048</v>
      </c>
      <c r="I145" s="3">
        <v>45691</v>
      </c>
      <c r="J145" s="102">
        <v>45740</v>
      </c>
      <c r="K145" s="12">
        <v>45743</v>
      </c>
      <c r="L145" s="19" t="s">
        <v>731</v>
      </c>
      <c r="M145" s="36">
        <v>0</v>
      </c>
      <c r="N145"/>
      <c r="O145" t="s">
        <v>202</v>
      </c>
      <c r="P145" t="s">
        <v>328</v>
      </c>
      <c r="Q145" t="s">
        <v>207</v>
      </c>
    </row>
    <row r="146" spans="1:17" x14ac:dyDescent="0.3">
      <c r="A146" s="25">
        <v>1398</v>
      </c>
      <c r="B146" t="s">
        <v>212</v>
      </c>
      <c r="C146" t="s">
        <v>169</v>
      </c>
      <c r="D146" t="s">
        <v>528</v>
      </c>
      <c r="E146" s="118">
        <v>8219</v>
      </c>
      <c r="F146" s="13">
        <v>45686</v>
      </c>
      <c r="G146" s="27">
        <v>38223.89</v>
      </c>
      <c r="H146" s="24">
        <v>34726.400000000001</v>
      </c>
      <c r="I146" s="3">
        <v>45702</v>
      </c>
      <c r="J146" s="102">
        <v>45761</v>
      </c>
      <c r="K146" s="12">
        <v>45762</v>
      </c>
      <c r="L146" s="19" t="s">
        <v>731</v>
      </c>
      <c r="M146" s="36">
        <v>0</v>
      </c>
      <c r="N146"/>
      <c r="O146" t="s">
        <v>202</v>
      </c>
      <c r="P146" t="s">
        <v>328</v>
      </c>
      <c r="Q146" t="s">
        <v>207</v>
      </c>
    </row>
    <row r="147" spans="1:17" x14ac:dyDescent="0.3">
      <c r="A147" s="25">
        <v>1398</v>
      </c>
      <c r="B147" t="s">
        <v>212</v>
      </c>
      <c r="C147" t="s">
        <v>169</v>
      </c>
      <c r="D147" t="s">
        <v>528</v>
      </c>
      <c r="E147" s="118">
        <v>8218</v>
      </c>
      <c r="F147" s="13">
        <v>45686</v>
      </c>
      <c r="G147" s="27">
        <v>11210.79</v>
      </c>
      <c r="H147" s="24">
        <v>10521.33</v>
      </c>
      <c r="I147" s="3">
        <v>45702</v>
      </c>
      <c r="J147" s="102">
        <v>45761</v>
      </c>
      <c r="K147" s="12">
        <v>45762</v>
      </c>
      <c r="L147" s="19" t="s">
        <v>731</v>
      </c>
      <c r="M147" s="36">
        <v>0</v>
      </c>
      <c r="N147"/>
      <c r="O147" t="s">
        <v>202</v>
      </c>
      <c r="P147" t="s">
        <v>328</v>
      </c>
      <c r="Q147" t="s">
        <v>207</v>
      </c>
    </row>
    <row r="148" spans="1:17" x14ac:dyDescent="0.3">
      <c r="A148" s="25">
        <v>1398</v>
      </c>
      <c r="B148" t="s">
        <v>212</v>
      </c>
      <c r="C148" t="s">
        <v>169</v>
      </c>
      <c r="D148" t="s">
        <v>528</v>
      </c>
      <c r="E148" s="118">
        <v>8221</v>
      </c>
      <c r="F148" s="16">
        <v>45686</v>
      </c>
      <c r="G148" s="27">
        <v>13110.33</v>
      </c>
      <c r="H148" s="44">
        <v>12304.04</v>
      </c>
      <c r="I148" s="54">
        <v>45706</v>
      </c>
      <c r="J148" s="102">
        <v>45796</v>
      </c>
      <c r="K148" s="12">
        <v>45800</v>
      </c>
      <c r="L148" s="19" t="s">
        <v>731</v>
      </c>
      <c r="M148" s="36">
        <v>0</v>
      </c>
      <c r="N148"/>
      <c r="O148" t="s">
        <v>202</v>
      </c>
      <c r="P148" t="s">
        <v>328</v>
      </c>
      <c r="Q148" t="s">
        <v>207</v>
      </c>
    </row>
    <row r="149" spans="1:17" x14ac:dyDescent="0.3">
      <c r="A149" s="9">
        <v>1393</v>
      </c>
      <c r="B149" t="s">
        <v>215</v>
      </c>
      <c r="C149" t="s">
        <v>348</v>
      </c>
      <c r="D149" t="s">
        <v>522</v>
      </c>
      <c r="E149" s="121">
        <v>8211</v>
      </c>
      <c r="F149" s="13">
        <v>45686</v>
      </c>
      <c r="G149" s="11">
        <v>432751.13</v>
      </c>
      <c r="H149" s="11">
        <v>388177.77</v>
      </c>
      <c r="I149" s="3">
        <v>45700</v>
      </c>
      <c r="J149" s="104">
        <v>45719</v>
      </c>
      <c r="K149" s="5">
        <v>45721</v>
      </c>
      <c r="L149" s="19" t="s">
        <v>731</v>
      </c>
      <c r="M149" s="35">
        <v>0</v>
      </c>
      <c r="N149" s="15"/>
      <c r="O149" t="s">
        <v>202</v>
      </c>
      <c r="P149" t="s">
        <v>340</v>
      </c>
      <c r="Q149" t="s">
        <v>213</v>
      </c>
    </row>
    <row r="150" spans="1:17" x14ac:dyDescent="0.3">
      <c r="A150" s="9">
        <v>1476</v>
      </c>
      <c r="B150" t="s">
        <v>215</v>
      </c>
      <c r="C150" t="s">
        <v>46</v>
      </c>
      <c r="D150" t="s">
        <v>626</v>
      </c>
      <c r="E150" s="121">
        <v>8238</v>
      </c>
      <c r="F150" s="13">
        <v>45686</v>
      </c>
      <c r="G150" s="24">
        <v>318628.40000000002</v>
      </c>
      <c r="H150" s="11">
        <v>285809.68</v>
      </c>
      <c r="I150" s="3">
        <v>45726</v>
      </c>
      <c r="J150" s="102">
        <v>45733</v>
      </c>
      <c r="K150" s="5">
        <v>45736</v>
      </c>
      <c r="L150" s="22" t="s">
        <v>731</v>
      </c>
      <c r="M150" s="35"/>
      <c r="N150" s="15"/>
      <c r="O150" t="s">
        <v>202</v>
      </c>
      <c r="P150" t="s">
        <v>340</v>
      </c>
      <c r="Q150" t="s">
        <v>213</v>
      </c>
    </row>
    <row r="151" spans="1:17" x14ac:dyDescent="0.3">
      <c r="A151" s="25">
        <v>1296</v>
      </c>
      <c r="B151" t="s">
        <v>211</v>
      </c>
      <c r="C151" t="s">
        <v>34</v>
      </c>
      <c r="D151" t="s">
        <v>416</v>
      </c>
      <c r="E151" s="121">
        <v>1217</v>
      </c>
      <c r="F151" s="13">
        <v>45686</v>
      </c>
      <c r="G151" s="24">
        <v>302420.71000000002</v>
      </c>
      <c r="H151" s="24">
        <v>273237.12</v>
      </c>
      <c r="I151" s="3">
        <v>45694</v>
      </c>
      <c r="J151" s="102">
        <v>45712</v>
      </c>
      <c r="K151" s="29">
        <v>45712</v>
      </c>
      <c r="L151" s="19" t="s">
        <v>731</v>
      </c>
      <c r="M151" s="42"/>
      <c r="N151" s="26"/>
      <c r="O151" t="s">
        <v>202</v>
      </c>
      <c r="P151" t="s">
        <v>328</v>
      </c>
      <c r="Q151" t="s">
        <v>207</v>
      </c>
    </row>
    <row r="152" spans="1:17" x14ac:dyDescent="0.3">
      <c r="A152" s="25">
        <v>1296</v>
      </c>
      <c r="B152" t="s">
        <v>211</v>
      </c>
      <c r="C152" t="s">
        <v>34</v>
      </c>
      <c r="D152" t="s">
        <v>416</v>
      </c>
      <c r="E152" s="121">
        <v>1216</v>
      </c>
      <c r="F152" s="13">
        <v>45686</v>
      </c>
      <c r="G152" s="24">
        <v>462378.86</v>
      </c>
      <c r="H152" s="24">
        <v>417759.3</v>
      </c>
      <c r="I152" s="3">
        <v>45694</v>
      </c>
      <c r="J152" s="104">
        <v>45726</v>
      </c>
      <c r="K152" s="29">
        <v>45728</v>
      </c>
      <c r="L152" s="19" t="s">
        <v>731</v>
      </c>
      <c r="M152" s="42"/>
      <c r="N152" s="26"/>
      <c r="O152" t="s">
        <v>202</v>
      </c>
      <c r="P152" t="s">
        <v>328</v>
      </c>
      <c r="Q152" t="s">
        <v>207</v>
      </c>
    </row>
    <row r="153" spans="1:17" x14ac:dyDescent="0.3">
      <c r="A153" s="9">
        <v>1300</v>
      </c>
      <c r="B153" t="s">
        <v>211</v>
      </c>
      <c r="C153" t="s">
        <v>34</v>
      </c>
      <c r="D153" t="s">
        <v>420</v>
      </c>
      <c r="E153" s="121">
        <v>8210</v>
      </c>
      <c r="F153" s="13">
        <v>45686</v>
      </c>
      <c r="G153" s="11">
        <v>35127.120000000003</v>
      </c>
      <c r="H153" s="11">
        <v>31737.35</v>
      </c>
      <c r="I153" s="3">
        <v>45699</v>
      </c>
      <c r="J153" s="104">
        <v>45726</v>
      </c>
      <c r="K153" s="5">
        <v>45729</v>
      </c>
      <c r="L153" s="37" t="s">
        <v>731</v>
      </c>
      <c r="M153" s="38">
        <v>0</v>
      </c>
      <c r="N153" s="15"/>
      <c r="O153" t="s">
        <v>202</v>
      </c>
      <c r="P153" t="s">
        <v>328</v>
      </c>
      <c r="Q153" t="s">
        <v>207</v>
      </c>
    </row>
    <row r="154" spans="1:17" x14ac:dyDescent="0.3">
      <c r="A154" s="9">
        <v>1300</v>
      </c>
      <c r="B154" t="s">
        <v>211</v>
      </c>
      <c r="C154" t="s">
        <v>34</v>
      </c>
      <c r="D154" t="s">
        <v>420</v>
      </c>
      <c r="E154" s="121">
        <v>1219</v>
      </c>
      <c r="F154" s="13">
        <v>45686</v>
      </c>
      <c r="G154" s="11">
        <v>305125.3</v>
      </c>
      <c r="H154" s="11">
        <v>275680.71000000002</v>
      </c>
      <c r="I154" s="3">
        <v>45700</v>
      </c>
      <c r="J154" s="102">
        <v>45726</v>
      </c>
      <c r="K154" s="5">
        <v>45730</v>
      </c>
      <c r="L154" s="37" t="s">
        <v>731</v>
      </c>
      <c r="M154" s="38">
        <v>0</v>
      </c>
      <c r="N154" s="15"/>
      <c r="O154" t="s">
        <v>202</v>
      </c>
      <c r="P154" t="s">
        <v>328</v>
      </c>
      <c r="Q154" t="s">
        <v>207</v>
      </c>
    </row>
    <row r="155" spans="1:17" x14ac:dyDescent="0.3">
      <c r="A155" s="25">
        <v>1290</v>
      </c>
      <c r="B155" t="s">
        <v>215</v>
      </c>
      <c r="C155" t="s">
        <v>40</v>
      </c>
      <c r="D155" t="s">
        <v>409</v>
      </c>
      <c r="E155" s="121">
        <v>8204</v>
      </c>
      <c r="F155" s="13">
        <v>45686</v>
      </c>
      <c r="G155" s="49">
        <v>53175.27</v>
      </c>
      <c r="H155" s="24">
        <v>46980.35</v>
      </c>
      <c r="I155" s="3">
        <v>45692</v>
      </c>
      <c r="J155" s="102">
        <v>45719</v>
      </c>
      <c r="K155" s="12">
        <v>45723</v>
      </c>
      <c r="L155" s="22" t="s">
        <v>731</v>
      </c>
      <c r="M155" s="36">
        <v>0</v>
      </c>
      <c r="N155" s="26"/>
      <c r="O155" t="s">
        <v>202</v>
      </c>
      <c r="P155" t="s">
        <v>328</v>
      </c>
      <c r="Q155" t="s">
        <v>213</v>
      </c>
    </row>
    <row r="156" spans="1:17" x14ac:dyDescent="0.3">
      <c r="A156" s="25">
        <v>1490</v>
      </c>
      <c r="B156" t="s">
        <v>215</v>
      </c>
      <c r="C156" t="s">
        <v>40</v>
      </c>
      <c r="D156" t="s">
        <v>640</v>
      </c>
      <c r="E156" s="121">
        <v>8207</v>
      </c>
      <c r="F156" s="13">
        <v>45686</v>
      </c>
      <c r="G156" s="49">
        <v>690</v>
      </c>
      <c r="H156" s="49">
        <v>609.61</v>
      </c>
      <c r="I156" s="3">
        <v>45698</v>
      </c>
      <c r="J156" s="102">
        <v>45726</v>
      </c>
      <c r="K156" s="12">
        <v>45728</v>
      </c>
      <c r="L156" s="22" t="s">
        <v>731</v>
      </c>
      <c r="M156" s="36">
        <v>0</v>
      </c>
      <c r="N156" s="26"/>
      <c r="O156" t="s">
        <v>202</v>
      </c>
      <c r="P156" t="s">
        <v>328</v>
      </c>
      <c r="Q156" t="s">
        <v>213</v>
      </c>
    </row>
    <row r="157" spans="1:17" x14ac:dyDescent="0.3">
      <c r="A157" s="9">
        <v>1475</v>
      </c>
      <c r="B157" t="s">
        <v>204</v>
      </c>
      <c r="C157" t="s">
        <v>95</v>
      </c>
      <c r="D157" t="s">
        <v>625</v>
      </c>
      <c r="E157" s="121">
        <v>8206</v>
      </c>
      <c r="F157" s="13">
        <v>45686</v>
      </c>
      <c r="G157" s="11">
        <v>67387.39</v>
      </c>
      <c r="H157" s="11">
        <v>60446.49</v>
      </c>
      <c r="I157" s="3">
        <v>45694</v>
      </c>
      <c r="J157" s="102">
        <v>45705</v>
      </c>
      <c r="K157" s="12">
        <v>45709</v>
      </c>
      <c r="L157" s="19" t="s">
        <v>731</v>
      </c>
      <c r="M157" s="35">
        <v>0</v>
      </c>
      <c r="N157"/>
      <c r="O157" t="s">
        <v>199</v>
      </c>
      <c r="P157" t="s">
        <v>340</v>
      </c>
      <c r="Q157" t="s">
        <v>217</v>
      </c>
    </row>
    <row r="158" spans="1:17" x14ac:dyDescent="0.3">
      <c r="A158" s="9">
        <v>1472</v>
      </c>
      <c r="B158" t="s">
        <v>71</v>
      </c>
      <c r="C158" t="s">
        <v>41</v>
      </c>
      <c r="D158" t="s">
        <v>622</v>
      </c>
      <c r="E158" s="121">
        <v>3783</v>
      </c>
      <c r="F158" s="13">
        <v>45686</v>
      </c>
      <c r="G158" s="11">
        <v>107611.2</v>
      </c>
      <c r="H158" s="24">
        <v>100993.11</v>
      </c>
      <c r="I158" s="3">
        <v>45691</v>
      </c>
      <c r="J158" s="102">
        <v>45698</v>
      </c>
      <c r="K158" s="12">
        <v>45699</v>
      </c>
      <c r="L158" s="19" t="s">
        <v>731</v>
      </c>
      <c r="M158" s="38"/>
      <c r="N158" s="15"/>
      <c r="O158" t="s">
        <v>201</v>
      </c>
      <c r="P158" t="s">
        <v>376</v>
      </c>
      <c r="Q158" t="s">
        <v>203</v>
      </c>
    </row>
    <row r="159" spans="1:17" x14ac:dyDescent="0.3">
      <c r="A159" s="9">
        <v>1378</v>
      </c>
      <c r="B159" t="s">
        <v>193</v>
      </c>
      <c r="C159" t="s">
        <v>4</v>
      </c>
      <c r="D159" t="s">
        <v>506</v>
      </c>
      <c r="E159" s="121">
        <v>8224</v>
      </c>
      <c r="F159" s="13">
        <v>45686</v>
      </c>
      <c r="G159" s="11">
        <v>4281.29</v>
      </c>
      <c r="H159" s="11">
        <v>4017.99</v>
      </c>
      <c r="I159" s="3">
        <v>45709</v>
      </c>
      <c r="J159" s="102">
        <v>45733</v>
      </c>
      <c r="K159" s="5">
        <v>45735</v>
      </c>
      <c r="L159" s="19" t="s">
        <v>731</v>
      </c>
      <c r="M159" s="35">
        <v>0</v>
      </c>
      <c r="N159"/>
      <c r="O159" t="s">
        <v>201</v>
      </c>
      <c r="P159" t="s">
        <v>376</v>
      </c>
      <c r="Q159" t="s">
        <v>207</v>
      </c>
    </row>
    <row r="160" spans="1:17" x14ac:dyDescent="0.3">
      <c r="A160" s="9">
        <v>1247</v>
      </c>
      <c r="B160" t="s">
        <v>215</v>
      </c>
      <c r="C160" t="s">
        <v>21</v>
      </c>
      <c r="D160" t="s">
        <v>359</v>
      </c>
      <c r="E160" s="121">
        <v>8196</v>
      </c>
      <c r="F160" s="13">
        <v>45686</v>
      </c>
      <c r="G160" s="24">
        <v>38395.360000000001</v>
      </c>
      <c r="H160" s="24">
        <v>34440.629999999997</v>
      </c>
      <c r="I160" s="3">
        <v>45691</v>
      </c>
      <c r="J160" s="102">
        <v>45712</v>
      </c>
      <c r="K160" s="12">
        <v>45712</v>
      </c>
      <c r="L160" s="19" t="s">
        <v>731</v>
      </c>
      <c r="M160" s="35">
        <v>0</v>
      </c>
      <c r="N160"/>
      <c r="O160" t="s">
        <v>202</v>
      </c>
      <c r="P160" t="s">
        <v>340</v>
      </c>
      <c r="Q160" t="s">
        <v>213</v>
      </c>
    </row>
    <row r="161" spans="1:17" x14ac:dyDescent="0.3">
      <c r="A161" s="25">
        <v>1358</v>
      </c>
      <c r="B161" t="s">
        <v>215</v>
      </c>
      <c r="C161" t="s">
        <v>17</v>
      </c>
      <c r="D161" t="s">
        <v>480</v>
      </c>
      <c r="E161" s="121">
        <v>8209</v>
      </c>
      <c r="F161" s="13">
        <v>45686</v>
      </c>
      <c r="G161" s="24">
        <v>9420.94</v>
      </c>
      <c r="H161" s="24">
        <v>8450.58</v>
      </c>
      <c r="I161" s="3">
        <v>45698</v>
      </c>
      <c r="J161" s="102">
        <v>45733</v>
      </c>
      <c r="K161" s="12">
        <v>45735</v>
      </c>
      <c r="L161" s="19" t="s">
        <v>731</v>
      </c>
      <c r="M161" s="36">
        <v>0</v>
      </c>
      <c r="N161"/>
      <c r="O161" t="s">
        <v>202</v>
      </c>
      <c r="P161" t="s">
        <v>340</v>
      </c>
      <c r="Q161" t="s">
        <v>213</v>
      </c>
    </row>
    <row r="162" spans="1:17" x14ac:dyDescent="0.3">
      <c r="A162" s="25">
        <v>1358</v>
      </c>
      <c r="B162" t="s">
        <v>215</v>
      </c>
      <c r="C162" t="s">
        <v>17</v>
      </c>
      <c r="D162" t="s">
        <v>480</v>
      </c>
      <c r="E162" s="121">
        <v>8208</v>
      </c>
      <c r="F162" s="13">
        <v>45686</v>
      </c>
      <c r="G162" s="24">
        <v>85164.92</v>
      </c>
      <c r="H162" s="24">
        <v>76392.929999999993</v>
      </c>
      <c r="I162" s="3">
        <v>45698</v>
      </c>
      <c r="J162" s="102">
        <v>45726</v>
      </c>
      <c r="K162" s="12">
        <v>45727</v>
      </c>
      <c r="L162" s="19" t="s">
        <v>731</v>
      </c>
      <c r="M162" s="36">
        <v>0</v>
      </c>
      <c r="N162"/>
      <c r="O162" t="s">
        <v>202</v>
      </c>
      <c r="P162" t="s">
        <v>340</v>
      </c>
      <c r="Q162" t="s">
        <v>213</v>
      </c>
    </row>
    <row r="163" spans="1:17" x14ac:dyDescent="0.3">
      <c r="A163" s="9">
        <v>1473</v>
      </c>
      <c r="B163" t="s">
        <v>215</v>
      </c>
      <c r="C163" t="s">
        <v>208</v>
      </c>
      <c r="D163" t="s">
        <v>623</v>
      </c>
      <c r="E163" s="121">
        <v>8255</v>
      </c>
      <c r="F163" s="13">
        <v>45686</v>
      </c>
      <c r="G163" s="24">
        <v>224851.18</v>
      </c>
      <c r="H163" s="24">
        <v>208496.65</v>
      </c>
      <c r="I163" s="3">
        <v>45733</v>
      </c>
      <c r="J163" s="102">
        <v>45747</v>
      </c>
      <c r="K163" s="12">
        <v>45747</v>
      </c>
      <c r="L163" s="19" t="s">
        <v>731</v>
      </c>
      <c r="M163" s="35">
        <v>0</v>
      </c>
      <c r="N163"/>
      <c r="O163" t="s">
        <v>202</v>
      </c>
      <c r="P163" t="s">
        <v>340</v>
      </c>
      <c r="Q163" t="s">
        <v>213</v>
      </c>
    </row>
    <row r="164" spans="1:17" x14ac:dyDescent="0.3">
      <c r="A164" s="25">
        <v>1462</v>
      </c>
      <c r="B164" t="s">
        <v>212</v>
      </c>
      <c r="C164" t="s">
        <v>221</v>
      </c>
      <c r="D164" t="s">
        <v>610</v>
      </c>
      <c r="E164" s="121">
        <v>8201</v>
      </c>
      <c r="F164" s="13">
        <v>45686</v>
      </c>
      <c r="G164" s="24">
        <v>800</v>
      </c>
      <c r="H164" s="24">
        <v>750.8</v>
      </c>
      <c r="I164" s="3">
        <v>45691</v>
      </c>
      <c r="J164" s="102">
        <v>45691</v>
      </c>
      <c r="K164" s="12">
        <v>45695</v>
      </c>
      <c r="L164" s="19" t="s">
        <v>731</v>
      </c>
      <c r="M164" s="36">
        <v>0</v>
      </c>
      <c r="N164" s="26"/>
      <c r="O164" t="s">
        <v>202</v>
      </c>
      <c r="P164" t="s">
        <v>373</v>
      </c>
      <c r="Q164" t="s">
        <v>207</v>
      </c>
    </row>
    <row r="165" spans="1:17" x14ac:dyDescent="0.3">
      <c r="A165" s="9">
        <v>1390</v>
      </c>
      <c r="B165" t="s">
        <v>211</v>
      </c>
      <c r="C165" t="s">
        <v>16</v>
      </c>
      <c r="D165" t="s">
        <v>519</v>
      </c>
      <c r="E165" s="121">
        <v>1220</v>
      </c>
      <c r="F165" s="13">
        <v>45654</v>
      </c>
      <c r="G165" s="24">
        <v>191297.11</v>
      </c>
      <c r="H165" s="24">
        <v>169010.99</v>
      </c>
      <c r="I165" s="3">
        <v>45701</v>
      </c>
      <c r="J165" s="102">
        <v>45866</v>
      </c>
      <c r="K165" s="12">
        <v>45866</v>
      </c>
      <c r="L165" s="19" t="s">
        <v>731</v>
      </c>
      <c r="M165" s="39"/>
      <c r="N165" s="15"/>
      <c r="O165" t="s">
        <v>202</v>
      </c>
      <c r="P165" t="s">
        <v>328</v>
      </c>
      <c r="Q165" t="s">
        <v>207</v>
      </c>
    </row>
    <row r="166" spans="1:17" x14ac:dyDescent="0.3">
      <c r="A166" s="14">
        <v>1260</v>
      </c>
      <c r="B166" t="s">
        <v>193</v>
      </c>
      <c r="C166" t="s">
        <v>121</v>
      </c>
      <c r="D166" t="s">
        <v>372</v>
      </c>
      <c r="E166" s="121">
        <v>3784</v>
      </c>
      <c r="F166" s="13">
        <v>45686</v>
      </c>
      <c r="G166" s="24">
        <v>10395</v>
      </c>
      <c r="H166" s="49">
        <v>9755.7000000000007</v>
      </c>
      <c r="I166" s="3">
        <v>45692</v>
      </c>
      <c r="J166" s="102">
        <v>45712</v>
      </c>
      <c r="K166" s="12">
        <v>45714</v>
      </c>
      <c r="L166" s="20" t="s">
        <v>731</v>
      </c>
      <c r="M166" s="35">
        <v>0</v>
      </c>
      <c r="N166"/>
      <c r="O166" t="s">
        <v>199</v>
      </c>
      <c r="P166" t="s">
        <v>373</v>
      </c>
      <c r="Q166" t="s">
        <v>207</v>
      </c>
    </row>
    <row r="167" spans="1:17" x14ac:dyDescent="0.3">
      <c r="A167" s="25">
        <v>1487</v>
      </c>
      <c r="B167" t="s">
        <v>193</v>
      </c>
      <c r="C167" t="s">
        <v>43</v>
      </c>
      <c r="D167" t="s">
        <v>637</v>
      </c>
      <c r="E167" s="121">
        <v>3781</v>
      </c>
      <c r="F167" s="13">
        <v>45686</v>
      </c>
      <c r="G167" s="24">
        <v>24960</v>
      </c>
      <c r="H167" s="24">
        <v>23424.959999999999</v>
      </c>
      <c r="I167" s="3">
        <v>45691</v>
      </c>
      <c r="J167" s="102">
        <v>45705</v>
      </c>
      <c r="K167" s="12">
        <v>45707</v>
      </c>
      <c r="L167" s="19" t="s">
        <v>731</v>
      </c>
      <c r="M167" s="36">
        <v>0</v>
      </c>
      <c r="N167" s="26"/>
      <c r="O167" t="s">
        <v>201</v>
      </c>
      <c r="P167" t="s">
        <v>376</v>
      </c>
      <c r="Q167" t="s">
        <v>207</v>
      </c>
    </row>
    <row r="168" spans="1:17" x14ac:dyDescent="0.3">
      <c r="A168" s="25">
        <v>1487</v>
      </c>
      <c r="B168" t="s">
        <v>193</v>
      </c>
      <c r="C168" t="s">
        <v>43</v>
      </c>
      <c r="D168" t="s">
        <v>637</v>
      </c>
      <c r="E168" s="121">
        <v>3780</v>
      </c>
      <c r="F168" s="13">
        <v>45686</v>
      </c>
      <c r="G168" s="24">
        <v>47838</v>
      </c>
      <c r="H168" s="24">
        <v>44895.96</v>
      </c>
      <c r="I168" s="3">
        <v>45691</v>
      </c>
      <c r="J168" s="102">
        <v>45719</v>
      </c>
      <c r="K168" s="12">
        <v>45721</v>
      </c>
      <c r="L168" s="19" t="s">
        <v>731</v>
      </c>
      <c r="M168" s="36">
        <v>0</v>
      </c>
      <c r="N168" s="26"/>
      <c r="O168" t="s">
        <v>201</v>
      </c>
      <c r="P168" t="s">
        <v>376</v>
      </c>
      <c r="Q168" t="s">
        <v>207</v>
      </c>
    </row>
    <row r="169" spans="1:17" x14ac:dyDescent="0.3">
      <c r="A169" s="9">
        <v>1482</v>
      </c>
      <c r="B169" t="s">
        <v>211</v>
      </c>
      <c r="C169" t="s">
        <v>34</v>
      </c>
      <c r="D169" t="s">
        <v>632</v>
      </c>
      <c r="E169" s="121">
        <v>8205</v>
      </c>
      <c r="F169" s="13">
        <v>45686</v>
      </c>
      <c r="G169" s="11">
        <v>39000</v>
      </c>
      <c r="H169" s="11">
        <v>35236.5</v>
      </c>
      <c r="I169" s="3">
        <v>45693</v>
      </c>
      <c r="J169" s="102">
        <v>45712</v>
      </c>
      <c r="K169" s="5">
        <v>45716</v>
      </c>
      <c r="L169" s="37" t="s">
        <v>731</v>
      </c>
      <c r="M169" s="43"/>
      <c r="N169" s="15"/>
      <c r="O169" t="s">
        <v>202</v>
      </c>
      <c r="P169" t="s">
        <v>328</v>
      </c>
      <c r="Q169" t="s">
        <v>207</v>
      </c>
    </row>
    <row r="170" spans="1:17" x14ac:dyDescent="0.3">
      <c r="A170" s="25">
        <v>1262</v>
      </c>
      <c r="B170" t="s">
        <v>193</v>
      </c>
      <c r="C170" t="s">
        <v>45</v>
      </c>
      <c r="D170" t="s">
        <v>375</v>
      </c>
      <c r="E170" s="121">
        <v>3828</v>
      </c>
      <c r="F170" s="13">
        <v>45686</v>
      </c>
      <c r="G170" s="24">
        <v>3877.11</v>
      </c>
      <c r="H170" s="24">
        <v>3638.67</v>
      </c>
      <c r="I170" s="3">
        <v>45709</v>
      </c>
      <c r="J170" s="102">
        <v>45712</v>
      </c>
      <c r="K170" s="12">
        <v>45716</v>
      </c>
      <c r="L170" s="19" t="s">
        <v>731</v>
      </c>
      <c r="M170" s="36">
        <v>0</v>
      </c>
      <c r="N170" s="26"/>
      <c r="O170" t="s">
        <v>199</v>
      </c>
      <c r="P170" t="s">
        <v>376</v>
      </c>
      <c r="Q170" t="s">
        <v>207</v>
      </c>
    </row>
    <row r="171" spans="1:17" x14ac:dyDescent="0.3">
      <c r="A171" s="25">
        <v>1262</v>
      </c>
      <c r="B171" t="s">
        <v>193</v>
      </c>
      <c r="C171" t="s">
        <v>45</v>
      </c>
      <c r="D171" t="s">
        <v>375</v>
      </c>
      <c r="E171" s="121">
        <v>3826</v>
      </c>
      <c r="F171" s="13">
        <v>45686</v>
      </c>
      <c r="G171" s="24">
        <v>67733.11</v>
      </c>
      <c r="H171" s="24">
        <v>63567.519999999997</v>
      </c>
      <c r="I171" s="3">
        <v>45709</v>
      </c>
      <c r="J171" s="102">
        <v>45712</v>
      </c>
      <c r="K171" s="12">
        <v>45716</v>
      </c>
      <c r="L171" s="19" t="s">
        <v>731</v>
      </c>
      <c r="M171" s="36">
        <v>0</v>
      </c>
      <c r="N171" s="26"/>
      <c r="O171" t="s">
        <v>199</v>
      </c>
      <c r="P171" t="s">
        <v>376</v>
      </c>
      <c r="Q171" t="s">
        <v>207</v>
      </c>
    </row>
    <row r="172" spans="1:17" x14ac:dyDescent="0.3">
      <c r="A172" s="25">
        <v>1262</v>
      </c>
      <c r="B172" t="s">
        <v>193</v>
      </c>
      <c r="C172" t="s">
        <v>45</v>
      </c>
      <c r="D172" t="s">
        <v>375</v>
      </c>
      <c r="E172" s="121">
        <v>3825</v>
      </c>
      <c r="F172" s="13">
        <v>45686</v>
      </c>
      <c r="G172" s="24">
        <v>9046.58</v>
      </c>
      <c r="H172" s="24">
        <v>8490.2099999999991</v>
      </c>
      <c r="I172" s="3">
        <v>45709</v>
      </c>
      <c r="J172" s="102">
        <v>45712</v>
      </c>
      <c r="K172" s="12">
        <v>45716</v>
      </c>
      <c r="L172" s="19" t="s">
        <v>731</v>
      </c>
      <c r="M172" s="36">
        <v>0</v>
      </c>
      <c r="N172" s="26"/>
      <c r="O172" t="s">
        <v>199</v>
      </c>
      <c r="P172" t="s">
        <v>376</v>
      </c>
      <c r="Q172" t="s">
        <v>207</v>
      </c>
    </row>
    <row r="173" spans="1:17" x14ac:dyDescent="0.3">
      <c r="A173" s="25">
        <v>1262</v>
      </c>
      <c r="B173" t="s">
        <v>193</v>
      </c>
      <c r="C173" t="s">
        <v>45</v>
      </c>
      <c r="D173" t="s">
        <v>375</v>
      </c>
      <c r="E173" s="121">
        <v>3824</v>
      </c>
      <c r="F173" s="13">
        <v>45686</v>
      </c>
      <c r="G173" s="24">
        <v>21588.05</v>
      </c>
      <c r="H173" s="24">
        <v>20260.39</v>
      </c>
      <c r="I173" s="3">
        <v>45709</v>
      </c>
      <c r="J173" s="102">
        <v>45712</v>
      </c>
      <c r="K173" s="12">
        <v>45716</v>
      </c>
      <c r="L173" s="19" t="s">
        <v>731</v>
      </c>
      <c r="M173" s="36">
        <v>0</v>
      </c>
      <c r="N173" s="26"/>
      <c r="O173" t="s">
        <v>199</v>
      </c>
      <c r="P173" t="s">
        <v>376</v>
      </c>
      <c r="Q173" t="s">
        <v>207</v>
      </c>
    </row>
    <row r="174" spans="1:17" x14ac:dyDescent="0.3">
      <c r="A174" s="25">
        <v>1262</v>
      </c>
      <c r="B174" t="s">
        <v>193</v>
      </c>
      <c r="C174" t="s">
        <v>45</v>
      </c>
      <c r="D174" t="s">
        <v>375</v>
      </c>
      <c r="E174" s="121">
        <v>3823</v>
      </c>
      <c r="F174" s="13">
        <v>45686</v>
      </c>
      <c r="G174" s="24">
        <v>38695.5</v>
      </c>
      <c r="H174" s="24">
        <v>36315.730000000003</v>
      </c>
      <c r="I174" s="3">
        <v>45709</v>
      </c>
      <c r="J174" s="102">
        <v>45712</v>
      </c>
      <c r="K174" s="12">
        <v>45716</v>
      </c>
      <c r="L174" s="19" t="s">
        <v>731</v>
      </c>
      <c r="M174" s="36">
        <v>0</v>
      </c>
      <c r="N174" s="26"/>
      <c r="O174" t="s">
        <v>199</v>
      </c>
      <c r="P174" t="s">
        <v>376</v>
      </c>
      <c r="Q174" t="s">
        <v>207</v>
      </c>
    </row>
    <row r="175" spans="1:17" x14ac:dyDescent="0.3">
      <c r="A175" s="9">
        <v>1269</v>
      </c>
      <c r="B175" t="s">
        <v>193</v>
      </c>
      <c r="C175" t="s">
        <v>45</v>
      </c>
      <c r="D175" t="s">
        <v>384</v>
      </c>
      <c r="E175" s="121">
        <v>3830</v>
      </c>
      <c r="F175" s="13">
        <v>45686</v>
      </c>
      <c r="G175" s="24">
        <v>6310.36</v>
      </c>
      <c r="H175" s="24">
        <v>5922.27</v>
      </c>
      <c r="I175" s="3">
        <v>45709</v>
      </c>
      <c r="J175" s="102">
        <v>45712</v>
      </c>
      <c r="K175" s="12">
        <v>45716</v>
      </c>
      <c r="L175" s="19" t="s">
        <v>731</v>
      </c>
      <c r="M175" s="35">
        <v>0</v>
      </c>
      <c r="N175" s="15"/>
      <c r="O175" t="s">
        <v>202</v>
      </c>
      <c r="P175" t="s">
        <v>376</v>
      </c>
      <c r="Q175" t="s">
        <v>207</v>
      </c>
    </row>
    <row r="176" spans="1:17" x14ac:dyDescent="0.3">
      <c r="A176" s="9">
        <v>1269</v>
      </c>
      <c r="B176" t="s">
        <v>193</v>
      </c>
      <c r="C176" t="s">
        <v>45</v>
      </c>
      <c r="D176" t="s">
        <v>384</v>
      </c>
      <c r="E176" s="121">
        <v>3829</v>
      </c>
      <c r="F176" s="13">
        <v>45686</v>
      </c>
      <c r="G176" s="24">
        <v>17033.400000000001</v>
      </c>
      <c r="H176" s="24">
        <v>15985.85</v>
      </c>
      <c r="I176" s="3">
        <v>45709</v>
      </c>
      <c r="J176" s="102">
        <v>45712</v>
      </c>
      <c r="K176" s="12">
        <v>45716</v>
      </c>
      <c r="L176" s="19" t="s">
        <v>731</v>
      </c>
      <c r="M176" s="35">
        <v>0</v>
      </c>
      <c r="N176" s="15"/>
      <c r="O176" t="s">
        <v>202</v>
      </c>
      <c r="P176" t="s">
        <v>376</v>
      </c>
      <c r="Q176" t="s">
        <v>207</v>
      </c>
    </row>
    <row r="177" spans="1:17" x14ac:dyDescent="0.3">
      <c r="A177" s="9">
        <v>1269</v>
      </c>
      <c r="B177" t="s">
        <v>193</v>
      </c>
      <c r="C177" t="s">
        <v>45</v>
      </c>
      <c r="D177" t="s">
        <v>384</v>
      </c>
      <c r="E177" s="121">
        <v>3831</v>
      </c>
      <c r="F177" s="13">
        <v>45686</v>
      </c>
      <c r="G177" s="24">
        <v>22383.29</v>
      </c>
      <c r="H177" s="24">
        <v>21006.720000000001</v>
      </c>
      <c r="I177" s="3">
        <v>45709</v>
      </c>
      <c r="J177" s="102">
        <v>45712</v>
      </c>
      <c r="K177" s="12">
        <v>45716</v>
      </c>
      <c r="L177" s="19" t="s">
        <v>731</v>
      </c>
      <c r="M177" s="35">
        <v>0</v>
      </c>
      <c r="N177" s="15"/>
      <c r="O177" t="s">
        <v>202</v>
      </c>
      <c r="P177" t="s">
        <v>376</v>
      </c>
      <c r="Q177" t="s">
        <v>207</v>
      </c>
    </row>
    <row r="178" spans="1:17" x14ac:dyDescent="0.3">
      <c r="A178" s="9">
        <v>1269</v>
      </c>
      <c r="B178" t="s">
        <v>193</v>
      </c>
      <c r="C178" t="s">
        <v>45</v>
      </c>
      <c r="D178" t="s">
        <v>384</v>
      </c>
      <c r="E178" s="121">
        <v>3827</v>
      </c>
      <c r="F178" s="13">
        <v>45686</v>
      </c>
      <c r="G178" s="24">
        <v>198578.23</v>
      </c>
      <c r="H178" s="24">
        <v>186365.67</v>
      </c>
      <c r="I178" s="3">
        <v>45709</v>
      </c>
      <c r="J178" s="102">
        <v>45712</v>
      </c>
      <c r="K178" s="12">
        <v>45716</v>
      </c>
      <c r="L178" s="19" t="s">
        <v>731</v>
      </c>
      <c r="M178" s="35">
        <v>0</v>
      </c>
      <c r="N178" s="15"/>
      <c r="O178" t="s">
        <v>202</v>
      </c>
      <c r="P178" t="s">
        <v>376</v>
      </c>
      <c r="Q178" t="s">
        <v>207</v>
      </c>
    </row>
    <row r="179" spans="1:17" x14ac:dyDescent="0.3">
      <c r="A179" s="25">
        <v>1400</v>
      </c>
      <c r="B179" t="s">
        <v>209</v>
      </c>
      <c r="C179" t="s">
        <v>3</v>
      </c>
      <c r="D179" t="s">
        <v>530</v>
      </c>
      <c r="E179" s="121">
        <v>8227</v>
      </c>
      <c r="F179" s="13">
        <v>45686</v>
      </c>
      <c r="G179" s="24">
        <v>785309.77</v>
      </c>
      <c r="H179" s="27">
        <v>709527.37</v>
      </c>
      <c r="I179" s="3">
        <v>45721</v>
      </c>
      <c r="J179" s="102">
        <v>45740</v>
      </c>
      <c r="K179" s="12">
        <v>45743</v>
      </c>
      <c r="L179" s="19" t="s">
        <v>731</v>
      </c>
      <c r="M179" s="36">
        <v>0</v>
      </c>
      <c r="N179"/>
      <c r="O179" t="s">
        <v>199</v>
      </c>
      <c r="P179" t="s">
        <v>328</v>
      </c>
      <c r="Q179" t="s">
        <v>203</v>
      </c>
    </row>
    <row r="180" spans="1:17" x14ac:dyDescent="0.3">
      <c r="A180" s="25">
        <v>1400</v>
      </c>
      <c r="B180" t="s">
        <v>209</v>
      </c>
      <c r="C180" t="s">
        <v>3</v>
      </c>
      <c r="D180" t="s">
        <v>530</v>
      </c>
      <c r="E180" s="121">
        <v>8226</v>
      </c>
      <c r="F180" s="13">
        <v>45686</v>
      </c>
      <c r="G180" s="24">
        <v>77751.44</v>
      </c>
      <c r="H180" s="27">
        <v>70248.429999999993</v>
      </c>
      <c r="I180" s="3">
        <v>45721</v>
      </c>
      <c r="J180" s="102">
        <v>45740</v>
      </c>
      <c r="K180" s="12">
        <v>45743</v>
      </c>
      <c r="L180" s="19" t="s">
        <v>731</v>
      </c>
      <c r="M180" s="36">
        <v>0</v>
      </c>
      <c r="N180"/>
      <c r="O180" t="s">
        <v>199</v>
      </c>
      <c r="P180" t="s">
        <v>328</v>
      </c>
      <c r="Q180" t="s">
        <v>203</v>
      </c>
    </row>
    <row r="181" spans="1:17" x14ac:dyDescent="0.3">
      <c r="A181" s="9">
        <v>1366</v>
      </c>
      <c r="B181" t="s">
        <v>209</v>
      </c>
      <c r="C181" t="s">
        <v>3</v>
      </c>
      <c r="D181" t="s">
        <v>490</v>
      </c>
      <c r="E181" s="121">
        <v>1221</v>
      </c>
      <c r="F181" s="13">
        <v>45686</v>
      </c>
      <c r="G181" s="11">
        <v>346916.22</v>
      </c>
      <c r="H181" s="18">
        <v>313438.78000000003</v>
      </c>
      <c r="I181" s="3">
        <v>45702</v>
      </c>
      <c r="J181" s="102">
        <v>45719</v>
      </c>
      <c r="K181" s="12">
        <v>45722</v>
      </c>
      <c r="L181" s="19" t="s">
        <v>731</v>
      </c>
      <c r="M181" s="35">
        <v>0</v>
      </c>
      <c r="N181"/>
      <c r="O181" t="s">
        <v>202</v>
      </c>
      <c r="P181" t="s">
        <v>328</v>
      </c>
      <c r="Q181" t="s">
        <v>203</v>
      </c>
    </row>
    <row r="182" spans="1:17" x14ac:dyDescent="0.3">
      <c r="A182" s="9">
        <v>1388</v>
      </c>
      <c r="B182" t="s">
        <v>209</v>
      </c>
      <c r="C182" t="s">
        <v>3</v>
      </c>
      <c r="D182" t="s">
        <v>518</v>
      </c>
      <c r="E182" s="121">
        <v>3818</v>
      </c>
      <c r="F182" s="13">
        <v>45686</v>
      </c>
      <c r="G182" s="11">
        <v>281623.84999999998</v>
      </c>
      <c r="H182" s="18">
        <v>254447.15</v>
      </c>
      <c r="I182" s="3">
        <v>45702</v>
      </c>
      <c r="J182" s="102">
        <v>45719</v>
      </c>
      <c r="K182" s="12">
        <v>45722</v>
      </c>
      <c r="L182" s="19" t="s">
        <v>731</v>
      </c>
      <c r="M182" s="35">
        <v>0</v>
      </c>
      <c r="N182"/>
      <c r="O182" t="s">
        <v>199</v>
      </c>
      <c r="P182" t="s">
        <v>328</v>
      </c>
      <c r="Q182" t="s">
        <v>203</v>
      </c>
    </row>
    <row r="183" spans="1:17" x14ac:dyDescent="0.3">
      <c r="A183" s="9">
        <v>1298</v>
      </c>
      <c r="B183" t="s">
        <v>84</v>
      </c>
      <c r="C183" t="s">
        <v>36</v>
      </c>
      <c r="D183" t="s">
        <v>418</v>
      </c>
      <c r="E183" s="121">
        <v>1222</v>
      </c>
      <c r="F183" s="13">
        <v>45686</v>
      </c>
      <c r="G183" s="24">
        <v>275594.28999999998</v>
      </c>
      <c r="H183" s="24">
        <v>253133.36</v>
      </c>
      <c r="I183" s="3">
        <v>45702</v>
      </c>
      <c r="J183" s="102">
        <v>45712</v>
      </c>
      <c r="K183" s="12">
        <v>45716</v>
      </c>
      <c r="L183" s="19" t="s">
        <v>731</v>
      </c>
      <c r="M183" s="35">
        <v>0</v>
      </c>
      <c r="N183"/>
      <c r="O183" t="s">
        <v>202</v>
      </c>
      <c r="P183" t="s">
        <v>340</v>
      </c>
      <c r="Q183" t="s">
        <v>207</v>
      </c>
    </row>
    <row r="184" spans="1:17" x14ac:dyDescent="0.3">
      <c r="A184" s="9">
        <v>1289</v>
      </c>
      <c r="B184" t="s">
        <v>204</v>
      </c>
      <c r="C184" t="s">
        <v>32</v>
      </c>
      <c r="D184" t="s">
        <v>408</v>
      </c>
      <c r="E184" s="121">
        <v>8214</v>
      </c>
      <c r="F184" s="13">
        <v>45686</v>
      </c>
      <c r="G184" s="24">
        <v>278263.01</v>
      </c>
      <c r="H184" s="11">
        <v>259341.13</v>
      </c>
      <c r="I184" s="3">
        <v>45702</v>
      </c>
      <c r="J184" s="102">
        <v>45712</v>
      </c>
      <c r="K184" s="12">
        <v>45714</v>
      </c>
      <c r="L184" s="19" t="s">
        <v>731</v>
      </c>
      <c r="M184" s="35">
        <v>0</v>
      </c>
      <c r="N184"/>
      <c r="O184" t="s">
        <v>202</v>
      </c>
      <c r="P184" t="s">
        <v>340</v>
      </c>
      <c r="Q184" t="s">
        <v>217</v>
      </c>
    </row>
    <row r="185" spans="1:17" x14ac:dyDescent="0.3">
      <c r="A185" s="25">
        <v>1288</v>
      </c>
      <c r="B185" t="s">
        <v>204</v>
      </c>
      <c r="C185" t="s">
        <v>32</v>
      </c>
      <c r="D185" t="s">
        <v>407</v>
      </c>
      <c r="E185" s="121">
        <v>8215</v>
      </c>
      <c r="F185" s="13">
        <v>45686</v>
      </c>
      <c r="G185" s="24">
        <v>379348.19</v>
      </c>
      <c r="H185" s="27">
        <v>353552.52</v>
      </c>
      <c r="I185" s="3">
        <v>45702</v>
      </c>
      <c r="J185" s="102">
        <v>45712</v>
      </c>
      <c r="K185" s="12">
        <v>45713</v>
      </c>
      <c r="L185" s="19" t="s">
        <v>731</v>
      </c>
      <c r="M185" s="36">
        <v>0</v>
      </c>
      <c r="N185"/>
      <c r="O185" t="s">
        <v>199</v>
      </c>
      <c r="P185" t="s">
        <v>340</v>
      </c>
      <c r="Q185" t="s">
        <v>217</v>
      </c>
    </row>
    <row r="186" spans="1:17" x14ac:dyDescent="0.3">
      <c r="A186" s="9">
        <v>1271</v>
      </c>
      <c r="B186" t="s">
        <v>204</v>
      </c>
      <c r="C186" t="s">
        <v>32</v>
      </c>
      <c r="D186" t="s">
        <v>387</v>
      </c>
      <c r="E186" s="121">
        <v>8216</v>
      </c>
      <c r="F186" s="13">
        <v>45686</v>
      </c>
      <c r="G186" s="11">
        <v>255597.54</v>
      </c>
      <c r="H186" s="11">
        <v>238216.91</v>
      </c>
      <c r="I186" s="3">
        <v>45702</v>
      </c>
      <c r="J186" s="102">
        <v>45712</v>
      </c>
      <c r="K186" s="12">
        <v>45713</v>
      </c>
      <c r="L186" s="19" t="s">
        <v>731</v>
      </c>
      <c r="M186" s="35">
        <v>0</v>
      </c>
      <c r="N186"/>
      <c r="O186" t="s">
        <v>202</v>
      </c>
      <c r="P186" t="s">
        <v>340</v>
      </c>
      <c r="Q186" t="s">
        <v>217</v>
      </c>
    </row>
    <row r="187" spans="1:17" x14ac:dyDescent="0.3">
      <c r="A187" s="9">
        <v>1299</v>
      </c>
      <c r="B187" t="s">
        <v>204</v>
      </c>
      <c r="C187" t="s">
        <v>32</v>
      </c>
      <c r="D187" t="s">
        <v>419</v>
      </c>
      <c r="E187" s="121">
        <v>8245</v>
      </c>
      <c r="F187" s="13">
        <v>45686</v>
      </c>
      <c r="G187" s="11">
        <v>1177084.8</v>
      </c>
      <c r="H187" s="11">
        <v>1097043.03</v>
      </c>
      <c r="I187" s="3">
        <v>45729</v>
      </c>
      <c r="J187" s="102">
        <v>45740</v>
      </c>
      <c r="K187" s="12">
        <v>45742</v>
      </c>
      <c r="L187" s="19" t="s">
        <v>731</v>
      </c>
      <c r="M187" s="38"/>
      <c r="N187" s="15"/>
      <c r="O187" t="s">
        <v>199</v>
      </c>
      <c r="P187" t="s">
        <v>340</v>
      </c>
      <c r="Q187" t="s">
        <v>217</v>
      </c>
    </row>
    <row r="188" spans="1:17" x14ac:dyDescent="0.3">
      <c r="A188" s="9">
        <v>1394</v>
      </c>
      <c r="B188" t="s">
        <v>210</v>
      </c>
      <c r="C188" t="s">
        <v>38</v>
      </c>
      <c r="D188" t="s">
        <v>523</v>
      </c>
      <c r="E188" s="121">
        <v>8220</v>
      </c>
      <c r="F188" s="13">
        <v>45686</v>
      </c>
      <c r="G188" s="24">
        <v>93647.49</v>
      </c>
      <c r="H188" s="24">
        <v>87279.46</v>
      </c>
      <c r="I188" s="3">
        <v>45702</v>
      </c>
      <c r="J188" s="102">
        <v>45712</v>
      </c>
      <c r="K188" s="5">
        <v>45714</v>
      </c>
      <c r="L188" s="22" t="s">
        <v>731</v>
      </c>
      <c r="M188" s="35">
        <v>0</v>
      </c>
      <c r="N188" s="15"/>
      <c r="O188" t="s">
        <v>202</v>
      </c>
      <c r="P188" t="s">
        <v>340</v>
      </c>
      <c r="Q188" t="s">
        <v>213</v>
      </c>
    </row>
    <row r="189" spans="1:17" x14ac:dyDescent="0.3">
      <c r="A189" s="9">
        <v>1394</v>
      </c>
      <c r="B189" t="s">
        <v>210</v>
      </c>
      <c r="C189" t="s">
        <v>38</v>
      </c>
      <c r="D189" t="s">
        <v>523</v>
      </c>
      <c r="E189" s="121">
        <v>8222</v>
      </c>
      <c r="F189" s="13">
        <v>45686</v>
      </c>
      <c r="G189" s="24">
        <v>111600.22</v>
      </c>
      <c r="H189" s="24">
        <v>104011.41</v>
      </c>
      <c r="I189" s="3">
        <v>45707</v>
      </c>
      <c r="J189" s="102">
        <v>45719</v>
      </c>
      <c r="K189" s="5">
        <v>45721</v>
      </c>
      <c r="L189" s="22" t="s">
        <v>731</v>
      </c>
      <c r="M189" s="35">
        <v>0</v>
      </c>
      <c r="N189" s="15"/>
      <c r="O189" t="s">
        <v>202</v>
      </c>
      <c r="P189" t="s">
        <v>340</v>
      </c>
      <c r="Q189" t="s">
        <v>213</v>
      </c>
    </row>
    <row r="190" spans="1:17" x14ac:dyDescent="0.3">
      <c r="A190" s="9">
        <v>1394</v>
      </c>
      <c r="B190" t="s">
        <v>210</v>
      </c>
      <c r="C190" t="s">
        <v>38</v>
      </c>
      <c r="D190" t="s">
        <v>523</v>
      </c>
      <c r="E190" s="121">
        <v>8223</v>
      </c>
      <c r="F190" s="13">
        <v>45686</v>
      </c>
      <c r="G190" s="24">
        <v>151139.01</v>
      </c>
      <c r="H190" s="24">
        <v>140861.56</v>
      </c>
      <c r="I190" s="3">
        <v>45708</v>
      </c>
      <c r="J190" s="102">
        <v>45726</v>
      </c>
      <c r="K190" s="5">
        <v>45721</v>
      </c>
      <c r="L190" s="22" t="s">
        <v>731</v>
      </c>
      <c r="M190" s="35">
        <v>0</v>
      </c>
      <c r="N190" s="15"/>
      <c r="O190" t="s">
        <v>202</v>
      </c>
      <c r="P190" t="s">
        <v>340</v>
      </c>
      <c r="Q190" t="s">
        <v>213</v>
      </c>
    </row>
    <row r="191" spans="1:17" x14ac:dyDescent="0.3">
      <c r="A191" s="9">
        <v>1394</v>
      </c>
      <c r="B191" t="s">
        <v>210</v>
      </c>
      <c r="C191" t="s">
        <v>38</v>
      </c>
      <c r="D191" t="s">
        <v>523</v>
      </c>
      <c r="E191" s="121">
        <v>8268</v>
      </c>
      <c r="F191" s="13">
        <v>45686</v>
      </c>
      <c r="G191" s="24">
        <v>222403.39</v>
      </c>
      <c r="H191" s="24">
        <v>207279.96</v>
      </c>
      <c r="I191" s="3">
        <v>45748</v>
      </c>
      <c r="J191" s="102">
        <v>45761</v>
      </c>
      <c r="K191" s="5">
        <v>45762</v>
      </c>
      <c r="L191" s="22" t="s">
        <v>731</v>
      </c>
      <c r="M191" s="35">
        <v>0</v>
      </c>
      <c r="N191" s="15"/>
      <c r="O191" t="s">
        <v>202</v>
      </c>
      <c r="P191" t="s">
        <v>340</v>
      </c>
      <c r="Q191" t="s">
        <v>213</v>
      </c>
    </row>
    <row r="192" spans="1:17" x14ac:dyDescent="0.3">
      <c r="A192" s="9">
        <v>1394</v>
      </c>
      <c r="B192" t="s">
        <v>210</v>
      </c>
      <c r="C192" t="s">
        <v>38</v>
      </c>
      <c r="D192" t="s">
        <v>523</v>
      </c>
      <c r="E192" s="121">
        <v>8257</v>
      </c>
      <c r="F192" s="13">
        <v>45686</v>
      </c>
      <c r="G192" s="24">
        <v>127355.8</v>
      </c>
      <c r="H192" s="24">
        <v>118695.6</v>
      </c>
      <c r="I192" s="3">
        <v>45733</v>
      </c>
      <c r="J192" s="102">
        <v>45740</v>
      </c>
      <c r="K192" s="12">
        <v>45742</v>
      </c>
      <c r="L192" s="19" t="s">
        <v>731</v>
      </c>
      <c r="M192" s="35">
        <v>0</v>
      </c>
      <c r="N192" s="15"/>
      <c r="O192" t="s">
        <v>202</v>
      </c>
      <c r="P192" t="s">
        <v>340</v>
      </c>
      <c r="Q192" t="s">
        <v>213</v>
      </c>
    </row>
    <row r="193" spans="1:17" x14ac:dyDescent="0.3">
      <c r="A193" s="9">
        <v>1394</v>
      </c>
      <c r="B193" t="s">
        <v>210</v>
      </c>
      <c r="C193" t="s">
        <v>38</v>
      </c>
      <c r="D193" t="s">
        <v>523</v>
      </c>
      <c r="E193" s="121">
        <v>8250</v>
      </c>
      <c r="F193" s="13">
        <v>45686</v>
      </c>
      <c r="G193" s="24">
        <v>85000</v>
      </c>
      <c r="H193" s="24">
        <v>79220</v>
      </c>
      <c r="I193" s="3">
        <v>45729</v>
      </c>
      <c r="J193" s="102">
        <v>45740</v>
      </c>
      <c r="K193" s="12">
        <v>45742</v>
      </c>
      <c r="L193" s="19" t="s">
        <v>731</v>
      </c>
      <c r="M193" s="35">
        <v>0</v>
      </c>
      <c r="N193" s="15"/>
      <c r="O193" t="s">
        <v>202</v>
      </c>
      <c r="P193" t="s">
        <v>340</v>
      </c>
      <c r="Q193" t="s">
        <v>213</v>
      </c>
    </row>
    <row r="194" spans="1:17" x14ac:dyDescent="0.3">
      <c r="A194" s="9">
        <v>1394</v>
      </c>
      <c r="B194" t="s">
        <v>210</v>
      </c>
      <c r="C194" t="s">
        <v>38</v>
      </c>
      <c r="D194" t="s">
        <v>523</v>
      </c>
      <c r="E194" s="121">
        <v>8251</v>
      </c>
      <c r="F194" s="13">
        <v>45686</v>
      </c>
      <c r="G194" s="24">
        <v>283355.11</v>
      </c>
      <c r="H194" s="24">
        <v>264086.96000000002</v>
      </c>
      <c r="I194" s="3">
        <v>45729</v>
      </c>
      <c r="J194" s="102">
        <v>45740</v>
      </c>
      <c r="K194" s="5">
        <v>45743</v>
      </c>
      <c r="L194" s="22" t="s">
        <v>731</v>
      </c>
      <c r="M194" s="35">
        <v>0</v>
      </c>
      <c r="N194" s="15"/>
      <c r="O194" t="s">
        <v>202</v>
      </c>
      <c r="P194" t="s">
        <v>340</v>
      </c>
      <c r="Q194" t="s">
        <v>213</v>
      </c>
    </row>
    <row r="195" spans="1:17" x14ac:dyDescent="0.3">
      <c r="A195" s="25">
        <v>1360</v>
      </c>
      <c r="B195" t="s">
        <v>71</v>
      </c>
      <c r="C195" t="s">
        <v>44</v>
      </c>
      <c r="D195" t="s">
        <v>483</v>
      </c>
      <c r="E195" s="121">
        <v>3755</v>
      </c>
      <c r="F195" s="13">
        <v>45686</v>
      </c>
      <c r="G195" s="24">
        <v>105832</v>
      </c>
      <c r="H195" s="24">
        <v>99323.33</v>
      </c>
      <c r="I195" s="3">
        <v>45678</v>
      </c>
      <c r="J195" s="102">
        <v>45719</v>
      </c>
      <c r="K195" s="12">
        <v>45721</v>
      </c>
      <c r="L195" s="19" t="s">
        <v>731</v>
      </c>
      <c r="M195" s="36"/>
      <c r="N195"/>
      <c r="O195" t="s">
        <v>199</v>
      </c>
      <c r="P195" t="s">
        <v>376</v>
      </c>
      <c r="Q195" t="s">
        <v>203</v>
      </c>
    </row>
    <row r="196" spans="1:17" x14ac:dyDescent="0.3">
      <c r="A196" s="25">
        <v>1360</v>
      </c>
      <c r="B196" t="s">
        <v>71</v>
      </c>
      <c r="C196" t="s">
        <v>44</v>
      </c>
      <c r="D196" t="s">
        <v>483</v>
      </c>
      <c r="E196" s="121">
        <v>3754</v>
      </c>
      <c r="F196" s="13">
        <v>45686</v>
      </c>
      <c r="G196" s="24">
        <v>23460</v>
      </c>
      <c r="H196" s="24">
        <v>22017.21</v>
      </c>
      <c r="I196" s="3">
        <v>45678</v>
      </c>
      <c r="J196" s="102">
        <v>45719</v>
      </c>
      <c r="K196" s="12">
        <v>45721</v>
      </c>
      <c r="L196" s="19" t="s">
        <v>731</v>
      </c>
      <c r="M196" s="36"/>
      <c r="N196"/>
      <c r="O196" t="s">
        <v>199</v>
      </c>
      <c r="P196" t="s">
        <v>376</v>
      </c>
      <c r="Q196" t="s">
        <v>203</v>
      </c>
    </row>
    <row r="197" spans="1:17" x14ac:dyDescent="0.3">
      <c r="A197" s="25">
        <v>1360</v>
      </c>
      <c r="B197" t="s">
        <v>71</v>
      </c>
      <c r="C197" t="s">
        <v>44</v>
      </c>
      <c r="D197" t="s">
        <v>483</v>
      </c>
      <c r="E197" s="121">
        <v>3753</v>
      </c>
      <c r="F197" s="13">
        <v>45686</v>
      </c>
      <c r="G197" s="24">
        <v>75270.8</v>
      </c>
      <c r="H197" s="24">
        <v>70641.649999999994</v>
      </c>
      <c r="I197" s="3">
        <v>45678</v>
      </c>
      <c r="J197" s="102">
        <v>45719</v>
      </c>
      <c r="K197" s="12">
        <v>45721</v>
      </c>
      <c r="L197" s="19" t="s">
        <v>731</v>
      </c>
      <c r="M197" s="36"/>
      <c r="N197"/>
      <c r="O197" t="s">
        <v>199</v>
      </c>
      <c r="P197" t="s">
        <v>376</v>
      </c>
      <c r="Q197" t="s">
        <v>203</v>
      </c>
    </row>
    <row r="198" spans="1:17" x14ac:dyDescent="0.3">
      <c r="A198" s="25">
        <v>1360</v>
      </c>
      <c r="B198" t="s">
        <v>71</v>
      </c>
      <c r="C198" t="s">
        <v>44</v>
      </c>
      <c r="D198" t="s">
        <v>483</v>
      </c>
      <c r="E198" s="121">
        <v>3752</v>
      </c>
      <c r="F198" s="13">
        <v>45686</v>
      </c>
      <c r="G198" s="24">
        <v>45432</v>
      </c>
      <c r="H198" s="24">
        <v>42637.93</v>
      </c>
      <c r="I198" s="3">
        <v>45678</v>
      </c>
      <c r="J198" s="102">
        <v>45719</v>
      </c>
      <c r="K198" s="12">
        <v>45721</v>
      </c>
      <c r="L198" s="19" t="s">
        <v>731</v>
      </c>
      <c r="M198" s="36"/>
      <c r="N198"/>
      <c r="O198" t="s">
        <v>199</v>
      </c>
      <c r="P198" t="s">
        <v>376</v>
      </c>
      <c r="Q198" t="s">
        <v>203</v>
      </c>
    </row>
    <row r="199" spans="1:17" x14ac:dyDescent="0.3">
      <c r="A199" s="25">
        <v>1360</v>
      </c>
      <c r="B199" t="s">
        <v>71</v>
      </c>
      <c r="C199" t="s">
        <v>44</v>
      </c>
      <c r="D199" t="s">
        <v>483</v>
      </c>
      <c r="E199" s="121">
        <v>3751</v>
      </c>
      <c r="F199" s="96">
        <v>45686</v>
      </c>
      <c r="G199" s="97">
        <v>40668.800000000003</v>
      </c>
      <c r="H199" s="97">
        <v>38167.67</v>
      </c>
      <c r="I199" s="98">
        <v>45678</v>
      </c>
      <c r="J199" s="101">
        <v>45992</v>
      </c>
      <c r="K199" s="12">
        <v>45995</v>
      </c>
      <c r="L199" s="19" t="s">
        <v>731</v>
      </c>
      <c r="M199" s="36"/>
      <c r="N199"/>
      <c r="O199" t="s">
        <v>199</v>
      </c>
      <c r="P199" t="s">
        <v>376</v>
      </c>
      <c r="Q199" t="s">
        <v>203</v>
      </c>
    </row>
    <row r="200" spans="1:17" x14ac:dyDescent="0.3">
      <c r="A200" s="25">
        <v>1360</v>
      </c>
      <c r="B200" t="s">
        <v>71</v>
      </c>
      <c r="C200" t="s">
        <v>44</v>
      </c>
      <c r="D200" t="s">
        <v>483</v>
      </c>
      <c r="E200" s="121">
        <v>3760</v>
      </c>
      <c r="F200" s="13">
        <v>45686</v>
      </c>
      <c r="G200" s="24">
        <v>88000</v>
      </c>
      <c r="H200" s="24">
        <v>82588</v>
      </c>
      <c r="I200" s="3">
        <v>45679</v>
      </c>
      <c r="J200" s="102">
        <v>45719</v>
      </c>
      <c r="K200" s="12">
        <v>45721</v>
      </c>
      <c r="L200" s="19" t="s">
        <v>731</v>
      </c>
      <c r="M200" s="36"/>
      <c r="N200"/>
      <c r="O200" t="s">
        <v>199</v>
      </c>
      <c r="P200" t="s">
        <v>376</v>
      </c>
      <c r="Q200" t="s">
        <v>203</v>
      </c>
    </row>
    <row r="201" spans="1:17" x14ac:dyDescent="0.3">
      <c r="A201" s="25">
        <v>1360</v>
      </c>
      <c r="B201" t="s">
        <v>71</v>
      </c>
      <c r="C201" t="s">
        <v>44</v>
      </c>
      <c r="D201" t="s">
        <v>483</v>
      </c>
      <c r="E201" s="121">
        <v>3759</v>
      </c>
      <c r="F201" s="13">
        <v>45686</v>
      </c>
      <c r="G201" s="24">
        <v>31250.240000000002</v>
      </c>
      <c r="H201" s="24">
        <v>29328.35</v>
      </c>
      <c r="I201" s="3">
        <v>45679</v>
      </c>
      <c r="J201" s="102">
        <v>45719</v>
      </c>
      <c r="K201" s="12">
        <v>45721</v>
      </c>
      <c r="L201" s="19" t="s">
        <v>731</v>
      </c>
      <c r="M201" s="36"/>
      <c r="N201"/>
      <c r="O201" t="s">
        <v>199</v>
      </c>
      <c r="P201" t="s">
        <v>376</v>
      </c>
      <c r="Q201" t="s">
        <v>203</v>
      </c>
    </row>
    <row r="202" spans="1:17" x14ac:dyDescent="0.3">
      <c r="A202" s="25">
        <v>1360</v>
      </c>
      <c r="B202" t="s">
        <v>71</v>
      </c>
      <c r="C202" t="s">
        <v>44</v>
      </c>
      <c r="D202" t="s">
        <v>483</v>
      </c>
      <c r="E202" s="121">
        <v>3758</v>
      </c>
      <c r="F202" s="13">
        <v>45686</v>
      </c>
      <c r="G202" s="24">
        <v>76074.149999999994</v>
      </c>
      <c r="H202" s="24">
        <v>71395.600000000006</v>
      </c>
      <c r="I202" s="3">
        <v>45679</v>
      </c>
      <c r="J202" s="102">
        <v>45719</v>
      </c>
      <c r="K202" s="12">
        <v>45721</v>
      </c>
      <c r="L202" s="19" t="s">
        <v>731</v>
      </c>
      <c r="M202" s="36"/>
      <c r="N202"/>
      <c r="O202" t="s">
        <v>199</v>
      </c>
      <c r="P202" t="s">
        <v>376</v>
      </c>
      <c r="Q202" t="s">
        <v>203</v>
      </c>
    </row>
    <row r="203" spans="1:17" x14ac:dyDescent="0.3">
      <c r="A203" s="25">
        <v>1360</v>
      </c>
      <c r="B203" t="s">
        <v>71</v>
      </c>
      <c r="C203" t="s">
        <v>44</v>
      </c>
      <c r="D203" t="s">
        <v>483</v>
      </c>
      <c r="E203" s="121">
        <v>3773</v>
      </c>
      <c r="F203" s="13">
        <v>45686</v>
      </c>
      <c r="G203" s="24">
        <v>35963.199999999997</v>
      </c>
      <c r="H203" s="24">
        <v>33751.46</v>
      </c>
      <c r="I203" s="3">
        <v>45684</v>
      </c>
      <c r="J203" s="102">
        <v>45719</v>
      </c>
      <c r="K203" s="12">
        <v>45721</v>
      </c>
      <c r="L203" s="19" t="s">
        <v>731</v>
      </c>
      <c r="M203" s="36"/>
      <c r="N203"/>
      <c r="O203" t="s">
        <v>199</v>
      </c>
      <c r="P203" t="s">
        <v>376</v>
      </c>
      <c r="Q203" t="s">
        <v>203</v>
      </c>
    </row>
    <row r="204" spans="1:17" x14ac:dyDescent="0.3">
      <c r="A204" s="25">
        <v>1360</v>
      </c>
      <c r="B204" t="s">
        <v>71</v>
      </c>
      <c r="C204" t="s">
        <v>44</v>
      </c>
      <c r="D204" t="s">
        <v>483</v>
      </c>
      <c r="E204" s="121">
        <v>3771</v>
      </c>
      <c r="F204" s="13">
        <v>45686</v>
      </c>
      <c r="G204" s="24">
        <v>7528</v>
      </c>
      <c r="H204" s="24">
        <v>7065.03</v>
      </c>
      <c r="I204" s="3">
        <v>45684</v>
      </c>
      <c r="J204" s="102">
        <v>45719</v>
      </c>
      <c r="K204" s="12">
        <v>45721</v>
      </c>
      <c r="L204" s="19" t="s">
        <v>731</v>
      </c>
      <c r="M204" s="36"/>
      <c r="N204"/>
      <c r="O204" t="s">
        <v>199</v>
      </c>
      <c r="P204" t="s">
        <v>376</v>
      </c>
      <c r="Q204" t="s">
        <v>203</v>
      </c>
    </row>
    <row r="205" spans="1:17" x14ac:dyDescent="0.3">
      <c r="A205" s="25">
        <v>1360</v>
      </c>
      <c r="B205" t="s">
        <v>71</v>
      </c>
      <c r="C205" t="s">
        <v>44</v>
      </c>
      <c r="D205" t="s">
        <v>483</v>
      </c>
      <c r="E205" s="121">
        <v>3774</v>
      </c>
      <c r="F205" s="13">
        <v>45686</v>
      </c>
      <c r="G205" s="24">
        <v>86083.6</v>
      </c>
      <c r="H205" s="24">
        <v>80789.460000000006</v>
      </c>
      <c r="I205" s="3">
        <v>45685</v>
      </c>
      <c r="J205" s="102">
        <v>45719</v>
      </c>
      <c r="K205" s="12">
        <v>45721</v>
      </c>
      <c r="L205" s="19" t="s">
        <v>731</v>
      </c>
      <c r="M205" s="36"/>
      <c r="N205"/>
      <c r="O205" t="s">
        <v>199</v>
      </c>
      <c r="P205" t="s">
        <v>376</v>
      </c>
      <c r="Q205" t="s">
        <v>203</v>
      </c>
    </row>
    <row r="206" spans="1:17" x14ac:dyDescent="0.3">
      <c r="A206" s="25">
        <v>1360</v>
      </c>
      <c r="B206" t="s">
        <v>71</v>
      </c>
      <c r="C206" t="s">
        <v>44</v>
      </c>
      <c r="D206" t="s">
        <v>483</v>
      </c>
      <c r="E206" s="121">
        <v>3845</v>
      </c>
      <c r="F206" s="13">
        <v>45686</v>
      </c>
      <c r="G206" s="24">
        <v>22584</v>
      </c>
      <c r="H206" s="24">
        <v>21195.08</v>
      </c>
      <c r="I206" s="3">
        <v>45713</v>
      </c>
      <c r="J206" s="102">
        <v>45747</v>
      </c>
      <c r="K206" s="12">
        <v>45747</v>
      </c>
      <c r="L206" s="19" t="s">
        <v>731</v>
      </c>
      <c r="M206" s="36"/>
      <c r="N206"/>
      <c r="O206" t="s">
        <v>199</v>
      </c>
      <c r="P206" t="s">
        <v>376</v>
      </c>
      <c r="Q206" t="s">
        <v>203</v>
      </c>
    </row>
    <row r="207" spans="1:17" x14ac:dyDescent="0.3">
      <c r="A207" s="25">
        <v>1387</v>
      </c>
      <c r="B207" t="s">
        <v>71</v>
      </c>
      <c r="C207" t="s">
        <v>44</v>
      </c>
      <c r="D207" t="s">
        <v>517</v>
      </c>
      <c r="E207" s="121">
        <v>3756</v>
      </c>
      <c r="F207" s="13">
        <v>45686</v>
      </c>
      <c r="G207" s="24">
        <v>30648</v>
      </c>
      <c r="H207" s="24">
        <v>28763.15</v>
      </c>
      <c r="I207" s="3">
        <v>45678</v>
      </c>
      <c r="J207" s="102">
        <v>45719</v>
      </c>
      <c r="K207" s="12">
        <v>45721</v>
      </c>
      <c r="L207" s="19" t="s">
        <v>731</v>
      </c>
      <c r="M207" s="36"/>
      <c r="N207"/>
      <c r="O207" t="s">
        <v>202</v>
      </c>
      <c r="P207" t="s">
        <v>376</v>
      </c>
      <c r="Q207" t="s">
        <v>203</v>
      </c>
    </row>
    <row r="208" spans="1:17" x14ac:dyDescent="0.3">
      <c r="A208" s="25">
        <v>1387</v>
      </c>
      <c r="B208" t="s">
        <v>71</v>
      </c>
      <c r="C208" t="s">
        <v>44</v>
      </c>
      <c r="D208" t="s">
        <v>517</v>
      </c>
      <c r="E208" s="121">
        <v>3761</v>
      </c>
      <c r="F208" s="13">
        <v>45686</v>
      </c>
      <c r="G208" s="24">
        <v>30932.959999999999</v>
      </c>
      <c r="H208" s="24">
        <v>29030.59</v>
      </c>
      <c r="I208" s="3">
        <v>45679</v>
      </c>
      <c r="J208" s="102">
        <v>45719</v>
      </c>
      <c r="K208" s="12">
        <v>45721</v>
      </c>
      <c r="L208" s="19" t="s">
        <v>731</v>
      </c>
      <c r="M208" s="36"/>
      <c r="N208"/>
      <c r="O208" t="s">
        <v>202</v>
      </c>
      <c r="P208" t="s">
        <v>376</v>
      </c>
      <c r="Q208" t="s">
        <v>203</v>
      </c>
    </row>
    <row r="209" spans="1:17" x14ac:dyDescent="0.3">
      <c r="A209" s="25">
        <v>1387</v>
      </c>
      <c r="B209" t="s">
        <v>71</v>
      </c>
      <c r="C209" t="s">
        <v>44</v>
      </c>
      <c r="D209" t="s">
        <v>517</v>
      </c>
      <c r="E209" s="121">
        <v>3772</v>
      </c>
      <c r="F209" s="13">
        <v>45686</v>
      </c>
      <c r="G209" s="24">
        <v>3838.8</v>
      </c>
      <c r="H209" s="24">
        <v>3602.72</v>
      </c>
      <c r="I209" s="3">
        <v>45684</v>
      </c>
      <c r="J209" s="102">
        <v>45719</v>
      </c>
      <c r="K209" s="12">
        <v>45721</v>
      </c>
      <c r="L209" s="19" t="s">
        <v>731</v>
      </c>
      <c r="M209" s="36"/>
      <c r="N209"/>
      <c r="O209" t="s">
        <v>202</v>
      </c>
      <c r="P209" t="s">
        <v>376</v>
      </c>
      <c r="Q209" t="s">
        <v>203</v>
      </c>
    </row>
    <row r="210" spans="1:17" x14ac:dyDescent="0.3">
      <c r="A210" s="25">
        <v>1387</v>
      </c>
      <c r="B210" t="s">
        <v>71</v>
      </c>
      <c r="C210" t="s">
        <v>44</v>
      </c>
      <c r="D210" t="s">
        <v>517</v>
      </c>
      <c r="E210" s="121">
        <v>3775</v>
      </c>
      <c r="F210" s="13">
        <v>45686</v>
      </c>
      <c r="G210" s="24">
        <v>68822.720000000001</v>
      </c>
      <c r="H210" s="24">
        <v>64590.12</v>
      </c>
      <c r="I210" s="3">
        <v>45685</v>
      </c>
      <c r="J210" s="102">
        <v>45719</v>
      </c>
      <c r="K210" s="12">
        <v>45721</v>
      </c>
      <c r="L210" s="19" t="s">
        <v>731</v>
      </c>
      <c r="M210" s="36"/>
      <c r="N210"/>
      <c r="O210" t="s">
        <v>202</v>
      </c>
      <c r="P210" t="s">
        <v>376</v>
      </c>
      <c r="Q210" t="s">
        <v>203</v>
      </c>
    </row>
    <row r="211" spans="1:17" x14ac:dyDescent="0.3">
      <c r="A211" s="25">
        <v>1470</v>
      </c>
      <c r="B211" t="s">
        <v>212</v>
      </c>
      <c r="C211" t="s">
        <v>175</v>
      </c>
      <c r="D211" t="s">
        <v>620</v>
      </c>
      <c r="E211" s="121">
        <v>8202</v>
      </c>
      <c r="F211" s="13">
        <v>45686</v>
      </c>
      <c r="G211" s="24">
        <v>36700</v>
      </c>
      <c r="H211" s="24">
        <v>33708.949999999997</v>
      </c>
      <c r="I211" s="3">
        <v>45691</v>
      </c>
      <c r="J211" s="102">
        <v>45705</v>
      </c>
      <c r="K211" s="12">
        <v>45705</v>
      </c>
      <c r="L211" s="19" t="s">
        <v>731</v>
      </c>
      <c r="M211" s="36">
        <v>0</v>
      </c>
      <c r="N211" s="26"/>
      <c r="O211" t="s">
        <v>202</v>
      </c>
      <c r="P211" t="s">
        <v>328</v>
      </c>
      <c r="Q211" t="s">
        <v>213</v>
      </c>
    </row>
    <row r="212" spans="1:17" x14ac:dyDescent="0.3">
      <c r="A212" s="25">
        <v>1287</v>
      </c>
      <c r="B212" t="s">
        <v>204</v>
      </c>
      <c r="C212" t="s">
        <v>39</v>
      </c>
      <c r="D212" t="s">
        <v>406</v>
      </c>
      <c r="E212" s="121">
        <v>1223</v>
      </c>
      <c r="F212" s="13">
        <v>45686</v>
      </c>
      <c r="G212" s="24">
        <v>314860.65000000002</v>
      </c>
      <c r="H212" s="24">
        <v>282430.01</v>
      </c>
      <c r="I212" s="3">
        <v>45706</v>
      </c>
      <c r="J212" s="102">
        <v>45733</v>
      </c>
      <c r="K212" s="12">
        <v>45736</v>
      </c>
      <c r="L212" s="19" t="s">
        <v>731</v>
      </c>
      <c r="M212" s="36">
        <v>0</v>
      </c>
      <c r="N212" s="26"/>
      <c r="O212" t="s">
        <v>199</v>
      </c>
      <c r="P212" t="s">
        <v>340</v>
      </c>
      <c r="Q212" t="s">
        <v>217</v>
      </c>
    </row>
    <row r="213" spans="1:17" x14ac:dyDescent="0.3">
      <c r="A213" s="25">
        <v>1273</v>
      </c>
      <c r="B213" t="s">
        <v>204</v>
      </c>
      <c r="C213" t="s">
        <v>39</v>
      </c>
      <c r="D213" t="s">
        <v>389</v>
      </c>
      <c r="E213" s="121">
        <v>1227</v>
      </c>
      <c r="F213" s="13">
        <v>45686</v>
      </c>
      <c r="G213" s="2">
        <v>562961.24</v>
      </c>
      <c r="H213" s="24">
        <v>504976.24</v>
      </c>
      <c r="I213" s="3">
        <v>45723</v>
      </c>
      <c r="J213" s="102">
        <v>45740</v>
      </c>
      <c r="K213" s="12">
        <v>45741</v>
      </c>
      <c r="L213" s="19" t="s">
        <v>731</v>
      </c>
      <c r="M213" s="36">
        <v>0</v>
      </c>
      <c r="N213"/>
      <c r="O213" t="s">
        <v>202</v>
      </c>
      <c r="P213" t="s">
        <v>340</v>
      </c>
      <c r="Q213" t="s">
        <v>217</v>
      </c>
    </row>
    <row r="214" spans="1:17" x14ac:dyDescent="0.3">
      <c r="A214" s="9">
        <v>1277</v>
      </c>
      <c r="B214" t="s">
        <v>204</v>
      </c>
      <c r="C214" t="s">
        <v>39</v>
      </c>
      <c r="D214" t="s">
        <v>393</v>
      </c>
      <c r="E214" s="121">
        <v>1228</v>
      </c>
      <c r="F214" s="13">
        <v>45686</v>
      </c>
      <c r="G214" s="24">
        <v>154365.24</v>
      </c>
      <c r="H214" s="11">
        <v>138465.63</v>
      </c>
      <c r="I214" s="3">
        <v>45723</v>
      </c>
      <c r="J214" s="102">
        <v>45740</v>
      </c>
      <c r="K214" s="12">
        <v>45741</v>
      </c>
      <c r="L214" s="19" t="s">
        <v>731</v>
      </c>
      <c r="M214" s="35">
        <v>0</v>
      </c>
      <c r="N214"/>
      <c r="O214" t="s">
        <v>202</v>
      </c>
      <c r="P214" t="s">
        <v>340</v>
      </c>
      <c r="Q214" t="s">
        <v>217</v>
      </c>
    </row>
    <row r="215" spans="1:17" x14ac:dyDescent="0.3">
      <c r="A215" s="25">
        <v>1483</v>
      </c>
      <c r="B215" t="s">
        <v>212</v>
      </c>
      <c r="C215" t="s">
        <v>178</v>
      </c>
      <c r="D215" t="s">
        <v>633</v>
      </c>
      <c r="E215" s="121">
        <v>8200</v>
      </c>
      <c r="F215" s="13">
        <v>45686</v>
      </c>
      <c r="G215" s="24">
        <v>53591.199999999997</v>
      </c>
      <c r="H215" s="24">
        <v>50295.34</v>
      </c>
      <c r="I215" s="3">
        <v>45691</v>
      </c>
      <c r="J215" s="102">
        <v>45719</v>
      </c>
      <c r="K215" s="12">
        <v>45722</v>
      </c>
      <c r="L215" s="19" t="s">
        <v>731</v>
      </c>
      <c r="M215" s="36">
        <v>0</v>
      </c>
      <c r="N215" s="26"/>
      <c r="O215" t="s">
        <v>202</v>
      </c>
      <c r="P215" t="s">
        <v>328</v>
      </c>
      <c r="Q215" t="s">
        <v>207</v>
      </c>
    </row>
    <row r="216" spans="1:17" x14ac:dyDescent="0.3">
      <c r="A216" s="25">
        <v>1390</v>
      </c>
      <c r="B216" t="s">
        <v>84</v>
      </c>
      <c r="C216" t="s">
        <v>16</v>
      </c>
      <c r="D216" t="s">
        <v>519</v>
      </c>
      <c r="E216" s="121">
        <v>1307</v>
      </c>
      <c r="F216" s="13">
        <v>45928</v>
      </c>
      <c r="G216" s="24">
        <v>146956.59</v>
      </c>
      <c r="H216" s="24">
        <v>129836.15</v>
      </c>
      <c r="I216" s="3">
        <v>45953</v>
      </c>
      <c r="J216" s="102">
        <v>46041</v>
      </c>
      <c r="K216" s="12">
        <v>46041</v>
      </c>
      <c r="L216" s="19" t="s">
        <v>731</v>
      </c>
      <c r="M216" s="36"/>
      <c r="N216"/>
      <c r="O216" t="s">
        <v>202</v>
      </c>
      <c r="P216" t="s">
        <v>328</v>
      </c>
      <c r="Q216" t="s">
        <v>207</v>
      </c>
    </row>
    <row r="217" spans="1:17" x14ac:dyDescent="0.3">
      <c r="A217" s="25">
        <v>1275</v>
      </c>
      <c r="B217" t="s">
        <v>193</v>
      </c>
      <c r="C217" t="s">
        <v>165</v>
      </c>
      <c r="D217" t="s">
        <v>391</v>
      </c>
      <c r="E217" s="121">
        <v>3782</v>
      </c>
      <c r="F217" s="13">
        <v>45686</v>
      </c>
      <c r="G217" s="24">
        <v>31920</v>
      </c>
      <c r="H217" s="27">
        <v>29956.92</v>
      </c>
      <c r="I217" s="3">
        <v>45691</v>
      </c>
      <c r="J217" s="102">
        <v>45712</v>
      </c>
      <c r="K217" s="12">
        <v>45716</v>
      </c>
      <c r="L217" s="19" t="s">
        <v>731</v>
      </c>
      <c r="M217" s="36">
        <v>0</v>
      </c>
      <c r="N217" s="26"/>
      <c r="O217" t="s">
        <v>199</v>
      </c>
      <c r="P217" t="s">
        <v>376</v>
      </c>
      <c r="Q217" t="s">
        <v>207</v>
      </c>
    </row>
    <row r="218" spans="1:17" x14ac:dyDescent="0.3">
      <c r="A218" s="25">
        <v>1479</v>
      </c>
      <c r="B218" t="s">
        <v>193</v>
      </c>
      <c r="C218" t="s">
        <v>165</v>
      </c>
      <c r="D218" t="s">
        <v>629</v>
      </c>
      <c r="E218" s="121">
        <v>3796</v>
      </c>
      <c r="F218" s="13">
        <v>45686</v>
      </c>
      <c r="G218" s="24">
        <v>52080</v>
      </c>
      <c r="H218" s="27">
        <v>48877.08</v>
      </c>
      <c r="I218" s="3">
        <v>45694</v>
      </c>
      <c r="J218" s="102">
        <v>45712</v>
      </c>
      <c r="K218" s="12">
        <v>45716</v>
      </c>
      <c r="L218" s="19" t="s">
        <v>731</v>
      </c>
      <c r="M218" s="36">
        <v>0</v>
      </c>
      <c r="N218" s="26"/>
      <c r="O218" t="s">
        <v>201</v>
      </c>
      <c r="P218" t="s">
        <v>376</v>
      </c>
      <c r="Q218" t="s">
        <v>207</v>
      </c>
    </row>
    <row r="219" spans="1:17" x14ac:dyDescent="0.3">
      <c r="A219" s="25">
        <v>1455</v>
      </c>
      <c r="B219" t="s">
        <v>215</v>
      </c>
      <c r="C219" t="s">
        <v>60</v>
      </c>
      <c r="D219" t="s">
        <v>600</v>
      </c>
      <c r="E219" s="121">
        <v>1224</v>
      </c>
      <c r="F219" s="13">
        <v>45716</v>
      </c>
      <c r="G219" s="24">
        <v>54003.39</v>
      </c>
      <c r="H219" s="24">
        <v>47712</v>
      </c>
      <c r="I219" s="3">
        <v>45721</v>
      </c>
      <c r="J219" s="102">
        <v>45747</v>
      </c>
      <c r="K219" s="12">
        <v>45747</v>
      </c>
      <c r="L219" s="22" t="s">
        <v>731</v>
      </c>
      <c r="M219" s="42"/>
      <c r="N219" s="26"/>
      <c r="O219" t="s">
        <v>202</v>
      </c>
      <c r="P219" t="s">
        <v>373</v>
      </c>
      <c r="Q219" t="s">
        <v>213</v>
      </c>
    </row>
    <row r="220" spans="1:17" x14ac:dyDescent="0.3">
      <c r="A220" s="25">
        <v>1478</v>
      </c>
      <c r="B220" t="s">
        <v>71</v>
      </c>
      <c r="C220" t="s">
        <v>198</v>
      </c>
      <c r="D220" t="s">
        <v>628</v>
      </c>
      <c r="E220" s="121">
        <v>8241</v>
      </c>
      <c r="F220" s="13">
        <v>45716</v>
      </c>
      <c r="G220" s="24">
        <v>76256.009999999995</v>
      </c>
      <c r="H220" s="24">
        <v>71566.27</v>
      </c>
      <c r="I220" s="3">
        <v>45726</v>
      </c>
      <c r="J220" s="102">
        <v>45761</v>
      </c>
      <c r="K220" s="12">
        <v>45762</v>
      </c>
      <c r="L220" s="19" t="s">
        <v>731</v>
      </c>
      <c r="M220" s="36"/>
      <c r="N220"/>
      <c r="O220" t="s">
        <v>199</v>
      </c>
      <c r="P220" t="s">
        <v>376</v>
      </c>
      <c r="Q220" t="s">
        <v>203</v>
      </c>
    </row>
    <row r="221" spans="1:17" x14ac:dyDescent="0.3">
      <c r="A221" s="9">
        <v>1391</v>
      </c>
      <c r="B221" t="s">
        <v>71</v>
      </c>
      <c r="C221" t="s">
        <v>196</v>
      </c>
      <c r="D221" t="s">
        <v>520</v>
      </c>
      <c r="E221" s="121">
        <v>3871</v>
      </c>
      <c r="F221" s="13">
        <v>45716</v>
      </c>
      <c r="G221" s="28">
        <v>154804.57</v>
      </c>
      <c r="H221" s="28">
        <v>145284.07999999999</v>
      </c>
      <c r="I221" s="3">
        <v>45726</v>
      </c>
      <c r="J221" s="102">
        <v>45740</v>
      </c>
      <c r="K221" s="12">
        <v>45741</v>
      </c>
      <c r="L221" s="1" t="s">
        <v>731</v>
      </c>
      <c r="M221" s="38"/>
      <c r="N221" s="15"/>
      <c r="O221" t="s">
        <v>199</v>
      </c>
      <c r="P221" t="s">
        <v>376</v>
      </c>
      <c r="Q221" t="s">
        <v>203</v>
      </c>
    </row>
    <row r="222" spans="1:17" x14ac:dyDescent="0.3">
      <c r="A222" s="9">
        <v>1391</v>
      </c>
      <c r="B222" t="s">
        <v>71</v>
      </c>
      <c r="C222" t="s">
        <v>196</v>
      </c>
      <c r="D222" t="s">
        <v>520</v>
      </c>
      <c r="E222" s="121">
        <v>3884</v>
      </c>
      <c r="F222" s="13">
        <v>45716</v>
      </c>
      <c r="G222" s="28">
        <v>5074.72</v>
      </c>
      <c r="H222" s="28">
        <v>4762.63</v>
      </c>
      <c r="I222" s="3">
        <v>45729</v>
      </c>
      <c r="J222" s="102">
        <v>45740</v>
      </c>
      <c r="K222" s="12">
        <v>45744</v>
      </c>
      <c r="L222" s="1" t="s">
        <v>731</v>
      </c>
      <c r="M222" s="38"/>
      <c r="N222" s="15"/>
      <c r="O222" t="s">
        <v>199</v>
      </c>
      <c r="P222" t="s">
        <v>376</v>
      </c>
      <c r="Q222" t="s">
        <v>203</v>
      </c>
    </row>
    <row r="223" spans="1:17" x14ac:dyDescent="0.3">
      <c r="A223" s="9">
        <v>1391</v>
      </c>
      <c r="B223" t="s">
        <v>71</v>
      </c>
      <c r="C223" t="s">
        <v>196</v>
      </c>
      <c r="D223" t="s">
        <v>520</v>
      </c>
      <c r="E223" s="121">
        <v>3885</v>
      </c>
      <c r="F223" s="13">
        <v>45716</v>
      </c>
      <c r="G223" s="28">
        <v>186897.84</v>
      </c>
      <c r="H223" s="28">
        <v>175403.62</v>
      </c>
      <c r="I223" s="3">
        <v>45729</v>
      </c>
      <c r="J223" s="102">
        <v>45740</v>
      </c>
      <c r="K223" s="12">
        <v>45744</v>
      </c>
      <c r="L223" s="1" t="s">
        <v>731</v>
      </c>
      <c r="M223" s="38"/>
      <c r="N223" s="15"/>
      <c r="O223" t="s">
        <v>199</v>
      </c>
      <c r="P223" t="s">
        <v>376</v>
      </c>
      <c r="Q223" t="s">
        <v>203</v>
      </c>
    </row>
    <row r="224" spans="1:17" x14ac:dyDescent="0.3">
      <c r="A224" s="9">
        <v>1391</v>
      </c>
      <c r="B224" t="s">
        <v>71</v>
      </c>
      <c r="C224" t="s">
        <v>196</v>
      </c>
      <c r="D224" t="s">
        <v>520</v>
      </c>
      <c r="E224" s="121">
        <v>3887</v>
      </c>
      <c r="F224" s="13">
        <v>45716</v>
      </c>
      <c r="G224" s="28">
        <v>29313.599999999999</v>
      </c>
      <c r="H224" s="28">
        <v>27510.82</v>
      </c>
      <c r="I224" s="3">
        <v>45729</v>
      </c>
      <c r="J224" s="102">
        <v>45740</v>
      </c>
      <c r="K224" s="12">
        <v>45744</v>
      </c>
      <c r="L224" s="1" t="s">
        <v>731</v>
      </c>
      <c r="M224" s="38"/>
      <c r="N224" s="15"/>
      <c r="O224" t="s">
        <v>199</v>
      </c>
      <c r="P224" t="s">
        <v>376</v>
      </c>
      <c r="Q224" t="s">
        <v>203</v>
      </c>
    </row>
    <row r="225" spans="1:17" x14ac:dyDescent="0.3">
      <c r="A225" s="9">
        <v>1391</v>
      </c>
      <c r="B225" t="s">
        <v>71</v>
      </c>
      <c r="C225" t="s">
        <v>196</v>
      </c>
      <c r="D225" t="s">
        <v>520</v>
      </c>
      <c r="E225" s="121">
        <v>3891</v>
      </c>
      <c r="F225" s="13">
        <v>45716</v>
      </c>
      <c r="G225" s="28">
        <v>71276.399999999994</v>
      </c>
      <c r="H225" s="28">
        <v>66892.899999999994</v>
      </c>
      <c r="I225" s="3">
        <v>45729</v>
      </c>
      <c r="J225" s="102">
        <v>45740</v>
      </c>
      <c r="K225" s="12">
        <v>45744</v>
      </c>
      <c r="L225" s="1" t="s">
        <v>731</v>
      </c>
      <c r="M225" s="38"/>
      <c r="N225" s="15"/>
      <c r="O225" t="s">
        <v>199</v>
      </c>
      <c r="P225" t="s">
        <v>376</v>
      </c>
      <c r="Q225" t="s">
        <v>203</v>
      </c>
    </row>
    <row r="226" spans="1:17" x14ac:dyDescent="0.3">
      <c r="A226" s="9">
        <v>1391</v>
      </c>
      <c r="B226" t="s">
        <v>71</v>
      </c>
      <c r="C226" t="s">
        <v>196</v>
      </c>
      <c r="D226" t="s">
        <v>520</v>
      </c>
      <c r="E226" s="121">
        <v>3883</v>
      </c>
      <c r="F226" s="13">
        <v>45716</v>
      </c>
      <c r="G226" s="28">
        <v>102952.2</v>
      </c>
      <c r="H226" s="40">
        <v>96620.64</v>
      </c>
      <c r="I226" s="3">
        <v>45728</v>
      </c>
      <c r="J226" s="102">
        <v>45740</v>
      </c>
      <c r="K226" s="12">
        <v>45743</v>
      </c>
      <c r="L226" s="1" t="s">
        <v>731</v>
      </c>
      <c r="M226" s="36">
        <v>0</v>
      </c>
      <c r="N226"/>
      <c r="O226" t="s">
        <v>199</v>
      </c>
      <c r="P226" t="s">
        <v>376</v>
      </c>
      <c r="Q226" t="s">
        <v>203</v>
      </c>
    </row>
    <row r="227" spans="1:17" x14ac:dyDescent="0.3">
      <c r="A227" s="9">
        <v>1391</v>
      </c>
      <c r="B227" t="s">
        <v>71</v>
      </c>
      <c r="C227" t="s">
        <v>196</v>
      </c>
      <c r="D227" t="s">
        <v>520</v>
      </c>
      <c r="E227" s="121">
        <v>3933</v>
      </c>
      <c r="F227" s="13">
        <v>45716</v>
      </c>
      <c r="G227" s="28">
        <v>10546.47</v>
      </c>
      <c r="H227" s="28">
        <v>9897.86</v>
      </c>
      <c r="I227" s="3">
        <v>45747</v>
      </c>
      <c r="J227" s="102">
        <v>45761</v>
      </c>
      <c r="K227" s="12">
        <v>45762</v>
      </c>
      <c r="L227" s="1" t="s">
        <v>731</v>
      </c>
      <c r="M227" s="36">
        <v>0</v>
      </c>
      <c r="N227"/>
      <c r="O227" t="s">
        <v>199</v>
      </c>
      <c r="P227" t="s">
        <v>376</v>
      </c>
      <c r="Q227" t="s">
        <v>203</v>
      </c>
    </row>
    <row r="228" spans="1:17" x14ac:dyDescent="0.3">
      <c r="A228" s="9">
        <v>1391</v>
      </c>
      <c r="B228" t="s">
        <v>71</v>
      </c>
      <c r="C228" t="s">
        <v>196</v>
      </c>
      <c r="D228" t="s">
        <v>520</v>
      </c>
      <c r="E228" s="121">
        <v>3939</v>
      </c>
      <c r="F228" s="13">
        <v>45716</v>
      </c>
      <c r="G228" s="28">
        <v>21118</v>
      </c>
      <c r="H228" s="28">
        <v>19819.240000000002</v>
      </c>
      <c r="I228" s="3">
        <v>45749</v>
      </c>
      <c r="J228" s="102">
        <v>45761</v>
      </c>
      <c r="K228" s="12">
        <v>45764</v>
      </c>
      <c r="L228" s="1" t="s">
        <v>731</v>
      </c>
      <c r="M228" s="36">
        <v>0</v>
      </c>
      <c r="N228"/>
      <c r="O228" t="s">
        <v>199</v>
      </c>
      <c r="P228" t="s">
        <v>376</v>
      </c>
      <c r="Q228" t="s">
        <v>203</v>
      </c>
    </row>
    <row r="229" spans="1:17" x14ac:dyDescent="0.3">
      <c r="A229" s="25">
        <v>1294</v>
      </c>
      <c r="B229" t="s">
        <v>71</v>
      </c>
      <c r="C229" t="s">
        <v>196</v>
      </c>
      <c r="D229" t="s">
        <v>413</v>
      </c>
      <c r="E229" s="121">
        <v>3815</v>
      </c>
      <c r="F229" s="13">
        <v>45716</v>
      </c>
      <c r="G229" s="28">
        <v>41842.06</v>
      </c>
      <c r="H229" s="28">
        <v>39268.769999999997</v>
      </c>
      <c r="I229" s="3">
        <v>45701</v>
      </c>
      <c r="J229" s="102">
        <v>45712</v>
      </c>
      <c r="K229" s="12">
        <v>45716</v>
      </c>
      <c r="L229" s="1" t="s">
        <v>731</v>
      </c>
      <c r="M229" s="36">
        <v>0</v>
      </c>
      <c r="N229"/>
      <c r="O229" t="s">
        <v>199</v>
      </c>
      <c r="P229" t="s">
        <v>376</v>
      </c>
      <c r="Q229" t="s">
        <v>203</v>
      </c>
    </row>
    <row r="230" spans="1:17" x14ac:dyDescent="0.3">
      <c r="A230" s="25">
        <v>1294</v>
      </c>
      <c r="B230" t="s">
        <v>71</v>
      </c>
      <c r="C230" t="s">
        <v>196</v>
      </c>
      <c r="D230" t="s">
        <v>413</v>
      </c>
      <c r="E230" s="121">
        <v>3865</v>
      </c>
      <c r="F230" s="13">
        <v>45716</v>
      </c>
      <c r="G230" s="28">
        <v>6225.2</v>
      </c>
      <c r="H230" s="28">
        <v>5842.35</v>
      </c>
      <c r="I230" s="3">
        <v>45722</v>
      </c>
      <c r="J230" s="102">
        <v>45733</v>
      </c>
      <c r="K230" s="12">
        <v>45737</v>
      </c>
      <c r="L230" s="1" t="s">
        <v>731</v>
      </c>
      <c r="M230" s="36">
        <v>0</v>
      </c>
      <c r="N230"/>
      <c r="O230" t="s">
        <v>199</v>
      </c>
      <c r="P230" t="s">
        <v>376</v>
      </c>
      <c r="Q230" t="s">
        <v>203</v>
      </c>
    </row>
    <row r="231" spans="1:17" x14ac:dyDescent="0.3">
      <c r="A231" s="25">
        <v>1294</v>
      </c>
      <c r="B231" t="s">
        <v>71</v>
      </c>
      <c r="C231" t="s">
        <v>196</v>
      </c>
      <c r="D231" t="s">
        <v>413</v>
      </c>
      <c r="E231" s="121">
        <v>3896</v>
      </c>
      <c r="F231" s="13">
        <v>45716</v>
      </c>
      <c r="G231" s="28">
        <v>10587.49</v>
      </c>
      <c r="H231" s="28">
        <v>9936.36</v>
      </c>
      <c r="I231" s="3">
        <v>45733</v>
      </c>
      <c r="J231" s="102">
        <v>45747</v>
      </c>
      <c r="K231" s="12">
        <v>45747</v>
      </c>
      <c r="L231" s="1" t="s">
        <v>731</v>
      </c>
      <c r="M231" s="36">
        <v>0</v>
      </c>
      <c r="N231"/>
      <c r="O231" t="s">
        <v>199</v>
      </c>
      <c r="P231" t="s">
        <v>376</v>
      </c>
      <c r="Q231" t="s">
        <v>203</v>
      </c>
    </row>
    <row r="232" spans="1:17" x14ac:dyDescent="0.3">
      <c r="A232" s="25">
        <v>1294</v>
      </c>
      <c r="B232" t="s">
        <v>71</v>
      </c>
      <c r="C232" t="s">
        <v>196</v>
      </c>
      <c r="D232" t="s">
        <v>413</v>
      </c>
      <c r="E232" s="121">
        <v>3874</v>
      </c>
      <c r="F232" s="13">
        <v>45716</v>
      </c>
      <c r="G232" s="28">
        <v>191268</v>
      </c>
      <c r="H232" s="28">
        <v>179505.02</v>
      </c>
      <c r="I232" s="3">
        <v>45726</v>
      </c>
      <c r="J232" s="102">
        <v>45740</v>
      </c>
      <c r="K232" s="12">
        <v>45741</v>
      </c>
      <c r="L232" s="1" t="s">
        <v>731</v>
      </c>
      <c r="M232" s="36">
        <v>0</v>
      </c>
      <c r="N232"/>
      <c r="O232" t="s">
        <v>199</v>
      </c>
      <c r="P232" t="s">
        <v>376</v>
      </c>
      <c r="Q232" t="s">
        <v>203</v>
      </c>
    </row>
    <row r="233" spans="1:17" x14ac:dyDescent="0.3">
      <c r="A233" s="25">
        <v>1294</v>
      </c>
      <c r="B233" t="s">
        <v>71</v>
      </c>
      <c r="C233" t="s">
        <v>196</v>
      </c>
      <c r="D233" t="s">
        <v>413</v>
      </c>
      <c r="E233" s="121">
        <v>3873</v>
      </c>
      <c r="F233" s="13">
        <v>45716</v>
      </c>
      <c r="G233" s="28">
        <v>16782.740000000002</v>
      </c>
      <c r="H233" s="28">
        <v>15750.6</v>
      </c>
      <c r="I233" s="3">
        <v>45726</v>
      </c>
      <c r="J233" s="102">
        <v>45740</v>
      </c>
      <c r="K233" s="12">
        <v>45741</v>
      </c>
      <c r="L233" s="1" t="s">
        <v>731</v>
      </c>
      <c r="M233" s="36">
        <v>0</v>
      </c>
      <c r="N233"/>
      <c r="O233" t="s">
        <v>199</v>
      </c>
      <c r="P233" t="s">
        <v>376</v>
      </c>
      <c r="Q233" t="s">
        <v>203</v>
      </c>
    </row>
    <row r="234" spans="1:17" x14ac:dyDescent="0.3">
      <c r="A234" s="25">
        <v>1294</v>
      </c>
      <c r="B234" t="s">
        <v>71</v>
      </c>
      <c r="C234" t="s">
        <v>196</v>
      </c>
      <c r="D234" t="s">
        <v>413</v>
      </c>
      <c r="E234" s="121">
        <v>3876</v>
      </c>
      <c r="F234" s="13">
        <v>45716</v>
      </c>
      <c r="G234" s="28">
        <v>8542.83</v>
      </c>
      <c r="H234" s="28">
        <v>8017.45</v>
      </c>
      <c r="I234" s="3">
        <v>45727</v>
      </c>
      <c r="J234" s="102">
        <v>45740</v>
      </c>
      <c r="K234" s="12">
        <v>45742</v>
      </c>
      <c r="L234" s="1" t="s">
        <v>731</v>
      </c>
      <c r="M234" s="36">
        <v>0</v>
      </c>
      <c r="N234"/>
      <c r="O234" t="s">
        <v>199</v>
      </c>
      <c r="P234" t="s">
        <v>376</v>
      </c>
      <c r="Q234" t="s">
        <v>203</v>
      </c>
    </row>
    <row r="235" spans="1:17" x14ac:dyDescent="0.3">
      <c r="A235" s="25">
        <v>1294</v>
      </c>
      <c r="B235" t="s">
        <v>71</v>
      </c>
      <c r="C235" t="s">
        <v>196</v>
      </c>
      <c r="D235" t="s">
        <v>413</v>
      </c>
      <c r="E235" s="121">
        <v>3882</v>
      </c>
      <c r="F235" s="13">
        <v>45716</v>
      </c>
      <c r="G235" s="28">
        <v>57366.400000000001</v>
      </c>
      <c r="H235" s="40">
        <v>53838.36</v>
      </c>
      <c r="I235" s="3">
        <v>45728</v>
      </c>
      <c r="J235" s="102">
        <v>45740</v>
      </c>
      <c r="K235" s="12">
        <v>45743</v>
      </c>
      <c r="L235" s="1" t="s">
        <v>731</v>
      </c>
      <c r="M235" s="36">
        <v>0</v>
      </c>
      <c r="N235"/>
      <c r="O235" t="s">
        <v>199</v>
      </c>
      <c r="P235" t="s">
        <v>376</v>
      </c>
      <c r="Q235" t="s">
        <v>203</v>
      </c>
    </row>
    <row r="236" spans="1:17" x14ac:dyDescent="0.3">
      <c r="A236" s="25">
        <v>1294</v>
      </c>
      <c r="B236" t="s">
        <v>71</v>
      </c>
      <c r="C236" t="s">
        <v>196</v>
      </c>
      <c r="D236" t="s">
        <v>413</v>
      </c>
      <c r="E236" s="121">
        <v>3886</v>
      </c>
      <c r="F236" s="13">
        <v>45716</v>
      </c>
      <c r="G236" s="28">
        <v>276174</v>
      </c>
      <c r="H236" s="28">
        <v>259189.3</v>
      </c>
      <c r="I236" s="3">
        <v>45729</v>
      </c>
      <c r="J236" s="102">
        <v>45740</v>
      </c>
      <c r="K236" s="12">
        <v>45744</v>
      </c>
      <c r="L236" s="1" t="s">
        <v>731</v>
      </c>
      <c r="M236" s="36">
        <v>0</v>
      </c>
      <c r="N236"/>
      <c r="O236" t="s">
        <v>199</v>
      </c>
      <c r="P236" t="s">
        <v>376</v>
      </c>
      <c r="Q236" t="s">
        <v>203</v>
      </c>
    </row>
    <row r="237" spans="1:17" x14ac:dyDescent="0.3">
      <c r="A237" s="25">
        <v>1294</v>
      </c>
      <c r="B237" t="s">
        <v>71</v>
      </c>
      <c r="C237" t="s">
        <v>196</v>
      </c>
      <c r="D237" t="s">
        <v>413</v>
      </c>
      <c r="E237" s="121">
        <v>3889</v>
      </c>
      <c r="F237" s="13">
        <v>45716</v>
      </c>
      <c r="G237" s="28">
        <v>25967.11</v>
      </c>
      <c r="H237" s="28">
        <v>24370.13</v>
      </c>
      <c r="I237" s="3">
        <v>45729</v>
      </c>
      <c r="J237" s="102">
        <v>45740</v>
      </c>
      <c r="K237" s="12">
        <v>45744</v>
      </c>
      <c r="L237" s="1" t="s">
        <v>731</v>
      </c>
      <c r="M237" s="36">
        <v>0</v>
      </c>
      <c r="N237"/>
      <c r="O237" t="s">
        <v>199</v>
      </c>
      <c r="P237" t="s">
        <v>376</v>
      </c>
      <c r="Q237" t="s">
        <v>203</v>
      </c>
    </row>
    <row r="238" spans="1:17" x14ac:dyDescent="0.3">
      <c r="A238" s="25">
        <v>1294</v>
      </c>
      <c r="B238" t="s">
        <v>71</v>
      </c>
      <c r="C238" t="s">
        <v>196</v>
      </c>
      <c r="D238" t="s">
        <v>413</v>
      </c>
      <c r="E238" s="121">
        <v>3890</v>
      </c>
      <c r="F238" s="13">
        <v>45716</v>
      </c>
      <c r="G238" s="28">
        <v>192960</v>
      </c>
      <c r="H238" s="28">
        <v>181092.96</v>
      </c>
      <c r="I238" s="3">
        <v>45729</v>
      </c>
      <c r="J238" s="102">
        <v>45740</v>
      </c>
      <c r="K238" s="12">
        <v>45744</v>
      </c>
      <c r="L238" s="1" t="s">
        <v>731</v>
      </c>
      <c r="M238" s="36">
        <v>0</v>
      </c>
      <c r="N238"/>
      <c r="O238" t="s">
        <v>199</v>
      </c>
      <c r="P238" t="s">
        <v>376</v>
      </c>
      <c r="Q238" t="s">
        <v>203</v>
      </c>
    </row>
    <row r="239" spans="1:17" x14ac:dyDescent="0.3">
      <c r="A239" s="25">
        <v>1294</v>
      </c>
      <c r="B239" t="s">
        <v>71</v>
      </c>
      <c r="C239" t="s">
        <v>196</v>
      </c>
      <c r="D239" t="s">
        <v>413</v>
      </c>
      <c r="E239" s="121">
        <v>3894</v>
      </c>
      <c r="F239" s="13">
        <v>45716</v>
      </c>
      <c r="G239" s="28">
        <v>41842.06</v>
      </c>
      <c r="H239" s="28">
        <v>39268.769999999997</v>
      </c>
      <c r="I239" s="3">
        <v>45730</v>
      </c>
      <c r="J239" s="102">
        <v>45747</v>
      </c>
      <c r="K239" s="12">
        <v>45747</v>
      </c>
      <c r="L239" s="1" t="s">
        <v>731</v>
      </c>
      <c r="M239" s="36">
        <v>0</v>
      </c>
      <c r="N239"/>
      <c r="O239" t="s">
        <v>199</v>
      </c>
      <c r="P239" t="s">
        <v>376</v>
      </c>
      <c r="Q239" t="s">
        <v>203</v>
      </c>
    </row>
    <row r="240" spans="1:17" x14ac:dyDescent="0.3">
      <c r="A240" s="25">
        <v>1294</v>
      </c>
      <c r="B240" t="s">
        <v>71</v>
      </c>
      <c r="C240" t="s">
        <v>196</v>
      </c>
      <c r="D240" t="s">
        <v>413</v>
      </c>
      <c r="E240" s="121">
        <v>3903</v>
      </c>
      <c r="F240" s="13">
        <v>45716</v>
      </c>
      <c r="G240" s="28">
        <v>10587.49</v>
      </c>
      <c r="H240" s="28">
        <v>9936.36</v>
      </c>
      <c r="I240" s="3">
        <v>45734</v>
      </c>
      <c r="J240" s="102">
        <v>45748</v>
      </c>
      <c r="K240" s="12">
        <v>45749</v>
      </c>
      <c r="L240" s="1" t="s">
        <v>731</v>
      </c>
      <c r="M240" s="36">
        <v>0</v>
      </c>
      <c r="N240"/>
      <c r="O240" t="s">
        <v>199</v>
      </c>
      <c r="P240" t="s">
        <v>376</v>
      </c>
      <c r="Q240" t="s">
        <v>203</v>
      </c>
    </row>
    <row r="241" spans="1:17" x14ac:dyDescent="0.3">
      <c r="A241" s="25">
        <v>1294</v>
      </c>
      <c r="B241" t="s">
        <v>71</v>
      </c>
      <c r="C241" t="s">
        <v>196</v>
      </c>
      <c r="D241" t="s">
        <v>413</v>
      </c>
      <c r="E241" s="121">
        <v>3959</v>
      </c>
      <c r="F241" s="13">
        <v>45716</v>
      </c>
      <c r="G241" s="28">
        <v>13537.5</v>
      </c>
      <c r="H241" s="28">
        <v>12704.95</v>
      </c>
      <c r="I241" s="3">
        <v>45758</v>
      </c>
      <c r="J241" s="102">
        <v>45775</v>
      </c>
      <c r="K241" s="12">
        <v>45775</v>
      </c>
      <c r="L241" s="1" t="s">
        <v>731</v>
      </c>
      <c r="M241" s="36">
        <v>0</v>
      </c>
      <c r="N241"/>
      <c r="O241" t="s">
        <v>199</v>
      </c>
      <c r="P241" t="s">
        <v>376</v>
      </c>
      <c r="Q241" t="s">
        <v>203</v>
      </c>
    </row>
    <row r="242" spans="1:17" x14ac:dyDescent="0.3">
      <c r="A242" s="9">
        <v>1474</v>
      </c>
      <c r="B242" t="s">
        <v>71</v>
      </c>
      <c r="C242" t="s">
        <v>196</v>
      </c>
      <c r="D242" t="s">
        <v>624</v>
      </c>
      <c r="E242" s="121">
        <v>3888</v>
      </c>
      <c r="F242" s="13">
        <v>45716</v>
      </c>
      <c r="G242" s="28">
        <v>2318.8000000000002</v>
      </c>
      <c r="H242" s="28">
        <v>2176.1999999999998</v>
      </c>
      <c r="I242" s="3">
        <v>45729</v>
      </c>
      <c r="J242" s="102">
        <v>45740</v>
      </c>
      <c r="K242" s="12">
        <v>45744</v>
      </c>
      <c r="L242" s="1" t="s">
        <v>731</v>
      </c>
      <c r="M242" s="38"/>
      <c r="N242" s="15"/>
      <c r="O242" t="s">
        <v>202</v>
      </c>
      <c r="P242" t="s">
        <v>376</v>
      </c>
      <c r="Q242" t="s">
        <v>203</v>
      </c>
    </row>
    <row r="243" spans="1:17" x14ac:dyDescent="0.3">
      <c r="A243" s="25">
        <v>1285</v>
      </c>
      <c r="B243" t="s">
        <v>71</v>
      </c>
      <c r="C243" t="s">
        <v>196</v>
      </c>
      <c r="D243" t="s">
        <v>404</v>
      </c>
      <c r="E243" s="121">
        <v>3854</v>
      </c>
      <c r="F243" s="13">
        <v>45716</v>
      </c>
      <c r="G243" s="24">
        <v>25534.32</v>
      </c>
      <c r="H243" s="24">
        <v>23963.96</v>
      </c>
      <c r="I243" s="3">
        <v>45714</v>
      </c>
      <c r="J243" s="102">
        <v>45740</v>
      </c>
      <c r="K243" s="12">
        <v>45744</v>
      </c>
      <c r="L243" s="1" t="s">
        <v>731</v>
      </c>
      <c r="M243" s="36">
        <v>0</v>
      </c>
      <c r="N243" s="26"/>
      <c r="O243" t="s">
        <v>199</v>
      </c>
      <c r="P243" t="s">
        <v>376</v>
      </c>
      <c r="Q243" t="s">
        <v>203</v>
      </c>
    </row>
    <row r="244" spans="1:17" x14ac:dyDescent="0.3">
      <c r="A244" s="25">
        <v>1285</v>
      </c>
      <c r="B244" t="s">
        <v>71</v>
      </c>
      <c r="C244" t="s">
        <v>196</v>
      </c>
      <c r="D244" t="s">
        <v>404</v>
      </c>
      <c r="E244" s="121">
        <v>3855</v>
      </c>
      <c r="F244" s="13">
        <v>45716</v>
      </c>
      <c r="G244" s="24">
        <v>7089.08</v>
      </c>
      <c r="H244" s="24">
        <v>6653.1</v>
      </c>
      <c r="I244" s="3">
        <v>45715</v>
      </c>
      <c r="J244" s="102">
        <v>45747</v>
      </c>
      <c r="K244" s="12">
        <v>45747</v>
      </c>
      <c r="L244" s="1" t="s">
        <v>731</v>
      </c>
      <c r="M244" s="36">
        <v>0</v>
      </c>
      <c r="N244" s="26"/>
      <c r="O244" t="s">
        <v>199</v>
      </c>
      <c r="P244" t="s">
        <v>376</v>
      </c>
      <c r="Q244" t="s">
        <v>203</v>
      </c>
    </row>
    <row r="245" spans="1:17" x14ac:dyDescent="0.3">
      <c r="A245" s="25">
        <v>1285</v>
      </c>
      <c r="B245" t="s">
        <v>71</v>
      </c>
      <c r="C245" t="s">
        <v>196</v>
      </c>
      <c r="D245" t="s">
        <v>404</v>
      </c>
      <c r="E245" s="121">
        <v>3893</v>
      </c>
      <c r="F245" s="13">
        <v>45716</v>
      </c>
      <c r="G245" s="24">
        <v>10535.49</v>
      </c>
      <c r="H245" s="24">
        <v>9887.56</v>
      </c>
      <c r="I245" s="3">
        <v>45730</v>
      </c>
      <c r="J245" s="102">
        <v>45761</v>
      </c>
      <c r="K245" s="12">
        <v>45761</v>
      </c>
      <c r="L245" s="1" t="s">
        <v>731</v>
      </c>
      <c r="M245" s="36">
        <v>0</v>
      </c>
      <c r="N245" s="26"/>
      <c r="O245" t="s">
        <v>199</v>
      </c>
      <c r="P245" t="s">
        <v>376</v>
      </c>
      <c r="Q245" t="s">
        <v>203</v>
      </c>
    </row>
    <row r="246" spans="1:17" x14ac:dyDescent="0.3">
      <c r="A246" s="25">
        <v>1285</v>
      </c>
      <c r="B246" t="s">
        <v>71</v>
      </c>
      <c r="C246" t="s">
        <v>196</v>
      </c>
      <c r="D246" t="s">
        <v>404</v>
      </c>
      <c r="E246" s="121">
        <v>3892</v>
      </c>
      <c r="F246" s="13">
        <v>45716</v>
      </c>
      <c r="G246" s="24">
        <v>11738.55</v>
      </c>
      <c r="H246" s="24">
        <v>11016.62</v>
      </c>
      <c r="I246" s="3">
        <v>45730</v>
      </c>
      <c r="J246" s="102">
        <v>45761</v>
      </c>
      <c r="K246" s="12">
        <v>45761</v>
      </c>
      <c r="L246" s="1" t="s">
        <v>731</v>
      </c>
      <c r="M246" s="36">
        <v>0</v>
      </c>
      <c r="N246" s="26"/>
      <c r="O246" t="s">
        <v>199</v>
      </c>
      <c r="P246" t="s">
        <v>376</v>
      </c>
      <c r="Q246" t="s">
        <v>203</v>
      </c>
    </row>
    <row r="247" spans="1:17" x14ac:dyDescent="0.3">
      <c r="A247" s="25">
        <v>1292</v>
      </c>
      <c r="B247" t="s">
        <v>71</v>
      </c>
      <c r="C247" t="s">
        <v>200</v>
      </c>
      <c r="D247" t="s">
        <v>411</v>
      </c>
      <c r="E247" s="121">
        <v>3864</v>
      </c>
      <c r="F247" s="13">
        <v>45716</v>
      </c>
      <c r="G247" s="24">
        <v>46853.99</v>
      </c>
      <c r="H247" s="24">
        <v>43972.47</v>
      </c>
      <c r="I247" s="3">
        <v>45722</v>
      </c>
      <c r="J247" s="102">
        <v>45733</v>
      </c>
      <c r="K247" s="12">
        <v>45737</v>
      </c>
      <c r="L247" s="1" t="s">
        <v>731</v>
      </c>
      <c r="M247" s="36">
        <v>0</v>
      </c>
      <c r="N247"/>
      <c r="O247" t="s">
        <v>199</v>
      </c>
      <c r="P247" t="s">
        <v>376</v>
      </c>
      <c r="Q247" t="s">
        <v>203</v>
      </c>
    </row>
    <row r="248" spans="1:17" x14ac:dyDescent="0.3">
      <c r="A248" s="25">
        <v>1292</v>
      </c>
      <c r="B248" t="s">
        <v>71</v>
      </c>
      <c r="C248" t="s">
        <v>200</v>
      </c>
      <c r="D248" t="s">
        <v>411</v>
      </c>
      <c r="E248" s="121">
        <v>3863</v>
      </c>
      <c r="F248" s="13">
        <v>45716</v>
      </c>
      <c r="G248" s="24">
        <v>61378.96</v>
      </c>
      <c r="H248" s="24">
        <v>57604.160000000003</v>
      </c>
      <c r="I248" s="3">
        <v>45722</v>
      </c>
      <c r="J248" s="102">
        <v>45733</v>
      </c>
      <c r="K248" s="12">
        <v>45737</v>
      </c>
      <c r="L248" s="1" t="s">
        <v>731</v>
      </c>
      <c r="M248" s="36">
        <v>0</v>
      </c>
      <c r="N248"/>
      <c r="O248" t="s">
        <v>199</v>
      </c>
      <c r="P248" t="s">
        <v>376</v>
      </c>
      <c r="Q248" t="s">
        <v>203</v>
      </c>
    </row>
    <row r="249" spans="1:17" x14ac:dyDescent="0.3">
      <c r="A249" s="25">
        <v>1292</v>
      </c>
      <c r="B249" t="s">
        <v>71</v>
      </c>
      <c r="C249" t="s">
        <v>200</v>
      </c>
      <c r="D249" t="s">
        <v>411</v>
      </c>
      <c r="E249" s="121">
        <v>3866</v>
      </c>
      <c r="F249" s="13">
        <v>45716</v>
      </c>
      <c r="G249" s="24">
        <v>4656.58</v>
      </c>
      <c r="H249" s="24">
        <v>4370.2</v>
      </c>
      <c r="I249" s="3">
        <v>45722</v>
      </c>
      <c r="J249" s="102">
        <v>45733</v>
      </c>
      <c r="K249" s="12">
        <v>45737</v>
      </c>
      <c r="L249" s="1" t="s">
        <v>731</v>
      </c>
      <c r="M249" s="36">
        <v>0</v>
      </c>
      <c r="N249"/>
      <c r="O249" t="s">
        <v>199</v>
      </c>
      <c r="P249" t="s">
        <v>376</v>
      </c>
      <c r="Q249" t="s">
        <v>203</v>
      </c>
    </row>
    <row r="250" spans="1:17" x14ac:dyDescent="0.3">
      <c r="A250" s="25">
        <v>1292</v>
      </c>
      <c r="B250" t="s">
        <v>71</v>
      </c>
      <c r="C250" t="s">
        <v>200</v>
      </c>
      <c r="D250" t="s">
        <v>411</v>
      </c>
      <c r="E250" s="121">
        <v>3872</v>
      </c>
      <c r="F250" s="13">
        <v>45716</v>
      </c>
      <c r="G250" s="24">
        <v>88281.31</v>
      </c>
      <c r="H250" s="24">
        <v>82852.009999999995</v>
      </c>
      <c r="I250" s="3">
        <v>45726</v>
      </c>
      <c r="J250" s="102">
        <v>45740</v>
      </c>
      <c r="K250" s="12">
        <v>45741</v>
      </c>
      <c r="L250" s="1" t="s">
        <v>731</v>
      </c>
      <c r="M250" s="36">
        <v>0</v>
      </c>
      <c r="N250"/>
      <c r="O250" t="s">
        <v>199</v>
      </c>
      <c r="P250" t="s">
        <v>376</v>
      </c>
      <c r="Q250" t="s">
        <v>203</v>
      </c>
    </row>
    <row r="251" spans="1:17" x14ac:dyDescent="0.3">
      <c r="A251" s="25">
        <v>1292</v>
      </c>
      <c r="B251" t="s">
        <v>71</v>
      </c>
      <c r="C251" t="s">
        <v>200</v>
      </c>
      <c r="D251" t="s">
        <v>411</v>
      </c>
      <c r="E251" s="121">
        <v>3870</v>
      </c>
      <c r="F251" s="13">
        <v>45716</v>
      </c>
      <c r="G251" s="24">
        <v>60707.37</v>
      </c>
      <c r="H251" s="24">
        <v>56973.87</v>
      </c>
      <c r="I251" s="3">
        <v>45726</v>
      </c>
      <c r="J251" s="102">
        <v>45740</v>
      </c>
      <c r="K251" s="12">
        <v>45741</v>
      </c>
      <c r="L251" s="1" t="s">
        <v>731</v>
      </c>
      <c r="M251" s="36">
        <v>0</v>
      </c>
      <c r="N251"/>
      <c r="O251" t="s">
        <v>199</v>
      </c>
      <c r="P251" t="s">
        <v>376</v>
      </c>
      <c r="Q251" t="s">
        <v>203</v>
      </c>
    </row>
    <row r="252" spans="1:17" x14ac:dyDescent="0.3">
      <c r="A252" s="25">
        <v>1292</v>
      </c>
      <c r="B252" t="s">
        <v>71</v>
      </c>
      <c r="C252" t="s">
        <v>200</v>
      </c>
      <c r="D252" t="s">
        <v>411</v>
      </c>
      <c r="E252" s="121">
        <v>3901</v>
      </c>
      <c r="F252" s="13">
        <v>45716</v>
      </c>
      <c r="G252" s="24">
        <v>56182.400000000001</v>
      </c>
      <c r="H252" s="24">
        <v>52727.18</v>
      </c>
      <c r="I252" s="3">
        <v>45734</v>
      </c>
      <c r="J252" s="102">
        <v>45761</v>
      </c>
      <c r="K252" s="12">
        <v>45762</v>
      </c>
      <c r="L252" s="1" t="s">
        <v>731</v>
      </c>
      <c r="M252" s="36">
        <v>0</v>
      </c>
      <c r="N252"/>
      <c r="O252" t="s">
        <v>199</v>
      </c>
      <c r="P252" t="s">
        <v>376</v>
      </c>
      <c r="Q252" t="s">
        <v>203</v>
      </c>
    </row>
    <row r="253" spans="1:17" x14ac:dyDescent="0.3">
      <c r="A253" s="25">
        <v>1484</v>
      </c>
      <c r="B253" t="s">
        <v>71</v>
      </c>
      <c r="C253" t="s">
        <v>200</v>
      </c>
      <c r="D253" t="s">
        <v>634</v>
      </c>
      <c r="E253" s="121">
        <v>3895</v>
      </c>
      <c r="F253" s="13">
        <v>45716</v>
      </c>
      <c r="G253" s="24">
        <v>36570.74</v>
      </c>
      <c r="H253" s="24">
        <v>34321.64</v>
      </c>
      <c r="I253" s="3">
        <v>45730</v>
      </c>
      <c r="J253" s="102">
        <v>45740</v>
      </c>
      <c r="K253" s="12">
        <v>45744</v>
      </c>
      <c r="L253" s="1" t="s">
        <v>731</v>
      </c>
      <c r="M253" s="36">
        <v>0</v>
      </c>
      <c r="N253"/>
      <c r="O253" t="s">
        <v>201</v>
      </c>
      <c r="P253" t="s">
        <v>376</v>
      </c>
      <c r="Q253" t="s">
        <v>203</v>
      </c>
    </row>
    <row r="254" spans="1:17" x14ac:dyDescent="0.3">
      <c r="A254" s="25">
        <v>1398</v>
      </c>
      <c r="B254" t="s">
        <v>212</v>
      </c>
      <c r="C254" t="s">
        <v>169</v>
      </c>
      <c r="D254" t="s">
        <v>528</v>
      </c>
      <c r="E254" s="118">
        <v>8254</v>
      </c>
      <c r="F254" s="13">
        <v>45716</v>
      </c>
      <c r="G254" s="27">
        <v>38223.89</v>
      </c>
      <c r="H254" s="24">
        <v>35873.11</v>
      </c>
      <c r="I254" s="3">
        <v>45730</v>
      </c>
      <c r="J254" s="102">
        <v>45789</v>
      </c>
      <c r="K254" s="12">
        <v>45790</v>
      </c>
      <c r="L254" s="19" t="s">
        <v>731</v>
      </c>
      <c r="M254" s="36">
        <v>0</v>
      </c>
      <c r="N254"/>
      <c r="O254" t="s">
        <v>202</v>
      </c>
      <c r="P254" t="s">
        <v>328</v>
      </c>
      <c r="Q254" t="s">
        <v>207</v>
      </c>
    </row>
    <row r="255" spans="1:17" x14ac:dyDescent="0.3">
      <c r="A255" s="25">
        <v>1398</v>
      </c>
      <c r="B255" t="s">
        <v>212</v>
      </c>
      <c r="C255" t="s">
        <v>169</v>
      </c>
      <c r="D255" t="s">
        <v>528</v>
      </c>
      <c r="E255" s="118">
        <v>8253</v>
      </c>
      <c r="F255" s="13">
        <v>45716</v>
      </c>
      <c r="G255" s="27">
        <v>11210.79</v>
      </c>
      <c r="H255" s="24">
        <v>10521.33</v>
      </c>
      <c r="I255" s="3">
        <v>45730</v>
      </c>
      <c r="J255" s="102">
        <v>45789</v>
      </c>
      <c r="K255" s="12">
        <v>45790</v>
      </c>
      <c r="L255" s="19" t="s">
        <v>731</v>
      </c>
      <c r="M255" s="36">
        <v>0</v>
      </c>
      <c r="N255"/>
      <c r="O255" t="s">
        <v>202</v>
      </c>
      <c r="P255" t="s">
        <v>328</v>
      </c>
      <c r="Q255" t="s">
        <v>207</v>
      </c>
    </row>
    <row r="256" spans="1:17" x14ac:dyDescent="0.3">
      <c r="A256" s="25">
        <v>1398</v>
      </c>
      <c r="B256" t="s">
        <v>212</v>
      </c>
      <c r="C256" t="s">
        <v>169</v>
      </c>
      <c r="D256" t="s">
        <v>528</v>
      </c>
      <c r="E256" s="118">
        <v>8264</v>
      </c>
      <c r="F256" s="13">
        <v>45716</v>
      </c>
      <c r="G256" s="27">
        <v>13110.33</v>
      </c>
      <c r="H256" s="24">
        <v>12304.04</v>
      </c>
      <c r="I256" s="3">
        <v>45740</v>
      </c>
      <c r="J256" s="102">
        <v>45768</v>
      </c>
      <c r="K256" s="12">
        <v>45769</v>
      </c>
      <c r="L256" s="19" t="s">
        <v>731</v>
      </c>
      <c r="M256" s="36">
        <v>0</v>
      </c>
      <c r="N256"/>
      <c r="O256" t="s">
        <v>202</v>
      </c>
      <c r="P256" t="s">
        <v>328</v>
      </c>
      <c r="Q256" t="s">
        <v>207</v>
      </c>
    </row>
    <row r="257" spans="1:17" x14ac:dyDescent="0.3">
      <c r="A257" s="25">
        <v>1398</v>
      </c>
      <c r="B257" t="s">
        <v>212</v>
      </c>
      <c r="C257" t="s">
        <v>169</v>
      </c>
      <c r="D257" t="s">
        <v>528</v>
      </c>
      <c r="E257" s="118">
        <v>8230</v>
      </c>
      <c r="F257" s="13">
        <v>45716</v>
      </c>
      <c r="G257" s="27">
        <v>48000</v>
      </c>
      <c r="H257" s="24">
        <v>45048</v>
      </c>
      <c r="I257" s="3">
        <v>45721</v>
      </c>
      <c r="J257" s="102">
        <v>45796</v>
      </c>
      <c r="K257" s="12">
        <v>45796</v>
      </c>
      <c r="L257" s="19" t="s">
        <v>731</v>
      </c>
      <c r="M257" s="36">
        <v>0</v>
      </c>
      <c r="N257"/>
      <c r="O257" t="s">
        <v>202</v>
      </c>
      <c r="P257" t="s">
        <v>328</v>
      </c>
      <c r="Q257" t="s">
        <v>207</v>
      </c>
    </row>
    <row r="258" spans="1:17" x14ac:dyDescent="0.3">
      <c r="A258" s="9">
        <v>1393</v>
      </c>
      <c r="B258" t="s">
        <v>215</v>
      </c>
      <c r="C258" t="s">
        <v>348</v>
      </c>
      <c r="D258" t="s">
        <v>522</v>
      </c>
      <c r="E258" s="121">
        <v>8244</v>
      </c>
      <c r="F258" s="13">
        <v>45716</v>
      </c>
      <c r="G258" s="11">
        <v>432751.13</v>
      </c>
      <c r="H258" s="11">
        <v>388177.77</v>
      </c>
      <c r="I258" s="3">
        <v>45728</v>
      </c>
      <c r="J258" s="102">
        <v>45740</v>
      </c>
      <c r="K258" s="5">
        <v>45740</v>
      </c>
      <c r="L258" s="19" t="s">
        <v>731</v>
      </c>
      <c r="M258" s="35">
        <v>0</v>
      </c>
      <c r="N258" s="15"/>
      <c r="O258" t="s">
        <v>202</v>
      </c>
      <c r="P258" t="s">
        <v>340</v>
      </c>
      <c r="Q258" t="s">
        <v>213</v>
      </c>
    </row>
    <row r="259" spans="1:17" x14ac:dyDescent="0.3">
      <c r="A259" s="9">
        <v>1476</v>
      </c>
      <c r="B259" t="s">
        <v>215</v>
      </c>
      <c r="C259" t="s">
        <v>46</v>
      </c>
      <c r="D259" t="s">
        <v>626</v>
      </c>
      <c r="E259" s="121">
        <v>8239</v>
      </c>
      <c r="F259" s="13">
        <v>45716</v>
      </c>
      <c r="G259" s="24">
        <v>347312.4</v>
      </c>
      <c r="H259" s="11">
        <v>311539.21999999997</v>
      </c>
      <c r="I259" s="3">
        <v>45726</v>
      </c>
      <c r="J259" s="102">
        <v>45733</v>
      </c>
      <c r="K259" s="5">
        <v>45736</v>
      </c>
      <c r="L259" s="22" t="s">
        <v>731</v>
      </c>
      <c r="M259" s="35"/>
      <c r="N259" s="15"/>
      <c r="O259" t="s">
        <v>202</v>
      </c>
      <c r="P259" t="s">
        <v>340</v>
      </c>
      <c r="Q259" t="s">
        <v>213</v>
      </c>
    </row>
    <row r="260" spans="1:17" x14ac:dyDescent="0.3">
      <c r="A260" s="25">
        <v>1296</v>
      </c>
      <c r="B260" t="s">
        <v>211</v>
      </c>
      <c r="C260" t="s">
        <v>34</v>
      </c>
      <c r="D260" t="s">
        <v>416</v>
      </c>
      <c r="E260" s="121">
        <v>1226</v>
      </c>
      <c r="F260" s="13">
        <v>45716</v>
      </c>
      <c r="G260" s="24">
        <v>462378.86</v>
      </c>
      <c r="H260" s="24">
        <v>417759.3</v>
      </c>
      <c r="I260" s="3">
        <v>45722</v>
      </c>
      <c r="J260" s="102">
        <v>45733</v>
      </c>
      <c r="K260" s="29">
        <v>45733</v>
      </c>
      <c r="L260" s="19" t="s">
        <v>731</v>
      </c>
      <c r="M260" s="42"/>
      <c r="N260" s="26"/>
      <c r="O260" t="s">
        <v>202</v>
      </c>
      <c r="P260" t="s">
        <v>328</v>
      </c>
      <c r="Q260" t="s">
        <v>207</v>
      </c>
    </row>
    <row r="261" spans="1:17" x14ac:dyDescent="0.3">
      <c r="A261" s="25">
        <v>1296</v>
      </c>
      <c r="B261" t="s">
        <v>211</v>
      </c>
      <c r="C261" t="s">
        <v>34</v>
      </c>
      <c r="D261" t="s">
        <v>416</v>
      </c>
      <c r="E261" s="121">
        <v>1225</v>
      </c>
      <c r="F261" s="13">
        <v>45716</v>
      </c>
      <c r="G261" s="24">
        <v>338159.71</v>
      </c>
      <c r="H261" s="24">
        <v>305527.28999999998</v>
      </c>
      <c r="I261" s="3">
        <v>45722</v>
      </c>
      <c r="J261" s="102">
        <v>45733</v>
      </c>
      <c r="K261" s="29">
        <v>45733</v>
      </c>
      <c r="L261" s="19" t="s">
        <v>731</v>
      </c>
      <c r="M261" s="42"/>
      <c r="N261" s="26"/>
      <c r="O261" t="s">
        <v>202</v>
      </c>
      <c r="P261" t="s">
        <v>328</v>
      </c>
      <c r="Q261" t="s">
        <v>207</v>
      </c>
    </row>
    <row r="262" spans="1:17" x14ac:dyDescent="0.3">
      <c r="A262" s="9">
        <v>1300</v>
      </c>
      <c r="B262" t="s">
        <v>211</v>
      </c>
      <c r="C262" t="s">
        <v>34</v>
      </c>
      <c r="D262" t="s">
        <v>420</v>
      </c>
      <c r="E262" s="121">
        <v>1229</v>
      </c>
      <c r="F262" s="13">
        <v>45716</v>
      </c>
      <c r="G262" s="11">
        <v>298250.34000000003</v>
      </c>
      <c r="H262" s="11">
        <v>269469.18</v>
      </c>
      <c r="I262" s="3">
        <v>45727</v>
      </c>
      <c r="J262" s="102">
        <v>45754</v>
      </c>
      <c r="K262" s="5">
        <v>45757</v>
      </c>
      <c r="L262" s="37" t="s">
        <v>731</v>
      </c>
      <c r="M262" s="38">
        <v>0</v>
      </c>
      <c r="N262" s="15"/>
      <c r="O262" t="s">
        <v>202</v>
      </c>
      <c r="P262" t="s">
        <v>328</v>
      </c>
      <c r="Q262" t="s">
        <v>207</v>
      </c>
    </row>
    <row r="263" spans="1:17" x14ac:dyDescent="0.3">
      <c r="A263" s="9">
        <v>1300</v>
      </c>
      <c r="B263" t="s">
        <v>211</v>
      </c>
      <c r="C263" t="s">
        <v>34</v>
      </c>
      <c r="D263" t="s">
        <v>420</v>
      </c>
      <c r="E263" s="121">
        <v>8243</v>
      </c>
      <c r="F263" s="13">
        <v>45716</v>
      </c>
      <c r="G263" s="11">
        <v>35127.120000000003</v>
      </c>
      <c r="H263" s="18">
        <v>31737.35</v>
      </c>
      <c r="I263" s="3">
        <v>45727</v>
      </c>
      <c r="J263" s="102">
        <v>45754</v>
      </c>
      <c r="K263" s="5">
        <v>45757</v>
      </c>
      <c r="L263" s="37" t="s">
        <v>731</v>
      </c>
      <c r="M263" s="38">
        <v>0</v>
      </c>
      <c r="N263" s="15"/>
      <c r="O263" t="s">
        <v>202</v>
      </c>
      <c r="P263" t="s">
        <v>328</v>
      </c>
      <c r="Q263" t="s">
        <v>207</v>
      </c>
    </row>
    <row r="264" spans="1:17" x14ac:dyDescent="0.3">
      <c r="A264" s="25">
        <v>1290</v>
      </c>
      <c r="B264" t="s">
        <v>215</v>
      </c>
      <c r="C264" t="s">
        <v>40</v>
      </c>
      <c r="D264" t="s">
        <v>409</v>
      </c>
      <c r="E264" s="121">
        <v>8233</v>
      </c>
      <c r="F264" s="13">
        <v>45716</v>
      </c>
      <c r="G264" s="24">
        <v>53175.27</v>
      </c>
      <c r="H264" s="24">
        <v>46980.35</v>
      </c>
      <c r="I264" s="3">
        <v>45722</v>
      </c>
      <c r="J264" s="102">
        <v>45754</v>
      </c>
      <c r="K264" s="12">
        <v>45754</v>
      </c>
      <c r="L264" s="22" t="s">
        <v>731</v>
      </c>
      <c r="M264" s="36">
        <v>0</v>
      </c>
      <c r="N264" s="26"/>
      <c r="O264" t="s">
        <v>202</v>
      </c>
      <c r="P264" t="s">
        <v>328</v>
      </c>
      <c r="Q264" t="s">
        <v>213</v>
      </c>
    </row>
    <row r="265" spans="1:17" x14ac:dyDescent="0.3">
      <c r="A265" s="25">
        <v>1490</v>
      </c>
      <c r="B265" t="s">
        <v>215</v>
      </c>
      <c r="C265" t="s">
        <v>40</v>
      </c>
      <c r="D265" t="s">
        <v>640</v>
      </c>
      <c r="E265" s="121">
        <v>8235</v>
      </c>
      <c r="F265" s="13">
        <v>45716</v>
      </c>
      <c r="G265" s="24">
        <v>2300</v>
      </c>
      <c r="H265" s="24">
        <v>2032.05</v>
      </c>
      <c r="I265" s="3">
        <v>45722</v>
      </c>
      <c r="J265" s="102">
        <v>45754</v>
      </c>
      <c r="K265" s="12">
        <v>45754</v>
      </c>
      <c r="L265" s="22" t="s">
        <v>731</v>
      </c>
      <c r="M265" s="36">
        <v>0</v>
      </c>
      <c r="N265" s="26"/>
      <c r="O265" t="s">
        <v>202</v>
      </c>
      <c r="P265" t="s">
        <v>328</v>
      </c>
      <c r="Q265" t="s">
        <v>213</v>
      </c>
    </row>
    <row r="266" spans="1:17" x14ac:dyDescent="0.3">
      <c r="A266" s="9">
        <v>1480</v>
      </c>
      <c r="B266" t="s">
        <v>193</v>
      </c>
      <c r="C266" t="s">
        <v>184</v>
      </c>
      <c r="D266" t="s">
        <v>732</v>
      </c>
      <c r="E266" s="121">
        <v>3900</v>
      </c>
      <c r="F266" s="13">
        <v>45716</v>
      </c>
      <c r="G266" s="11">
        <v>181894.56</v>
      </c>
      <c r="H266" s="11">
        <v>170708.04</v>
      </c>
      <c r="I266" s="3">
        <v>45734</v>
      </c>
      <c r="J266" s="102">
        <v>45775</v>
      </c>
      <c r="K266" s="5">
        <v>45777</v>
      </c>
      <c r="L266" s="19" t="s">
        <v>731</v>
      </c>
      <c r="M266" s="38"/>
      <c r="N266" s="15"/>
      <c r="O266" t="s">
        <v>199</v>
      </c>
      <c r="P266" t="s">
        <v>376</v>
      </c>
      <c r="Q266" t="s">
        <v>207</v>
      </c>
    </row>
    <row r="267" spans="1:17" x14ac:dyDescent="0.3">
      <c r="A267" s="9">
        <v>1475</v>
      </c>
      <c r="B267" t="s">
        <v>204</v>
      </c>
      <c r="C267" t="s">
        <v>95</v>
      </c>
      <c r="D267" t="s">
        <v>625</v>
      </c>
      <c r="E267" s="121">
        <v>8237</v>
      </c>
      <c r="F267" s="13">
        <v>45716</v>
      </c>
      <c r="G267" s="11">
        <v>67387.39</v>
      </c>
      <c r="H267" s="11">
        <v>60446.49</v>
      </c>
      <c r="I267" s="3">
        <v>45726</v>
      </c>
      <c r="J267" s="102">
        <v>45733</v>
      </c>
      <c r="K267" s="12">
        <v>45736</v>
      </c>
      <c r="L267" s="19" t="s">
        <v>731</v>
      </c>
      <c r="M267" s="35">
        <v>0</v>
      </c>
      <c r="N267"/>
      <c r="O267" t="s">
        <v>199</v>
      </c>
      <c r="P267" t="s">
        <v>340</v>
      </c>
      <c r="Q267" t="s">
        <v>217</v>
      </c>
    </row>
    <row r="268" spans="1:17" x14ac:dyDescent="0.3">
      <c r="A268" s="9">
        <v>1472</v>
      </c>
      <c r="B268" t="s">
        <v>71</v>
      </c>
      <c r="C268" t="s">
        <v>41</v>
      </c>
      <c r="D268" t="s">
        <v>622</v>
      </c>
      <c r="E268" s="121">
        <v>3860</v>
      </c>
      <c r="F268" s="13">
        <v>45716</v>
      </c>
      <c r="G268" s="11">
        <v>92442.6</v>
      </c>
      <c r="H268" s="24">
        <v>86757.37</v>
      </c>
      <c r="I268" s="3">
        <v>45722</v>
      </c>
      <c r="J268" s="102">
        <v>45733</v>
      </c>
      <c r="K268" s="12">
        <v>45734</v>
      </c>
      <c r="L268" s="19" t="s">
        <v>731</v>
      </c>
      <c r="M268" s="38"/>
      <c r="N268" s="15"/>
      <c r="O268" t="s">
        <v>201</v>
      </c>
      <c r="P268" t="s">
        <v>376</v>
      </c>
      <c r="Q268" t="s">
        <v>203</v>
      </c>
    </row>
    <row r="269" spans="1:17" x14ac:dyDescent="0.3">
      <c r="A269" s="9">
        <v>1378</v>
      </c>
      <c r="B269" t="s">
        <v>193</v>
      </c>
      <c r="C269" t="s">
        <v>4</v>
      </c>
      <c r="D269" t="s">
        <v>506</v>
      </c>
      <c r="E269" s="121">
        <v>8262</v>
      </c>
      <c r="F269" s="13">
        <v>45716</v>
      </c>
      <c r="G269" s="11">
        <v>4281.29</v>
      </c>
      <c r="H269" s="11">
        <v>4017.99</v>
      </c>
      <c r="I269" s="3">
        <v>45736</v>
      </c>
      <c r="J269" s="102">
        <v>45754</v>
      </c>
      <c r="K269" s="5">
        <v>45757</v>
      </c>
      <c r="L269" s="19" t="s">
        <v>731</v>
      </c>
      <c r="M269" s="35">
        <v>0</v>
      </c>
      <c r="N269"/>
      <c r="O269" t="s">
        <v>201</v>
      </c>
      <c r="P269" t="s">
        <v>376</v>
      </c>
      <c r="Q269" t="s">
        <v>207</v>
      </c>
    </row>
    <row r="270" spans="1:17" x14ac:dyDescent="0.3">
      <c r="A270" s="9">
        <v>1247</v>
      </c>
      <c r="B270" t="s">
        <v>215</v>
      </c>
      <c r="C270" t="s">
        <v>21</v>
      </c>
      <c r="D270" t="s">
        <v>359</v>
      </c>
      <c r="E270" s="121">
        <v>8234</v>
      </c>
      <c r="F270" s="13">
        <v>45716</v>
      </c>
      <c r="G270" s="24">
        <v>38395.360000000001</v>
      </c>
      <c r="H270" s="24">
        <v>34440.629999999997</v>
      </c>
      <c r="I270" s="3">
        <v>45722</v>
      </c>
      <c r="J270" s="102">
        <v>45740</v>
      </c>
      <c r="K270" s="12">
        <v>45741</v>
      </c>
      <c r="L270" s="19" t="s">
        <v>731</v>
      </c>
      <c r="M270" s="35">
        <v>0</v>
      </c>
      <c r="N270"/>
      <c r="O270" t="s">
        <v>202</v>
      </c>
      <c r="P270" t="s">
        <v>340</v>
      </c>
      <c r="Q270" t="s">
        <v>213</v>
      </c>
    </row>
    <row r="271" spans="1:17" x14ac:dyDescent="0.3">
      <c r="A271" s="9">
        <v>1358</v>
      </c>
      <c r="B271" t="s">
        <v>215</v>
      </c>
      <c r="C271" t="s">
        <v>17</v>
      </c>
      <c r="D271" t="s">
        <v>480</v>
      </c>
      <c r="E271" s="121">
        <v>8259</v>
      </c>
      <c r="F271" s="13">
        <v>45716</v>
      </c>
      <c r="G271" s="11">
        <v>85164.92</v>
      </c>
      <c r="H271" s="11">
        <v>76392.929999999993</v>
      </c>
      <c r="I271" s="3">
        <v>45734</v>
      </c>
      <c r="J271" s="102">
        <v>45768</v>
      </c>
      <c r="K271" s="12">
        <v>45770</v>
      </c>
      <c r="L271" s="19" t="s">
        <v>731</v>
      </c>
      <c r="M271" s="35">
        <v>0</v>
      </c>
      <c r="N271"/>
      <c r="O271" t="s">
        <v>202</v>
      </c>
      <c r="P271" t="s">
        <v>340</v>
      </c>
      <c r="Q271" t="s">
        <v>213</v>
      </c>
    </row>
    <row r="272" spans="1:17" x14ac:dyDescent="0.3">
      <c r="A272" s="9">
        <v>1358</v>
      </c>
      <c r="B272" t="s">
        <v>215</v>
      </c>
      <c r="C272" t="s">
        <v>17</v>
      </c>
      <c r="D272" t="s">
        <v>480</v>
      </c>
      <c r="E272" s="121">
        <v>8263</v>
      </c>
      <c r="F272" s="13">
        <v>45716</v>
      </c>
      <c r="G272" s="11">
        <v>20467.93</v>
      </c>
      <c r="H272" s="11">
        <v>18359.73</v>
      </c>
      <c r="I272" s="3">
        <v>45736</v>
      </c>
      <c r="J272" s="102">
        <v>45768</v>
      </c>
      <c r="K272" s="12">
        <v>45770</v>
      </c>
      <c r="L272" s="19" t="s">
        <v>731</v>
      </c>
      <c r="M272" s="35">
        <v>0</v>
      </c>
      <c r="N272"/>
      <c r="O272" t="s">
        <v>202</v>
      </c>
      <c r="P272" t="s">
        <v>340</v>
      </c>
      <c r="Q272" t="s">
        <v>213</v>
      </c>
    </row>
    <row r="273" spans="1:17" x14ac:dyDescent="0.3">
      <c r="A273" s="9">
        <v>1473</v>
      </c>
      <c r="B273" t="s">
        <v>215</v>
      </c>
      <c r="C273" t="s">
        <v>208</v>
      </c>
      <c r="D273" t="s">
        <v>623</v>
      </c>
      <c r="E273" s="121">
        <v>8258</v>
      </c>
      <c r="F273" s="13">
        <v>45716</v>
      </c>
      <c r="G273" s="24">
        <v>225527.76</v>
      </c>
      <c r="H273" s="24">
        <v>210118.33</v>
      </c>
      <c r="I273" s="3">
        <v>45733</v>
      </c>
      <c r="J273" s="102">
        <v>45796</v>
      </c>
      <c r="K273" s="12">
        <v>45798</v>
      </c>
      <c r="L273" s="19" t="s">
        <v>731</v>
      </c>
      <c r="M273" s="35">
        <v>0</v>
      </c>
      <c r="N273"/>
      <c r="O273" t="s">
        <v>202</v>
      </c>
      <c r="P273" t="s">
        <v>340</v>
      </c>
      <c r="Q273" t="s">
        <v>213</v>
      </c>
    </row>
    <row r="274" spans="1:17" x14ac:dyDescent="0.3">
      <c r="A274" s="25">
        <v>1462</v>
      </c>
      <c r="B274" t="s">
        <v>212</v>
      </c>
      <c r="C274" t="s">
        <v>221</v>
      </c>
      <c r="D274" t="s">
        <v>610</v>
      </c>
      <c r="E274" s="121">
        <v>8229</v>
      </c>
      <c r="F274" s="13">
        <v>45716</v>
      </c>
      <c r="G274" s="24">
        <v>800</v>
      </c>
      <c r="H274" s="24">
        <v>750.8</v>
      </c>
      <c r="I274" s="3">
        <v>45721</v>
      </c>
      <c r="J274" s="102">
        <v>45726</v>
      </c>
      <c r="K274" s="12">
        <v>45726</v>
      </c>
      <c r="L274" s="19" t="s">
        <v>731</v>
      </c>
      <c r="M274" s="36">
        <v>0</v>
      </c>
      <c r="N274" s="26"/>
      <c r="O274" t="s">
        <v>202</v>
      </c>
      <c r="P274" t="s">
        <v>373</v>
      </c>
      <c r="Q274" t="s">
        <v>207</v>
      </c>
    </row>
    <row r="275" spans="1:17" x14ac:dyDescent="0.3">
      <c r="A275" s="9">
        <v>1390</v>
      </c>
      <c r="B275" t="s">
        <v>211</v>
      </c>
      <c r="C275" t="s">
        <v>16</v>
      </c>
      <c r="D275" t="s">
        <v>519</v>
      </c>
      <c r="E275" s="121">
        <v>1256</v>
      </c>
      <c r="F275" s="13">
        <v>45775</v>
      </c>
      <c r="G275" s="11">
        <v>138446.9</v>
      </c>
      <c r="H275" s="11">
        <v>122317.84</v>
      </c>
      <c r="I275" s="3">
        <v>45793</v>
      </c>
      <c r="J275" s="102">
        <v>45887</v>
      </c>
      <c r="K275" s="12">
        <v>45890</v>
      </c>
      <c r="L275" s="19" t="s">
        <v>731</v>
      </c>
      <c r="M275" s="56"/>
      <c r="N275"/>
      <c r="O275" t="s">
        <v>202</v>
      </c>
      <c r="P275" t="s">
        <v>328</v>
      </c>
      <c r="Q275" t="s">
        <v>207</v>
      </c>
    </row>
    <row r="276" spans="1:17" x14ac:dyDescent="0.3">
      <c r="A276" s="9">
        <v>1390</v>
      </c>
      <c r="B276" t="s">
        <v>211</v>
      </c>
      <c r="C276" t="s">
        <v>16</v>
      </c>
      <c r="D276" t="s">
        <v>519</v>
      </c>
      <c r="E276" s="121">
        <v>1255</v>
      </c>
      <c r="F276" s="13">
        <v>45775</v>
      </c>
      <c r="G276" s="11">
        <v>8840</v>
      </c>
      <c r="H276" s="11">
        <v>7810.14</v>
      </c>
      <c r="I276" s="3">
        <v>45793</v>
      </c>
      <c r="J276" s="102">
        <v>45887</v>
      </c>
      <c r="K276" s="12">
        <v>45890</v>
      </c>
      <c r="L276" s="19" t="s">
        <v>731</v>
      </c>
      <c r="M276" s="56"/>
      <c r="N276"/>
      <c r="O276" t="s">
        <v>202</v>
      </c>
      <c r="P276" t="s">
        <v>328</v>
      </c>
      <c r="Q276" t="s">
        <v>207</v>
      </c>
    </row>
    <row r="277" spans="1:17" x14ac:dyDescent="0.3">
      <c r="A277" s="14">
        <v>1260</v>
      </c>
      <c r="B277" t="s">
        <v>193</v>
      </c>
      <c r="C277" t="s">
        <v>121</v>
      </c>
      <c r="D277" t="s">
        <v>372</v>
      </c>
      <c r="E277" s="121">
        <v>3859</v>
      </c>
      <c r="F277" s="13">
        <v>45716</v>
      </c>
      <c r="G277" s="24">
        <v>10395</v>
      </c>
      <c r="H277" s="24">
        <v>9755.7000000000007</v>
      </c>
      <c r="I277" s="3">
        <v>45721</v>
      </c>
      <c r="J277" s="102">
        <v>45740</v>
      </c>
      <c r="K277" s="12">
        <v>45742</v>
      </c>
      <c r="L277" s="20" t="s">
        <v>731</v>
      </c>
      <c r="M277" s="35">
        <v>0</v>
      </c>
      <c r="N277"/>
      <c r="O277" t="s">
        <v>199</v>
      </c>
      <c r="P277" t="s">
        <v>373</v>
      </c>
      <c r="Q277" t="s">
        <v>207</v>
      </c>
    </row>
    <row r="278" spans="1:17" x14ac:dyDescent="0.3">
      <c r="A278" s="25">
        <v>1487</v>
      </c>
      <c r="B278" t="s">
        <v>193</v>
      </c>
      <c r="C278" t="s">
        <v>43</v>
      </c>
      <c r="D278" t="s">
        <v>637</v>
      </c>
      <c r="E278" s="121">
        <v>3858</v>
      </c>
      <c r="F278" s="13">
        <v>45716</v>
      </c>
      <c r="G278" s="24">
        <v>36984</v>
      </c>
      <c r="H278" s="24">
        <v>34709.480000000003</v>
      </c>
      <c r="I278" s="3">
        <v>45721</v>
      </c>
      <c r="J278" s="102">
        <v>45782</v>
      </c>
      <c r="K278" s="12">
        <v>45782</v>
      </c>
      <c r="L278" s="19" t="s">
        <v>731</v>
      </c>
      <c r="M278" s="36">
        <v>0</v>
      </c>
      <c r="N278" s="26"/>
      <c r="O278" t="s">
        <v>201</v>
      </c>
      <c r="P278" t="s">
        <v>376</v>
      </c>
      <c r="Q278" t="s">
        <v>207</v>
      </c>
    </row>
    <row r="279" spans="1:17" x14ac:dyDescent="0.3">
      <c r="A279" s="25">
        <v>1487</v>
      </c>
      <c r="B279" t="s">
        <v>193</v>
      </c>
      <c r="C279" t="s">
        <v>43</v>
      </c>
      <c r="D279" t="s">
        <v>637</v>
      </c>
      <c r="E279" s="121">
        <v>3857</v>
      </c>
      <c r="F279" s="13">
        <v>45716</v>
      </c>
      <c r="G279" s="24">
        <v>24648</v>
      </c>
      <c r="H279" s="24">
        <v>23132.15</v>
      </c>
      <c r="I279" s="3">
        <v>45721</v>
      </c>
      <c r="J279" s="102">
        <v>45782</v>
      </c>
      <c r="K279" s="12">
        <v>45782</v>
      </c>
      <c r="L279" s="19" t="s">
        <v>731</v>
      </c>
      <c r="M279" s="36">
        <v>0</v>
      </c>
      <c r="N279" s="26"/>
      <c r="O279" t="s">
        <v>201</v>
      </c>
      <c r="P279" t="s">
        <v>376</v>
      </c>
      <c r="Q279" t="s">
        <v>207</v>
      </c>
    </row>
    <row r="280" spans="1:17" x14ac:dyDescent="0.3">
      <c r="A280" s="25">
        <v>1482</v>
      </c>
      <c r="B280" t="s">
        <v>211</v>
      </c>
      <c r="C280" t="s">
        <v>34</v>
      </c>
      <c r="D280" t="s">
        <v>632</v>
      </c>
      <c r="E280" s="121">
        <v>8236</v>
      </c>
      <c r="F280" s="13">
        <v>45716</v>
      </c>
      <c r="G280" s="24">
        <v>39000</v>
      </c>
      <c r="H280" s="24">
        <v>35236.5</v>
      </c>
      <c r="I280" s="3">
        <v>45726</v>
      </c>
      <c r="J280" s="102">
        <v>45747</v>
      </c>
      <c r="K280" s="12">
        <v>45747</v>
      </c>
      <c r="L280" s="37" t="s">
        <v>731</v>
      </c>
      <c r="M280" s="48"/>
      <c r="N280" s="26"/>
      <c r="O280" t="s">
        <v>202</v>
      </c>
      <c r="P280" t="s">
        <v>328</v>
      </c>
      <c r="Q280" t="s">
        <v>207</v>
      </c>
    </row>
    <row r="281" spans="1:17" x14ac:dyDescent="0.3">
      <c r="A281" s="25">
        <v>1262</v>
      </c>
      <c r="B281" t="s">
        <v>193</v>
      </c>
      <c r="C281" t="s">
        <v>45</v>
      </c>
      <c r="D281" t="s">
        <v>375</v>
      </c>
      <c r="E281" s="121">
        <v>3919</v>
      </c>
      <c r="F281" s="13">
        <v>45716</v>
      </c>
      <c r="G281" s="24">
        <v>6597.6</v>
      </c>
      <c r="H281" s="24">
        <v>6191.85</v>
      </c>
      <c r="I281" s="3">
        <v>45737</v>
      </c>
      <c r="J281" s="102">
        <v>45747</v>
      </c>
      <c r="K281" s="12">
        <v>45747</v>
      </c>
      <c r="L281" s="19" t="s">
        <v>731</v>
      </c>
      <c r="M281" s="36">
        <v>0</v>
      </c>
      <c r="N281" s="26"/>
      <c r="O281" t="s">
        <v>199</v>
      </c>
      <c r="P281" t="s">
        <v>376</v>
      </c>
      <c r="Q281" t="s">
        <v>207</v>
      </c>
    </row>
    <row r="282" spans="1:17" x14ac:dyDescent="0.3">
      <c r="A282" s="25">
        <v>1262</v>
      </c>
      <c r="B282" t="s">
        <v>193</v>
      </c>
      <c r="C282" t="s">
        <v>45</v>
      </c>
      <c r="D282" t="s">
        <v>375</v>
      </c>
      <c r="E282" s="121">
        <v>3926</v>
      </c>
      <c r="F282" s="13">
        <v>45716</v>
      </c>
      <c r="G282" s="24">
        <v>53936.77</v>
      </c>
      <c r="H282" s="24">
        <v>50619.66</v>
      </c>
      <c r="I282" s="3">
        <v>45737</v>
      </c>
      <c r="J282" s="102">
        <v>45747</v>
      </c>
      <c r="K282" s="12">
        <v>45747</v>
      </c>
      <c r="L282" s="19" t="s">
        <v>731</v>
      </c>
      <c r="M282" s="36">
        <v>0</v>
      </c>
      <c r="N282" s="26"/>
      <c r="O282" t="s">
        <v>199</v>
      </c>
      <c r="P282" t="s">
        <v>376</v>
      </c>
      <c r="Q282" t="s">
        <v>207</v>
      </c>
    </row>
    <row r="283" spans="1:17" x14ac:dyDescent="0.3">
      <c r="A283" s="25">
        <v>1262</v>
      </c>
      <c r="B283" t="s">
        <v>193</v>
      </c>
      <c r="C283" t="s">
        <v>45</v>
      </c>
      <c r="D283" t="s">
        <v>375</v>
      </c>
      <c r="E283" s="121">
        <v>3925</v>
      </c>
      <c r="F283" s="13">
        <v>45716</v>
      </c>
      <c r="G283" s="24">
        <v>15394.39</v>
      </c>
      <c r="H283" s="24">
        <v>14447.64</v>
      </c>
      <c r="I283" s="3">
        <v>45737</v>
      </c>
      <c r="J283" s="102">
        <v>45747</v>
      </c>
      <c r="K283" s="12">
        <v>45747</v>
      </c>
      <c r="L283" s="19" t="s">
        <v>731</v>
      </c>
      <c r="M283" s="36">
        <v>0</v>
      </c>
      <c r="N283" s="26"/>
      <c r="O283" t="s">
        <v>199</v>
      </c>
      <c r="P283" t="s">
        <v>376</v>
      </c>
      <c r="Q283" t="s">
        <v>207</v>
      </c>
    </row>
    <row r="284" spans="1:17" x14ac:dyDescent="0.3">
      <c r="A284" s="25">
        <v>1262</v>
      </c>
      <c r="B284" t="s">
        <v>193</v>
      </c>
      <c r="C284" t="s">
        <v>45</v>
      </c>
      <c r="D284" t="s">
        <v>375</v>
      </c>
      <c r="E284" s="121">
        <v>3924</v>
      </c>
      <c r="F284" s="13">
        <v>45716</v>
      </c>
      <c r="G284" s="24">
        <v>9148.61</v>
      </c>
      <c r="H284" s="24">
        <v>8585.9599999999991</v>
      </c>
      <c r="I284" s="3">
        <v>45737</v>
      </c>
      <c r="J284" s="102">
        <v>45747</v>
      </c>
      <c r="K284" s="12">
        <v>45747</v>
      </c>
      <c r="L284" s="19" t="s">
        <v>731</v>
      </c>
      <c r="M284" s="36">
        <v>0</v>
      </c>
      <c r="N284" s="26"/>
      <c r="O284" t="s">
        <v>199</v>
      </c>
      <c r="P284" t="s">
        <v>376</v>
      </c>
      <c r="Q284" t="s">
        <v>207</v>
      </c>
    </row>
    <row r="285" spans="1:17" x14ac:dyDescent="0.3">
      <c r="A285" s="25">
        <v>1262</v>
      </c>
      <c r="B285" t="s">
        <v>193</v>
      </c>
      <c r="C285" t="s">
        <v>45</v>
      </c>
      <c r="D285" t="s">
        <v>375</v>
      </c>
      <c r="E285" s="121">
        <v>3923</v>
      </c>
      <c r="F285" s="13">
        <v>45716</v>
      </c>
      <c r="G285" s="24">
        <v>20362.22</v>
      </c>
      <c r="H285" s="24">
        <v>19109.95</v>
      </c>
      <c r="I285" s="3">
        <v>45737</v>
      </c>
      <c r="J285" s="102">
        <v>45747</v>
      </c>
      <c r="K285" s="12">
        <v>45747</v>
      </c>
      <c r="L285" s="19" t="s">
        <v>731</v>
      </c>
      <c r="M285" s="36">
        <v>0</v>
      </c>
      <c r="N285" s="26"/>
      <c r="O285" t="s">
        <v>199</v>
      </c>
      <c r="P285" t="s">
        <v>376</v>
      </c>
      <c r="Q285" t="s">
        <v>207</v>
      </c>
    </row>
    <row r="286" spans="1:17" x14ac:dyDescent="0.3">
      <c r="A286" s="9">
        <v>1269</v>
      </c>
      <c r="B286" t="s">
        <v>193</v>
      </c>
      <c r="C286" t="s">
        <v>45</v>
      </c>
      <c r="D286" t="s">
        <v>384</v>
      </c>
      <c r="E286" s="121">
        <v>3921</v>
      </c>
      <c r="F286" s="13">
        <v>45716</v>
      </c>
      <c r="G286" s="24">
        <v>6310.36</v>
      </c>
      <c r="H286" s="24">
        <v>5922.27</v>
      </c>
      <c r="I286" s="3">
        <v>45737</v>
      </c>
      <c r="J286" s="102">
        <v>45747</v>
      </c>
      <c r="K286" s="12">
        <v>45747</v>
      </c>
      <c r="L286" s="19" t="s">
        <v>731</v>
      </c>
      <c r="M286" s="35">
        <v>0</v>
      </c>
      <c r="N286" s="15"/>
      <c r="O286" t="s">
        <v>202</v>
      </c>
      <c r="P286" t="s">
        <v>376</v>
      </c>
      <c r="Q286" t="s">
        <v>207</v>
      </c>
    </row>
    <row r="287" spans="1:17" x14ac:dyDescent="0.3">
      <c r="A287" s="9">
        <v>1269</v>
      </c>
      <c r="B287" t="s">
        <v>193</v>
      </c>
      <c r="C287" t="s">
        <v>45</v>
      </c>
      <c r="D287" t="s">
        <v>384</v>
      </c>
      <c r="E287" s="121">
        <v>3920</v>
      </c>
      <c r="F287" s="13">
        <v>45716</v>
      </c>
      <c r="G287" s="24">
        <v>10311.450000000001</v>
      </c>
      <c r="H287" s="24">
        <v>9677.31</v>
      </c>
      <c r="I287" s="3">
        <v>45737</v>
      </c>
      <c r="J287" s="102">
        <v>45747</v>
      </c>
      <c r="K287" s="12">
        <v>45747</v>
      </c>
      <c r="L287" s="19" t="s">
        <v>731</v>
      </c>
      <c r="M287" s="35">
        <v>0</v>
      </c>
      <c r="N287" s="15"/>
      <c r="O287" t="s">
        <v>202</v>
      </c>
      <c r="P287" t="s">
        <v>376</v>
      </c>
      <c r="Q287" t="s">
        <v>207</v>
      </c>
    </row>
    <row r="288" spans="1:17" x14ac:dyDescent="0.3">
      <c r="A288" s="9">
        <v>1269</v>
      </c>
      <c r="B288" t="s">
        <v>193</v>
      </c>
      <c r="C288" t="s">
        <v>45</v>
      </c>
      <c r="D288" t="s">
        <v>384</v>
      </c>
      <c r="E288" s="121">
        <v>3922</v>
      </c>
      <c r="F288" s="13">
        <v>45716</v>
      </c>
      <c r="G288" s="24">
        <v>29105.24</v>
      </c>
      <c r="H288" s="24">
        <v>27315.27</v>
      </c>
      <c r="I288" s="3">
        <v>45737</v>
      </c>
      <c r="J288" s="102">
        <v>45747</v>
      </c>
      <c r="K288" s="12">
        <v>45747</v>
      </c>
      <c r="L288" s="19" t="s">
        <v>731</v>
      </c>
      <c r="M288" s="35">
        <v>0</v>
      </c>
      <c r="N288" s="15"/>
      <c r="O288" t="s">
        <v>202</v>
      </c>
      <c r="P288" t="s">
        <v>376</v>
      </c>
      <c r="Q288" t="s">
        <v>207</v>
      </c>
    </row>
    <row r="289" spans="1:17" x14ac:dyDescent="0.3">
      <c r="A289" s="9">
        <v>1269</v>
      </c>
      <c r="B289" t="s">
        <v>193</v>
      </c>
      <c r="C289" t="s">
        <v>45</v>
      </c>
      <c r="D289" t="s">
        <v>384</v>
      </c>
      <c r="E289" s="121">
        <v>3927</v>
      </c>
      <c r="F289" s="13">
        <v>45716</v>
      </c>
      <c r="G289" s="24">
        <v>198578.23</v>
      </c>
      <c r="H289" s="24">
        <v>186365.67</v>
      </c>
      <c r="I289" s="3">
        <v>45737</v>
      </c>
      <c r="J289" s="102">
        <v>45747</v>
      </c>
      <c r="K289" s="12">
        <v>45747</v>
      </c>
      <c r="L289" s="19" t="s">
        <v>731</v>
      </c>
      <c r="M289" s="35">
        <v>0</v>
      </c>
      <c r="N289" s="15"/>
      <c r="O289" t="s">
        <v>202</v>
      </c>
      <c r="P289" t="s">
        <v>376</v>
      </c>
      <c r="Q289" t="s">
        <v>207</v>
      </c>
    </row>
    <row r="290" spans="1:17" x14ac:dyDescent="0.3">
      <c r="A290" s="25">
        <v>1400</v>
      </c>
      <c r="B290" t="s">
        <v>209</v>
      </c>
      <c r="C290" t="s">
        <v>3</v>
      </c>
      <c r="D290" t="s">
        <v>530</v>
      </c>
      <c r="E290" s="121">
        <v>8272</v>
      </c>
      <c r="F290" s="13">
        <v>45716</v>
      </c>
      <c r="G290" s="24">
        <v>957204.17</v>
      </c>
      <c r="H290" s="57">
        <v>864833.95</v>
      </c>
      <c r="I290" s="3">
        <v>45748</v>
      </c>
      <c r="J290" s="102">
        <v>45761</v>
      </c>
      <c r="K290" s="12">
        <v>45764</v>
      </c>
      <c r="L290" s="19" t="s">
        <v>731</v>
      </c>
      <c r="M290" s="36">
        <v>0</v>
      </c>
      <c r="N290"/>
      <c r="O290" t="s">
        <v>199</v>
      </c>
      <c r="P290" t="s">
        <v>328</v>
      </c>
      <c r="Q290" t="s">
        <v>203</v>
      </c>
    </row>
    <row r="291" spans="1:17" x14ac:dyDescent="0.3">
      <c r="A291" s="25">
        <v>1400</v>
      </c>
      <c r="B291" t="s">
        <v>209</v>
      </c>
      <c r="C291" t="s">
        <v>3</v>
      </c>
      <c r="D291" t="s">
        <v>530</v>
      </c>
      <c r="E291" s="121">
        <v>8271</v>
      </c>
      <c r="F291" s="13">
        <v>45716</v>
      </c>
      <c r="G291" s="24">
        <v>77751.44</v>
      </c>
      <c r="H291" s="57">
        <v>70248.429999999993</v>
      </c>
      <c r="I291" s="3">
        <v>45748</v>
      </c>
      <c r="J291" s="102">
        <v>45761</v>
      </c>
      <c r="K291" s="12">
        <v>45764</v>
      </c>
      <c r="L291" s="19" t="s">
        <v>731</v>
      </c>
      <c r="M291" s="36">
        <v>0</v>
      </c>
      <c r="N291"/>
      <c r="O291" t="s">
        <v>199</v>
      </c>
      <c r="P291" t="s">
        <v>328</v>
      </c>
      <c r="Q291" t="s">
        <v>203</v>
      </c>
    </row>
    <row r="292" spans="1:17" x14ac:dyDescent="0.3">
      <c r="A292" s="9">
        <v>1366</v>
      </c>
      <c r="B292" t="s">
        <v>209</v>
      </c>
      <c r="C292" t="s">
        <v>3</v>
      </c>
      <c r="D292" t="s">
        <v>490</v>
      </c>
      <c r="E292" s="121">
        <v>1230</v>
      </c>
      <c r="F292" s="13">
        <v>45716</v>
      </c>
      <c r="G292" s="11">
        <v>347113.33</v>
      </c>
      <c r="H292" s="11">
        <v>313616.71000000002</v>
      </c>
      <c r="I292" s="3">
        <v>45729</v>
      </c>
      <c r="J292" s="102">
        <v>45748</v>
      </c>
      <c r="K292" s="12">
        <v>45750</v>
      </c>
      <c r="L292" s="19" t="s">
        <v>731</v>
      </c>
      <c r="M292" s="35">
        <v>0</v>
      </c>
      <c r="N292"/>
      <c r="O292" t="s">
        <v>202</v>
      </c>
      <c r="P292" t="s">
        <v>328</v>
      </c>
      <c r="Q292" t="s">
        <v>203</v>
      </c>
    </row>
    <row r="293" spans="1:17" x14ac:dyDescent="0.3">
      <c r="A293" s="9">
        <v>1388</v>
      </c>
      <c r="B293" t="s">
        <v>209</v>
      </c>
      <c r="C293" t="s">
        <v>3</v>
      </c>
      <c r="D293" t="s">
        <v>518</v>
      </c>
      <c r="E293" s="121">
        <v>3881</v>
      </c>
      <c r="F293" s="13">
        <v>45716</v>
      </c>
      <c r="G293" s="11">
        <v>245875.23</v>
      </c>
      <c r="H293" s="11">
        <v>222148.27</v>
      </c>
      <c r="I293" s="3">
        <v>45727</v>
      </c>
      <c r="J293" s="102">
        <v>45748</v>
      </c>
      <c r="K293" s="12">
        <v>45750</v>
      </c>
      <c r="L293" s="19" t="s">
        <v>731</v>
      </c>
      <c r="M293" s="35">
        <v>0</v>
      </c>
      <c r="N293"/>
      <c r="O293" t="s">
        <v>199</v>
      </c>
      <c r="P293" t="s">
        <v>328</v>
      </c>
      <c r="Q293" t="s">
        <v>203</v>
      </c>
    </row>
    <row r="294" spans="1:17" x14ac:dyDescent="0.3">
      <c r="A294" s="9">
        <v>1298</v>
      </c>
      <c r="B294" t="s">
        <v>84</v>
      </c>
      <c r="C294" t="s">
        <v>36</v>
      </c>
      <c r="D294" t="s">
        <v>418</v>
      </c>
      <c r="E294" s="121">
        <v>1231</v>
      </c>
      <c r="F294" s="13">
        <v>45716</v>
      </c>
      <c r="G294" s="24">
        <v>275594.28999999998</v>
      </c>
      <c r="H294" s="24">
        <v>258645.25</v>
      </c>
      <c r="I294" s="3">
        <v>45733</v>
      </c>
      <c r="J294" s="102">
        <v>45740</v>
      </c>
      <c r="K294" s="12">
        <v>45744</v>
      </c>
      <c r="L294" s="19" t="s">
        <v>731</v>
      </c>
      <c r="M294" s="35">
        <v>0</v>
      </c>
      <c r="N294"/>
      <c r="O294" t="s">
        <v>202</v>
      </c>
      <c r="P294" t="s">
        <v>340</v>
      </c>
      <c r="Q294" t="s">
        <v>207</v>
      </c>
    </row>
    <row r="295" spans="1:17" x14ac:dyDescent="0.3">
      <c r="A295" s="9">
        <v>1289</v>
      </c>
      <c r="B295" t="s">
        <v>204</v>
      </c>
      <c r="C295" t="s">
        <v>32</v>
      </c>
      <c r="D295" t="s">
        <v>408</v>
      </c>
      <c r="E295" s="121">
        <v>8247</v>
      </c>
      <c r="F295" s="13">
        <v>45716</v>
      </c>
      <c r="G295" s="24">
        <v>288652.95</v>
      </c>
      <c r="H295" s="11">
        <v>269024.55</v>
      </c>
      <c r="I295" s="3">
        <v>45729</v>
      </c>
      <c r="J295" s="102">
        <v>45747</v>
      </c>
      <c r="K295" s="12">
        <v>45747</v>
      </c>
      <c r="L295" s="19" t="s">
        <v>731</v>
      </c>
      <c r="M295" s="35"/>
      <c r="N295"/>
      <c r="O295" t="s">
        <v>202</v>
      </c>
      <c r="P295" t="s">
        <v>340</v>
      </c>
      <c r="Q295" t="s">
        <v>217</v>
      </c>
    </row>
    <row r="296" spans="1:17" x14ac:dyDescent="0.3">
      <c r="A296" s="25">
        <v>1288</v>
      </c>
      <c r="B296" t="s">
        <v>204</v>
      </c>
      <c r="C296" t="s">
        <v>32</v>
      </c>
      <c r="D296" t="s">
        <v>407</v>
      </c>
      <c r="E296" s="121">
        <v>8248</v>
      </c>
      <c r="F296" s="13">
        <v>45716</v>
      </c>
      <c r="G296" s="24">
        <v>379348.6</v>
      </c>
      <c r="H296" s="24">
        <v>353552.9</v>
      </c>
      <c r="I296" s="3">
        <v>45729</v>
      </c>
      <c r="J296" s="102">
        <v>45747</v>
      </c>
      <c r="K296" s="12">
        <v>45747</v>
      </c>
      <c r="L296" s="19" t="s">
        <v>731</v>
      </c>
      <c r="M296" s="36"/>
      <c r="N296"/>
      <c r="O296" t="s">
        <v>199</v>
      </c>
      <c r="P296" t="s">
        <v>340</v>
      </c>
      <c r="Q296" t="s">
        <v>217</v>
      </c>
    </row>
    <row r="297" spans="1:17" x14ac:dyDescent="0.3">
      <c r="A297" s="9">
        <v>1271</v>
      </c>
      <c r="B297" t="s">
        <v>204</v>
      </c>
      <c r="C297" t="s">
        <v>32</v>
      </c>
      <c r="D297" t="s">
        <v>387</v>
      </c>
      <c r="E297" s="121">
        <v>8249</v>
      </c>
      <c r="F297" s="13">
        <v>45716</v>
      </c>
      <c r="G297" s="11">
        <v>255597.54</v>
      </c>
      <c r="H297" s="11">
        <v>238216.91</v>
      </c>
      <c r="I297" s="3">
        <v>45729</v>
      </c>
      <c r="J297" s="102">
        <v>45733</v>
      </c>
      <c r="K297" s="12">
        <v>45737</v>
      </c>
      <c r="L297" s="19" t="s">
        <v>731</v>
      </c>
      <c r="M297" s="35">
        <v>0</v>
      </c>
      <c r="N297"/>
      <c r="O297" t="s">
        <v>202</v>
      </c>
      <c r="P297" t="s">
        <v>340</v>
      </c>
      <c r="Q297" t="s">
        <v>217</v>
      </c>
    </row>
    <row r="298" spans="1:17" x14ac:dyDescent="0.3">
      <c r="A298" s="9">
        <v>1299</v>
      </c>
      <c r="B298" t="s">
        <v>204</v>
      </c>
      <c r="C298" t="s">
        <v>32</v>
      </c>
      <c r="D298" t="s">
        <v>419</v>
      </c>
      <c r="E298" s="121">
        <v>8246</v>
      </c>
      <c r="F298" s="13">
        <v>45716</v>
      </c>
      <c r="G298" s="11">
        <v>1032681.6</v>
      </c>
      <c r="H298" s="11">
        <v>962459.25</v>
      </c>
      <c r="I298" s="3">
        <v>45729</v>
      </c>
      <c r="J298" s="102">
        <v>45740</v>
      </c>
      <c r="K298" s="12">
        <v>45742</v>
      </c>
      <c r="L298" s="19" t="s">
        <v>731</v>
      </c>
      <c r="M298" s="55">
        <v>0</v>
      </c>
      <c r="N298" s="15"/>
      <c r="O298" t="s">
        <v>199</v>
      </c>
      <c r="P298" t="s">
        <v>340</v>
      </c>
      <c r="Q298" t="s">
        <v>217</v>
      </c>
    </row>
    <row r="299" spans="1:17" x14ac:dyDescent="0.3">
      <c r="A299" s="9">
        <v>1394</v>
      </c>
      <c r="B299" t="s">
        <v>210</v>
      </c>
      <c r="C299" t="s">
        <v>38</v>
      </c>
      <c r="D299" t="s">
        <v>523</v>
      </c>
      <c r="E299" s="121">
        <v>8252</v>
      </c>
      <c r="F299" s="13">
        <v>45716</v>
      </c>
      <c r="G299" s="24">
        <v>73671.490000000005</v>
      </c>
      <c r="H299" s="24">
        <v>68661.83</v>
      </c>
      <c r="I299" s="3">
        <v>45729</v>
      </c>
      <c r="J299" s="102">
        <v>45740</v>
      </c>
      <c r="K299" s="12">
        <v>45740</v>
      </c>
      <c r="L299" s="22" t="s">
        <v>731</v>
      </c>
      <c r="M299" s="35">
        <v>0</v>
      </c>
      <c r="N299" s="15"/>
      <c r="O299" t="s">
        <v>202</v>
      </c>
      <c r="P299" t="s">
        <v>340</v>
      </c>
      <c r="Q299" t="s">
        <v>213</v>
      </c>
    </row>
    <row r="300" spans="1:17" x14ac:dyDescent="0.3">
      <c r="A300" s="9">
        <v>1394</v>
      </c>
      <c r="B300" t="s">
        <v>210</v>
      </c>
      <c r="C300" t="s">
        <v>38</v>
      </c>
      <c r="D300" t="s">
        <v>523</v>
      </c>
      <c r="E300" s="121">
        <v>8256</v>
      </c>
      <c r="F300" s="13">
        <v>45716</v>
      </c>
      <c r="G300" s="24">
        <v>128524.2</v>
      </c>
      <c r="H300" s="24">
        <v>119784.56</v>
      </c>
      <c r="I300" s="3">
        <v>45733</v>
      </c>
      <c r="J300" s="102">
        <v>45740</v>
      </c>
      <c r="K300" s="5">
        <v>45743</v>
      </c>
      <c r="L300" s="22" t="s">
        <v>731</v>
      </c>
      <c r="M300" s="35">
        <v>0</v>
      </c>
      <c r="N300" s="15"/>
      <c r="O300" t="s">
        <v>202</v>
      </c>
      <c r="P300" t="s">
        <v>340</v>
      </c>
      <c r="Q300" t="s">
        <v>213</v>
      </c>
    </row>
    <row r="301" spans="1:17" x14ac:dyDescent="0.3">
      <c r="A301" s="9">
        <v>1394</v>
      </c>
      <c r="B301" t="s">
        <v>210</v>
      </c>
      <c r="C301" t="s">
        <v>38</v>
      </c>
      <c r="D301" t="s">
        <v>523</v>
      </c>
      <c r="E301" s="121">
        <v>8265</v>
      </c>
      <c r="F301" s="13">
        <v>45716</v>
      </c>
      <c r="G301" s="24">
        <v>111600.22</v>
      </c>
      <c r="H301" s="24">
        <v>104011.41</v>
      </c>
      <c r="I301" s="3">
        <v>45742</v>
      </c>
      <c r="J301" s="102">
        <v>45754</v>
      </c>
      <c r="K301" s="5">
        <v>45755</v>
      </c>
      <c r="L301" s="22" t="s">
        <v>731</v>
      </c>
      <c r="M301" s="35">
        <v>0</v>
      </c>
      <c r="N301" s="15"/>
      <c r="O301" t="s">
        <v>202</v>
      </c>
      <c r="P301" t="s">
        <v>340</v>
      </c>
      <c r="Q301" t="s">
        <v>213</v>
      </c>
    </row>
    <row r="302" spans="1:17" x14ac:dyDescent="0.3">
      <c r="A302" s="9">
        <v>1394</v>
      </c>
      <c r="B302" t="s">
        <v>210</v>
      </c>
      <c r="C302" t="s">
        <v>38</v>
      </c>
      <c r="D302" t="s">
        <v>523</v>
      </c>
      <c r="E302" s="121">
        <v>8267</v>
      </c>
      <c r="F302" s="13">
        <v>45716</v>
      </c>
      <c r="G302" s="24">
        <v>283355.11</v>
      </c>
      <c r="H302" s="24">
        <v>264086.96000000002</v>
      </c>
      <c r="I302" s="3">
        <v>45744</v>
      </c>
      <c r="J302" s="102">
        <v>45761</v>
      </c>
      <c r="K302" s="5">
        <v>45763</v>
      </c>
      <c r="L302" s="22" t="s">
        <v>731</v>
      </c>
      <c r="M302" s="35">
        <v>0</v>
      </c>
      <c r="N302" s="15"/>
      <c r="O302" t="s">
        <v>202</v>
      </c>
      <c r="P302" t="s">
        <v>340</v>
      </c>
      <c r="Q302" t="s">
        <v>213</v>
      </c>
    </row>
    <row r="303" spans="1:17" x14ac:dyDescent="0.3">
      <c r="A303" s="9">
        <v>1394</v>
      </c>
      <c r="B303" t="s">
        <v>210</v>
      </c>
      <c r="C303" t="s">
        <v>38</v>
      </c>
      <c r="D303" t="s">
        <v>523</v>
      </c>
      <c r="E303" s="121">
        <v>8266</v>
      </c>
      <c r="F303" s="13">
        <v>45716</v>
      </c>
      <c r="G303" s="24">
        <v>85000</v>
      </c>
      <c r="H303" s="24">
        <v>79220</v>
      </c>
      <c r="I303" s="3">
        <v>45744</v>
      </c>
      <c r="J303" s="102">
        <v>45754</v>
      </c>
      <c r="K303" s="5">
        <v>45755</v>
      </c>
      <c r="L303" s="22" t="s">
        <v>731</v>
      </c>
      <c r="M303" s="35">
        <v>0</v>
      </c>
      <c r="N303" s="15"/>
      <c r="O303" t="s">
        <v>202</v>
      </c>
      <c r="P303" t="s">
        <v>340</v>
      </c>
      <c r="Q303" t="s">
        <v>213</v>
      </c>
    </row>
    <row r="304" spans="1:17" x14ac:dyDescent="0.3">
      <c r="A304" s="9">
        <v>1394</v>
      </c>
      <c r="B304" t="s">
        <v>210</v>
      </c>
      <c r="C304" t="s">
        <v>38</v>
      </c>
      <c r="D304" t="s">
        <v>523</v>
      </c>
      <c r="E304" s="121">
        <v>8283</v>
      </c>
      <c r="F304" s="13">
        <v>45716</v>
      </c>
      <c r="G304" s="24">
        <v>22096.36</v>
      </c>
      <c r="H304" s="24">
        <v>20593.8</v>
      </c>
      <c r="I304" s="3">
        <v>45751</v>
      </c>
      <c r="J304" s="102">
        <v>45761</v>
      </c>
      <c r="K304" s="5">
        <v>45764</v>
      </c>
      <c r="L304" s="22" t="s">
        <v>731</v>
      </c>
      <c r="M304" s="35">
        <v>0</v>
      </c>
      <c r="N304" s="15"/>
      <c r="O304" t="s">
        <v>202</v>
      </c>
      <c r="P304" t="s">
        <v>340</v>
      </c>
      <c r="Q304" t="s">
        <v>213</v>
      </c>
    </row>
    <row r="305" spans="1:17" x14ac:dyDescent="0.3">
      <c r="A305" s="25">
        <v>1394</v>
      </c>
      <c r="B305" t="s">
        <v>210</v>
      </c>
      <c r="C305" t="s">
        <v>38</v>
      </c>
      <c r="D305" t="s">
        <v>523</v>
      </c>
      <c r="E305" s="121">
        <v>8297</v>
      </c>
      <c r="F305" s="13">
        <v>45716</v>
      </c>
      <c r="G305" s="24">
        <v>127355.8</v>
      </c>
      <c r="H305" s="24">
        <v>118695.6</v>
      </c>
      <c r="I305" s="3">
        <v>45757</v>
      </c>
      <c r="J305" s="102">
        <v>45761</v>
      </c>
      <c r="K305" s="29">
        <v>45764</v>
      </c>
      <c r="L305" s="22" t="s">
        <v>731</v>
      </c>
      <c r="M305" s="36">
        <v>0</v>
      </c>
      <c r="N305" s="26"/>
      <c r="O305" t="s">
        <v>202</v>
      </c>
      <c r="P305" t="s">
        <v>340</v>
      </c>
      <c r="Q305" t="s">
        <v>213</v>
      </c>
    </row>
    <row r="306" spans="1:17" x14ac:dyDescent="0.3">
      <c r="A306" s="9">
        <v>1394</v>
      </c>
      <c r="B306" t="s">
        <v>210</v>
      </c>
      <c r="C306" t="s">
        <v>38</v>
      </c>
      <c r="D306" t="s">
        <v>523</v>
      </c>
      <c r="E306" s="121">
        <v>8359</v>
      </c>
      <c r="F306" s="13">
        <v>45716</v>
      </c>
      <c r="G306" s="24">
        <v>222403.39</v>
      </c>
      <c r="H306" s="24">
        <v>207279.96</v>
      </c>
      <c r="I306" s="3">
        <v>45813</v>
      </c>
      <c r="J306" s="102">
        <v>45817</v>
      </c>
      <c r="K306" s="5">
        <v>45820</v>
      </c>
      <c r="L306" s="22" t="s">
        <v>731</v>
      </c>
      <c r="M306" s="56">
        <v>0</v>
      </c>
      <c r="N306" s="15"/>
      <c r="O306" t="s">
        <v>202</v>
      </c>
      <c r="P306" t="s">
        <v>340</v>
      </c>
      <c r="Q306" t="s">
        <v>213</v>
      </c>
    </row>
    <row r="307" spans="1:17" x14ac:dyDescent="0.3">
      <c r="A307" s="25">
        <v>1360</v>
      </c>
      <c r="B307" t="s">
        <v>71</v>
      </c>
      <c r="C307" t="s">
        <v>44</v>
      </c>
      <c r="D307" t="s">
        <v>483</v>
      </c>
      <c r="E307" s="121">
        <v>3835</v>
      </c>
      <c r="F307" s="13">
        <v>45716</v>
      </c>
      <c r="G307" s="24">
        <v>25592.32</v>
      </c>
      <c r="H307" s="24">
        <v>24018.400000000001</v>
      </c>
      <c r="I307" s="3">
        <v>45712</v>
      </c>
      <c r="J307" s="102">
        <v>45747</v>
      </c>
      <c r="K307" s="12">
        <v>45747</v>
      </c>
      <c r="L307" s="19" t="s">
        <v>731</v>
      </c>
      <c r="M307" s="36"/>
      <c r="N307"/>
      <c r="O307" t="s">
        <v>199</v>
      </c>
      <c r="P307" t="s">
        <v>376</v>
      </c>
      <c r="Q307" t="s">
        <v>203</v>
      </c>
    </row>
    <row r="308" spans="1:17" x14ac:dyDescent="0.3">
      <c r="A308" s="25">
        <v>1360</v>
      </c>
      <c r="B308" t="s">
        <v>71</v>
      </c>
      <c r="C308" t="s">
        <v>44</v>
      </c>
      <c r="D308" t="s">
        <v>483</v>
      </c>
      <c r="E308" s="121">
        <v>3834</v>
      </c>
      <c r="F308" s="13">
        <v>45716</v>
      </c>
      <c r="G308" s="24">
        <v>35963.199999999997</v>
      </c>
      <c r="H308" s="24">
        <v>33751.46</v>
      </c>
      <c r="I308" s="3">
        <v>45712</v>
      </c>
      <c r="J308" s="102">
        <v>45747</v>
      </c>
      <c r="K308" s="12">
        <v>45747</v>
      </c>
      <c r="L308" s="19" t="s">
        <v>731</v>
      </c>
      <c r="M308" s="36"/>
      <c r="N308"/>
      <c r="O308" t="s">
        <v>199</v>
      </c>
      <c r="P308" t="s">
        <v>376</v>
      </c>
      <c r="Q308" t="s">
        <v>203</v>
      </c>
    </row>
    <row r="309" spans="1:17" x14ac:dyDescent="0.3">
      <c r="A309" s="25">
        <v>1360</v>
      </c>
      <c r="B309" t="s">
        <v>71</v>
      </c>
      <c r="C309" t="s">
        <v>44</v>
      </c>
      <c r="D309" t="s">
        <v>483</v>
      </c>
      <c r="E309" s="121">
        <v>3856</v>
      </c>
      <c r="F309" s="13">
        <v>45716</v>
      </c>
      <c r="G309" s="24">
        <v>13699.2</v>
      </c>
      <c r="H309" s="24">
        <v>12856.7</v>
      </c>
      <c r="I309" s="3">
        <v>45715</v>
      </c>
      <c r="J309" s="102">
        <v>45747</v>
      </c>
      <c r="K309" s="12">
        <v>45747</v>
      </c>
      <c r="L309" s="19" t="s">
        <v>731</v>
      </c>
      <c r="M309" s="36"/>
      <c r="N309"/>
      <c r="O309" t="s">
        <v>199</v>
      </c>
      <c r="P309" t="s">
        <v>376</v>
      </c>
      <c r="Q309" t="s">
        <v>203</v>
      </c>
    </row>
    <row r="310" spans="1:17" x14ac:dyDescent="0.3">
      <c r="A310" s="25">
        <v>1360</v>
      </c>
      <c r="B310" t="s">
        <v>71</v>
      </c>
      <c r="C310" t="s">
        <v>44</v>
      </c>
      <c r="D310" t="s">
        <v>483</v>
      </c>
      <c r="E310" s="121">
        <v>3847</v>
      </c>
      <c r="F310" s="13">
        <v>45716</v>
      </c>
      <c r="G310" s="24">
        <v>57540.800000000003</v>
      </c>
      <c r="H310" s="24">
        <v>54002.04</v>
      </c>
      <c r="I310" s="3">
        <v>45713</v>
      </c>
      <c r="J310" s="102">
        <v>45747</v>
      </c>
      <c r="K310" s="12">
        <v>45747</v>
      </c>
      <c r="L310" s="19" t="s">
        <v>731</v>
      </c>
      <c r="M310" s="36"/>
      <c r="N310"/>
      <c r="O310" t="s">
        <v>199</v>
      </c>
      <c r="P310" t="s">
        <v>376</v>
      </c>
      <c r="Q310" t="s">
        <v>203</v>
      </c>
    </row>
    <row r="311" spans="1:17" x14ac:dyDescent="0.3">
      <c r="A311" s="25">
        <v>1360</v>
      </c>
      <c r="B311" t="s">
        <v>71</v>
      </c>
      <c r="C311" t="s">
        <v>44</v>
      </c>
      <c r="D311" t="s">
        <v>483</v>
      </c>
      <c r="E311" s="121">
        <v>3846</v>
      </c>
      <c r="F311" s="13">
        <v>45716</v>
      </c>
      <c r="G311" s="24">
        <v>45432</v>
      </c>
      <c r="H311" s="24">
        <v>42637.93</v>
      </c>
      <c r="I311" s="3">
        <v>45713</v>
      </c>
      <c r="J311" s="102">
        <v>45747</v>
      </c>
      <c r="K311" s="12">
        <v>45747</v>
      </c>
      <c r="L311" s="19" t="s">
        <v>731</v>
      </c>
      <c r="M311" s="36"/>
      <c r="N311"/>
      <c r="O311" t="s">
        <v>199</v>
      </c>
      <c r="P311" t="s">
        <v>376</v>
      </c>
      <c r="Q311" t="s">
        <v>203</v>
      </c>
    </row>
    <row r="312" spans="1:17" x14ac:dyDescent="0.3">
      <c r="A312" s="25">
        <v>1360</v>
      </c>
      <c r="B312" t="s">
        <v>71</v>
      </c>
      <c r="C312" t="s">
        <v>44</v>
      </c>
      <c r="D312" t="s">
        <v>483</v>
      </c>
      <c r="E312" s="121">
        <v>3844</v>
      </c>
      <c r="F312" s="13">
        <v>45716</v>
      </c>
      <c r="G312" s="24">
        <v>66791.87</v>
      </c>
      <c r="H312" s="24">
        <v>62684.160000000003</v>
      </c>
      <c r="I312" s="3">
        <v>45713</v>
      </c>
      <c r="J312" s="102">
        <v>45747</v>
      </c>
      <c r="K312" s="12">
        <v>45747</v>
      </c>
      <c r="L312" s="19" t="s">
        <v>731</v>
      </c>
      <c r="M312" s="36"/>
      <c r="N312"/>
      <c r="O312" t="s">
        <v>199</v>
      </c>
      <c r="P312" t="s">
        <v>376</v>
      </c>
      <c r="Q312" t="s">
        <v>203</v>
      </c>
    </row>
    <row r="313" spans="1:17" x14ac:dyDescent="0.3">
      <c r="A313" s="25">
        <v>1360</v>
      </c>
      <c r="B313" t="s">
        <v>71</v>
      </c>
      <c r="C313" t="s">
        <v>44</v>
      </c>
      <c r="D313" t="s">
        <v>483</v>
      </c>
      <c r="E313" s="121">
        <v>3843</v>
      </c>
      <c r="F313" s="13">
        <v>45716</v>
      </c>
      <c r="G313" s="24">
        <v>60728</v>
      </c>
      <c r="H313" s="24">
        <v>56993.23</v>
      </c>
      <c r="I313" s="3">
        <v>45713</v>
      </c>
      <c r="J313" s="102">
        <v>45747</v>
      </c>
      <c r="K313" s="12">
        <v>45747</v>
      </c>
      <c r="L313" s="19" t="s">
        <v>731</v>
      </c>
      <c r="M313" s="36"/>
      <c r="N313"/>
      <c r="O313" t="s">
        <v>199</v>
      </c>
      <c r="P313" t="s">
        <v>376</v>
      </c>
      <c r="Q313" t="s">
        <v>203</v>
      </c>
    </row>
    <row r="314" spans="1:17" x14ac:dyDescent="0.3">
      <c r="A314" s="25">
        <v>1360</v>
      </c>
      <c r="B314" t="s">
        <v>71</v>
      </c>
      <c r="C314" t="s">
        <v>44</v>
      </c>
      <c r="D314" t="s">
        <v>483</v>
      </c>
      <c r="E314" s="121">
        <v>3842</v>
      </c>
      <c r="F314" s="13">
        <v>45716</v>
      </c>
      <c r="G314" s="24">
        <v>30112</v>
      </c>
      <c r="H314" s="24">
        <v>28260.11</v>
      </c>
      <c r="I314" s="3">
        <v>45713</v>
      </c>
      <c r="J314" s="102">
        <v>45747</v>
      </c>
      <c r="K314" s="12">
        <v>45747</v>
      </c>
      <c r="L314" s="19" t="s">
        <v>731</v>
      </c>
      <c r="M314" s="36"/>
      <c r="N314"/>
      <c r="O314" t="s">
        <v>199</v>
      </c>
      <c r="P314" t="s">
        <v>376</v>
      </c>
      <c r="Q314" t="s">
        <v>203</v>
      </c>
    </row>
    <row r="315" spans="1:17" x14ac:dyDescent="0.3">
      <c r="A315" s="25">
        <v>1360</v>
      </c>
      <c r="B315" t="s">
        <v>71</v>
      </c>
      <c r="C315" t="s">
        <v>44</v>
      </c>
      <c r="D315" t="s">
        <v>483</v>
      </c>
      <c r="E315" s="121">
        <v>3840</v>
      </c>
      <c r="F315" s="13">
        <v>45716</v>
      </c>
      <c r="G315" s="24">
        <v>81472.44</v>
      </c>
      <c r="H315" s="24">
        <v>76461.89</v>
      </c>
      <c r="I315" s="3">
        <v>45713</v>
      </c>
      <c r="J315" s="102">
        <v>45747</v>
      </c>
      <c r="K315" s="12">
        <v>45747</v>
      </c>
      <c r="L315" s="19" t="s">
        <v>731</v>
      </c>
      <c r="M315" s="36"/>
      <c r="N315"/>
      <c r="O315" t="s">
        <v>199</v>
      </c>
      <c r="P315" t="s">
        <v>376</v>
      </c>
      <c r="Q315" t="s">
        <v>203</v>
      </c>
    </row>
    <row r="316" spans="1:17" x14ac:dyDescent="0.3">
      <c r="A316" s="25">
        <v>1360</v>
      </c>
      <c r="B316" t="s">
        <v>71</v>
      </c>
      <c r="C316" t="s">
        <v>44</v>
      </c>
      <c r="D316" t="s">
        <v>483</v>
      </c>
      <c r="E316" s="121">
        <v>3853</v>
      </c>
      <c r="F316" s="13">
        <v>45716</v>
      </c>
      <c r="G316" s="24">
        <v>114626.56</v>
      </c>
      <c r="H316" s="24">
        <v>107577.02</v>
      </c>
      <c r="I316" s="3">
        <v>45714</v>
      </c>
      <c r="J316" s="102">
        <v>45747</v>
      </c>
      <c r="K316" s="12">
        <v>45747</v>
      </c>
      <c r="L316" s="19" t="s">
        <v>731</v>
      </c>
      <c r="M316" s="36"/>
      <c r="N316"/>
      <c r="O316" t="s">
        <v>199</v>
      </c>
      <c r="P316" t="s">
        <v>376</v>
      </c>
      <c r="Q316" t="s">
        <v>203</v>
      </c>
    </row>
    <row r="317" spans="1:17" x14ac:dyDescent="0.3">
      <c r="A317" s="25">
        <v>1360</v>
      </c>
      <c r="B317" t="s">
        <v>71</v>
      </c>
      <c r="C317" t="s">
        <v>44</v>
      </c>
      <c r="D317" t="s">
        <v>483</v>
      </c>
      <c r="E317" s="121">
        <v>3852</v>
      </c>
      <c r="F317" s="13">
        <v>45716</v>
      </c>
      <c r="G317" s="24">
        <v>75657.600000000006</v>
      </c>
      <c r="H317" s="24">
        <v>71004.66</v>
      </c>
      <c r="I317" s="3">
        <v>45714</v>
      </c>
      <c r="J317" s="102">
        <v>45747</v>
      </c>
      <c r="K317" s="12">
        <v>45747</v>
      </c>
      <c r="L317" s="19" t="s">
        <v>731</v>
      </c>
      <c r="M317" s="36"/>
      <c r="N317"/>
      <c r="O317" t="s">
        <v>199</v>
      </c>
      <c r="P317" t="s">
        <v>376</v>
      </c>
      <c r="Q317" t="s">
        <v>203</v>
      </c>
    </row>
    <row r="318" spans="1:17" x14ac:dyDescent="0.3">
      <c r="A318" s="25">
        <v>1360</v>
      </c>
      <c r="B318" t="s">
        <v>71</v>
      </c>
      <c r="C318" t="s">
        <v>44</v>
      </c>
      <c r="D318" t="s">
        <v>483</v>
      </c>
      <c r="E318" s="121">
        <v>3851</v>
      </c>
      <c r="F318" s="13">
        <v>45716</v>
      </c>
      <c r="G318" s="24">
        <v>40668.800000000003</v>
      </c>
      <c r="H318" s="27">
        <v>38167.67</v>
      </c>
      <c r="I318" s="3">
        <v>45714</v>
      </c>
      <c r="J318" s="102">
        <v>45747</v>
      </c>
      <c r="K318" s="12">
        <v>45747</v>
      </c>
      <c r="L318" s="19" t="s">
        <v>731</v>
      </c>
      <c r="M318" s="36"/>
      <c r="N318"/>
      <c r="O318" t="s">
        <v>199</v>
      </c>
      <c r="P318" t="s">
        <v>376</v>
      </c>
      <c r="Q318" t="s">
        <v>203</v>
      </c>
    </row>
    <row r="319" spans="1:17" x14ac:dyDescent="0.3">
      <c r="A319" s="25">
        <v>1360</v>
      </c>
      <c r="B319" t="s">
        <v>71</v>
      </c>
      <c r="C319" t="s">
        <v>44</v>
      </c>
      <c r="D319" t="s">
        <v>483</v>
      </c>
      <c r="E319" s="121">
        <v>3850</v>
      </c>
      <c r="F319" s="13">
        <v>45716</v>
      </c>
      <c r="G319" s="24">
        <v>15640</v>
      </c>
      <c r="H319" s="24">
        <v>14678.14</v>
      </c>
      <c r="I319" s="3">
        <v>45714</v>
      </c>
      <c r="J319" s="102">
        <v>45747</v>
      </c>
      <c r="K319" s="12">
        <v>45747</v>
      </c>
      <c r="L319" s="19" t="s">
        <v>731</v>
      </c>
      <c r="M319" s="36"/>
      <c r="N319"/>
      <c r="O319" t="s">
        <v>199</v>
      </c>
      <c r="P319" t="s">
        <v>376</v>
      </c>
      <c r="Q319" t="s">
        <v>203</v>
      </c>
    </row>
    <row r="320" spans="1:17" x14ac:dyDescent="0.3">
      <c r="A320" s="25">
        <v>1360</v>
      </c>
      <c r="B320" t="s">
        <v>71</v>
      </c>
      <c r="C320" t="s">
        <v>44</v>
      </c>
      <c r="D320" t="s">
        <v>483</v>
      </c>
      <c r="E320" s="121">
        <v>3849</v>
      </c>
      <c r="F320" s="13">
        <v>45716</v>
      </c>
      <c r="G320" s="24">
        <v>119952</v>
      </c>
      <c r="H320" s="24">
        <v>112574.95</v>
      </c>
      <c r="I320" s="3">
        <v>45714</v>
      </c>
      <c r="J320" s="102">
        <v>45748</v>
      </c>
      <c r="K320" s="12">
        <v>45751</v>
      </c>
      <c r="L320" s="19" t="s">
        <v>731</v>
      </c>
      <c r="M320" s="36"/>
      <c r="N320"/>
      <c r="O320" t="s">
        <v>199</v>
      </c>
      <c r="P320" t="s">
        <v>376</v>
      </c>
      <c r="Q320" t="s">
        <v>203</v>
      </c>
    </row>
    <row r="321" spans="1:17" x14ac:dyDescent="0.3">
      <c r="A321" s="25">
        <v>1360</v>
      </c>
      <c r="B321" t="s">
        <v>71</v>
      </c>
      <c r="C321" t="s">
        <v>44</v>
      </c>
      <c r="D321" t="s">
        <v>483</v>
      </c>
      <c r="E321" s="121">
        <v>3861</v>
      </c>
      <c r="F321" s="13">
        <v>45716</v>
      </c>
      <c r="G321" s="24">
        <v>15525.76</v>
      </c>
      <c r="H321" s="24">
        <v>14570.93</v>
      </c>
      <c r="I321" s="3">
        <v>45722</v>
      </c>
      <c r="J321" s="102">
        <v>45775</v>
      </c>
      <c r="K321" s="12">
        <v>45777</v>
      </c>
      <c r="L321" s="19" t="s">
        <v>731</v>
      </c>
      <c r="M321" s="36"/>
      <c r="N321"/>
      <c r="O321" t="s">
        <v>199</v>
      </c>
      <c r="P321" t="s">
        <v>376</v>
      </c>
      <c r="Q321" t="s">
        <v>203</v>
      </c>
    </row>
    <row r="322" spans="1:17" x14ac:dyDescent="0.3">
      <c r="A322" s="25">
        <v>1360</v>
      </c>
      <c r="B322" t="s">
        <v>71</v>
      </c>
      <c r="C322" t="s">
        <v>44</v>
      </c>
      <c r="D322" t="s">
        <v>483</v>
      </c>
      <c r="E322" s="121">
        <v>3879</v>
      </c>
      <c r="F322" s="13">
        <v>45716</v>
      </c>
      <c r="G322" s="24">
        <v>10522.4</v>
      </c>
      <c r="H322" s="24">
        <v>9875.2800000000007</v>
      </c>
      <c r="I322" s="3">
        <v>45727</v>
      </c>
      <c r="J322" s="102">
        <v>45775</v>
      </c>
      <c r="K322" s="12">
        <v>45777</v>
      </c>
      <c r="L322" s="19" t="s">
        <v>731</v>
      </c>
      <c r="M322" s="36"/>
      <c r="N322"/>
      <c r="O322" t="s">
        <v>199</v>
      </c>
      <c r="P322" t="s">
        <v>376</v>
      </c>
      <c r="Q322" t="s">
        <v>203</v>
      </c>
    </row>
    <row r="323" spans="1:17" x14ac:dyDescent="0.3">
      <c r="A323" s="25">
        <v>1360</v>
      </c>
      <c r="B323" t="s">
        <v>71</v>
      </c>
      <c r="C323" t="s">
        <v>44</v>
      </c>
      <c r="D323" t="s">
        <v>483</v>
      </c>
      <c r="E323" s="121">
        <v>3878</v>
      </c>
      <c r="F323" s="13">
        <v>45716</v>
      </c>
      <c r="G323" s="24">
        <v>2914.8</v>
      </c>
      <c r="H323" s="24">
        <v>2735.55</v>
      </c>
      <c r="I323" s="3">
        <v>45727</v>
      </c>
      <c r="J323" s="102">
        <v>45775</v>
      </c>
      <c r="K323" s="12">
        <v>45777</v>
      </c>
      <c r="L323" s="19" t="s">
        <v>731</v>
      </c>
      <c r="M323" s="36"/>
      <c r="N323"/>
      <c r="O323" t="s">
        <v>199</v>
      </c>
      <c r="P323" t="s">
        <v>376</v>
      </c>
      <c r="Q323" t="s">
        <v>203</v>
      </c>
    </row>
    <row r="324" spans="1:17" x14ac:dyDescent="0.3">
      <c r="A324" s="25">
        <v>1387</v>
      </c>
      <c r="B324" t="s">
        <v>71</v>
      </c>
      <c r="C324" t="s">
        <v>44</v>
      </c>
      <c r="D324" t="s">
        <v>517</v>
      </c>
      <c r="E324" s="121">
        <v>3833</v>
      </c>
      <c r="F324" s="13">
        <v>45716</v>
      </c>
      <c r="G324" s="24">
        <v>30648</v>
      </c>
      <c r="H324" s="24">
        <v>28763.15</v>
      </c>
      <c r="I324" s="3">
        <v>45712</v>
      </c>
      <c r="J324" s="102">
        <v>45747</v>
      </c>
      <c r="K324" s="12">
        <v>45747</v>
      </c>
      <c r="L324" s="19" t="s">
        <v>731</v>
      </c>
      <c r="M324" s="36"/>
      <c r="N324"/>
      <c r="O324" t="s">
        <v>202</v>
      </c>
      <c r="P324" t="s">
        <v>376</v>
      </c>
      <c r="Q324" t="s">
        <v>203</v>
      </c>
    </row>
    <row r="325" spans="1:17" x14ac:dyDescent="0.3">
      <c r="A325" s="25">
        <v>1387</v>
      </c>
      <c r="B325" t="s">
        <v>71</v>
      </c>
      <c r="C325" t="s">
        <v>44</v>
      </c>
      <c r="D325" t="s">
        <v>517</v>
      </c>
      <c r="E325" s="121">
        <v>3841</v>
      </c>
      <c r="F325" s="13">
        <v>45716</v>
      </c>
      <c r="G325" s="24">
        <v>24912.799999999999</v>
      </c>
      <c r="H325" s="24">
        <v>23380.67</v>
      </c>
      <c r="I325" s="3">
        <v>45713</v>
      </c>
      <c r="J325" s="102">
        <v>45747</v>
      </c>
      <c r="K325" s="12">
        <v>45747</v>
      </c>
      <c r="L325" s="19" t="s">
        <v>731</v>
      </c>
      <c r="M325" s="36"/>
      <c r="N325"/>
      <c r="O325" t="s">
        <v>202</v>
      </c>
      <c r="P325" t="s">
        <v>376</v>
      </c>
      <c r="Q325" t="s">
        <v>203</v>
      </c>
    </row>
    <row r="326" spans="1:17" x14ac:dyDescent="0.3">
      <c r="A326" s="25">
        <v>1387</v>
      </c>
      <c r="B326" t="s">
        <v>71</v>
      </c>
      <c r="C326" t="s">
        <v>44</v>
      </c>
      <c r="D326" t="s">
        <v>517</v>
      </c>
      <c r="E326" s="121">
        <v>3848</v>
      </c>
      <c r="F326" s="13">
        <v>45716</v>
      </c>
      <c r="G326" s="24">
        <v>55477.52</v>
      </c>
      <c r="H326" s="24">
        <v>52065.65</v>
      </c>
      <c r="I326" s="3">
        <v>45714</v>
      </c>
      <c r="J326" s="102">
        <v>45747</v>
      </c>
      <c r="K326" s="12">
        <v>45747</v>
      </c>
      <c r="L326" s="19" t="s">
        <v>731</v>
      </c>
      <c r="M326" s="36"/>
      <c r="N326"/>
      <c r="O326" t="s">
        <v>202</v>
      </c>
      <c r="P326" t="s">
        <v>376</v>
      </c>
      <c r="Q326" t="s">
        <v>203</v>
      </c>
    </row>
    <row r="327" spans="1:17" x14ac:dyDescent="0.3">
      <c r="A327" s="25">
        <v>1387</v>
      </c>
      <c r="B327" t="s">
        <v>71</v>
      </c>
      <c r="C327" t="s">
        <v>44</v>
      </c>
      <c r="D327" t="s">
        <v>517</v>
      </c>
      <c r="E327" s="121">
        <v>3862</v>
      </c>
      <c r="F327" s="13">
        <v>45716</v>
      </c>
      <c r="G327" s="24">
        <v>40600</v>
      </c>
      <c r="H327" s="24">
        <v>38103.1</v>
      </c>
      <c r="I327" s="3">
        <v>45722</v>
      </c>
      <c r="J327" s="102">
        <v>45796</v>
      </c>
      <c r="K327" s="12">
        <v>45796</v>
      </c>
      <c r="L327" s="19" t="s">
        <v>731</v>
      </c>
      <c r="M327" s="36"/>
      <c r="N327"/>
      <c r="O327" t="s">
        <v>202</v>
      </c>
      <c r="P327" t="s">
        <v>376</v>
      </c>
      <c r="Q327" t="s">
        <v>203</v>
      </c>
    </row>
    <row r="328" spans="1:17" x14ac:dyDescent="0.3">
      <c r="A328" s="25">
        <v>1470</v>
      </c>
      <c r="B328" t="s">
        <v>212</v>
      </c>
      <c r="C328" t="s">
        <v>175</v>
      </c>
      <c r="D328" t="s">
        <v>620</v>
      </c>
      <c r="E328" s="121">
        <v>8228</v>
      </c>
      <c r="F328" s="13">
        <v>45716</v>
      </c>
      <c r="G328" s="24">
        <v>36700</v>
      </c>
      <c r="H328" s="24">
        <v>33708.949999999997</v>
      </c>
      <c r="I328" s="3">
        <v>45721</v>
      </c>
      <c r="J328" s="102">
        <v>45733</v>
      </c>
      <c r="K328" s="12">
        <v>45734</v>
      </c>
      <c r="L328" s="19" t="s">
        <v>731</v>
      </c>
      <c r="M328" s="36">
        <v>0</v>
      </c>
      <c r="N328" s="26"/>
      <c r="O328" t="s">
        <v>202</v>
      </c>
      <c r="P328" t="s">
        <v>328</v>
      </c>
      <c r="Q328" t="s">
        <v>213</v>
      </c>
    </row>
    <row r="329" spans="1:17" x14ac:dyDescent="0.3">
      <c r="A329" s="25">
        <v>1287</v>
      </c>
      <c r="B329" t="s">
        <v>204</v>
      </c>
      <c r="C329" t="s">
        <v>39</v>
      </c>
      <c r="D329" t="s">
        <v>406</v>
      </c>
      <c r="E329" s="121">
        <v>1240</v>
      </c>
      <c r="F329" s="13">
        <v>45716</v>
      </c>
      <c r="G329" s="24">
        <v>128598.96</v>
      </c>
      <c r="H329" s="24">
        <v>115353.27</v>
      </c>
      <c r="I329" s="3">
        <v>45749</v>
      </c>
      <c r="J329" s="102">
        <v>45768</v>
      </c>
      <c r="K329" s="12">
        <v>45772</v>
      </c>
      <c r="L329" s="19" t="s">
        <v>731</v>
      </c>
      <c r="M329" s="36">
        <v>0</v>
      </c>
      <c r="N329" s="26"/>
      <c r="O329" t="s">
        <v>199</v>
      </c>
      <c r="P329" t="s">
        <v>340</v>
      </c>
      <c r="Q329" t="s">
        <v>217</v>
      </c>
    </row>
    <row r="330" spans="1:17" x14ac:dyDescent="0.3">
      <c r="A330" s="25">
        <v>1273</v>
      </c>
      <c r="B330" t="s">
        <v>204</v>
      </c>
      <c r="C330" t="s">
        <v>39</v>
      </c>
      <c r="D330" t="s">
        <v>389</v>
      </c>
      <c r="E330" s="121">
        <v>1234</v>
      </c>
      <c r="F330" s="13">
        <v>45716</v>
      </c>
      <c r="G330" s="2">
        <v>513355.19</v>
      </c>
      <c r="H330" s="24">
        <v>460479.61</v>
      </c>
      <c r="I330" s="3">
        <v>45737</v>
      </c>
      <c r="J330" s="102">
        <v>45754</v>
      </c>
      <c r="K330" s="12">
        <v>45757</v>
      </c>
      <c r="L330" s="19" t="s">
        <v>731</v>
      </c>
      <c r="M330" s="36">
        <v>0</v>
      </c>
      <c r="N330"/>
      <c r="O330" t="s">
        <v>202</v>
      </c>
      <c r="P330" t="s">
        <v>340</v>
      </c>
      <c r="Q330" t="s">
        <v>217</v>
      </c>
    </row>
    <row r="331" spans="1:17" x14ac:dyDescent="0.3">
      <c r="A331" s="9">
        <v>1277</v>
      </c>
      <c r="B331" t="s">
        <v>204</v>
      </c>
      <c r="C331" t="s">
        <v>39</v>
      </c>
      <c r="D331" t="s">
        <v>393</v>
      </c>
      <c r="E331" s="121">
        <v>1232</v>
      </c>
      <c r="F331" s="13">
        <v>45716</v>
      </c>
      <c r="G331" s="24">
        <v>154365.24</v>
      </c>
      <c r="H331" s="11">
        <v>138465.63</v>
      </c>
      <c r="I331" s="3">
        <v>45734</v>
      </c>
      <c r="J331" s="102">
        <v>45740</v>
      </c>
      <c r="K331" s="12">
        <v>45741</v>
      </c>
      <c r="L331" s="19" t="s">
        <v>731</v>
      </c>
      <c r="M331" s="35">
        <v>0</v>
      </c>
      <c r="N331"/>
      <c r="O331" t="s">
        <v>202</v>
      </c>
      <c r="P331" t="s">
        <v>340</v>
      </c>
      <c r="Q331" t="s">
        <v>217</v>
      </c>
    </row>
    <row r="332" spans="1:17" x14ac:dyDescent="0.3">
      <c r="A332" s="25">
        <v>1483</v>
      </c>
      <c r="B332" t="s">
        <v>212</v>
      </c>
      <c r="C332" t="s">
        <v>178</v>
      </c>
      <c r="D332" t="s">
        <v>633</v>
      </c>
      <c r="E332" s="121">
        <v>8231</v>
      </c>
      <c r="F332" s="13">
        <v>45716</v>
      </c>
      <c r="G332" s="24">
        <v>53591.199999999997</v>
      </c>
      <c r="H332" s="24">
        <v>49911.21</v>
      </c>
      <c r="I332" s="3">
        <v>45721</v>
      </c>
      <c r="J332" s="102">
        <v>45754</v>
      </c>
      <c r="K332" s="12">
        <v>45756</v>
      </c>
      <c r="L332" s="19" t="s">
        <v>731</v>
      </c>
      <c r="M332" s="36">
        <v>0</v>
      </c>
      <c r="N332" s="26"/>
      <c r="O332" t="s">
        <v>202</v>
      </c>
      <c r="P332" t="s">
        <v>328</v>
      </c>
      <c r="Q332" t="s">
        <v>207</v>
      </c>
    </row>
    <row r="333" spans="1:17" x14ac:dyDescent="0.3">
      <c r="A333" s="25">
        <v>1483</v>
      </c>
      <c r="B333" t="s">
        <v>212</v>
      </c>
      <c r="C333" t="s">
        <v>178</v>
      </c>
      <c r="D333" t="s">
        <v>633</v>
      </c>
      <c r="E333" s="121">
        <v>8232</v>
      </c>
      <c r="F333" s="13">
        <v>45716</v>
      </c>
      <c r="G333" s="24">
        <v>28856.799999999999</v>
      </c>
      <c r="H333" s="24">
        <v>26062.11</v>
      </c>
      <c r="I333" s="3">
        <v>45721</v>
      </c>
      <c r="J333" s="102">
        <v>45748</v>
      </c>
      <c r="K333" s="12">
        <v>45749</v>
      </c>
      <c r="L333" s="19" t="s">
        <v>731</v>
      </c>
      <c r="M333" s="36">
        <v>0</v>
      </c>
      <c r="N333" s="26"/>
      <c r="O333" t="s">
        <v>202</v>
      </c>
      <c r="P333" t="s">
        <v>328</v>
      </c>
      <c r="Q333" t="s">
        <v>207</v>
      </c>
    </row>
    <row r="334" spans="1:17" x14ac:dyDescent="0.3">
      <c r="A334" s="25">
        <v>1275</v>
      </c>
      <c r="B334" t="s">
        <v>193</v>
      </c>
      <c r="C334" t="s">
        <v>165</v>
      </c>
      <c r="D334" t="s">
        <v>391</v>
      </c>
      <c r="E334" s="121">
        <v>3867</v>
      </c>
      <c r="F334" s="13">
        <v>45716</v>
      </c>
      <c r="G334" s="24">
        <v>7600</v>
      </c>
      <c r="H334" s="27">
        <v>7132.6</v>
      </c>
      <c r="I334" s="3">
        <v>45722</v>
      </c>
      <c r="J334" s="102">
        <v>45747</v>
      </c>
      <c r="K334" s="12">
        <v>45747</v>
      </c>
      <c r="L334" s="19" t="s">
        <v>731</v>
      </c>
      <c r="M334" s="36">
        <v>0</v>
      </c>
      <c r="N334" s="26"/>
      <c r="O334" t="s">
        <v>199</v>
      </c>
      <c r="P334" t="s">
        <v>376</v>
      </c>
      <c r="Q334" t="s">
        <v>207</v>
      </c>
    </row>
    <row r="335" spans="1:17" x14ac:dyDescent="0.3">
      <c r="A335" s="25">
        <v>1479</v>
      </c>
      <c r="B335" t="s">
        <v>193</v>
      </c>
      <c r="C335" t="s">
        <v>165</v>
      </c>
      <c r="D335" t="s">
        <v>629</v>
      </c>
      <c r="E335" s="121">
        <v>3868</v>
      </c>
      <c r="F335" s="13">
        <v>45716</v>
      </c>
      <c r="G335" s="24">
        <v>26040</v>
      </c>
      <c r="H335" s="24">
        <v>24438.54</v>
      </c>
      <c r="I335" s="3">
        <v>45726</v>
      </c>
      <c r="J335" s="102">
        <v>45754</v>
      </c>
      <c r="K335" s="12">
        <v>45755</v>
      </c>
      <c r="L335" s="19" t="s">
        <v>731</v>
      </c>
      <c r="M335" s="36">
        <v>0</v>
      </c>
      <c r="N335" s="26"/>
      <c r="O335" t="s">
        <v>201</v>
      </c>
      <c r="P335" t="s">
        <v>376</v>
      </c>
      <c r="Q335" t="s">
        <v>207</v>
      </c>
    </row>
    <row r="336" spans="1:17" x14ac:dyDescent="0.3">
      <c r="A336" s="25">
        <v>1497</v>
      </c>
      <c r="B336" t="s">
        <v>215</v>
      </c>
      <c r="C336" t="s">
        <v>60</v>
      </c>
      <c r="D336" t="s">
        <v>648</v>
      </c>
      <c r="E336" s="121">
        <v>8274</v>
      </c>
      <c r="F336" s="13">
        <v>45744</v>
      </c>
      <c r="G336" s="24">
        <v>17681.61</v>
      </c>
      <c r="H336" s="24">
        <v>15621.7</v>
      </c>
      <c r="I336" s="3">
        <v>45748</v>
      </c>
      <c r="J336" s="102">
        <v>45775</v>
      </c>
      <c r="K336" s="12">
        <v>45777</v>
      </c>
      <c r="L336" s="22" t="s">
        <v>731</v>
      </c>
      <c r="M336" s="42"/>
      <c r="N336" s="26"/>
      <c r="O336" t="s">
        <v>202</v>
      </c>
      <c r="P336" t="s">
        <v>373</v>
      </c>
      <c r="Q336" t="s">
        <v>213</v>
      </c>
    </row>
    <row r="337" spans="1:17" x14ac:dyDescent="0.3">
      <c r="A337" s="25">
        <v>1497</v>
      </c>
      <c r="B337" t="s">
        <v>215</v>
      </c>
      <c r="C337" t="s">
        <v>60</v>
      </c>
      <c r="D337" t="s">
        <v>648</v>
      </c>
      <c r="E337" s="121">
        <v>8281</v>
      </c>
      <c r="F337" s="13">
        <v>45744</v>
      </c>
      <c r="G337" s="24">
        <v>12221.48</v>
      </c>
      <c r="H337" s="24">
        <v>10797.69</v>
      </c>
      <c r="I337" s="3">
        <v>45750</v>
      </c>
      <c r="J337" s="102">
        <v>45775</v>
      </c>
      <c r="K337" s="12">
        <v>45777</v>
      </c>
      <c r="L337" s="22" t="s">
        <v>731</v>
      </c>
      <c r="M337" s="42"/>
      <c r="N337" s="26"/>
      <c r="O337" t="s">
        <v>202</v>
      </c>
      <c r="P337" t="s">
        <v>373</v>
      </c>
      <c r="Q337" t="s">
        <v>213</v>
      </c>
    </row>
    <row r="338" spans="1:17" x14ac:dyDescent="0.3">
      <c r="A338" s="25">
        <v>1497</v>
      </c>
      <c r="B338" t="s">
        <v>215</v>
      </c>
      <c r="C338" t="s">
        <v>60</v>
      </c>
      <c r="D338" t="s">
        <v>648</v>
      </c>
      <c r="E338" s="121">
        <v>8280</v>
      </c>
      <c r="F338" s="13">
        <v>45744</v>
      </c>
      <c r="G338" s="24">
        <v>1326</v>
      </c>
      <c r="H338" s="24">
        <v>1171.52</v>
      </c>
      <c r="I338" s="3">
        <v>45750</v>
      </c>
      <c r="J338" s="102">
        <v>45775</v>
      </c>
      <c r="K338" s="12">
        <v>45777</v>
      </c>
      <c r="L338" s="22" t="s">
        <v>731</v>
      </c>
      <c r="M338" s="42"/>
      <c r="N338" s="26"/>
      <c r="O338" t="s">
        <v>202</v>
      </c>
      <c r="P338" t="s">
        <v>373</v>
      </c>
      <c r="Q338" t="s">
        <v>213</v>
      </c>
    </row>
    <row r="339" spans="1:17" x14ac:dyDescent="0.3">
      <c r="A339" s="25">
        <v>1478</v>
      </c>
      <c r="B339" t="s">
        <v>71</v>
      </c>
      <c r="C339" t="s">
        <v>198</v>
      </c>
      <c r="D339" t="s">
        <v>628</v>
      </c>
      <c r="E339" s="121">
        <v>8270</v>
      </c>
      <c r="F339" s="13">
        <v>45744</v>
      </c>
      <c r="G339" s="24">
        <v>76256.009999999995</v>
      </c>
      <c r="H339" s="24">
        <v>71566.27</v>
      </c>
      <c r="I339" s="3">
        <v>45748</v>
      </c>
      <c r="J339" s="102">
        <v>45782</v>
      </c>
      <c r="K339" s="12">
        <v>45782</v>
      </c>
      <c r="L339" s="19" t="s">
        <v>731</v>
      </c>
      <c r="M339" s="36"/>
      <c r="N339"/>
      <c r="O339" t="s">
        <v>199</v>
      </c>
      <c r="P339" t="s">
        <v>376</v>
      </c>
      <c r="Q339" t="s">
        <v>203</v>
      </c>
    </row>
    <row r="340" spans="1:17" x14ac:dyDescent="0.3">
      <c r="A340" s="9">
        <v>1391</v>
      </c>
      <c r="B340" t="s">
        <v>71</v>
      </c>
      <c r="C340" t="s">
        <v>196</v>
      </c>
      <c r="D340" t="s">
        <v>520</v>
      </c>
      <c r="E340" s="121">
        <v>3953</v>
      </c>
      <c r="F340" s="13">
        <v>45744</v>
      </c>
      <c r="G340" s="28">
        <v>33260.25</v>
      </c>
      <c r="H340" s="40">
        <v>31214.75</v>
      </c>
      <c r="I340" s="3">
        <v>45757</v>
      </c>
      <c r="J340" s="102">
        <v>45768</v>
      </c>
      <c r="K340" s="12">
        <v>45772</v>
      </c>
      <c r="L340" s="1" t="s">
        <v>731</v>
      </c>
      <c r="M340" s="36">
        <v>0</v>
      </c>
      <c r="N340"/>
      <c r="O340" t="s">
        <v>199</v>
      </c>
      <c r="P340" t="s">
        <v>376</v>
      </c>
      <c r="Q340" t="s">
        <v>203</v>
      </c>
    </row>
    <row r="341" spans="1:17" x14ac:dyDescent="0.3">
      <c r="A341" s="9">
        <v>1391</v>
      </c>
      <c r="B341" t="s">
        <v>71</v>
      </c>
      <c r="C341" t="s">
        <v>196</v>
      </c>
      <c r="D341" t="s">
        <v>520</v>
      </c>
      <c r="E341" s="121">
        <v>3952</v>
      </c>
      <c r="F341" s="13">
        <v>45744</v>
      </c>
      <c r="G341" s="28">
        <v>84335.7</v>
      </c>
      <c r="H341" s="28">
        <v>79149.05</v>
      </c>
      <c r="I341" s="3">
        <v>45757</v>
      </c>
      <c r="J341" s="102">
        <v>45768</v>
      </c>
      <c r="K341" s="12">
        <v>45772</v>
      </c>
      <c r="L341" s="1" t="s">
        <v>731</v>
      </c>
      <c r="M341" s="36">
        <v>0</v>
      </c>
      <c r="N341"/>
      <c r="O341" t="s">
        <v>199</v>
      </c>
      <c r="P341" t="s">
        <v>376</v>
      </c>
      <c r="Q341" t="s">
        <v>203</v>
      </c>
    </row>
    <row r="342" spans="1:17" x14ac:dyDescent="0.3">
      <c r="A342" s="9">
        <v>1391</v>
      </c>
      <c r="B342" t="s">
        <v>71</v>
      </c>
      <c r="C342" t="s">
        <v>196</v>
      </c>
      <c r="D342" t="s">
        <v>520</v>
      </c>
      <c r="E342" s="121">
        <v>3965</v>
      </c>
      <c r="F342" s="13">
        <v>45744</v>
      </c>
      <c r="G342" s="28">
        <v>67715.8</v>
      </c>
      <c r="H342" s="40">
        <v>63551.28</v>
      </c>
      <c r="I342" s="3">
        <v>45758</v>
      </c>
      <c r="J342" s="102">
        <v>45775</v>
      </c>
      <c r="K342" s="12">
        <v>45775</v>
      </c>
      <c r="L342" s="1" t="s">
        <v>731</v>
      </c>
      <c r="M342" s="36">
        <v>0</v>
      </c>
      <c r="N342"/>
      <c r="O342" t="s">
        <v>199</v>
      </c>
      <c r="P342" t="s">
        <v>376</v>
      </c>
      <c r="Q342" t="s">
        <v>203</v>
      </c>
    </row>
    <row r="343" spans="1:17" x14ac:dyDescent="0.3">
      <c r="A343" s="9">
        <v>1391</v>
      </c>
      <c r="B343" t="s">
        <v>71</v>
      </c>
      <c r="C343" t="s">
        <v>196</v>
      </c>
      <c r="D343" t="s">
        <v>520</v>
      </c>
      <c r="E343" s="121">
        <v>3964</v>
      </c>
      <c r="F343" s="13">
        <v>45744</v>
      </c>
      <c r="G343" s="28">
        <v>14589.82</v>
      </c>
      <c r="H343" s="40">
        <v>13692.54</v>
      </c>
      <c r="I343" s="3">
        <v>45758</v>
      </c>
      <c r="J343" s="102">
        <v>45775</v>
      </c>
      <c r="K343" s="12">
        <v>45775</v>
      </c>
      <c r="L343" s="1" t="s">
        <v>731</v>
      </c>
      <c r="M343" s="36">
        <v>0</v>
      </c>
      <c r="N343"/>
      <c r="O343" t="s">
        <v>199</v>
      </c>
      <c r="P343" t="s">
        <v>376</v>
      </c>
      <c r="Q343" t="s">
        <v>203</v>
      </c>
    </row>
    <row r="344" spans="1:17" x14ac:dyDescent="0.3">
      <c r="A344" s="9">
        <v>1391</v>
      </c>
      <c r="B344" t="s">
        <v>71</v>
      </c>
      <c r="C344" t="s">
        <v>196</v>
      </c>
      <c r="D344" t="s">
        <v>520</v>
      </c>
      <c r="E344" s="121">
        <v>3963</v>
      </c>
      <c r="F344" s="13">
        <v>45744</v>
      </c>
      <c r="G344" s="28">
        <v>231252.32</v>
      </c>
      <c r="H344" s="40">
        <v>217030.31</v>
      </c>
      <c r="I344" s="3">
        <v>45758</v>
      </c>
      <c r="J344" s="102">
        <v>45775</v>
      </c>
      <c r="K344" s="12">
        <v>45775</v>
      </c>
      <c r="L344" s="1" t="s">
        <v>731</v>
      </c>
      <c r="M344" s="36">
        <v>0</v>
      </c>
      <c r="N344"/>
      <c r="O344" t="s">
        <v>199</v>
      </c>
      <c r="P344" t="s">
        <v>376</v>
      </c>
      <c r="Q344" t="s">
        <v>203</v>
      </c>
    </row>
    <row r="345" spans="1:17" x14ac:dyDescent="0.3">
      <c r="A345" s="9">
        <v>1391</v>
      </c>
      <c r="B345" t="s">
        <v>71</v>
      </c>
      <c r="C345" t="s">
        <v>196</v>
      </c>
      <c r="D345" t="s">
        <v>520</v>
      </c>
      <c r="E345" s="121">
        <v>3962</v>
      </c>
      <c r="F345" s="13">
        <v>45744</v>
      </c>
      <c r="G345" s="28">
        <v>3806.04</v>
      </c>
      <c r="H345" s="40">
        <v>3571.97</v>
      </c>
      <c r="I345" s="3">
        <v>45758</v>
      </c>
      <c r="J345" s="102">
        <v>45775</v>
      </c>
      <c r="K345" s="12">
        <v>45775</v>
      </c>
      <c r="L345" s="1" t="s">
        <v>731</v>
      </c>
      <c r="M345" s="36">
        <v>0</v>
      </c>
      <c r="N345"/>
      <c r="O345" t="s">
        <v>199</v>
      </c>
      <c r="P345" t="s">
        <v>376</v>
      </c>
      <c r="Q345" t="s">
        <v>203</v>
      </c>
    </row>
    <row r="346" spans="1:17" x14ac:dyDescent="0.3">
      <c r="A346" s="9">
        <v>1391</v>
      </c>
      <c r="B346" t="s">
        <v>71</v>
      </c>
      <c r="C346" t="s">
        <v>196</v>
      </c>
      <c r="D346" t="s">
        <v>520</v>
      </c>
      <c r="E346" s="121">
        <v>3961</v>
      </c>
      <c r="F346" s="13">
        <v>45744</v>
      </c>
      <c r="G346" s="28">
        <v>25738.05</v>
      </c>
      <c r="H346" s="40">
        <v>24155.16</v>
      </c>
      <c r="I346" s="3">
        <v>45758</v>
      </c>
      <c r="J346" s="102">
        <v>45775</v>
      </c>
      <c r="K346" s="12">
        <v>45775</v>
      </c>
      <c r="L346" s="1" t="s">
        <v>731</v>
      </c>
      <c r="M346" s="36">
        <v>0</v>
      </c>
      <c r="N346"/>
      <c r="O346" t="s">
        <v>199</v>
      </c>
      <c r="P346" t="s">
        <v>376</v>
      </c>
      <c r="Q346" t="s">
        <v>203</v>
      </c>
    </row>
    <row r="347" spans="1:17" x14ac:dyDescent="0.3">
      <c r="A347" s="9">
        <v>1391</v>
      </c>
      <c r="B347" t="s">
        <v>71</v>
      </c>
      <c r="C347" t="s">
        <v>196</v>
      </c>
      <c r="D347" t="s">
        <v>520</v>
      </c>
      <c r="E347" s="121">
        <v>3960</v>
      </c>
      <c r="F347" s="13">
        <v>45744</v>
      </c>
      <c r="G347" s="28">
        <v>26015.82</v>
      </c>
      <c r="H347" s="40">
        <v>24415.84</v>
      </c>
      <c r="I347" s="3">
        <v>45758</v>
      </c>
      <c r="J347" s="102">
        <v>45775</v>
      </c>
      <c r="K347" s="12">
        <v>45775</v>
      </c>
      <c r="L347" s="1" t="s">
        <v>731</v>
      </c>
      <c r="M347" s="36">
        <v>0</v>
      </c>
      <c r="N347"/>
      <c r="O347" t="s">
        <v>199</v>
      </c>
      <c r="P347" t="s">
        <v>376</v>
      </c>
      <c r="Q347" t="s">
        <v>203</v>
      </c>
    </row>
    <row r="348" spans="1:17" x14ac:dyDescent="0.3">
      <c r="A348" s="25">
        <v>1294</v>
      </c>
      <c r="B348" t="s">
        <v>71</v>
      </c>
      <c r="C348" t="s">
        <v>196</v>
      </c>
      <c r="D348" t="s">
        <v>413</v>
      </c>
      <c r="E348" s="121">
        <v>3947</v>
      </c>
      <c r="F348" s="13">
        <v>45744</v>
      </c>
      <c r="G348" s="28">
        <v>9175.0300000000007</v>
      </c>
      <c r="H348" s="28">
        <v>8610.76</v>
      </c>
      <c r="I348" s="3">
        <v>45755</v>
      </c>
      <c r="J348" s="102">
        <v>45768</v>
      </c>
      <c r="K348" s="12">
        <v>45770</v>
      </c>
      <c r="L348" s="1" t="s">
        <v>731</v>
      </c>
      <c r="M348" s="36">
        <v>0</v>
      </c>
      <c r="N348"/>
      <c r="O348" t="s">
        <v>199</v>
      </c>
      <c r="P348" t="s">
        <v>376</v>
      </c>
      <c r="Q348" t="s">
        <v>203</v>
      </c>
    </row>
    <row r="349" spans="1:17" x14ac:dyDescent="0.3">
      <c r="A349" s="25">
        <v>1294</v>
      </c>
      <c r="B349" t="s">
        <v>71</v>
      </c>
      <c r="C349" t="s">
        <v>196</v>
      </c>
      <c r="D349" t="s">
        <v>413</v>
      </c>
      <c r="E349" s="121">
        <v>3951</v>
      </c>
      <c r="F349" s="13">
        <v>45744</v>
      </c>
      <c r="G349" s="28">
        <v>192543.12</v>
      </c>
      <c r="H349" s="28">
        <v>180701.71</v>
      </c>
      <c r="I349" s="3">
        <v>45756</v>
      </c>
      <c r="J349" s="102">
        <v>45768</v>
      </c>
      <c r="K349" s="12">
        <v>45771</v>
      </c>
      <c r="L349" s="1" t="s">
        <v>731</v>
      </c>
      <c r="M349" s="36">
        <v>0</v>
      </c>
      <c r="N349"/>
      <c r="O349" t="s">
        <v>199</v>
      </c>
      <c r="P349" t="s">
        <v>376</v>
      </c>
      <c r="Q349" t="s">
        <v>203</v>
      </c>
    </row>
    <row r="350" spans="1:17" x14ac:dyDescent="0.3">
      <c r="A350" s="25">
        <v>1294</v>
      </c>
      <c r="B350" t="s">
        <v>71</v>
      </c>
      <c r="C350" t="s">
        <v>196</v>
      </c>
      <c r="D350" t="s">
        <v>413</v>
      </c>
      <c r="E350" s="121">
        <v>3955</v>
      </c>
      <c r="F350" s="13">
        <v>45744</v>
      </c>
      <c r="G350" s="28">
        <v>168840</v>
      </c>
      <c r="H350" s="28">
        <v>158456.34</v>
      </c>
      <c r="I350" s="3">
        <v>45757</v>
      </c>
      <c r="J350" s="102">
        <v>45768</v>
      </c>
      <c r="K350" s="12">
        <v>45772</v>
      </c>
      <c r="L350" s="1" t="s">
        <v>731</v>
      </c>
      <c r="M350" s="36">
        <v>0</v>
      </c>
      <c r="N350"/>
      <c r="O350" t="s">
        <v>199</v>
      </c>
      <c r="P350" t="s">
        <v>376</v>
      </c>
      <c r="Q350" t="s">
        <v>203</v>
      </c>
    </row>
    <row r="351" spans="1:17" x14ac:dyDescent="0.3">
      <c r="A351" s="25">
        <v>1294</v>
      </c>
      <c r="B351" t="s">
        <v>71</v>
      </c>
      <c r="C351" t="s">
        <v>196</v>
      </c>
      <c r="D351" t="s">
        <v>413</v>
      </c>
      <c r="E351" s="121">
        <v>3954</v>
      </c>
      <c r="F351" s="13">
        <v>45744</v>
      </c>
      <c r="G351" s="28">
        <v>378885</v>
      </c>
      <c r="H351" s="28">
        <v>355583.57</v>
      </c>
      <c r="I351" s="3">
        <v>45757</v>
      </c>
      <c r="J351" s="102">
        <v>45768</v>
      </c>
      <c r="K351" s="12">
        <v>45772</v>
      </c>
      <c r="L351" s="1" t="s">
        <v>731</v>
      </c>
      <c r="M351" s="36">
        <v>0</v>
      </c>
      <c r="N351"/>
      <c r="O351" t="s">
        <v>199</v>
      </c>
      <c r="P351" t="s">
        <v>376</v>
      </c>
      <c r="Q351" t="s">
        <v>203</v>
      </c>
    </row>
    <row r="352" spans="1:17" x14ac:dyDescent="0.3">
      <c r="A352" s="25">
        <v>1294</v>
      </c>
      <c r="B352" t="s">
        <v>71</v>
      </c>
      <c r="C352" t="s">
        <v>196</v>
      </c>
      <c r="D352" t="s">
        <v>413</v>
      </c>
      <c r="E352" s="121">
        <v>3958</v>
      </c>
      <c r="F352" s="13">
        <v>45744</v>
      </c>
      <c r="G352" s="28">
        <v>13537.5</v>
      </c>
      <c r="H352" s="28">
        <v>12704.95</v>
      </c>
      <c r="I352" s="3">
        <v>45758</v>
      </c>
      <c r="J352" s="102">
        <v>45775</v>
      </c>
      <c r="K352" s="12">
        <v>45775</v>
      </c>
      <c r="L352" s="1" t="s">
        <v>731</v>
      </c>
      <c r="M352" s="36">
        <v>0</v>
      </c>
      <c r="N352"/>
      <c r="O352" t="s">
        <v>199</v>
      </c>
      <c r="P352" t="s">
        <v>376</v>
      </c>
      <c r="Q352" t="s">
        <v>203</v>
      </c>
    </row>
    <row r="353" spans="1:17" x14ac:dyDescent="0.3">
      <c r="A353" s="25">
        <v>1294</v>
      </c>
      <c r="B353" t="s">
        <v>71</v>
      </c>
      <c r="C353" t="s">
        <v>196</v>
      </c>
      <c r="D353" t="s">
        <v>413</v>
      </c>
      <c r="E353" s="121">
        <v>3957</v>
      </c>
      <c r="F353" s="13">
        <v>45744</v>
      </c>
      <c r="G353" s="28">
        <v>8504</v>
      </c>
      <c r="H353" s="28">
        <v>7981</v>
      </c>
      <c r="I353" s="3">
        <v>45758</v>
      </c>
      <c r="J353" s="104">
        <v>45775</v>
      </c>
      <c r="K353" s="12">
        <v>45775</v>
      </c>
      <c r="L353" s="1" t="s">
        <v>731</v>
      </c>
      <c r="M353" s="36">
        <v>0</v>
      </c>
      <c r="N353"/>
      <c r="O353" t="s">
        <v>199</v>
      </c>
      <c r="P353" t="s">
        <v>376</v>
      </c>
      <c r="Q353" t="s">
        <v>203</v>
      </c>
    </row>
    <row r="354" spans="1:17" x14ac:dyDescent="0.3">
      <c r="A354" s="25">
        <v>1294</v>
      </c>
      <c r="B354" t="s">
        <v>71</v>
      </c>
      <c r="C354" t="s">
        <v>196</v>
      </c>
      <c r="D354" t="s">
        <v>413</v>
      </c>
      <c r="E354" s="121">
        <v>3969</v>
      </c>
      <c r="F354" s="13">
        <v>45744</v>
      </c>
      <c r="G354" s="28">
        <v>53781</v>
      </c>
      <c r="H354" s="28">
        <v>50473.46</v>
      </c>
      <c r="I354" s="3">
        <v>45761</v>
      </c>
      <c r="J354" s="102">
        <v>45775</v>
      </c>
      <c r="K354" s="12">
        <v>45776</v>
      </c>
      <c r="L354" s="1" t="s">
        <v>731</v>
      </c>
      <c r="M354" s="36">
        <v>0</v>
      </c>
      <c r="N354"/>
      <c r="O354" t="s">
        <v>199</v>
      </c>
      <c r="P354" t="s">
        <v>376</v>
      </c>
      <c r="Q354" t="s">
        <v>203</v>
      </c>
    </row>
    <row r="355" spans="1:17" x14ac:dyDescent="0.3">
      <c r="A355" s="25">
        <v>1294</v>
      </c>
      <c r="B355" t="s">
        <v>71</v>
      </c>
      <c r="C355" t="s">
        <v>196</v>
      </c>
      <c r="D355" t="s">
        <v>413</v>
      </c>
      <c r="E355" s="121">
        <v>3997</v>
      </c>
      <c r="F355" s="13">
        <v>45744</v>
      </c>
      <c r="G355" s="28">
        <v>42272.42</v>
      </c>
      <c r="H355" s="28">
        <v>39672.660000000003</v>
      </c>
      <c r="I355" s="3">
        <v>45782</v>
      </c>
      <c r="J355" s="102">
        <v>45796</v>
      </c>
      <c r="K355" s="12">
        <v>45797</v>
      </c>
      <c r="L355" s="1" t="s">
        <v>731</v>
      </c>
      <c r="M355" s="36">
        <v>0</v>
      </c>
      <c r="N355"/>
      <c r="O355" t="s">
        <v>199</v>
      </c>
      <c r="P355" t="s">
        <v>376</v>
      </c>
      <c r="Q355" t="s">
        <v>203</v>
      </c>
    </row>
    <row r="356" spans="1:17" x14ac:dyDescent="0.3">
      <c r="A356" s="25">
        <v>1285</v>
      </c>
      <c r="B356" t="s">
        <v>71</v>
      </c>
      <c r="C356" t="s">
        <v>196</v>
      </c>
      <c r="D356" t="s">
        <v>404</v>
      </c>
      <c r="E356" s="121">
        <v>3932</v>
      </c>
      <c r="F356" s="13">
        <v>45744</v>
      </c>
      <c r="G356" s="24">
        <v>21582.58</v>
      </c>
      <c r="H356" s="24">
        <v>20255.25</v>
      </c>
      <c r="I356" s="3">
        <v>45743</v>
      </c>
      <c r="J356" s="102">
        <v>45775</v>
      </c>
      <c r="K356" s="12">
        <v>45775</v>
      </c>
      <c r="L356" s="1" t="s">
        <v>731</v>
      </c>
      <c r="M356" s="36">
        <v>0</v>
      </c>
      <c r="N356" s="26"/>
      <c r="O356" t="s">
        <v>199</v>
      </c>
      <c r="P356" t="s">
        <v>376</v>
      </c>
      <c r="Q356" t="s">
        <v>203</v>
      </c>
    </row>
    <row r="357" spans="1:17" x14ac:dyDescent="0.3">
      <c r="A357" s="25">
        <v>1285</v>
      </c>
      <c r="B357" t="s">
        <v>71</v>
      </c>
      <c r="C357" t="s">
        <v>196</v>
      </c>
      <c r="D357" t="s">
        <v>404</v>
      </c>
      <c r="E357" s="121">
        <v>3934</v>
      </c>
      <c r="F357" s="13">
        <v>45744</v>
      </c>
      <c r="G357" s="24">
        <v>14026.17</v>
      </c>
      <c r="H357" s="24">
        <v>13163.56</v>
      </c>
      <c r="I357" s="3">
        <v>45747</v>
      </c>
      <c r="J357" s="102">
        <v>45775</v>
      </c>
      <c r="K357" s="12">
        <v>45777</v>
      </c>
      <c r="L357" s="1" t="s">
        <v>731</v>
      </c>
      <c r="M357" s="36">
        <v>0</v>
      </c>
      <c r="N357" s="26"/>
      <c r="O357" t="s">
        <v>199</v>
      </c>
      <c r="P357" t="s">
        <v>376</v>
      </c>
      <c r="Q357" t="s">
        <v>203</v>
      </c>
    </row>
    <row r="358" spans="1:17" x14ac:dyDescent="0.3">
      <c r="A358" s="25">
        <v>1292</v>
      </c>
      <c r="B358" t="s">
        <v>71</v>
      </c>
      <c r="C358" t="s">
        <v>200</v>
      </c>
      <c r="D358" t="s">
        <v>411</v>
      </c>
      <c r="E358" s="121">
        <v>3942</v>
      </c>
      <c r="F358" s="13">
        <v>45744</v>
      </c>
      <c r="G358" s="24">
        <v>4656.58</v>
      </c>
      <c r="H358" s="24">
        <v>4370.2</v>
      </c>
      <c r="I358" s="3">
        <v>45749</v>
      </c>
      <c r="J358" s="102">
        <v>45761</v>
      </c>
      <c r="K358" s="12">
        <v>45764</v>
      </c>
      <c r="L358" s="1" t="s">
        <v>731</v>
      </c>
      <c r="M358" s="36">
        <v>0</v>
      </c>
      <c r="N358"/>
      <c r="O358" t="s">
        <v>199</v>
      </c>
      <c r="P358" t="s">
        <v>376</v>
      </c>
      <c r="Q358" t="s">
        <v>203</v>
      </c>
    </row>
    <row r="359" spans="1:17" x14ac:dyDescent="0.3">
      <c r="A359" s="25">
        <v>1292</v>
      </c>
      <c r="B359" t="s">
        <v>71</v>
      </c>
      <c r="C359" t="s">
        <v>200</v>
      </c>
      <c r="D359" t="s">
        <v>411</v>
      </c>
      <c r="E359" s="121">
        <v>3949</v>
      </c>
      <c r="F359" s="13">
        <v>45744</v>
      </c>
      <c r="G359" s="24">
        <v>60707.37</v>
      </c>
      <c r="H359" s="24">
        <v>56973.87</v>
      </c>
      <c r="I359" s="3">
        <v>45755</v>
      </c>
      <c r="J359" s="102">
        <v>45768</v>
      </c>
      <c r="K359" s="12">
        <v>45770</v>
      </c>
      <c r="L359" s="1" t="s">
        <v>731</v>
      </c>
      <c r="M359" s="36">
        <v>0</v>
      </c>
      <c r="N359"/>
      <c r="O359" t="s">
        <v>199</v>
      </c>
      <c r="P359" t="s">
        <v>376</v>
      </c>
      <c r="Q359" t="s">
        <v>203</v>
      </c>
    </row>
    <row r="360" spans="1:17" x14ac:dyDescent="0.3">
      <c r="A360" s="25">
        <v>1292</v>
      </c>
      <c r="B360" t="s">
        <v>71</v>
      </c>
      <c r="C360" t="s">
        <v>200</v>
      </c>
      <c r="D360" t="s">
        <v>411</v>
      </c>
      <c r="E360" s="118">
        <v>3950</v>
      </c>
      <c r="F360" s="13">
        <v>45744</v>
      </c>
      <c r="G360" s="24">
        <v>34633.19</v>
      </c>
      <c r="H360" s="24">
        <v>32503.25</v>
      </c>
      <c r="I360" s="3">
        <v>45755</v>
      </c>
      <c r="J360" s="102">
        <v>45768</v>
      </c>
      <c r="K360" s="12">
        <v>45770</v>
      </c>
      <c r="L360" s="1" t="s">
        <v>731</v>
      </c>
      <c r="M360" s="36">
        <v>0</v>
      </c>
      <c r="N360"/>
      <c r="O360" t="s">
        <v>199</v>
      </c>
      <c r="P360" t="s">
        <v>376</v>
      </c>
      <c r="Q360" t="s">
        <v>203</v>
      </c>
    </row>
    <row r="361" spans="1:17" x14ac:dyDescent="0.3">
      <c r="A361" s="25">
        <v>1292</v>
      </c>
      <c r="B361" t="s">
        <v>71</v>
      </c>
      <c r="C361" t="s">
        <v>200</v>
      </c>
      <c r="D361" t="s">
        <v>411</v>
      </c>
      <c r="E361" s="121">
        <v>3948</v>
      </c>
      <c r="F361" s="13">
        <v>45744</v>
      </c>
      <c r="G361" s="24">
        <v>46853.99</v>
      </c>
      <c r="H361" s="24">
        <v>43972.47</v>
      </c>
      <c r="I361" s="3">
        <v>45755</v>
      </c>
      <c r="J361" s="102">
        <v>45768</v>
      </c>
      <c r="K361" s="12">
        <v>45770</v>
      </c>
      <c r="L361" s="1" t="s">
        <v>731</v>
      </c>
      <c r="M361" s="36">
        <v>0</v>
      </c>
      <c r="N361"/>
      <c r="O361" t="s">
        <v>199</v>
      </c>
      <c r="P361" t="s">
        <v>376</v>
      </c>
      <c r="Q361" t="s">
        <v>203</v>
      </c>
    </row>
    <row r="362" spans="1:17" x14ac:dyDescent="0.3">
      <c r="A362" s="25">
        <v>1292</v>
      </c>
      <c r="B362" t="s">
        <v>71</v>
      </c>
      <c r="C362" t="s">
        <v>200</v>
      </c>
      <c r="D362" t="s">
        <v>411</v>
      </c>
      <c r="E362" s="121">
        <v>3946</v>
      </c>
      <c r="F362" s="13">
        <v>45744</v>
      </c>
      <c r="G362" s="24">
        <v>31008</v>
      </c>
      <c r="H362" s="24">
        <v>29101.01</v>
      </c>
      <c r="I362" s="3">
        <v>45755</v>
      </c>
      <c r="J362" s="102">
        <v>45768</v>
      </c>
      <c r="K362" s="12">
        <v>45770</v>
      </c>
      <c r="L362" s="1" t="s">
        <v>731</v>
      </c>
      <c r="M362" s="36">
        <v>0</v>
      </c>
      <c r="N362"/>
      <c r="O362" t="s">
        <v>199</v>
      </c>
      <c r="P362" t="s">
        <v>376</v>
      </c>
      <c r="Q362" t="s">
        <v>203</v>
      </c>
    </row>
    <row r="363" spans="1:17" x14ac:dyDescent="0.3">
      <c r="A363" s="25">
        <v>1292</v>
      </c>
      <c r="B363" t="s">
        <v>71</v>
      </c>
      <c r="C363" t="s">
        <v>200</v>
      </c>
      <c r="D363" t="s">
        <v>411</v>
      </c>
      <c r="E363" s="121">
        <v>3970</v>
      </c>
      <c r="F363" s="13">
        <v>45744</v>
      </c>
      <c r="G363" s="24">
        <v>51968.72</v>
      </c>
      <c r="H363" s="24">
        <v>48772.639999999999</v>
      </c>
      <c r="I363" s="3">
        <v>45761</v>
      </c>
      <c r="J363" s="102">
        <v>45775</v>
      </c>
      <c r="K363" s="12">
        <v>45776</v>
      </c>
      <c r="L363" s="1" t="s">
        <v>731</v>
      </c>
      <c r="M363" s="36">
        <v>0</v>
      </c>
      <c r="N363"/>
      <c r="O363" t="s">
        <v>199</v>
      </c>
      <c r="P363" t="s">
        <v>376</v>
      </c>
      <c r="Q363" t="s">
        <v>203</v>
      </c>
    </row>
    <row r="364" spans="1:17" x14ac:dyDescent="0.3">
      <c r="A364" s="25">
        <v>1484</v>
      </c>
      <c r="B364" t="s">
        <v>71</v>
      </c>
      <c r="C364" t="s">
        <v>200</v>
      </c>
      <c r="D364" t="s">
        <v>634</v>
      </c>
      <c r="E364" s="121">
        <v>3943</v>
      </c>
      <c r="F364" s="13">
        <v>45744</v>
      </c>
      <c r="G364" s="24">
        <v>36570.74</v>
      </c>
      <c r="H364" s="24">
        <v>34321.64</v>
      </c>
      <c r="I364" s="3">
        <v>45750</v>
      </c>
      <c r="J364" s="102">
        <v>45768</v>
      </c>
      <c r="K364" s="12">
        <v>45769</v>
      </c>
      <c r="L364" s="1" t="s">
        <v>731</v>
      </c>
      <c r="M364" s="36">
        <v>0</v>
      </c>
      <c r="N364"/>
      <c r="O364" t="s">
        <v>201</v>
      </c>
      <c r="P364" t="s">
        <v>376</v>
      </c>
      <c r="Q364" t="s">
        <v>203</v>
      </c>
    </row>
    <row r="365" spans="1:17" x14ac:dyDescent="0.3">
      <c r="A365" s="25">
        <v>1398</v>
      </c>
      <c r="B365" t="s">
        <v>212</v>
      </c>
      <c r="C365" t="s">
        <v>169</v>
      </c>
      <c r="D365" t="s">
        <v>528</v>
      </c>
      <c r="E365" s="118">
        <v>8276</v>
      </c>
      <c r="F365" s="13">
        <v>45744</v>
      </c>
      <c r="G365" s="27">
        <v>48000</v>
      </c>
      <c r="H365" s="24">
        <v>45048</v>
      </c>
      <c r="I365" s="3">
        <v>45750</v>
      </c>
      <c r="J365" s="102">
        <v>45796</v>
      </c>
      <c r="K365" s="12">
        <v>45796</v>
      </c>
      <c r="L365" s="19" t="s">
        <v>731</v>
      </c>
      <c r="M365" s="36">
        <v>0</v>
      </c>
      <c r="N365"/>
      <c r="O365" t="s">
        <v>202</v>
      </c>
      <c r="P365" t="s">
        <v>328</v>
      </c>
      <c r="Q365" t="s">
        <v>207</v>
      </c>
    </row>
    <row r="366" spans="1:17" x14ac:dyDescent="0.3">
      <c r="A366" s="25">
        <v>1398</v>
      </c>
      <c r="B366" t="s">
        <v>212</v>
      </c>
      <c r="C366" t="s">
        <v>169</v>
      </c>
      <c r="D366" t="s">
        <v>528</v>
      </c>
      <c r="E366" s="118">
        <v>8311</v>
      </c>
      <c r="F366" s="13">
        <v>45744</v>
      </c>
      <c r="G366" s="27">
        <v>17902.11</v>
      </c>
      <c r="H366" s="24">
        <v>16801.13</v>
      </c>
      <c r="I366" s="3">
        <v>45771</v>
      </c>
      <c r="J366" s="104">
        <v>45803</v>
      </c>
      <c r="K366" s="17">
        <v>45803</v>
      </c>
      <c r="L366" s="21" t="s">
        <v>731</v>
      </c>
      <c r="M366" s="36">
        <v>0</v>
      </c>
      <c r="N366"/>
      <c r="O366" t="s">
        <v>202</v>
      </c>
      <c r="P366" t="s">
        <v>328</v>
      </c>
      <c r="Q366" t="s">
        <v>207</v>
      </c>
    </row>
    <row r="367" spans="1:17" x14ac:dyDescent="0.3">
      <c r="A367" s="25">
        <v>1398</v>
      </c>
      <c r="B367" t="s">
        <v>212</v>
      </c>
      <c r="C367" t="s">
        <v>169</v>
      </c>
      <c r="D367" t="s">
        <v>528</v>
      </c>
      <c r="E367" s="118">
        <v>8388</v>
      </c>
      <c r="F367" s="13">
        <v>45744</v>
      </c>
      <c r="G367" s="27">
        <v>15308.3</v>
      </c>
      <c r="H367" s="24">
        <v>14366.85</v>
      </c>
      <c r="I367" s="3">
        <v>45833</v>
      </c>
      <c r="J367" s="102">
        <v>45894</v>
      </c>
      <c r="K367" s="12">
        <v>45894</v>
      </c>
      <c r="L367" s="19" t="s">
        <v>731</v>
      </c>
      <c r="M367" s="36">
        <v>0</v>
      </c>
      <c r="N367"/>
      <c r="O367" t="s">
        <v>202</v>
      </c>
      <c r="P367" t="s">
        <v>328</v>
      </c>
      <c r="Q367" t="s">
        <v>207</v>
      </c>
    </row>
    <row r="368" spans="1:17" x14ac:dyDescent="0.3">
      <c r="A368" s="25">
        <v>1398</v>
      </c>
      <c r="B368" t="s">
        <v>212</v>
      </c>
      <c r="C368" t="s">
        <v>169</v>
      </c>
      <c r="D368" t="s">
        <v>528</v>
      </c>
      <c r="E368" s="118">
        <v>8387</v>
      </c>
      <c r="F368" s="13">
        <v>45744</v>
      </c>
      <c r="G368" s="27">
        <v>22241.65</v>
      </c>
      <c r="H368" s="24">
        <v>20873.79</v>
      </c>
      <c r="I368" s="3">
        <v>45831</v>
      </c>
      <c r="J368" s="102">
        <v>45887</v>
      </c>
      <c r="K368" s="12">
        <v>45891</v>
      </c>
      <c r="L368" s="19" t="s">
        <v>731</v>
      </c>
      <c r="M368" s="36">
        <v>0</v>
      </c>
      <c r="N368"/>
      <c r="O368" t="s">
        <v>202</v>
      </c>
      <c r="P368" t="s">
        <v>328</v>
      </c>
      <c r="Q368" t="s">
        <v>207</v>
      </c>
    </row>
    <row r="369" spans="1:17" x14ac:dyDescent="0.3">
      <c r="A369" s="25">
        <v>1398</v>
      </c>
      <c r="B369" t="s">
        <v>212</v>
      </c>
      <c r="C369" t="s">
        <v>169</v>
      </c>
      <c r="D369" t="s">
        <v>528</v>
      </c>
      <c r="E369" s="118">
        <v>8389</v>
      </c>
      <c r="F369" s="13">
        <v>45744</v>
      </c>
      <c r="G369" s="27">
        <v>52194.6</v>
      </c>
      <c r="H369" s="24">
        <v>48984.63</v>
      </c>
      <c r="I369" s="3">
        <v>45833</v>
      </c>
      <c r="J369" s="102">
        <v>45894</v>
      </c>
      <c r="K369" s="12">
        <v>45894</v>
      </c>
      <c r="L369" s="19" t="s">
        <v>731</v>
      </c>
      <c r="M369" s="36">
        <v>0</v>
      </c>
      <c r="N369"/>
      <c r="O369" t="s">
        <v>202</v>
      </c>
      <c r="P369" t="s">
        <v>328</v>
      </c>
      <c r="Q369" t="s">
        <v>207</v>
      </c>
    </row>
    <row r="370" spans="1:17" x14ac:dyDescent="0.3">
      <c r="A370" s="9">
        <v>1393</v>
      </c>
      <c r="B370" t="s">
        <v>215</v>
      </c>
      <c r="C370" t="s">
        <v>348</v>
      </c>
      <c r="D370" t="s">
        <v>522</v>
      </c>
      <c r="E370" s="121">
        <v>8307</v>
      </c>
      <c r="F370" s="13">
        <v>45744</v>
      </c>
      <c r="G370" s="11">
        <v>158659.24</v>
      </c>
      <c r="H370" s="11">
        <v>142316.48000000001</v>
      </c>
      <c r="I370" s="3">
        <v>45762</v>
      </c>
      <c r="J370" s="102">
        <v>45796</v>
      </c>
      <c r="K370" s="5">
        <v>45799</v>
      </c>
      <c r="L370" s="19" t="s">
        <v>731</v>
      </c>
      <c r="M370" s="35"/>
      <c r="N370"/>
      <c r="O370" t="s">
        <v>202</v>
      </c>
      <c r="P370" t="s">
        <v>340</v>
      </c>
      <c r="Q370" t="s">
        <v>213</v>
      </c>
    </row>
    <row r="371" spans="1:17" x14ac:dyDescent="0.3">
      <c r="A371" s="9">
        <v>1393</v>
      </c>
      <c r="B371" t="s">
        <v>215</v>
      </c>
      <c r="C371" t="s">
        <v>348</v>
      </c>
      <c r="D371" t="s">
        <v>522</v>
      </c>
      <c r="E371" s="121">
        <v>8306</v>
      </c>
      <c r="F371" s="13">
        <v>45744</v>
      </c>
      <c r="G371" s="11">
        <v>432751.13</v>
      </c>
      <c r="H371" s="11">
        <v>388178.64</v>
      </c>
      <c r="I371" s="3">
        <v>45762</v>
      </c>
      <c r="J371" s="102">
        <v>45796</v>
      </c>
      <c r="K371" s="5">
        <v>45799</v>
      </c>
      <c r="L371" s="19" t="s">
        <v>731</v>
      </c>
      <c r="M371" s="35"/>
      <c r="N371"/>
      <c r="O371" t="s">
        <v>202</v>
      </c>
      <c r="P371" t="s">
        <v>340</v>
      </c>
      <c r="Q371" t="s">
        <v>213</v>
      </c>
    </row>
    <row r="372" spans="1:17" x14ac:dyDescent="0.3">
      <c r="A372" s="25">
        <v>1476</v>
      </c>
      <c r="B372" t="s">
        <v>215</v>
      </c>
      <c r="C372" t="s">
        <v>46</v>
      </c>
      <c r="D372" t="s">
        <v>626</v>
      </c>
      <c r="E372" s="121">
        <v>8285</v>
      </c>
      <c r="F372" s="13">
        <v>45744</v>
      </c>
      <c r="G372" s="24">
        <v>615.64</v>
      </c>
      <c r="H372" s="27">
        <v>552.23</v>
      </c>
      <c r="I372" s="3">
        <v>45751</v>
      </c>
      <c r="J372" s="102">
        <v>45768</v>
      </c>
      <c r="K372" s="29">
        <v>45771</v>
      </c>
      <c r="L372" s="22" t="s">
        <v>731</v>
      </c>
      <c r="M372" s="36"/>
      <c r="N372" s="26"/>
      <c r="O372" t="s">
        <v>202</v>
      </c>
      <c r="P372" t="s">
        <v>340</v>
      </c>
      <c r="Q372" t="s">
        <v>213</v>
      </c>
    </row>
    <row r="373" spans="1:17" x14ac:dyDescent="0.3">
      <c r="A373" s="9">
        <v>1476</v>
      </c>
      <c r="B373" t="s">
        <v>215</v>
      </c>
      <c r="C373" t="s">
        <v>46</v>
      </c>
      <c r="D373" t="s">
        <v>626</v>
      </c>
      <c r="E373" s="121">
        <v>8288</v>
      </c>
      <c r="F373" s="13">
        <v>45744</v>
      </c>
      <c r="G373" s="24">
        <v>318628.40000000002</v>
      </c>
      <c r="H373" s="24">
        <v>285809.68</v>
      </c>
      <c r="I373" s="3">
        <v>45754</v>
      </c>
      <c r="J373" s="102">
        <v>45768</v>
      </c>
      <c r="K373" s="5">
        <v>45771</v>
      </c>
      <c r="L373" s="22" t="s">
        <v>731</v>
      </c>
      <c r="M373" s="35"/>
      <c r="N373" s="15"/>
      <c r="O373" t="s">
        <v>202</v>
      </c>
      <c r="P373" t="s">
        <v>340</v>
      </c>
      <c r="Q373" t="s">
        <v>213</v>
      </c>
    </row>
    <row r="374" spans="1:17" x14ac:dyDescent="0.3">
      <c r="A374" s="25">
        <v>1296</v>
      </c>
      <c r="B374" t="s">
        <v>211</v>
      </c>
      <c r="C374" t="s">
        <v>34</v>
      </c>
      <c r="D374" t="s">
        <v>416</v>
      </c>
      <c r="E374" s="121">
        <v>1239</v>
      </c>
      <c r="F374" s="13">
        <v>45744</v>
      </c>
      <c r="G374" s="24">
        <v>365158.43</v>
      </c>
      <c r="H374" s="24">
        <v>329920.64000000001</v>
      </c>
      <c r="I374" s="3">
        <v>45749</v>
      </c>
      <c r="J374" s="102">
        <v>45761</v>
      </c>
      <c r="K374" s="12">
        <v>45761</v>
      </c>
      <c r="L374" s="19" t="s">
        <v>731</v>
      </c>
      <c r="M374" s="42"/>
      <c r="N374" s="26"/>
      <c r="O374" t="s">
        <v>202</v>
      </c>
      <c r="P374" t="s">
        <v>328</v>
      </c>
      <c r="Q374" t="s">
        <v>207</v>
      </c>
    </row>
    <row r="375" spans="1:17" x14ac:dyDescent="0.3">
      <c r="A375" s="25">
        <v>1296</v>
      </c>
      <c r="B375" t="s">
        <v>211</v>
      </c>
      <c r="C375" t="s">
        <v>34</v>
      </c>
      <c r="D375" t="s">
        <v>416</v>
      </c>
      <c r="E375" s="121">
        <v>1238</v>
      </c>
      <c r="F375" s="13">
        <v>45744</v>
      </c>
      <c r="G375" s="24">
        <v>462378.86</v>
      </c>
      <c r="H375" s="24">
        <v>417759.3</v>
      </c>
      <c r="I375" s="3">
        <v>45749</v>
      </c>
      <c r="J375" s="102">
        <v>45761</v>
      </c>
      <c r="K375" s="12">
        <v>45761</v>
      </c>
      <c r="L375" s="19" t="s">
        <v>731</v>
      </c>
      <c r="M375" s="42"/>
      <c r="N375" s="26"/>
      <c r="O375" t="s">
        <v>202</v>
      </c>
      <c r="P375" t="s">
        <v>328</v>
      </c>
      <c r="Q375" t="s">
        <v>207</v>
      </c>
    </row>
    <row r="376" spans="1:17" x14ac:dyDescent="0.3">
      <c r="A376" s="9">
        <v>1300</v>
      </c>
      <c r="B376" t="s">
        <v>211</v>
      </c>
      <c r="C376" t="s">
        <v>34</v>
      </c>
      <c r="D376" t="s">
        <v>420</v>
      </c>
      <c r="E376" s="121">
        <v>1242</v>
      </c>
      <c r="F376" s="13">
        <v>45744</v>
      </c>
      <c r="G376" s="11">
        <v>306544.94</v>
      </c>
      <c r="H376" s="18">
        <v>276963.36</v>
      </c>
      <c r="I376" s="3">
        <v>45762</v>
      </c>
      <c r="J376" s="102">
        <v>45789</v>
      </c>
      <c r="K376" s="5">
        <v>45792</v>
      </c>
      <c r="L376" s="37" t="s">
        <v>731</v>
      </c>
      <c r="M376" s="38">
        <v>0</v>
      </c>
      <c r="N376" s="15"/>
      <c r="O376" t="s">
        <v>202</v>
      </c>
      <c r="P376" t="s">
        <v>328</v>
      </c>
      <c r="Q376" t="s">
        <v>207</v>
      </c>
    </row>
    <row r="377" spans="1:17" x14ac:dyDescent="0.3">
      <c r="A377" s="9">
        <v>1300</v>
      </c>
      <c r="B377" t="s">
        <v>211</v>
      </c>
      <c r="C377" t="s">
        <v>34</v>
      </c>
      <c r="D377" t="s">
        <v>420</v>
      </c>
      <c r="E377" s="121">
        <v>8303</v>
      </c>
      <c r="F377" s="13">
        <v>45744</v>
      </c>
      <c r="G377" s="11">
        <v>35127.120000000003</v>
      </c>
      <c r="H377" s="18">
        <v>31737.35</v>
      </c>
      <c r="I377" s="3">
        <v>45762</v>
      </c>
      <c r="J377" s="102">
        <v>45789</v>
      </c>
      <c r="K377" s="5">
        <v>45792</v>
      </c>
      <c r="L377" s="37" t="s">
        <v>731</v>
      </c>
      <c r="M377" s="38">
        <v>0</v>
      </c>
      <c r="N377" s="15"/>
      <c r="O377" t="s">
        <v>202</v>
      </c>
      <c r="P377" t="s">
        <v>328</v>
      </c>
      <c r="Q377" t="s">
        <v>207</v>
      </c>
    </row>
    <row r="378" spans="1:17" x14ac:dyDescent="0.3">
      <c r="A378" s="25">
        <v>1290</v>
      </c>
      <c r="B378" t="s">
        <v>215</v>
      </c>
      <c r="C378" t="s">
        <v>40</v>
      </c>
      <c r="D378" t="s">
        <v>409</v>
      </c>
      <c r="E378" s="121">
        <v>8287</v>
      </c>
      <c r="F378" s="13">
        <v>45744</v>
      </c>
      <c r="G378" s="24">
        <v>53175.27</v>
      </c>
      <c r="H378" s="24">
        <v>46980.35</v>
      </c>
      <c r="I378" s="3">
        <v>45754</v>
      </c>
      <c r="J378" s="102">
        <v>45782</v>
      </c>
      <c r="K378" s="12">
        <v>45784</v>
      </c>
      <c r="L378" s="22" t="s">
        <v>731</v>
      </c>
      <c r="M378" s="36">
        <v>0</v>
      </c>
      <c r="N378" s="26"/>
      <c r="O378" t="s">
        <v>202</v>
      </c>
      <c r="P378" t="s">
        <v>328</v>
      </c>
      <c r="Q378" t="s">
        <v>213</v>
      </c>
    </row>
    <row r="379" spans="1:17" x14ac:dyDescent="0.3">
      <c r="A379" s="25">
        <v>1490</v>
      </c>
      <c r="B379" t="s">
        <v>215</v>
      </c>
      <c r="C379" t="s">
        <v>40</v>
      </c>
      <c r="D379" t="s">
        <v>640</v>
      </c>
      <c r="E379" s="121">
        <v>8282</v>
      </c>
      <c r="F379" s="13">
        <v>45744</v>
      </c>
      <c r="G379" s="24">
        <v>2300</v>
      </c>
      <c r="H379" s="24">
        <v>2032.05</v>
      </c>
      <c r="I379" s="3">
        <v>45750</v>
      </c>
      <c r="J379" s="102">
        <v>45782</v>
      </c>
      <c r="K379" s="12">
        <v>45782</v>
      </c>
      <c r="L379" s="22" t="s">
        <v>731</v>
      </c>
      <c r="M379" s="36">
        <v>0</v>
      </c>
      <c r="N379" s="26"/>
      <c r="O379" t="s">
        <v>202</v>
      </c>
      <c r="P379" t="s">
        <v>328</v>
      </c>
      <c r="Q379" t="s">
        <v>213</v>
      </c>
    </row>
    <row r="380" spans="1:17" x14ac:dyDescent="0.3">
      <c r="A380" s="9">
        <v>1480</v>
      </c>
      <c r="B380" t="s">
        <v>193</v>
      </c>
      <c r="C380" t="s">
        <v>184</v>
      </c>
      <c r="D380" t="s">
        <v>732</v>
      </c>
      <c r="E380" s="121">
        <v>3981</v>
      </c>
      <c r="F380" s="13">
        <v>45744</v>
      </c>
      <c r="G380" s="11">
        <v>321034.56</v>
      </c>
      <c r="H380" s="11">
        <v>301290.93</v>
      </c>
      <c r="I380" s="3">
        <v>45769</v>
      </c>
      <c r="J380" s="102">
        <v>45782</v>
      </c>
      <c r="K380" s="5">
        <v>45785</v>
      </c>
      <c r="L380" s="19" t="s">
        <v>731</v>
      </c>
      <c r="M380" s="58"/>
      <c r="N380" s="15"/>
      <c r="O380" t="s">
        <v>199</v>
      </c>
      <c r="P380" t="s">
        <v>376</v>
      </c>
      <c r="Q380" t="s">
        <v>207</v>
      </c>
    </row>
    <row r="381" spans="1:17" x14ac:dyDescent="0.3">
      <c r="A381" s="9">
        <v>1475</v>
      </c>
      <c r="B381" t="s">
        <v>204</v>
      </c>
      <c r="C381" t="s">
        <v>95</v>
      </c>
      <c r="D381" t="s">
        <v>625</v>
      </c>
      <c r="E381" s="121">
        <v>8291</v>
      </c>
      <c r="F381" s="13">
        <v>45744</v>
      </c>
      <c r="G381" s="11">
        <v>67387.39</v>
      </c>
      <c r="H381" s="11">
        <v>60446.49</v>
      </c>
      <c r="I381" s="3">
        <v>45755</v>
      </c>
      <c r="J381" s="102">
        <v>45775</v>
      </c>
      <c r="K381" s="12">
        <v>45777</v>
      </c>
      <c r="L381" s="19" t="s">
        <v>731</v>
      </c>
      <c r="M381" s="35">
        <v>0</v>
      </c>
      <c r="N381"/>
      <c r="O381" t="s">
        <v>199</v>
      </c>
      <c r="P381" t="s">
        <v>340</v>
      </c>
      <c r="Q381" t="s">
        <v>217</v>
      </c>
    </row>
    <row r="382" spans="1:17" x14ac:dyDescent="0.3">
      <c r="A382" s="9">
        <v>1472</v>
      </c>
      <c r="B382" t="s">
        <v>71</v>
      </c>
      <c r="C382" t="s">
        <v>41</v>
      </c>
      <c r="D382" t="s">
        <v>622</v>
      </c>
      <c r="E382" s="121">
        <v>3938</v>
      </c>
      <c r="F382" s="13">
        <v>45744</v>
      </c>
      <c r="G382" s="11">
        <v>78132.600000000006</v>
      </c>
      <c r="H382" s="24">
        <v>73327.44</v>
      </c>
      <c r="I382" s="3">
        <v>45748</v>
      </c>
      <c r="J382" s="102">
        <v>45754</v>
      </c>
      <c r="K382" s="12">
        <v>45757</v>
      </c>
      <c r="L382" s="19" t="s">
        <v>731</v>
      </c>
      <c r="M382" s="38"/>
      <c r="N382" s="15"/>
      <c r="O382" t="s">
        <v>201</v>
      </c>
      <c r="P382" t="s">
        <v>376</v>
      </c>
      <c r="Q382" t="s">
        <v>203</v>
      </c>
    </row>
    <row r="383" spans="1:17" x14ac:dyDescent="0.3">
      <c r="A383" s="9">
        <v>1378</v>
      </c>
      <c r="B383" t="s">
        <v>193</v>
      </c>
      <c r="C383" t="s">
        <v>4</v>
      </c>
      <c r="D383" t="s">
        <v>506</v>
      </c>
      <c r="E383" s="121">
        <v>8309</v>
      </c>
      <c r="F383" s="13">
        <v>45744</v>
      </c>
      <c r="G383" s="11">
        <v>4281.29</v>
      </c>
      <c r="H383" s="11">
        <v>4017.99</v>
      </c>
      <c r="I383" s="3">
        <v>45763</v>
      </c>
      <c r="J383" s="102">
        <v>45789</v>
      </c>
      <c r="K383" s="5">
        <v>45789</v>
      </c>
      <c r="L383" s="19" t="s">
        <v>731</v>
      </c>
      <c r="M383" s="35">
        <v>0</v>
      </c>
      <c r="N383"/>
      <c r="O383" t="s">
        <v>201</v>
      </c>
      <c r="P383" t="s">
        <v>376</v>
      </c>
      <c r="Q383" t="s">
        <v>207</v>
      </c>
    </row>
    <row r="384" spans="1:17" x14ac:dyDescent="0.3">
      <c r="A384" s="9">
        <v>1247</v>
      </c>
      <c r="B384" t="s">
        <v>215</v>
      </c>
      <c r="C384" t="s">
        <v>21</v>
      </c>
      <c r="D384" t="s">
        <v>359</v>
      </c>
      <c r="E384" s="121">
        <v>8269</v>
      </c>
      <c r="F384" s="13">
        <v>45744</v>
      </c>
      <c r="G384" s="24">
        <v>38395.360000000001</v>
      </c>
      <c r="H384" s="24">
        <v>34440.629999999997</v>
      </c>
      <c r="I384" s="3">
        <v>45748</v>
      </c>
      <c r="J384" s="102">
        <v>45789</v>
      </c>
      <c r="K384" s="12">
        <v>45790</v>
      </c>
      <c r="L384" s="19" t="s">
        <v>731</v>
      </c>
      <c r="M384" s="35"/>
      <c r="N384"/>
      <c r="O384" t="s">
        <v>202</v>
      </c>
      <c r="P384" t="s">
        <v>340</v>
      </c>
      <c r="Q384" t="s">
        <v>213</v>
      </c>
    </row>
    <row r="385" spans="1:17" x14ac:dyDescent="0.3">
      <c r="A385" s="9">
        <v>1358</v>
      </c>
      <c r="B385" t="s">
        <v>215</v>
      </c>
      <c r="C385" t="s">
        <v>17</v>
      </c>
      <c r="D385" t="s">
        <v>480</v>
      </c>
      <c r="E385" s="121">
        <v>8302</v>
      </c>
      <c r="F385" s="13">
        <v>45744</v>
      </c>
      <c r="G385" s="11">
        <v>85164.92</v>
      </c>
      <c r="H385" s="11">
        <v>76392.929999999993</v>
      </c>
      <c r="I385" s="3">
        <v>45758</v>
      </c>
      <c r="J385" s="102">
        <v>45796</v>
      </c>
      <c r="K385" s="12">
        <v>45800</v>
      </c>
      <c r="L385" s="19" t="s">
        <v>731</v>
      </c>
      <c r="M385" s="35">
        <v>0</v>
      </c>
      <c r="N385"/>
      <c r="O385" t="s">
        <v>202</v>
      </c>
      <c r="P385" t="s">
        <v>340</v>
      </c>
      <c r="Q385" t="s">
        <v>213</v>
      </c>
    </row>
    <row r="386" spans="1:17" x14ac:dyDescent="0.3">
      <c r="A386" s="9">
        <v>1358</v>
      </c>
      <c r="B386" t="s">
        <v>215</v>
      </c>
      <c r="C386" t="s">
        <v>17</v>
      </c>
      <c r="D386" t="s">
        <v>480</v>
      </c>
      <c r="E386" s="121">
        <v>8301</v>
      </c>
      <c r="F386" s="13">
        <v>45744</v>
      </c>
      <c r="G386" s="11">
        <v>14614.8</v>
      </c>
      <c r="H386" s="11">
        <v>13109.47</v>
      </c>
      <c r="I386" s="3">
        <v>45758</v>
      </c>
      <c r="J386" s="102">
        <v>45789</v>
      </c>
      <c r="K386" s="12">
        <v>45793</v>
      </c>
      <c r="L386" s="19" t="s">
        <v>731</v>
      </c>
      <c r="M386" s="35">
        <v>0</v>
      </c>
      <c r="N386"/>
      <c r="O386" t="s">
        <v>202</v>
      </c>
      <c r="P386" t="s">
        <v>340</v>
      </c>
      <c r="Q386" t="s">
        <v>213</v>
      </c>
    </row>
    <row r="387" spans="1:17" x14ac:dyDescent="0.3">
      <c r="A387" s="9">
        <v>1473</v>
      </c>
      <c r="B387" t="s">
        <v>215</v>
      </c>
      <c r="C387" t="s">
        <v>208</v>
      </c>
      <c r="D387" t="s">
        <v>623</v>
      </c>
      <c r="E387" s="121">
        <v>8312</v>
      </c>
      <c r="F387" s="13">
        <v>45744</v>
      </c>
      <c r="G387" s="24">
        <v>225302.23</v>
      </c>
      <c r="H387" s="24">
        <v>209981.68</v>
      </c>
      <c r="I387" s="3">
        <v>45776</v>
      </c>
      <c r="J387" s="102">
        <v>45803</v>
      </c>
      <c r="K387" s="12">
        <v>45806</v>
      </c>
      <c r="L387" s="19" t="s">
        <v>731</v>
      </c>
      <c r="M387" s="35">
        <v>0</v>
      </c>
      <c r="N387"/>
      <c r="O387" t="s">
        <v>202</v>
      </c>
      <c r="P387" t="s">
        <v>340</v>
      </c>
      <c r="Q387" t="s">
        <v>213</v>
      </c>
    </row>
    <row r="388" spans="1:17" x14ac:dyDescent="0.3">
      <c r="A388" s="25">
        <v>1462</v>
      </c>
      <c r="B388" t="s">
        <v>212</v>
      </c>
      <c r="C388" t="s">
        <v>221</v>
      </c>
      <c r="D388" t="s">
        <v>610</v>
      </c>
      <c r="E388" s="121">
        <v>8275</v>
      </c>
      <c r="F388" s="13">
        <v>45744</v>
      </c>
      <c r="G388" s="24">
        <v>800</v>
      </c>
      <c r="H388" s="24">
        <v>750.8</v>
      </c>
      <c r="I388" s="3">
        <v>45750</v>
      </c>
      <c r="J388" s="102">
        <v>45754</v>
      </c>
      <c r="K388" s="12">
        <v>45754</v>
      </c>
      <c r="L388" s="19" t="s">
        <v>731</v>
      </c>
      <c r="M388" s="36">
        <v>0</v>
      </c>
      <c r="N388" s="26"/>
      <c r="O388" t="s">
        <v>202</v>
      </c>
      <c r="P388" t="s">
        <v>373</v>
      </c>
      <c r="Q388" t="s">
        <v>207</v>
      </c>
    </row>
    <row r="389" spans="1:17" x14ac:dyDescent="0.3">
      <c r="A389" s="9">
        <v>1390</v>
      </c>
      <c r="B389" t="s">
        <v>211</v>
      </c>
      <c r="C389" t="s">
        <v>16</v>
      </c>
      <c r="D389" t="s">
        <v>519</v>
      </c>
      <c r="E389" s="121">
        <v>1260</v>
      </c>
      <c r="F389" s="13">
        <v>45805</v>
      </c>
      <c r="G389" s="24">
        <v>147325.76000000001</v>
      </c>
      <c r="H389" s="11">
        <v>130162.3</v>
      </c>
      <c r="I389" s="3">
        <v>45814</v>
      </c>
      <c r="J389" s="102">
        <v>45887</v>
      </c>
      <c r="K389" s="12">
        <v>45890</v>
      </c>
      <c r="L389" s="19" t="s">
        <v>731</v>
      </c>
      <c r="M389" s="56"/>
      <c r="N389"/>
      <c r="O389" t="s">
        <v>202</v>
      </c>
      <c r="P389" t="s">
        <v>328</v>
      </c>
      <c r="Q389" t="s">
        <v>207</v>
      </c>
    </row>
    <row r="390" spans="1:17" x14ac:dyDescent="0.3">
      <c r="A390" s="14">
        <v>1260</v>
      </c>
      <c r="B390" t="s">
        <v>193</v>
      </c>
      <c r="C390" t="s">
        <v>121</v>
      </c>
      <c r="D390" t="s">
        <v>372</v>
      </c>
      <c r="E390" s="121">
        <v>3935</v>
      </c>
      <c r="F390" s="13">
        <v>45744</v>
      </c>
      <c r="G390" s="24">
        <v>10914</v>
      </c>
      <c r="H390" s="24">
        <v>10242.790000000001</v>
      </c>
      <c r="I390" s="3">
        <v>45748</v>
      </c>
      <c r="J390" s="102">
        <v>45768</v>
      </c>
      <c r="K390" s="12">
        <v>45770</v>
      </c>
      <c r="L390" s="20" t="s">
        <v>731</v>
      </c>
      <c r="M390" s="35">
        <v>0</v>
      </c>
      <c r="N390"/>
      <c r="O390" t="s">
        <v>199</v>
      </c>
      <c r="P390" t="s">
        <v>373</v>
      </c>
      <c r="Q390" t="s">
        <v>207</v>
      </c>
    </row>
    <row r="391" spans="1:17" x14ac:dyDescent="0.3">
      <c r="A391" s="25">
        <v>1487</v>
      </c>
      <c r="B391" t="s">
        <v>193</v>
      </c>
      <c r="C391" t="s">
        <v>43</v>
      </c>
      <c r="D391" t="s">
        <v>637</v>
      </c>
      <c r="E391" s="121">
        <v>3937</v>
      </c>
      <c r="F391" s="13">
        <v>45744</v>
      </c>
      <c r="G391" s="24">
        <v>3198</v>
      </c>
      <c r="H391" s="24">
        <v>3001.32</v>
      </c>
      <c r="I391" s="3">
        <v>45748</v>
      </c>
      <c r="J391" s="102">
        <v>45778</v>
      </c>
      <c r="K391" s="12">
        <v>45779</v>
      </c>
      <c r="L391" s="19" t="s">
        <v>731</v>
      </c>
      <c r="M391" s="36">
        <v>0</v>
      </c>
      <c r="N391" s="26"/>
      <c r="O391" t="s">
        <v>201</v>
      </c>
      <c r="P391" t="s">
        <v>376</v>
      </c>
      <c r="Q391" t="s">
        <v>207</v>
      </c>
    </row>
    <row r="392" spans="1:17" x14ac:dyDescent="0.3">
      <c r="A392" s="25">
        <v>1485</v>
      </c>
      <c r="B392" t="s">
        <v>193</v>
      </c>
      <c r="C392" t="s">
        <v>43</v>
      </c>
      <c r="D392" t="s">
        <v>733</v>
      </c>
      <c r="E392" s="121">
        <v>3944</v>
      </c>
      <c r="F392" s="13">
        <v>45744</v>
      </c>
      <c r="G392" s="24">
        <v>30030.639999999999</v>
      </c>
      <c r="H392" s="24">
        <v>28183.75</v>
      </c>
      <c r="I392" s="3">
        <v>45751</v>
      </c>
      <c r="J392" s="102">
        <v>45810</v>
      </c>
      <c r="K392" s="12">
        <v>45810</v>
      </c>
      <c r="L392" s="19" t="s">
        <v>731</v>
      </c>
      <c r="M392" s="36"/>
      <c r="N392" s="26"/>
      <c r="O392" t="s">
        <v>199</v>
      </c>
      <c r="P392" t="s">
        <v>376</v>
      </c>
      <c r="Q392" t="s">
        <v>207</v>
      </c>
    </row>
    <row r="393" spans="1:17" x14ac:dyDescent="0.3">
      <c r="A393" s="9">
        <v>1482</v>
      </c>
      <c r="B393" t="s">
        <v>211</v>
      </c>
      <c r="C393" t="s">
        <v>34</v>
      </c>
      <c r="D393" t="s">
        <v>632</v>
      </c>
      <c r="E393" s="121">
        <v>8289</v>
      </c>
      <c r="F393" s="13">
        <v>45744</v>
      </c>
      <c r="G393" s="24">
        <v>39000</v>
      </c>
      <c r="H393" s="24">
        <v>35236.5</v>
      </c>
      <c r="I393" s="3">
        <v>45754</v>
      </c>
      <c r="J393" s="102">
        <v>45782</v>
      </c>
      <c r="K393" s="12">
        <v>45782</v>
      </c>
      <c r="L393" s="37" t="s">
        <v>731</v>
      </c>
      <c r="M393" s="43"/>
      <c r="N393" s="15"/>
      <c r="O393" t="s">
        <v>202</v>
      </c>
      <c r="P393" t="s">
        <v>328</v>
      </c>
      <c r="Q393" t="s">
        <v>207</v>
      </c>
    </row>
    <row r="394" spans="1:17" x14ac:dyDescent="0.3">
      <c r="A394" s="25">
        <v>1262</v>
      </c>
      <c r="B394" t="s">
        <v>193</v>
      </c>
      <c r="C394" t="s">
        <v>45</v>
      </c>
      <c r="D394" t="s">
        <v>375</v>
      </c>
      <c r="E394" s="121">
        <v>3978</v>
      </c>
      <c r="F394" s="13">
        <v>45744</v>
      </c>
      <c r="G394" s="24">
        <v>7575.9</v>
      </c>
      <c r="H394" s="24">
        <v>7109.98</v>
      </c>
      <c r="I394" s="3">
        <v>45764</v>
      </c>
      <c r="J394" s="102">
        <v>45775</v>
      </c>
      <c r="K394" s="12">
        <v>45776</v>
      </c>
      <c r="L394" s="19" t="s">
        <v>731</v>
      </c>
      <c r="M394" s="36">
        <v>0</v>
      </c>
      <c r="N394" s="26"/>
      <c r="O394" t="s">
        <v>199</v>
      </c>
      <c r="P394" t="s">
        <v>376</v>
      </c>
      <c r="Q394" t="s">
        <v>207</v>
      </c>
    </row>
    <row r="395" spans="1:17" x14ac:dyDescent="0.3">
      <c r="A395" s="25">
        <v>1262</v>
      </c>
      <c r="B395" t="s">
        <v>193</v>
      </c>
      <c r="C395" t="s">
        <v>45</v>
      </c>
      <c r="D395" t="s">
        <v>375</v>
      </c>
      <c r="E395" s="121">
        <v>3975</v>
      </c>
      <c r="F395" s="13">
        <v>45744</v>
      </c>
      <c r="G395" s="24">
        <v>63476.98</v>
      </c>
      <c r="H395" s="24">
        <v>59573.15</v>
      </c>
      <c r="I395" s="3">
        <v>45764</v>
      </c>
      <c r="J395" s="102">
        <v>45775</v>
      </c>
      <c r="K395" s="12">
        <v>45776</v>
      </c>
      <c r="L395" s="19" t="s">
        <v>731</v>
      </c>
      <c r="M395" s="36">
        <v>0</v>
      </c>
      <c r="N395" s="26"/>
      <c r="O395" t="s">
        <v>199</v>
      </c>
      <c r="P395" t="s">
        <v>376</v>
      </c>
      <c r="Q395" t="s">
        <v>207</v>
      </c>
    </row>
    <row r="396" spans="1:17" x14ac:dyDescent="0.3">
      <c r="A396" s="25">
        <v>1262</v>
      </c>
      <c r="B396" t="s">
        <v>193</v>
      </c>
      <c r="C396" t="s">
        <v>45</v>
      </c>
      <c r="D396" t="s">
        <v>375</v>
      </c>
      <c r="E396" s="121">
        <v>3974</v>
      </c>
      <c r="F396" s="13">
        <v>45744</v>
      </c>
      <c r="G396" s="24">
        <v>17677.099999999999</v>
      </c>
      <c r="H396" s="24">
        <v>16589.96</v>
      </c>
      <c r="I396" s="3">
        <v>45764</v>
      </c>
      <c r="J396" s="102">
        <v>45775</v>
      </c>
      <c r="K396" s="12">
        <v>45776</v>
      </c>
      <c r="L396" s="19" t="s">
        <v>731</v>
      </c>
      <c r="M396" s="36">
        <v>0</v>
      </c>
      <c r="N396" s="26"/>
      <c r="O396" t="s">
        <v>199</v>
      </c>
      <c r="P396" t="s">
        <v>376</v>
      </c>
      <c r="Q396" t="s">
        <v>207</v>
      </c>
    </row>
    <row r="397" spans="1:17" x14ac:dyDescent="0.3">
      <c r="A397" s="25">
        <v>1262</v>
      </c>
      <c r="B397" t="s">
        <v>193</v>
      </c>
      <c r="C397" t="s">
        <v>45</v>
      </c>
      <c r="D397" t="s">
        <v>375</v>
      </c>
      <c r="E397" s="121">
        <v>3973</v>
      </c>
      <c r="F397" s="13">
        <v>45744</v>
      </c>
      <c r="G397" s="24">
        <v>19709.759999999998</v>
      </c>
      <c r="H397" s="24">
        <v>18497.61</v>
      </c>
      <c r="I397" s="3">
        <v>45764</v>
      </c>
      <c r="J397" s="102">
        <v>45775</v>
      </c>
      <c r="K397" s="12">
        <v>45776</v>
      </c>
      <c r="L397" s="19" t="s">
        <v>731</v>
      </c>
      <c r="M397" s="36">
        <v>0</v>
      </c>
      <c r="N397" s="26"/>
      <c r="O397" t="s">
        <v>199</v>
      </c>
      <c r="P397" t="s">
        <v>376</v>
      </c>
      <c r="Q397" t="s">
        <v>207</v>
      </c>
    </row>
    <row r="398" spans="1:17" x14ac:dyDescent="0.3">
      <c r="A398" s="25">
        <v>1262</v>
      </c>
      <c r="B398" t="s">
        <v>193</v>
      </c>
      <c r="C398" t="s">
        <v>45</v>
      </c>
      <c r="D398" t="s">
        <v>375</v>
      </c>
      <c r="E398" s="121">
        <v>3972</v>
      </c>
      <c r="F398" s="13">
        <v>45744</v>
      </c>
      <c r="G398" s="24">
        <v>14677.24</v>
      </c>
      <c r="H398" s="24">
        <v>13774.59</v>
      </c>
      <c r="I398" s="3">
        <v>45764</v>
      </c>
      <c r="J398" s="102">
        <v>45775</v>
      </c>
      <c r="K398" s="12">
        <v>45776</v>
      </c>
      <c r="L398" s="19" t="s">
        <v>731</v>
      </c>
      <c r="M398" s="36">
        <v>0</v>
      </c>
      <c r="N398" s="26"/>
      <c r="O398" t="s">
        <v>199</v>
      </c>
      <c r="P398" t="s">
        <v>376</v>
      </c>
      <c r="Q398" t="s">
        <v>207</v>
      </c>
    </row>
    <row r="399" spans="1:17" x14ac:dyDescent="0.3">
      <c r="A399" s="9">
        <v>1269</v>
      </c>
      <c r="B399" t="s">
        <v>193</v>
      </c>
      <c r="C399" t="s">
        <v>45</v>
      </c>
      <c r="D399" t="s">
        <v>384</v>
      </c>
      <c r="E399" s="121">
        <v>3980</v>
      </c>
      <c r="F399" s="13">
        <v>45744</v>
      </c>
      <c r="G399" s="24">
        <v>6655.99</v>
      </c>
      <c r="H399" s="24">
        <v>6246.65</v>
      </c>
      <c r="I399" s="3">
        <v>45764</v>
      </c>
      <c r="J399" s="102">
        <v>45775</v>
      </c>
      <c r="K399" s="12">
        <v>45776</v>
      </c>
      <c r="L399" s="19" t="s">
        <v>731</v>
      </c>
      <c r="M399" s="35">
        <v>0</v>
      </c>
      <c r="N399" s="15"/>
      <c r="O399" t="s">
        <v>202</v>
      </c>
      <c r="P399" t="s">
        <v>376</v>
      </c>
      <c r="Q399" t="s">
        <v>207</v>
      </c>
    </row>
    <row r="400" spans="1:17" x14ac:dyDescent="0.3">
      <c r="A400" s="9">
        <v>1269</v>
      </c>
      <c r="B400" t="s">
        <v>193</v>
      </c>
      <c r="C400" t="s">
        <v>45</v>
      </c>
      <c r="D400" t="s">
        <v>384</v>
      </c>
      <c r="E400" s="121">
        <v>3979</v>
      </c>
      <c r="F400" s="13">
        <v>45744</v>
      </c>
      <c r="G400" s="24">
        <v>10876.23</v>
      </c>
      <c r="H400" s="24">
        <v>10207.34</v>
      </c>
      <c r="I400" s="3">
        <v>45764</v>
      </c>
      <c r="J400" s="102">
        <v>45775</v>
      </c>
      <c r="K400" s="12">
        <v>45776</v>
      </c>
      <c r="L400" s="19" t="s">
        <v>731</v>
      </c>
      <c r="M400" s="35">
        <v>0</v>
      </c>
      <c r="N400" s="15"/>
      <c r="O400" t="s">
        <v>202</v>
      </c>
      <c r="P400" t="s">
        <v>376</v>
      </c>
      <c r="Q400" t="s">
        <v>207</v>
      </c>
    </row>
    <row r="401" spans="1:17" x14ac:dyDescent="0.3">
      <c r="A401" s="9">
        <v>1269</v>
      </c>
      <c r="B401" t="s">
        <v>193</v>
      </c>
      <c r="C401" t="s">
        <v>45</v>
      </c>
      <c r="D401" t="s">
        <v>384</v>
      </c>
      <c r="E401" s="121">
        <v>3977</v>
      </c>
      <c r="F401" s="13">
        <v>45744</v>
      </c>
      <c r="G401" s="24">
        <v>30699.4</v>
      </c>
      <c r="H401" s="24">
        <v>28811.39</v>
      </c>
      <c r="I401" s="3">
        <v>45764</v>
      </c>
      <c r="J401" s="102">
        <v>45775</v>
      </c>
      <c r="K401" s="12">
        <v>45776</v>
      </c>
      <c r="L401" s="19" t="s">
        <v>731</v>
      </c>
      <c r="M401" s="35">
        <v>0</v>
      </c>
      <c r="N401" s="15"/>
      <c r="O401" t="s">
        <v>202</v>
      </c>
      <c r="P401" t="s">
        <v>376</v>
      </c>
      <c r="Q401" t="s">
        <v>207</v>
      </c>
    </row>
    <row r="402" spans="1:17" x14ac:dyDescent="0.3">
      <c r="A402" s="9">
        <v>1269</v>
      </c>
      <c r="B402" t="s">
        <v>193</v>
      </c>
      <c r="C402" t="s">
        <v>45</v>
      </c>
      <c r="D402" t="s">
        <v>384</v>
      </c>
      <c r="E402" s="121">
        <v>3976</v>
      </c>
      <c r="F402" s="13">
        <v>45744</v>
      </c>
      <c r="G402" s="24">
        <v>198578.23</v>
      </c>
      <c r="H402" s="24">
        <v>186365.67</v>
      </c>
      <c r="I402" s="3">
        <v>45764</v>
      </c>
      <c r="J402" s="102">
        <v>45775</v>
      </c>
      <c r="K402" s="12">
        <v>45776</v>
      </c>
      <c r="L402" s="19" t="s">
        <v>731</v>
      </c>
      <c r="M402" s="35">
        <v>0</v>
      </c>
      <c r="N402" s="15"/>
      <c r="O402" t="s">
        <v>202</v>
      </c>
      <c r="P402" t="s">
        <v>376</v>
      </c>
      <c r="Q402" t="s">
        <v>207</v>
      </c>
    </row>
    <row r="403" spans="1:17" x14ac:dyDescent="0.3">
      <c r="A403" s="25">
        <v>1400</v>
      </c>
      <c r="B403" t="s">
        <v>209</v>
      </c>
      <c r="C403" t="s">
        <v>3</v>
      </c>
      <c r="D403" t="s">
        <v>530</v>
      </c>
      <c r="E403" s="121">
        <v>8305</v>
      </c>
      <c r="F403" s="13">
        <v>45744</v>
      </c>
      <c r="G403" s="24">
        <v>711481.47</v>
      </c>
      <c r="H403" s="24">
        <v>642823.51</v>
      </c>
      <c r="I403" s="3">
        <v>45762</v>
      </c>
      <c r="J403" s="102">
        <v>45778</v>
      </c>
      <c r="K403" s="12">
        <v>45779</v>
      </c>
      <c r="L403" s="19" t="s">
        <v>731</v>
      </c>
      <c r="M403" s="36">
        <v>0</v>
      </c>
      <c r="N403"/>
      <c r="O403" t="s">
        <v>199</v>
      </c>
      <c r="P403" t="s">
        <v>328</v>
      </c>
      <c r="Q403" t="s">
        <v>203</v>
      </c>
    </row>
    <row r="404" spans="1:17" x14ac:dyDescent="0.3">
      <c r="A404" s="25">
        <v>1400</v>
      </c>
      <c r="B404" t="s">
        <v>209</v>
      </c>
      <c r="C404" t="s">
        <v>3</v>
      </c>
      <c r="D404" t="s">
        <v>530</v>
      </c>
      <c r="E404" s="121">
        <v>8304</v>
      </c>
      <c r="F404" s="13">
        <v>45744</v>
      </c>
      <c r="G404" s="24">
        <v>77751.44</v>
      </c>
      <c r="H404" s="24">
        <v>70248.429999999993</v>
      </c>
      <c r="I404" s="3">
        <v>45762</v>
      </c>
      <c r="J404" s="102">
        <v>45778</v>
      </c>
      <c r="K404" s="12">
        <v>45779</v>
      </c>
      <c r="L404" s="19" t="s">
        <v>731</v>
      </c>
      <c r="M404" s="36">
        <v>0</v>
      </c>
      <c r="N404"/>
      <c r="O404" t="s">
        <v>199</v>
      </c>
      <c r="P404" t="s">
        <v>328</v>
      </c>
      <c r="Q404" t="s">
        <v>203</v>
      </c>
    </row>
    <row r="405" spans="1:17" x14ac:dyDescent="0.3">
      <c r="A405" s="9">
        <v>1366</v>
      </c>
      <c r="B405" t="s">
        <v>209</v>
      </c>
      <c r="C405" t="s">
        <v>3</v>
      </c>
      <c r="D405" t="s">
        <v>490</v>
      </c>
      <c r="E405" s="121">
        <v>1244</v>
      </c>
      <c r="F405" s="13">
        <v>45744</v>
      </c>
      <c r="G405" s="11">
        <v>347113.33</v>
      </c>
      <c r="H405" s="11">
        <v>313616.84999999998</v>
      </c>
      <c r="I405" s="3">
        <v>45763</v>
      </c>
      <c r="J405" s="102">
        <v>45778</v>
      </c>
      <c r="K405" s="12">
        <v>45779</v>
      </c>
      <c r="L405" s="19" t="s">
        <v>731</v>
      </c>
      <c r="M405" s="35">
        <v>0</v>
      </c>
      <c r="N405"/>
      <c r="O405" t="s">
        <v>202</v>
      </c>
      <c r="P405" t="s">
        <v>328</v>
      </c>
      <c r="Q405" t="s">
        <v>203</v>
      </c>
    </row>
    <row r="406" spans="1:17" x14ac:dyDescent="0.3">
      <c r="A406" s="9">
        <v>1388</v>
      </c>
      <c r="B406" t="s">
        <v>209</v>
      </c>
      <c r="C406" t="s">
        <v>3</v>
      </c>
      <c r="D406" t="s">
        <v>518</v>
      </c>
      <c r="E406" s="121">
        <v>3956</v>
      </c>
      <c r="F406" s="13">
        <v>45744</v>
      </c>
      <c r="G406" s="11">
        <v>167338.09</v>
      </c>
      <c r="H406" s="11">
        <v>151189.97</v>
      </c>
      <c r="I406" s="3">
        <v>45757</v>
      </c>
      <c r="J406" s="102">
        <v>45778</v>
      </c>
      <c r="K406" s="12">
        <v>45779</v>
      </c>
      <c r="L406" s="19" t="s">
        <v>731</v>
      </c>
      <c r="M406" s="35">
        <v>0</v>
      </c>
      <c r="N406"/>
      <c r="O406" t="s">
        <v>199</v>
      </c>
      <c r="P406" t="s">
        <v>328</v>
      </c>
      <c r="Q406" t="s">
        <v>203</v>
      </c>
    </row>
    <row r="407" spans="1:17" x14ac:dyDescent="0.3">
      <c r="A407" s="9">
        <v>1298</v>
      </c>
      <c r="B407" t="s">
        <v>84</v>
      </c>
      <c r="C407" t="s">
        <v>36</v>
      </c>
      <c r="D407" t="s">
        <v>418</v>
      </c>
      <c r="E407" s="121">
        <v>1243</v>
      </c>
      <c r="F407" s="13">
        <v>45744</v>
      </c>
      <c r="G407" s="24">
        <v>275594.28999999998</v>
      </c>
      <c r="H407" s="24">
        <v>258645.25</v>
      </c>
      <c r="I407" s="3">
        <v>45762</v>
      </c>
      <c r="J407" s="102">
        <v>45775</v>
      </c>
      <c r="K407" s="12">
        <v>45777</v>
      </c>
      <c r="L407" s="19" t="s">
        <v>731</v>
      </c>
      <c r="M407" s="35">
        <v>0</v>
      </c>
      <c r="N407"/>
      <c r="O407" t="s">
        <v>202</v>
      </c>
      <c r="P407" t="s">
        <v>340</v>
      </c>
      <c r="Q407" t="s">
        <v>207</v>
      </c>
    </row>
    <row r="408" spans="1:17" x14ac:dyDescent="0.3">
      <c r="A408" s="9">
        <v>1289</v>
      </c>
      <c r="B408" t="s">
        <v>204</v>
      </c>
      <c r="C408" t="s">
        <v>32</v>
      </c>
      <c r="D408" t="s">
        <v>408</v>
      </c>
      <c r="E408" s="121">
        <v>8293</v>
      </c>
      <c r="F408" s="13">
        <v>45744</v>
      </c>
      <c r="G408" s="24">
        <v>288674.12</v>
      </c>
      <c r="H408" s="11">
        <v>269044.28000000003</v>
      </c>
      <c r="I408" s="3">
        <v>45756</v>
      </c>
      <c r="J408" s="102">
        <v>45775</v>
      </c>
      <c r="K408" s="12">
        <v>45777</v>
      </c>
      <c r="L408" s="19" t="s">
        <v>731</v>
      </c>
      <c r="M408" s="35"/>
      <c r="N408"/>
      <c r="O408" t="s">
        <v>202</v>
      </c>
      <c r="P408" t="s">
        <v>340</v>
      </c>
      <c r="Q408" t="s">
        <v>217</v>
      </c>
    </row>
    <row r="409" spans="1:17" x14ac:dyDescent="0.3">
      <c r="A409" s="25">
        <v>1288</v>
      </c>
      <c r="B409" t="s">
        <v>204</v>
      </c>
      <c r="C409" t="s">
        <v>32</v>
      </c>
      <c r="D409" t="s">
        <v>407</v>
      </c>
      <c r="E409" s="121">
        <v>8292</v>
      </c>
      <c r="F409" s="13">
        <v>45744</v>
      </c>
      <c r="G409" s="24">
        <v>379368</v>
      </c>
      <c r="H409" s="24">
        <v>353570.98</v>
      </c>
      <c r="I409" s="3">
        <v>45756</v>
      </c>
      <c r="J409" s="102">
        <v>45775</v>
      </c>
      <c r="K409" s="12">
        <v>45775</v>
      </c>
      <c r="L409" s="19" t="s">
        <v>731</v>
      </c>
      <c r="M409" s="36"/>
      <c r="N409"/>
      <c r="O409" t="s">
        <v>199</v>
      </c>
      <c r="P409" t="s">
        <v>340</v>
      </c>
      <c r="Q409" t="s">
        <v>217</v>
      </c>
    </row>
    <row r="410" spans="1:17" x14ac:dyDescent="0.3">
      <c r="A410" s="9">
        <v>1271</v>
      </c>
      <c r="B410" t="s">
        <v>204</v>
      </c>
      <c r="C410" t="s">
        <v>32</v>
      </c>
      <c r="D410" t="s">
        <v>387</v>
      </c>
      <c r="E410" s="121">
        <v>8294</v>
      </c>
      <c r="F410" s="13">
        <v>45744</v>
      </c>
      <c r="G410" s="11">
        <v>255597.54</v>
      </c>
      <c r="H410" s="11">
        <v>238216.91</v>
      </c>
      <c r="I410" s="3">
        <v>45756</v>
      </c>
      <c r="J410" s="102">
        <v>45768</v>
      </c>
      <c r="K410" s="12">
        <v>45772</v>
      </c>
      <c r="L410" s="19" t="s">
        <v>731</v>
      </c>
      <c r="M410" s="35">
        <v>0</v>
      </c>
      <c r="N410"/>
      <c r="O410" t="s">
        <v>202</v>
      </c>
      <c r="P410" t="s">
        <v>340</v>
      </c>
      <c r="Q410" t="s">
        <v>217</v>
      </c>
    </row>
    <row r="411" spans="1:17" x14ac:dyDescent="0.3">
      <c r="A411" s="9">
        <v>1299</v>
      </c>
      <c r="B411" t="s">
        <v>204</v>
      </c>
      <c r="C411" t="s">
        <v>32</v>
      </c>
      <c r="D411" t="s">
        <v>419</v>
      </c>
      <c r="E411" s="121">
        <v>8299</v>
      </c>
      <c r="F411" s="13">
        <v>45744</v>
      </c>
      <c r="G411" s="11">
        <v>1020096</v>
      </c>
      <c r="H411" s="11">
        <v>950729.47</v>
      </c>
      <c r="I411" s="3">
        <v>45758</v>
      </c>
      <c r="J411" s="102">
        <v>45775</v>
      </c>
      <c r="K411" s="12">
        <v>45777</v>
      </c>
      <c r="L411" s="19" t="s">
        <v>731</v>
      </c>
      <c r="M411" s="55">
        <v>0</v>
      </c>
      <c r="N411" s="15"/>
      <c r="O411" t="s">
        <v>199</v>
      </c>
      <c r="P411" t="s">
        <v>340</v>
      </c>
      <c r="Q411" t="s">
        <v>217</v>
      </c>
    </row>
    <row r="412" spans="1:17" x14ac:dyDescent="0.3">
      <c r="A412" s="25">
        <v>1394</v>
      </c>
      <c r="B412" t="s">
        <v>210</v>
      </c>
      <c r="C412" t="s">
        <v>38</v>
      </c>
      <c r="D412" t="s">
        <v>523</v>
      </c>
      <c r="E412" s="121">
        <v>8290</v>
      </c>
      <c r="F412" s="13">
        <v>45744</v>
      </c>
      <c r="G412" s="24">
        <v>73671.48</v>
      </c>
      <c r="H412" s="24">
        <v>68661.820000000007</v>
      </c>
      <c r="I412" s="3">
        <v>45754</v>
      </c>
      <c r="J412" s="102">
        <v>45761</v>
      </c>
      <c r="K412" s="29">
        <v>45763</v>
      </c>
      <c r="L412" s="22" t="s">
        <v>731</v>
      </c>
      <c r="M412" s="36">
        <v>0</v>
      </c>
      <c r="N412" s="26"/>
      <c r="O412" t="s">
        <v>202</v>
      </c>
      <c r="P412" t="s">
        <v>340</v>
      </c>
      <c r="Q412" t="s">
        <v>213</v>
      </c>
    </row>
    <row r="413" spans="1:17" x14ac:dyDescent="0.3">
      <c r="A413" s="9">
        <v>1394</v>
      </c>
      <c r="B413" t="s">
        <v>210</v>
      </c>
      <c r="C413" t="s">
        <v>38</v>
      </c>
      <c r="D413" t="s">
        <v>523</v>
      </c>
      <c r="E413" s="121">
        <v>8298</v>
      </c>
      <c r="F413" s="13">
        <v>45744</v>
      </c>
      <c r="G413" s="24">
        <v>85000</v>
      </c>
      <c r="H413" s="24">
        <v>79220</v>
      </c>
      <c r="I413" s="3">
        <v>45757</v>
      </c>
      <c r="J413" s="102">
        <v>45775</v>
      </c>
      <c r="K413" s="5">
        <v>45777</v>
      </c>
      <c r="L413" s="22" t="s">
        <v>731</v>
      </c>
      <c r="M413" s="56">
        <v>0</v>
      </c>
      <c r="N413" s="15"/>
      <c r="O413" t="s">
        <v>202</v>
      </c>
      <c r="P413" t="s">
        <v>340</v>
      </c>
      <c r="Q413" t="s">
        <v>213</v>
      </c>
    </row>
    <row r="414" spans="1:17" x14ac:dyDescent="0.3">
      <c r="A414" s="9">
        <v>1394</v>
      </c>
      <c r="B414" t="s">
        <v>210</v>
      </c>
      <c r="C414" t="s">
        <v>38</v>
      </c>
      <c r="D414" t="s">
        <v>523</v>
      </c>
      <c r="E414" s="121">
        <v>8296</v>
      </c>
      <c r="F414" s="13">
        <v>45744</v>
      </c>
      <c r="G414" s="24">
        <v>283355.11</v>
      </c>
      <c r="H414" s="24">
        <v>264086.96000000002</v>
      </c>
      <c r="I414" s="3">
        <v>45757</v>
      </c>
      <c r="J414" s="102">
        <v>45775</v>
      </c>
      <c r="K414" s="12">
        <v>45777</v>
      </c>
      <c r="L414" s="19" t="s">
        <v>731</v>
      </c>
      <c r="M414" s="56">
        <v>0</v>
      </c>
      <c r="N414" s="15"/>
      <c r="O414" t="s">
        <v>202</v>
      </c>
      <c r="P414" t="s">
        <v>340</v>
      </c>
      <c r="Q414" t="s">
        <v>213</v>
      </c>
    </row>
    <row r="415" spans="1:17" x14ac:dyDescent="0.3">
      <c r="A415" s="9">
        <v>1394</v>
      </c>
      <c r="B415" t="s">
        <v>210</v>
      </c>
      <c r="C415" t="s">
        <v>38</v>
      </c>
      <c r="D415" t="s">
        <v>523</v>
      </c>
      <c r="E415" s="121">
        <v>8295</v>
      </c>
      <c r="F415" s="13">
        <v>45744</v>
      </c>
      <c r="G415" s="24">
        <v>16701.95</v>
      </c>
      <c r="H415" s="24">
        <v>15566.22</v>
      </c>
      <c r="I415" s="3">
        <v>45757</v>
      </c>
      <c r="J415" s="102">
        <v>45778</v>
      </c>
      <c r="K415" s="5">
        <v>45779</v>
      </c>
      <c r="L415" s="22" t="s">
        <v>731</v>
      </c>
      <c r="M415" s="56">
        <v>0</v>
      </c>
      <c r="N415" s="15"/>
      <c r="O415" t="s">
        <v>202</v>
      </c>
      <c r="P415" t="s">
        <v>340</v>
      </c>
      <c r="Q415" t="s">
        <v>213</v>
      </c>
    </row>
    <row r="416" spans="1:17" x14ac:dyDescent="0.3">
      <c r="A416" s="9">
        <v>1394</v>
      </c>
      <c r="B416" t="s">
        <v>210</v>
      </c>
      <c r="C416" t="s">
        <v>38</v>
      </c>
      <c r="D416" t="s">
        <v>523</v>
      </c>
      <c r="E416" s="121">
        <v>8300</v>
      </c>
      <c r="F416" s="13">
        <v>45744</v>
      </c>
      <c r="G416" s="24">
        <v>111600.22</v>
      </c>
      <c r="H416" s="24">
        <v>104011.41</v>
      </c>
      <c r="I416" s="3">
        <v>45758</v>
      </c>
      <c r="J416" s="102">
        <v>45775</v>
      </c>
      <c r="K416" s="5">
        <v>45776</v>
      </c>
      <c r="L416" s="22" t="s">
        <v>731</v>
      </c>
      <c r="M416" s="56">
        <v>0</v>
      </c>
      <c r="N416" s="15"/>
      <c r="O416" t="s">
        <v>202</v>
      </c>
      <c r="P416" t="s">
        <v>340</v>
      </c>
      <c r="Q416" t="s">
        <v>213</v>
      </c>
    </row>
    <row r="417" spans="1:17" x14ac:dyDescent="0.3">
      <c r="A417" s="9">
        <v>1394</v>
      </c>
      <c r="B417" t="s">
        <v>210</v>
      </c>
      <c r="C417" t="s">
        <v>38</v>
      </c>
      <c r="D417" t="s">
        <v>523</v>
      </c>
      <c r="E417" s="121">
        <v>8308</v>
      </c>
      <c r="F417" s="13">
        <v>45744</v>
      </c>
      <c r="G417" s="24">
        <v>134177.92000000001</v>
      </c>
      <c r="H417" s="24">
        <v>125053.82</v>
      </c>
      <c r="I417" s="3">
        <v>45763</v>
      </c>
      <c r="J417" s="102">
        <v>45775</v>
      </c>
      <c r="K417" s="12">
        <v>45777</v>
      </c>
      <c r="L417" s="19" t="s">
        <v>731</v>
      </c>
      <c r="M417" s="56">
        <v>0</v>
      </c>
      <c r="N417" s="15"/>
      <c r="O417" t="s">
        <v>202</v>
      </c>
      <c r="P417" t="s">
        <v>340</v>
      </c>
      <c r="Q417" t="s">
        <v>213</v>
      </c>
    </row>
    <row r="418" spans="1:17" x14ac:dyDescent="0.3">
      <c r="A418" s="9">
        <v>1394</v>
      </c>
      <c r="B418" t="s">
        <v>210</v>
      </c>
      <c r="C418" t="s">
        <v>38</v>
      </c>
      <c r="D418" t="s">
        <v>523</v>
      </c>
      <c r="E418" s="121">
        <v>8370</v>
      </c>
      <c r="F418" s="13">
        <v>45744</v>
      </c>
      <c r="G418" s="24">
        <v>222403.39</v>
      </c>
      <c r="H418" s="24">
        <v>207279.96</v>
      </c>
      <c r="I418" s="3">
        <v>45818</v>
      </c>
      <c r="J418" s="102">
        <v>45831</v>
      </c>
      <c r="K418" s="5">
        <v>45831</v>
      </c>
      <c r="L418" s="22" t="s">
        <v>731</v>
      </c>
      <c r="M418" s="56">
        <v>0</v>
      </c>
      <c r="N418" s="15"/>
      <c r="O418" t="s">
        <v>202</v>
      </c>
      <c r="P418" t="s">
        <v>340</v>
      </c>
      <c r="Q418" t="s">
        <v>213</v>
      </c>
    </row>
    <row r="419" spans="1:17" x14ac:dyDescent="0.3">
      <c r="A419" s="9">
        <v>1394</v>
      </c>
      <c r="B419" t="s">
        <v>210</v>
      </c>
      <c r="C419" t="s">
        <v>38</v>
      </c>
      <c r="D419" t="s">
        <v>523</v>
      </c>
      <c r="E419" s="121">
        <v>8310</v>
      </c>
      <c r="F419" s="13">
        <v>45744</v>
      </c>
      <c r="G419" s="24">
        <v>127355.8</v>
      </c>
      <c r="H419" s="24">
        <v>118695.6</v>
      </c>
      <c r="I419" s="3">
        <v>45770</v>
      </c>
      <c r="J419" s="102">
        <v>45775</v>
      </c>
      <c r="K419" s="12">
        <v>45777</v>
      </c>
      <c r="L419" s="19" t="s">
        <v>731</v>
      </c>
      <c r="M419" s="56">
        <v>0</v>
      </c>
      <c r="N419" s="15"/>
      <c r="O419" t="s">
        <v>202</v>
      </c>
      <c r="P419" t="s">
        <v>340</v>
      </c>
      <c r="Q419" t="s">
        <v>213</v>
      </c>
    </row>
    <row r="420" spans="1:17" x14ac:dyDescent="0.3">
      <c r="A420" s="25">
        <v>1360</v>
      </c>
      <c r="B420" t="s">
        <v>71</v>
      </c>
      <c r="C420" t="s">
        <v>44</v>
      </c>
      <c r="D420" t="s">
        <v>483</v>
      </c>
      <c r="E420" s="121">
        <v>3914</v>
      </c>
      <c r="F420" s="13">
        <v>45744</v>
      </c>
      <c r="G420" s="24">
        <v>32366.880000000001</v>
      </c>
      <c r="H420" s="24">
        <v>30376.32</v>
      </c>
      <c r="I420" s="3">
        <v>45735</v>
      </c>
      <c r="J420" s="102">
        <v>45775</v>
      </c>
      <c r="K420" s="12">
        <v>45777</v>
      </c>
      <c r="L420" s="19" t="s">
        <v>731</v>
      </c>
      <c r="M420" s="36"/>
      <c r="N420"/>
      <c r="O420" t="s">
        <v>199</v>
      </c>
      <c r="P420" t="s">
        <v>376</v>
      </c>
      <c r="Q420" t="s">
        <v>203</v>
      </c>
    </row>
    <row r="421" spans="1:17" x14ac:dyDescent="0.3">
      <c r="A421" s="25">
        <v>1360</v>
      </c>
      <c r="B421" t="s">
        <v>71</v>
      </c>
      <c r="C421" t="s">
        <v>44</v>
      </c>
      <c r="D421" t="s">
        <v>483</v>
      </c>
      <c r="E421" s="121">
        <v>3913</v>
      </c>
      <c r="F421" s="13">
        <v>45744</v>
      </c>
      <c r="G421" s="24">
        <v>17488.8</v>
      </c>
      <c r="H421" s="24">
        <v>16413.240000000002</v>
      </c>
      <c r="I421" s="3">
        <v>45735</v>
      </c>
      <c r="J421" s="102">
        <v>45775</v>
      </c>
      <c r="K421" s="12">
        <v>45777</v>
      </c>
      <c r="L421" s="19" t="s">
        <v>731</v>
      </c>
      <c r="M421" s="36"/>
      <c r="N421"/>
      <c r="O421" t="s">
        <v>199</v>
      </c>
      <c r="P421" t="s">
        <v>376</v>
      </c>
      <c r="Q421" t="s">
        <v>203</v>
      </c>
    </row>
    <row r="422" spans="1:17" x14ac:dyDescent="0.3">
      <c r="A422" s="25">
        <v>1360</v>
      </c>
      <c r="B422" t="s">
        <v>71</v>
      </c>
      <c r="C422" t="s">
        <v>44</v>
      </c>
      <c r="D422" t="s">
        <v>483</v>
      </c>
      <c r="E422" s="121">
        <v>3912</v>
      </c>
      <c r="F422" s="13">
        <v>45744</v>
      </c>
      <c r="G422" s="24">
        <v>23033.09</v>
      </c>
      <c r="H422" s="24">
        <v>21616.55</v>
      </c>
      <c r="I422" s="3">
        <v>45735</v>
      </c>
      <c r="J422" s="102">
        <v>45775</v>
      </c>
      <c r="K422" s="12">
        <v>45777</v>
      </c>
      <c r="L422" s="19" t="s">
        <v>731</v>
      </c>
      <c r="M422" s="36"/>
      <c r="N422"/>
      <c r="O422" t="s">
        <v>199</v>
      </c>
      <c r="P422" t="s">
        <v>376</v>
      </c>
      <c r="Q422" t="s">
        <v>203</v>
      </c>
    </row>
    <row r="423" spans="1:17" x14ac:dyDescent="0.3">
      <c r="A423" s="25">
        <v>1360</v>
      </c>
      <c r="B423" t="s">
        <v>71</v>
      </c>
      <c r="C423" t="s">
        <v>44</v>
      </c>
      <c r="D423" t="s">
        <v>483</v>
      </c>
      <c r="E423" s="121">
        <v>3911</v>
      </c>
      <c r="F423" s="13">
        <v>45744</v>
      </c>
      <c r="G423" s="24">
        <v>30112</v>
      </c>
      <c r="H423" s="24">
        <v>28260.11</v>
      </c>
      <c r="I423" s="3">
        <v>45735</v>
      </c>
      <c r="J423" s="102">
        <v>45775</v>
      </c>
      <c r="K423" s="12">
        <v>45777</v>
      </c>
      <c r="L423" s="19" t="s">
        <v>731</v>
      </c>
      <c r="M423" s="36"/>
      <c r="N423"/>
      <c r="O423" t="s">
        <v>199</v>
      </c>
      <c r="P423" t="s">
        <v>376</v>
      </c>
      <c r="Q423" t="s">
        <v>203</v>
      </c>
    </row>
    <row r="424" spans="1:17" x14ac:dyDescent="0.3">
      <c r="A424" s="25">
        <v>1360</v>
      </c>
      <c r="B424" t="s">
        <v>71</v>
      </c>
      <c r="C424" t="s">
        <v>44</v>
      </c>
      <c r="D424" t="s">
        <v>483</v>
      </c>
      <c r="E424" s="121">
        <v>3910</v>
      </c>
      <c r="F424" s="13">
        <v>45744</v>
      </c>
      <c r="G424" s="24">
        <v>70502.78</v>
      </c>
      <c r="H424" s="24">
        <v>66166.86</v>
      </c>
      <c r="I424" s="3">
        <v>45735</v>
      </c>
      <c r="J424" s="102">
        <v>45775</v>
      </c>
      <c r="K424" s="12">
        <v>45777</v>
      </c>
      <c r="L424" s="19" t="s">
        <v>731</v>
      </c>
      <c r="M424" s="36"/>
      <c r="N424"/>
      <c r="O424" t="s">
        <v>199</v>
      </c>
      <c r="P424" t="s">
        <v>376</v>
      </c>
      <c r="Q424" t="s">
        <v>203</v>
      </c>
    </row>
    <row r="425" spans="1:17" x14ac:dyDescent="0.3">
      <c r="A425" s="25">
        <v>1360</v>
      </c>
      <c r="B425" t="s">
        <v>71</v>
      </c>
      <c r="C425" t="s">
        <v>44</v>
      </c>
      <c r="D425" t="s">
        <v>483</v>
      </c>
      <c r="E425" s="121">
        <v>3907</v>
      </c>
      <c r="F425" s="13">
        <v>45744</v>
      </c>
      <c r="G425" s="24">
        <v>27100.799999999999</v>
      </c>
      <c r="H425" s="24">
        <v>25434.1</v>
      </c>
      <c r="I425" s="3">
        <v>45735</v>
      </c>
      <c r="J425" s="102">
        <v>45775</v>
      </c>
      <c r="K425" s="12">
        <v>45777</v>
      </c>
      <c r="L425" s="19" t="s">
        <v>731</v>
      </c>
      <c r="M425" s="36"/>
      <c r="N425"/>
      <c r="O425" t="s">
        <v>199</v>
      </c>
      <c r="P425" t="s">
        <v>376</v>
      </c>
      <c r="Q425" t="s">
        <v>203</v>
      </c>
    </row>
    <row r="426" spans="1:17" x14ac:dyDescent="0.3">
      <c r="A426" s="25">
        <v>1360</v>
      </c>
      <c r="B426" t="s">
        <v>71</v>
      </c>
      <c r="C426" t="s">
        <v>44</v>
      </c>
      <c r="D426" t="s">
        <v>483</v>
      </c>
      <c r="E426" s="121">
        <v>3904</v>
      </c>
      <c r="F426" s="13">
        <v>45744</v>
      </c>
      <c r="G426" s="27">
        <v>108733.78</v>
      </c>
      <c r="H426" s="27">
        <v>102046.65</v>
      </c>
      <c r="I426" s="3">
        <v>45735</v>
      </c>
      <c r="J426" s="102">
        <v>45803</v>
      </c>
      <c r="K426" s="12">
        <v>45807</v>
      </c>
      <c r="L426" s="19" t="s">
        <v>731</v>
      </c>
      <c r="M426" s="36"/>
      <c r="N426"/>
      <c r="O426" t="s">
        <v>199</v>
      </c>
      <c r="P426" t="s">
        <v>376</v>
      </c>
      <c r="Q426" t="s">
        <v>203</v>
      </c>
    </row>
    <row r="427" spans="1:17" x14ac:dyDescent="0.3">
      <c r="A427" s="25">
        <v>1360</v>
      </c>
      <c r="B427" t="s">
        <v>71</v>
      </c>
      <c r="C427" t="s">
        <v>44</v>
      </c>
      <c r="D427" t="s">
        <v>483</v>
      </c>
      <c r="E427" s="121">
        <v>3918</v>
      </c>
      <c r="F427" s="13">
        <v>45744</v>
      </c>
      <c r="G427" s="24">
        <v>40888.800000000003</v>
      </c>
      <c r="H427" s="24">
        <v>38374.14</v>
      </c>
      <c r="I427" s="3">
        <v>45736</v>
      </c>
      <c r="J427" s="102">
        <v>45775</v>
      </c>
      <c r="K427" s="12">
        <v>45777</v>
      </c>
      <c r="L427" s="19" t="s">
        <v>731</v>
      </c>
      <c r="M427" s="36"/>
      <c r="N427"/>
      <c r="O427" t="s">
        <v>199</v>
      </c>
      <c r="P427" t="s">
        <v>376</v>
      </c>
      <c r="Q427" t="s">
        <v>203</v>
      </c>
    </row>
    <row r="428" spans="1:17" x14ac:dyDescent="0.3">
      <c r="A428" s="25">
        <v>1360</v>
      </c>
      <c r="B428" t="s">
        <v>71</v>
      </c>
      <c r="C428" t="s">
        <v>44</v>
      </c>
      <c r="D428" t="s">
        <v>483</v>
      </c>
      <c r="E428" s="121">
        <v>3917</v>
      </c>
      <c r="F428" s="13">
        <v>45744</v>
      </c>
      <c r="G428" s="24">
        <v>60112.68</v>
      </c>
      <c r="H428" s="24">
        <v>56415.75</v>
      </c>
      <c r="I428" s="3">
        <v>45736</v>
      </c>
      <c r="J428" s="102">
        <v>45775</v>
      </c>
      <c r="K428" s="12">
        <v>45777</v>
      </c>
      <c r="L428" s="19" t="s">
        <v>731</v>
      </c>
      <c r="M428" s="36"/>
      <c r="N428"/>
      <c r="O428" t="s">
        <v>199</v>
      </c>
      <c r="P428" t="s">
        <v>376</v>
      </c>
      <c r="Q428" t="s">
        <v>203</v>
      </c>
    </row>
    <row r="429" spans="1:17" x14ac:dyDescent="0.3">
      <c r="A429" s="25">
        <v>1360</v>
      </c>
      <c r="B429" t="s">
        <v>71</v>
      </c>
      <c r="C429" t="s">
        <v>44</v>
      </c>
      <c r="D429" t="s">
        <v>483</v>
      </c>
      <c r="E429" s="121">
        <v>3916</v>
      </c>
      <c r="F429" s="13">
        <v>45744</v>
      </c>
      <c r="G429" s="24">
        <v>41991.199999999997</v>
      </c>
      <c r="H429" s="24">
        <v>39408.74</v>
      </c>
      <c r="I429" s="3">
        <v>45736</v>
      </c>
      <c r="J429" s="102">
        <v>45775</v>
      </c>
      <c r="K429" s="12">
        <v>45777</v>
      </c>
      <c r="L429" s="19" t="s">
        <v>731</v>
      </c>
      <c r="M429" s="36"/>
      <c r="N429"/>
      <c r="O429" t="s">
        <v>199</v>
      </c>
      <c r="P429" t="s">
        <v>376</v>
      </c>
      <c r="Q429" t="s">
        <v>203</v>
      </c>
    </row>
    <row r="430" spans="1:17" x14ac:dyDescent="0.3">
      <c r="A430" s="25">
        <v>1360</v>
      </c>
      <c r="B430" t="s">
        <v>71</v>
      </c>
      <c r="C430" t="s">
        <v>44</v>
      </c>
      <c r="D430" t="s">
        <v>483</v>
      </c>
      <c r="E430" s="121">
        <v>3915</v>
      </c>
      <c r="F430" s="13">
        <v>45744</v>
      </c>
      <c r="G430" s="24">
        <v>81029.119999999995</v>
      </c>
      <c r="H430" s="24">
        <v>76045.83</v>
      </c>
      <c r="I430" s="3">
        <v>45736</v>
      </c>
      <c r="J430" s="102">
        <v>45775</v>
      </c>
      <c r="K430" s="12">
        <v>45777</v>
      </c>
      <c r="L430" s="19" t="s">
        <v>731</v>
      </c>
      <c r="M430" s="36"/>
      <c r="N430"/>
      <c r="O430" t="s">
        <v>199</v>
      </c>
      <c r="P430" t="s">
        <v>376</v>
      </c>
      <c r="Q430" t="s">
        <v>203</v>
      </c>
    </row>
    <row r="431" spans="1:17" x14ac:dyDescent="0.3">
      <c r="A431" s="25">
        <v>1360</v>
      </c>
      <c r="B431" t="s">
        <v>71</v>
      </c>
      <c r="C431" t="s">
        <v>44</v>
      </c>
      <c r="D431" t="s">
        <v>483</v>
      </c>
      <c r="E431" s="121">
        <v>3930</v>
      </c>
      <c r="F431" s="13">
        <v>45744</v>
      </c>
      <c r="G431" s="24">
        <v>65211.839999999997</v>
      </c>
      <c r="H431" s="24">
        <v>61201.3</v>
      </c>
      <c r="I431" s="3">
        <v>45737</v>
      </c>
      <c r="J431" s="102">
        <v>45775</v>
      </c>
      <c r="K431" s="12">
        <v>45777</v>
      </c>
      <c r="L431" s="19" t="s">
        <v>731</v>
      </c>
      <c r="M431" s="36"/>
      <c r="N431"/>
      <c r="O431" t="s">
        <v>199</v>
      </c>
      <c r="P431" t="s">
        <v>376</v>
      </c>
      <c r="Q431" t="s">
        <v>203</v>
      </c>
    </row>
    <row r="432" spans="1:17" x14ac:dyDescent="0.3">
      <c r="A432" s="25">
        <v>1360</v>
      </c>
      <c r="B432" t="s">
        <v>71</v>
      </c>
      <c r="C432" t="s">
        <v>44</v>
      </c>
      <c r="D432" t="s">
        <v>483</v>
      </c>
      <c r="E432" s="121">
        <v>3931</v>
      </c>
      <c r="F432" s="13">
        <v>45744</v>
      </c>
      <c r="G432" s="24">
        <v>59031.360000000001</v>
      </c>
      <c r="H432" s="24">
        <v>55400.94</v>
      </c>
      <c r="I432" s="3">
        <v>45740</v>
      </c>
      <c r="J432" s="102">
        <v>45775</v>
      </c>
      <c r="K432" s="12">
        <v>45777</v>
      </c>
      <c r="L432" s="19" t="s">
        <v>731</v>
      </c>
      <c r="M432" s="36"/>
      <c r="N432"/>
      <c r="O432" t="s">
        <v>199</v>
      </c>
      <c r="P432" t="s">
        <v>376</v>
      </c>
      <c r="Q432" t="s">
        <v>203</v>
      </c>
    </row>
    <row r="433" spans="1:17" x14ac:dyDescent="0.3">
      <c r="A433" s="25">
        <v>1387</v>
      </c>
      <c r="B433" t="s">
        <v>71</v>
      </c>
      <c r="C433" t="s">
        <v>44</v>
      </c>
      <c r="D433" t="s">
        <v>517</v>
      </c>
      <c r="E433" s="121">
        <v>3909</v>
      </c>
      <c r="F433" s="13">
        <v>45744</v>
      </c>
      <c r="G433" s="24">
        <v>36540</v>
      </c>
      <c r="H433" s="24">
        <v>34292.79</v>
      </c>
      <c r="I433" s="3">
        <v>45735</v>
      </c>
      <c r="J433" s="102">
        <v>45796</v>
      </c>
      <c r="K433" s="12">
        <v>45796</v>
      </c>
      <c r="L433" s="19" t="s">
        <v>731</v>
      </c>
      <c r="M433" s="36"/>
      <c r="N433"/>
      <c r="O433" t="s">
        <v>202</v>
      </c>
      <c r="P433" t="s">
        <v>376</v>
      </c>
      <c r="Q433" t="s">
        <v>203</v>
      </c>
    </row>
    <row r="434" spans="1:17" x14ac:dyDescent="0.3">
      <c r="A434" s="25">
        <v>1387</v>
      </c>
      <c r="B434" t="s">
        <v>71</v>
      </c>
      <c r="C434" t="s">
        <v>44</v>
      </c>
      <c r="D434" t="s">
        <v>517</v>
      </c>
      <c r="E434" s="121">
        <v>3908</v>
      </c>
      <c r="F434" s="13">
        <v>45744</v>
      </c>
      <c r="G434" s="24">
        <v>29059.200000000001</v>
      </c>
      <c r="H434" s="24">
        <v>27272.06</v>
      </c>
      <c r="I434" s="3">
        <v>45735</v>
      </c>
      <c r="J434" s="102">
        <v>45775</v>
      </c>
      <c r="K434" s="12">
        <v>45777</v>
      </c>
      <c r="L434" s="19" t="s">
        <v>731</v>
      </c>
      <c r="M434" s="36"/>
      <c r="N434"/>
      <c r="O434" t="s">
        <v>202</v>
      </c>
      <c r="P434" t="s">
        <v>376</v>
      </c>
      <c r="Q434" t="s">
        <v>203</v>
      </c>
    </row>
    <row r="435" spans="1:17" x14ac:dyDescent="0.3">
      <c r="A435" s="25">
        <v>1387</v>
      </c>
      <c r="B435" t="s">
        <v>71</v>
      </c>
      <c r="C435" t="s">
        <v>44</v>
      </c>
      <c r="D435" t="s">
        <v>517</v>
      </c>
      <c r="E435" s="121">
        <v>3906</v>
      </c>
      <c r="F435" s="13">
        <v>45744</v>
      </c>
      <c r="G435" s="24">
        <v>36713.599999999999</v>
      </c>
      <c r="H435" s="24">
        <v>34455.71</v>
      </c>
      <c r="I435" s="3">
        <v>45735</v>
      </c>
      <c r="J435" s="102">
        <v>45775</v>
      </c>
      <c r="K435" s="12">
        <v>45777</v>
      </c>
      <c r="L435" s="19" t="s">
        <v>731</v>
      </c>
      <c r="M435" s="36"/>
      <c r="N435"/>
      <c r="O435" t="s">
        <v>202</v>
      </c>
      <c r="P435" t="s">
        <v>376</v>
      </c>
      <c r="Q435" t="s">
        <v>203</v>
      </c>
    </row>
    <row r="436" spans="1:17" x14ac:dyDescent="0.3">
      <c r="A436" s="25">
        <v>1387</v>
      </c>
      <c r="B436" t="s">
        <v>71</v>
      </c>
      <c r="C436" t="s">
        <v>44</v>
      </c>
      <c r="D436" t="s">
        <v>517</v>
      </c>
      <c r="E436" s="121">
        <v>3905</v>
      </c>
      <c r="F436" s="13">
        <v>45744</v>
      </c>
      <c r="G436" s="24">
        <v>43345.52</v>
      </c>
      <c r="H436" s="24">
        <v>40679.760000000002</v>
      </c>
      <c r="I436" s="3">
        <v>45735</v>
      </c>
      <c r="J436" s="102">
        <v>45775</v>
      </c>
      <c r="K436" s="12">
        <v>45777</v>
      </c>
      <c r="L436" s="19" t="s">
        <v>731</v>
      </c>
      <c r="M436" s="36"/>
      <c r="N436"/>
      <c r="O436" t="s">
        <v>202</v>
      </c>
      <c r="P436" t="s">
        <v>376</v>
      </c>
      <c r="Q436" t="s">
        <v>203</v>
      </c>
    </row>
    <row r="437" spans="1:17" x14ac:dyDescent="0.3">
      <c r="A437" s="25">
        <v>1387</v>
      </c>
      <c r="B437" t="s">
        <v>71</v>
      </c>
      <c r="C437" t="s">
        <v>44</v>
      </c>
      <c r="D437" t="s">
        <v>517</v>
      </c>
      <c r="E437" s="121">
        <v>3929</v>
      </c>
      <c r="F437" s="13">
        <v>45744</v>
      </c>
      <c r="G437" s="24">
        <v>27583.200000000001</v>
      </c>
      <c r="H437" s="24">
        <v>25886.83</v>
      </c>
      <c r="I437" s="3">
        <v>45737</v>
      </c>
      <c r="J437" s="102">
        <v>45775</v>
      </c>
      <c r="K437" s="12">
        <v>45777</v>
      </c>
      <c r="L437" s="19" t="s">
        <v>731</v>
      </c>
      <c r="M437" s="36"/>
      <c r="N437"/>
      <c r="O437" t="s">
        <v>202</v>
      </c>
      <c r="P437" t="s">
        <v>376</v>
      </c>
      <c r="Q437" t="s">
        <v>203</v>
      </c>
    </row>
    <row r="438" spans="1:17" x14ac:dyDescent="0.3">
      <c r="A438" s="25">
        <v>1470</v>
      </c>
      <c r="B438" t="s">
        <v>212</v>
      </c>
      <c r="C438" t="s">
        <v>175</v>
      </c>
      <c r="D438" t="s">
        <v>620</v>
      </c>
      <c r="E438" s="121">
        <v>8277</v>
      </c>
      <c r="F438" s="13">
        <v>45744</v>
      </c>
      <c r="G438" s="24">
        <v>36700</v>
      </c>
      <c r="H438" s="24">
        <v>33708.949999999997</v>
      </c>
      <c r="I438" s="3">
        <v>45750</v>
      </c>
      <c r="J438" s="102">
        <v>45761</v>
      </c>
      <c r="K438" s="12">
        <v>45762</v>
      </c>
      <c r="L438" s="19" t="s">
        <v>731</v>
      </c>
      <c r="M438" s="36">
        <v>0</v>
      </c>
      <c r="N438" s="26"/>
      <c r="O438" t="s">
        <v>202</v>
      </c>
      <c r="P438" t="s">
        <v>328</v>
      </c>
      <c r="Q438" t="s">
        <v>213</v>
      </c>
    </row>
    <row r="439" spans="1:17" x14ac:dyDescent="0.3">
      <c r="A439" s="25">
        <v>1287</v>
      </c>
      <c r="B439" t="s">
        <v>204</v>
      </c>
      <c r="C439" t="s">
        <v>39</v>
      </c>
      <c r="D439" t="s">
        <v>406</v>
      </c>
      <c r="E439" s="121">
        <v>1246</v>
      </c>
      <c r="F439" s="13">
        <v>45744</v>
      </c>
      <c r="G439" s="24">
        <v>37164.18</v>
      </c>
      <c r="H439" s="24">
        <v>33336.269999999997</v>
      </c>
      <c r="I439" s="3">
        <v>45779</v>
      </c>
      <c r="J439" s="102">
        <v>45810</v>
      </c>
      <c r="K439" s="12">
        <v>45813</v>
      </c>
      <c r="L439" s="19" t="s">
        <v>731</v>
      </c>
      <c r="M439" s="36">
        <v>0</v>
      </c>
      <c r="N439" s="26"/>
      <c r="O439" t="s">
        <v>199</v>
      </c>
      <c r="P439" t="s">
        <v>340</v>
      </c>
      <c r="Q439" t="s">
        <v>217</v>
      </c>
    </row>
    <row r="440" spans="1:17" x14ac:dyDescent="0.3">
      <c r="A440" s="25">
        <v>1273</v>
      </c>
      <c r="B440" t="s">
        <v>204</v>
      </c>
      <c r="C440" t="s">
        <v>39</v>
      </c>
      <c r="D440" t="s">
        <v>389</v>
      </c>
      <c r="E440" s="121">
        <v>1248</v>
      </c>
      <c r="F440" s="13">
        <v>45744</v>
      </c>
      <c r="G440" s="2">
        <v>38313.629999999997</v>
      </c>
      <c r="H440" s="24">
        <v>34367.33</v>
      </c>
      <c r="I440" s="3">
        <v>45779</v>
      </c>
      <c r="J440" s="102">
        <v>45810</v>
      </c>
      <c r="K440" s="12">
        <v>45813</v>
      </c>
      <c r="L440" s="19" t="s">
        <v>731</v>
      </c>
      <c r="M440" s="36">
        <v>0</v>
      </c>
      <c r="N440"/>
      <c r="O440" t="s">
        <v>202</v>
      </c>
      <c r="P440" t="s">
        <v>340</v>
      </c>
      <c r="Q440" t="s">
        <v>217</v>
      </c>
    </row>
    <row r="441" spans="1:17" x14ac:dyDescent="0.3">
      <c r="A441" s="25">
        <v>1273</v>
      </c>
      <c r="B441" t="s">
        <v>204</v>
      </c>
      <c r="C441" t="s">
        <v>39</v>
      </c>
      <c r="D441" t="s">
        <v>389</v>
      </c>
      <c r="E441" s="121">
        <v>1247</v>
      </c>
      <c r="F441" s="13">
        <v>45744</v>
      </c>
      <c r="G441" s="2">
        <v>453692.21</v>
      </c>
      <c r="H441" s="24">
        <v>406961.91</v>
      </c>
      <c r="I441" s="3">
        <v>45779</v>
      </c>
      <c r="J441" s="102">
        <v>45810</v>
      </c>
      <c r="K441" s="12">
        <v>45813</v>
      </c>
      <c r="L441" s="19" t="s">
        <v>731</v>
      </c>
      <c r="M441" s="36">
        <v>0</v>
      </c>
      <c r="N441"/>
      <c r="O441" t="s">
        <v>202</v>
      </c>
      <c r="P441" t="s">
        <v>340</v>
      </c>
      <c r="Q441" t="s">
        <v>217</v>
      </c>
    </row>
    <row r="442" spans="1:17" x14ac:dyDescent="0.3">
      <c r="A442" s="9">
        <v>1277</v>
      </c>
      <c r="B442" t="s">
        <v>204</v>
      </c>
      <c r="C442" t="s">
        <v>39</v>
      </c>
      <c r="D442" t="s">
        <v>393</v>
      </c>
      <c r="E442" s="121">
        <v>1241</v>
      </c>
      <c r="F442" s="13">
        <v>45744</v>
      </c>
      <c r="G442" s="24">
        <v>154365.24</v>
      </c>
      <c r="H442" s="11">
        <v>138465.63</v>
      </c>
      <c r="I442" s="3">
        <v>45761</v>
      </c>
      <c r="J442" s="102">
        <v>45782</v>
      </c>
      <c r="K442" s="12">
        <v>45782</v>
      </c>
      <c r="L442" s="19" t="s">
        <v>731</v>
      </c>
      <c r="M442" s="35">
        <v>0</v>
      </c>
      <c r="N442"/>
      <c r="O442" t="s">
        <v>202</v>
      </c>
      <c r="P442" t="s">
        <v>340</v>
      </c>
      <c r="Q442" t="s">
        <v>217</v>
      </c>
    </row>
    <row r="443" spans="1:17" x14ac:dyDescent="0.3">
      <c r="A443" s="25">
        <v>1483</v>
      </c>
      <c r="B443" t="s">
        <v>212</v>
      </c>
      <c r="C443" t="s">
        <v>178</v>
      </c>
      <c r="D443" t="s">
        <v>633</v>
      </c>
      <c r="E443" s="121">
        <v>8278</v>
      </c>
      <c r="F443" s="13">
        <v>45744</v>
      </c>
      <c r="G443" s="24">
        <v>53591.199999999997</v>
      </c>
      <c r="H443" s="24">
        <v>49527.08</v>
      </c>
      <c r="I443" s="3">
        <v>45750</v>
      </c>
      <c r="J443" s="102">
        <v>45810</v>
      </c>
      <c r="K443" s="12">
        <v>45812</v>
      </c>
      <c r="L443" s="19" t="s">
        <v>731</v>
      </c>
      <c r="M443" s="36">
        <v>0</v>
      </c>
      <c r="N443" s="26"/>
      <c r="O443" t="s">
        <v>202</v>
      </c>
      <c r="P443" t="s">
        <v>328</v>
      </c>
      <c r="Q443" t="s">
        <v>207</v>
      </c>
    </row>
    <row r="444" spans="1:17" x14ac:dyDescent="0.3">
      <c r="A444" s="25">
        <v>1483</v>
      </c>
      <c r="B444" t="s">
        <v>212</v>
      </c>
      <c r="C444" t="s">
        <v>178</v>
      </c>
      <c r="D444" t="s">
        <v>633</v>
      </c>
      <c r="E444" s="121">
        <v>8279</v>
      </c>
      <c r="F444" s="13">
        <v>45744</v>
      </c>
      <c r="G444" s="24">
        <v>28856.799999999999</v>
      </c>
      <c r="H444" s="24">
        <v>27082.11</v>
      </c>
      <c r="I444" s="3">
        <v>45750</v>
      </c>
      <c r="J444" s="102">
        <v>45824</v>
      </c>
      <c r="K444" s="12">
        <v>45827</v>
      </c>
      <c r="L444" s="19" t="s">
        <v>731</v>
      </c>
      <c r="M444" s="36">
        <v>0</v>
      </c>
      <c r="N444" s="26"/>
      <c r="O444" t="s">
        <v>202</v>
      </c>
      <c r="P444" t="s">
        <v>328</v>
      </c>
      <c r="Q444" t="s">
        <v>207</v>
      </c>
    </row>
    <row r="445" spans="1:17" x14ac:dyDescent="0.3">
      <c r="A445" s="25">
        <v>1275</v>
      </c>
      <c r="B445" t="s">
        <v>193</v>
      </c>
      <c r="C445" t="s">
        <v>165</v>
      </c>
      <c r="D445" t="s">
        <v>391</v>
      </c>
      <c r="E445" s="121">
        <v>3940</v>
      </c>
      <c r="F445" s="13">
        <v>45744</v>
      </c>
      <c r="G445" s="24">
        <v>16767.240000000002</v>
      </c>
      <c r="H445" s="24">
        <v>15736.05</v>
      </c>
      <c r="I445" s="3">
        <v>45749</v>
      </c>
      <c r="J445" s="102">
        <v>45775</v>
      </c>
      <c r="K445" s="12">
        <v>45776</v>
      </c>
      <c r="L445" s="19" t="s">
        <v>731</v>
      </c>
      <c r="M445" s="36">
        <v>0</v>
      </c>
      <c r="N445" s="26"/>
      <c r="O445" t="s">
        <v>199</v>
      </c>
      <c r="P445" t="s">
        <v>376</v>
      </c>
      <c r="Q445" t="s">
        <v>207</v>
      </c>
    </row>
    <row r="446" spans="1:17" x14ac:dyDescent="0.3">
      <c r="A446" s="25">
        <v>1479</v>
      </c>
      <c r="B446" t="s">
        <v>193</v>
      </c>
      <c r="C446" t="s">
        <v>165</v>
      </c>
      <c r="D446" t="s">
        <v>629</v>
      </c>
      <c r="E446" s="121">
        <v>3941</v>
      </c>
      <c r="F446" s="13">
        <v>45744</v>
      </c>
      <c r="G446" s="24">
        <v>26040</v>
      </c>
      <c r="H446" s="24">
        <v>24438.54</v>
      </c>
      <c r="I446" s="3">
        <v>45749</v>
      </c>
      <c r="J446" s="102">
        <v>45782</v>
      </c>
      <c r="K446" s="12">
        <v>45785</v>
      </c>
      <c r="L446" s="19" t="s">
        <v>731</v>
      </c>
      <c r="M446" s="36">
        <v>0</v>
      </c>
      <c r="N446" s="26"/>
      <c r="O446" t="s">
        <v>201</v>
      </c>
      <c r="P446" t="s">
        <v>376</v>
      </c>
      <c r="Q446" t="s">
        <v>207</v>
      </c>
    </row>
    <row r="447" spans="1:17" x14ac:dyDescent="0.3">
      <c r="A447" s="25">
        <v>1455</v>
      </c>
      <c r="B447" t="s">
        <v>215</v>
      </c>
      <c r="C447" t="s">
        <v>60</v>
      </c>
      <c r="D447" t="s">
        <v>600</v>
      </c>
      <c r="E447" s="121">
        <v>8320</v>
      </c>
      <c r="F447" s="13">
        <v>45775</v>
      </c>
      <c r="G447" s="24">
        <v>54003.39</v>
      </c>
      <c r="H447" s="27">
        <v>47712</v>
      </c>
      <c r="I447" s="3">
        <v>45782</v>
      </c>
      <c r="J447" s="102">
        <v>45803</v>
      </c>
      <c r="K447" s="12">
        <v>45807</v>
      </c>
      <c r="L447" s="22" t="s">
        <v>731</v>
      </c>
      <c r="M447" s="42"/>
      <c r="N447" s="26"/>
      <c r="O447" t="s">
        <v>202</v>
      </c>
      <c r="P447" t="s">
        <v>373</v>
      </c>
      <c r="Q447" t="s">
        <v>213</v>
      </c>
    </row>
    <row r="448" spans="1:17" x14ac:dyDescent="0.3">
      <c r="A448" s="9">
        <v>1489</v>
      </c>
      <c r="B448" t="s">
        <v>193</v>
      </c>
      <c r="C448" t="s">
        <v>42</v>
      </c>
      <c r="D448" t="s">
        <v>639</v>
      </c>
      <c r="E448" s="121">
        <v>3994</v>
      </c>
      <c r="F448" s="13">
        <v>45775</v>
      </c>
      <c r="G448" s="11">
        <v>42812.21</v>
      </c>
      <c r="H448" s="24">
        <v>40179.26</v>
      </c>
      <c r="I448" s="3">
        <v>45779</v>
      </c>
      <c r="J448" s="102">
        <v>45810</v>
      </c>
      <c r="K448" s="12">
        <v>45810</v>
      </c>
      <c r="L448" s="19" t="s">
        <v>731</v>
      </c>
      <c r="M448" s="38"/>
      <c r="N448" s="15"/>
      <c r="O448" t="s">
        <v>201</v>
      </c>
      <c r="P448" t="s">
        <v>376</v>
      </c>
      <c r="Q448" t="s">
        <v>207</v>
      </c>
    </row>
    <row r="449" spans="1:17" x14ac:dyDescent="0.3">
      <c r="A449" s="25">
        <v>1478</v>
      </c>
      <c r="B449" t="s">
        <v>71</v>
      </c>
      <c r="C449" t="s">
        <v>198</v>
      </c>
      <c r="D449" t="s">
        <v>628</v>
      </c>
      <c r="E449" s="121">
        <v>8319</v>
      </c>
      <c r="F449" s="13">
        <v>45775</v>
      </c>
      <c r="G449" s="24">
        <v>76256.009999999995</v>
      </c>
      <c r="H449" s="24">
        <v>71566.27</v>
      </c>
      <c r="I449" s="3">
        <v>45782</v>
      </c>
      <c r="J449" s="102">
        <v>45810</v>
      </c>
      <c r="K449" s="12">
        <v>45813</v>
      </c>
      <c r="L449" s="19" t="s">
        <v>731</v>
      </c>
      <c r="M449" s="36"/>
      <c r="N449"/>
      <c r="O449" t="s">
        <v>199</v>
      </c>
      <c r="P449" t="s">
        <v>376</v>
      </c>
      <c r="Q449" t="s">
        <v>203</v>
      </c>
    </row>
    <row r="450" spans="1:17" x14ac:dyDescent="0.3">
      <c r="A450" s="9">
        <v>1391</v>
      </c>
      <c r="B450" t="s">
        <v>71</v>
      </c>
      <c r="C450" t="s">
        <v>196</v>
      </c>
      <c r="D450" t="s">
        <v>520</v>
      </c>
      <c r="E450" s="121">
        <v>4009</v>
      </c>
      <c r="F450" s="13">
        <v>45775</v>
      </c>
      <c r="G450" s="28">
        <v>81965.789999999994</v>
      </c>
      <c r="H450" s="40">
        <v>76924.89</v>
      </c>
      <c r="I450" s="3">
        <v>45786</v>
      </c>
      <c r="J450" s="102">
        <v>45803</v>
      </c>
      <c r="K450" s="12">
        <v>45803</v>
      </c>
      <c r="L450" s="1" t="s">
        <v>731</v>
      </c>
      <c r="M450" s="36">
        <v>0</v>
      </c>
      <c r="N450"/>
      <c r="O450" t="s">
        <v>199</v>
      </c>
      <c r="P450" t="s">
        <v>376</v>
      </c>
      <c r="Q450" t="s">
        <v>203</v>
      </c>
    </row>
    <row r="451" spans="1:17" x14ac:dyDescent="0.3">
      <c r="A451" s="9">
        <v>1391</v>
      </c>
      <c r="B451" t="s">
        <v>71</v>
      </c>
      <c r="C451" t="s">
        <v>196</v>
      </c>
      <c r="D451" t="s">
        <v>520</v>
      </c>
      <c r="E451" s="121">
        <v>4008</v>
      </c>
      <c r="F451" s="13">
        <v>45775</v>
      </c>
      <c r="G451" s="28">
        <v>60896.639999999999</v>
      </c>
      <c r="H451" s="40">
        <v>57151.5</v>
      </c>
      <c r="I451" s="3">
        <v>45786</v>
      </c>
      <c r="J451" s="102">
        <v>45803</v>
      </c>
      <c r="K451" s="12">
        <v>45803</v>
      </c>
      <c r="L451" s="1" t="s">
        <v>731</v>
      </c>
      <c r="M451" s="36">
        <v>0</v>
      </c>
      <c r="N451"/>
      <c r="O451" t="s">
        <v>199</v>
      </c>
      <c r="P451" t="s">
        <v>376</v>
      </c>
      <c r="Q451" t="s">
        <v>203</v>
      </c>
    </row>
    <row r="452" spans="1:17" x14ac:dyDescent="0.3">
      <c r="A452" s="9">
        <v>1391</v>
      </c>
      <c r="B452" t="s">
        <v>71</v>
      </c>
      <c r="C452" t="s">
        <v>196</v>
      </c>
      <c r="D452" t="s">
        <v>520</v>
      </c>
      <c r="E452" s="121">
        <v>4007</v>
      </c>
      <c r="F452" s="13">
        <v>45775</v>
      </c>
      <c r="G452" s="28">
        <v>13796.9</v>
      </c>
      <c r="H452" s="40">
        <v>12948.39</v>
      </c>
      <c r="I452" s="3">
        <v>45786</v>
      </c>
      <c r="J452" s="102">
        <v>45803</v>
      </c>
      <c r="K452" s="12">
        <v>45803</v>
      </c>
      <c r="L452" s="1" t="s">
        <v>731</v>
      </c>
      <c r="M452" s="36">
        <v>0</v>
      </c>
      <c r="N452"/>
      <c r="O452" t="s">
        <v>199</v>
      </c>
      <c r="P452" t="s">
        <v>376</v>
      </c>
      <c r="Q452" t="s">
        <v>203</v>
      </c>
    </row>
    <row r="453" spans="1:17" x14ac:dyDescent="0.3">
      <c r="A453" s="9">
        <v>1391</v>
      </c>
      <c r="B453" t="s">
        <v>71</v>
      </c>
      <c r="C453" t="s">
        <v>196</v>
      </c>
      <c r="D453" t="s">
        <v>520</v>
      </c>
      <c r="E453" s="121">
        <v>4006</v>
      </c>
      <c r="F453" s="13">
        <v>45775</v>
      </c>
      <c r="G453" s="28">
        <v>214882.68</v>
      </c>
      <c r="H453" s="40">
        <v>201667.4</v>
      </c>
      <c r="I453" s="3">
        <v>45786</v>
      </c>
      <c r="J453" s="102">
        <v>45803</v>
      </c>
      <c r="K453" s="12">
        <v>45803</v>
      </c>
      <c r="L453" s="1" t="s">
        <v>731</v>
      </c>
      <c r="M453" s="36">
        <v>0</v>
      </c>
      <c r="N453"/>
      <c r="O453" t="s">
        <v>199</v>
      </c>
      <c r="P453" t="s">
        <v>376</v>
      </c>
      <c r="Q453" t="s">
        <v>203</v>
      </c>
    </row>
    <row r="454" spans="1:17" x14ac:dyDescent="0.3">
      <c r="A454" s="9">
        <v>1391</v>
      </c>
      <c r="B454" t="s">
        <v>71</v>
      </c>
      <c r="C454" t="s">
        <v>196</v>
      </c>
      <c r="D454" t="s">
        <v>520</v>
      </c>
      <c r="E454" s="121">
        <v>4005</v>
      </c>
      <c r="F454" s="13">
        <v>45775</v>
      </c>
      <c r="G454" s="28">
        <v>129318.39</v>
      </c>
      <c r="H454" s="40">
        <v>121365.3</v>
      </c>
      <c r="I454" s="3">
        <v>45786</v>
      </c>
      <c r="J454" s="102">
        <v>45803</v>
      </c>
      <c r="K454" s="12">
        <v>45803</v>
      </c>
      <c r="L454" s="1" t="s">
        <v>731</v>
      </c>
      <c r="M454" s="36">
        <v>0</v>
      </c>
      <c r="N454"/>
      <c r="O454" t="s">
        <v>199</v>
      </c>
      <c r="P454" t="s">
        <v>376</v>
      </c>
      <c r="Q454" t="s">
        <v>203</v>
      </c>
    </row>
    <row r="455" spans="1:17" x14ac:dyDescent="0.3">
      <c r="A455" s="9">
        <v>1391</v>
      </c>
      <c r="B455" t="s">
        <v>71</v>
      </c>
      <c r="C455" t="s">
        <v>196</v>
      </c>
      <c r="D455" t="s">
        <v>520</v>
      </c>
      <c r="E455" s="121">
        <v>4004</v>
      </c>
      <c r="F455" s="13">
        <v>45775</v>
      </c>
      <c r="G455" s="28">
        <v>1453.86</v>
      </c>
      <c r="H455" s="40">
        <v>1364.45</v>
      </c>
      <c r="I455" s="3">
        <v>45786</v>
      </c>
      <c r="J455" s="102">
        <v>45803</v>
      </c>
      <c r="K455" s="12">
        <v>45803</v>
      </c>
      <c r="L455" s="1" t="s">
        <v>731</v>
      </c>
      <c r="M455" s="36">
        <v>0</v>
      </c>
      <c r="N455"/>
      <c r="O455" t="s">
        <v>199</v>
      </c>
      <c r="P455" t="s">
        <v>376</v>
      </c>
      <c r="Q455" t="s">
        <v>203</v>
      </c>
    </row>
    <row r="456" spans="1:17" x14ac:dyDescent="0.3">
      <c r="A456" s="9">
        <v>1391</v>
      </c>
      <c r="B456" t="s">
        <v>71</v>
      </c>
      <c r="C456" t="s">
        <v>196</v>
      </c>
      <c r="D456" t="s">
        <v>520</v>
      </c>
      <c r="E456" s="121">
        <v>4018</v>
      </c>
      <c r="F456" s="13">
        <v>45775</v>
      </c>
      <c r="G456" s="28">
        <v>29313.599999999999</v>
      </c>
      <c r="H456" s="40">
        <v>27510.82</v>
      </c>
      <c r="I456" s="3">
        <v>45789</v>
      </c>
      <c r="J456" s="102">
        <v>45803</v>
      </c>
      <c r="K456" s="12">
        <v>45804</v>
      </c>
      <c r="L456" s="1" t="s">
        <v>731</v>
      </c>
      <c r="M456" s="36">
        <v>0</v>
      </c>
      <c r="N456"/>
      <c r="O456" t="s">
        <v>199</v>
      </c>
      <c r="P456" t="s">
        <v>376</v>
      </c>
      <c r="Q456" t="s">
        <v>203</v>
      </c>
    </row>
    <row r="457" spans="1:17" x14ac:dyDescent="0.3">
      <c r="A457" s="9">
        <v>1391</v>
      </c>
      <c r="B457" t="s">
        <v>71</v>
      </c>
      <c r="C457" t="s">
        <v>196</v>
      </c>
      <c r="D457" t="s">
        <v>520</v>
      </c>
      <c r="E457" s="121">
        <v>4017</v>
      </c>
      <c r="F457" s="13">
        <v>45775</v>
      </c>
      <c r="G457" s="28">
        <v>175414.71</v>
      </c>
      <c r="H457" s="40">
        <v>164626.71</v>
      </c>
      <c r="I457" s="3">
        <v>45789</v>
      </c>
      <c r="J457" s="102">
        <v>45803</v>
      </c>
      <c r="K457" s="12">
        <v>45804</v>
      </c>
      <c r="L457" s="1" t="s">
        <v>731</v>
      </c>
      <c r="M457" s="36">
        <v>0</v>
      </c>
      <c r="N457"/>
      <c r="O457" t="s">
        <v>199</v>
      </c>
      <c r="P457" t="s">
        <v>376</v>
      </c>
      <c r="Q457" t="s">
        <v>203</v>
      </c>
    </row>
    <row r="458" spans="1:17" x14ac:dyDescent="0.3">
      <c r="A458" s="9">
        <v>1391</v>
      </c>
      <c r="B458" t="s">
        <v>71</v>
      </c>
      <c r="C458" t="s">
        <v>196</v>
      </c>
      <c r="D458" t="s">
        <v>520</v>
      </c>
      <c r="E458" s="121">
        <v>4033</v>
      </c>
      <c r="F458" s="13">
        <v>45775</v>
      </c>
      <c r="G458" s="40">
        <v>28225.18</v>
      </c>
      <c r="H458" s="40">
        <v>26489.33</v>
      </c>
      <c r="I458" s="3">
        <v>45792</v>
      </c>
      <c r="J458" s="102">
        <v>45803</v>
      </c>
      <c r="K458" s="12">
        <v>45807</v>
      </c>
      <c r="L458" s="1" t="s">
        <v>731</v>
      </c>
      <c r="M458" s="36">
        <v>0</v>
      </c>
      <c r="N458"/>
      <c r="O458" t="s">
        <v>199</v>
      </c>
      <c r="P458" t="s">
        <v>376</v>
      </c>
      <c r="Q458" t="s">
        <v>203</v>
      </c>
    </row>
    <row r="459" spans="1:17" x14ac:dyDescent="0.3">
      <c r="A459" s="9">
        <v>1391</v>
      </c>
      <c r="B459" t="s">
        <v>71</v>
      </c>
      <c r="C459" t="s">
        <v>196</v>
      </c>
      <c r="D459" t="s">
        <v>520</v>
      </c>
      <c r="E459" s="121">
        <v>4106</v>
      </c>
      <c r="F459" s="13">
        <v>45775</v>
      </c>
      <c r="G459" s="28">
        <v>244313.49</v>
      </c>
      <c r="H459" s="40">
        <v>229288.21</v>
      </c>
      <c r="I459" s="3">
        <v>45817</v>
      </c>
      <c r="J459" s="102">
        <v>45831</v>
      </c>
      <c r="K459" s="12">
        <v>45833</v>
      </c>
      <c r="L459" s="1" t="s">
        <v>731</v>
      </c>
      <c r="M459" s="36">
        <v>0</v>
      </c>
      <c r="N459"/>
      <c r="O459" t="s">
        <v>199</v>
      </c>
      <c r="P459" t="s">
        <v>376</v>
      </c>
      <c r="Q459" t="s">
        <v>203</v>
      </c>
    </row>
    <row r="460" spans="1:17" x14ac:dyDescent="0.3">
      <c r="A460" s="25">
        <v>1294</v>
      </c>
      <c r="B460" t="s">
        <v>71</v>
      </c>
      <c r="C460" t="s">
        <v>196</v>
      </c>
      <c r="D460" t="s">
        <v>413</v>
      </c>
      <c r="E460" s="121">
        <v>4012</v>
      </c>
      <c r="F460" s="13">
        <v>45775</v>
      </c>
      <c r="G460" s="28">
        <v>13537.5</v>
      </c>
      <c r="H460" s="28">
        <v>12704.95</v>
      </c>
      <c r="I460" s="3">
        <v>45786</v>
      </c>
      <c r="J460" s="102">
        <v>45803</v>
      </c>
      <c r="K460" s="12">
        <v>45803</v>
      </c>
      <c r="L460" s="1" t="s">
        <v>731</v>
      </c>
      <c r="M460" s="36">
        <v>0</v>
      </c>
      <c r="N460"/>
      <c r="O460" t="s">
        <v>199</v>
      </c>
      <c r="P460" t="s">
        <v>376</v>
      </c>
      <c r="Q460" t="s">
        <v>203</v>
      </c>
    </row>
    <row r="461" spans="1:17" x14ac:dyDescent="0.3">
      <c r="A461" s="25">
        <v>1294</v>
      </c>
      <c r="B461" t="s">
        <v>71</v>
      </c>
      <c r="C461" t="s">
        <v>196</v>
      </c>
      <c r="D461" t="s">
        <v>413</v>
      </c>
      <c r="E461" s="121">
        <v>4011</v>
      </c>
      <c r="F461" s="13">
        <v>45775</v>
      </c>
      <c r="G461" s="28">
        <v>26727.98</v>
      </c>
      <c r="H461" s="28">
        <v>25084.21</v>
      </c>
      <c r="I461" s="3">
        <v>45786</v>
      </c>
      <c r="J461" s="102">
        <v>45803</v>
      </c>
      <c r="K461" s="12">
        <v>45803</v>
      </c>
      <c r="L461" s="1" t="s">
        <v>731</v>
      </c>
      <c r="M461" s="36">
        <v>0</v>
      </c>
      <c r="N461"/>
      <c r="O461" t="s">
        <v>199</v>
      </c>
      <c r="P461" t="s">
        <v>376</v>
      </c>
      <c r="Q461" t="s">
        <v>203</v>
      </c>
    </row>
    <row r="462" spans="1:17" x14ac:dyDescent="0.3">
      <c r="A462" s="25">
        <v>1294</v>
      </c>
      <c r="B462" t="s">
        <v>71</v>
      </c>
      <c r="C462" t="s">
        <v>196</v>
      </c>
      <c r="D462" t="s">
        <v>413</v>
      </c>
      <c r="E462" s="121">
        <v>4010</v>
      </c>
      <c r="F462" s="13">
        <v>45775</v>
      </c>
      <c r="G462" s="28">
        <v>57366.400000000001</v>
      </c>
      <c r="H462" s="28">
        <v>53838.36</v>
      </c>
      <c r="I462" s="3">
        <v>45786</v>
      </c>
      <c r="J462" s="102">
        <v>45803</v>
      </c>
      <c r="K462" s="12">
        <v>45803</v>
      </c>
      <c r="L462" s="1" t="s">
        <v>731</v>
      </c>
      <c r="M462" s="36">
        <v>0</v>
      </c>
      <c r="N462"/>
      <c r="O462" t="s">
        <v>199</v>
      </c>
      <c r="P462" t="s">
        <v>376</v>
      </c>
      <c r="Q462" t="s">
        <v>203</v>
      </c>
    </row>
    <row r="463" spans="1:17" x14ac:dyDescent="0.3">
      <c r="A463" s="25">
        <v>1294</v>
      </c>
      <c r="B463" t="s">
        <v>71</v>
      </c>
      <c r="C463" t="s">
        <v>196</v>
      </c>
      <c r="D463" t="s">
        <v>413</v>
      </c>
      <c r="E463" s="121">
        <v>4003</v>
      </c>
      <c r="F463" s="13">
        <v>45775</v>
      </c>
      <c r="G463" s="28">
        <v>9175.0300000000007</v>
      </c>
      <c r="H463" s="28">
        <v>8610.76</v>
      </c>
      <c r="I463" s="3">
        <v>45786</v>
      </c>
      <c r="J463" s="102">
        <v>45803</v>
      </c>
      <c r="K463" s="12">
        <v>45803</v>
      </c>
      <c r="L463" s="1" t="s">
        <v>731</v>
      </c>
      <c r="M463" s="36">
        <v>0</v>
      </c>
      <c r="N463"/>
      <c r="O463" t="s">
        <v>199</v>
      </c>
      <c r="P463" t="s">
        <v>376</v>
      </c>
      <c r="Q463" t="s">
        <v>203</v>
      </c>
    </row>
    <row r="464" spans="1:17" x14ac:dyDescent="0.3">
      <c r="A464" s="25">
        <v>1294</v>
      </c>
      <c r="B464" t="s">
        <v>71</v>
      </c>
      <c r="C464" t="s">
        <v>196</v>
      </c>
      <c r="D464" t="s">
        <v>413</v>
      </c>
      <c r="E464" s="121">
        <v>4016</v>
      </c>
      <c r="F464" s="13">
        <v>45775</v>
      </c>
      <c r="G464" s="28">
        <v>83465.62</v>
      </c>
      <c r="H464" s="28">
        <v>78332.490000000005</v>
      </c>
      <c r="I464" s="3">
        <v>45789</v>
      </c>
      <c r="J464" s="102">
        <v>45803</v>
      </c>
      <c r="K464" s="12">
        <v>45804</v>
      </c>
      <c r="L464" s="1" t="s">
        <v>731</v>
      </c>
      <c r="M464" s="36">
        <v>0</v>
      </c>
      <c r="N464"/>
      <c r="O464" t="s">
        <v>199</v>
      </c>
      <c r="P464" t="s">
        <v>376</v>
      </c>
      <c r="Q464" t="s">
        <v>203</v>
      </c>
    </row>
    <row r="465" spans="1:17" x14ac:dyDescent="0.3">
      <c r="A465" s="25">
        <v>1294</v>
      </c>
      <c r="B465" t="s">
        <v>71</v>
      </c>
      <c r="C465" t="s">
        <v>196</v>
      </c>
      <c r="D465" t="s">
        <v>413</v>
      </c>
      <c r="E465" s="121">
        <v>4024</v>
      </c>
      <c r="F465" s="13">
        <v>45775</v>
      </c>
      <c r="G465" s="28">
        <v>3594.94</v>
      </c>
      <c r="H465" s="28">
        <v>3373.86</v>
      </c>
      <c r="I465" s="3">
        <v>45790</v>
      </c>
      <c r="J465" s="102">
        <v>45803</v>
      </c>
      <c r="K465" s="12">
        <v>45805</v>
      </c>
      <c r="L465" s="1" t="s">
        <v>731</v>
      </c>
      <c r="M465" s="36">
        <v>0</v>
      </c>
      <c r="N465"/>
      <c r="O465" t="s">
        <v>199</v>
      </c>
      <c r="P465" t="s">
        <v>376</v>
      </c>
      <c r="Q465" t="s">
        <v>203</v>
      </c>
    </row>
    <row r="466" spans="1:17" x14ac:dyDescent="0.3">
      <c r="A466" s="25">
        <v>1294</v>
      </c>
      <c r="B466" t="s">
        <v>71</v>
      </c>
      <c r="C466" t="s">
        <v>196</v>
      </c>
      <c r="D466" t="s">
        <v>413</v>
      </c>
      <c r="E466" s="121">
        <v>4023</v>
      </c>
      <c r="F466" s="13">
        <v>45775</v>
      </c>
      <c r="G466" s="28">
        <v>290646</v>
      </c>
      <c r="H466" s="28">
        <v>272771.27</v>
      </c>
      <c r="I466" s="3">
        <v>45790</v>
      </c>
      <c r="J466" s="102">
        <v>45803</v>
      </c>
      <c r="K466" s="12">
        <v>45805</v>
      </c>
      <c r="L466" s="1" t="s">
        <v>731</v>
      </c>
      <c r="M466" s="36">
        <v>0</v>
      </c>
      <c r="N466"/>
      <c r="O466" t="s">
        <v>199</v>
      </c>
      <c r="P466" t="s">
        <v>376</v>
      </c>
      <c r="Q466" t="s">
        <v>203</v>
      </c>
    </row>
    <row r="467" spans="1:17" x14ac:dyDescent="0.3">
      <c r="A467" s="25">
        <v>1294</v>
      </c>
      <c r="B467" t="s">
        <v>71</v>
      </c>
      <c r="C467" t="s">
        <v>196</v>
      </c>
      <c r="D467" t="s">
        <v>413</v>
      </c>
      <c r="E467" s="121">
        <v>4025</v>
      </c>
      <c r="F467" s="13">
        <v>45775</v>
      </c>
      <c r="G467" s="28">
        <v>41842.06</v>
      </c>
      <c r="H467" s="40">
        <v>39268.769999999997</v>
      </c>
      <c r="I467" s="3">
        <v>45791</v>
      </c>
      <c r="J467" s="102">
        <v>45803</v>
      </c>
      <c r="K467" s="12">
        <v>45806</v>
      </c>
      <c r="L467" s="1" t="s">
        <v>731</v>
      </c>
      <c r="M467" s="36">
        <v>0</v>
      </c>
      <c r="N467"/>
      <c r="O467" t="s">
        <v>199</v>
      </c>
      <c r="P467" t="s">
        <v>376</v>
      </c>
      <c r="Q467" t="s">
        <v>203</v>
      </c>
    </row>
    <row r="468" spans="1:17" x14ac:dyDescent="0.3">
      <c r="A468" s="25">
        <v>1294</v>
      </c>
      <c r="B468" t="s">
        <v>71</v>
      </c>
      <c r="C468" t="s">
        <v>196</v>
      </c>
      <c r="D468" t="s">
        <v>413</v>
      </c>
      <c r="E468" s="121">
        <v>4034</v>
      </c>
      <c r="F468" s="13">
        <v>45775</v>
      </c>
      <c r="G468" s="40">
        <v>120977.01</v>
      </c>
      <c r="H468" s="40">
        <v>113536.92</v>
      </c>
      <c r="I468" s="3">
        <v>45792</v>
      </c>
      <c r="J468" s="102">
        <v>45803</v>
      </c>
      <c r="K468" s="12">
        <v>45807</v>
      </c>
      <c r="L468" s="1" t="s">
        <v>731</v>
      </c>
      <c r="M468" s="36">
        <v>0</v>
      </c>
      <c r="N468"/>
      <c r="O468" t="s">
        <v>199</v>
      </c>
      <c r="P468" t="s">
        <v>376</v>
      </c>
      <c r="Q468" t="s">
        <v>203</v>
      </c>
    </row>
    <row r="469" spans="1:17" x14ac:dyDescent="0.3">
      <c r="A469" s="25">
        <v>1294</v>
      </c>
      <c r="B469" t="s">
        <v>71</v>
      </c>
      <c r="C469" t="s">
        <v>196</v>
      </c>
      <c r="D469" t="s">
        <v>413</v>
      </c>
      <c r="E469" s="121">
        <v>4032</v>
      </c>
      <c r="F469" s="13">
        <v>45775</v>
      </c>
      <c r="G469" s="40">
        <v>189744</v>
      </c>
      <c r="H469" s="40">
        <v>178074.74</v>
      </c>
      <c r="I469" s="3">
        <v>45792</v>
      </c>
      <c r="J469" s="102">
        <v>45803</v>
      </c>
      <c r="K469" s="12">
        <v>45807</v>
      </c>
      <c r="L469" s="1" t="s">
        <v>731</v>
      </c>
      <c r="M469" s="36">
        <v>0</v>
      </c>
      <c r="N469"/>
      <c r="O469" t="s">
        <v>199</v>
      </c>
      <c r="P469" t="s">
        <v>376</v>
      </c>
      <c r="Q469" t="s">
        <v>203</v>
      </c>
    </row>
    <row r="470" spans="1:17" x14ac:dyDescent="0.3">
      <c r="A470" s="25">
        <v>1294</v>
      </c>
      <c r="B470" t="s">
        <v>71</v>
      </c>
      <c r="C470" t="s">
        <v>196</v>
      </c>
      <c r="D470" t="s">
        <v>413</v>
      </c>
      <c r="E470" s="121">
        <v>4037</v>
      </c>
      <c r="F470" s="13">
        <v>45775</v>
      </c>
      <c r="G470" s="40">
        <v>76996.19</v>
      </c>
      <c r="H470" s="40">
        <v>72260.929999999993</v>
      </c>
      <c r="I470" s="3">
        <v>45797</v>
      </c>
      <c r="J470" s="102">
        <v>45803</v>
      </c>
      <c r="K470" s="12">
        <v>45807</v>
      </c>
      <c r="L470" s="1" t="s">
        <v>731</v>
      </c>
      <c r="M470" s="36">
        <v>0</v>
      </c>
      <c r="N470"/>
      <c r="O470" t="s">
        <v>199</v>
      </c>
      <c r="P470" t="s">
        <v>376</v>
      </c>
      <c r="Q470" t="s">
        <v>203</v>
      </c>
    </row>
    <row r="471" spans="1:17" x14ac:dyDescent="0.3">
      <c r="A471" s="25">
        <v>1294</v>
      </c>
      <c r="B471" t="s">
        <v>71</v>
      </c>
      <c r="C471" t="s">
        <v>196</v>
      </c>
      <c r="D471" t="s">
        <v>413</v>
      </c>
      <c r="E471" s="121">
        <v>4036</v>
      </c>
      <c r="F471" s="13">
        <v>45775</v>
      </c>
      <c r="G471" s="28">
        <v>6831.35</v>
      </c>
      <c r="H471" s="28">
        <v>6411.22</v>
      </c>
      <c r="I471" s="3">
        <v>45797</v>
      </c>
      <c r="J471" s="102">
        <v>45810</v>
      </c>
      <c r="K471" s="12">
        <v>45812</v>
      </c>
      <c r="L471" s="1" t="s">
        <v>731</v>
      </c>
      <c r="M471" s="36">
        <v>0</v>
      </c>
      <c r="N471"/>
      <c r="O471" t="s">
        <v>199</v>
      </c>
      <c r="P471" t="s">
        <v>376</v>
      </c>
      <c r="Q471" t="s">
        <v>203</v>
      </c>
    </row>
    <row r="472" spans="1:17" x14ac:dyDescent="0.3">
      <c r="A472" s="25">
        <v>1294</v>
      </c>
      <c r="B472" t="s">
        <v>71</v>
      </c>
      <c r="C472" t="s">
        <v>196</v>
      </c>
      <c r="D472" t="s">
        <v>413</v>
      </c>
      <c r="E472" s="121">
        <v>4058</v>
      </c>
      <c r="F472" s="13">
        <v>45775</v>
      </c>
      <c r="G472" s="28">
        <v>965.79</v>
      </c>
      <c r="H472" s="28">
        <v>906.39</v>
      </c>
      <c r="I472" s="3">
        <v>45799</v>
      </c>
      <c r="J472" s="102">
        <v>45810</v>
      </c>
      <c r="K472" s="12">
        <v>45814</v>
      </c>
      <c r="L472" s="1" t="s">
        <v>731</v>
      </c>
      <c r="M472" s="36">
        <v>0</v>
      </c>
      <c r="N472"/>
      <c r="O472" t="s">
        <v>199</v>
      </c>
      <c r="P472" t="s">
        <v>376</v>
      </c>
      <c r="Q472" t="s">
        <v>203</v>
      </c>
    </row>
    <row r="473" spans="1:17" x14ac:dyDescent="0.3">
      <c r="A473" s="25">
        <v>1285</v>
      </c>
      <c r="B473" t="s">
        <v>71</v>
      </c>
      <c r="C473" t="s">
        <v>196</v>
      </c>
      <c r="D473" t="s">
        <v>404</v>
      </c>
      <c r="E473" s="121">
        <v>3989</v>
      </c>
      <c r="F473" s="13">
        <v>45775</v>
      </c>
      <c r="G473" s="24">
        <v>7089.08</v>
      </c>
      <c r="H473" s="24">
        <v>6653.1</v>
      </c>
      <c r="I473" s="3">
        <v>45775</v>
      </c>
      <c r="J473" s="102">
        <v>45803</v>
      </c>
      <c r="K473" s="12">
        <v>45805</v>
      </c>
      <c r="L473" s="1" t="s">
        <v>731</v>
      </c>
      <c r="M473" s="36">
        <v>0</v>
      </c>
      <c r="N473" s="26"/>
      <c r="O473" t="s">
        <v>199</v>
      </c>
      <c r="P473" t="s">
        <v>376</v>
      </c>
      <c r="Q473" t="s">
        <v>203</v>
      </c>
    </row>
    <row r="474" spans="1:17" x14ac:dyDescent="0.3">
      <c r="A474" s="25">
        <v>1285</v>
      </c>
      <c r="B474" t="s">
        <v>71</v>
      </c>
      <c r="C474" t="s">
        <v>196</v>
      </c>
      <c r="D474" t="s">
        <v>404</v>
      </c>
      <c r="E474" s="121">
        <v>3988</v>
      </c>
      <c r="F474" s="13">
        <v>45775</v>
      </c>
      <c r="G474" s="24">
        <v>25534.32</v>
      </c>
      <c r="H474" s="24">
        <v>23963.96</v>
      </c>
      <c r="I474" s="3">
        <v>45775</v>
      </c>
      <c r="J474" s="102">
        <v>45803</v>
      </c>
      <c r="K474" s="12">
        <v>45805</v>
      </c>
      <c r="L474" s="1" t="s">
        <v>731</v>
      </c>
      <c r="M474" s="36">
        <v>0</v>
      </c>
      <c r="N474" s="26"/>
      <c r="O474" t="s">
        <v>199</v>
      </c>
      <c r="P474" t="s">
        <v>376</v>
      </c>
      <c r="Q474" t="s">
        <v>203</v>
      </c>
    </row>
    <row r="475" spans="1:17" ht="12.75" customHeight="1" x14ac:dyDescent="0.3">
      <c r="A475" s="25">
        <v>1292</v>
      </c>
      <c r="B475" t="s">
        <v>71</v>
      </c>
      <c r="C475" t="s">
        <v>200</v>
      </c>
      <c r="D475" t="s">
        <v>411</v>
      </c>
      <c r="E475" s="118">
        <v>3999</v>
      </c>
      <c r="F475" s="13">
        <v>45775</v>
      </c>
      <c r="G475" s="24">
        <v>18585.560000000001</v>
      </c>
      <c r="H475" s="24">
        <v>17442.55</v>
      </c>
      <c r="I475" s="3">
        <v>45782</v>
      </c>
      <c r="J475" s="102">
        <v>45796</v>
      </c>
      <c r="K475" s="12">
        <v>45797</v>
      </c>
      <c r="L475" s="1" t="s">
        <v>731</v>
      </c>
      <c r="M475" s="36">
        <v>0</v>
      </c>
      <c r="N475"/>
      <c r="O475" t="s">
        <v>199</v>
      </c>
      <c r="P475" t="s">
        <v>376</v>
      </c>
      <c r="Q475" t="s">
        <v>203</v>
      </c>
    </row>
    <row r="476" spans="1:17" ht="12.75" customHeight="1" x14ac:dyDescent="0.3">
      <c r="A476" s="25">
        <v>1292</v>
      </c>
      <c r="B476" t="s">
        <v>71</v>
      </c>
      <c r="C476" t="s">
        <v>200</v>
      </c>
      <c r="D476" t="s">
        <v>411</v>
      </c>
      <c r="E476" s="118">
        <v>4001</v>
      </c>
      <c r="F476" s="13">
        <v>45775</v>
      </c>
      <c r="G476" s="24">
        <v>14604.87</v>
      </c>
      <c r="H476" s="24">
        <v>13706.67</v>
      </c>
      <c r="I476" s="3">
        <v>45782</v>
      </c>
      <c r="J476" s="102">
        <v>45796</v>
      </c>
      <c r="K476" s="12">
        <v>45797</v>
      </c>
      <c r="L476" s="1" t="s">
        <v>731</v>
      </c>
      <c r="M476" s="36">
        <v>0</v>
      </c>
      <c r="N476"/>
      <c r="O476" t="s">
        <v>199</v>
      </c>
      <c r="P476" t="s">
        <v>376</v>
      </c>
      <c r="Q476" t="s">
        <v>203</v>
      </c>
    </row>
    <row r="477" spans="1:17" ht="12.75" customHeight="1" x14ac:dyDescent="0.3">
      <c r="A477" s="25">
        <v>1292</v>
      </c>
      <c r="B477" t="s">
        <v>71</v>
      </c>
      <c r="C477" t="s">
        <v>200</v>
      </c>
      <c r="D477" t="s">
        <v>411</v>
      </c>
      <c r="E477" s="118">
        <v>4000</v>
      </c>
      <c r="F477" s="13">
        <v>45775</v>
      </c>
      <c r="G477" s="24">
        <v>11844.08</v>
      </c>
      <c r="H477" s="24">
        <v>11115.67</v>
      </c>
      <c r="I477" s="3">
        <v>45782</v>
      </c>
      <c r="J477" s="102">
        <v>45796</v>
      </c>
      <c r="K477" s="12">
        <v>45797</v>
      </c>
      <c r="L477" s="1" t="s">
        <v>731</v>
      </c>
      <c r="M477" s="36">
        <v>0</v>
      </c>
      <c r="N477"/>
      <c r="O477" t="s">
        <v>199</v>
      </c>
      <c r="P477" t="s">
        <v>376</v>
      </c>
      <c r="Q477" t="s">
        <v>203</v>
      </c>
    </row>
    <row r="478" spans="1:17" ht="12.75" customHeight="1" x14ac:dyDescent="0.3">
      <c r="A478" s="25">
        <v>1292</v>
      </c>
      <c r="B478" t="s">
        <v>71</v>
      </c>
      <c r="C478" t="s">
        <v>200</v>
      </c>
      <c r="D478" t="s">
        <v>411</v>
      </c>
      <c r="E478" s="121">
        <v>4002</v>
      </c>
      <c r="F478" s="13">
        <v>45775</v>
      </c>
      <c r="G478" s="24">
        <v>31008</v>
      </c>
      <c r="H478" s="24">
        <v>29101.01</v>
      </c>
      <c r="I478" s="3">
        <v>45785</v>
      </c>
      <c r="J478" s="102">
        <v>45796</v>
      </c>
      <c r="K478" s="12">
        <v>45800</v>
      </c>
      <c r="L478" s="1" t="s">
        <v>731</v>
      </c>
      <c r="M478" s="36">
        <v>0</v>
      </c>
      <c r="N478"/>
      <c r="O478" t="s">
        <v>199</v>
      </c>
      <c r="P478" t="s">
        <v>376</v>
      </c>
      <c r="Q478" t="s">
        <v>203</v>
      </c>
    </row>
    <row r="479" spans="1:17" ht="12.75" customHeight="1" x14ac:dyDescent="0.3">
      <c r="A479" s="25">
        <v>1292</v>
      </c>
      <c r="B479" t="s">
        <v>71</v>
      </c>
      <c r="C479" t="s">
        <v>200</v>
      </c>
      <c r="D479" t="s">
        <v>411</v>
      </c>
      <c r="E479" s="121">
        <v>4014</v>
      </c>
      <c r="F479" s="13">
        <v>45775</v>
      </c>
      <c r="G479" s="24">
        <v>34633.19</v>
      </c>
      <c r="H479" s="24">
        <v>32503.25</v>
      </c>
      <c r="I479" s="3">
        <v>45786</v>
      </c>
      <c r="J479" s="102">
        <v>45803</v>
      </c>
      <c r="K479" s="12">
        <v>45803</v>
      </c>
      <c r="L479" s="1" t="s">
        <v>731</v>
      </c>
      <c r="M479" s="36">
        <v>0</v>
      </c>
      <c r="N479"/>
      <c r="O479" t="s">
        <v>199</v>
      </c>
      <c r="P479" t="s">
        <v>376</v>
      </c>
      <c r="Q479" t="s">
        <v>203</v>
      </c>
    </row>
    <row r="480" spans="1:17" ht="12.75" customHeight="1" x14ac:dyDescent="0.3">
      <c r="A480" s="25">
        <v>1292</v>
      </c>
      <c r="B480" t="s">
        <v>71</v>
      </c>
      <c r="C480" t="s">
        <v>200</v>
      </c>
      <c r="D480" t="s">
        <v>411</v>
      </c>
      <c r="E480" s="121">
        <v>4013</v>
      </c>
      <c r="F480" s="13">
        <v>45775</v>
      </c>
      <c r="G480" s="24">
        <v>1470.52</v>
      </c>
      <c r="H480" s="24">
        <v>1380.08</v>
      </c>
      <c r="I480" s="3">
        <v>45786</v>
      </c>
      <c r="J480" s="102">
        <v>45803</v>
      </c>
      <c r="K480" s="12">
        <v>45803</v>
      </c>
      <c r="L480" s="1" t="s">
        <v>731</v>
      </c>
      <c r="M480" s="36">
        <v>0</v>
      </c>
      <c r="N480"/>
      <c r="O480" t="s">
        <v>199</v>
      </c>
      <c r="P480" t="s">
        <v>376</v>
      </c>
      <c r="Q480" t="s">
        <v>203</v>
      </c>
    </row>
    <row r="481" spans="1:17" ht="12.75" customHeight="1" x14ac:dyDescent="0.3">
      <c r="A481" s="25">
        <v>1292</v>
      </c>
      <c r="B481" t="s">
        <v>71</v>
      </c>
      <c r="C481" t="s">
        <v>200</v>
      </c>
      <c r="D481" t="s">
        <v>411</v>
      </c>
      <c r="E481" s="121">
        <v>4019</v>
      </c>
      <c r="F481" s="13">
        <v>45775</v>
      </c>
      <c r="G481" s="27">
        <v>134253.73000000001</v>
      </c>
      <c r="H481" s="27">
        <v>125997.12</v>
      </c>
      <c r="I481" s="3">
        <v>45789</v>
      </c>
      <c r="J481" s="102">
        <v>45803</v>
      </c>
      <c r="K481" s="12">
        <v>45807</v>
      </c>
      <c r="L481" s="1" t="s">
        <v>731</v>
      </c>
      <c r="M481" s="36">
        <v>0</v>
      </c>
      <c r="N481"/>
      <c r="O481" t="s">
        <v>199</v>
      </c>
      <c r="P481" t="s">
        <v>376</v>
      </c>
      <c r="Q481" t="s">
        <v>203</v>
      </c>
    </row>
    <row r="482" spans="1:17" ht="12.75" customHeight="1" x14ac:dyDescent="0.3">
      <c r="A482" s="25">
        <v>1292</v>
      </c>
      <c r="B482" t="s">
        <v>71</v>
      </c>
      <c r="C482" t="s">
        <v>200</v>
      </c>
      <c r="D482" t="s">
        <v>411</v>
      </c>
      <c r="E482" s="121">
        <v>4022</v>
      </c>
      <c r="F482" s="13">
        <v>45775</v>
      </c>
      <c r="G482" s="24">
        <v>55680</v>
      </c>
      <c r="H482" s="27">
        <v>52255.68</v>
      </c>
      <c r="I482" s="3">
        <v>45789</v>
      </c>
      <c r="J482" s="102">
        <v>45803</v>
      </c>
      <c r="K482" s="12">
        <v>45804</v>
      </c>
      <c r="L482" s="1" t="s">
        <v>731</v>
      </c>
      <c r="M482" s="36">
        <v>0</v>
      </c>
      <c r="N482"/>
      <c r="O482" t="s">
        <v>199</v>
      </c>
      <c r="P482" t="s">
        <v>376</v>
      </c>
      <c r="Q482" t="s">
        <v>203</v>
      </c>
    </row>
    <row r="483" spans="1:17" ht="12.75" customHeight="1" x14ac:dyDescent="0.3">
      <c r="A483" s="25">
        <v>1292</v>
      </c>
      <c r="B483" t="s">
        <v>71</v>
      </c>
      <c r="C483" t="s">
        <v>200</v>
      </c>
      <c r="D483" t="s">
        <v>411</v>
      </c>
      <c r="E483" s="121">
        <v>4020</v>
      </c>
      <c r="F483" s="13">
        <v>45775</v>
      </c>
      <c r="G483" s="24">
        <v>46853.99</v>
      </c>
      <c r="H483" s="27">
        <v>43972.47</v>
      </c>
      <c r="I483" s="3">
        <v>45789</v>
      </c>
      <c r="J483" s="102">
        <v>45803</v>
      </c>
      <c r="K483" s="12">
        <v>45804</v>
      </c>
      <c r="L483" s="1" t="s">
        <v>731</v>
      </c>
      <c r="M483" s="36">
        <v>0</v>
      </c>
      <c r="N483"/>
      <c r="O483" t="s">
        <v>199</v>
      </c>
      <c r="P483" t="s">
        <v>376</v>
      </c>
      <c r="Q483" t="s">
        <v>203</v>
      </c>
    </row>
    <row r="484" spans="1:17" ht="12.75" customHeight="1" x14ac:dyDescent="0.3">
      <c r="A484" s="25">
        <v>1292</v>
      </c>
      <c r="B484" t="s">
        <v>71</v>
      </c>
      <c r="C484" t="s">
        <v>200</v>
      </c>
      <c r="D484" t="s">
        <v>411</v>
      </c>
      <c r="E484" s="121">
        <v>4027</v>
      </c>
      <c r="F484" s="13">
        <v>45775</v>
      </c>
      <c r="G484" s="24">
        <v>61996</v>
      </c>
      <c r="H484" s="27">
        <v>58183.25</v>
      </c>
      <c r="I484" s="3">
        <v>45791</v>
      </c>
      <c r="J484" s="102">
        <v>45803</v>
      </c>
      <c r="K484" s="12">
        <v>45806</v>
      </c>
      <c r="L484" s="1" t="s">
        <v>731</v>
      </c>
      <c r="M484" s="36">
        <v>0</v>
      </c>
      <c r="N484"/>
      <c r="O484" t="s">
        <v>199</v>
      </c>
      <c r="P484" t="s">
        <v>376</v>
      </c>
      <c r="Q484" t="s">
        <v>203</v>
      </c>
    </row>
    <row r="485" spans="1:17" ht="12.75" customHeight="1" x14ac:dyDescent="0.3">
      <c r="A485" s="25">
        <v>1292</v>
      </c>
      <c r="B485" t="s">
        <v>71</v>
      </c>
      <c r="C485" t="s">
        <v>200</v>
      </c>
      <c r="D485" t="s">
        <v>411</v>
      </c>
      <c r="E485" s="121">
        <v>4026</v>
      </c>
      <c r="F485" s="13">
        <v>45775</v>
      </c>
      <c r="G485" s="24">
        <v>60707.37</v>
      </c>
      <c r="H485" s="27">
        <v>56973.87</v>
      </c>
      <c r="I485" s="3">
        <v>45791</v>
      </c>
      <c r="J485" s="102">
        <v>45803</v>
      </c>
      <c r="K485" s="12">
        <v>45806</v>
      </c>
      <c r="L485" s="1" t="s">
        <v>731</v>
      </c>
      <c r="M485" s="36">
        <v>0</v>
      </c>
      <c r="N485"/>
      <c r="O485" t="s">
        <v>199</v>
      </c>
      <c r="P485" t="s">
        <v>376</v>
      </c>
      <c r="Q485" t="s">
        <v>203</v>
      </c>
    </row>
    <row r="486" spans="1:17" ht="12.75" customHeight="1" x14ac:dyDescent="0.3">
      <c r="A486" s="25">
        <v>1292</v>
      </c>
      <c r="B486" t="s">
        <v>71</v>
      </c>
      <c r="C486" t="s">
        <v>200</v>
      </c>
      <c r="D486" t="s">
        <v>411</v>
      </c>
      <c r="E486" s="121">
        <v>4132</v>
      </c>
      <c r="F486" s="13">
        <v>45775</v>
      </c>
      <c r="G486" s="24">
        <v>12330.05</v>
      </c>
      <c r="H486" s="24">
        <v>11571.75</v>
      </c>
      <c r="I486" s="3">
        <v>45824</v>
      </c>
      <c r="J486" s="102">
        <v>45839</v>
      </c>
      <c r="K486" s="12">
        <v>45839</v>
      </c>
      <c r="L486" s="1" t="s">
        <v>731</v>
      </c>
      <c r="M486" s="36">
        <v>0</v>
      </c>
      <c r="N486"/>
      <c r="O486" t="s">
        <v>199</v>
      </c>
      <c r="P486" t="s">
        <v>376</v>
      </c>
      <c r="Q486" t="s">
        <v>203</v>
      </c>
    </row>
    <row r="487" spans="1:17" ht="12.75" customHeight="1" x14ac:dyDescent="0.3">
      <c r="A487" s="25">
        <v>1484</v>
      </c>
      <c r="B487" t="s">
        <v>71</v>
      </c>
      <c r="C487" t="s">
        <v>200</v>
      </c>
      <c r="D487" t="s">
        <v>634</v>
      </c>
      <c r="E487" s="121">
        <v>4021</v>
      </c>
      <c r="F487" s="13">
        <v>45775</v>
      </c>
      <c r="G487" s="24">
        <v>36570.74</v>
      </c>
      <c r="H487" s="27">
        <v>34321.64</v>
      </c>
      <c r="I487" s="3">
        <v>45789</v>
      </c>
      <c r="J487" s="102">
        <v>45803</v>
      </c>
      <c r="K487" s="12">
        <v>45804</v>
      </c>
      <c r="L487" s="1" t="s">
        <v>731</v>
      </c>
      <c r="M487" s="36">
        <v>0</v>
      </c>
      <c r="N487"/>
      <c r="O487" t="s">
        <v>201</v>
      </c>
      <c r="P487" t="s">
        <v>376</v>
      </c>
      <c r="Q487" t="s">
        <v>203</v>
      </c>
    </row>
    <row r="488" spans="1:17" ht="12.75" customHeight="1" x14ac:dyDescent="0.3">
      <c r="A488" s="25">
        <v>1398</v>
      </c>
      <c r="B488" t="s">
        <v>212</v>
      </c>
      <c r="C488" t="s">
        <v>169</v>
      </c>
      <c r="D488" t="s">
        <v>528</v>
      </c>
      <c r="E488" s="118">
        <v>8337</v>
      </c>
      <c r="F488" s="13">
        <v>45775</v>
      </c>
      <c r="G488" s="27">
        <v>5562</v>
      </c>
      <c r="H488" s="24">
        <v>5219.9399999999996</v>
      </c>
      <c r="I488" s="3">
        <v>45793</v>
      </c>
      <c r="J488" s="102">
        <v>45824</v>
      </c>
      <c r="K488" s="12">
        <v>45824</v>
      </c>
      <c r="L488" s="19" t="s">
        <v>731</v>
      </c>
      <c r="M488" s="36">
        <v>0</v>
      </c>
      <c r="N488"/>
      <c r="O488" t="s">
        <v>202</v>
      </c>
      <c r="P488" t="s">
        <v>328</v>
      </c>
      <c r="Q488" t="s">
        <v>207</v>
      </c>
    </row>
    <row r="489" spans="1:17" x14ac:dyDescent="0.3">
      <c r="A489" s="25">
        <v>1398</v>
      </c>
      <c r="B489" t="s">
        <v>212</v>
      </c>
      <c r="C489" t="s">
        <v>169</v>
      </c>
      <c r="D489" t="s">
        <v>528</v>
      </c>
      <c r="E489" s="118">
        <v>8318</v>
      </c>
      <c r="F489" s="13">
        <v>45775</v>
      </c>
      <c r="G489" s="27">
        <v>48000</v>
      </c>
      <c r="H489" s="24">
        <v>45048</v>
      </c>
      <c r="I489" s="3">
        <v>45782</v>
      </c>
      <c r="J489" s="102">
        <v>45796</v>
      </c>
      <c r="K489" s="12">
        <v>45796</v>
      </c>
      <c r="L489" s="19" t="s">
        <v>731</v>
      </c>
      <c r="M489" s="36">
        <v>0</v>
      </c>
      <c r="N489"/>
      <c r="O489" t="s">
        <v>202</v>
      </c>
      <c r="P489" t="s">
        <v>328</v>
      </c>
      <c r="Q489" t="s">
        <v>207</v>
      </c>
    </row>
    <row r="490" spans="1:17" x14ac:dyDescent="0.3">
      <c r="A490" s="25">
        <v>1398</v>
      </c>
      <c r="B490" t="s">
        <v>212</v>
      </c>
      <c r="C490" t="s">
        <v>169</v>
      </c>
      <c r="D490" t="s">
        <v>528</v>
      </c>
      <c r="E490" s="118">
        <v>8328</v>
      </c>
      <c r="F490" s="13">
        <v>45775</v>
      </c>
      <c r="G490" s="27">
        <v>26093.54</v>
      </c>
      <c r="H490" s="24">
        <v>24488.79</v>
      </c>
      <c r="I490" s="3">
        <v>45785</v>
      </c>
      <c r="J490" s="102">
        <v>45817</v>
      </c>
      <c r="K490" s="12">
        <v>45817</v>
      </c>
      <c r="L490" s="19" t="s">
        <v>731</v>
      </c>
      <c r="M490" s="36">
        <v>0</v>
      </c>
      <c r="N490"/>
      <c r="O490" t="s">
        <v>202</v>
      </c>
      <c r="P490" t="s">
        <v>328</v>
      </c>
      <c r="Q490" t="s">
        <v>207</v>
      </c>
    </row>
    <row r="491" spans="1:17" x14ac:dyDescent="0.3">
      <c r="A491" s="25">
        <v>1398</v>
      </c>
      <c r="B491" t="s">
        <v>212</v>
      </c>
      <c r="C491" t="s">
        <v>169</v>
      </c>
      <c r="D491" t="s">
        <v>528</v>
      </c>
      <c r="E491" s="118">
        <v>8392</v>
      </c>
      <c r="F491" s="13">
        <v>45775</v>
      </c>
      <c r="G491" s="27">
        <v>75919.81</v>
      </c>
      <c r="H491" s="24">
        <v>71250.740000000005</v>
      </c>
      <c r="I491" s="3">
        <v>45833</v>
      </c>
      <c r="J491" s="102">
        <v>45894</v>
      </c>
      <c r="K491" s="12">
        <v>45894</v>
      </c>
      <c r="L491" s="19" t="s">
        <v>731</v>
      </c>
      <c r="M491" s="36">
        <v>0</v>
      </c>
      <c r="N491"/>
      <c r="O491" t="s">
        <v>202</v>
      </c>
      <c r="P491" t="s">
        <v>328</v>
      </c>
      <c r="Q491" t="s">
        <v>207</v>
      </c>
    </row>
    <row r="492" spans="1:17" x14ac:dyDescent="0.3">
      <c r="A492" s="9">
        <v>1393</v>
      </c>
      <c r="B492" t="s">
        <v>215</v>
      </c>
      <c r="C492" t="s">
        <v>348</v>
      </c>
      <c r="D492" t="s">
        <v>522</v>
      </c>
      <c r="E492" s="121">
        <v>8343</v>
      </c>
      <c r="F492" s="13">
        <v>45775</v>
      </c>
      <c r="G492" s="11">
        <v>446627.93</v>
      </c>
      <c r="H492" s="11">
        <v>400625.25</v>
      </c>
      <c r="I492" s="3">
        <v>45799</v>
      </c>
      <c r="J492" s="102">
        <v>45817</v>
      </c>
      <c r="K492" s="5">
        <v>45819</v>
      </c>
      <c r="L492" s="19" t="s">
        <v>731</v>
      </c>
      <c r="M492" s="35"/>
      <c r="N492" s="15"/>
      <c r="O492" t="s">
        <v>202</v>
      </c>
      <c r="P492" t="s">
        <v>340</v>
      </c>
      <c r="Q492" t="s">
        <v>213</v>
      </c>
    </row>
    <row r="493" spans="1:17" x14ac:dyDescent="0.3">
      <c r="A493" s="9">
        <v>1476</v>
      </c>
      <c r="B493" t="s">
        <v>215</v>
      </c>
      <c r="C493" t="s">
        <v>46</v>
      </c>
      <c r="D493" t="s">
        <v>626</v>
      </c>
      <c r="E493" s="118">
        <v>8326</v>
      </c>
      <c r="F493" s="13">
        <v>45775</v>
      </c>
      <c r="G493" s="24">
        <v>318628.40000000002</v>
      </c>
      <c r="H493" s="24">
        <v>285809.68</v>
      </c>
      <c r="I493" s="3">
        <v>45783</v>
      </c>
      <c r="J493" s="102">
        <v>45796</v>
      </c>
      <c r="K493" s="5">
        <v>45799</v>
      </c>
      <c r="L493" s="22" t="s">
        <v>731</v>
      </c>
      <c r="M493" s="35"/>
      <c r="N493" s="15"/>
      <c r="O493" t="s">
        <v>202</v>
      </c>
      <c r="P493" t="s">
        <v>340</v>
      </c>
      <c r="Q493" t="s">
        <v>213</v>
      </c>
    </row>
    <row r="494" spans="1:17" x14ac:dyDescent="0.3">
      <c r="A494" s="9">
        <v>1476</v>
      </c>
      <c r="B494" t="s">
        <v>215</v>
      </c>
      <c r="C494" t="s">
        <v>46</v>
      </c>
      <c r="D494" t="s">
        <v>626</v>
      </c>
      <c r="E494" s="118">
        <v>8325</v>
      </c>
      <c r="F494" s="13">
        <v>45775</v>
      </c>
      <c r="G494" s="24">
        <v>315.01</v>
      </c>
      <c r="H494" s="24">
        <v>282.56</v>
      </c>
      <c r="I494" s="3">
        <v>45783</v>
      </c>
      <c r="J494" s="102">
        <v>45796</v>
      </c>
      <c r="K494" s="5">
        <v>45797</v>
      </c>
      <c r="L494" s="22" t="s">
        <v>731</v>
      </c>
      <c r="M494" s="35"/>
      <c r="N494" s="15"/>
      <c r="O494" t="s">
        <v>202</v>
      </c>
      <c r="P494" t="s">
        <v>340</v>
      </c>
      <c r="Q494" t="s">
        <v>213</v>
      </c>
    </row>
    <row r="495" spans="1:17" x14ac:dyDescent="0.3">
      <c r="A495" s="25">
        <v>1296</v>
      </c>
      <c r="B495" t="s">
        <v>211</v>
      </c>
      <c r="C495" t="s">
        <v>34</v>
      </c>
      <c r="D495" t="s">
        <v>416</v>
      </c>
      <c r="E495" s="118">
        <v>1250</v>
      </c>
      <c r="F495" s="13">
        <v>45775</v>
      </c>
      <c r="G495" s="24">
        <v>462378.86</v>
      </c>
      <c r="H495" s="24">
        <v>424694.98</v>
      </c>
      <c r="I495" s="3">
        <v>45789</v>
      </c>
      <c r="J495" s="102">
        <v>45796</v>
      </c>
      <c r="K495" s="29">
        <v>45799</v>
      </c>
      <c r="L495" s="19" t="s">
        <v>731</v>
      </c>
      <c r="M495" s="42"/>
      <c r="N495" s="26"/>
      <c r="O495" t="s">
        <v>202</v>
      </c>
      <c r="P495" t="s">
        <v>328</v>
      </c>
      <c r="Q495" t="s">
        <v>207</v>
      </c>
    </row>
    <row r="496" spans="1:17" x14ac:dyDescent="0.3">
      <c r="A496" s="25">
        <v>1296</v>
      </c>
      <c r="B496" t="s">
        <v>211</v>
      </c>
      <c r="C496" t="s">
        <v>34</v>
      </c>
      <c r="D496" t="s">
        <v>416</v>
      </c>
      <c r="E496" s="118">
        <v>1270</v>
      </c>
      <c r="F496" s="13">
        <v>45775</v>
      </c>
      <c r="G496" s="24">
        <v>369617.83</v>
      </c>
      <c r="H496" s="24">
        <v>339493.98</v>
      </c>
      <c r="I496" s="3">
        <v>45825</v>
      </c>
      <c r="J496" s="102">
        <v>45831</v>
      </c>
      <c r="K496" s="29">
        <v>45835</v>
      </c>
      <c r="L496" s="19" t="s">
        <v>731</v>
      </c>
      <c r="M496" s="42"/>
      <c r="N496" s="26"/>
      <c r="O496" t="s">
        <v>202</v>
      </c>
      <c r="P496" t="s">
        <v>328</v>
      </c>
      <c r="Q496" t="s">
        <v>207</v>
      </c>
    </row>
    <row r="497" spans="1:17" x14ac:dyDescent="0.3">
      <c r="A497" s="9">
        <v>1300</v>
      </c>
      <c r="B497" t="s">
        <v>211</v>
      </c>
      <c r="C497" t="s">
        <v>34</v>
      </c>
      <c r="D497" t="s">
        <v>420</v>
      </c>
      <c r="E497" s="121">
        <v>1254</v>
      </c>
      <c r="F497" s="13">
        <v>45775</v>
      </c>
      <c r="G497" s="11">
        <v>332447.14</v>
      </c>
      <c r="H497" s="11">
        <v>305352.7</v>
      </c>
      <c r="I497" s="3">
        <v>45793</v>
      </c>
      <c r="J497" s="102">
        <v>45824</v>
      </c>
      <c r="K497" s="5">
        <v>45824</v>
      </c>
      <c r="L497" s="37" t="s">
        <v>731</v>
      </c>
      <c r="M497" s="38">
        <v>0</v>
      </c>
      <c r="N497" s="15"/>
      <c r="O497" t="s">
        <v>202</v>
      </c>
      <c r="P497" t="s">
        <v>328</v>
      </c>
      <c r="Q497" t="s">
        <v>207</v>
      </c>
    </row>
    <row r="498" spans="1:17" x14ac:dyDescent="0.3">
      <c r="A498" s="9">
        <v>1300</v>
      </c>
      <c r="B498" t="s">
        <v>211</v>
      </c>
      <c r="C498" t="s">
        <v>34</v>
      </c>
      <c r="D498" t="s">
        <v>420</v>
      </c>
      <c r="E498" s="121">
        <v>8338</v>
      </c>
      <c r="F498" s="13">
        <v>45775</v>
      </c>
      <c r="G498" s="11">
        <v>35127.120000000003</v>
      </c>
      <c r="H498" s="11">
        <v>32264.26</v>
      </c>
      <c r="I498" s="3">
        <v>45793</v>
      </c>
      <c r="J498" s="102">
        <v>45824</v>
      </c>
      <c r="K498" s="5">
        <v>45824</v>
      </c>
      <c r="L498" s="37" t="s">
        <v>731</v>
      </c>
      <c r="M498" s="38">
        <v>0</v>
      </c>
      <c r="N498" s="15"/>
      <c r="O498" t="s">
        <v>202</v>
      </c>
      <c r="P498" t="s">
        <v>328</v>
      </c>
      <c r="Q498" t="s">
        <v>207</v>
      </c>
    </row>
    <row r="499" spans="1:17" x14ac:dyDescent="0.3">
      <c r="A499" s="25">
        <v>1290</v>
      </c>
      <c r="B499" t="s">
        <v>215</v>
      </c>
      <c r="C499" t="s">
        <v>40</v>
      </c>
      <c r="D499" t="s">
        <v>409</v>
      </c>
      <c r="E499" s="121">
        <v>8322</v>
      </c>
      <c r="F499" s="13">
        <v>45775</v>
      </c>
      <c r="G499" s="24">
        <v>53175.27</v>
      </c>
      <c r="H499" s="24">
        <v>46980.35</v>
      </c>
      <c r="I499" s="3">
        <v>45783</v>
      </c>
      <c r="J499" s="102">
        <v>45810</v>
      </c>
      <c r="K499" s="12">
        <v>45813</v>
      </c>
      <c r="L499" s="22" t="s">
        <v>731</v>
      </c>
      <c r="M499" s="36">
        <v>0</v>
      </c>
      <c r="N499" s="26"/>
      <c r="O499" t="s">
        <v>202</v>
      </c>
      <c r="P499" t="s">
        <v>328</v>
      </c>
      <c r="Q499" t="s">
        <v>213</v>
      </c>
    </row>
    <row r="500" spans="1:17" x14ac:dyDescent="0.3">
      <c r="A500" s="25">
        <v>1490</v>
      </c>
      <c r="B500" t="s">
        <v>215</v>
      </c>
      <c r="C500" t="s">
        <v>40</v>
      </c>
      <c r="D500" t="s">
        <v>640</v>
      </c>
      <c r="E500" s="121">
        <v>8334</v>
      </c>
      <c r="F500" s="13">
        <v>45775</v>
      </c>
      <c r="G500" s="24">
        <v>2300</v>
      </c>
      <c r="H500" s="24">
        <v>2032.05</v>
      </c>
      <c r="I500" s="3">
        <v>45789</v>
      </c>
      <c r="J500" s="102">
        <v>45817</v>
      </c>
      <c r="K500" s="12">
        <v>45819</v>
      </c>
      <c r="L500" s="22" t="s">
        <v>731</v>
      </c>
      <c r="M500" s="36">
        <v>0</v>
      </c>
      <c r="N500" s="26"/>
      <c r="O500" t="s">
        <v>202</v>
      </c>
      <c r="P500" t="s">
        <v>328</v>
      </c>
      <c r="Q500" t="s">
        <v>213</v>
      </c>
    </row>
    <row r="501" spans="1:17" x14ac:dyDescent="0.3">
      <c r="A501" s="9">
        <v>1480</v>
      </c>
      <c r="B501" t="s">
        <v>193</v>
      </c>
      <c r="C501" t="s">
        <v>184</v>
      </c>
      <c r="D501" t="s">
        <v>732</v>
      </c>
      <c r="E501" s="121">
        <v>4035</v>
      </c>
      <c r="F501" s="13">
        <v>45775</v>
      </c>
      <c r="G501" s="11">
        <v>339684.24</v>
      </c>
      <c r="H501" s="11">
        <v>318793.65000000002</v>
      </c>
      <c r="I501" s="3">
        <v>45796</v>
      </c>
      <c r="J501" s="102">
        <v>45803</v>
      </c>
      <c r="K501" s="5">
        <v>45806</v>
      </c>
      <c r="L501" s="19" t="s">
        <v>731</v>
      </c>
      <c r="M501" s="38"/>
      <c r="N501" s="15"/>
      <c r="O501" t="s">
        <v>199</v>
      </c>
      <c r="P501" t="s">
        <v>376</v>
      </c>
      <c r="Q501" t="s">
        <v>207</v>
      </c>
    </row>
    <row r="502" spans="1:17" x14ac:dyDescent="0.3">
      <c r="A502" s="9">
        <v>1475</v>
      </c>
      <c r="B502" t="s">
        <v>204</v>
      </c>
      <c r="C502" t="s">
        <v>95</v>
      </c>
      <c r="D502" t="s">
        <v>625</v>
      </c>
      <c r="E502" s="121">
        <v>8324</v>
      </c>
      <c r="F502" s="13">
        <v>45775</v>
      </c>
      <c r="G502" s="11">
        <v>67387.39</v>
      </c>
      <c r="H502" s="11">
        <v>60446.49</v>
      </c>
      <c r="I502" s="3">
        <v>45784</v>
      </c>
      <c r="J502" s="102">
        <v>45796</v>
      </c>
      <c r="K502" s="12">
        <v>45797</v>
      </c>
      <c r="L502" s="19" t="s">
        <v>731</v>
      </c>
      <c r="M502" s="35">
        <v>0</v>
      </c>
      <c r="N502"/>
      <c r="O502" t="s">
        <v>199</v>
      </c>
      <c r="P502" t="s">
        <v>340</v>
      </c>
      <c r="Q502" t="s">
        <v>217</v>
      </c>
    </row>
    <row r="503" spans="1:17" x14ac:dyDescent="0.3">
      <c r="A503" s="9">
        <v>1472</v>
      </c>
      <c r="B503" t="s">
        <v>71</v>
      </c>
      <c r="C503" t="s">
        <v>41</v>
      </c>
      <c r="D503" t="s">
        <v>622</v>
      </c>
      <c r="E503" s="121">
        <v>3992</v>
      </c>
      <c r="F503" s="13">
        <v>45775</v>
      </c>
      <c r="G503" s="11">
        <v>101744.1</v>
      </c>
      <c r="H503" s="24">
        <v>95486.84</v>
      </c>
      <c r="I503" s="3">
        <v>45779</v>
      </c>
      <c r="J503" s="102">
        <v>45789</v>
      </c>
      <c r="K503" s="12">
        <v>45791</v>
      </c>
      <c r="L503" s="19" t="s">
        <v>731</v>
      </c>
      <c r="M503" s="38"/>
      <c r="N503" s="15"/>
      <c r="O503" t="s">
        <v>201</v>
      </c>
      <c r="P503" t="s">
        <v>376</v>
      </c>
      <c r="Q503" t="s">
        <v>203</v>
      </c>
    </row>
    <row r="504" spans="1:17" x14ac:dyDescent="0.3">
      <c r="A504" s="9">
        <v>1378</v>
      </c>
      <c r="B504" t="s">
        <v>193</v>
      </c>
      <c r="C504" t="s">
        <v>4</v>
      </c>
      <c r="D504" t="s">
        <v>506</v>
      </c>
      <c r="E504" s="121">
        <v>8340</v>
      </c>
      <c r="F504" s="13">
        <v>45775</v>
      </c>
      <c r="G504" s="11">
        <v>4281.29</v>
      </c>
      <c r="H504" s="11">
        <v>4017.99</v>
      </c>
      <c r="I504" s="3">
        <v>45796</v>
      </c>
      <c r="J504" s="102">
        <v>45817</v>
      </c>
      <c r="K504" s="5">
        <v>45817</v>
      </c>
      <c r="L504" s="19" t="s">
        <v>731</v>
      </c>
      <c r="M504" s="35">
        <v>0</v>
      </c>
      <c r="N504"/>
      <c r="O504" t="s">
        <v>201</v>
      </c>
      <c r="P504" t="s">
        <v>376</v>
      </c>
      <c r="Q504" t="s">
        <v>207</v>
      </c>
    </row>
    <row r="505" spans="1:17" x14ac:dyDescent="0.3">
      <c r="A505" s="9">
        <v>1247</v>
      </c>
      <c r="B505" t="s">
        <v>215</v>
      </c>
      <c r="C505" t="s">
        <v>21</v>
      </c>
      <c r="D505" t="s">
        <v>359</v>
      </c>
      <c r="E505" s="121">
        <v>8313</v>
      </c>
      <c r="F505" s="13">
        <v>45775</v>
      </c>
      <c r="G505" s="24">
        <v>38395.360000000001</v>
      </c>
      <c r="H505" s="24">
        <v>34440.629999999997</v>
      </c>
      <c r="I505" s="3">
        <v>45779</v>
      </c>
      <c r="J505" s="102">
        <v>45789</v>
      </c>
      <c r="K505" s="12">
        <v>45793</v>
      </c>
      <c r="L505" s="19" t="s">
        <v>731</v>
      </c>
      <c r="M505" s="35">
        <v>0</v>
      </c>
      <c r="N505"/>
      <c r="O505" t="s">
        <v>202</v>
      </c>
      <c r="P505" t="s">
        <v>340</v>
      </c>
      <c r="Q505" t="s">
        <v>213</v>
      </c>
    </row>
    <row r="506" spans="1:17" x14ac:dyDescent="0.3">
      <c r="A506" s="9">
        <v>1358</v>
      </c>
      <c r="B506" t="s">
        <v>215</v>
      </c>
      <c r="C506" t="s">
        <v>17</v>
      </c>
      <c r="D506" t="s">
        <v>480</v>
      </c>
      <c r="E506" s="121">
        <v>8347</v>
      </c>
      <c r="F506" s="13">
        <v>45775</v>
      </c>
      <c r="G506" s="11">
        <v>15890.83</v>
      </c>
      <c r="H506" s="11">
        <v>14254.07</v>
      </c>
      <c r="I506" s="3">
        <v>45807</v>
      </c>
      <c r="J506" s="102">
        <v>45831</v>
      </c>
      <c r="K506" s="12">
        <v>45831</v>
      </c>
      <c r="L506" s="19" t="s">
        <v>731</v>
      </c>
      <c r="M506" s="35">
        <v>0</v>
      </c>
      <c r="N506"/>
      <c r="O506" t="s">
        <v>202</v>
      </c>
      <c r="P506" t="s">
        <v>340</v>
      </c>
      <c r="Q506" t="s">
        <v>213</v>
      </c>
    </row>
    <row r="507" spans="1:17" x14ac:dyDescent="0.3">
      <c r="A507" s="9">
        <v>1358</v>
      </c>
      <c r="B507" t="s">
        <v>215</v>
      </c>
      <c r="C507" t="s">
        <v>17</v>
      </c>
      <c r="D507" t="s">
        <v>480</v>
      </c>
      <c r="E507" s="121">
        <v>8362</v>
      </c>
      <c r="F507" s="13">
        <v>45775</v>
      </c>
      <c r="G507" s="11">
        <v>85164.92</v>
      </c>
      <c r="H507" s="46">
        <v>76392.929999999993</v>
      </c>
      <c r="I507" s="3">
        <v>45814</v>
      </c>
      <c r="J507" s="102">
        <v>45831</v>
      </c>
      <c r="K507" s="12">
        <v>45831</v>
      </c>
      <c r="L507" s="19" t="s">
        <v>731</v>
      </c>
      <c r="M507" s="35">
        <v>0</v>
      </c>
      <c r="N507"/>
      <c r="O507" t="s">
        <v>202</v>
      </c>
      <c r="P507" t="s">
        <v>340</v>
      </c>
      <c r="Q507" t="s">
        <v>213</v>
      </c>
    </row>
    <row r="508" spans="1:17" x14ac:dyDescent="0.3">
      <c r="A508" s="9">
        <v>1473</v>
      </c>
      <c r="B508" t="s">
        <v>215</v>
      </c>
      <c r="C508" t="s">
        <v>208</v>
      </c>
      <c r="D508" t="s">
        <v>623</v>
      </c>
      <c r="E508" s="121">
        <v>8381</v>
      </c>
      <c r="F508" s="13">
        <v>45775</v>
      </c>
      <c r="G508" s="24">
        <v>218090.58</v>
      </c>
      <c r="H508" s="24">
        <v>203260.42</v>
      </c>
      <c r="I508" s="3">
        <v>45820</v>
      </c>
      <c r="J508" s="102">
        <v>45831</v>
      </c>
      <c r="K508" s="12">
        <v>45831</v>
      </c>
      <c r="L508" s="19" t="s">
        <v>731</v>
      </c>
      <c r="M508" s="35">
        <v>0</v>
      </c>
      <c r="N508"/>
      <c r="O508" t="s">
        <v>202</v>
      </c>
      <c r="P508" t="s">
        <v>340</v>
      </c>
      <c r="Q508" t="s">
        <v>213</v>
      </c>
    </row>
    <row r="509" spans="1:17" x14ac:dyDescent="0.3">
      <c r="A509" s="25">
        <v>1462</v>
      </c>
      <c r="B509" t="s">
        <v>212</v>
      </c>
      <c r="C509" t="s">
        <v>221</v>
      </c>
      <c r="D509" t="s">
        <v>610</v>
      </c>
      <c r="E509" s="121">
        <v>8314</v>
      </c>
      <c r="F509" s="13">
        <v>45775</v>
      </c>
      <c r="G509" s="24">
        <v>800</v>
      </c>
      <c r="H509" s="24">
        <v>750.8</v>
      </c>
      <c r="I509" s="3">
        <v>45782</v>
      </c>
      <c r="J509" s="102">
        <v>45782</v>
      </c>
      <c r="K509" s="12">
        <v>45785</v>
      </c>
      <c r="L509" s="19" t="s">
        <v>731</v>
      </c>
      <c r="M509" s="36">
        <v>0</v>
      </c>
      <c r="N509" s="26"/>
      <c r="O509" t="s">
        <v>202</v>
      </c>
      <c r="P509" t="s">
        <v>373</v>
      </c>
      <c r="Q509" t="s">
        <v>207</v>
      </c>
    </row>
    <row r="510" spans="1:17" x14ac:dyDescent="0.3">
      <c r="A510" s="9">
        <v>1390</v>
      </c>
      <c r="B510" t="s">
        <v>211</v>
      </c>
      <c r="C510" t="s">
        <v>16</v>
      </c>
      <c r="D510" t="s">
        <v>519</v>
      </c>
      <c r="E510" s="121">
        <v>1277</v>
      </c>
      <c r="F510" s="53">
        <v>45836</v>
      </c>
      <c r="G510" s="24">
        <v>147345.19</v>
      </c>
      <c r="H510" s="11">
        <v>130179.48</v>
      </c>
      <c r="I510" s="3">
        <v>45856</v>
      </c>
      <c r="J510" s="102">
        <v>45992</v>
      </c>
      <c r="K510" s="12">
        <v>45995</v>
      </c>
      <c r="L510" s="19" t="s">
        <v>731</v>
      </c>
      <c r="M510" s="56"/>
      <c r="N510"/>
      <c r="O510" t="s">
        <v>202</v>
      </c>
      <c r="P510" t="s">
        <v>328</v>
      </c>
      <c r="Q510" t="s">
        <v>207</v>
      </c>
    </row>
    <row r="511" spans="1:17" x14ac:dyDescent="0.3">
      <c r="A511" s="25">
        <v>1390</v>
      </c>
      <c r="B511" t="s">
        <v>211</v>
      </c>
      <c r="C511" t="s">
        <v>16</v>
      </c>
      <c r="D511" t="s">
        <v>519</v>
      </c>
      <c r="E511" s="121">
        <v>1282</v>
      </c>
      <c r="F511" s="53">
        <v>45866</v>
      </c>
      <c r="G511" s="24">
        <v>147364.62</v>
      </c>
      <c r="H511" s="24">
        <v>130196.64</v>
      </c>
      <c r="I511" s="3">
        <v>45880</v>
      </c>
      <c r="J511" s="102">
        <v>45992</v>
      </c>
      <c r="K511" s="12">
        <v>45995</v>
      </c>
      <c r="L511" s="19" t="s">
        <v>731</v>
      </c>
      <c r="M511" s="39"/>
      <c r="N511"/>
      <c r="O511" t="s">
        <v>202</v>
      </c>
      <c r="P511" t="s">
        <v>328</v>
      </c>
      <c r="Q511" t="s">
        <v>207</v>
      </c>
    </row>
    <row r="512" spans="1:17" x14ac:dyDescent="0.3">
      <c r="A512" s="14">
        <v>1260</v>
      </c>
      <c r="B512" t="s">
        <v>193</v>
      </c>
      <c r="C512" t="s">
        <v>121</v>
      </c>
      <c r="D512" t="s">
        <v>372</v>
      </c>
      <c r="E512" s="121">
        <v>3993</v>
      </c>
      <c r="F512" s="13">
        <v>45775</v>
      </c>
      <c r="G512" s="24">
        <v>10914</v>
      </c>
      <c r="H512" s="24">
        <v>10242.790000000001</v>
      </c>
      <c r="I512" s="3">
        <v>45779</v>
      </c>
      <c r="J512" s="102">
        <v>45796</v>
      </c>
      <c r="K512" s="12">
        <v>45798</v>
      </c>
      <c r="L512" s="20" t="s">
        <v>731</v>
      </c>
      <c r="M512" s="35">
        <v>0</v>
      </c>
      <c r="N512"/>
      <c r="O512" t="s">
        <v>199</v>
      </c>
      <c r="P512" t="s">
        <v>373</v>
      </c>
      <c r="Q512" t="s">
        <v>207</v>
      </c>
    </row>
    <row r="513" spans="1:17" x14ac:dyDescent="0.3">
      <c r="A513" s="25">
        <v>1485</v>
      </c>
      <c r="B513" t="s">
        <v>193</v>
      </c>
      <c r="C513" t="s">
        <v>43</v>
      </c>
      <c r="D513" t="s">
        <v>733</v>
      </c>
      <c r="E513" s="121">
        <v>4015</v>
      </c>
      <c r="F513" s="13">
        <v>45775</v>
      </c>
      <c r="G513" s="24">
        <v>24807.919999999998</v>
      </c>
      <c r="H513" s="24">
        <v>23282.23</v>
      </c>
      <c r="I513" s="3">
        <v>45786</v>
      </c>
      <c r="J513" s="102">
        <v>45796</v>
      </c>
      <c r="K513" s="12">
        <v>45800</v>
      </c>
      <c r="L513" s="19" t="s">
        <v>731</v>
      </c>
      <c r="M513" s="36">
        <v>0</v>
      </c>
      <c r="N513" s="26"/>
      <c r="O513" t="s">
        <v>199</v>
      </c>
      <c r="P513" t="s">
        <v>376</v>
      </c>
      <c r="Q513" t="s">
        <v>207</v>
      </c>
    </row>
    <row r="514" spans="1:17" x14ac:dyDescent="0.3">
      <c r="A514" s="9">
        <v>1482</v>
      </c>
      <c r="B514" t="s">
        <v>211</v>
      </c>
      <c r="C514" t="s">
        <v>34</v>
      </c>
      <c r="D514" t="s">
        <v>632</v>
      </c>
      <c r="E514" s="121">
        <v>8327</v>
      </c>
      <c r="F514" s="13">
        <v>45775</v>
      </c>
      <c r="G514" s="24">
        <v>39000</v>
      </c>
      <c r="H514" s="24">
        <v>35236.5</v>
      </c>
      <c r="I514" s="3">
        <v>45785</v>
      </c>
      <c r="J514" s="102">
        <v>45810</v>
      </c>
      <c r="K514" s="12">
        <v>45810</v>
      </c>
      <c r="L514" s="37" t="s">
        <v>731</v>
      </c>
      <c r="M514" s="43"/>
      <c r="N514" s="15"/>
      <c r="O514" t="s">
        <v>202</v>
      </c>
      <c r="P514" t="s">
        <v>328</v>
      </c>
      <c r="Q514" t="s">
        <v>207</v>
      </c>
    </row>
    <row r="515" spans="1:17" x14ac:dyDescent="0.3">
      <c r="A515" s="25">
        <v>1262</v>
      </c>
      <c r="B515" t="s">
        <v>193</v>
      </c>
      <c r="C515" t="s">
        <v>45</v>
      </c>
      <c r="D515" t="s">
        <v>375</v>
      </c>
      <c r="E515" s="121">
        <v>4051</v>
      </c>
      <c r="F515" s="13">
        <v>45775</v>
      </c>
      <c r="G515" s="24">
        <v>6823.9</v>
      </c>
      <c r="H515" s="27">
        <v>6404.23</v>
      </c>
      <c r="I515" s="3">
        <v>45798</v>
      </c>
      <c r="J515" s="102">
        <v>45803</v>
      </c>
      <c r="K515" s="12">
        <v>45806</v>
      </c>
      <c r="L515" s="19" t="s">
        <v>731</v>
      </c>
      <c r="M515" s="36">
        <v>0</v>
      </c>
      <c r="N515" s="26"/>
      <c r="O515" t="s">
        <v>199</v>
      </c>
      <c r="P515" t="s">
        <v>376</v>
      </c>
      <c r="Q515" t="s">
        <v>207</v>
      </c>
    </row>
    <row r="516" spans="1:17" x14ac:dyDescent="0.3">
      <c r="A516" s="25">
        <v>1262</v>
      </c>
      <c r="B516" t="s">
        <v>193</v>
      </c>
      <c r="C516" t="s">
        <v>45</v>
      </c>
      <c r="D516" t="s">
        <v>375</v>
      </c>
      <c r="E516" s="121">
        <v>4049</v>
      </c>
      <c r="F516" s="13">
        <v>45775</v>
      </c>
      <c r="G516" s="24">
        <v>57443.17</v>
      </c>
      <c r="H516" s="27">
        <v>53910.41</v>
      </c>
      <c r="I516" s="3">
        <v>45798</v>
      </c>
      <c r="J516" s="102">
        <v>45803</v>
      </c>
      <c r="K516" s="12">
        <v>45806</v>
      </c>
      <c r="L516" s="19" t="s">
        <v>731</v>
      </c>
      <c r="M516" s="36">
        <v>0</v>
      </c>
      <c r="N516" s="26"/>
      <c r="O516" t="s">
        <v>199</v>
      </c>
      <c r="P516" t="s">
        <v>376</v>
      </c>
      <c r="Q516" t="s">
        <v>207</v>
      </c>
    </row>
    <row r="517" spans="1:17" x14ac:dyDescent="0.3">
      <c r="A517" s="25">
        <v>1262</v>
      </c>
      <c r="B517" t="s">
        <v>193</v>
      </c>
      <c r="C517" t="s">
        <v>45</v>
      </c>
      <c r="D517" t="s">
        <v>375</v>
      </c>
      <c r="E517" s="121">
        <v>4048</v>
      </c>
      <c r="F517" s="13">
        <v>45775</v>
      </c>
      <c r="G517" s="24">
        <v>15922.43</v>
      </c>
      <c r="H517" s="27">
        <v>14943.2</v>
      </c>
      <c r="I517" s="3">
        <v>45798</v>
      </c>
      <c r="J517" s="102">
        <v>45803</v>
      </c>
      <c r="K517" s="12">
        <v>45806</v>
      </c>
      <c r="L517" s="19" t="s">
        <v>731</v>
      </c>
      <c r="M517" s="36">
        <v>0</v>
      </c>
      <c r="N517" s="26"/>
      <c r="O517" t="s">
        <v>199</v>
      </c>
      <c r="P517" t="s">
        <v>376</v>
      </c>
      <c r="Q517" t="s">
        <v>207</v>
      </c>
    </row>
    <row r="518" spans="1:17" x14ac:dyDescent="0.3">
      <c r="A518" s="25">
        <v>1262</v>
      </c>
      <c r="B518" t="s">
        <v>193</v>
      </c>
      <c r="C518" t="s">
        <v>45</v>
      </c>
      <c r="D518" t="s">
        <v>375</v>
      </c>
      <c r="E518" s="121">
        <v>4047</v>
      </c>
      <c r="F518" s="13">
        <v>45775</v>
      </c>
      <c r="G518" s="24">
        <v>17832.64</v>
      </c>
      <c r="H518" s="27">
        <v>16735.93</v>
      </c>
      <c r="I518" s="3">
        <v>45798</v>
      </c>
      <c r="J518" s="102">
        <v>45803</v>
      </c>
      <c r="K518" s="12">
        <v>45806</v>
      </c>
      <c r="L518" s="19" t="s">
        <v>731</v>
      </c>
      <c r="M518" s="36">
        <v>0</v>
      </c>
      <c r="N518" s="26"/>
      <c r="O518" t="s">
        <v>199</v>
      </c>
      <c r="P518" t="s">
        <v>376</v>
      </c>
      <c r="Q518" t="s">
        <v>207</v>
      </c>
    </row>
    <row r="519" spans="1:17" x14ac:dyDescent="0.3">
      <c r="A519" s="25">
        <v>1262</v>
      </c>
      <c r="B519" t="s">
        <v>193</v>
      </c>
      <c r="C519" t="s">
        <v>45</v>
      </c>
      <c r="D519" t="s">
        <v>375</v>
      </c>
      <c r="E519" s="121">
        <v>4046</v>
      </c>
      <c r="F519" s="13">
        <v>45775</v>
      </c>
      <c r="G519" s="24">
        <v>25860.69</v>
      </c>
      <c r="H519" s="27">
        <v>24270.26</v>
      </c>
      <c r="I519" s="3">
        <v>45798</v>
      </c>
      <c r="J519" s="102">
        <v>45803</v>
      </c>
      <c r="K519" s="12">
        <v>45806</v>
      </c>
      <c r="L519" s="19" t="s">
        <v>731</v>
      </c>
      <c r="M519" s="36">
        <v>0</v>
      </c>
      <c r="N519" s="26"/>
      <c r="O519" t="s">
        <v>199</v>
      </c>
      <c r="P519" t="s">
        <v>376</v>
      </c>
      <c r="Q519" t="s">
        <v>207</v>
      </c>
    </row>
    <row r="520" spans="1:17" x14ac:dyDescent="0.3">
      <c r="A520" s="9">
        <v>1269</v>
      </c>
      <c r="B520" t="s">
        <v>193</v>
      </c>
      <c r="C520" t="s">
        <v>45</v>
      </c>
      <c r="D520" t="s">
        <v>384</v>
      </c>
      <c r="E520" s="121">
        <v>4053</v>
      </c>
      <c r="F520" s="13">
        <v>45775</v>
      </c>
      <c r="G520" s="24">
        <v>6655.99</v>
      </c>
      <c r="H520" s="27">
        <v>6246.65</v>
      </c>
      <c r="I520" s="3">
        <v>45798</v>
      </c>
      <c r="J520" s="102">
        <v>45803</v>
      </c>
      <c r="K520" s="12">
        <v>45806</v>
      </c>
      <c r="L520" s="19" t="s">
        <v>731</v>
      </c>
      <c r="M520" s="35">
        <v>0</v>
      </c>
      <c r="N520" s="15"/>
      <c r="O520" t="s">
        <v>202</v>
      </c>
      <c r="P520" t="s">
        <v>376</v>
      </c>
      <c r="Q520" t="s">
        <v>207</v>
      </c>
    </row>
    <row r="521" spans="1:17" x14ac:dyDescent="0.3">
      <c r="A521" s="9">
        <v>1269</v>
      </c>
      <c r="B521" t="s">
        <v>193</v>
      </c>
      <c r="C521" t="s">
        <v>45</v>
      </c>
      <c r="D521" t="s">
        <v>384</v>
      </c>
      <c r="E521" s="121">
        <v>4052</v>
      </c>
      <c r="F521" s="13">
        <v>45775</v>
      </c>
      <c r="G521" s="24">
        <v>10876.23</v>
      </c>
      <c r="H521" s="27">
        <v>10207.35</v>
      </c>
      <c r="I521" s="3">
        <v>45798</v>
      </c>
      <c r="J521" s="102">
        <v>45803</v>
      </c>
      <c r="K521" s="12">
        <v>45806</v>
      </c>
      <c r="L521" s="19" t="s">
        <v>731</v>
      </c>
      <c r="M521" s="35">
        <v>0</v>
      </c>
      <c r="N521" s="15"/>
      <c r="O521" t="s">
        <v>202</v>
      </c>
      <c r="P521" t="s">
        <v>376</v>
      </c>
      <c r="Q521" t="s">
        <v>207</v>
      </c>
    </row>
    <row r="522" spans="1:17" x14ac:dyDescent="0.3">
      <c r="A522" s="9">
        <v>1269</v>
      </c>
      <c r="B522" t="s">
        <v>193</v>
      </c>
      <c r="C522" t="s">
        <v>45</v>
      </c>
      <c r="D522" t="s">
        <v>384</v>
      </c>
      <c r="E522" s="121">
        <v>4054</v>
      </c>
      <c r="F522" s="13">
        <v>45775</v>
      </c>
      <c r="G522" s="24">
        <v>30699.4</v>
      </c>
      <c r="H522" s="27">
        <v>28811.39</v>
      </c>
      <c r="I522" s="3">
        <v>45798</v>
      </c>
      <c r="J522" s="102">
        <v>45803</v>
      </c>
      <c r="K522" s="12">
        <v>45806</v>
      </c>
      <c r="L522" s="19" t="s">
        <v>731</v>
      </c>
      <c r="M522" s="35">
        <v>0</v>
      </c>
      <c r="N522" s="15"/>
      <c r="O522" t="s">
        <v>202</v>
      </c>
      <c r="P522" t="s">
        <v>376</v>
      </c>
      <c r="Q522" t="s">
        <v>207</v>
      </c>
    </row>
    <row r="523" spans="1:17" x14ac:dyDescent="0.3">
      <c r="A523" s="9">
        <v>1269</v>
      </c>
      <c r="B523" t="s">
        <v>193</v>
      </c>
      <c r="C523" t="s">
        <v>45</v>
      </c>
      <c r="D523" t="s">
        <v>384</v>
      </c>
      <c r="E523" s="121">
        <v>4050</v>
      </c>
      <c r="F523" s="13">
        <v>45775</v>
      </c>
      <c r="G523" s="24">
        <v>198578.23</v>
      </c>
      <c r="H523" s="27">
        <v>186365.67</v>
      </c>
      <c r="I523" s="3">
        <v>45798</v>
      </c>
      <c r="J523" s="102">
        <v>45803</v>
      </c>
      <c r="K523" s="12">
        <v>45806</v>
      </c>
      <c r="L523" s="19" t="s">
        <v>731</v>
      </c>
      <c r="M523" s="35">
        <v>0</v>
      </c>
      <c r="N523" s="15"/>
      <c r="O523" t="s">
        <v>202</v>
      </c>
      <c r="P523" t="s">
        <v>376</v>
      </c>
      <c r="Q523" t="s">
        <v>207</v>
      </c>
    </row>
    <row r="524" spans="1:17" x14ac:dyDescent="0.3">
      <c r="A524" s="25">
        <v>1400</v>
      </c>
      <c r="B524" t="s">
        <v>209</v>
      </c>
      <c r="C524" t="s">
        <v>3</v>
      </c>
      <c r="D524" t="s">
        <v>530</v>
      </c>
      <c r="E524" s="121">
        <v>8336</v>
      </c>
      <c r="F524" s="13">
        <v>45775</v>
      </c>
      <c r="G524" s="24">
        <v>64688.72</v>
      </c>
      <c r="H524" s="24">
        <v>58446.25</v>
      </c>
      <c r="I524" s="3">
        <v>45792</v>
      </c>
      <c r="J524" s="102">
        <v>45810</v>
      </c>
      <c r="K524" s="12">
        <v>45813</v>
      </c>
      <c r="L524" s="19" t="s">
        <v>731</v>
      </c>
      <c r="M524" s="36">
        <v>0</v>
      </c>
      <c r="N524"/>
      <c r="O524" t="s">
        <v>199</v>
      </c>
      <c r="P524" t="s">
        <v>328</v>
      </c>
      <c r="Q524" t="s">
        <v>203</v>
      </c>
    </row>
    <row r="525" spans="1:17" x14ac:dyDescent="0.3">
      <c r="A525" s="25">
        <v>1400</v>
      </c>
      <c r="B525" t="s">
        <v>209</v>
      </c>
      <c r="C525" t="s">
        <v>3</v>
      </c>
      <c r="D525" t="s">
        <v>530</v>
      </c>
      <c r="E525" s="121">
        <v>8335</v>
      </c>
      <c r="F525" s="13">
        <v>45775</v>
      </c>
      <c r="G525" s="24">
        <v>77751.44</v>
      </c>
      <c r="H525" s="24">
        <v>70248.44</v>
      </c>
      <c r="I525" s="3">
        <v>45792</v>
      </c>
      <c r="J525" s="102">
        <v>45810</v>
      </c>
      <c r="K525" s="12">
        <v>45813</v>
      </c>
      <c r="L525" s="19" t="s">
        <v>731</v>
      </c>
      <c r="M525" s="36">
        <v>0</v>
      </c>
      <c r="N525"/>
      <c r="O525" t="s">
        <v>199</v>
      </c>
      <c r="P525" t="s">
        <v>328</v>
      </c>
      <c r="Q525" t="s">
        <v>203</v>
      </c>
    </row>
    <row r="526" spans="1:17" x14ac:dyDescent="0.3">
      <c r="A526" s="9">
        <v>1366</v>
      </c>
      <c r="B526" t="s">
        <v>209</v>
      </c>
      <c r="C526" t="s">
        <v>3</v>
      </c>
      <c r="D526" t="s">
        <v>490</v>
      </c>
      <c r="E526" s="121">
        <v>1259</v>
      </c>
      <c r="F526" s="13">
        <v>45775</v>
      </c>
      <c r="G526" s="11">
        <v>328484.2</v>
      </c>
      <c r="H526" s="11">
        <v>296785.38</v>
      </c>
      <c r="I526" s="3">
        <v>45810</v>
      </c>
      <c r="J526" s="102">
        <v>45817</v>
      </c>
      <c r="K526" s="12">
        <v>45820</v>
      </c>
      <c r="L526" s="19" t="s">
        <v>731</v>
      </c>
      <c r="M526" s="35">
        <v>0</v>
      </c>
      <c r="N526"/>
      <c r="O526" t="s">
        <v>202</v>
      </c>
      <c r="P526" t="s">
        <v>328</v>
      </c>
      <c r="Q526" t="s">
        <v>203</v>
      </c>
    </row>
    <row r="527" spans="1:17" x14ac:dyDescent="0.3">
      <c r="A527" s="9">
        <v>1388</v>
      </c>
      <c r="B527" t="s">
        <v>209</v>
      </c>
      <c r="C527" t="s">
        <v>3</v>
      </c>
      <c r="D527" t="s">
        <v>518</v>
      </c>
      <c r="E527" s="121">
        <v>4172</v>
      </c>
      <c r="F527" s="13">
        <v>45775</v>
      </c>
      <c r="G527" s="24">
        <v>227498.57</v>
      </c>
      <c r="H527" s="24">
        <v>205544.95999999999</v>
      </c>
      <c r="I527" s="3">
        <v>45852</v>
      </c>
      <c r="J527" s="102">
        <v>45866</v>
      </c>
      <c r="K527" s="12">
        <v>45869</v>
      </c>
      <c r="L527" s="19" t="s">
        <v>731</v>
      </c>
      <c r="M527" s="35">
        <v>0</v>
      </c>
      <c r="N527"/>
      <c r="O527" t="s">
        <v>199</v>
      </c>
      <c r="P527" t="s">
        <v>328</v>
      </c>
      <c r="Q527" t="s">
        <v>203</v>
      </c>
    </row>
    <row r="528" spans="1:17" x14ac:dyDescent="0.3">
      <c r="A528" s="9">
        <v>1289</v>
      </c>
      <c r="B528" t="s">
        <v>204</v>
      </c>
      <c r="C528" t="s">
        <v>32</v>
      </c>
      <c r="D528" t="s">
        <v>408</v>
      </c>
      <c r="E528" s="121">
        <v>8331</v>
      </c>
      <c r="F528" s="13">
        <v>45775</v>
      </c>
      <c r="G528" s="24">
        <v>288674.12</v>
      </c>
      <c r="H528" s="11">
        <v>269044.28000000003</v>
      </c>
      <c r="I528" s="3">
        <v>45786</v>
      </c>
      <c r="J528" s="102">
        <v>45803</v>
      </c>
      <c r="K528" s="12">
        <v>45803</v>
      </c>
      <c r="L528" s="19" t="s">
        <v>731</v>
      </c>
      <c r="M528" s="35"/>
      <c r="N528"/>
      <c r="O528" t="s">
        <v>202</v>
      </c>
      <c r="P528" t="s">
        <v>340</v>
      </c>
      <c r="Q528" t="s">
        <v>217</v>
      </c>
    </row>
    <row r="529" spans="1:17" x14ac:dyDescent="0.3">
      <c r="A529" s="9">
        <v>1289</v>
      </c>
      <c r="B529" t="s">
        <v>204</v>
      </c>
      <c r="C529" t="s">
        <v>32</v>
      </c>
      <c r="D529" t="s">
        <v>408</v>
      </c>
      <c r="E529" s="121">
        <v>8345</v>
      </c>
      <c r="F529" s="13">
        <v>45775</v>
      </c>
      <c r="G529" s="50">
        <v>157241.24</v>
      </c>
      <c r="H529" s="11">
        <v>146548.84</v>
      </c>
      <c r="I529" s="3">
        <v>45803</v>
      </c>
      <c r="J529" s="102">
        <v>45831</v>
      </c>
      <c r="K529" s="12">
        <v>45835</v>
      </c>
      <c r="L529" s="19" t="s">
        <v>731</v>
      </c>
      <c r="M529" s="35"/>
      <c r="N529"/>
      <c r="O529" t="s">
        <v>202</v>
      </c>
      <c r="P529" t="s">
        <v>340</v>
      </c>
      <c r="Q529" t="s">
        <v>217</v>
      </c>
    </row>
    <row r="530" spans="1:17" x14ac:dyDescent="0.3">
      <c r="A530" s="25">
        <v>1288</v>
      </c>
      <c r="B530" t="s">
        <v>204</v>
      </c>
      <c r="C530" t="s">
        <v>32</v>
      </c>
      <c r="D530" t="s">
        <v>407</v>
      </c>
      <c r="E530" s="121">
        <v>8332</v>
      </c>
      <c r="F530" s="13">
        <v>45775</v>
      </c>
      <c r="G530" s="24">
        <v>379367.63</v>
      </c>
      <c r="H530" s="24">
        <v>353570.63</v>
      </c>
      <c r="I530" s="3">
        <v>45786</v>
      </c>
      <c r="J530" s="102">
        <v>45796</v>
      </c>
      <c r="K530" s="12">
        <v>45799</v>
      </c>
      <c r="L530" s="19" t="s">
        <v>731</v>
      </c>
      <c r="M530" s="36"/>
      <c r="N530"/>
      <c r="O530" t="s">
        <v>199</v>
      </c>
      <c r="P530" t="s">
        <v>340</v>
      </c>
      <c r="Q530" t="s">
        <v>217</v>
      </c>
    </row>
    <row r="531" spans="1:17" x14ac:dyDescent="0.3">
      <c r="A531" s="9">
        <v>1271</v>
      </c>
      <c r="B531" t="s">
        <v>204</v>
      </c>
      <c r="C531" t="s">
        <v>32</v>
      </c>
      <c r="D531" t="s">
        <v>387</v>
      </c>
      <c r="E531" s="121">
        <v>8323</v>
      </c>
      <c r="F531" s="13">
        <v>45775</v>
      </c>
      <c r="G531" s="11">
        <v>255597.54</v>
      </c>
      <c r="H531" s="11">
        <v>238216.91</v>
      </c>
      <c r="I531" s="3">
        <v>45783</v>
      </c>
      <c r="J531" s="102">
        <v>45796</v>
      </c>
      <c r="K531" s="12">
        <v>45799</v>
      </c>
      <c r="L531" s="19" t="s">
        <v>731</v>
      </c>
      <c r="M531" s="35">
        <v>0</v>
      </c>
      <c r="N531"/>
      <c r="O531" t="s">
        <v>202</v>
      </c>
      <c r="P531" t="s">
        <v>340</v>
      </c>
      <c r="Q531" t="s">
        <v>217</v>
      </c>
    </row>
    <row r="532" spans="1:17" x14ac:dyDescent="0.3">
      <c r="A532" s="9">
        <v>1299</v>
      </c>
      <c r="B532" t="s">
        <v>204</v>
      </c>
      <c r="C532" t="s">
        <v>32</v>
      </c>
      <c r="D532" t="s">
        <v>419</v>
      </c>
      <c r="E532" s="121">
        <v>8330</v>
      </c>
      <c r="F532" s="13">
        <v>45775</v>
      </c>
      <c r="G532" s="11">
        <v>1020096</v>
      </c>
      <c r="H532" s="11">
        <v>950729.47</v>
      </c>
      <c r="I532" s="3">
        <v>45786</v>
      </c>
      <c r="J532" s="102">
        <v>45796</v>
      </c>
      <c r="K532" s="12">
        <v>45800</v>
      </c>
      <c r="L532" s="19" t="s">
        <v>731</v>
      </c>
      <c r="M532" s="55">
        <v>0</v>
      </c>
      <c r="N532" s="15"/>
      <c r="O532" t="s">
        <v>199</v>
      </c>
      <c r="P532" t="s">
        <v>340</v>
      </c>
      <c r="Q532" t="s">
        <v>217</v>
      </c>
    </row>
    <row r="533" spans="1:17" x14ac:dyDescent="0.3">
      <c r="A533" s="9">
        <v>1394</v>
      </c>
      <c r="B533" t="s">
        <v>210</v>
      </c>
      <c r="C533" t="s">
        <v>38</v>
      </c>
      <c r="D533" t="s">
        <v>523</v>
      </c>
      <c r="E533" s="121">
        <v>8321</v>
      </c>
      <c r="F533" s="13">
        <v>45775</v>
      </c>
      <c r="G533" s="24">
        <v>19502.89</v>
      </c>
      <c r="H533" s="24">
        <v>18176.689999999999</v>
      </c>
      <c r="I533" s="3">
        <v>45783</v>
      </c>
      <c r="J533" s="102">
        <v>45789</v>
      </c>
      <c r="K533" s="5">
        <v>45792</v>
      </c>
      <c r="L533" s="22" t="s">
        <v>731</v>
      </c>
      <c r="M533" s="56">
        <v>0</v>
      </c>
      <c r="N533" s="15"/>
      <c r="O533" t="s">
        <v>202</v>
      </c>
      <c r="P533" t="s">
        <v>340</v>
      </c>
      <c r="Q533" t="s">
        <v>213</v>
      </c>
    </row>
    <row r="534" spans="1:17" x14ac:dyDescent="0.3">
      <c r="A534" s="9">
        <v>1394</v>
      </c>
      <c r="B534" t="s">
        <v>210</v>
      </c>
      <c r="C534" t="s">
        <v>38</v>
      </c>
      <c r="D534" t="s">
        <v>523</v>
      </c>
      <c r="E534" s="121">
        <v>8329</v>
      </c>
      <c r="F534" s="13">
        <v>45775</v>
      </c>
      <c r="G534" s="24">
        <v>84858.04</v>
      </c>
      <c r="H534" s="24">
        <v>79087.69</v>
      </c>
      <c r="I534" s="3">
        <v>45786</v>
      </c>
      <c r="J534" s="102">
        <v>45796</v>
      </c>
      <c r="K534" s="5">
        <v>45796</v>
      </c>
      <c r="L534" s="22" t="s">
        <v>731</v>
      </c>
      <c r="M534" s="56">
        <v>0</v>
      </c>
      <c r="N534" s="15"/>
      <c r="O534" t="s">
        <v>202</v>
      </c>
      <c r="P534" t="s">
        <v>340</v>
      </c>
      <c r="Q534" t="s">
        <v>213</v>
      </c>
    </row>
    <row r="535" spans="1:17" x14ac:dyDescent="0.3">
      <c r="A535" s="9">
        <v>1394</v>
      </c>
      <c r="B535" t="s">
        <v>210</v>
      </c>
      <c r="C535" t="s">
        <v>38</v>
      </c>
      <c r="D535" t="s">
        <v>523</v>
      </c>
      <c r="E535" s="121">
        <v>8333</v>
      </c>
      <c r="F535" s="13">
        <v>45775</v>
      </c>
      <c r="G535" s="24">
        <v>111600.22</v>
      </c>
      <c r="H535" s="24">
        <v>104011.41</v>
      </c>
      <c r="I535" s="3">
        <v>45789</v>
      </c>
      <c r="J535" s="102">
        <v>45796</v>
      </c>
      <c r="K535" s="5">
        <v>45796</v>
      </c>
      <c r="L535" s="22" t="s">
        <v>731</v>
      </c>
      <c r="M535" s="56">
        <v>0</v>
      </c>
      <c r="N535" s="15"/>
      <c r="O535" t="s">
        <v>202</v>
      </c>
      <c r="P535" t="s">
        <v>340</v>
      </c>
      <c r="Q535" t="s">
        <v>213</v>
      </c>
    </row>
    <row r="536" spans="1:17" x14ac:dyDescent="0.3">
      <c r="A536" s="9">
        <v>1394</v>
      </c>
      <c r="B536" t="s">
        <v>210</v>
      </c>
      <c r="C536" t="s">
        <v>38</v>
      </c>
      <c r="D536" t="s">
        <v>523</v>
      </c>
      <c r="E536" s="121">
        <v>8339</v>
      </c>
      <c r="F536" s="13">
        <v>45775</v>
      </c>
      <c r="G536" s="24">
        <v>85000</v>
      </c>
      <c r="H536" s="24">
        <v>79220</v>
      </c>
      <c r="I536" s="3">
        <v>45793</v>
      </c>
      <c r="J536" s="102">
        <v>45803</v>
      </c>
      <c r="K536" s="5">
        <v>45803</v>
      </c>
      <c r="L536" s="22" t="s">
        <v>731</v>
      </c>
      <c r="M536" s="56">
        <v>0</v>
      </c>
      <c r="N536" s="15"/>
      <c r="O536" t="s">
        <v>202</v>
      </c>
      <c r="P536" t="s">
        <v>340</v>
      </c>
      <c r="Q536" t="s">
        <v>213</v>
      </c>
    </row>
    <row r="537" spans="1:17" x14ac:dyDescent="0.3">
      <c r="A537" s="9">
        <v>1394</v>
      </c>
      <c r="B537" t="s">
        <v>210</v>
      </c>
      <c r="C537" t="s">
        <v>38</v>
      </c>
      <c r="D537" t="s">
        <v>523</v>
      </c>
      <c r="E537" s="121">
        <v>8341</v>
      </c>
      <c r="F537" s="13">
        <v>45775</v>
      </c>
      <c r="G537" s="24">
        <v>283355.11</v>
      </c>
      <c r="H537" s="24">
        <v>264086.96000000002</v>
      </c>
      <c r="I537" s="3">
        <v>45797</v>
      </c>
      <c r="J537" s="102">
        <v>45803</v>
      </c>
      <c r="K537" s="5">
        <v>45806</v>
      </c>
      <c r="L537" s="22" t="s">
        <v>731</v>
      </c>
      <c r="M537" s="56">
        <v>0</v>
      </c>
      <c r="N537" s="15"/>
      <c r="O537" t="s">
        <v>202</v>
      </c>
      <c r="P537" t="s">
        <v>340</v>
      </c>
      <c r="Q537" t="s">
        <v>213</v>
      </c>
    </row>
    <row r="538" spans="1:17" x14ac:dyDescent="0.3">
      <c r="A538" s="9">
        <v>1394</v>
      </c>
      <c r="B538" t="s">
        <v>210</v>
      </c>
      <c r="C538" t="s">
        <v>38</v>
      </c>
      <c r="D538" t="s">
        <v>523</v>
      </c>
      <c r="E538" s="121">
        <v>8342</v>
      </c>
      <c r="F538" s="13">
        <v>45775</v>
      </c>
      <c r="G538" s="24">
        <v>178140.34</v>
      </c>
      <c r="H538" s="24">
        <v>166026.79</v>
      </c>
      <c r="I538" s="3">
        <v>45798</v>
      </c>
      <c r="J538" s="102">
        <v>45810</v>
      </c>
      <c r="K538" s="5">
        <v>45812</v>
      </c>
      <c r="L538" s="22" t="s">
        <v>731</v>
      </c>
      <c r="M538" s="56">
        <v>0</v>
      </c>
      <c r="N538" s="15"/>
      <c r="O538" t="s">
        <v>202</v>
      </c>
      <c r="P538" t="s">
        <v>340</v>
      </c>
      <c r="Q538" t="s">
        <v>213</v>
      </c>
    </row>
    <row r="539" spans="1:17" x14ac:dyDescent="0.3">
      <c r="A539" s="9">
        <v>1394</v>
      </c>
      <c r="B539" t="s">
        <v>210</v>
      </c>
      <c r="C539" t="s">
        <v>38</v>
      </c>
      <c r="D539" t="s">
        <v>523</v>
      </c>
      <c r="E539" s="121">
        <v>8346</v>
      </c>
      <c r="F539" s="13">
        <v>45775</v>
      </c>
      <c r="G539" s="24">
        <v>127355.8</v>
      </c>
      <c r="H539" s="24">
        <v>118695.6</v>
      </c>
      <c r="I539" s="3">
        <v>45805</v>
      </c>
      <c r="J539" s="102">
        <v>45817</v>
      </c>
      <c r="K539" s="5">
        <v>45818</v>
      </c>
      <c r="L539" s="22" t="s">
        <v>731</v>
      </c>
      <c r="M539" s="56">
        <v>0</v>
      </c>
      <c r="N539" s="15"/>
      <c r="O539" t="s">
        <v>202</v>
      </c>
      <c r="P539" t="s">
        <v>340</v>
      </c>
      <c r="Q539" t="s">
        <v>213</v>
      </c>
    </row>
    <row r="540" spans="1:17" x14ac:dyDescent="0.3">
      <c r="A540" s="9">
        <v>1394</v>
      </c>
      <c r="B540" t="s">
        <v>210</v>
      </c>
      <c r="C540" t="s">
        <v>38</v>
      </c>
      <c r="D540" t="s">
        <v>523</v>
      </c>
      <c r="E540" s="121">
        <v>8386</v>
      </c>
      <c r="F540" s="13">
        <v>45775</v>
      </c>
      <c r="G540" s="24">
        <v>222403.39</v>
      </c>
      <c r="H540" s="24">
        <v>207279.96</v>
      </c>
      <c r="I540" s="3">
        <v>45826</v>
      </c>
      <c r="J540" s="102">
        <v>45839</v>
      </c>
      <c r="K540" s="5">
        <v>45840</v>
      </c>
      <c r="L540" s="22" t="s">
        <v>731</v>
      </c>
      <c r="M540" s="56">
        <v>0</v>
      </c>
      <c r="N540" s="15"/>
      <c r="O540" t="s">
        <v>202</v>
      </c>
      <c r="P540" t="s">
        <v>340</v>
      </c>
      <c r="Q540" t="s">
        <v>213</v>
      </c>
    </row>
    <row r="541" spans="1:17" x14ac:dyDescent="0.3">
      <c r="A541" s="25">
        <v>1360</v>
      </c>
      <c r="B541" t="s">
        <v>71</v>
      </c>
      <c r="C541" t="s">
        <v>44</v>
      </c>
      <c r="D541" t="s">
        <v>483</v>
      </c>
      <c r="E541" s="121">
        <v>3984</v>
      </c>
      <c r="F541" s="13">
        <v>45775</v>
      </c>
      <c r="G541" s="24">
        <v>141265.84</v>
      </c>
      <c r="H541" s="24">
        <v>132577.99</v>
      </c>
      <c r="I541" s="3">
        <v>45770</v>
      </c>
      <c r="J541" s="102">
        <v>45796</v>
      </c>
      <c r="K541" s="12">
        <v>45800</v>
      </c>
      <c r="L541" s="19" t="s">
        <v>731</v>
      </c>
      <c r="M541" s="36"/>
      <c r="N541"/>
      <c r="O541" t="s">
        <v>199</v>
      </c>
      <c r="P541" t="s">
        <v>376</v>
      </c>
      <c r="Q541" t="s">
        <v>203</v>
      </c>
    </row>
    <row r="542" spans="1:17" x14ac:dyDescent="0.3">
      <c r="A542" s="25">
        <v>1360</v>
      </c>
      <c r="B542" t="s">
        <v>71</v>
      </c>
      <c r="C542" t="s">
        <v>44</v>
      </c>
      <c r="D542" t="s">
        <v>483</v>
      </c>
      <c r="E542" s="121">
        <v>3983</v>
      </c>
      <c r="F542" s="13">
        <v>45775</v>
      </c>
      <c r="G542" s="24">
        <v>93477.8</v>
      </c>
      <c r="H542" s="27">
        <v>87728.91</v>
      </c>
      <c r="I542" s="3">
        <v>45770</v>
      </c>
      <c r="J542" s="102">
        <v>45852</v>
      </c>
      <c r="K542" s="12">
        <v>45853</v>
      </c>
      <c r="L542" s="19" t="s">
        <v>731</v>
      </c>
      <c r="M542" s="36"/>
      <c r="N542"/>
      <c r="O542" t="s">
        <v>199</v>
      </c>
      <c r="P542" t="s">
        <v>376</v>
      </c>
      <c r="Q542" t="s">
        <v>203</v>
      </c>
    </row>
    <row r="543" spans="1:17" x14ac:dyDescent="0.3">
      <c r="A543" s="25">
        <v>1360</v>
      </c>
      <c r="B543" t="s">
        <v>71</v>
      </c>
      <c r="C543" t="s">
        <v>44</v>
      </c>
      <c r="D543" t="s">
        <v>483</v>
      </c>
      <c r="E543" s="121">
        <v>3991</v>
      </c>
      <c r="F543" s="13">
        <v>45775</v>
      </c>
      <c r="G543" s="27">
        <v>65704</v>
      </c>
      <c r="H543" s="27">
        <v>61663.199999999997</v>
      </c>
      <c r="I543" s="3">
        <v>45776</v>
      </c>
      <c r="J543" s="102">
        <v>45803</v>
      </c>
      <c r="K543" s="12">
        <v>45807</v>
      </c>
      <c r="L543" s="19" t="s">
        <v>731</v>
      </c>
      <c r="M543" s="36"/>
      <c r="N543"/>
      <c r="O543" t="s">
        <v>199</v>
      </c>
      <c r="P543" t="s">
        <v>376</v>
      </c>
      <c r="Q543" t="s">
        <v>203</v>
      </c>
    </row>
    <row r="544" spans="1:17" x14ac:dyDescent="0.3">
      <c r="A544" s="25">
        <v>1360</v>
      </c>
      <c r="B544" t="s">
        <v>71</v>
      </c>
      <c r="C544" t="s">
        <v>44</v>
      </c>
      <c r="D544" t="s">
        <v>483</v>
      </c>
      <c r="E544" s="121">
        <v>3990</v>
      </c>
      <c r="F544" s="13">
        <v>45775</v>
      </c>
      <c r="G544" s="27">
        <v>72457.600000000006</v>
      </c>
      <c r="H544" s="27">
        <v>68001.460000000006</v>
      </c>
      <c r="I544" s="3">
        <v>45776</v>
      </c>
      <c r="J544" s="102">
        <v>45803</v>
      </c>
      <c r="K544" s="12">
        <v>45807</v>
      </c>
      <c r="L544" s="19" t="s">
        <v>731</v>
      </c>
      <c r="M544" s="36"/>
      <c r="N544"/>
      <c r="O544" t="s">
        <v>199</v>
      </c>
      <c r="P544" t="s">
        <v>376</v>
      </c>
      <c r="Q544" t="s">
        <v>203</v>
      </c>
    </row>
    <row r="545" spans="1:17" x14ac:dyDescent="0.3">
      <c r="A545" s="25">
        <v>1360</v>
      </c>
      <c r="B545" t="s">
        <v>71</v>
      </c>
      <c r="C545" t="s">
        <v>44</v>
      </c>
      <c r="D545" t="s">
        <v>483</v>
      </c>
      <c r="E545" s="121">
        <v>4043</v>
      </c>
      <c r="F545" s="13">
        <v>45775</v>
      </c>
      <c r="G545" s="24">
        <v>26224</v>
      </c>
      <c r="H545" s="27">
        <v>24611.22</v>
      </c>
      <c r="I545" s="3">
        <v>45798</v>
      </c>
      <c r="J545" s="102">
        <v>45831</v>
      </c>
      <c r="K545" s="12">
        <v>45833</v>
      </c>
      <c r="L545" s="19" t="s">
        <v>731</v>
      </c>
      <c r="M545" s="36"/>
      <c r="N545"/>
      <c r="O545" t="s">
        <v>199</v>
      </c>
      <c r="P545" t="s">
        <v>376</v>
      </c>
      <c r="Q545" t="s">
        <v>203</v>
      </c>
    </row>
    <row r="546" spans="1:17" x14ac:dyDescent="0.3">
      <c r="A546" s="25">
        <v>1360</v>
      </c>
      <c r="B546" t="s">
        <v>71</v>
      </c>
      <c r="C546" t="s">
        <v>44</v>
      </c>
      <c r="D546" t="s">
        <v>483</v>
      </c>
      <c r="E546" s="121">
        <v>4061</v>
      </c>
      <c r="F546" s="13">
        <v>45775</v>
      </c>
      <c r="G546" s="24">
        <v>133070.39999999999</v>
      </c>
      <c r="H546" s="27">
        <v>124886.57</v>
      </c>
      <c r="I546" s="3">
        <v>45799</v>
      </c>
      <c r="J546" s="102">
        <v>45831</v>
      </c>
      <c r="K546" s="12">
        <v>45833</v>
      </c>
      <c r="L546" s="19" t="s">
        <v>731</v>
      </c>
      <c r="M546" s="36"/>
      <c r="N546"/>
      <c r="O546" t="s">
        <v>199</v>
      </c>
      <c r="P546" t="s">
        <v>376</v>
      </c>
      <c r="Q546" t="s">
        <v>203</v>
      </c>
    </row>
    <row r="547" spans="1:17" x14ac:dyDescent="0.3">
      <c r="A547" s="25">
        <v>1360</v>
      </c>
      <c r="B547" t="s">
        <v>71</v>
      </c>
      <c r="C547" t="s">
        <v>44</v>
      </c>
      <c r="D547" t="s">
        <v>483</v>
      </c>
      <c r="E547" s="121">
        <v>4063</v>
      </c>
      <c r="F547" s="13">
        <v>45775</v>
      </c>
      <c r="G547" s="24">
        <v>10808</v>
      </c>
      <c r="H547" s="27">
        <v>10143.31</v>
      </c>
      <c r="I547" s="3">
        <v>45800</v>
      </c>
      <c r="J547" s="102">
        <v>45831</v>
      </c>
      <c r="K547" s="12">
        <v>45833</v>
      </c>
      <c r="L547" s="19" t="s">
        <v>731</v>
      </c>
      <c r="M547" s="36"/>
      <c r="N547"/>
      <c r="O547" t="s">
        <v>199</v>
      </c>
      <c r="P547" t="s">
        <v>376</v>
      </c>
      <c r="Q547" t="s">
        <v>203</v>
      </c>
    </row>
    <row r="548" spans="1:17" x14ac:dyDescent="0.3">
      <c r="A548" s="25">
        <v>1360</v>
      </c>
      <c r="B548" t="s">
        <v>71</v>
      </c>
      <c r="C548" t="s">
        <v>44</v>
      </c>
      <c r="D548" t="s">
        <v>483</v>
      </c>
      <c r="E548" s="121">
        <v>4073</v>
      </c>
      <c r="F548" s="13">
        <v>45775</v>
      </c>
      <c r="G548" s="24">
        <v>81404.800000000003</v>
      </c>
      <c r="H548" s="27">
        <v>76398.41</v>
      </c>
      <c r="I548" s="3">
        <v>45807</v>
      </c>
      <c r="J548" s="102">
        <v>45831</v>
      </c>
      <c r="K548" s="12">
        <v>45833</v>
      </c>
      <c r="L548" s="19" t="s">
        <v>731</v>
      </c>
      <c r="M548" s="36"/>
      <c r="N548"/>
      <c r="O548" t="s">
        <v>199</v>
      </c>
      <c r="P548" t="s">
        <v>376</v>
      </c>
      <c r="Q548" t="s">
        <v>203</v>
      </c>
    </row>
    <row r="549" spans="1:17" x14ac:dyDescent="0.3">
      <c r="A549" s="25">
        <v>1360</v>
      </c>
      <c r="B549" t="s">
        <v>71</v>
      </c>
      <c r="C549" t="s">
        <v>44</v>
      </c>
      <c r="D549" t="s">
        <v>483</v>
      </c>
      <c r="E549" s="121">
        <v>4070</v>
      </c>
      <c r="F549" s="13">
        <v>45775</v>
      </c>
      <c r="G549" s="24">
        <v>53936</v>
      </c>
      <c r="H549" s="27">
        <v>50618.94</v>
      </c>
      <c r="I549" s="3">
        <v>45807</v>
      </c>
      <c r="J549" s="102">
        <v>45831</v>
      </c>
      <c r="K549" s="12">
        <v>45833</v>
      </c>
      <c r="L549" s="19" t="s">
        <v>731</v>
      </c>
      <c r="M549" s="36"/>
      <c r="N549"/>
      <c r="O549" t="s">
        <v>199</v>
      </c>
      <c r="P549" t="s">
        <v>376</v>
      </c>
      <c r="Q549" t="s">
        <v>203</v>
      </c>
    </row>
    <row r="550" spans="1:17" x14ac:dyDescent="0.3">
      <c r="A550" s="25">
        <v>1360</v>
      </c>
      <c r="B550" t="s">
        <v>71</v>
      </c>
      <c r="C550" t="s">
        <v>44</v>
      </c>
      <c r="D550" t="s">
        <v>483</v>
      </c>
      <c r="E550" s="121">
        <v>4126</v>
      </c>
      <c r="F550" s="13">
        <v>45775</v>
      </c>
      <c r="G550" s="24">
        <v>57634.400000000001</v>
      </c>
      <c r="H550" s="27">
        <v>54089.89</v>
      </c>
      <c r="I550" s="3">
        <v>45820</v>
      </c>
      <c r="J550" s="102">
        <v>45831</v>
      </c>
      <c r="K550" s="12">
        <v>45833</v>
      </c>
      <c r="L550" s="19" t="s">
        <v>731</v>
      </c>
      <c r="M550" s="36"/>
      <c r="N550"/>
      <c r="O550" t="s">
        <v>199</v>
      </c>
      <c r="P550" t="s">
        <v>376</v>
      </c>
      <c r="Q550" t="s">
        <v>203</v>
      </c>
    </row>
    <row r="551" spans="1:17" x14ac:dyDescent="0.3">
      <c r="A551" s="25">
        <v>1387</v>
      </c>
      <c r="B551" t="s">
        <v>71</v>
      </c>
      <c r="C551" t="s">
        <v>44</v>
      </c>
      <c r="D551" t="s">
        <v>517</v>
      </c>
      <c r="E551" s="121">
        <v>3982</v>
      </c>
      <c r="F551" s="13">
        <v>45775</v>
      </c>
      <c r="G551" s="24">
        <v>30648</v>
      </c>
      <c r="H551" s="24">
        <v>28763.15</v>
      </c>
      <c r="I551" s="3">
        <v>45770</v>
      </c>
      <c r="J551" s="102">
        <v>45817</v>
      </c>
      <c r="K551" s="12">
        <v>45819</v>
      </c>
      <c r="L551" s="19" t="s">
        <v>731</v>
      </c>
      <c r="M551" s="36"/>
      <c r="N551"/>
      <c r="O551" t="s">
        <v>202</v>
      </c>
      <c r="P551" t="s">
        <v>376</v>
      </c>
      <c r="Q551" t="s">
        <v>203</v>
      </c>
    </row>
    <row r="552" spans="1:17" x14ac:dyDescent="0.3">
      <c r="A552" s="25">
        <v>1387</v>
      </c>
      <c r="B552" t="s">
        <v>71</v>
      </c>
      <c r="C552" t="s">
        <v>44</v>
      </c>
      <c r="D552" t="s">
        <v>517</v>
      </c>
      <c r="E552" s="121">
        <v>3985</v>
      </c>
      <c r="F552" s="13">
        <v>45775</v>
      </c>
      <c r="G552" s="24">
        <v>14423.2</v>
      </c>
      <c r="H552" s="24">
        <v>13536.17</v>
      </c>
      <c r="I552" s="3">
        <v>45772</v>
      </c>
      <c r="J552" s="102">
        <v>45803</v>
      </c>
      <c r="K552" s="12">
        <v>45803</v>
      </c>
      <c r="L552" s="19" t="s">
        <v>731</v>
      </c>
      <c r="M552" s="36"/>
      <c r="N552"/>
      <c r="O552" t="s">
        <v>202</v>
      </c>
      <c r="P552" t="s">
        <v>376</v>
      </c>
      <c r="Q552" t="s">
        <v>203</v>
      </c>
    </row>
    <row r="553" spans="1:17" x14ac:dyDescent="0.3">
      <c r="A553" s="25">
        <v>1387</v>
      </c>
      <c r="B553" t="s">
        <v>71</v>
      </c>
      <c r="C553" t="s">
        <v>44</v>
      </c>
      <c r="D553" t="s">
        <v>517</v>
      </c>
      <c r="E553" s="121">
        <v>3986</v>
      </c>
      <c r="F553" s="13">
        <v>45775</v>
      </c>
      <c r="G553" s="27">
        <v>40600</v>
      </c>
      <c r="H553" s="27">
        <v>38103.1</v>
      </c>
      <c r="I553" s="3">
        <v>45775</v>
      </c>
      <c r="J553" s="102">
        <v>45803</v>
      </c>
      <c r="K553" s="12">
        <v>45807</v>
      </c>
      <c r="L553" s="19" t="s">
        <v>731</v>
      </c>
      <c r="M553" s="36"/>
      <c r="N553"/>
      <c r="O553" t="s">
        <v>202</v>
      </c>
      <c r="P553" t="s">
        <v>376</v>
      </c>
      <c r="Q553" t="s">
        <v>203</v>
      </c>
    </row>
    <row r="554" spans="1:17" x14ac:dyDescent="0.3">
      <c r="A554" s="25">
        <v>1387</v>
      </c>
      <c r="B554" t="s">
        <v>71</v>
      </c>
      <c r="C554" t="s">
        <v>44</v>
      </c>
      <c r="D554" t="s">
        <v>517</v>
      </c>
      <c r="E554" s="121">
        <v>4056</v>
      </c>
      <c r="F554" s="13">
        <v>45775</v>
      </c>
      <c r="G554" s="24">
        <v>32288</v>
      </c>
      <c r="H554" s="27">
        <v>30302.29</v>
      </c>
      <c r="I554" s="3">
        <v>45798</v>
      </c>
      <c r="J554" s="102">
        <v>45831</v>
      </c>
      <c r="K554" s="12">
        <v>45833</v>
      </c>
      <c r="L554" s="19" t="s">
        <v>731</v>
      </c>
      <c r="M554" s="36"/>
      <c r="N554"/>
      <c r="O554" t="s">
        <v>202</v>
      </c>
      <c r="P554" t="s">
        <v>376</v>
      </c>
      <c r="Q554" t="s">
        <v>203</v>
      </c>
    </row>
    <row r="555" spans="1:17" x14ac:dyDescent="0.3">
      <c r="A555" s="25">
        <v>1387</v>
      </c>
      <c r="B555" t="s">
        <v>71</v>
      </c>
      <c r="C555" t="s">
        <v>44</v>
      </c>
      <c r="D555" t="s">
        <v>517</v>
      </c>
      <c r="E555" s="121">
        <v>4060</v>
      </c>
      <c r="F555" s="13">
        <v>45775</v>
      </c>
      <c r="G555" s="24">
        <v>50416.800000000003</v>
      </c>
      <c r="H555" s="27">
        <v>47316.17</v>
      </c>
      <c r="I555" s="3">
        <v>45799</v>
      </c>
      <c r="J555" s="102">
        <v>45831</v>
      </c>
      <c r="K555" s="12">
        <v>45833</v>
      </c>
      <c r="L555" s="19" t="s">
        <v>731</v>
      </c>
      <c r="M555" s="36"/>
      <c r="N555"/>
      <c r="O555" t="s">
        <v>202</v>
      </c>
      <c r="P555" t="s">
        <v>376</v>
      </c>
      <c r="Q555" t="s">
        <v>203</v>
      </c>
    </row>
    <row r="556" spans="1:17" x14ac:dyDescent="0.3">
      <c r="A556" s="25">
        <v>1387</v>
      </c>
      <c r="B556" t="s">
        <v>71</v>
      </c>
      <c r="C556" t="s">
        <v>44</v>
      </c>
      <c r="D556" t="s">
        <v>517</v>
      </c>
      <c r="E556" s="121">
        <v>4067</v>
      </c>
      <c r="F556" s="13">
        <v>45775</v>
      </c>
      <c r="G556" s="24">
        <v>40600</v>
      </c>
      <c r="H556" s="27">
        <v>38103.1</v>
      </c>
      <c r="I556" s="3">
        <v>45804</v>
      </c>
      <c r="J556" s="102">
        <v>45831</v>
      </c>
      <c r="K556" s="12">
        <v>45833</v>
      </c>
      <c r="L556" s="19" t="s">
        <v>731</v>
      </c>
      <c r="M556" s="36"/>
      <c r="N556"/>
      <c r="O556" t="s">
        <v>202</v>
      </c>
      <c r="P556" t="s">
        <v>376</v>
      </c>
      <c r="Q556" t="s">
        <v>203</v>
      </c>
    </row>
    <row r="557" spans="1:17" x14ac:dyDescent="0.3">
      <c r="A557" s="25">
        <v>1470</v>
      </c>
      <c r="B557" t="s">
        <v>212</v>
      </c>
      <c r="C557" t="s">
        <v>175</v>
      </c>
      <c r="D557" t="s">
        <v>620</v>
      </c>
      <c r="E557" s="121">
        <v>8315</v>
      </c>
      <c r="F557" s="13">
        <v>45775</v>
      </c>
      <c r="G557" s="24">
        <v>36700</v>
      </c>
      <c r="H557" s="24">
        <v>33708.949999999997</v>
      </c>
      <c r="I557" s="3">
        <v>45782</v>
      </c>
      <c r="J557" s="102">
        <v>45789</v>
      </c>
      <c r="K557" s="12">
        <v>45792</v>
      </c>
      <c r="L557" s="19" t="s">
        <v>731</v>
      </c>
      <c r="M557" s="36">
        <v>0</v>
      </c>
      <c r="N557" s="26"/>
      <c r="O557" t="s">
        <v>202</v>
      </c>
      <c r="P557" t="s">
        <v>328</v>
      </c>
      <c r="Q557" t="s">
        <v>213</v>
      </c>
    </row>
    <row r="558" spans="1:17" x14ac:dyDescent="0.3">
      <c r="A558" s="25">
        <v>1273</v>
      </c>
      <c r="B558" t="s">
        <v>204</v>
      </c>
      <c r="C558" t="s">
        <v>39</v>
      </c>
      <c r="D558" t="s">
        <v>389</v>
      </c>
      <c r="E558" s="121">
        <v>1257</v>
      </c>
      <c r="F558" s="13">
        <v>45775</v>
      </c>
      <c r="G558" s="2">
        <v>617803.57999999996</v>
      </c>
      <c r="H558" s="24">
        <v>554169.81000000006</v>
      </c>
      <c r="I558" s="3">
        <v>45797</v>
      </c>
      <c r="J558" s="102">
        <v>45817</v>
      </c>
      <c r="K558" s="12">
        <v>45818</v>
      </c>
      <c r="L558" s="19" t="s">
        <v>731</v>
      </c>
      <c r="M558" s="36">
        <v>0</v>
      </c>
      <c r="N558"/>
      <c r="O558" t="s">
        <v>202</v>
      </c>
      <c r="P558" t="s">
        <v>340</v>
      </c>
      <c r="Q558" t="s">
        <v>217</v>
      </c>
    </row>
    <row r="559" spans="1:17" x14ac:dyDescent="0.3">
      <c r="A559" s="25">
        <v>1273</v>
      </c>
      <c r="B559" t="s">
        <v>204</v>
      </c>
      <c r="C559" t="s">
        <v>39</v>
      </c>
      <c r="D559" t="s">
        <v>389</v>
      </c>
      <c r="E559" s="121"/>
      <c r="F559" s="13">
        <v>45775</v>
      </c>
      <c r="G559" s="59">
        <v>94887.420000000042</v>
      </c>
      <c r="H559" s="24"/>
      <c r="I559" s="3">
        <v>45778</v>
      </c>
      <c r="J559" s="102"/>
      <c r="K559" s="12"/>
      <c r="L559" s="19" t="s">
        <v>719</v>
      </c>
      <c r="M559" s="36">
        <v>0</v>
      </c>
      <c r="N559"/>
      <c r="O559" t="s">
        <v>202</v>
      </c>
      <c r="P559" t="s">
        <v>340</v>
      </c>
      <c r="Q559" t="s">
        <v>217</v>
      </c>
    </row>
    <row r="560" spans="1:17" x14ac:dyDescent="0.3">
      <c r="A560" s="9">
        <v>1277</v>
      </c>
      <c r="B560" t="s">
        <v>204</v>
      </c>
      <c r="C560" t="s">
        <v>39</v>
      </c>
      <c r="D560" t="s">
        <v>393</v>
      </c>
      <c r="E560" s="121">
        <v>1258</v>
      </c>
      <c r="F560" s="13">
        <v>45775</v>
      </c>
      <c r="G560" s="24">
        <v>154365.24</v>
      </c>
      <c r="H560" s="11">
        <v>138465.63</v>
      </c>
      <c r="I560" s="3">
        <v>45797</v>
      </c>
      <c r="J560" s="102">
        <v>45817</v>
      </c>
      <c r="K560" s="12">
        <v>45821</v>
      </c>
      <c r="L560" s="19" t="s">
        <v>731</v>
      </c>
      <c r="M560" s="35">
        <v>0</v>
      </c>
      <c r="N560"/>
      <c r="O560" t="s">
        <v>202</v>
      </c>
      <c r="P560" t="s">
        <v>340</v>
      </c>
      <c r="Q560" t="s">
        <v>217</v>
      </c>
    </row>
    <row r="561" spans="1:17" x14ac:dyDescent="0.3">
      <c r="A561" s="25">
        <v>1268</v>
      </c>
      <c r="B561" t="s">
        <v>193</v>
      </c>
      <c r="C561" t="s">
        <v>141</v>
      </c>
      <c r="D561" t="s">
        <v>383</v>
      </c>
      <c r="E561" s="118">
        <v>4030</v>
      </c>
      <c r="F561" s="13">
        <v>45775</v>
      </c>
      <c r="G561" s="24">
        <v>99705.76</v>
      </c>
      <c r="H561" s="24">
        <v>93573.87</v>
      </c>
      <c r="I561" s="3">
        <v>45791</v>
      </c>
      <c r="J561" s="102">
        <v>45803</v>
      </c>
      <c r="K561" s="12">
        <v>45804</v>
      </c>
      <c r="L561" s="19" t="s">
        <v>731</v>
      </c>
      <c r="M561" s="36">
        <v>0</v>
      </c>
      <c r="N561"/>
      <c r="O561" t="s">
        <v>199</v>
      </c>
      <c r="P561" t="s">
        <v>376</v>
      </c>
      <c r="Q561" t="s">
        <v>207</v>
      </c>
    </row>
    <row r="562" spans="1:17" x14ac:dyDescent="0.3">
      <c r="A562" s="25">
        <v>1268</v>
      </c>
      <c r="B562" t="s">
        <v>193</v>
      </c>
      <c r="C562" t="s">
        <v>141</v>
      </c>
      <c r="D562" t="s">
        <v>383</v>
      </c>
      <c r="E562" s="118">
        <v>4029</v>
      </c>
      <c r="F562" s="13">
        <v>45775</v>
      </c>
      <c r="G562" s="24">
        <v>1161883.8</v>
      </c>
      <c r="H562" s="27">
        <v>1090427.94</v>
      </c>
      <c r="I562" s="3">
        <v>45791</v>
      </c>
      <c r="J562" s="102">
        <v>45803</v>
      </c>
      <c r="K562" s="12">
        <v>45806</v>
      </c>
      <c r="L562" s="19" t="s">
        <v>731</v>
      </c>
      <c r="M562" s="36">
        <v>0</v>
      </c>
      <c r="N562"/>
      <c r="O562" t="s">
        <v>199</v>
      </c>
      <c r="P562" t="s">
        <v>376</v>
      </c>
      <c r="Q562" t="s">
        <v>207</v>
      </c>
    </row>
    <row r="563" spans="1:17" x14ac:dyDescent="0.3">
      <c r="A563" s="25">
        <v>1268</v>
      </c>
      <c r="B563" t="s">
        <v>193</v>
      </c>
      <c r="C563" t="s">
        <v>141</v>
      </c>
      <c r="D563" t="s">
        <v>383</v>
      </c>
      <c r="E563" s="118">
        <v>4028</v>
      </c>
      <c r="F563" s="13">
        <v>45775</v>
      </c>
      <c r="G563" s="24">
        <v>87714.73</v>
      </c>
      <c r="H563" s="27">
        <v>82320.28</v>
      </c>
      <c r="I563" s="3">
        <v>45791</v>
      </c>
      <c r="J563" s="102">
        <v>45803</v>
      </c>
      <c r="K563" s="12">
        <v>45806</v>
      </c>
      <c r="L563" s="19" t="s">
        <v>731</v>
      </c>
      <c r="M563" s="36">
        <v>0</v>
      </c>
      <c r="N563"/>
      <c r="O563" t="s">
        <v>199</v>
      </c>
      <c r="P563" t="s">
        <v>376</v>
      </c>
      <c r="Q563" t="s">
        <v>207</v>
      </c>
    </row>
    <row r="564" spans="1:17" x14ac:dyDescent="0.3">
      <c r="A564" s="25">
        <v>1483</v>
      </c>
      <c r="B564" t="s">
        <v>212</v>
      </c>
      <c r="C564" t="s">
        <v>178</v>
      </c>
      <c r="D564" t="s">
        <v>633</v>
      </c>
      <c r="E564" s="121">
        <v>8316</v>
      </c>
      <c r="F564" s="13">
        <v>45775</v>
      </c>
      <c r="G564" s="24">
        <v>53591.199999999997</v>
      </c>
      <c r="H564" s="24">
        <v>49527.08</v>
      </c>
      <c r="I564" s="3">
        <v>45782</v>
      </c>
      <c r="J564" s="102">
        <v>45817</v>
      </c>
      <c r="K564" s="12">
        <v>45819</v>
      </c>
      <c r="L564" s="19" t="s">
        <v>731</v>
      </c>
      <c r="M564" s="36">
        <v>0</v>
      </c>
      <c r="N564" s="26"/>
      <c r="O564" t="s">
        <v>202</v>
      </c>
      <c r="P564" t="s">
        <v>328</v>
      </c>
      <c r="Q564" t="s">
        <v>207</v>
      </c>
    </row>
    <row r="565" spans="1:17" x14ac:dyDescent="0.3">
      <c r="A565" s="25">
        <v>1483</v>
      </c>
      <c r="B565" t="s">
        <v>212</v>
      </c>
      <c r="C565" t="s">
        <v>178</v>
      </c>
      <c r="D565" t="s">
        <v>633</v>
      </c>
      <c r="E565" s="121">
        <v>8317</v>
      </c>
      <c r="F565" s="13">
        <v>45775</v>
      </c>
      <c r="G565" s="24">
        <v>28856.799999999999</v>
      </c>
      <c r="H565" s="24">
        <v>27082.11</v>
      </c>
      <c r="I565" s="3">
        <v>45782</v>
      </c>
      <c r="J565" s="102">
        <v>45824</v>
      </c>
      <c r="K565" s="12">
        <v>45827</v>
      </c>
      <c r="L565" s="19" t="s">
        <v>731</v>
      </c>
      <c r="M565" s="36">
        <v>0</v>
      </c>
      <c r="N565" s="26"/>
      <c r="O565" t="s">
        <v>202</v>
      </c>
      <c r="P565" t="s">
        <v>328</v>
      </c>
      <c r="Q565" t="s">
        <v>207</v>
      </c>
    </row>
    <row r="566" spans="1:17" ht="15.75" customHeight="1" x14ac:dyDescent="0.3">
      <c r="A566" s="25">
        <v>1275</v>
      </c>
      <c r="B566" t="s">
        <v>193</v>
      </c>
      <c r="C566" t="s">
        <v>165</v>
      </c>
      <c r="D566" t="s">
        <v>391</v>
      </c>
      <c r="E566" s="121">
        <v>3995</v>
      </c>
      <c r="F566" s="13">
        <v>45775</v>
      </c>
      <c r="G566" s="24">
        <v>16767.240000000002</v>
      </c>
      <c r="H566" s="24">
        <v>15736.05</v>
      </c>
      <c r="I566" s="3">
        <v>45779</v>
      </c>
      <c r="J566" s="102">
        <v>45803</v>
      </c>
      <c r="K566" s="12">
        <v>45806</v>
      </c>
      <c r="L566" s="19" t="s">
        <v>731</v>
      </c>
      <c r="M566" s="36">
        <v>0</v>
      </c>
      <c r="N566" s="26"/>
      <c r="O566" t="s">
        <v>199</v>
      </c>
      <c r="P566" t="s">
        <v>376</v>
      </c>
      <c r="Q566" t="s">
        <v>207</v>
      </c>
    </row>
    <row r="567" spans="1:17" ht="15.75" customHeight="1" x14ac:dyDescent="0.3">
      <c r="A567" s="25">
        <v>1479</v>
      </c>
      <c r="B567" t="s">
        <v>193</v>
      </c>
      <c r="C567" t="s">
        <v>165</v>
      </c>
      <c r="D567" t="s">
        <v>629</v>
      </c>
      <c r="E567" s="121">
        <v>3996</v>
      </c>
      <c r="F567" s="13">
        <v>45775</v>
      </c>
      <c r="G567" s="24">
        <v>26040</v>
      </c>
      <c r="H567" s="27">
        <v>24438.54</v>
      </c>
      <c r="I567" s="3">
        <v>45779</v>
      </c>
      <c r="J567" s="102">
        <v>45803</v>
      </c>
      <c r="K567" s="12">
        <v>45806</v>
      </c>
      <c r="L567" s="19" t="s">
        <v>731</v>
      </c>
      <c r="M567" s="36">
        <v>0</v>
      </c>
      <c r="N567" s="26"/>
      <c r="O567" t="s">
        <v>201</v>
      </c>
      <c r="P567" t="s">
        <v>376</v>
      </c>
      <c r="Q567" t="s">
        <v>207</v>
      </c>
    </row>
    <row r="568" spans="1:17" ht="15.75" customHeight="1" x14ac:dyDescent="0.3">
      <c r="A568" s="9">
        <v>1298</v>
      </c>
      <c r="B568" t="s">
        <v>84</v>
      </c>
      <c r="C568" t="s">
        <v>36</v>
      </c>
      <c r="D568" t="s">
        <v>418</v>
      </c>
      <c r="E568" s="121">
        <v>1251</v>
      </c>
      <c r="F568" s="13">
        <v>45775</v>
      </c>
      <c r="G568" s="24">
        <v>275594.28999999998</v>
      </c>
      <c r="H568" s="24">
        <v>258645.25</v>
      </c>
      <c r="I568" s="3">
        <v>45790</v>
      </c>
      <c r="J568" s="102">
        <v>45796</v>
      </c>
      <c r="K568" s="12">
        <v>45800</v>
      </c>
      <c r="L568" s="19" t="s">
        <v>731</v>
      </c>
      <c r="M568" s="35">
        <v>0</v>
      </c>
      <c r="N568"/>
      <c r="O568" t="s">
        <v>202</v>
      </c>
      <c r="P568" t="s">
        <v>340</v>
      </c>
      <c r="Q568" t="s">
        <v>207</v>
      </c>
    </row>
    <row r="569" spans="1:17" ht="15.75" customHeight="1" x14ac:dyDescent="0.3">
      <c r="A569" s="25">
        <v>1455</v>
      </c>
      <c r="B569" t="s">
        <v>215</v>
      </c>
      <c r="C569" t="s">
        <v>60</v>
      </c>
      <c r="D569" t="s">
        <v>600</v>
      </c>
      <c r="E569" s="121">
        <v>8350</v>
      </c>
      <c r="F569" s="13">
        <v>45805</v>
      </c>
      <c r="G569" s="24">
        <v>54003.39</v>
      </c>
      <c r="H569" s="24">
        <v>47712</v>
      </c>
      <c r="I569" s="3">
        <v>45811</v>
      </c>
      <c r="J569" s="102">
        <v>45838</v>
      </c>
      <c r="K569" s="12">
        <v>45838</v>
      </c>
      <c r="L569" s="22" t="s">
        <v>731</v>
      </c>
      <c r="M569" s="42"/>
      <c r="N569" s="26"/>
      <c r="O569" t="s">
        <v>202</v>
      </c>
      <c r="P569" t="s">
        <v>373</v>
      </c>
      <c r="Q569" t="s">
        <v>213</v>
      </c>
    </row>
    <row r="570" spans="1:17" ht="15.75" customHeight="1" x14ac:dyDescent="0.3">
      <c r="A570" s="9">
        <v>1489</v>
      </c>
      <c r="B570" t="s">
        <v>193</v>
      </c>
      <c r="C570" t="s">
        <v>42</v>
      </c>
      <c r="D570" t="s">
        <v>639</v>
      </c>
      <c r="E570" s="121">
        <v>4080</v>
      </c>
      <c r="F570" s="13">
        <v>45805</v>
      </c>
      <c r="G570" s="11">
        <v>42812.21</v>
      </c>
      <c r="H570" s="24">
        <v>40179.26</v>
      </c>
      <c r="I570" s="3">
        <v>45811</v>
      </c>
      <c r="J570" s="102">
        <v>45839</v>
      </c>
      <c r="K570" s="12">
        <v>45841</v>
      </c>
      <c r="L570" s="19" t="s">
        <v>731</v>
      </c>
      <c r="M570" s="38"/>
      <c r="N570" s="15"/>
      <c r="O570" t="s">
        <v>201</v>
      </c>
      <c r="P570" t="s">
        <v>376</v>
      </c>
      <c r="Q570" t="s">
        <v>207</v>
      </c>
    </row>
    <row r="571" spans="1:17" ht="15.75" customHeight="1" x14ac:dyDescent="0.3">
      <c r="A571" s="25">
        <v>1478</v>
      </c>
      <c r="B571" t="s">
        <v>71</v>
      </c>
      <c r="C571" t="s">
        <v>198</v>
      </c>
      <c r="D571" t="s">
        <v>628</v>
      </c>
      <c r="E571" s="121">
        <v>8348</v>
      </c>
      <c r="F571" s="13">
        <v>45805</v>
      </c>
      <c r="G571" s="24">
        <v>76256.009999999995</v>
      </c>
      <c r="H571" s="24">
        <v>71566.27</v>
      </c>
      <c r="I571" s="3">
        <v>45807</v>
      </c>
      <c r="J571" s="102">
        <v>45831</v>
      </c>
      <c r="K571" s="12">
        <v>45835</v>
      </c>
      <c r="L571" s="19" t="s">
        <v>731</v>
      </c>
      <c r="M571" s="36"/>
      <c r="N571"/>
      <c r="O571" t="s">
        <v>199</v>
      </c>
      <c r="P571" t="s">
        <v>376</v>
      </c>
      <c r="Q571" t="s">
        <v>203</v>
      </c>
    </row>
    <row r="572" spans="1:17" ht="15.75" customHeight="1" x14ac:dyDescent="0.3">
      <c r="A572" s="9">
        <v>1499</v>
      </c>
      <c r="B572" t="s">
        <v>71</v>
      </c>
      <c r="C572" t="s">
        <v>109</v>
      </c>
      <c r="D572" t="s">
        <v>650</v>
      </c>
      <c r="E572" s="121">
        <v>8418</v>
      </c>
      <c r="F572" s="13">
        <v>45805</v>
      </c>
      <c r="G572" s="24">
        <v>52900</v>
      </c>
      <c r="H572" s="11">
        <v>49646.65</v>
      </c>
      <c r="I572" s="3">
        <v>45846</v>
      </c>
      <c r="J572" s="102">
        <v>45866</v>
      </c>
      <c r="K572" s="12">
        <v>45866</v>
      </c>
      <c r="L572" s="19" t="s">
        <v>731</v>
      </c>
      <c r="M572" s="35">
        <v>0</v>
      </c>
      <c r="N572"/>
      <c r="O572" t="s">
        <v>199</v>
      </c>
      <c r="P572" t="s">
        <v>373</v>
      </c>
      <c r="Q572" t="s">
        <v>203</v>
      </c>
    </row>
    <row r="573" spans="1:17" ht="15.75" customHeight="1" x14ac:dyDescent="0.3">
      <c r="A573" s="9">
        <v>1391</v>
      </c>
      <c r="B573" t="s">
        <v>71</v>
      </c>
      <c r="C573" t="s">
        <v>196</v>
      </c>
      <c r="D573" t="s">
        <v>520</v>
      </c>
      <c r="E573" s="121">
        <v>4105</v>
      </c>
      <c r="F573" s="13">
        <v>45805</v>
      </c>
      <c r="G573" s="28">
        <v>155376.51</v>
      </c>
      <c r="H573" s="40">
        <v>145820.85</v>
      </c>
      <c r="I573" s="3">
        <v>45817</v>
      </c>
      <c r="J573" s="102">
        <v>45831</v>
      </c>
      <c r="K573" s="12">
        <v>45833</v>
      </c>
      <c r="L573" s="1" t="s">
        <v>731</v>
      </c>
      <c r="M573" s="36">
        <v>0</v>
      </c>
      <c r="N573"/>
      <c r="O573" t="s">
        <v>199</v>
      </c>
      <c r="P573" t="s">
        <v>376</v>
      </c>
      <c r="Q573" t="s">
        <v>203</v>
      </c>
    </row>
    <row r="574" spans="1:17" ht="15.75" customHeight="1" x14ac:dyDescent="0.3">
      <c r="A574" s="9">
        <v>1391</v>
      </c>
      <c r="B574" t="s">
        <v>71</v>
      </c>
      <c r="C574" t="s">
        <v>196</v>
      </c>
      <c r="D574" t="s">
        <v>520</v>
      </c>
      <c r="E574" s="121">
        <v>4109</v>
      </c>
      <c r="F574" s="13">
        <v>45805</v>
      </c>
      <c r="G574" s="28">
        <v>95468.17</v>
      </c>
      <c r="H574" s="40">
        <v>89596.88</v>
      </c>
      <c r="I574" s="3">
        <v>45817</v>
      </c>
      <c r="J574" s="102">
        <v>45831</v>
      </c>
      <c r="K574" s="12">
        <v>45833</v>
      </c>
      <c r="L574" s="1" t="s">
        <v>731</v>
      </c>
      <c r="M574" s="36">
        <v>0</v>
      </c>
      <c r="N574"/>
      <c r="O574" t="s">
        <v>199</v>
      </c>
      <c r="P574" t="s">
        <v>376</v>
      </c>
      <c r="Q574" t="s">
        <v>203</v>
      </c>
    </row>
    <row r="575" spans="1:17" ht="15.75" customHeight="1" x14ac:dyDescent="0.3">
      <c r="A575" s="9">
        <v>1391</v>
      </c>
      <c r="B575" t="s">
        <v>71</v>
      </c>
      <c r="C575" t="s">
        <v>196</v>
      </c>
      <c r="D575" t="s">
        <v>520</v>
      </c>
      <c r="E575" s="121">
        <v>4107</v>
      </c>
      <c r="F575" s="13">
        <v>45805</v>
      </c>
      <c r="G575" s="28">
        <v>270546.01</v>
      </c>
      <c r="H575" s="40">
        <v>253907.43</v>
      </c>
      <c r="I575" s="3">
        <v>45817</v>
      </c>
      <c r="J575" s="102">
        <v>45831</v>
      </c>
      <c r="K575" s="12">
        <v>45833</v>
      </c>
      <c r="L575" s="1" t="s">
        <v>731</v>
      </c>
      <c r="M575" s="36">
        <v>0</v>
      </c>
      <c r="N575"/>
      <c r="O575" t="s">
        <v>199</v>
      </c>
      <c r="P575" t="s">
        <v>376</v>
      </c>
      <c r="Q575" t="s">
        <v>203</v>
      </c>
    </row>
    <row r="576" spans="1:17" ht="15.75" customHeight="1" x14ac:dyDescent="0.3">
      <c r="A576" s="9">
        <v>1391</v>
      </c>
      <c r="B576" t="s">
        <v>71</v>
      </c>
      <c r="C576" t="s">
        <v>196</v>
      </c>
      <c r="D576" t="s">
        <v>520</v>
      </c>
      <c r="E576" s="121">
        <v>4116</v>
      </c>
      <c r="F576" s="13">
        <v>45805</v>
      </c>
      <c r="G576" s="28">
        <v>75234.3</v>
      </c>
      <c r="H576" s="40">
        <v>70607.399999999994</v>
      </c>
      <c r="I576" s="3">
        <v>45818</v>
      </c>
      <c r="J576" s="102">
        <v>45831</v>
      </c>
      <c r="K576" s="12">
        <v>45833</v>
      </c>
      <c r="L576" s="1" t="s">
        <v>731</v>
      </c>
      <c r="M576" s="36">
        <v>0</v>
      </c>
      <c r="N576"/>
      <c r="O576" t="s">
        <v>199</v>
      </c>
      <c r="P576" t="s">
        <v>376</v>
      </c>
      <c r="Q576" t="s">
        <v>203</v>
      </c>
    </row>
    <row r="577" spans="1:17" ht="15.75" customHeight="1" x14ac:dyDescent="0.3">
      <c r="A577" s="9">
        <v>1391</v>
      </c>
      <c r="B577" t="s">
        <v>71</v>
      </c>
      <c r="C577" t="s">
        <v>196</v>
      </c>
      <c r="D577" t="s">
        <v>520</v>
      </c>
      <c r="E577" s="121">
        <v>4115</v>
      </c>
      <c r="F577" s="13">
        <v>45805</v>
      </c>
      <c r="G577" s="28">
        <v>107703.84</v>
      </c>
      <c r="H577" s="40">
        <v>101080.05</v>
      </c>
      <c r="I577" s="3">
        <v>45818</v>
      </c>
      <c r="J577" s="102">
        <v>45831</v>
      </c>
      <c r="K577" s="12">
        <v>45833</v>
      </c>
      <c r="L577" s="1" t="s">
        <v>731</v>
      </c>
      <c r="M577" s="36">
        <v>0</v>
      </c>
      <c r="N577"/>
      <c r="O577" t="s">
        <v>199</v>
      </c>
      <c r="P577" t="s">
        <v>376</v>
      </c>
      <c r="Q577" t="s">
        <v>203</v>
      </c>
    </row>
    <row r="578" spans="1:17" ht="15.75" customHeight="1" x14ac:dyDescent="0.3">
      <c r="A578" s="9">
        <v>1391</v>
      </c>
      <c r="B578" t="s">
        <v>71</v>
      </c>
      <c r="C578" t="s">
        <v>196</v>
      </c>
      <c r="D578" t="s">
        <v>520</v>
      </c>
      <c r="E578" s="121">
        <v>4114</v>
      </c>
      <c r="F578" s="13">
        <v>45805</v>
      </c>
      <c r="G578" s="28">
        <v>3392.34</v>
      </c>
      <c r="H578" s="40">
        <v>3183.71</v>
      </c>
      <c r="I578" s="3">
        <v>45818</v>
      </c>
      <c r="J578" s="102">
        <v>45831</v>
      </c>
      <c r="K578" s="12">
        <v>45833</v>
      </c>
      <c r="L578" s="1" t="s">
        <v>731</v>
      </c>
      <c r="M578" s="36">
        <v>0</v>
      </c>
      <c r="N578"/>
      <c r="O578" t="s">
        <v>199</v>
      </c>
      <c r="P578" t="s">
        <v>376</v>
      </c>
      <c r="Q578" t="s">
        <v>203</v>
      </c>
    </row>
    <row r="579" spans="1:17" ht="15.75" customHeight="1" x14ac:dyDescent="0.3">
      <c r="A579" s="9">
        <v>1391</v>
      </c>
      <c r="B579" t="s">
        <v>71</v>
      </c>
      <c r="C579" t="s">
        <v>196</v>
      </c>
      <c r="D579" t="s">
        <v>520</v>
      </c>
      <c r="E579" s="121">
        <v>4113</v>
      </c>
      <c r="F579" s="13">
        <v>45805</v>
      </c>
      <c r="G579" s="28">
        <v>8315.3700000000008</v>
      </c>
      <c r="H579" s="40">
        <v>7803.98</v>
      </c>
      <c r="I579" s="3">
        <v>45818</v>
      </c>
      <c r="J579" s="102">
        <v>45831</v>
      </c>
      <c r="K579" s="12">
        <v>45833</v>
      </c>
      <c r="L579" s="1" t="s">
        <v>731</v>
      </c>
      <c r="M579" s="36">
        <v>0</v>
      </c>
      <c r="N579"/>
      <c r="O579" t="s">
        <v>199</v>
      </c>
      <c r="P579" t="s">
        <v>376</v>
      </c>
      <c r="Q579" t="s">
        <v>203</v>
      </c>
    </row>
    <row r="580" spans="1:17" ht="15.75" customHeight="1" x14ac:dyDescent="0.3">
      <c r="A580" s="9">
        <v>1391</v>
      </c>
      <c r="B580" t="s">
        <v>71</v>
      </c>
      <c r="C580" t="s">
        <v>196</v>
      </c>
      <c r="D580" t="s">
        <v>520</v>
      </c>
      <c r="E580" s="121">
        <v>4112</v>
      </c>
      <c r="F580" s="13">
        <v>45805</v>
      </c>
      <c r="G580" s="28">
        <v>12600.12</v>
      </c>
      <c r="H580" s="40">
        <v>11825.21</v>
      </c>
      <c r="I580" s="3">
        <v>45818</v>
      </c>
      <c r="J580" s="102">
        <v>45831</v>
      </c>
      <c r="K580" s="12">
        <v>45833</v>
      </c>
      <c r="L580" s="1" t="s">
        <v>731</v>
      </c>
      <c r="M580" s="36">
        <v>0</v>
      </c>
      <c r="N580"/>
      <c r="O580" t="s">
        <v>199</v>
      </c>
      <c r="P580" t="s">
        <v>376</v>
      </c>
      <c r="Q580" t="s">
        <v>203</v>
      </c>
    </row>
    <row r="581" spans="1:17" ht="15.75" customHeight="1" x14ac:dyDescent="0.3">
      <c r="A581" s="9">
        <v>1391</v>
      </c>
      <c r="B581" t="s">
        <v>71</v>
      </c>
      <c r="C581" t="s">
        <v>196</v>
      </c>
      <c r="D581" t="s">
        <v>520</v>
      </c>
      <c r="E581" s="121">
        <v>4119</v>
      </c>
      <c r="F581" s="13">
        <v>45805</v>
      </c>
      <c r="G581" s="28">
        <v>30779.279999999999</v>
      </c>
      <c r="H581" s="40">
        <v>28886.35</v>
      </c>
      <c r="I581" s="3">
        <v>45819</v>
      </c>
      <c r="J581" s="102">
        <v>45831</v>
      </c>
      <c r="K581" s="12">
        <v>45834</v>
      </c>
      <c r="L581" s="1" t="s">
        <v>731</v>
      </c>
      <c r="M581" s="36">
        <v>0</v>
      </c>
      <c r="N581"/>
      <c r="O581" t="s">
        <v>199</v>
      </c>
      <c r="P581" t="s">
        <v>376</v>
      </c>
      <c r="Q581" t="s">
        <v>203</v>
      </c>
    </row>
    <row r="582" spans="1:17" ht="15.75" customHeight="1" x14ac:dyDescent="0.3">
      <c r="A582" s="25">
        <v>1294</v>
      </c>
      <c r="B582" t="s">
        <v>71</v>
      </c>
      <c r="C582" t="s">
        <v>196</v>
      </c>
      <c r="D582" t="s">
        <v>413</v>
      </c>
      <c r="E582" s="121">
        <v>4069</v>
      </c>
      <c r="F582" s="13">
        <v>45805</v>
      </c>
      <c r="G582" s="28">
        <v>13537.5</v>
      </c>
      <c r="H582" s="28">
        <v>12704.95</v>
      </c>
      <c r="I582" s="3">
        <v>45805</v>
      </c>
      <c r="J582" s="102">
        <v>45817</v>
      </c>
      <c r="K582" s="12">
        <v>45820</v>
      </c>
      <c r="L582" s="1" t="s">
        <v>731</v>
      </c>
      <c r="M582" s="36">
        <v>0</v>
      </c>
      <c r="N582"/>
      <c r="O582" t="s">
        <v>199</v>
      </c>
      <c r="P582" t="s">
        <v>376</v>
      </c>
      <c r="Q582" t="s">
        <v>203</v>
      </c>
    </row>
    <row r="583" spans="1:17" ht="15.75" customHeight="1" x14ac:dyDescent="0.3">
      <c r="A583" s="25">
        <v>1294</v>
      </c>
      <c r="B583" t="s">
        <v>71</v>
      </c>
      <c r="C583" t="s">
        <v>196</v>
      </c>
      <c r="D583" t="s">
        <v>413</v>
      </c>
      <c r="E583" s="121">
        <v>4068</v>
      </c>
      <c r="F583" s="13">
        <v>45805</v>
      </c>
      <c r="G583" s="28">
        <v>13537.5</v>
      </c>
      <c r="H583" s="28">
        <v>12704.95</v>
      </c>
      <c r="I583" s="3">
        <v>45805</v>
      </c>
      <c r="J583" s="102">
        <v>45817</v>
      </c>
      <c r="K583" s="12">
        <v>45820</v>
      </c>
      <c r="L583" s="1" t="s">
        <v>731</v>
      </c>
      <c r="M583" s="36">
        <v>0</v>
      </c>
      <c r="N583"/>
      <c r="O583" t="s">
        <v>199</v>
      </c>
      <c r="P583" t="s">
        <v>376</v>
      </c>
      <c r="Q583" t="s">
        <v>203</v>
      </c>
    </row>
    <row r="584" spans="1:17" ht="15.75" customHeight="1" x14ac:dyDescent="0.3">
      <c r="A584" s="25">
        <v>1294</v>
      </c>
      <c r="B584" t="s">
        <v>71</v>
      </c>
      <c r="C584" t="s">
        <v>196</v>
      </c>
      <c r="D584" t="s">
        <v>413</v>
      </c>
      <c r="E584" s="121">
        <v>4083</v>
      </c>
      <c r="F584" s="13">
        <v>45805</v>
      </c>
      <c r="G584" s="28">
        <v>126601.58</v>
      </c>
      <c r="H584" s="28">
        <v>118815.59</v>
      </c>
      <c r="I584" s="3">
        <v>45813</v>
      </c>
      <c r="J584" s="102">
        <v>45824</v>
      </c>
      <c r="K584" s="12">
        <v>45828</v>
      </c>
      <c r="L584" s="1" t="s">
        <v>731</v>
      </c>
      <c r="M584" s="36">
        <v>0</v>
      </c>
      <c r="N584"/>
      <c r="O584" t="s">
        <v>199</v>
      </c>
      <c r="P584" t="s">
        <v>376</v>
      </c>
      <c r="Q584" t="s">
        <v>203</v>
      </c>
    </row>
    <row r="585" spans="1:17" ht="15.75" customHeight="1" x14ac:dyDescent="0.3">
      <c r="A585" s="25">
        <v>1294</v>
      </c>
      <c r="B585" t="s">
        <v>71</v>
      </c>
      <c r="C585" t="s">
        <v>196</v>
      </c>
      <c r="D585" t="s">
        <v>413</v>
      </c>
      <c r="E585" s="121">
        <v>4100</v>
      </c>
      <c r="F585" s="13">
        <v>45805</v>
      </c>
      <c r="G585" s="28">
        <v>176880</v>
      </c>
      <c r="H585" s="40">
        <v>166001.88</v>
      </c>
      <c r="I585" s="3">
        <v>45817</v>
      </c>
      <c r="J585" s="102">
        <v>45831</v>
      </c>
      <c r="K585" s="12">
        <v>45833</v>
      </c>
      <c r="L585" s="1" t="s">
        <v>731</v>
      </c>
      <c r="M585" s="36">
        <v>0</v>
      </c>
      <c r="N585"/>
      <c r="O585" t="s">
        <v>199</v>
      </c>
      <c r="P585" t="s">
        <v>376</v>
      </c>
      <c r="Q585" t="s">
        <v>203</v>
      </c>
    </row>
    <row r="586" spans="1:17" ht="15.75" customHeight="1" x14ac:dyDescent="0.3">
      <c r="A586" s="25">
        <v>1294</v>
      </c>
      <c r="B586" t="s">
        <v>71</v>
      </c>
      <c r="C586" t="s">
        <v>196</v>
      </c>
      <c r="D586" t="s">
        <v>413</v>
      </c>
      <c r="E586" s="121">
        <v>4108</v>
      </c>
      <c r="F586" s="13">
        <v>45805</v>
      </c>
      <c r="G586" s="28">
        <v>200696.16</v>
      </c>
      <c r="H586" s="40">
        <v>188353.35</v>
      </c>
      <c r="I586" s="3">
        <v>45817</v>
      </c>
      <c r="J586" s="102">
        <v>45831</v>
      </c>
      <c r="K586" s="12">
        <v>45833</v>
      </c>
      <c r="L586" s="1" t="s">
        <v>731</v>
      </c>
      <c r="M586" s="36">
        <v>0</v>
      </c>
      <c r="N586"/>
      <c r="O586" t="s">
        <v>199</v>
      </c>
      <c r="P586" t="s">
        <v>376</v>
      </c>
      <c r="Q586" t="s">
        <v>203</v>
      </c>
    </row>
    <row r="587" spans="1:17" ht="15.75" customHeight="1" x14ac:dyDescent="0.3">
      <c r="A587" s="25">
        <v>1294</v>
      </c>
      <c r="B587" t="s">
        <v>71</v>
      </c>
      <c r="C587" t="s">
        <v>196</v>
      </c>
      <c r="D587" t="s">
        <v>413</v>
      </c>
      <c r="E587" s="121">
        <v>4111</v>
      </c>
      <c r="F587" s="13">
        <v>45805</v>
      </c>
      <c r="G587" s="28">
        <v>43190.28</v>
      </c>
      <c r="H587" s="40">
        <v>40534.080000000002</v>
      </c>
      <c r="I587" s="3">
        <v>45818</v>
      </c>
      <c r="J587" s="102">
        <v>45831</v>
      </c>
      <c r="K587" s="12">
        <v>45833</v>
      </c>
      <c r="L587" s="1" t="s">
        <v>731</v>
      </c>
      <c r="M587" s="36">
        <v>0</v>
      </c>
      <c r="N587"/>
      <c r="O587" t="s">
        <v>199</v>
      </c>
      <c r="P587" t="s">
        <v>376</v>
      </c>
      <c r="Q587" t="s">
        <v>203</v>
      </c>
    </row>
    <row r="588" spans="1:17" ht="15.75" customHeight="1" x14ac:dyDescent="0.3">
      <c r="A588" s="25">
        <v>1294</v>
      </c>
      <c r="B588" t="s">
        <v>71</v>
      </c>
      <c r="C588" t="s">
        <v>196</v>
      </c>
      <c r="D588" t="s">
        <v>413</v>
      </c>
      <c r="E588" s="121">
        <v>4120</v>
      </c>
      <c r="F588" s="13">
        <v>45805</v>
      </c>
      <c r="G588" s="28">
        <v>322404</v>
      </c>
      <c r="H588" s="28">
        <v>302576.15000000002</v>
      </c>
      <c r="I588" s="3">
        <v>45819</v>
      </c>
      <c r="J588" s="102">
        <v>45831</v>
      </c>
      <c r="K588" s="12">
        <v>45834</v>
      </c>
      <c r="L588" s="1" t="s">
        <v>731</v>
      </c>
      <c r="M588" s="36">
        <v>0</v>
      </c>
      <c r="N588"/>
      <c r="O588" t="s">
        <v>199</v>
      </c>
      <c r="P588" t="s">
        <v>376</v>
      </c>
      <c r="Q588" t="s">
        <v>203</v>
      </c>
    </row>
    <row r="589" spans="1:17" ht="15.75" customHeight="1" x14ac:dyDescent="0.3">
      <c r="A589" s="25">
        <v>1285</v>
      </c>
      <c r="B589" t="s">
        <v>71</v>
      </c>
      <c r="C589" t="s">
        <v>196</v>
      </c>
      <c r="D589" t="s">
        <v>404</v>
      </c>
      <c r="E589" s="121">
        <v>4066</v>
      </c>
      <c r="F589" s="13">
        <v>45805</v>
      </c>
      <c r="G589" s="24">
        <v>25339.38</v>
      </c>
      <c r="H589" s="27">
        <v>23781.01</v>
      </c>
      <c r="I589" s="3">
        <v>45803</v>
      </c>
      <c r="J589" s="102">
        <v>45831</v>
      </c>
      <c r="K589" s="12">
        <v>45833</v>
      </c>
      <c r="L589" s="1" t="s">
        <v>731</v>
      </c>
      <c r="M589" s="36">
        <v>0</v>
      </c>
      <c r="N589" s="26"/>
      <c r="O589" t="s">
        <v>199</v>
      </c>
      <c r="P589" t="s">
        <v>376</v>
      </c>
      <c r="Q589" t="s">
        <v>203</v>
      </c>
    </row>
    <row r="590" spans="1:17" ht="15.75" customHeight="1" x14ac:dyDescent="0.3">
      <c r="A590" s="25">
        <v>1285</v>
      </c>
      <c r="B590" t="s">
        <v>71</v>
      </c>
      <c r="C590" t="s">
        <v>196</v>
      </c>
      <c r="D590" t="s">
        <v>404</v>
      </c>
      <c r="E590" s="121">
        <v>4065</v>
      </c>
      <c r="F590" s="13">
        <v>45805</v>
      </c>
      <c r="G590" s="24">
        <v>1828.59</v>
      </c>
      <c r="H590" s="27">
        <v>1716.13</v>
      </c>
      <c r="I590" s="3">
        <v>45803</v>
      </c>
      <c r="J590" s="102">
        <v>45831</v>
      </c>
      <c r="K590" s="12">
        <v>45833</v>
      </c>
      <c r="L590" s="1" t="s">
        <v>731</v>
      </c>
      <c r="M590" s="36">
        <v>0</v>
      </c>
      <c r="N590" s="26"/>
      <c r="O590" t="s">
        <v>199</v>
      </c>
      <c r="P590" t="s">
        <v>376</v>
      </c>
      <c r="Q590" t="s">
        <v>203</v>
      </c>
    </row>
    <row r="591" spans="1:17" ht="15.75" customHeight="1" x14ac:dyDescent="0.3">
      <c r="A591" s="25">
        <v>1285</v>
      </c>
      <c r="B591" t="s">
        <v>71</v>
      </c>
      <c r="C591" t="s">
        <v>196</v>
      </c>
      <c r="D591" t="s">
        <v>404</v>
      </c>
      <c r="E591" s="121">
        <v>4064</v>
      </c>
      <c r="F591" s="13">
        <v>45805</v>
      </c>
      <c r="G591" s="24">
        <v>21273.89</v>
      </c>
      <c r="H591" s="27">
        <v>19965.54</v>
      </c>
      <c r="I591" s="3">
        <v>45803</v>
      </c>
      <c r="J591" s="102">
        <v>45831</v>
      </c>
      <c r="K591" s="12">
        <v>45833</v>
      </c>
      <c r="L591" s="1" t="s">
        <v>731</v>
      </c>
      <c r="M591" s="36">
        <v>0</v>
      </c>
      <c r="N591" s="26"/>
      <c r="O591" t="s">
        <v>199</v>
      </c>
      <c r="P591" t="s">
        <v>376</v>
      </c>
      <c r="Q591" t="s">
        <v>203</v>
      </c>
    </row>
    <row r="592" spans="1:17" ht="15.75" customHeight="1" x14ac:dyDescent="0.3">
      <c r="A592" s="25">
        <v>1292</v>
      </c>
      <c r="B592" t="s">
        <v>71</v>
      </c>
      <c r="C592" t="s">
        <v>200</v>
      </c>
      <c r="D592" t="s">
        <v>411</v>
      </c>
      <c r="E592" s="121">
        <v>4085</v>
      </c>
      <c r="F592" s="13">
        <v>45805</v>
      </c>
      <c r="G592" s="24">
        <v>34633.19</v>
      </c>
      <c r="H592" s="24">
        <v>32503.25</v>
      </c>
      <c r="I592" s="3">
        <v>45814</v>
      </c>
      <c r="J592" s="102">
        <v>45831</v>
      </c>
      <c r="K592" s="12">
        <v>45831</v>
      </c>
      <c r="L592" s="1" t="s">
        <v>731</v>
      </c>
      <c r="M592" s="36">
        <v>0</v>
      </c>
      <c r="N592"/>
      <c r="O592" t="s">
        <v>199</v>
      </c>
      <c r="P592" t="s">
        <v>376</v>
      </c>
      <c r="Q592" t="s">
        <v>203</v>
      </c>
    </row>
    <row r="593" spans="1:17" ht="15.75" customHeight="1" x14ac:dyDescent="0.3">
      <c r="A593" s="25">
        <v>1292</v>
      </c>
      <c r="B593" t="s">
        <v>71</v>
      </c>
      <c r="C593" t="s">
        <v>200</v>
      </c>
      <c r="D593" t="s">
        <v>411</v>
      </c>
      <c r="E593" s="121">
        <v>4099</v>
      </c>
      <c r="F593" s="13">
        <v>45805</v>
      </c>
      <c r="G593" s="24">
        <v>31008</v>
      </c>
      <c r="H593" s="27">
        <v>29101.01</v>
      </c>
      <c r="I593" s="3">
        <v>45817</v>
      </c>
      <c r="J593" s="102">
        <v>45831</v>
      </c>
      <c r="K593" s="12">
        <v>45833</v>
      </c>
      <c r="L593" s="1" t="s">
        <v>731</v>
      </c>
      <c r="M593" s="36">
        <v>0</v>
      </c>
      <c r="N593"/>
      <c r="O593" t="s">
        <v>199</v>
      </c>
      <c r="P593" t="s">
        <v>376</v>
      </c>
      <c r="Q593" t="s">
        <v>203</v>
      </c>
    </row>
    <row r="594" spans="1:17" ht="15.75" customHeight="1" x14ac:dyDescent="0.3">
      <c r="A594" s="25">
        <v>1292</v>
      </c>
      <c r="B594" t="s">
        <v>71</v>
      </c>
      <c r="C594" t="s">
        <v>200</v>
      </c>
      <c r="D594" t="s">
        <v>411</v>
      </c>
      <c r="E594" s="121">
        <v>4117</v>
      </c>
      <c r="F594" s="13">
        <v>45805</v>
      </c>
      <c r="G594" s="24">
        <v>134253.73000000001</v>
      </c>
      <c r="H594" s="27">
        <v>125997.12</v>
      </c>
      <c r="I594" s="3">
        <v>45818</v>
      </c>
      <c r="J594" s="102">
        <v>45831</v>
      </c>
      <c r="K594" s="12">
        <v>45833</v>
      </c>
      <c r="L594" s="1" t="s">
        <v>731</v>
      </c>
      <c r="M594" s="36">
        <v>0</v>
      </c>
      <c r="N594"/>
      <c r="O594" t="s">
        <v>199</v>
      </c>
      <c r="P594" t="s">
        <v>376</v>
      </c>
      <c r="Q594" t="s">
        <v>203</v>
      </c>
    </row>
    <row r="595" spans="1:17" ht="15.75" customHeight="1" x14ac:dyDescent="0.3">
      <c r="A595" s="25">
        <v>1292</v>
      </c>
      <c r="B595" t="s">
        <v>71</v>
      </c>
      <c r="C595" t="s">
        <v>200</v>
      </c>
      <c r="D595" t="s">
        <v>411</v>
      </c>
      <c r="E595" s="118">
        <v>4129</v>
      </c>
      <c r="F595" s="13">
        <v>45805</v>
      </c>
      <c r="G595" s="24">
        <v>57072</v>
      </c>
      <c r="H595" s="24">
        <v>53562.07</v>
      </c>
      <c r="I595" s="3">
        <v>45821</v>
      </c>
      <c r="J595" s="102">
        <v>45838</v>
      </c>
      <c r="K595" s="12">
        <v>45838</v>
      </c>
      <c r="L595" s="1" t="s">
        <v>731</v>
      </c>
      <c r="M595" s="36">
        <v>0</v>
      </c>
      <c r="N595"/>
      <c r="O595" t="s">
        <v>199</v>
      </c>
      <c r="P595" t="s">
        <v>376</v>
      </c>
      <c r="Q595" t="s">
        <v>203</v>
      </c>
    </row>
    <row r="596" spans="1:17" ht="15.75" customHeight="1" x14ac:dyDescent="0.3">
      <c r="A596" s="25">
        <v>1292</v>
      </c>
      <c r="B596" t="s">
        <v>71</v>
      </c>
      <c r="C596" t="s">
        <v>200</v>
      </c>
      <c r="D596" t="s">
        <v>411</v>
      </c>
      <c r="E596" s="118">
        <v>4130</v>
      </c>
      <c r="F596" s="13">
        <v>45805</v>
      </c>
      <c r="G596" s="24">
        <v>60707.37</v>
      </c>
      <c r="H596" s="24">
        <v>56973.87</v>
      </c>
      <c r="I596" s="3">
        <v>45821</v>
      </c>
      <c r="J596" s="102">
        <v>45838</v>
      </c>
      <c r="K596" s="12">
        <v>45838</v>
      </c>
      <c r="L596" s="1" t="s">
        <v>731</v>
      </c>
      <c r="M596" s="36">
        <v>0</v>
      </c>
      <c r="N596"/>
      <c r="O596" t="s">
        <v>199</v>
      </c>
      <c r="P596" t="s">
        <v>376</v>
      </c>
      <c r="Q596" t="s">
        <v>203</v>
      </c>
    </row>
    <row r="597" spans="1:17" ht="15.75" customHeight="1" x14ac:dyDescent="0.3">
      <c r="A597" s="25">
        <v>1292</v>
      </c>
      <c r="B597" t="s">
        <v>71</v>
      </c>
      <c r="C597" t="s">
        <v>200</v>
      </c>
      <c r="D597" t="s">
        <v>411</v>
      </c>
      <c r="E597" s="118">
        <v>4131</v>
      </c>
      <c r="F597" s="13">
        <v>45805</v>
      </c>
      <c r="G597" s="24">
        <v>130191.6</v>
      </c>
      <c r="H597" s="24">
        <v>122184.82</v>
      </c>
      <c r="I597" s="3">
        <v>45821</v>
      </c>
      <c r="J597" s="102">
        <v>45838</v>
      </c>
      <c r="K597" s="12">
        <v>45838</v>
      </c>
      <c r="L597" s="1" t="s">
        <v>731</v>
      </c>
      <c r="M597" s="36">
        <v>0</v>
      </c>
      <c r="N597"/>
      <c r="O597" t="s">
        <v>199</v>
      </c>
      <c r="P597" t="s">
        <v>376</v>
      </c>
      <c r="Q597" t="s">
        <v>203</v>
      </c>
    </row>
    <row r="598" spans="1:17" ht="15.75" customHeight="1" x14ac:dyDescent="0.3">
      <c r="A598" s="25">
        <v>1484</v>
      </c>
      <c r="B598" t="s">
        <v>71</v>
      </c>
      <c r="C598" t="s">
        <v>200</v>
      </c>
      <c r="D598" t="s">
        <v>634</v>
      </c>
      <c r="E598" s="121">
        <v>4125</v>
      </c>
      <c r="F598" s="13">
        <v>45805</v>
      </c>
      <c r="G598" s="24">
        <v>36570.74</v>
      </c>
      <c r="H598" s="24">
        <v>34321.64</v>
      </c>
      <c r="I598" s="3">
        <v>45820</v>
      </c>
      <c r="J598" s="102">
        <v>45831</v>
      </c>
      <c r="K598" s="12">
        <v>45835</v>
      </c>
      <c r="L598" s="1" t="s">
        <v>731</v>
      </c>
      <c r="M598" s="36">
        <v>0</v>
      </c>
      <c r="N598"/>
      <c r="O598" t="s">
        <v>201</v>
      </c>
      <c r="P598" t="s">
        <v>376</v>
      </c>
      <c r="Q598" t="s">
        <v>203</v>
      </c>
    </row>
    <row r="599" spans="1:17" ht="15.75" customHeight="1" x14ac:dyDescent="0.3">
      <c r="A599" s="25">
        <v>1398</v>
      </c>
      <c r="B599" t="s">
        <v>212</v>
      </c>
      <c r="C599" t="s">
        <v>169</v>
      </c>
      <c r="D599" t="s">
        <v>528</v>
      </c>
      <c r="E599" s="118">
        <v>8351</v>
      </c>
      <c r="F599" s="13">
        <v>45805</v>
      </c>
      <c r="G599" s="27">
        <v>48000</v>
      </c>
      <c r="H599" s="24">
        <v>45048</v>
      </c>
      <c r="I599" s="3">
        <v>45811</v>
      </c>
      <c r="J599" s="102">
        <v>45887</v>
      </c>
      <c r="K599" s="12">
        <v>45888</v>
      </c>
      <c r="L599" s="19" t="s">
        <v>731</v>
      </c>
      <c r="M599" s="36">
        <v>0</v>
      </c>
      <c r="N599"/>
      <c r="O599" t="s">
        <v>202</v>
      </c>
      <c r="P599" t="s">
        <v>328</v>
      </c>
      <c r="Q599" t="s">
        <v>207</v>
      </c>
    </row>
    <row r="600" spans="1:17" ht="15.75" customHeight="1" x14ac:dyDescent="0.3">
      <c r="A600" s="25">
        <v>1398</v>
      </c>
      <c r="B600" t="s">
        <v>212</v>
      </c>
      <c r="C600" t="s">
        <v>169</v>
      </c>
      <c r="D600" t="s">
        <v>528</v>
      </c>
      <c r="E600" s="118">
        <v>8390</v>
      </c>
      <c r="F600" s="13">
        <v>45805</v>
      </c>
      <c r="G600" s="27">
        <v>22241.65</v>
      </c>
      <c r="H600" s="24">
        <v>20873.79</v>
      </c>
      <c r="I600" s="3">
        <v>45833</v>
      </c>
      <c r="J600" s="102">
        <v>45894</v>
      </c>
      <c r="K600" s="12">
        <v>45894</v>
      </c>
      <c r="L600" s="19" t="s">
        <v>731</v>
      </c>
      <c r="M600" s="36">
        <v>0</v>
      </c>
      <c r="N600"/>
      <c r="O600" t="s">
        <v>202</v>
      </c>
      <c r="P600" t="s">
        <v>328</v>
      </c>
      <c r="Q600" t="s">
        <v>207</v>
      </c>
    </row>
    <row r="601" spans="1:17" ht="15.75" customHeight="1" x14ac:dyDescent="0.3">
      <c r="A601" s="25">
        <v>1398</v>
      </c>
      <c r="B601" t="s">
        <v>212</v>
      </c>
      <c r="C601" t="s">
        <v>169</v>
      </c>
      <c r="D601" t="s">
        <v>528</v>
      </c>
      <c r="E601" s="118">
        <v>8397</v>
      </c>
      <c r="F601" s="13">
        <v>45805</v>
      </c>
      <c r="G601" s="27">
        <v>5286.4358018114008</v>
      </c>
      <c r="H601" s="24">
        <v>4961.32</v>
      </c>
      <c r="I601" s="3">
        <v>45835</v>
      </c>
      <c r="J601" s="102">
        <v>45698</v>
      </c>
      <c r="K601" s="12">
        <v>45699</v>
      </c>
      <c r="L601" s="19" t="s">
        <v>731</v>
      </c>
      <c r="M601" s="36">
        <v>0</v>
      </c>
      <c r="N601"/>
      <c r="O601" t="s">
        <v>202</v>
      </c>
      <c r="P601" t="s">
        <v>328</v>
      </c>
      <c r="Q601" t="s">
        <v>207</v>
      </c>
    </row>
    <row r="602" spans="1:17" ht="15.75" customHeight="1" x14ac:dyDescent="0.3">
      <c r="A602" s="25">
        <v>1398</v>
      </c>
      <c r="B602" t="s">
        <v>212</v>
      </c>
      <c r="C602" t="s">
        <v>169</v>
      </c>
      <c r="D602" t="s">
        <v>528</v>
      </c>
      <c r="E602" s="118">
        <v>8397</v>
      </c>
      <c r="F602" s="13">
        <v>45805</v>
      </c>
      <c r="G602" s="27">
        <v>20531.539690996269</v>
      </c>
      <c r="H602" s="24">
        <v>19268.849999999999</v>
      </c>
      <c r="I602" s="3">
        <v>45835</v>
      </c>
      <c r="J602" s="102">
        <v>45901</v>
      </c>
      <c r="K602" s="12">
        <v>45905</v>
      </c>
      <c r="L602" s="19" t="s">
        <v>731</v>
      </c>
      <c r="M602" s="36">
        <v>0</v>
      </c>
      <c r="N602"/>
      <c r="O602" t="s">
        <v>202</v>
      </c>
      <c r="P602" t="s">
        <v>328</v>
      </c>
      <c r="Q602" t="s">
        <v>207</v>
      </c>
    </row>
    <row r="603" spans="1:17" ht="15.75" customHeight="1" x14ac:dyDescent="0.3">
      <c r="A603" s="25">
        <v>1398</v>
      </c>
      <c r="B603" t="s">
        <v>193</v>
      </c>
      <c r="C603" t="s">
        <v>169</v>
      </c>
      <c r="D603" t="s">
        <v>528</v>
      </c>
      <c r="E603" s="121">
        <v>8579</v>
      </c>
      <c r="F603" s="13">
        <v>45958</v>
      </c>
      <c r="G603" s="27">
        <v>48000</v>
      </c>
      <c r="H603" s="27">
        <v>45048</v>
      </c>
      <c r="I603" s="3">
        <v>45964</v>
      </c>
      <c r="J603" s="102">
        <v>46125</v>
      </c>
      <c r="K603" s="12">
        <v>46126</v>
      </c>
      <c r="L603" s="19" t="s">
        <v>731</v>
      </c>
      <c r="M603" s="36"/>
      <c r="N603"/>
      <c r="O603" t="s">
        <v>202</v>
      </c>
      <c r="P603" t="s">
        <v>328</v>
      </c>
      <c r="Q603" t="s">
        <v>207</v>
      </c>
    </row>
    <row r="604" spans="1:17" ht="15.75" customHeight="1" x14ac:dyDescent="0.3">
      <c r="A604" s="25">
        <v>1398</v>
      </c>
      <c r="B604" t="s">
        <v>212</v>
      </c>
      <c r="C604" t="s">
        <v>169</v>
      </c>
      <c r="D604" t="s">
        <v>528</v>
      </c>
      <c r="E604" s="118">
        <v>8391</v>
      </c>
      <c r="F604" s="13">
        <v>45805</v>
      </c>
      <c r="G604" s="27">
        <v>75919.81</v>
      </c>
      <c r="H604" s="24">
        <v>71250.740000000005</v>
      </c>
      <c r="I604" s="3">
        <v>45833</v>
      </c>
      <c r="J604" s="102">
        <v>45894</v>
      </c>
      <c r="K604" s="12">
        <v>45894</v>
      </c>
      <c r="L604" s="19" t="s">
        <v>731</v>
      </c>
      <c r="M604" s="36">
        <v>0</v>
      </c>
      <c r="N604"/>
      <c r="O604" t="s">
        <v>202</v>
      </c>
      <c r="P604" t="s">
        <v>328</v>
      </c>
      <c r="Q604" t="s">
        <v>207</v>
      </c>
    </row>
    <row r="605" spans="1:17" x14ac:dyDescent="0.3">
      <c r="A605" s="9">
        <v>1393</v>
      </c>
      <c r="B605" t="s">
        <v>215</v>
      </c>
      <c r="C605" t="s">
        <v>348</v>
      </c>
      <c r="D605" t="s">
        <v>522</v>
      </c>
      <c r="E605" s="121">
        <v>8376</v>
      </c>
      <c r="F605" s="13">
        <v>45805</v>
      </c>
      <c r="G605" s="24">
        <v>457087.98</v>
      </c>
      <c r="H605" s="11">
        <v>410007.92</v>
      </c>
      <c r="I605" s="3">
        <v>45819</v>
      </c>
      <c r="J605" s="102">
        <v>45845</v>
      </c>
      <c r="K605" s="5">
        <v>45845</v>
      </c>
      <c r="L605" s="19" t="s">
        <v>731</v>
      </c>
      <c r="M605" s="35">
        <v>0</v>
      </c>
      <c r="N605" s="15"/>
      <c r="O605" t="s">
        <v>202</v>
      </c>
      <c r="P605" t="s">
        <v>340</v>
      </c>
      <c r="Q605" t="s">
        <v>213</v>
      </c>
    </row>
    <row r="606" spans="1:17" x14ac:dyDescent="0.3">
      <c r="A606" s="9">
        <v>1476</v>
      </c>
      <c r="B606" t="s">
        <v>215</v>
      </c>
      <c r="C606" t="s">
        <v>46</v>
      </c>
      <c r="D606" t="s">
        <v>626</v>
      </c>
      <c r="E606" s="121">
        <v>8372</v>
      </c>
      <c r="F606" s="13">
        <v>45805</v>
      </c>
      <c r="G606" s="24">
        <v>318628.40000000002</v>
      </c>
      <c r="H606" s="24">
        <v>285809.68</v>
      </c>
      <c r="I606" s="3">
        <v>45819</v>
      </c>
      <c r="J606" s="102">
        <v>45845</v>
      </c>
      <c r="K606" s="5">
        <v>45845</v>
      </c>
      <c r="L606" s="22" t="s">
        <v>731</v>
      </c>
      <c r="M606" s="35"/>
      <c r="N606" s="15"/>
      <c r="O606" t="s">
        <v>202</v>
      </c>
      <c r="P606" t="s">
        <v>340</v>
      </c>
      <c r="Q606" t="s">
        <v>213</v>
      </c>
    </row>
    <row r="607" spans="1:17" x14ac:dyDescent="0.3">
      <c r="A607" s="9">
        <v>1476</v>
      </c>
      <c r="B607" t="s">
        <v>215</v>
      </c>
      <c r="C607" t="s">
        <v>46</v>
      </c>
      <c r="D607" t="s">
        <v>626</v>
      </c>
      <c r="E607" s="121">
        <v>8371</v>
      </c>
      <c r="F607" s="13">
        <v>45805</v>
      </c>
      <c r="G607" s="24">
        <v>404.13</v>
      </c>
      <c r="H607" s="24">
        <v>362.51</v>
      </c>
      <c r="I607" s="3">
        <v>45819</v>
      </c>
      <c r="J607" s="102">
        <v>45845</v>
      </c>
      <c r="K607" s="5">
        <v>45845</v>
      </c>
      <c r="L607" s="22" t="s">
        <v>731</v>
      </c>
      <c r="M607" s="35"/>
      <c r="N607" s="15"/>
      <c r="O607" t="s">
        <v>202</v>
      </c>
      <c r="P607" t="s">
        <v>340</v>
      </c>
      <c r="Q607" t="s">
        <v>213</v>
      </c>
    </row>
    <row r="608" spans="1:17" x14ac:dyDescent="0.3">
      <c r="A608" s="25">
        <v>1296</v>
      </c>
      <c r="B608" t="s">
        <v>211</v>
      </c>
      <c r="C608" t="s">
        <v>34</v>
      </c>
      <c r="D608" t="s">
        <v>416</v>
      </c>
      <c r="E608" s="118">
        <v>1269</v>
      </c>
      <c r="F608" s="13">
        <v>45805</v>
      </c>
      <c r="G608" s="24">
        <v>344136.04</v>
      </c>
      <c r="H608" s="24">
        <v>316088.96000000002</v>
      </c>
      <c r="I608" s="3">
        <v>45825</v>
      </c>
      <c r="J608" s="102">
        <v>45839</v>
      </c>
      <c r="K608" s="29">
        <v>45841</v>
      </c>
      <c r="L608" s="19" t="s">
        <v>731</v>
      </c>
      <c r="M608" s="42"/>
      <c r="N608" s="26"/>
      <c r="O608" t="s">
        <v>202</v>
      </c>
      <c r="P608" t="s">
        <v>328</v>
      </c>
      <c r="Q608" t="s">
        <v>207</v>
      </c>
    </row>
    <row r="609" spans="1:17" x14ac:dyDescent="0.3">
      <c r="A609" s="25">
        <v>1296</v>
      </c>
      <c r="B609" t="s">
        <v>211</v>
      </c>
      <c r="C609" t="s">
        <v>34</v>
      </c>
      <c r="D609" t="s">
        <v>416</v>
      </c>
      <c r="E609" s="118">
        <v>1271</v>
      </c>
      <c r="F609" s="13">
        <v>45805</v>
      </c>
      <c r="G609" s="24">
        <v>462378.86</v>
      </c>
      <c r="H609" s="24">
        <v>424694.98</v>
      </c>
      <c r="I609" s="3">
        <v>45825</v>
      </c>
      <c r="J609" s="102">
        <v>45831</v>
      </c>
      <c r="K609" s="29">
        <v>45835</v>
      </c>
      <c r="L609" s="19" t="s">
        <v>731</v>
      </c>
      <c r="M609" s="42"/>
      <c r="N609" s="26"/>
      <c r="O609" t="s">
        <v>202</v>
      </c>
      <c r="P609" t="s">
        <v>328</v>
      </c>
      <c r="Q609" t="s">
        <v>207</v>
      </c>
    </row>
    <row r="610" spans="1:17" x14ac:dyDescent="0.3">
      <c r="A610" s="9">
        <v>1300</v>
      </c>
      <c r="B610" t="s">
        <v>211</v>
      </c>
      <c r="C610" t="s">
        <v>34</v>
      </c>
      <c r="D610" t="s">
        <v>420</v>
      </c>
      <c r="E610" s="121">
        <v>1266</v>
      </c>
      <c r="F610" s="13">
        <v>45805</v>
      </c>
      <c r="G610" s="24">
        <v>319851.14</v>
      </c>
      <c r="H610" s="24">
        <v>293783.28000000003</v>
      </c>
      <c r="I610" s="3">
        <v>45824</v>
      </c>
      <c r="J610" s="102">
        <v>45852</v>
      </c>
      <c r="K610" s="5">
        <v>45854</v>
      </c>
      <c r="L610" s="37" t="s">
        <v>731</v>
      </c>
      <c r="M610" s="38">
        <v>0</v>
      </c>
      <c r="N610" s="15"/>
      <c r="O610" t="s">
        <v>202</v>
      </c>
      <c r="P610" t="s">
        <v>328</v>
      </c>
      <c r="Q610" t="s">
        <v>207</v>
      </c>
    </row>
    <row r="611" spans="1:17" x14ac:dyDescent="0.3">
      <c r="A611" s="25">
        <v>1300</v>
      </c>
      <c r="B611" t="s">
        <v>211</v>
      </c>
      <c r="C611" t="s">
        <v>34</v>
      </c>
      <c r="D611" t="s">
        <v>420</v>
      </c>
      <c r="E611" s="121">
        <v>8398</v>
      </c>
      <c r="F611" s="13">
        <v>45805</v>
      </c>
      <c r="G611" s="24">
        <v>35127.120000000003</v>
      </c>
      <c r="H611" s="24">
        <v>32264.26</v>
      </c>
      <c r="I611" s="3">
        <v>45835</v>
      </c>
      <c r="J611" s="102">
        <v>45866</v>
      </c>
      <c r="K611" s="29">
        <v>45866</v>
      </c>
      <c r="L611" s="37" t="s">
        <v>731</v>
      </c>
      <c r="M611" s="42">
        <v>0</v>
      </c>
      <c r="N611" s="26"/>
      <c r="O611" t="s">
        <v>202</v>
      </c>
      <c r="P611" t="s">
        <v>328</v>
      </c>
      <c r="Q611" t="s">
        <v>207</v>
      </c>
    </row>
    <row r="612" spans="1:17" x14ac:dyDescent="0.3">
      <c r="A612" s="25">
        <v>1290</v>
      </c>
      <c r="B612" t="s">
        <v>215</v>
      </c>
      <c r="C612" t="s">
        <v>40</v>
      </c>
      <c r="D612" t="s">
        <v>409</v>
      </c>
      <c r="E612" s="121">
        <v>8357</v>
      </c>
      <c r="F612" s="13">
        <v>45805</v>
      </c>
      <c r="G612" s="24">
        <v>53175.27</v>
      </c>
      <c r="H612" s="24">
        <v>46980.35</v>
      </c>
      <c r="I612" s="3">
        <v>45813</v>
      </c>
      <c r="J612" s="102">
        <v>45845</v>
      </c>
      <c r="K612" s="12">
        <v>45845</v>
      </c>
      <c r="L612" s="22" t="s">
        <v>731</v>
      </c>
      <c r="M612" s="36">
        <v>0</v>
      </c>
      <c r="N612" s="26"/>
      <c r="O612" t="s">
        <v>202</v>
      </c>
      <c r="P612" t="s">
        <v>328</v>
      </c>
      <c r="Q612" t="s">
        <v>213</v>
      </c>
    </row>
    <row r="613" spans="1:17" x14ac:dyDescent="0.3">
      <c r="A613" s="25">
        <v>1490</v>
      </c>
      <c r="B613" t="s">
        <v>215</v>
      </c>
      <c r="C613" t="s">
        <v>40</v>
      </c>
      <c r="D613" t="s">
        <v>640</v>
      </c>
      <c r="E613" s="121">
        <v>8358</v>
      </c>
      <c r="F613" s="13">
        <v>45805</v>
      </c>
      <c r="G613" s="24">
        <v>2300</v>
      </c>
      <c r="H613" s="24">
        <v>2032.05</v>
      </c>
      <c r="I613" s="3">
        <v>45813</v>
      </c>
      <c r="J613" s="102">
        <v>45845</v>
      </c>
      <c r="K613" s="12">
        <v>45845</v>
      </c>
      <c r="L613" s="22" t="s">
        <v>731</v>
      </c>
      <c r="M613" s="36">
        <v>0</v>
      </c>
      <c r="N613" s="26"/>
      <c r="O613" t="s">
        <v>202</v>
      </c>
      <c r="P613" t="s">
        <v>328</v>
      </c>
      <c r="Q613" t="s">
        <v>213</v>
      </c>
    </row>
    <row r="614" spans="1:17" x14ac:dyDescent="0.3">
      <c r="A614" s="9">
        <v>1480</v>
      </c>
      <c r="B614" t="s">
        <v>193</v>
      </c>
      <c r="C614" t="s">
        <v>184</v>
      </c>
      <c r="D614" t="s">
        <v>732</v>
      </c>
      <c r="E614" s="121">
        <v>4081</v>
      </c>
      <c r="F614" s="13">
        <v>45805</v>
      </c>
      <c r="G614" s="24">
        <v>276669.15999999997</v>
      </c>
      <c r="H614" s="11">
        <v>259654.01</v>
      </c>
      <c r="I614" s="3">
        <v>45811</v>
      </c>
      <c r="J614" s="102">
        <v>45831</v>
      </c>
      <c r="K614" s="5">
        <v>45835</v>
      </c>
      <c r="L614" s="19" t="s">
        <v>731</v>
      </c>
      <c r="M614" s="38"/>
      <c r="N614" s="15"/>
      <c r="O614" t="s">
        <v>199</v>
      </c>
      <c r="P614" t="s">
        <v>376</v>
      </c>
      <c r="Q614" t="s">
        <v>207</v>
      </c>
    </row>
    <row r="615" spans="1:17" x14ac:dyDescent="0.3">
      <c r="A615" s="9">
        <v>1480</v>
      </c>
      <c r="B615" t="s">
        <v>193</v>
      </c>
      <c r="C615" t="s">
        <v>184</v>
      </c>
      <c r="D615" t="s">
        <v>732</v>
      </c>
      <c r="E615" s="121">
        <v>4118</v>
      </c>
      <c r="F615" s="13">
        <v>45805</v>
      </c>
      <c r="G615" s="24">
        <v>40182.239999999998</v>
      </c>
      <c r="H615" s="11">
        <v>37711.040000000001</v>
      </c>
      <c r="I615" s="3">
        <v>45818</v>
      </c>
      <c r="J615" s="102">
        <v>45831</v>
      </c>
      <c r="K615" s="5">
        <v>45835</v>
      </c>
      <c r="L615" s="19" t="s">
        <v>731</v>
      </c>
      <c r="M615" s="38"/>
      <c r="N615" s="15"/>
      <c r="O615" t="s">
        <v>199</v>
      </c>
      <c r="P615" t="s">
        <v>376</v>
      </c>
      <c r="Q615" t="s">
        <v>207</v>
      </c>
    </row>
    <row r="616" spans="1:17" x14ac:dyDescent="0.3">
      <c r="A616" s="9">
        <v>1475</v>
      </c>
      <c r="B616" t="s">
        <v>204</v>
      </c>
      <c r="C616" t="s">
        <v>95</v>
      </c>
      <c r="D616" t="s">
        <v>625</v>
      </c>
      <c r="E616" s="121">
        <v>8367</v>
      </c>
      <c r="F616" s="13">
        <v>45805</v>
      </c>
      <c r="G616" s="24">
        <v>68083.960000000006</v>
      </c>
      <c r="H616" s="11">
        <v>61071.31</v>
      </c>
      <c r="I616" s="3">
        <v>45817</v>
      </c>
      <c r="J616" s="102">
        <v>45831</v>
      </c>
      <c r="K616" s="12">
        <v>45831</v>
      </c>
      <c r="L616" s="19" t="s">
        <v>731</v>
      </c>
      <c r="M616" s="35">
        <v>0</v>
      </c>
      <c r="N616"/>
      <c r="O616" t="s">
        <v>199</v>
      </c>
      <c r="P616" t="s">
        <v>340</v>
      </c>
      <c r="Q616" t="s">
        <v>217</v>
      </c>
    </row>
    <row r="617" spans="1:17" x14ac:dyDescent="0.3">
      <c r="A617" s="9">
        <v>1475</v>
      </c>
      <c r="B617" t="s">
        <v>204</v>
      </c>
      <c r="C617" t="s">
        <v>95</v>
      </c>
      <c r="D617" t="s">
        <v>625</v>
      </c>
      <c r="E617" s="121">
        <v>8369</v>
      </c>
      <c r="F617" s="13">
        <v>45805</v>
      </c>
      <c r="G617" s="24">
        <v>8858.83</v>
      </c>
      <c r="H617" s="11">
        <v>7946.37</v>
      </c>
      <c r="I617" s="3">
        <v>45818</v>
      </c>
      <c r="J617" s="104">
        <v>45839</v>
      </c>
      <c r="K617" s="12">
        <v>45841</v>
      </c>
      <c r="L617" s="19" t="s">
        <v>731</v>
      </c>
      <c r="M617" s="35">
        <v>0</v>
      </c>
      <c r="N617"/>
      <c r="O617" t="s">
        <v>199</v>
      </c>
      <c r="P617" t="s">
        <v>340</v>
      </c>
      <c r="Q617" t="s">
        <v>217</v>
      </c>
    </row>
    <row r="618" spans="1:17" x14ac:dyDescent="0.3">
      <c r="A618" s="9">
        <v>1472</v>
      </c>
      <c r="B618" t="s">
        <v>71</v>
      </c>
      <c r="C618" t="s">
        <v>41</v>
      </c>
      <c r="D618" t="s">
        <v>622</v>
      </c>
      <c r="E618" s="121">
        <v>4076</v>
      </c>
      <c r="F618" s="13">
        <v>45805</v>
      </c>
      <c r="G618" s="24">
        <v>115676.9</v>
      </c>
      <c r="H618" s="24">
        <v>108562.77</v>
      </c>
      <c r="I618" s="3">
        <v>45810</v>
      </c>
      <c r="J618" s="102">
        <v>45817</v>
      </c>
      <c r="K618" s="12">
        <v>45820</v>
      </c>
      <c r="L618" s="19" t="s">
        <v>731</v>
      </c>
      <c r="M618" s="38"/>
      <c r="N618" s="15"/>
      <c r="O618" t="s">
        <v>201</v>
      </c>
      <c r="P618" t="s">
        <v>376</v>
      </c>
      <c r="Q618" t="s">
        <v>203</v>
      </c>
    </row>
    <row r="619" spans="1:17" x14ac:dyDescent="0.3">
      <c r="A619" s="9">
        <v>1378</v>
      </c>
      <c r="B619" t="s">
        <v>193</v>
      </c>
      <c r="C619" t="s">
        <v>4</v>
      </c>
      <c r="D619" t="s">
        <v>506</v>
      </c>
      <c r="E619" s="121">
        <v>8383</v>
      </c>
      <c r="F619" s="13">
        <v>45805</v>
      </c>
      <c r="G619" s="24">
        <v>4281.29</v>
      </c>
      <c r="H619" s="24">
        <v>4017.99</v>
      </c>
      <c r="I619" s="3">
        <v>45824</v>
      </c>
      <c r="J619" s="102">
        <v>45845</v>
      </c>
      <c r="K619" s="5">
        <v>45847</v>
      </c>
      <c r="L619" s="19" t="s">
        <v>731</v>
      </c>
      <c r="M619" s="35">
        <v>0</v>
      </c>
      <c r="N619"/>
      <c r="O619" t="s">
        <v>201</v>
      </c>
      <c r="P619" t="s">
        <v>376</v>
      </c>
      <c r="Q619" t="s">
        <v>207</v>
      </c>
    </row>
    <row r="620" spans="1:17" x14ac:dyDescent="0.3">
      <c r="A620" s="9">
        <v>1247</v>
      </c>
      <c r="B620" t="s">
        <v>215</v>
      </c>
      <c r="C620" t="s">
        <v>21</v>
      </c>
      <c r="D620" t="s">
        <v>359</v>
      </c>
      <c r="E620" s="121">
        <v>8349</v>
      </c>
      <c r="F620" s="13">
        <v>45805</v>
      </c>
      <c r="G620" s="24">
        <v>38395.360000000001</v>
      </c>
      <c r="H620" s="24">
        <v>34440.629999999997</v>
      </c>
      <c r="I620" s="3">
        <v>45810</v>
      </c>
      <c r="J620" s="102">
        <v>45817</v>
      </c>
      <c r="K620" s="12">
        <v>45820</v>
      </c>
      <c r="L620" s="19" t="s">
        <v>731</v>
      </c>
      <c r="M620" s="35">
        <v>0</v>
      </c>
      <c r="N620"/>
      <c r="O620" t="s">
        <v>202</v>
      </c>
      <c r="P620" t="s">
        <v>340</v>
      </c>
      <c r="Q620" t="s">
        <v>213</v>
      </c>
    </row>
    <row r="621" spans="1:17" x14ac:dyDescent="0.3">
      <c r="A621" s="9">
        <v>1358</v>
      </c>
      <c r="B621" t="s">
        <v>215</v>
      </c>
      <c r="C621" t="s">
        <v>17</v>
      </c>
      <c r="D621" t="s">
        <v>480</v>
      </c>
      <c r="E621" s="121">
        <v>8375</v>
      </c>
      <c r="F621" s="13">
        <v>45805</v>
      </c>
      <c r="G621" s="24">
        <v>85164.92</v>
      </c>
      <c r="H621" s="11">
        <v>76392.929999999993</v>
      </c>
      <c r="I621" s="3">
        <v>45819</v>
      </c>
      <c r="J621" s="102">
        <v>45852</v>
      </c>
      <c r="K621" s="12">
        <v>45852</v>
      </c>
      <c r="L621" s="19" t="s">
        <v>731</v>
      </c>
      <c r="M621" s="35">
        <v>0</v>
      </c>
      <c r="N621"/>
      <c r="O621" t="s">
        <v>202</v>
      </c>
      <c r="P621" t="s">
        <v>340</v>
      </c>
      <c r="Q621" t="s">
        <v>213</v>
      </c>
    </row>
    <row r="622" spans="1:17" x14ac:dyDescent="0.3">
      <c r="A622" s="9">
        <v>1358</v>
      </c>
      <c r="B622" t="s">
        <v>215</v>
      </c>
      <c r="C622" t="s">
        <v>17</v>
      </c>
      <c r="D622" t="s">
        <v>480</v>
      </c>
      <c r="E622" s="121">
        <v>8374</v>
      </c>
      <c r="F622" s="13">
        <v>45805</v>
      </c>
      <c r="G622" s="24">
        <v>7307.4</v>
      </c>
      <c r="H622" s="11">
        <v>6554.73</v>
      </c>
      <c r="I622" s="3">
        <v>45819</v>
      </c>
      <c r="J622" s="102">
        <v>45852</v>
      </c>
      <c r="K622" s="12">
        <v>45852</v>
      </c>
      <c r="L622" s="19" t="s">
        <v>731</v>
      </c>
      <c r="M622" s="35">
        <v>0</v>
      </c>
      <c r="N622"/>
      <c r="O622" t="s">
        <v>202</v>
      </c>
      <c r="P622" t="s">
        <v>340</v>
      </c>
      <c r="Q622" t="s">
        <v>213</v>
      </c>
    </row>
    <row r="623" spans="1:17" x14ac:dyDescent="0.3">
      <c r="A623" s="9">
        <v>1473</v>
      </c>
      <c r="B623" t="s">
        <v>215</v>
      </c>
      <c r="C623" t="s">
        <v>208</v>
      </c>
      <c r="D623" t="s">
        <v>623</v>
      </c>
      <c r="E623" s="121">
        <v>8384</v>
      </c>
      <c r="F623" s="13">
        <v>45805</v>
      </c>
      <c r="G623" s="24">
        <v>225302.23</v>
      </c>
      <c r="H623" s="24">
        <v>209915.8</v>
      </c>
      <c r="I623" s="3">
        <v>45825</v>
      </c>
      <c r="J623" s="102">
        <v>45839</v>
      </c>
      <c r="K623" s="12">
        <v>45840</v>
      </c>
      <c r="L623" s="19" t="s">
        <v>731</v>
      </c>
      <c r="M623" s="35"/>
      <c r="N623"/>
      <c r="O623" t="s">
        <v>202</v>
      </c>
      <c r="P623" t="s">
        <v>340</v>
      </c>
      <c r="Q623" t="s">
        <v>213</v>
      </c>
    </row>
    <row r="624" spans="1:17" x14ac:dyDescent="0.3">
      <c r="A624" s="25">
        <v>1462</v>
      </c>
      <c r="B624" t="s">
        <v>212</v>
      </c>
      <c r="C624" t="s">
        <v>221</v>
      </c>
      <c r="D624" t="s">
        <v>610</v>
      </c>
      <c r="E624" s="121">
        <v>8354</v>
      </c>
      <c r="F624" s="13">
        <v>45805</v>
      </c>
      <c r="G624" s="24">
        <v>800</v>
      </c>
      <c r="H624" s="24">
        <v>750.8</v>
      </c>
      <c r="I624" s="3">
        <v>45811</v>
      </c>
      <c r="J624" s="102">
        <v>45810</v>
      </c>
      <c r="K624" s="12">
        <v>45814</v>
      </c>
      <c r="L624" s="19" t="s">
        <v>731</v>
      </c>
      <c r="M624" s="36">
        <v>0</v>
      </c>
      <c r="N624" s="26"/>
      <c r="O624" t="s">
        <v>202</v>
      </c>
      <c r="P624" t="s">
        <v>373</v>
      </c>
      <c r="Q624" t="s">
        <v>207</v>
      </c>
    </row>
    <row r="625" spans="1:17" x14ac:dyDescent="0.3">
      <c r="A625" s="25">
        <v>1390</v>
      </c>
      <c r="B625" t="s">
        <v>211</v>
      </c>
      <c r="C625" t="s">
        <v>16</v>
      </c>
      <c r="D625" t="s">
        <v>519</v>
      </c>
      <c r="E625" s="121">
        <v>1292</v>
      </c>
      <c r="F625" s="53">
        <v>45897</v>
      </c>
      <c r="G625" s="24">
        <v>147656.07</v>
      </c>
      <c r="H625" s="24">
        <v>130454.15</v>
      </c>
      <c r="I625" s="3">
        <v>45909</v>
      </c>
      <c r="J625" s="102">
        <v>45992</v>
      </c>
      <c r="K625" s="12">
        <v>45995</v>
      </c>
      <c r="L625" s="19" t="s">
        <v>731</v>
      </c>
      <c r="M625" s="36">
        <v>0</v>
      </c>
      <c r="N625"/>
      <c r="O625" t="s">
        <v>202</v>
      </c>
      <c r="P625" t="s">
        <v>328</v>
      </c>
      <c r="Q625" t="s">
        <v>207</v>
      </c>
    </row>
    <row r="626" spans="1:17" x14ac:dyDescent="0.3">
      <c r="A626" s="14">
        <v>1260</v>
      </c>
      <c r="B626" t="s">
        <v>193</v>
      </c>
      <c r="C626" t="s">
        <v>121</v>
      </c>
      <c r="D626" t="s">
        <v>372</v>
      </c>
      <c r="E626" s="121">
        <v>4075</v>
      </c>
      <c r="F626" s="13">
        <v>45805</v>
      </c>
      <c r="G626" s="24">
        <v>10914</v>
      </c>
      <c r="H626" s="24">
        <v>10242.790000000001</v>
      </c>
      <c r="I626" s="3">
        <v>45810</v>
      </c>
      <c r="J626" s="102">
        <v>45831</v>
      </c>
      <c r="K626" s="12">
        <v>45833</v>
      </c>
      <c r="L626" s="20" t="s">
        <v>731</v>
      </c>
      <c r="M626" s="35">
        <v>0</v>
      </c>
      <c r="N626"/>
      <c r="O626" t="s">
        <v>199</v>
      </c>
      <c r="P626" t="s">
        <v>373</v>
      </c>
      <c r="Q626" t="s">
        <v>207</v>
      </c>
    </row>
    <row r="627" spans="1:17" x14ac:dyDescent="0.3">
      <c r="A627" s="25">
        <v>1485</v>
      </c>
      <c r="B627" t="s">
        <v>193</v>
      </c>
      <c r="C627" t="s">
        <v>43</v>
      </c>
      <c r="D627" t="s">
        <v>733</v>
      </c>
      <c r="E627" s="121">
        <v>4074</v>
      </c>
      <c r="F627" s="13">
        <v>45805</v>
      </c>
      <c r="G627" s="24">
        <v>27419.279999999999</v>
      </c>
      <c r="H627" s="24">
        <v>25732.99</v>
      </c>
      <c r="I627" s="3">
        <v>45810</v>
      </c>
      <c r="J627" s="102">
        <v>45831</v>
      </c>
      <c r="K627" s="12">
        <v>45835</v>
      </c>
      <c r="L627" s="19" t="s">
        <v>731</v>
      </c>
      <c r="M627" s="36">
        <v>0</v>
      </c>
      <c r="N627" s="26"/>
      <c r="O627" t="s">
        <v>199</v>
      </c>
      <c r="P627" t="s">
        <v>376</v>
      </c>
      <c r="Q627" t="s">
        <v>207</v>
      </c>
    </row>
    <row r="628" spans="1:17" x14ac:dyDescent="0.3">
      <c r="A628" s="9">
        <v>1482</v>
      </c>
      <c r="B628" t="s">
        <v>211</v>
      </c>
      <c r="C628" t="s">
        <v>34</v>
      </c>
      <c r="D628" t="s">
        <v>632</v>
      </c>
      <c r="E628" s="121">
        <v>8360</v>
      </c>
      <c r="F628" s="13">
        <v>45805</v>
      </c>
      <c r="G628" s="24">
        <v>39000</v>
      </c>
      <c r="H628" s="24">
        <v>35236.5</v>
      </c>
      <c r="I628" s="3">
        <v>45813</v>
      </c>
      <c r="J628" s="102">
        <v>45831</v>
      </c>
      <c r="K628" s="12">
        <v>45835</v>
      </c>
      <c r="L628" s="37" t="s">
        <v>731</v>
      </c>
      <c r="M628" s="43"/>
      <c r="N628" s="15"/>
      <c r="O628" t="s">
        <v>202</v>
      </c>
      <c r="P628" t="s">
        <v>328</v>
      </c>
      <c r="Q628" t="s">
        <v>207</v>
      </c>
    </row>
    <row r="629" spans="1:17" x14ac:dyDescent="0.3">
      <c r="A629" s="25">
        <v>1262</v>
      </c>
      <c r="B629" t="s">
        <v>193</v>
      </c>
      <c r="C629" t="s">
        <v>45</v>
      </c>
      <c r="D629" t="s">
        <v>375</v>
      </c>
      <c r="E629" s="121">
        <v>4134</v>
      </c>
      <c r="F629" s="13">
        <v>45805</v>
      </c>
      <c r="G629" s="24">
        <v>28774.95</v>
      </c>
      <c r="H629" s="24">
        <v>27005.29</v>
      </c>
      <c r="I629" s="3">
        <v>45826</v>
      </c>
      <c r="J629" s="102">
        <v>45831</v>
      </c>
      <c r="K629" s="12">
        <v>45835</v>
      </c>
      <c r="L629" s="19" t="s">
        <v>731</v>
      </c>
      <c r="M629" s="36">
        <v>0</v>
      </c>
      <c r="N629" s="26"/>
      <c r="O629" t="s">
        <v>199</v>
      </c>
      <c r="P629" t="s">
        <v>376</v>
      </c>
      <c r="Q629" t="s">
        <v>207</v>
      </c>
    </row>
    <row r="630" spans="1:17" x14ac:dyDescent="0.3">
      <c r="A630" s="25">
        <v>1262</v>
      </c>
      <c r="B630" t="s">
        <v>193</v>
      </c>
      <c r="C630" t="s">
        <v>45</v>
      </c>
      <c r="D630" t="s">
        <v>375</v>
      </c>
      <c r="E630" s="121">
        <v>4135</v>
      </c>
      <c r="F630" s="13">
        <v>45805</v>
      </c>
      <c r="G630" s="24">
        <v>20648.32</v>
      </c>
      <c r="H630" s="24">
        <v>19378.46</v>
      </c>
      <c r="I630" s="3">
        <v>45826</v>
      </c>
      <c r="J630" s="102">
        <v>45831</v>
      </c>
      <c r="K630" s="12">
        <v>45835</v>
      </c>
      <c r="L630" s="19" t="s">
        <v>731</v>
      </c>
      <c r="M630" s="36">
        <v>0</v>
      </c>
      <c r="N630" s="26"/>
      <c r="O630" t="s">
        <v>199</v>
      </c>
      <c r="P630" t="s">
        <v>376</v>
      </c>
      <c r="Q630" t="s">
        <v>207</v>
      </c>
    </row>
    <row r="631" spans="1:17" x14ac:dyDescent="0.3">
      <c r="A631" s="25">
        <v>1262</v>
      </c>
      <c r="B631" t="s">
        <v>193</v>
      </c>
      <c r="C631" t="s">
        <v>45</v>
      </c>
      <c r="D631" t="s">
        <v>375</v>
      </c>
      <c r="E631" s="121">
        <v>4136</v>
      </c>
      <c r="F631" s="13">
        <v>45805</v>
      </c>
      <c r="G631" s="24">
        <v>18710.580000000002</v>
      </c>
      <c r="H631" s="24">
        <v>17559.87</v>
      </c>
      <c r="I631" s="3">
        <v>45826</v>
      </c>
      <c r="J631" s="102">
        <v>45831</v>
      </c>
      <c r="K631" s="12">
        <v>45835</v>
      </c>
      <c r="L631" s="19" t="s">
        <v>731</v>
      </c>
      <c r="M631" s="36">
        <v>0</v>
      </c>
      <c r="N631" s="26"/>
      <c r="O631" t="s">
        <v>199</v>
      </c>
      <c r="P631" t="s">
        <v>376</v>
      </c>
      <c r="Q631" t="s">
        <v>207</v>
      </c>
    </row>
    <row r="632" spans="1:17" x14ac:dyDescent="0.3">
      <c r="A632" s="25">
        <v>1262</v>
      </c>
      <c r="B632" t="s">
        <v>193</v>
      </c>
      <c r="C632" t="s">
        <v>45</v>
      </c>
      <c r="D632" t="s">
        <v>375</v>
      </c>
      <c r="E632" s="121">
        <v>4139</v>
      </c>
      <c r="F632" s="13">
        <v>45805</v>
      </c>
      <c r="G632" s="24">
        <v>8018.82</v>
      </c>
      <c r="H632" s="24">
        <v>7525.67</v>
      </c>
      <c r="I632" s="3">
        <v>45826</v>
      </c>
      <c r="J632" s="102">
        <v>45831</v>
      </c>
      <c r="K632" s="12">
        <v>45835</v>
      </c>
      <c r="L632" s="19" t="s">
        <v>731</v>
      </c>
      <c r="M632" s="36">
        <v>0</v>
      </c>
      <c r="N632" s="26"/>
      <c r="O632" t="s">
        <v>199</v>
      </c>
      <c r="P632" t="s">
        <v>376</v>
      </c>
      <c r="Q632" t="s">
        <v>207</v>
      </c>
    </row>
    <row r="633" spans="1:17" x14ac:dyDescent="0.3">
      <c r="A633" s="25">
        <v>1262</v>
      </c>
      <c r="B633" t="s">
        <v>193</v>
      </c>
      <c r="C633" t="s">
        <v>45</v>
      </c>
      <c r="D633" t="s">
        <v>375</v>
      </c>
      <c r="E633" s="121">
        <v>4137</v>
      </c>
      <c r="F633" s="13">
        <v>45805</v>
      </c>
      <c r="G633" s="24">
        <v>65448.94</v>
      </c>
      <c r="H633" s="24">
        <v>61423.83</v>
      </c>
      <c r="I633" s="3">
        <v>45826</v>
      </c>
      <c r="J633" s="102">
        <v>45831</v>
      </c>
      <c r="K633" s="12">
        <v>45835</v>
      </c>
      <c r="L633" s="19" t="s">
        <v>731</v>
      </c>
      <c r="M633" s="36">
        <v>0</v>
      </c>
      <c r="N633" s="26"/>
      <c r="O633" t="s">
        <v>199</v>
      </c>
      <c r="P633" t="s">
        <v>376</v>
      </c>
      <c r="Q633" t="s">
        <v>207</v>
      </c>
    </row>
    <row r="634" spans="1:17" x14ac:dyDescent="0.3">
      <c r="A634" s="9">
        <v>1269</v>
      </c>
      <c r="B634" t="s">
        <v>193</v>
      </c>
      <c r="C634" t="s">
        <v>45</v>
      </c>
      <c r="D634" t="s">
        <v>384</v>
      </c>
      <c r="E634" s="121">
        <v>4142</v>
      </c>
      <c r="F634" s="13">
        <v>45805</v>
      </c>
      <c r="G634" s="24">
        <v>30699.4</v>
      </c>
      <c r="H634" s="24">
        <v>28811.39</v>
      </c>
      <c r="I634" s="3">
        <v>45826</v>
      </c>
      <c r="J634" s="102">
        <v>45831</v>
      </c>
      <c r="K634" s="12">
        <v>45835</v>
      </c>
      <c r="L634" s="19" t="s">
        <v>731</v>
      </c>
      <c r="M634" s="35">
        <v>0</v>
      </c>
      <c r="N634" s="15"/>
      <c r="O634" t="s">
        <v>202</v>
      </c>
      <c r="P634" t="s">
        <v>376</v>
      </c>
      <c r="Q634" t="s">
        <v>207</v>
      </c>
    </row>
    <row r="635" spans="1:17" x14ac:dyDescent="0.3">
      <c r="A635" s="9">
        <v>1269</v>
      </c>
      <c r="B635" t="s">
        <v>193</v>
      </c>
      <c r="C635" t="s">
        <v>45</v>
      </c>
      <c r="D635" t="s">
        <v>384</v>
      </c>
      <c r="E635" s="121">
        <v>4141</v>
      </c>
      <c r="F635" s="13">
        <v>45805</v>
      </c>
      <c r="G635" s="24">
        <v>6655.99</v>
      </c>
      <c r="H635" s="24">
        <v>6246.65</v>
      </c>
      <c r="I635" s="3">
        <v>45826</v>
      </c>
      <c r="J635" s="102">
        <v>45831</v>
      </c>
      <c r="K635" s="12">
        <v>45835</v>
      </c>
      <c r="L635" s="19" t="s">
        <v>731</v>
      </c>
      <c r="M635" s="35">
        <v>0</v>
      </c>
      <c r="N635" s="15"/>
      <c r="O635" t="s">
        <v>202</v>
      </c>
      <c r="P635" t="s">
        <v>376</v>
      </c>
      <c r="Q635" t="s">
        <v>207</v>
      </c>
    </row>
    <row r="636" spans="1:17" x14ac:dyDescent="0.3">
      <c r="A636" s="9">
        <v>1269</v>
      </c>
      <c r="B636" t="s">
        <v>193</v>
      </c>
      <c r="C636" t="s">
        <v>45</v>
      </c>
      <c r="D636" t="s">
        <v>384</v>
      </c>
      <c r="E636" s="121">
        <v>4140</v>
      </c>
      <c r="F636" s="13">
        <v>45805</v>
      </c>
      <c r="G636" s="24">
        <v>10876.23</v>
      </c>
      <c r="H636" s="24">
        <v>10207.34</v>
      </c>
      <c r="I636" s="3">
        <v>45826</v>
      </c>
      <c r="J636" s="102">
        <v>45831</v>
      </c>
      <c r="K636" s="12">
        <v>45835</v>
      </c>
      <c r="L636" s="19" t="s">
        <v>731</v>
      </c>
      <c r="M636" s="35">
        <v>0</v>
      </c>
      <c r="N636" s="15"/>
      <c r="O636" t="s">
        <v>202</v>
      </c>
      <c r="P636" t="s">
        <v>376</v>
      </c>
      <c r="Q636" t="s">
        <v>207</v>
      </c>
    </row>
    <row r="637" spans="1:17" x14ac:dyDescent="0.3">
      <c r="A637" s="9">
        <v>1269</v>
      </c>
      <c r="B637" t="s">
        <v>193</v>
      </c>
      <c r="C637" t="s">
        <v>45</v>
      </c>
      <c r="D637" t="s">
        <v>384</v>
      </c>
      <c r="E637" s="121">
        <v>4138</v>
      </c>
      <c r="F637" s="13">
        <v>45805</v>
      </c>
      <c r="G637" s="24">
        <v>198578.23</v>
      </c>
      <c r="H637" s="24">
        <v>186365.67</v>
      </c>
      <c r="I637" s="3">
        <v>45826</v>
      </c>
      <c r="J637" s="102">
        <v>45831</v>
      </c>
      <c r="K637" s="12">
        <v>45835</v>
      </c>
      <c r="L637" s="19" t="s">
        <v>731</v>
      </c>
      <c r="M637" s="35">
        <v>0</v>
      </c>
      <c r="N637" s="15"/>
      <c r="O637" t="s">
        <v>202</v>
      </c>
      <c r="P637" t="s">
        <v>376</v>
      </c>
      <c r="Q637" t="s">
        <v>207</v>
      </c>
    </row>
    <row r="638" spans="1:17" x14ac:dyDescent="0.3">
      <c r="A638" s="25">
        <v>1400</v>
      </c>
      <c r="B638" t="s">
        <v>209</v>
      </c>
      <c r="C638" t="s">
        <v>3</v>
      </c>
      <c r="D638" t="s">
        <v>530</v>
      </c>
      <c r="E638" s="121">
        <v>8373</v>
      </c>
      <c r="F638" s="13">
        <v>45805</v>
      </c>
      <c r="G638" s="24">
        <v>77751.44</v>
      </c>
      <c r="H638" s="24">
        <v>70248.429999999993</v>
      </c>
      <c r="I638" s="3">
        <v>45819</v>
      </c>
      <c r="J638" s="102">
        <v>45839</v>
      </c>
      <c r="K638" s="12">
        <v>45841</v>
      </c>
      <c r="L638" s="19" t="s">
        <v>731</v>
      </c>
      <c r="M638" s="36">
        <v>0</v>
      </c>
      <c r="N638"/>
      <c r="O638" t="s">
        <v>199</v>
      </c>
      <c r="P638" t="s">
        <v>328</v>
      </c>
      <c r="Q638" t="s">
        <v>203</v>
      </c>
    </row>
    <row r="639" spans="1:17" x14ac:dyDescent="0.3">
      <c r="A639" s="25">
        <v>1400</v>
      </c>
      <c r="B639" t="s">
        <v>209</v>
      </c>
      <c r="C639" t="s">
        <v>3</v>
      </c>
      <c r="D639" t="s">
        <v>530</v>
      </c>
      <c r="E639" s="121">
        <v>8633</v>
      </c>
      <c r="F639" s="13">
        <v>45775</v>
      </c>
      <c r="G639" s="24">
        <v>521197.7</v>
      </c>
      <c r="H639" s="27">
        <v>470902.12</v>
      </c>
      <c r="I639" s="3">
        <v>45992</v>
      </c>
      <c r="J639" s="102">
        <v>45992</v>
      </c>
      <c r="K639" s="12">
        <v>45995</v>
      </c>
      <c r="L639" s="19" t="s">
        <v>731</v>
      </c>
      <c r="M639" s="39"/>
      <c r="N639"/>
      <c r="O639" t="s">
        <v>199</v>
      </c>
      <c r="P639" t="s">
        <v>328</v>
      </c>
      <c r="Q639" t="s">
        <v>203</v>
      </c>
    </row>
    <row r="640" spans="1:17" x14ac:dyDescent="0.3">
      <c r="A640" s="25">
        <v>1400</v>
      </c>
      <c r="B640" t="s">
        <v>209</v>
      </c>
      <c r="C640" t="s">
        <v>3</v>
      </c>
      <c r="D640" t="s">
        <v>530</v>
      </c>
      <c r="E640" s="121">
        <v>8634</v>
      </c>
      <c r="F640" s="13">
        <v>45805</v>
      </c>
      <c r="G640" s="24">
        <v>528436.46</v>
      </c>
      <c r="H640" s="27">
        <v>477442.34</v>
      </c>
      <c r="I640" s="3">
        <v>45992</v>
      </c>
      <c r="J640" s="102">
        <v>45992</v>
      </c>
      <c r="K640" s="12">
        <v>45995</v>
      </c>
      <c r="L640" s="19" t="s">
        <v>731</v>
      </c>
      <c r="M640" s="39"/>
      <c r="N640"/>
      <c r="O640" t="s">
        <v>199</v>
      </c>
      <c r="P640" t="s">
        <v>328</v>
      </c>
      <c r="Q640" t="s">
        <v>203</v>
      </c>
    </row>
    <row r="641" spans="1:17" x14ac:dyDescent="0.3">
      <c r="A641" s="9">
        <v>1366</v>
      </c>
      <c r="B641" t="s">
        <v>209</v>
      </c>
      <c r="C641" t="s">
        <v>3</v>
      </c>
      <c r="D641" t="s">
        <v>490</v>
      </c>
      <c r="E641" s="121">
        <v>1268</v>
      </c>
      <c r="F641" s="13">
        <v>45805</v>
      </c>
      <c r="G641" s="24">
        <v>340150.71</v>
      </c>
      <c r="H641" s="11">
        <v>307326.14</v>
      </c>
      <c r="I641" s="3">
        <v>45825</v>
      </c>
      <c r="J641" s="102">
        <v>45839</v>
      </c>
      <c r="K641" s="12">
        <v>45841</v>
      </c>
      <c r="L641" s="19" t="s">
        <v>731</v>
      </c>
      <c r="M641" s="35">
        <v>0</v>
      </c>
      <c r="N641"/>
      <c r="O641" t="s">
        <v>202</v>
      </c>
      <c r="P641" t="s">
        <v>328</v>
      </c>
      <c r="Q641" t="s">
        <v>203</v>
      </c>
    </row>
    <row r="642" spans="1:17" x14ac:dyDescent="0.3">
      <c r="A642" s="9">
        <v>1388</v>
      </c>
      <c r="B642" t="s">
        <v>209</v>
      </c>
      <c r="C642" t="s">
        <v>3</v>
      </c>
      <c r="D642" t="s">
        <v>518</v>
      </c>
      <c r="E642" s="121">
        <v>4173</v>
      </c>
      <c r="F642" s="13">
        <v>45805</v>
      </c>
      <c r="G642" s="24">
        <v>162071.75</v>
      </c>
      <c r="H642" s="24">
        <v>146431.82999999999</v>
      </c>
      <c r="I642" s="3">
        <v>45852</v>
      </c>
      <c r="J642" s="102">
        <v>45866</v>
      </c>
      <c r="K642" s="12">
        <v>45869</v>
      </c>
      <c r="L642" s="19" t="s">
        <v>731</v>
      </c>
      <c r="M642" s="35">
        <v>0</v>
      </c>
      <c r="N642"/>
      <c r="O642" t="s">
        <v>199</v>
      </c>
      <c r="P642" t="s">
        <v>328</v>
      </c>
      <c r="Q642" t="s">
        <v>203</v>
      </c>
    </row>
    <row r="643" spans="1:17" x14ac:dyDescent="0.3">
      <c r="A643" s="9">
        <v>1298</v>
      </c>
      <c r="B643" t="s">
        <v>84</v>
      </c>
      <c r="C643" t="s">
        <v>36</v>
      </c>
      <c r="D643" t="s">
        <v>418</v>
      </c>
      <c r="E643" s="121">
        <v>1267</v>
      </c>
      <c r="F643" s="13">
        <v>45805</v>
      </c>
      <c r="G643" s="24">
        <v>275594.28999999998</v>
      </c>
      <c r="H643" s="24">
        <v>258645.25</v>
      </c>
      <c r="I643" s="3">
        <v>45824</v>
      </c>
      <c r="J643" s="102">
        <v>45831</v>
      </c>
      <c r="K643" s="12">
        <v>45835</v>
      </c>
      <c r="L643" s="19" t="s">
        <v>731</v>
      </c>
      <c r="M643" s="35">
        <v>0</v>
      </c>
      <c r="N643"/>
      <c r="O643" t="s">
        <v>202</v>
      </c>
      <c r="P643" t="s">
        <v>340</v>
      </c>
      <c r="Q643" t="s">
        <v>207</v>
      </c>
    </row>
    <row r="644" spans="1:17" x14ac:dyDescent="0.3">
      <c r="A644" s="9">
        <v>1289</v>
      </c>
      <c r="B644" t="s">
        <v>204</v>
      </c>
      <c r="C644" t="s">
        <v>32</v>
      </c>
      <c r="D644" t="s">
        <v>408</v>
      </c>
      <c r="E644" s="121">
        <v>8368</v>
      </c>
      <c r="F644" s="13">
        <v>45805</v>
      </c>
      <c r="G644" s="24">
        <v>288631.78000000003</v>
      </c>
      <c r="H644" s="11">
        <v>269004.81</v>
      </c>
      <c r="I644" s="3">
        <v>45818</v>
      </c>
      <c r="J644" s="102">
        <v>45831</v>
      </c>
      <c r="K644" s="12">
        <v>45831</v>
      </c>
      <c r="L644" s="19" t="s">
        <v>731</v>
      </c>
      <c r="M644" s="35"/>
      <c r="N644"/>
      <c r="O644" t="s">
        <v>202</v>
      </c>
      <c r="P644" t="s">
        <v>340</v>
      </c>
      <c r="Q644" t="s">
        <v>217</v>
      </c>
    </row>
    <row r="645" spans="1:17" x14ac:dyDescent="0.3">
      <c r="A645" s="25">
        <v>1288</v>
      </c>
      <c r="B645" t="s">
        <v>204</v>
      </c>
      <c r="C645" t="s">
        <v>32</v>
      </c>
      <c r="D645" t="s">
        <v>407</v>
      </c>
      <c r="E645" s="121">
        <v>8364</v>
      </c>
      <c r="F645" s="13">
        <v>45805</v>
      </c>
      <c r="G645" s="24">
        <v>393627.06</v>
      </c>
      <c r="H645" s="24">
        <v>366860.42</v>
      </c>
      <c r="I645" s="3">
        <v>45814</v>
      </c>
      <c r="J645" s="102">
        <v>45831</v>
      </c>
      <c r="K645" s="12">
        <v>45831</v>
      </c>
      <c r="L645" s="19" t="s">
        <v>731</v>
      </c>
      <c r="M645" s="36"/>
      <c r="N645"/>
      <c r="O645" t="s">
        <v>199</v>
      </c>
      <c r="P645" t="s">
        <v>340</v>
      </c>
      <c r="Q645" t="s">
        <v>217</v>
      </c>
    </row>
    <row r="646" spans="1:17" x14ac:dyDescent="0.3">
      <c r="A646" s="25">
        <v>1288</v>
      </c>
      <c r="B646" t="s">
        <v>204</v>
      </c>
      <c r="C646" t="s">
        <v>32</v>
      </c>
      <c r="D646" t="s">
        <v>407</v>
      </c>
      <c r="E646" s="121">
        <v>8379</v>
      </c>
      <c r="F646" s="13">
        <v>45805</v>
      </c>
      <c r="G646" s="24">
        <v>219449.92</v>
      </c>
      <c r="H646" s="24">
        <v>204527.32</v>
      </c>
      <c r="I646" s="3">
        <v>45819</v>
      </c>
      <c r="J646" s="102">
        <v>45831</v>
      </c>
      <c r="K646" s="12">
        <v>45835</v>
      </c>
      <c r="L646" s="19" t="s">
        <v>731</v>
      </c>
      <c r="M646" s="36"/>
      <c r="N646"/>
      <c r="O646" t="s">
        <v>199</v>
      </c>
      <c r="P646" t="s">
        <v>340</v>
      </c>
      <c r="Q646" t="s">
        <v>217</v>
      </c>
    </row>
    <row r="647" spans="1:17" x14ac:dyDescent="0.3">
      <c r="A647" s="9">
        <v>1271</v>
      </c>
      <c r="B647" t="s">
        <v>204</v>
      </c>
      <c r="C647" t="s">
        <v>32</v>
      </c>
      <c r="D647" t="s">
        <v>387</v>
      </c>
      <c r="E647" s="121">
        <v>8366</v>
      </c>
      <c r="F647" s="13">
        <v>45805</v>
      </c>
      <c r="G647" s="24">
        <v>255597.54</v>
      </c>
      <c r="H647" s="11">
        <v>238216.91</v>
      </c>
      <c r="I647" s="3">
        <v>45817</v>
      </c>
      <c r="J647" s="102">
        <v>45831</v>
      </c>
      <c r="K647" s="12">
        <v>45831</v>
      </c>
      <c r="L647" s="19" t="s">
        <v>731</v>
      </c>
      <c r="M647" s="35">
        <v>0</v>
      </c>
      <c r="N647"/>
      <c r="O647" t="s">
        <v>202</v>
      </c>
      <c r="P647" t="s">
        <v>340</v>
      </c>
      <c r="Q647" t="s">
        <v>217</v>
      </c>
    </row>
    <row r="648" spans="1:17" x14ac:dyDescent="0.3">
      <c r="A648" s="9">
        <v>1299</v>
      </c>
      <c r="B648" t="s">
        <v>204</v>
      </c>
      <c r="C648" t="s">
        <v>32</v>
      </c>
      <c r="D648" t="s">
        <v>419</v>
      </c>
      <c r="E648" s="121">
        <v>8363</v>
      </c>
      <c r="F648" s="13">
        <v>45805</v>
      </c>
      <c r="G648" s="24">
        <v>1020096</v>
      </c>
      <c r="H648" s="11">
        <v>950729.47</v>
      </c>
      <c r="I648" s="3">
        <v>45814</v>
      </c>
      <c r="J648" s="102">
        <v>45824</v>
      </c>
      <c r="K648" s="12">
        <v>45825</v>
      </c>
      <c r="L648" s="19" t="s">
        <v>731</v>
      </c>
      <c r="M648" s="55">
        <v>0</v>
      </c>
      <c r="N648" s="15"/>
      <c r="O648" t="s">
        <v>199</v>
      </c>
      <c r="P648" t="s">
        <v>340</v>
      </c>
      <c r="Q648" t="s">
        <v>217</v>
      </c>
    </row>
    <row r="649" spans="1:17" x14ac:dyDescent="0.3">
      <c r="A649" s="9">
        <v>1394</v>
      </c>
      <c r="B649" t="s">
        <v>210</v>
      </c>
      <c r="C649" t="s">
        <v>38</v>
      </c>
      <c r="D649" t="s">
        <v>523</v>
      </c>
      <c r="E649" s="121">
        <v>8361</v>
      </c>
      <c r="F649" s="13">
        <v>45805</v>
      </c>
      <c r="G649" s="24">
        <v>91705.61</v>
      </c>
      <c r="H649" s="24">
        <v>85469.63</v>
      </c>
      <c r="I649" s="3">
        <v>45814</v>
      </c>
      <c r="J649" s="102">
        <v>45824</v>
      </c>
      <c r="K649" s="5">
        <v>45824</v>
      </c>
      <c r="L649" s="22" t="s">
        <v>731</v>
      </c>
      <c r="M649" s="56">
        <v>0</v>
      </c>
      <c r="N649" s="15"/>
      <c r="O649" t="s">
        <v>202</v>
      </c>
      <c r="P649" t="s">
        <v>340</v>
      </c>
      <c r="Q649" t="s">
        <v>213</v>
      </c>
    </row>
    <row r="650" spans="1:17" x14ac:dyDescent="0.3">
      <c r="A650" s="9">
        <v>1394</v>
      </c>
      <c r="B650" t="s">
        <v>210</v>
      </c>
      <c r="C650" t="s">
        <v>38</v>
      </c>
      <c r="D650" t="s">
        <v>523</v>
      </c>
      <c r="E650" s="121">
        <v>8367</v>
      </c>
      <c r="F650" s="13">
        <v>45805</v>
      </c>
      <c r="G650" s="24">
        <v>117291.83</v>
      </c>
      <c r="H650" s="24">
        <v>109315.98</v>
      </c>
      <c r="I650" s="3">
        <v>45817</v>
      </c>
      <c r="J650" s="102">
        <v>45831</v>
      </c>
      <c r="K650" s="5">
        <v>45835</v>
      </c>
      <c r="L650" s="22" t="s">
        <v>731</v>
      </c>
      <c r="M650" s="56">
        <v>0</v>
      </c>
      <c r="N650" s="15"/>
      <c r="O650" t="s">
        <v>202</v>
      </c>
      <c r="P650" t="s">
        <v>340</v>
      </c>
      <c r="Q650" t="s">
        <v>213</v>
      </c>
    </row>
    <row r="651" spans="1:17" x14ac:dyDescent="0.3">
      <c r="A651" s="9">
        <v>1394</v>
      </c>
      <c r="B651" t="s">
        <v>210</v>
      </c>
      <c r="C651" t="s">
        <v>38</v>
      </c>
      <c r="D651" t="s">
        <v>523</v>
      </c>
      <c r="E651" s="121">
        <v>8377</v>
      </c>
      <c r="F651" s="13">
        <v>45805</v>
      </c>
      <c r="G651" s="24">
        <v>193066.28</v>
      </c>
      <c r="H651" s="24">
        <v>179937.77</v>
      </c>
      <c r="I651" s="3">
        <v>45819</v>
      </c>
      <c r="J651" s="102">
        <v>45839</v>
      </c>
      <c r="K651" s="5">
        <v>45839</v>
      </c>
      <c r="L651" s="22" t="s">
        <v>731</v>
      </c>
      <c r="M651" s="56">
        <v>0</v>
      </c>
      <c r="N651" s="15"/>
      <c r="O651" t="s">
        <v>202</v>
      </c>
      <c r="P651" t="s">
        <v>340</v>
      </c>
      <c r="Q651" t="s">
        <v>213</v>
      </c>
    </row>
    <row r="652" spans="1:17" x14ac:dyDescent="0.3">
      <c r="A652" s="9">
        <v>1394</v>
      </c>
      <c r="B652" t="s">
        <v>210</v>
      </c>
      <c r="C652" t="s">
        <v>38</v>
      </c>
      <c r="D652" t="s">
        <v>523</v>
      </c>
      <c r="E652" s="121">
        <v>8378</v>
      </c>
      <c r="F652" s="13">
        <v>45805</v>
      </c>
      <c r="G652" s="24">
        <v>89335</v>
      </c>
      <c r="H652" s="24">
        <v>83260.22</v>
      </c>
      <c r="I652" s="3">
        <v>45819</v>
      </c>
      <c r="J652" s="102">
        <v>45831</v>
      </c>
      <c r="K652" s="5">
        <v>45828</v>
      </c>
      <c r="L652" s="22" t="s">
        <v>731</v>
      </c>
      <c r="M652" s="56">
        <v>0</v>
      </c>
      <c r="N652" s="15"/>
      <c r="O652" t="s">
        <v>202</v>
      </c>
      <c r="P652" t="s">
        <v>340</v>
      </c>
      <c r="Q652" t="s">
        <v>213</v>
      </c>
    </row>
    <row r="653" spans="1:17" x14ac:dyDescent="0.3">
      <c r="A653" s="9">
        <v>1394</v>
      </c>
      <c r="B653" t="s">
        <v>210</v>
      </c>
      <c r="C653" t="s">
        <v>38</v>
      </c>
      <c r="D653" t="s">
        <v>523</v>
      </c>
      <c r="E653" s="121">
        <v>8380</v>
      </c>
      <c r="F653" s="13">
        <v>45805</v>
      </c>
      <c r="G653" s="24">
        <v>297806.21999999997</v>
      </c>
      <c r="H653" s="24">
        <v>277555.40000000002</v>
      </c>
      <c r="I653" s="3">
        <v>45819</v>
      </c>
      <c r="J653" s="102">
        <v>45838</v>
      </c>
      <c r="K653" s="5">
        <v>45838</v>
      </c>
      <c r="L653" s="22" t="s">
        <v>731</v>
      </c>
      <c r="M653" s="56">
        <v>0</v>
      </c>
      <c r="N653" s="15"/>
      <c r="O653" t="s">
        <v>202</v>
      </c>
      <c r="P653" t="s">
        <v>340</v>
      </c>
      <c r="Q653" t="s">
        <v>213</v>
      </c>
    </row>
    <row r="654" spans="1:17" x14ac:dyDescent="0.3">
      <c r="A654" s="9">
        <v>1394</v>
      </c>
      <c r="B654" t="s">
        <v>210</v>
      </c>
      <c r="C654" t="s">
        <v>38</v>
      </c>
      <c r="D654" t="s">
        <v>523</v>
      </c>
      <c r="E654" s="121">
        <v>8382</v>
      </c>
      <c r="F654" s="13">
        <v>45805</v>
      </c>
      <c r="G654" s="24">
        <v>133850.94</v>
      </c>
      <c r="H654" s="24">
        <v>124749.07</v>
      </c>
      <c r="I654" s="3">
        <v>45821</v>
      </c>
      <c r="J654" s="102">
        <v>45839</v>
      </c>
      <c r="K654" s="5">
        <v>45840</v>
      </c>
      <c r="L654" s="22" t="s">
        <v>731</v>
      </c>
      <c r="M654" s="56">
        <v>0</v>
      </c>
      <c r="N654" s="15"/>
      <c r="O654" t="s">
        <v>202</v>
      </c>
      <c r="P654" t="s">
        <v>340</v>
      </c>
      <c r="Q654" t="s">
        <v>213</v>
      </c>
    </row>
    <row r="655" spans="1:17" x14ac:dyDescent="0.3">
      <c r="A655" s="9">
        <v>1394</v>
      </c>
      <c r="B655" t="s">
        <v>210</v>
      </c>
      <c r="C655" t="s">
        <v>38</v>
      </c>
      <c r="D655" t="s">
        <v>523</v>
      </c>
      <c r="E655" s="121">
        <v>8393</v>
      </c>
      <c r="F655" s="13">
        <v>45805</v>
      </c>
      <c r="G655" s="24">
        <v>17881.25</v>
      </c>
      <c r="H655" s="24">
        <v>16665.32</v>
      </c>
      <c r="I655" s="3">
        <v>45833</v>
      </c>
      <c r="J655" s="102">
        <v>45852</v>
      </c>
      <c r="K655" s="5">
        <v>45855</v>
      </c>
      <c r="L655" s="22" t="s">
        <v>731</v>
      </c>
      <c r="M655" s="56">
        <v>0</v>
      </c>
      <c r="N655" s="15"/>
      <c r="O655" t="s">
        <v>202</v>
      </c>
      <c r="P655" t="s">
        <v>340</v>
      </c>
      <c r="Q655" t="s">
        <v>213</v>
      </c>
    </row>
    <row r="656" spans="1:17" x14ac:dyDescent="0.3">
      <c r="A656" s="9">
        <v>1394</v>
      </c>
      <c r="B656" t="s">
        <v>210</v>
      </c>
      <c r="C656" t="s">
        <v>38</v>
      </c>
      <c r="D656" t="s">
        <v>523</v>
      </c>
      <c r="E656" s="121">
        <v>8396</v>
      </c>
      <c r="F656" s="13">
        <v>45805</v>
      </c>
      <c r="G656" s="24">
        <v>233745.96</v>
      </c>
      <c r="H656" s="24">
        <v>217851.23</v>
      </c>
      <c r="I656" s="3">
        <v>45835</v>
      </c>
      <c r="J656" s="102">
        <v>45852</v>
      </c>
      <c r="K656" s="5">
        <v>45854</v>
      </c>
      <c r="L656" s="22" t="s">
        <v>731</v>
      </c>
      <c r="M656" s="56">
        <v>0</v>
      </c>
      <c r="N656" s="15"/>
      <c r="O656" t="s">
        <v>202</v>
      </c>
      <c r="P656" t="s">
        <v>340</v>
      </c>
      <c r="Q656" t="s">
        <v>213</v>
      </c>
    </row>
    <row r="657" spans="1:17" x14ac:dyDescent="0.3">
      <c r="A657" s="25">
        <v>1500</v>
      </c>
      <c r="B657" t="s">
        <v>71</v>
      </c>
      <c r="C657" t="s">
        <v>44</v>
      </c>
      <c r="D657" t="s">
        <v>651</v>
      </c>
      <c r="E657" s="121">
        <v>4082</v>
      </c>
      <c r="F657" s="13">
        <v>45805</v>
      </c>
      <c r="G657" s="24">
        <v>31621.38</v>
      </c>
      <c r="H657" s="24">
        <v>29676.67</v>
      </c>
      <c r="I657" s="3">
        <v>45812</v>
      </c>
      <c r="J657" s="102">
        <v>45831</v>
      </c>
      <c r="K657" s="12">
        <v>45833</v>
      </c>
      <c r="L657" s="19" t="s">
        <v>731</v>
      </c>
      <c r="M657" s="36"/>
      <c r="N657"/>
      <c r="O657" t="s">
        <v>201</v>
      </c>
      <c r="P657" t="s">
        <v>376</v>
      </c>
      <c r="Q657" t="s">
        <v>203</v>
      </c>
    </row>
    <row r="658" spans="1:17" x14ac:dyDescent="0.3">
      <c r="A658" s="25">
        <v>1360</v>
      </c>
      <c r="B658" t="s">
        <v>71</v>
      </c>
      <c r="C658" t="s">
        <v>44</v>
      </c>
      <c r="D658" t="s">
        <v>483</v>
      </c>
      <c r="E658" s="121">
        <v>4040</v>
      </c>
      <c r="F658" s="13">
        <v>45805</v>
      </c>
      <c r="G658" s="24">
        <v>54348.800000000003</v>
      </c>
      <c r="H658" s="27">
        <v>51006.35</v>
      </c>
      <c r="I658" s="3">
        <v>45797</v>
      </c>
      <c r="J658" s="102">
        <v>45831</v>
      </c>
      <c r="K658" s="12">
        <v>45833</v>
      </c>
      <c r="L658" s="19" t="s">
        <v>731</v>
      </c>
      <c r="M658" s="36"/>
      <c r="N658"/>
      <c r="O658" t="s">
        <v>199</v>
      </c>
      <c r="P658" t="s">
        <v>376</v>
      </c>
      <c r="Q658" t="s">
        <v>203</v>
      </c>
    </row>
    <row r="659" spans="1:17" x14ac:dyDescent="0.3">
      <c r="A659" s="25">
        <v>1360</v>
      </c>
      <c r="B659" t="s">
        <v>71</v>
      </c>
      <c r="C659" t="s">
        <v>44</v>
      </c>
      <c r="D659" t="s">
        <v>483</v>
      </c>
      <c r="E659" s="121">
        <v>4038</v>
      </c>
      <c r="F659" s="13">
        <v>45805</v>
      </c>
      <c r="G659" s="24">
        <v>174774.39999999999</v>
      </c>
      <c r="H659" s="27">
        <v>164025.78</v>
      </c>
      <c r="I659" s="3">
        <v>45797</v>
      </c>
      <c r="J659" s="102">
        <v>45831</v>
      </c>
      <c r="K659" s="12">
        <v>45833</v>
      </c>
      <c r="L659" s="19" t="s">
        <v>731</v>
      </c>
      <c r="M659" s="36"/>
      <c r="N659"/>
      <c r="O659" t="s">
        <v>199</v>
      </c>
      <c r="P659" t="s">
        <v>376</v>
      </c>
      <c r="Q659" t="s">
        <v>203</v>
      </c>
    </row>
    <row r="660" spans="1:17" x14ac:dyDescent="0.3">
      <c r="A660" s="25">
        <v>1360</v>
      </c>
      <c r="B660" t="s">
        <v>71</v>
      </c>
      <c r="C660" t="s">
        <v>44</v>
      </c>
      <c r="D660" t="s">
        <v>483</v>
      </c>
      <c r="E660" s="121">
        <v>4045</v>
      </c>
      <c r="F660" s="13">
        <v>45805</v>
      </c>
      <c r="G660" s="24">
        <v>72457.600000000006</v>
      </c>
      <c r="H660" s="27">
        <v>68001.460000000006</v>
      </c>
      <c r="I660" s="3">
        <v>45798</v>
      </c>
      <c r="J660" s="104">
        <v>45831</v>
      </c>
      <c r="K660" s="12">
        <v>45833</v>
      </c>
      <c r="L660" s="19" t="s">
        <v>731</v>
      </c>
      <c r="M660" s="36"/>
      <c r="N660"/>
      <c r="O660" t="s">
        <v>199</v>
      </c>
      <c r="P660" t="s">
        <v>376</v>
      </c>
      <c r="Q660" t="s">
        <v>203</v>
      </c>
    </row>
    <row r="661" spans="1:17" x14ac:dyDescent="0.3">
      <c r="A661" s="25">
        <v>1360</v>
      </c>
      <c r="B661" t="s">
        <v>71</v>
      </c>
      <c r="C661" t="s">
        <v>44</v>
      </c>
      <c r="D661" t="s">
        <v>483</v>
      </c>
      <c r="E661" s="121">
        <v>4044</v>
      </c>
      <c r="F661" s="13">
        <v>45805</v>
      </c>
      <c r="G661" s="24">
        <v>26224</v>
      </c>
      <c r="H661" s="27">
        <v>24611.22</v>
      </c>
      <c r="I661" s="3">
        <v>45798</v>
      </c>
      <c r="J661" s="104">
        <v>45831</v>
      </c>
      <c r="K661" s="12">
        <v>45833</v>
      </c>
      <c r="L661" s="19" t="s">
        <v>731</v>
      </c>
      <c r="M661" s="36"/>
      <c r="N661"/>
      <c r="O661" t="s">
        <v>199</v>
      </c>
      <c r="P661" t="s">
        <v>376</v>
      </c>
      <c r="Q661" t="s">
        <v>203</v>
      </c>
    </row>
    <row r="662" spans="1:17" x14ac:dyDescent="0.3">
      <c r="A662" s="25">
        <v>1360</v>
      </c>
      <c r="B662" t="s">
        <v>71</v>
      </c>
      <c r="C662" t="s">
        <v>44</v>
      </c>
      <c r="D662" t="s">
        <v>483</v>
      </c>
      <c r="E662" s="121">
        <v>4042</v>
      </c>
      <c r="F662" s="13">
        <v>45805</v>
      </c>
      <c r="G662" s="24">
        <v>37369.599999999999</v>
      </c>
      <c r="H662" s="27">
        <v>35071.370000000003</v>
      </c>
      <c r="I662" s="3">
        <v>45798</v>
      </c>
      <c r="J662" s="104">
        <v>45831</v>
      </c>
      <c r="K662" s="12">
        <v>45833</v>
      </c>
      <c r="L662" s="19" t="s">
        <v>731</v>
      </c>
      <c r="M662" s="36"/>
      <c r="N662"/>
      <c r="O662" t="s">
        <v>199</v>
      </c>
      <c r="P662" t="s">
        <v>376</v>
      </c>
      <c r="Q662" t="s">
        <v>203</v>
      </c>
    </row>
    <row r="663" spans="1:17" x14ac:dyDescent="0.3">
      <c r="A663" s="25">
        <v>1360</v>
      </c>
      <c r="B663" t="s">
        <v>71</v>
      </c>
      <c r="C663" t="s">
        <v>44</v>
      </c>
      <c r="D663" t="s">
        <v>483</v>
      </c>
      <c r="E663" s="121">
        <v>4041</v>
      </c>
      <c r="F663" s="13">
        <v>45805</v>
      </c>
      <c r="G663" s="24">
        <v>37369.599999999999</v>
      </c>
      <c r="H663" s="27">
        <v>35071.370000000003</v>
      </c>
      <c r="I663" s="3">
        <v>45798</v>
      </c>
      <c r="J663" s="104">
        <v>45831</v>
      </c>
      <c r="K663" s="12">
        <v>45833</v>
      </c>
      <c r="L663" s="19" t="s">
        <v>731</v>
      </c>
      <c r="M663" s="36"/>
      <c r="N663"/>
      <c r="O663" t="s">
        <v>199</v>
      </c>
      <c r="P663" t="s">
        <v>376</v>
      </c>
      <c r="Q663" t="s">
        <v>203</v>
      </c>
    </row>
    <row r="664" spans="1:17" x14ac:dyDescent="0.3">
      <c r="A664" s="25">
        <v>1360</v>
      </c>
      <c r="B664" t="s">
        <v>71</v>
      </c>
      <c r="C664" t="s">
        <v>44</v>
      </c>
      <c r="D664" t="s">
        <v>483</v>
      </c>
      <c r="E664" s="121">
        <v>4059</v>
      </c>
      <c r="F664" s="13">
        <v>45805</v>
      </c>
      <c r="G664" s="24">
        <v>65704</v>
      </c>
      <c r="H664" s="27">
        <v>61663.199999999997</v>
      </c>
      <c r="I664" s="3">
        <v>45799</v>
      </c>
      <c r="J664" s="104">
        <v>45831</v>
      </c>
      <c r="K664" s="12">
        <v>45833</v>
      </c>
      <c r="L664" s="19" t="s">
        <v>731</v>
      </c>
      <c r="M664" s="36"/>
      <c r="N664"/>
      <c r="O664" t="s">
        <v>199</v>
      </c>
      <c r="P664" t="s">
        <v>376</v>
      </c>
      <c r="Q664" t="s">
        <v>203</v>
      </c>
    </row>
    <row r="665" spans="1:17" x14ac:dyDescent="0.3">
      <c r="A665" s="25">
        <v>1360</v>
      </c>
      <c r="B665" t="s">
        <v>71</v>
      </c>
      <c r="C665" t="s">
        <v>44</v>
      </c>
      <c r="D665" t="s">
        <v>483</v>
      </c>
      <c r="E665" s="121">
        <v>4062</v>
      </c>
      <c r="F665" s="13">
        <v>45805</v>
      </c>
      <c r="G665" s="24">
        <v>30880</v>
      </c>
      <c r="H665" s="27">
        <v>28980.880000000001</v>
      </c>
      <c r="I665" s="3">
        <v>45800</v>
      </c>
      <c r="J665" s="104">
        <v>45831</v>
      </c>
      <c r="K665" s="12">
        <v>45833</v>
      </c>
      <c r="L665" s="19" t="s">
        <v>731</v>
      </c>
      <c r="M665" s="36"/>
      <c r="N665"/>
      <c r="O665" t="s">
        <v>199</v>
      </c>
      <c r="P665" t="s">
        <v>376</v>
      </c>
      <c r="Q665" t="s">
        <v>203</v>
      </c>
    </row>
    <row r="666" spans="1:17" x14ac:dyDescent="0.3">
      <c r="A666" s="25">
        <v>1360</v>
      </c>
      <c r="B666" t="s">
        <v>71</v>
      </c>
      <c r="C666" t="s">
        <v>44</v>
      </c>
      <c r="D666" t="s">
        <v>483</v>
      </c>
      <c r="E666" s="121">
        <v>4071</v>
      </c>
      <c r="F666" s="13">
        <v>45805</v>
      </c>
      <c r="G666" s="24">
        <v>81404.800000000003</v>
      </c>
      <c r="H666" s="27">
        <v>76398.41</v>
      </c>
      <c r="I666" s="3">
        <v>45807</v>
      </c>
      <c r="J666" s="104">
        <v>45831</v>
      </c>
      <c r="K666" s="12">
        <v>45833</v>
      </c>
      <c r="L666" s="19" t="s">
        <v>731</v>
      </c>
      <c r="M666" s="36"/>
      <c r="N666"/>
      <c r="O666" t="s">
        <v>199</v>
      </c>
      <c r="P666" t="s">
        <v>376</v>
      </c>
      <c r="Q666" t="s">
        <v>203</v>
      </c>
    </row>
    <row r="667" spans="1:17" x14ac:dyDescent="0.3">
      <c r="A667" s="25">
        <v>1360</v>
      </c>
      <c r="B667" t="s">
        <v>71</v>
      </c>
      <c r="C667" t="s">
        <v>44</v>
      </c>
      <c r="D667" t="s">
        <v>483</v>
      </c>
      <c r="E667" s="121">
        <v>4072</v>
      </c>
      <c r="F667" s="13">
        <v>45805</v>
      </c>
      <c r="G667" s="24">
        <v>53936</v>
      </c>
      <c r="H667" s="27">
        <v>50618.94</v>
      </c>
      <c r="I667" s="3">
        <v>45807</v>
      </c>
      <c r="J667" s="104">
        <v>45831</v>
      </c>
      <c r="K667" s="12">
        <v>45833</v>
      </c>
      <c r="L667" s="19" t="s">
        <v>731</v>
      </c>
      <c r="M667" s="36"/>
      <c r="N667"/>
      <c r="O667" t="s">
        <v>199</v>
      </c>
      <c r="P667" t="s">
        <v>376</v>
      </c>
      <c r="Q667" t="s">
        <v>203</v>
      </c>
    </row>
    <row r="668" spans="1:17" x14ac:dyDescent="0.3">
      <c r="A668" s="25">
        <v>1360</v>
      </c>
      <c r="B668" t="s">
        <v>71</v>
      </c>
      <c r="C668" t="s">
        <v>44</v>
      </c>
      <c r="D668" t="s">
        <v>483</v>
      </c>
      <c r="E668" s="121">
        <v>4102</v>
      </c>
      <c r="F668" s="13">
        <v>45805</v>
      </c>
      <c r="G668" s="24">
        <v>104232</v>
      </c>
      <c r="H668" s="27">
        <v>97821.73</v>
      </c>
      <c r="I668" s="3">
        <v>45817</v>
      </c>
      <c r="J668" s="104">
        <v>45831</v>
      </c>
      <c r="K668" s="12">
        <v>45833</v>
      </c>
      <c r="L668" s="19" t="s">
        <v>731</v>
      </c>
      <c r="M668" s="36"/>
      <c r="N668"/>
      <c r="O668" t="s">
        <v>199</v>
      </c>
      <c r="P668" t="s">
        <v>376</v>
      </c>
      <c r="Q668" t="s">
        <v>203</v>
      </c>
    </row>
    <row r="669" spans="1:17" x14ac:dyDescent="0.3">
      <c r="A669" s="25">
        <v>1360</v>
      </c>
      <c r="B669" t="s">
        <v>71</v>
      </c>
      <c r="C669" t="s">
        <v>44</v>
      </c>
      <c r="D669" t="s">
        <v>483</v>
      </c>
      <c r="E669" s="121">
        <v>4127</v>
      </c>
      <c r="F669" s="13">
        <v>45805</v>
      </c>
      <c r="G669" s="24">
        <v>43676.800000000003</v>
      </c>
      <c r="H669" s="27">
        <v>40990.68</v>
      </c>
      <c r="I669" s="3">
        <v>45820</v>
      </c>
      <c r="J669" s="104">
        <v>45831</v>
      </c>
      <c r="K669" s="12">
        <v>45833</v>
      </c>
      <c r="L669" s="19" t="s">
        <v>731</v>
      </c>
      <c r="M669" s="36"/>
      <c r="N669"/>
      <c r="O669" t="s">
        <v>199</v>
      </c>
      <c r="P669" t="s">
        <v>376</v>
      </c>
      <c r="Q669" t="s">
        <v>203</v>
      </c>
    </row>
    <row r="670" spans="1:17" x14ac:dyDescent="0.3">
      <c r="A670" s="25">
        <v>1387</v>
      </c>
      <c r="B670" t="s">
        <v>71</v>
      </c>
      <c r="C670" t="s">
        <v>44</v>
      </c>
      <c r="D670" t="s">
        <v>517</v>
      </c>
      <c r="E670" s="121">
        <v>4039</v>
      </c>
      <c r="F670" s="13">
        <v>45805</v>
      </c>
      <c r="G670" s="24">
        <v>28390.32</v>
      </c>
      <c r="H670" s="27">
        <v>26644.32</v>
      </c>
      <c r="I670" s="3">
        <v>45797</v>
      </c>
      <c r="J670" s="104">
        <v>45831</v>
      </c>
      <c r="K670" s="12">
        <v>45833</v>
      </c>
      <c r="L670" s="19" t="s">
        <v>731</v>
      </c>
      <c r="M670" s="36"/>
      <c r="N670"/>
      <c r="O670" t="s">
        <v>202</v>
      </c>
      <c r="P670" t="s">
        <v>376</v>
      </c>
      <c r="Q670" t="s">
        <v>203</v>
      </c>
    </row>
    <row r="671" spans="1:17" x14ac:dyDescent="0.3">
      <c r="A671" s="25">
        <v>1387</v>
      </c>
      <c r="B671" t="s">
        <v>71</v>
      </c>
      <c r="C671" t="s">
        <v>44</v>
      </c>
      <c r="D671" t="s">
        <v>517</v>
      </c>
      <c r="E671" s="121">
        <v>4057</v>
      </c>
      <c r="F671" s="13">
        <v>45805</v>
      </c>
      <c r="G671" s="24">
        <v>32288</v>
      </c>
      <c r="H671" s="27">
        <v>30302.29</v>
      </c>
      <c r="I671" s="3">
        <v>45798</v>
      </c>
      <c r="J671" s="104">
        <v>45831</v>
      </c>
      <c r="K671" s="12">
        <v>45833</v>
      </c>
      <c r="L671" s="19" t="s">
        <v>731</v>
      </c>
      <c r="M671" s="36"/>
      <c r="N671"/>
      <c r="O671" t="s">
        <v>202</v>
      </c>
      <c r="P671" t="s">
        <v>376</v>
      </c>
      <c r="Q671" t="s">
        <v>203</v>
      </c>
    </row>
    <row r="672" spans="1:17" x14ac:dyDescent="0.3">
      <c r="A672" s="25">
        <v>1387</v>
      </c>
      <c r="B672" t="s">
        <v>71</v>
      </c>
      <c r="C672" t="s">
        <v>44</v>
      </c>
      <c r="D672" t="s">
        <v>517</v>
      </c>
      <c r="E672" s="121">
        <v>4055</v>
      </c>
      <c r="F672" s="13">
        <v>45805</v>
      </c>
      <c r="G672" s="24">
        <v>27535.200000000001</v>
      </c>
      <c r="H672" s="27">
        <v>25841.78</v>
      </c>
      <c r="I672" s="3">
        <v>45798</v>
      </c>
      <c r="J672" s="104">
        <v>45831</v>
      </c>
      <c r="K672" s="12">
        <v>45833</v>
      </c>
      <c r="L672" s="19" t="s">
        <v>731</v>
      </c>
      <c r="M672" s="36"/>
      <c r="N672"/>
      <c r="O672" t="s">
        <v>202</v>
      </c>
      <c r="P672" t="s">
        <v>376</v>
      </c>
      <c r="Q672" t="s">
        <v>203</v>
      </c>
    </row>
    <row r="673" spans="1:17" x14ac:dyDescent="0.3">
      <c r="A673" s="25">
        <v>1387</v>
      </c>
      <c r="B673" t="s">
        <v>71</v>
      </c>
      <c r="C673" t="s">
        <v>44</v>
      </c>
      <c r="D673" t="s">
        <v>517</v>
      </c>
      <c r="E673" s="121">
        <v>4101</v>
      </c>
      <c r="F673" s="13">
        <v>45805</v>
      </c>
      <c r="G673" s="24">
        <v>77455.199999999997</v>
      </c>
      <c r="H673" s="27">
        <v>72691.7</v>
      </c>
      <c r="I673" s="3">
        <v>45817</v>
      </c>
      <c r="J673" s="102">
        <v>45831</v>
      </c>
      <c r="K673" s="12">
        <v>45833</v>
      </c>
      <c r="L673" s="19" t="s">
        <v>731</v>
      </c>
      <c r="M673" s="36"/>
      <c r="N673"/>
      <c r="O673" t="s">
        <v>202</v>
      </c>
      <c r="P673" t="s">
        <v>376</v>
      </c>
      <c r="Q673" t="s">
        <v>203</v>
      </c>
    </row>
    <row r="674" spans="1:17" x14ac:dyDescent="0.3">
      <c r="A674" s="25">
        <v>1470</v>
      </c>
      <c r="B674" t="s">
        <v>212</v>
      </c>
      <c r="C674" t="s">
        <v>175</v>
      </c>
      <c r="D674" t="s">
        <v>620</v>
      </c>
      <c r="E674" s="121">
        <v>8355</v>
      </c>
      <c r="F674" s="13">
        <v>45805</v>
      </c>
      <c r="G674" s="24">
        <v>36700</v>
      </c>
      <c r="H674" s="24">
        <v>33708.949999999997</v>
      </c>
      <c r="I674" s="3">
        <v>45811</v>
      </c>
      <c r="J674" s="102">
        <v>45824</v>
      </c>
      <c r="K674" s="12">
        <v>45824</v>
      </c>
      <c r="L674" s="19" t="s">
        <v>731</v>
      </c>
      <c r="M674" s="36">
        <v>0</v>
      </c>
      <c r="N674" s="26"/>
      <c r="O674" t="s">
        <v>202</v>
      </c>
      <c r="P674" t="s">
        <v>328</v>
      </c>
      <c r="Q674" t="s">
        <v>213</v>
      </c>
    </row>
    <row r="675" spans="1:17" x14ac:dyDescent="0.3">
      <c r="A675" s="25">
        <v>1273</v>
      </c>
      <c r="B675" t="s">
        <v>204</v>
      </c>
      <c r="C675" t="s">
        <v>39</v>
      </c>
      <c r="D675" t="s">
        <v>389</v>
      </c>
      <c r="E675" s="121">
        <v>1262</v>
      </c>
      <c r="F675" s="13">
        <v>45805</v>
      </c>
      <c r="G675" s="24">
        <v>647604.16</v>
      </c>
      <c r="H675" s="24">
        <v>580900.93000000005</v>
      </c>
      <c r="I675" s="3">
        <v>45821</v>
      </c>
      <c r="J675" s="102">
        <v>45839</v>
      </c>
      <c r="K675" s="12">
        <v>45842</v>
      </c>
      <c r="L675" s="19" t="s">
        <v>731</v>
      </c>
      <c r="M675" s="36">
        <v>0</v>
      </c>
      <c r="N675"/>
      <c r="O675" t="s">
        <v>202</v>
      </c>
      <c r="P675" t="s">
        <v>340</v>
      </c>
      <c r="Q675" t="s">
        <v>217</v>
      </c>
    </row>
    <row r="676" spans="1:17" x14ac:dyDescent="0.3">
      <c r="A676" s="9">
        <v>1277</v>
      </c>
      <c r="B676" t="s">
        <v>204</v>
      </c>
      <c r="C676" t="s">
        <v>39</v>
      </c>
      <c r="D676" t="s">
        <v>393</v>
      </c>
      <c r="E676" s="121">
        <v>1261</v>
      </c>
      <c r="F676" s="13">
        <v>45805</v>
      </c>
      <c r="G676" s="24">
        <v>154365.24</v>
      </c>
      <c r="H676" s="11">
        <v>138465.63</v>
      </c>
      <c r="I676" s="3">
        <v>45818</v>
      </c>
      <c r="J676" s="102">
        <v>45839</v>
      </c>
      <c r="K676" s="12">
        <v>45842</v>
      </c>
      <c r="L676" s="19" t="s">
        <v>731</v>
      </c>
      <c r="M676" s="35">
        <v>0</v>
      </c>
      <c r="N676"/>
      <c r="O676" t="s">
        <v>202</v>
      </c>
      <c r="P676" t="s">
        <v>340</v>
      </c>
      <c r="Q676" t="s">
        <v>217</v>
      </c>
    </row>
    <row r="677" spans="1:17" x14ac:dyDescent="0.3">
      <c r="A677" s="25">
        <v>1268</v>
      </c>
      <c r="B677" t="s">
        <v>193</v>
      </c>
      <c r="C677" t="s">
        <v>141</v>
      </c>
      <c r="D677" t="s">
        <v>383</v>
      </c>
      <c r="E677" s="121">
        <v>3998</v>
      </c>
      <c r="F677" s="13">
        <v>45805</v>
      </c>
      <c r="G677" s="24">
        <v>82737</v>
      </c>
      <c r="H677" s="27">
        <v>77648.67</v>
      </c>
      <c r="I677" s="3">
        <v>45782</v>
      </c>
      <c r="J677" s="102">
        <v>45803</v>
      </c>
      <c r="K677" s="12">
        <v>45807</v>
      </c>
      <c r="L677" s="19" t="s">
        <v>731</v>
      </c>
      <c r="M677" s="36">
        <v>0</v>
      </c>
      <c r="N677"/>
      <c r="O677" t="s">
        <v>199</v>
      </c>
      <c r="P677" t="s">
        <v>376</v>
      </c>
      <c r="Q677" t="s">
        <v>207</v>
      </c>
    </row>
    <row r="678" spans="1:17" x14ac:dyDescent="0.3">
      <c r="A678" s="25">
        <v>1268</v>
      </c>
      <c r="B678" t="s">
        <v>193</v>
      </c>
      <c r="C678" t="s">
        <v>141</v>
      </c>
      <c r="D678" t="s">
        <v>383</v>
      </c>
      <c r="E678" s="121">
        <v>4092</v>
      </c>
      <c r="F678" s="13">
        <v>45805</v>
      </c>
      <c r="G678" s="24">
        <v>117873</v>
      </c>
      <c r="H678" s="24">
        <v>110623.81</v>
      </c>
      <c r="I678" s="3">
        <v>45817</v>
      </c>
      <c r="J678" s="102">
        <v>45831</v>
      </c>
      <c r="K678" s="12">
        <v>45832</v>
      </c>
      <c r="L678" s="19" t="s">
        <v>731</v>
      </c>
      <c r="M678" s="36">
        <v>0</v>
      </c>
      <c r="N678"/>
      <c r="O678" t="s">
        <v>199</v>
      </c>
      <c r="P678" t="s">
        <v>376</v>
      </c>
      <c r="Q678" t="s">
        <v>207</v>
      </c>
    </row>
    <row r="679" spans="1:17" x14ac:dyDescent="0.3">
      <c r="A679" s="25">
        <v>1268</v>
      </c>
      <c r="B679" t="s">
        <v>193</v>
      </c>
      <c r="C679" t="s">
        <v>141</v>
      </c>
      <c r="D679" t="s">
        <v>383</v>
      </c>
      <c r="E679" s="118">
        <v>4121</v>
      </c>
      <c r="F679" s="13">
        <v>45805</v>
      </c>
      <c r="G679" s="24">
        <v>66317.960000000006</v>
      </c>
      <c r="H679" s="24">
        <v>62239.42</v>
      </c>
      <c r="I679" s="3">
        <v>45819</v>
      </c>
      <c r="J679" s="102">
        <v>45831</v>
      </c>
      <c r="K679" s="12">
        <v>45835</v>
      </c>
      <c r="L679" s="19" t="s">
        <v>731</v>
      </c>
      <c r="M679" s="36">
        <v>0</v>
      </c>
      <c r="N679"/>
      <c r="O679" t="s">
        <v>199</v>
      </c>
      <c r="P679" t="s">
        <v>376</v>
      </c>
      <c r="Q679" t="s">
        <v>207</v>
      </c>
    </row>
    <row r="680" spans="1:17" x14ac:dyDescent="0.3">
      <c r="A680" s="25">
        <v>1268</v>
      </c>
      <c r="B680" t="s">
        <v>193</v>
      </c>
      <c r="C680" t="s">
        <v>141</v>
      </c>
      <c r="D680" t="s">
        <v>383</v>
      </c>
      <c r="E680" s="118">
        <v>4122</v>
      </c>
      <c r="F680" s="13">
        <v>45805</v>
      </c>
      <c r="G680" s="24">
        <v>1176952.8</v>
      </c>
      <c r="H680" s="24">
        <v>1104570.2</v>
      </c>
      <c r="I680" s="3">
        <v>45819</v>
      </c>
      <c r="J680" s="102">
        <v>45831</v>
      </c>
      <c r="K680" s="12">
        <v>45835</v>
      </c>
      <c r="L680" s="19" t="s">
        <v>731</v>
      </c>
      <c r="M680" s="36">
        <v>0</v>
      </c>
      <c r="N680"/>
      <c r="O680" t="s">
        <v>199</v>
      </c>
      <c r="P680" t="s">
        <v>376</v>
      </c>
      <c r="Q680" t="s">
        <v>207</v>
      </c>
    </row>
    <row r="681" spans="1:17" x14ac:dyDescent="0.3">
      <c r="A681" s="25">
        <v>1268</v>
      </c>
      <c r="B681" t="s">
        <v>193</v>
      </c>
      <c r="C681" t="s">
        <v>141</v>
      </c>
      <c r="D681" t="s">
        <v>383</v>
      </c>
      <c r="E681" s="118">
        <v>4123</v>
      </c>
      <c r="F681" s="13">
        <v>45805</v>
      </c>
      <c r="G681" s="24">
        <v>90380.56</v>
      </c>
      <c r="H681" s="24">
        <v>84822.15</v>
      </c>
      <c r="I681" s="3">
        <v>45819</v>
      </c>
      <c r="J681" s="102">
        <v>45831</v>
      </c>
      <c r="K681" s="12">
        <v>45835</v>
      </c>
      <c r="L681" s="19" t="s">
        <v>731</v>
      </c>
      <c r="M681" s="36">
        <v>0</v>
      </c>
      <c r="N681"/>
      <c r="O681" t="s">
        <v>199</v>
      </c>
      <c r="P681" t="s">
        <v>376</v>
      </c>
      <c r="Q681" t="s">
        <v>207</v>
      </c>
    </row>
    <row r="682" spans="1:17" x14ac:dyDescent="0.3">
      <c r="A682" s="25">
        <v>1268</v>
      </c>
      <c r="B682" t="s">
        <v>193</v>
      </c>
      <c r="C682" t="s">
        <v>141</v>
      </c>
      <c r="D682" t="s">
        <v>383</v>
      </c>
      <c r="E682" s="118">
        <v>4124</v>
      </c>
      <c r="F682" s="13">
        <v>45805</v>
      </c>
      <c r="G682" s="24">
        <v>50295.73</v>
      </c>
      <c r="H682" s="24">
        <v>47202.54</v>
      </c>
      <c r="I682" s="3">
        <v>45819</v>
      </c>
      <c r="J682" s="102">
        <v>45831</v>
      </c>
      <c r="K682" s="12">
        <v>45835</v>
      </c>
      <c r="L682" s="19" t="s">
        <v>731</v>
      </c>
      <c r="M682" s="36">
        <v>0</v>
      </c>
      <c r="N682"/>
      <c r="O682" t="s">
        <v>199</v>
      </c>
      <c r="P682" t="s">
        <v>376</v>
      </c>
      <c r="Q682" t="s">
        <v>207</v>
      </c>
    </row>
    <row r="683" spans="1:17" x14ac:dyDescent="0.3">
      <c r="A683" s="25">
        <v>1483</v>
      </c>
      <c r="B683" t="s">
        <v>212</v>
      </c>
      <c r="C683" t="s">
        <v>178</v>
      </c>
      <c r="D683" t="s">
        <v>633</v>
      </c>
      <c r="E683" s="121">
        <v>8352</v>
      </c>
      <c r="F683" s="13">
        <v>45805</v>
      </c>
      <c r="G683" s="24">
        <v>53591.199999999997</v>
      </c>
      <c r="H683" s="24">
        <v>49527.08</v>
      </c>
      <c r="I683" s="3">
        <v>45811</v>
      </c>
      <c r="J683" s="102">
        <v>45845</v>
      </c>
      <c r="K683" s="12">
        <v>45846</v>
      </c>
      <c r="L683" s="19" t="s">
        <v>731</v>
      </c>
      <c r="M683" s="36">
        <v>0</v>
      </c>
      <c r="N683" s="26"/>
      <c r="O683" t="s">
        <v>202</v>
      </c>
      <c r="P683" t="s">
        <v>328</v>
      </c>
      <c r="Q683" t="s">
        <v>207</v>
      </c>
    </row>
    <row r="684" spans="1:17" x14ac:dyDescent="0.3">
      <c r="A684" s="25">
        <v>1483</v>
      </c>
      <c r="B684" t="s">
        <v>212</v>
      </c>
      <c r="C684" t="s">
        <v>178</v>
      </c>
      <c r="D684" t="s">
        <v>633</v>
      </c>
      <c r="E684" s="121">
        <v>8353</v>
      </c>
      <c r="F684" s="13">
        <v>45805</v>
      </c>
      <c r="G684" s="24">
        <v>28856.799999999999</v>
      </c>
      <c r="H684" s="24">
        <v>25552.11</v>
      </c>
      <c r="I684" s="3">
        <v>45811</v>
      </c>
      <c r="J684" s="102">
        <v>45845</v>
      </c>
      <c r="K684" s="12">
        <v>45846</v>
      </c>
      <c r="L684" s="19" t="s">
        <v>731</v>
      </c>
      <c r="M684" s="36">
        <v>0</v>
      </c>
      <c r="N684" s="26"/>
      <c r="O684" t="s">
        <v>202</v>
      </c>
      <c r="P684" t="s">
        <v>328</v>
      </c>
      <c r="Q684" t="s">
        <v>207</v>
      </c>
    </row>
    <row r="685" spans="1:17" x14ac:dyDescent="0.3">
      <c r="A685" s="25">
        <v>1275</v>
      </c>
      <c r="B685" t="s">
        <v>193</v>
      </c>
      <c r="C685" t="s">
        <v>165</v>
      </c>
      <c r="D685" t="s">
        <v>391</v>
      </c>
      <c r="E685" s="121">
        <v>4079</v>
      </c>
      <c r="F685" s="13">
        <v>45805</v>
      </c>
      <c r="G685" s="24">
        <v>16767.240000000002</v>
      </c>
      <c r="H685" s="24">
        <v>15736.05</v>
      </c>
      <c r="I685" s="3">
        <v>45811</v>
      </c>
      <c r="J685" s="102">
        <v>45838</v>
      </c>
      <c r="K685" s="12">
        <v>45838</v>
      </c>
      <c r="L685" s="19" t="s">
        <v>731</v>
      </c>
      <c r="M685" s="36">
        <v>0</v>
      </c>
      <c r="N685" s="26"/>
      <c r="O685" t="s">
        <v>199</v>
      </c>
      <c r="P685" t="s">
        <v>376</v>
      </c>
      <c r="Q685" t="s">
        <v>207</v>
      </c>
    </row>
    <row r="686" spans="1:17" x14ac:dyDescent="0.3">
      <c r="A686" s="25">
        <v>1479</v>
      </c>
      <c r="B686" t="s">
        <v>193</v>
      </c>
      <c r="C686" t="s">
        <v>165</v>
      </c>
      <c r="D686" t="s">
        <v>629</v>
      </c>
      <c r="E686" s="121">
        <v>4078</v>
      </c>
      <c r="F686" s="13">
        <v>45805</v>
      </c>
      <c r="G686" s="24">
        <v>26040</v>
      </c>
      <c r="H686" s="24">
        <v>24438.54</v>
      </c>
      <c r="I686" s="3">
        <v>45811</v>
      </c>
      <c r="J686" s="102">
        <v>45838</v>
      </c>
      <c r="K686" s="12">
        <v>45838</v>
      </c>
      <c r="L686" s="19" t="s">
        <v>731</v>
      </c>
      <c r="M686" s="36">
        <v>0</v>
      </c>
      <c r="N686" s="26"/>
      <c r="O686" t="s">
        <v>201</v>
      </c>
      <c r="P686" t="s">
        <v>376</v>
      </c>
      <c r="Q686" t="s">
        <v>207</v>
      </c>
    </row>
    <row r="687" spans="1:17" x14ac:dyDescent="0.3">
      <c r="A687" s="25">
        <v>1455</v>
      </c>
      <c r="B687" t="s">
        <v>215</v>
      </c>
      <c r="C687" t="s">
        <v>60</v>
      </c>
      <c r="D687" t="s">
        <v>600</v>
      </c>
      <c r="E687" s="121">
        <v>8399</v>
      </c>
      <c r="F687" s="13">
        <v>45836</v>
      </c>
      <c r="G687" s="24">
        <v>54003.39</v>
      </c>
      <c r="H687" s="24">
        <v>47712</v>
      </c>
      <c r="I687" s="3">
        <v>45839</v>
      </c>
      <c r="J687" s="102">
        <v>45866</v>
      </c>
      <c r="K687" s="12">
        <v>45868</v>
      </c>
      <c r="L687" s="22" t="s">
        <v>731</v>
      </c>
      <c r="M687" s="42"/>
      <c r="N687" s="26"/>
      <c r="O687" t="s">
        <v>202</v>
      </c>
      <c r="P687" t="s">
        <v>373</v>
      </c>
      <c r="Q687" t="s">
        <v>213</v>
      </c>
    </row>
    <row r="688" spans="1:17" x14ac:dyDescent="0.3">
      <c r="A688" s="25">
        <v>1455</v>
      </c>
      <c r="B688" t="s">
        <v>215</v>
      </c>
      <c r="C688" t="s">
        <v>60</v>
      </c>
      <c r="D688" t="s">
        <v>600</v>
      </c>
      <c r="E688" s="121">
        <v>8403</v>
      </c>
      <c r="F688" s="13">
        <v>45836</v>
      </c>
      <c r="G688" s="24">
        <v>3432</v>
      </c>
      <c r="H688" s="24">
        <v>3032.17</v>
      </c>
      <c r="I688" s="3">
        <v>45839</v>
      </c>
      <c r="J688" s="102">
        <v>45866</v>
      </c>
      <c r="K688" s="12">
        <v>45868</v>
      </c>
      <c r="L688" s="22" t="s">
        <v>731</v>
      </c>
      <c r="M688" s="42"/>
      <c r="N688" s="26"/>
      <c r="O688" t="s">
        <v>202</v>
      </c>
      <c r="P688" t="s">
        <v>373</v>
      </c>
      <c r="Q688" t="s">
        <v>213</v>
      </c>
    </row>
    <row r="689" spans="1:17" x14ac:dyDescent="0.3">
      <c r="A689" s="25">
        <v>1497</v>
      </c>
      <c r="B689" t="s">
        <v>215</v>
      </c>
      <c r="C689" t="s">
        <v>60</v>
      </c>
      <c r="D689" t="s">
        <v>648</v>
      </c>
      <c r="E689" s="121">
        <v>8417</v>
      </c>
      <c r="F689" s="13">
        <v>45836</v>
      </c>
      <c r="G689" s="24">
        <v>5472.8</v>
      </c>
      <c r="H689" s="24">
        <v>4835.22</v>
      </c>
      <c r="I689" s="3">
        <v>45846</v>
      </c>
      <c r="J689" s="102">
        <v>45866</v>
      </c>
      <c r="K689" s="12">
        <v>45868</v>
      </c>
      <c r="L689" s="22" t="s">
        <v>731</v>
      </c>
      <c r="M689" s="42"/>
      <c r="N689" s="26"/>
      <c r="O689" t="s">
        <v>202</v>
      </c>
      <c r="P689" t="s">
        <v>373</v>
      </c>
      <c r="Q689" t="s">
        <v>213</v>
      </c>
    </row>
    <row r="690" spans="1:17" x14ac:dyDescent="0.3">
      <c r="A690" s="9">
        <v>1489</v>
      </c>
      <c r="B690" t="s">
        <v>193</v>
      </c>
      <c r="C690" t="s">
        <v>42</v>
      </c>
      <c r="D690" t="s">
        <v>639</v>
      </c>
      <c r="E690" s="121">
        <v>4152</v>
      </c>
      <c r="F690" s="13">
        <v>45836</v>
      </c>
      <c r="G690" s="24">
        <v>42812.21</v>
      </c>
      <c r="H690" s="24">
        <v>40179.26</v>
      </c>
      <c r="I690" s="3">
        <v>45841</v>
      </c>
      <c r="J690" s="102">
        <v>45873</v>
      </c>
      <c r="K690" s="12">
        <v>45873</v>
      </c>
      <c r="L690" s="19" t="s">
        <v>731</v>
      </c>
      <c r="M690" s="38"/>
      <c r="N690" s="15"/>
      <c r="O690" t="s">
        <v>201</v>
      </c>
      <c r="P690" t="s">
        <v>376</v>
      </c>
      <c r="Q690" t="s">
        <v>207</v>
      </c>
    </row>
    <row r="691" spans="1:17" x14ac:dyDescent="0.3">
      <c r="A691" s="25">
        <v>1478</v>
      </c>
      <c r="B691" t="s">
        <v>71</v>
      </c>
      <c r="C691" t="s">
        <v>198</v>
      </c>
      <c r="D691" t="s">
        <v>628</v>
      </c>
      <c r="E691" s="121">
        <v>8414</v>
      </c>
      <c r="F691" s="13">
        <v>45836</v>
      </c>
      <c r="G691" s="24">
        <v>91208.01</v>
      </c>
      <c r="H691" s="24">
        <v>85598.720000000001</v>
      </c>
      <c r="I691" s="3">
        <v>45845</v>
      </c>
      <c r="J691" s="102">
        <v>45866</v>
      </c>
      <c r="K691" s="12">
        <v>45868</v>
      </c>
      <c r="L691" s="19" t="s">
        <v>731</v>
      </c>
      <c r="M691" s="36"/>
      <c r="N691"/>
      <c r="O691" t="s">
        <v>199</v>
      </c>
      <c r="P691" t="s">
        <v>376</v>
      </c>
      <c r="Q691" t="s">
        <v>203</v>
      </c>
    </row>
    <row r="692" spans="1:17" x14ac:dyDescent="0.3">
      <c r="A692" s="9">
        <v>1499</v>
      </c>
      <c r="B692" t="s">
        <v>71</v>
      </c>
      <c r="C692" t="s">
        <v>109</v>
      </c>
      <c r="D692" t="s">
        <v>650</v>
      </c>
      <c r="E692" s="121">
        <v>8418</v>
      </c>
      <c r="F692" s="13">
        <v>45836</v>
      </c>
      <c r="G692" s="24">
        <v>52900</v>
      </c>
      <c r="H692" s="11">
        <v>49646.65</v>
      </c>
      <c r="I692" s="3">
        <v>45846</v>
      </c>
      <c r="J692" s="102">
        <v>45866</v>
      </c>
      <c r="K692" s="12">
        <v>45866</v>
      </c>
      <c r="L692" s="19" t="s">
        <v>731</v>
      </c>
      <c r="M692" s="35">
        <v>0</v>
      </c>
      <c r="N692"/>
      <c r="O692" t="s">
        <v>199</v>
      </c>
      <c r="P692" t="s">
        <v>373</v>
      </c>
      <c r="Q692" t="s">
        <v>203</v>
      </c>
    </row>
    <row r="693" spans="1:17" x14ac:dyDescent="0.3">
      <c r="A693" s="9">
        <v>1391</v>
      </c>
      <c r="B693" t="s">
        <v>71</v>
      </c>
      <c r="C693" t="s">
        <v>196</v>
      </c>
      <c r="D693" t="s">
        <v>520</v>
      </c>
      <c r="E693" s="121">
        <v>4156</v>
      </c>
      <c r="F693" s="13">
        <v>45836</v>
      </c>
      <c r="G693" s="24">
        <v>209666.12</v>
      </c>
      <c r="H693" s="28">
        <v>196771.66</v>
      </c>
      <c r="I693" s="3">
        <v>45846</v>
      </c>
      <c r="J693" s="102">
        <v>45859</v>
      </c>
      <c r="K693" s="12">
        <v>45861</v>
      </c>
      <c r="L693" s="1" t="s">
        <v>731</v>
      </c>
      <c r="M693" s="36">
        <v>0</v>
      </c>
      <c r="N693"/>
      <c r="O693" t="s">
        <v>199</v>
      </c>
      <c r="P693" t="s">
        <v>376</v>
      </c>
      <c r="Q693" t="s">
        <v>203</v>
      </c>
    </row>
    <row r="694" spans="1:17" x14ac:dyDescent="0.3">
      <c r="A694" s="9">
        <v>1391</v>
      </c>
      <c r="B694" t="s">
        <v>71</v>
      </c>
      <c r="C694" t="s">
        <v>196</v>
      </c>
      <c r="D694" t="s">
        <v>520</v>
      </c>
      <c r="E694" s="121">
        <v>4157</v>
      </c>
      <c r="F694" s="13">
        <v>45836</v>
      </c>
      <c r="G694" s="24">
        <v>264202.61</v>
      </c>
      <c r="H694" s="28">
        <v>247954.15</v>
      </c>
      <c r="I694" s="3">
        <v>45846</v>
      </c>
      <c r="J694" s="102">
        <v>45859</v>
      </c>
      <c r="K694" s="12">
        <v>45861</v>
      </c>
      <c r="L694" s="1" t="s">
        <v>731</v>
      </c>
      <c r="M694" s="36">
        <v>0</v>
      </c>
      <c r="N694"/>
      <c r="O694" t="s">
        <v>199</v>
      </c>
      <c r="P694" t="s">
        <v>376</v>
      </c>
      <c r="Q694" t="s">
        <v>203</v>
      </c>
    </row>
    <row r="695" spans="1:17" x14ac:dyDescent="0.3">
      <c r="A695" s="9">
        <v>1391</v>
      </c>
      <c r="B695" t="s">
        <v>71</v>
      </c>
      <c r="C695" t="s">
        <v>196</v>
      </c>
      <c r="D695" t="s">
        <v>520</v>
      </c>
      <c r="E695" s="121">
        <v>4158</v>
      </c>
      <c r="F695" s="13">
        <v>45836</v>
      </c>
      <c r="G695" s="24">
        <v>228078.72</v>
      </c>
      <c r="H695" s="28">
        <v>214051.88</v>
      </c>
      <c r="I695" s="3">
        <v>45846</v>
      </c>
      <c r="J695" s="102">
        <v>45859</v>
      </c>
      <c r="K695" s="12">
        <v>45861</v>
      </c>
      <c r="L695" s="1" t="s">
        <v>731</v>
      </c>
      <c r="M695" s="36">
        <v>0</v>
      </c>
      <c r="N695"/>
      <c r="O695" t="s">
        <v>199</v>
      </c>
      <c r="P695" t="s">
        <v>376</v>
      </c>
      <c r="Q695" t="s">
        <v>203</v>
      </c>
    </row>
    <row r="696" spans="1:17" x14ac:dyDescent="0.3">
      <c r="A696" s="9">
        <v>1391</v>
      </c>
      <c r="B696" t="s">
        <v>71</v>
      </c>
      <c r="C696" t="s">
        <v>196</v>
      </c>
      <c r="D696" t="s">
        <v>520</v>
      </c>
      <c r="E696" s="121">
        <v>4159</v>
      </c>
      <c r="F696" s="13">
        <v>45836</v>
      </c>
      <c r="G696" s="24">
        <v>36831.120000000003</v>
      </c>
      <c r="H696" s="28">
        <v>34566</v>
      </c>
      <c r="I696" s="3">
        <v>45846</v>
      </c>
      <c r="J696" s="102">
        <v>45859</v>
      </c>
      <c r="K696" s="12">
        <v>45861</v>
      </c>
      <c r="L696" s="1" t="s">
        <v>731</v>
      </c>
      <c r="M696" s="36">
        <v>0</v>
      </c>
      <c r="N696"/>
      <c r="O696" t="s">
        <v>199</v>
      </c>
      <c r="P696" t="s">
        <v>376</v>
      </c>
      <c r="Q696" t="s">
        <v>203</v>
      </c>
    </row>
    <row r="697" spans="1:17" x14ac:dyDescent="0.3">
      <c r="A697" s="9">
        <v>1391</v>
      </c>
      <c r="B697" t="s">
        <v>71</v>
      </c>
      <c r="C697" t="s">
        <v>196</v>
      </c>
      <c r="D697" t="s">
        <v>520</v>
      </c>
      <c r="E697" s="121">
        <v>4161</v>
      </c>
      <c r="F697" s="13">
        <v>45836</v>
      </c>
      <c r="G697" s="24">
        <v>94986.11</v>
      </c>
      <c r="H697" s="28">
        <v>89144.47</v>
      </c>
      <c r="I697" s="3">
        <v>45848</v>
      </c>
      <c r="J697" s="102">
        <v>45859</v>
      </c>
      <c r="K697" s="12">
        <v>45863</v>
      </c>
      <c r="L697" s="1" t="s">
        <v>731</v>
      </c>
      <c r="M697" s="36">
        <v>0</v>
      </c>
      <c r="N697"/>
      <c r="O697" t="s">
        <v>199</v>
      </c>
      <c r="P697" t="s">
        <v>376</v>
      </c>
      <c r="Q697" t="s">
        <v>203</v>
      </c>
    </row>
    <row r="698" spans="1:17" x14ac:dyDescent="0.3">
      <c r="A698" s="9">
        <v>1391</v>
      </c>
      <c r="B698" t="s">
        <v>71</v>
      </c>
      <c r="C698" t="s">
        <v>196</v>
      </c>
      <c r="D698" t="s">
        <v>520</v>
      </c>
      <c r="E698" s="121">
        <v>4162</v>
      </c>
      <c r="F698" s="13">
        <v>45836</v>
      </c>
      <c r="G698" s="24">
        <v>27847.919999999998</v>
      </c>
      <c r="H698" s="28">
        <v>26135.27</v>
      </c>
      <c r="I698" s="3">
        <v>45848</v>
      </c>
      <c r="J698" s="102">
        <v>45859</v>
      </c>
      <c r="K698" s="12">
        <v>45863</v>
      </c>
      <c r="L698" s="1" t="s">
        <v>731</v>
      </c>
      <c r="M698" s="36">
        <v>0</v>
      </c>
      <c r="N698"/>
      <c r="O698" t="s">
        <v>199</v>
      </c>
      <c r="P698" t="s">
        <v>376</v>
      </c>
      <c r="Q698" t="s">
        <v>203</v>
      </c>
    </row>
    <row r="699" spans="1:17" x14ac:dyDescent="0.3">
      <c r="A699" s="9">
        <v>1391</v>
      </c>
      <c r="B699" t="s">
        <v>71</v>
      </c>
      <c r="C699" t="s">
        <v>196</v>
      </c>
      <c r="D699" t="s">
        <v>520</v>
      </c>
      <c r="E699" s="121">
        <v>4168</v>
      </c>
      <c r="F699" s="13">
        <v>45836</v>
      </c>
      <c r="G699" s="24">
        <v>141684.71</v>
      </c>
      <c r="H699" s="28">
        <v>132971.1</v>
      </c>
      <c r="I699" s="3">
        <v>45852</v>
      </c>
      <c r="J699" s="102">
        <v>45866</v>
      </c>
      <c r="K699" s="12">
        <v>45867</v>
      </c>
      <c r="L699" s="1" t="s">
        <v>731</v>
      </c>
      <c r="M699" s="36">
        <v>0</v>
      </c>
      <c r="N699"/>
      <c r="O699" t="s">
        <v>199</v>
      </c>
      <c r="P699" t="s">
        <v>376</v>
      </c>
      <c r="Q699" t="s">
        <v>203</v>
      </c>
    </row>
    <row r="700" spans="1:17" x14ac:dyDescent="0.3">
      <c r="A700" s="25">
        <v>1294</v>
      </c>
      <c r="B700" t="s">
        <v>71</v>
      </c>
      <c r="C700" t="s">
        <v>196</v>
      </c>
      <c r="D700" t="s">
        <v>413</v>
      </c>
      <c r="E700" s="121">
        <v>4143</v>
      </c>
      <c r="F700" s="13">
        <v>45836</v>
      </c>
      <c r="G700" s="24">
        <v>3562.53</v>
      </c>
      <c r="H700" s="28">
        <v>3343.43</v>
      </c>
      <c r="I700" s="3">
        <v>45828</v>
      </c>
      <c r="J700" s="102">
        <v>45845</v>
      </c>
      <c r="K700" s="12">
        <v>45845</v>
      </c>
      <c r="L700" s="1" t="s">
        <v>731</v>
      </c>
      <c r="M700" s="36">
        <v>0</v>
      </c>
      <c r="N700"/>
      <c r="O700" t="s">
        <v>199</v>
      </c>
      <c r="P700" t="s">
        <v>376</v>
      </c>
      <c r="Q700" t="s">
        <v>203</v>
      </c>
    </row>
    <row r="701" spans="1:17" x14ac:dyDescent="0.3">
      <c r="A701" s="25">
        <v>1294</v>
      </c>
      <c r="B701" t="s">
        <v>71</v>
      </c>
      <c r="C701" t="s">
        <v>196</v>
      </c>
      <c r="D701" t="s">
        <v>413</v>
      </c>
      <c r="E701" s="121">
        <v>4160</v>
      </c>
      <c r="F701" s="13">
        <v>45836</v>
      </c>
      <c r="G701" s="24">
        <v>193280.5</v>
      </c>
      <c r="H701" s="28">
        <v>181393.75</v>
      </c>
      <c r="I701" s="3">
        <v>45846</v>
      </c>
      <c r="J701" s="102">
        <v>45859</v>
      </c>
      <c r="K701" s="12">
        <v>45861</v>
      </c>
      <c r="L701" s="1" t="s">
        <v>731</v>
      </c>
      <c r="M701" s="36">
        <v>0</v>
      </c>
      <c r="N701"/>
      <c r="O701" t="s">
        <v>199</v>
      </c>
      <c r="P701" t="s">
        <v>376</v>
      </c>
      <c r="Q701" t="s">
        <v>203</v>
      </c>
    </row>
    <row r="702" spans="1:17" x14ac:dyDescent="0.3">
      <c r="A702" s="25">
        <v>1294</v>
      </c>
      <c r="B702" t="s">
        <v>71</v>
      </c>
      <c r="C702" t="s">
        <v>196</v>
      </c>
      <c r="D702" t="s">
        <v>413</v>
      </c>
      <c r="E702" s="121">
        <v>4169</v>
      </c>
      <c r="F702" s="13">
        <v>45836</v>
      </c>
      <c r="G702" s="131">
        <v>181704</v>
      </c>
      <c r="H702" s="28">
        <v>170529.2</v>
      </c>
      <c r="I702" s="3">
        <v>45852</v>
      </c>
      <c r="J702" s="102">
        <v>45866</v>
      </c>
      <c r="K702" s="12">
        <v>45867</v>
      </c>
      <c r="L702" s="1" t="s">
        <v>731</v>
      </c>
      <c r="M702" s="36">
        <v>0</v>
      </c>
      <c r="N702"/>
      <c r="O702" t="s">
        <v>199</v>
      </c>
      <c r="P702" t="s">
        <v>376</v>
      </c>
      <c r="Q702" t="s">
        <v>203</v>
      </c>
    </row>
    <row r="703" spans="1:17" x14ac:dyDescent="0.3">
      <c r="A703" s="25">
        <v>1294</v>
      </c>
      <c r="B703" t="s">
        <v>71</v>
      </c>
      <c r="C703" t="s">
        <v>196</v>
      </c>
      <c r="D703" t="s">
        <v>413</v>
      </c>
      <c r="E703" s="121">
        <v>4170</v>
      </c>
      <c r="F703" s="13">
        <v>45836</v>
      </c>
      <c r="G703" s="24">
        <v>280194</v>
      </c>
      <c r="H703" s="28">
        <v>262962.07</v>
      </c>
      <c r="I703" s="3">
        <v>45852</v>
      </c>
      <c r="J703" s="102">
        <v>45866</v>
      </c>
      <c r="K703" s="12">
        <v>45867</v>
      </c>
      <c r="L703" s="1" t="s">
        <v>731</v>
      </c>
      <c r="M703" s="36">
        <v>0</v>
      </c>
      <c r="N703"/>
      <c r="O703" t="s">
        <v>199</v>
      </c>
      <c r="P703" t="s">
        <v>376</v>
      </c>
      <c r="Q703" t="s">
        <v>203</v>
      </c>
    </row>
    <row r="704" spans="1:17" x14ac:dyDescent="0.3">
      <c r="A704" s="25">
        <v>1294</v>
      </c>
      <c r="B704" t="s">
        <v>71</v>
      </c>
      <c r="C704" t="s">
        <v>196</v>
      </c>
      <c r="D704" t="s">
        <v>413</v>
      </c>
      <c r="E704" s="121">
        <v>4180</v>
      </c>
      <c r="F704" s="13">
        <v>45836</v>
      </c>
      <c r="G704" s="24">
        <v>136954.01</v>
      </c>
      <c r="H704" s="28">
        <v>128531.34</v>
      </c>
      <c r="I704" s="3">
        <v>45854</v>
      </c>
      <c r="J704" s="102">
        <v>45866</v>
      </c>
      <c r="K704" s="12">
        <v>45869</v>
      </c>
      <c r="L704" s="1" t="s">
        <v>731</v>
      </c>
      <c r="M704" s="36">
        <v>0</v>
      </c>
      <c r="N704"/>
      <c r="O704" t="s">
        <v>199</v>
      </c>
      <c r="P704" t="s">
        <v>376</v>
      </c>
      <c r="Q704" t="s">
        <v>203</v>
      </c>
    </row>
    <row r="705" spans="1:17" x14ac:dyDescent="0.3">
      <c r="A705" s="25">
        <v>1294</v>
      </c>
      <c r="B705" t="s">
        <v>71</v>
      </c>
      <c r="C705" t="s">
        <v>196</v>
      </c>
      <c r="D705" t="s">
        <v>413</v>
      </c>
      <c r="E705" s="121">
        <v>4181</v>
      </c>
      <c r="F705" s="13">
        <v>45836</v>
      </c>
      <c r="G705" s="24">
        <v>17761.52</v>
      </c>
      <c r="H705" s="28">
        <v>16669.189999999999</v>
      </c>
      <c r="I705" s="3">
        <v>45854</v>
      </c>
      <c r="J705" s="102">
        <v>45866</v>
      </c>
      <c r="K705" s="12">
        <v>45869</v>
      </c>
      <c r="L705" s="1" t="s">
        <v>731</v>
      </c>
      <c r="M705" s="36">
        <v>0</v>
      </c>
      <c r="N705"/>
      <c r="O705" t="s">
        <v>199</v>
      </c>
      <c r="P705" t="s">
        <v>376</v>
      </c>
      <c r="Q705" t="s">
        <v>203</v>
      </c>
    </row>
    <row r="706" spans="1:17" x14ac:dyDescent="0.3">
      <c r="A706" s="25">
        <v>1285</v>
      </c>
      <c r="B706" t="s">
        <v>71</v>
      </c>
      <c r="C706" t="s">
        <v>196</v>
      </c>
      <c r="D706" t="s">
        <v>404</v>
      </c>
      <c r="E706" s="121">
        <v>4145</v>
      </c>
      <c r="F706" s="13">
        <v>45836</v>
      </c>
      <c r="G706" s="24">
        <v>25534.32</v>
      </c>
      <c r="H706" s="24">
        <v>23963.96</v>
      </c>
      <c r="I706" s="3">
        <v>45834</v>
      </c>
      <c r="J706" s="102">
        <v>45866</v>
      </c>
      <c r="K706" s="12">
        <v>45866</v>
      </c>
      <c r="L706" s="1" t="s">
        <v>731</v>
      </c>
      <c r="M706" s="36">
        <v>0</v>
      </c>
      <c r="N706" s="26"/>
      <c r="O706" t="s">
        <v>199</v>
      </c>
      <c r="P706" t="s">
        <v>376</v>
      </c>
      <c r="Q706" t="s">
        <v>203</v>
      </c>
    </row>
    <row r="707" spans="1:17" x14ac:dyDescent="0.3">
      <c r="A707" s="25">
        <v>1285</v>
      </c>
      <c r="B707" t="s">
        <v>71</v>
      </c>
      <c r="C707" t="s">
        <v>196</v>
      </c>
      <c r="D707" t="s">
        <v>404</v>
      </c>
      <c r="E707" s="121">
        <v>4146</v>
      </c>
      <c r="F707" s="13">
        <v>45836</v>
      </c>
      <c r="G707" s="24">
        <v>9803.48</v>
      </c>
      <c r="H707" s="24">
        <v>9200.57</v>
      </c>
      <c r="I707" s="3">
        <v>45834</v>
      </c>
      <c r="J707" s="102">
        <v>45866</v>
      </c>
      <c r="K707" s="12">
        <v>45866</v>
      </c>
      <c r="L707" s="1" t="s">
        <v>731</v>
      </c>
      <c r="M707" s="36">
        <v>0</v>
      </c>
      <c r="N707" s="26"/>
      <c r="O707" t="s">
        <v>199</v>
      </c>
      <c r="P707" t="s">
        <v>376</v>
      </c>
      <c r="Q707" t="s">
        <v>203</v>
      </c>
    </row>
    <row r="708" spans="1:17" x14ac:dyDescent="0.3">
      <c r="A708" s="25">
        <v>1292</v>
      </c>
      <c r="B708" t="s">
        <v>71</v>
      </c>
      <c r="C708" t="s">
        <v>200</v>
      </c>
      <c r="D708" t="s">
        <v>411</v>
      </c>
      <c r="E708" s="121">
        <v>4166</v>
      </c>
      <c r="F708" s="13">
        <v>45836</v>
      </c>
      <c r="G708" s="24">
        <v>116552.48</v>
      </c>
      <c r="H708" s="24">
        <v>109384.5</v>
      </c>
      <c r="I708" s="3">
        <v>45849</v>
      </c>
      <c r="J708" s="102">
        <v>45866</v>
      </c>
      <c r="K708" s="12">
        <v>45866</v>
      </c>
      <c r="L708" s="1" t="s">
        <v>731</v>
      </c>
      <c r="M708" s="36">
        <v>0</v>
      </c>
      <c r="N708"/>
      <c r="O708" t="s">
        <v>199</v>
      </c>
      <c r="P708" t="s">
        <v>376</v>
      </c>
      <c r="Q708" t="s">
        <v>203</v>
      </c>
    </row>
    <row r="709" spans="1:17" x14ac:dyDescent="0.3">
      <c r="A709" s="25">
        <v>1292</v>
      </c>
      <c r="B709" t="s">
        <v>71</v>
      </c>
      <c r="C709" t="s">
        <v>200</v>
      </c>
      <c r="D709" t="s">
        <v>411</v>
      </c>
      <c r="E709" s="121">
        <v>4164</v>
      </c>
      <c r="F709" s="13">
        <v>45836</v>
      </c>
      <c r="G709" s="24">
        <v>134253.73000000001</v>
      </c>
      <c r="H709" s="24">
        <v>125997.12</v>
      </c>
      <c r="I709" s="3">
        <v>45849</v>
      </c>
      <c r="J709" s="102">
        <v>45866</v>
      </c>
      <c r="K709" s="12">
        <v>45866</v>
      </c>
      <c r="L709" s="1" t="s">
        <v>731</v>
      </c>
      <c r="M709" s="36">
        <v>0</v>
      </c>
      <c r="N709"/>
      <c r="O709" t="s">
        <v>199</v>
      </c>
      <c r="P709" t="s">
        <v>376</v>
      </c>
      <c r="Q709" t="s">
        <v>203</v>
      </c>
    </row>
    <row r="710" spans="1:17" x14ac:dyDescent="0.3">
      <c r="A710" s="25">
        <v>1292</v>
      </c>
      <c r="B710" t="s">
        <v>71</v>
      </c>
      <c r="C710" t="s">
        <v>200</v>
      </c>
      <c r="D710" t="s">
        <v>411</v>
      </c>
      <c r="E710" s="121">
        <v>4165</v>
      </c>
      <c r="F710" s="13">
        <v>45836</v>
      </c>
      <c r="G710" s="24">
        <v>34633.19</v>
      </c>
      <c r="H710" s="24">
        <v>32503.25</v>
      </c>
      <c r="I710" s="3">
        <v>45849</v>
      </c>
      <c r="J710" s="102">
        <v>45866</v>
      </c>
      <c r="K710" s="12">
        <v>45866</v>
      </c>
      <c r="L710" s="1" t="s">
        <v>731</v>
      </c>
      <c r="M710" s="36">
        <v>0</v>
      </c>
      <c r="N710"/>
      <c r="O710" t="s">
        <v>199</v>
      </c>
      <c r="P710" t="s">
        <v>376</v>
      </c>
      <c r="Q710" t="s">
        <v>203</v>
      </c>
    </row>
    <row r="711" spans="1:17" x14ac:dyDescent="0.3">
      <c r="A711" s="25">
        <v>1292</v>
      </c>
      <c r="B711" t="s">
        <v>71</v>
      </c>
      <c r="C711" t="s">
        <v>200</v>
      </c>
      <c r="D711" t="s">
        <v>411</v>
      </c>
      <c r="E711" s="121">
        <v>4171</v>
      </c>
      <c r="F711" s="13">
        <v>45836</v>
      </c>
      <c r="G711" s="24">
        <v>31008</v>
      </c>
      <c r="H711" s="24">
        <v>29101.01</v>
      </c>
      <c r="I711" s="3">
        <v>45852</v>
      </c>
      <c r="J711" s="102">
        <v>45866</v>
      </c>
      <c r="K711" s="12">
        <v>45867</v>
      </c>
      <c r="L711" s="1" t="s">
        <v>731</v>
      </c>
      <c r="M711" s="36">
        <v>0</v>
      </c>
      <c r="N711"/>
      <c r="O711" t="s">
        <v>199</v>
      </c>
      <c r="P711" t="s">
        <v>376</v>
      </c>
      <c r="Q711" t="s">
        <v>203</v>
      </c>
    </row>
    <row r="712" spans="1:17" x14ac:dyDescent="0.3">
      <c r="A712" s="25">
        <v>1292</v>
      </c>
      <c r="B712" t="s">
        <v>71</v>
      </c>
      <c r="C712" t="s">
        <v>200</v>
      </c>
      <c r="D712" t="s">
        <v>411</v>
      </c>
      <c r="E712" s="121">
        <v>4182</v>
      </c>
      <c r="F712" s="13">
        <v>45836</v>
      </c>
      <c r="G712" s="24">
        <v>33408</v>
      </c>
      <c r="H712" s="24">
        <v>31353.41</v>
      </c>
      <c r="I712" s="3">
        <v>45859</v>
      </c>
      <c r="J712" s="102">
        <v>45873</v>
      </c>
      <c r="K712" s="12">
        <v>45874</v>
      </c>
      <c r="L712" s="1" t="s">
        <v>731</v>
      </c>
      <c r="M712" s="36">
        <v>0</v>
      </c>
      <c r="N712"/>
      <c r="O712" t="s">
        <v>199</v>
      </c>
      <c r="P712" t="s">
        <v>376</v>
      </c>
      <c r="Q712" t="s">
        <v>203</v>
      </c>
    </row>
    <row r="713" spans="1:17" x14ac:dyDescent="0.3">
      <c r="A713" s="25">
        <v>1484</v>
      </c>
      <c r="B713" t="s">
        <v>71</v>
      </c>
      <c r="C713" t="s">
        <v>200</v>
      </c>
      <c r="D713" t="s">
        <v>634</v>
      </c>
      <c r="E713" s="121">
        <v>4178</v>
      </c>
      <c r="F713" s="13">
        <v>45836</v>
      </c>
      <c r="G713" s="24">
        <v>36570.74</v>
      </c>
      <c r="H713" s="24">
        <v>34321.64</v>
      </c>
      <c r="I713" s="3">
        <v>45853</v>
      </c>
      <c r="J713" s="102">
        <v>45866</v>
      </c>
      <c r="K713" s="12">
        <v>45868</v>
      </c>
      <c r="L713" s="1" t="s">
        <v>731</v>
      </c>
      <c r="M713" s="36">
        <v>0</v>
      </c>
      <c r="N713"/>
      <c r="O713" t="s">
        <v>201</v>
      </c>
      <c r="P713" t="s">
        <v>376</v>
      </c>
      <c r="Q713" t="s">
        <v>203</v>
      </c>
    </row>
    <row r="714" spans="1:17" x14ac:dyDescent="0.3">
      <c r="A714" s="25">
        <v>1484</v>
      </c>
      <c r="B714" t="s">
        <v>71</v>
      </c>
      <c r="C714" t="s">
        <v>200</v>
      </c>
      <c r="D714" t="s">
        <v>634</v>
      </c>
      <c r="E714" s="121">
        <v>4179</v>
      </c>
      <c r="F714" s="13">
        <v>45836</v>
      </c>
      <c r="G714" s="24">
        <v>15398.24</v>
      </c>
      <c r="H714" s="24">
        <v>14451.25</v>
      </c>
      <c r="I714" s="3">
        <v>45853</v>
      </c>
      <c r="J714" s="102">
        <v>45866</v>
      </c>
      <c r="K714" s="12">
        <v>45868</v>
      </c>
      <c r="L714" s="1" t="s">
        <v>731</v>
      </c>
      <c r="M714" s="36">
        <v>0</v>
      </c>
      <c r="N714"/>
      <c r="O714" t="s">
        <v>201</v>
      </c>
      <c r="P714" t="s">
        <v>376</v>
      </c>
      <c r="Q714" t="s">
        <v>203</v>
      </c>
    </row>
    <row r="715" spans="1:17" x14ac:dyDescent="0.3">
      <c r="A715" s="25">
        <v>1398</v>
      </c>
      <c r="B715" t="s">
        <v>212</v>
      </c>
      <c r="C715" t="s">
        <v>169</v>
      </c>
      <c r="D715" t="s">
        <v>528</v>
      </c>
      <c r="E715" s="118">
        <v>8439</v>
      </c>
      <c r="F715" s="13">
        <v>45836</v>
      </c>
      <c r="G715" s="27">
        <v>5562</v>
      </c>
      <c r="H715" s="24">
        <v>5219.9399999999996</v>
      </c>
      <c r="I715" s="3">
        <v>45862</v>
      </c>
      <c r="J715" s="102">
        <v>45894</v>
      </c>
      <c r="K715" s="12">
        <v>45894</v>
      </c>
      <c r="L715" s="19" t="s">
        <v>731</v>
      </c>
      <c r="M715" s="36">
        <v>0</v>
      </c>
      <c r="N715"/>
      <c r="O715" t="s">
        <v>202</v>
      </c>
      <c r="P715" t="s">
        <v>328</v>
      </c>
      <c r="Q715" t="s">
        <v>207</v>
      </c>
    </row>
    <row r="716" spans="1:17" x14ac:dyDescent="0.3">
      <c r="A716" s="25">
        <v>1398</v>
      </c>
      <c r="B716" t="s">
        <v>212</v>
      </c>
      <c r="C716" t="s">
        <v>169</v>
      </c>
      <c r="D716" t="s">
        <v>528</v>
      </c>
      <c r="E716" s="118">
        <v>8442</v>
      </c>
      <c r="F716" s="13">
        <v>45836</v>
      </c>
      <c r="G716" s="27">
        <v>26093.54</v>
      </c>
      <c r="H716" s="24">
        <v>24488.79</v>
      </c>
      <c r="I716" s="3">
        <v>45866</v>
      </c>
      <c r="J716" s="102">
        <v>45894</v>
      </c>
      <c r="K716" s="12">
        <v>45896</v>
      </c>
      <c r="L716" s="19" t="s">
        <v>731</v>
      </c>
      <c r="M716" s="36">
        <v>0</v>
      </c>
      <c r="N716"/>
      <c r="O716" t="s">
        <v>202</v>
      </c>
      <c r="P716" t="s">
        <v>328</v>
      </c>
      <c r="Q716" t="s">
        <v>207</v>
      </c>
    </row>
    <row r="717" spans="1:17" x14ac:dyDescent="0.3">
      <c r="A717" s="25">
        <v>1398</v>
      </c>
      <c r="B717" t="s">
        <v>212</v>
      </c>
      <c r="C717" t="s">
        <v>169</v>
      </c>
      <c r="D717" t="s">
        <v>528</v>
      </c>
      <c r="E717" s="118">
        <v>8426</v>
      </c>
      <c r="F717" s="13">
        <v>45836</v>
      </c>
      <c r="G717" s="27">
        <v>48000</v>
      </c>
      <c r="H717" s="24">
        <v>45048</v>
      </c>
      <c r="I717" s="3">
        <v>45852</v>
      </c>
      <c r="J717" s="102">
        <v>45943</v>
      </c>
      <c r="K717" s="12">
        <v>45945</v>
      </c>
      <c r="L717" s="19" t="s">
        <v>731</v>
      </c>
      <c r="M717" s="36">
        <v>0</v>
      </c>
      <c r="N717"/>
      <c r="O717" t="s">
        <v>202</v>
      </c>
      <c r="P717" t="s">
        <v>328</v>
      </c>
      <c r="Q717" t="s">
        <v>207</v>
      </c>
    </row>
    <row r="718" spans="1:17" x14ac:dyDescent="0.3">
      <c r="A718" s="108">
        <v>1398</v>
      </c>
      <c r="B718" t="s">
        <v>212</v>
      </c>
      <c r="C718" t="s">
        <v>169</v>
      </c>
      <c r="D718" t="s">
        <v>528</v>
      </c>
      <c r="E718" s="122">
        <v>8440</v>
      </c>
      <c r="F718" s="109">
        <v>45836</v>
      </c>
      <c r="G718" s="110">
        <v>20181.879999999903</v>
      </c>
      <c r="H718" s="111">
        <v>20873.79</v>
      </c>
      <c r="I718" s="112">
        <v>45862</v>
      </c>
      <c r="J718" s="105">
        <v>45922</v>
      </c>
      <c r="K718" s="113">
        <v>45922</v>
      </c>
      <c r="L718" s="19" t="s">
        <v>731</v>
      </c>
      <c r="M718" s="36">
        <v>0</v>
      </c>
      <c r="N718"/>
      <c r="O718" t="s">
        <v>202</v>
      </c>
      <c r="P718" t="s">
        <v>328</v>
      </c>
      <c r="Q718" t="s">
        <v>207</v>
      </c>
    </row>
    <row r="719" spans="1:17" x14ac:dyDescent="0.3">
      <c r="A719" s="25">
        <v>1398</v>
      </c>
      <c r="B719" t="s">
        <v>212</v>
      </c>
      <c r="C719" t="s">
        <v>169</v>
      </c>
      <c r="D719" t="s">
        <v>528</v>
      </c>
      <c r="E719" s="118">
        <v>8441</v>
      </c>
      <c r="F719" s="13">
        <v>45836</v>
      </c>
      <c r="G719" s="27">
        <v>75919.81</v>
      </c>
      <c r="H719" s="24">
        <v>71250.740000000005</v>
      </c>
      <c r="I719" s="3">
        <v>45862</v>
      </c>
      <c r="J719" s="102">
        <v>45922</v>
      </c>
      <c r="K719" s="12">
        <v>45922</v>
      </c>
      <c r="L719" s="19" t="s">
        <v>731</v>
      </c>
      <c r="M719" s="36">
        <v>0</v>
      </c>
      <c r="N719"/>
      <c r="O719" t="s">
        <v>202</v>
      </c>
      <c r="P719" t="s">
        <v>328</v>
      </c>
      <c r="Q719" t="s">
        <v>207</v>
      </c>
    </row>
    <row r="720" spans="1:17" x14ac:dyDescent="0.3">
      <c r="A720" s="9">
        <v>1393</v>
      </c>
      <c r="B720" t="s">
        <v>215</v>
      </c>
      <c r="C720" t="s">
        <v>348</v>
      </c>
      <c r="D720" t="s">
        <v>522</v>
      </c>
      <c r="E720" s="121">
        <v>8419</v>
      </c>
      <c r="F720" s="13">
        <v>45836</v>
      </c>
      <c r="G720" s="24">
        <v>464317.66</v>
      </c>
      <c r="H720" s="11">
        <v>416492.94</v>
      </c>
      <c r="I720" s="3">
        <v>45846</v>
      </c>
      <c r="J720" s="102">
        <v>45870</v>
      </c>
      <c r="K720" s="5">
        <v>45870</v>
      </c>
      <c r="L720" s="19" t="s">
        <v>731</v>
      </c>
      <c r="M720" s="35">
        <v>0</v>
      </c>
      <c r="N720" s="15"/>
      <c r="O720" t="s">
        <v>202</v>
      </c>
      <c r="P720" t="s">
        <v>340</v>
      </c>
      <c r="Q720" t="s">
        <v>213</v>
      </c>
    </row>
    <row r="721" spans="1:17" x14ac:dyDescent="0.3">
      <c r="A721" s="9">
        <v>1476</v>
      </c>
      <c r="B721" t="s">
        <v>215</v>
      </c>
      <c r="C721" t="s">
        <v>46</v>
      </c>
      <c r="D721" t="s">
        <v>626</v>
      </c>
      <c r="E721" s="121">
        <v>8413</v>
      </c>
      <c r="F721" s="13">
        <v>45836</v>
      </c>
      <c r="G721" s="24">
        <v>318628.40000000002</v>
      </c>
      <c r="H721" s="24">
        <v>285809.68</v>
      </c>
      <c r="I721" s="3">
        <v>45845</v>
      </c>
      <c r="J721" s="102">
        <v>45859</v>
      </c>
      <c r="K721" s="5">
        <v>45860</v>
      </c>
      <c r="L721" s="22" t="s">
        <v>731</v>
      </c>
      <c r="M721" s="35"/>
      <c r="N721" s="15"/>
      <c r="O721" t="s">
        <v>202</v>
      </c>
      <c r="P721" t="s">
        <v>340</v>
      </c>
      <c r="Q721" t="s">
        <v>213</v>
      </c>
    </row>
    <row r="722" spans="1:17" x14ac:dyDescent="0.3">
      <c r="A722" s="25">
        <v>1296</v>
      </c>
      <c r="B722" t="s">
        <v>211</v>
      </c>
      <c r="C722" t="s">
        <v>34</v>
      </c>
      <c r="D722" t="s">
        <v>416</v>
      </c>
      <c r="E722" s="118">
        <v>1274</v>
      </c>
      <c r="F722" s="13">
        <v>45836</v>
      </c>
      <c r="G722" s="24">
        <v>142287.91</v>
      </c>
      <c r="H722" s="24">
        <v>130691.44</v>
      </c>
      <c r="I722" s="3">
        <v>45855</v>
      </c>
      <c r="J722" s="102">
        <v>45866</v>
      </c>
      <c r="K722" s="29">
        <v>45866</v>
      </c>
      <c r="L722" s="19" t="s">
        <v>731</v>
      </c>
      <c r="M722" s="42"/>
      <c r="N722" s="26"/>
      <c r="O722" t="s">
        <v>202</v>
      </c>
      <c r="P722" t="s">
        <v>328</v>
      </c>
      <c r="Q722" t="s">
        <v>207</v>
      </c>
    </row>
    <row r="723" spans="1:17" x14ac:dyDescent="0.3">
      <c r="A723" s="25">
        <v>1296</v>
      </c>
      <c r="B723" t="s">
        <v>211</v>
      </c>
      <c r="C723" t="s">
        <v>34</v>
      </c>
      <c r="D723" t="s">
        <v>416</v>
      </c>
      <c r="E723" s="118">
        <v>1275</v>
      </c>
      <c r="F723" s="13">
        <v>45836</v>
      </c>
      <c r="G723" s="24">
        <v>330619.28999999998</v>
      </c>
      <c r="H723" s="24">
        <v>303673.81</v>
      </c>
      <c r="I723" s="3">
        <v>45855</v>
      </c>
      <c r="J723" s="102">
        <v>45866</v>
      </c>
      <c r="K723" s="29">
        <v>45866</v>
      </c>
      <c r="L723" s="19" t="s">
        <v>731</v>
      </c>
      <c r="M723" s="42"/>
      <c r="N723" s="26"/>
      <c r="O723" t="s">
        <v>202</v>
      </c>
      <c r="P723" t="s">
        <v>328</v>
      </c>
      <c r="Q723" t="s">
        <v>207</v>
      </c>
    </row>
    <row r="724" spans="1:17" x14ac:dyDescent="0.3">
      <c r="A724" s="25">
        <v>1296</v>
      </c>
      <c r="B724" t="s">
        <v>211</v>
      </c>
      <c r="C724" t="s">
        <v>34</v>
      </c>
      <c r="D724" t="s">
        <v>416</v>
      </c>
      <c r="E724" s="118">
        <v>1276</v>
      </c>
      <c r="F724" s="13">
        <v>45836</v>
      </c>
      <c r="G724" s="24">
        <v>308252.58</v>
      </c>
      <c r="H724" s="24">
        <v>283129.99</v>
      </c>
      <c r="I724" s="3">
        <v>45855</v>
      </c>
      <c r="J724" s="102">
        <v>45866</v>
      </c>
      <c r="K724" s="29">
        <v>45866</v>
      </c>
      <c r="L724" s="19" t="s">
        <v>731</v>
      </c>
      <c r="M724" s="42"/>
      <c r="N724" s="26"/>
      <c r="O724" t="s">
        <v>202</v>
      </c>
      <c r="P724" t="s">
        <v>328</v>
      </c>
      <c r="Q724" t="s">
        <v>207</v>
      </c>
    </row>
    <row r="725" spans="1:17" x14ac:dyDescent="0.3">
      <c r="A725" s="9">
        <v>1300</v>
      </c>
      <c r="B725" t="s">
        <v>211</v>
      </c>
      <c r="C725" t="s">
        <v>34</v>
      </c>
      <c r="D725" t="s">
        <v>420</v>
      </c>
      <c r="E725" s="121">
        <v>8411</v>
      </c>
      <c r="F725" s="13">
        <v>45836</v>
      </c>
      <c r="G725" s="24">
        <v>35127.120000000003</v>
      </c>
      <c r="H725" s="11">
        <v>32264.26</v>
      </c>
      <c r="I725" s="3">
        <v>45845</v>
      </c>
      <c r="J725" s="102">
        <v>45873</v>
      </c>
      <c r="K725" s="5">
        <v>45875</v>
      </c>
      <c r="L725" s="37" t="s">
        <v>731</v>
      </c>
      <c r="M725" s="38">
        <v>0</v>
      </c>
      <c r="N725" s="15"/>
      <c r="O725" t="s">
        <v>202</v>
      </c>
      <c r="P725" t="s">
        <v>328</v>
      </c>
      <c r="Q725" t="s">
        <v>207</v>
      </c>
    </row>
    <row r="726" spans="1:17" x14ac:dyDescent="0.3">
      <c r="A726" s="9">
        <v>1300</v>
      </c>
      <c r="B726" t="s">
        <v>211</v>
      </c>
      <c r="C726" t="s">
        <v>34</v>
      </c>
      <c r="D726" t="s">
        <v>420</v>
      </c>
      <c r="E726" s="121">
        <v>1272</v>
      </c>
      <c r="F726" s="13">
        <v>45836</v>
      </c>
      <c r="G726" s="24">
        <v>287717.94</v>
      </c>
      <c r="H726" s="11">
        <v>264268.92</v>
      </c>
      <c r="I726" s="3">
        <v>45853</v>
      </c>
      <c r="J726" s="102">
        <v>45915</v>
      </c>
      <c r="K726" s="5">
        <v>45916</v>
      </c>
      <c r="L726" s="37" t="s">
        <v>731</v>
      </c>
      <c r="M726" s="38">
        <v>0</v>
      </c>
      <c r="N726" s="15"/>
      <c r="O726" t="s">
        <v>202</v>
      </c>
      <c r="P726" t="s">
        <v>328</v>
      </c>
      <c r="Q726" t="s">
        <v>207</v>
      </c>
    </row>
    <row r="727" spans="1:17" x14ac:dyDescent="0.3">
      <c r="A727" s="9">
        <v>1300</v>
      </c>
      <c r="B727" t="s">
        <v>211</v>
      </c>
      <c r="C727" t="s">
        <v>34</v>
      </c>
      <c r="D727" t="s">
        <v>420</v>
      </c>
      <c r="E727" s="121">
        <v>8448</v>
      </c>
      <c r="F727" s="13">
        <v>45836</v>
      </c>
      <c r="G727" s="24">
        <v>35127.120000000003</v>
      </c>
      <c r="H727" s="11">
        <v>32264.26</v>
      </c>
      <c r="I727" s="3">
        <v>45874</v>
      </c>
      <c r="J727" s="102">
        <v>45908</v>
      </c>
      <c r="K727" s="5">
        <v>45908</v>
      </c>
      <c r="L727" s="37" t="s">
        <v>731</v>
      </c>
      <c r="M727" s="38">
        <v>0</v>
      </c>
      <c r="N727" s="15"/>
      <c r="O727" t="s">
        <v>202</v>
      </c>
      <c r="P727" t="s">
        <v>328</v>
      </c>
      <c r="Q727" t="s">
        <v>207</v>
      </c>
    </row>
    <row r="728" spans="1:17" x14ac:dyDescent="0.3">
      <c r="A728" s="25">
        <v>1290</v>
      </c>
      <c r="B728" t="s">
        <v>215</v>
      </c>
      <c r="C728" t="s">
        <v>40</v>
      </c>
      <c r="D728" t="s">
        <v>409</v>
      </c>
      <c r="E728" s="121">
        <v>8410</v>
      </c>
      <c r="F728" s="13">
        <v>45836</v>
      </c>
      <c r="G728" s="24">
        <v>53175.27</v>
      </c>
      <c r="H728" s="24">
        <v>46980.35</v>
      </c>
      <c r="I728" s="3">
        <v>45842</v>
      </c>
      <c r="J728" s="102">
        <v>45873</v>
      </c>
      <c r="K728" s="12">
        <v>45875</v>
      </c>
      <c r="L728" s="22" t="s">
        <v>731</v>
      </c>
      <c r="M728" s="36">
        <v>0</v>
      </c>
      <c r="N728" s="26"/>
      <c r="O728" t="s">
        <v>202</v>
      </c>
      <c r="P728" t="s">
        <v>328</v>
      </c>
      <c r="Q728" t="s">
        <v>213</v>
      </c>
    </row>
    <row r="729" spans="1:17" x14ac:dyDescent="0.3">
      <c r="A729" s="25">
        <v>1490</v>
      </c>
      <c r="B729" t="s">
        <v>215</v>
      </c>
      <c r="C729" t="s">
        <v>40</v>
      </c>
      <c r="D729" t="s">
        <v>640</v>
      </c>
      <c r="E729" s="121">
        <v>8406</v>
      </c>
      <c r="F729" s="13">
        <v>45836</v>
      </c>
      <c r="G729" s="24">
        <v>2300</v>
      </c>
      <c r="H729" s="24">
        <v>2032.05</v>
      </c>
      <c r="I729" s="3">
        <v>45842</v>
      </c>
      <c r="J729" s="102">
        <v>45873</v>
      </c>
      <c r="K729" s="12">
        <v>45873</v>
      </c>
      <c r="L729" s="22" t="s">
        <v>731</v>
      </c>
      <c r="M729" s="36">
        <v>0</v>
      </c>
      <c r="N729" s="26"/>
      <c r="O729" t="s">
        <v>202</v>
      </c>
      <c r="P729" t="s">
        <v>328</v>
      </c>
      <c r="Q729" t="s">
        <v>213</v>
      </c>
    </row>
    <row r="730" spans="1:17" x14ac:dyDescent="0.3">
      <c r="A730" s="9">
        <v>1480</v>
      </c>
      <c r="B730" t="s">
        <v>193</v>
      </c>
      <c r="C730" t="s">
        <v>184</v>
      </c>
      <c r="D730" t="s">
        <v>732</v>
      </c>
      <c r="E730" s="121">
        <v>4167</v>
      </c>
      <c r="F730" s="13">
        <v>45836</v>
      </c>
      <c r="G730" s="24">
        <v>329664.71999999997</v>
      </c>
      <c r="H730" s="24">
        <v>309390.34000000003</v>
      </c>
      <c r="I730" s="3">
        <v>45849</v>
      </c>
      <c r="J730" s="102">
        <v>45866</v>
      </c>
      <c r="K730" s="5">
        <v>45868</v>
      </c>
      <c r="L730" s="19" t="s">
        <v>731</v>
      </c>
      <c r="M730" s="38"/>
      <c r="N730" s="15"/>
      <c r="O730" t="s">
        <v>199</v>
      </c>
      <c r="P730" t="s">
        <v>376</v>
      </c>
      <c r="Q730" t="s">
        <v>207</v>
      </c>
    </row>
    <row r="731" spans="1:17" x14ac:dyDescent="0.3">
      <c r="A731" s="9">
        <v>1475</v>
      </c>
      <c r="B731" t="s">
        <v>204</v>
      </c>
      <c r="C731" t="s">
        <v>95</v>
      </c>
      <c r="D731" t="s">
        <v>625</v>
      </c>
      <c r="E731" s="121">
        <v>8405</v>
      </c>
      <c r="F731" s="13">
        <v>45836</v>
      </c>
      <c r="G731" s="24">
        <v>70696.11</v>
      </c>
      <c r="H731" s="11">
        <v>63414.42</v>
      </c>
      <c r="I731" s="3">
        <v>45842</v>
      </c>
      <c r="J731" s="102">
        <v>45852</v>
      </c>
      <c r="K731" s="12">
        <v>45856</v>
      </c>
      <c r="L731" s="19" t="s">
        <v>731</v>
      </c>
      <c r="M731" s="35">
        <v>0</v>
      </c>
      <c r="N731"/>
      <c r="O731" t="s">
        <v>199</v>
      </c>
      <c r="P731" t="s">
        <v>340</v>
      </c>
      <c r="Q731" t="s">
        <v>217</v>
      </c>
    </row>
    <row r="732" spans="1:17" x14ac:dyDescent="0.3">
      <c r="A732" s="9">
        <v>1472</v>
      </c>
      <c r="B732" t="s">
        <v>71</v>
      </c>
      <c r="C732" t="s">
        <v>41</v>
      </c>
      <c r="D732" t="s">
        <v>622</v>
      </c>
      <c r="E732" s="121">
        <v>4147</v>
      </c>
      <c r="F732" s="13">
        <v>45836</v>
      </c>
      <c r="G732" s="24">
        <v>80422.2</v>
      </c>
      <c r="H732" s="24">
        <v>75476.240000000005</v>
      </c>
      <c r="I732" s="3">
        <v>45839</v>
      </c>
      <c r="J732" s="102">
        <v>45859</v>
      </c>
      <c r="K732" s="12">
        <v>45859</v>
      </c>
      <c r="L732" s="19" t="s">
        <v>731</v>
      </c>
      <c r="M732" s="38"/>
      <c r="N732" s="15"/>
      <c r="O732" t="s">
        <v>201</v>
      </c>
      <c r="P732" t="s">
        <v>376</v>
      </c>
      <c r="Q732" t="s">
        <v>203</v>
      </c>
    </row>
    <row r="733" spans="1:17" x14ac:dyDescent="0.3">
      <c r="A733" s="9">
        <v>1378</v>
      </c>
      <c r="B733" t="s">
        <v>193</v>
      </c>
      <c r="C733" t="s">
        <v>4</v>
      </c>
      <c r="D733" t="s">
        <v>506</v>
      </c>
      <c r="E733" s="121">
        <v>8433</v>
      </c>
      <c r="F733" s="13">
        <v>45836</v>
      </c>
      <c r="G733" s="24">
        <v>4281.29</v>
      </c>
      <c r="H733" s="11">
        <v>4017.99</v>
      </c>
      <c r="I733" s="3">
        <v>45855</v>
      </c>
      <c r="J733" s="102">
        <v>45880</v>
      </c>
      <c r="K733" s="5">
        <v>45881</v>
      </c>
      <c r="L733" s="19" t="s">
        <v>731</v>
      </c>
      <c r="M733" s="35">
        <v>0</v>
      </c>
      <c r="N733"/>
      <c r="O733" t="s">
        <v>201</v>
      </c>
      <c r="P733" t="s">
        <v>376</v>
      </c>
      <c r="Q733" t="s">
        <v>207</v>
      </c>
    </row>
    <row r="734" spans="1:17" x14ac:dyDescent="0.3">
      <c r="A734" s="9">
        <v>1247</v>
      </c>
      <c r="B734" t="s">
        <v>215</v>
      </c>
      <c r="C734" t="s">
        <v>21</v>
      </c>
      <c r="D734" t="s">
        <v>359</v>
      </c>
      <c r="E734" s="121">
        <v>8400</v>
      </c>
      <c r="F734" s="13">
        <v>45836</v>
      </c>
      <c r="G734" s="24">
        <v>38395.360000000001</v>
      </c>
      <c r="H734" s="24">
        <v>34440.629999999997</v>
      </c>
      <c r="I734" s="3">
        <v>45839</v>
      </c>
      <c r="J734" s="102">
        <v>45852</v>
      </c>
      <c r="K734" s="12">
        <v>45852</v>
      </c>
      <c r="L734" s="19" t="s">
        <v>731</v>
      </c>
      <c r="M734" s="35">
        <v>0</v>
      </c>
      <c r="N734"/>
      <c r="O734" t="s">
        <v>202</v>
      </c>
      <c r="P734" t="s">
        <v>340</v>
      </c>
      <c r="Q734" t="s">
        <v>213</v>
      </c>
    </row>
    <row r="735" spans="1:17" x14ac:dyDescent="0.3">
      <c r="A735" s="25">
        <v>1358</v>
      </c>
      <c r="B735" t="s">
        <v>215</v>
      </c>
      <c r="C735" t="s">
        <v>17</v>
      </c>
      <c r="D735" t="s">
        <v>480</v>
      </c>
      <c r="E735" s="121">
        <v>8427</v>
      </c>
      <c r="F735" s="13">
        <v>45836</v>
      </c>
      <c r="G735" s="24">
        <v>89150.64</v>
      </c>
      <c r="H735" s="24">
        <v>79968.13</v>
      </c>
      <c r="I735" s="3">
        <v>45852</v>
      </c>
      <c r="J735" s="102">
        <v>45880</v>
      </c>
      <c r="K735" s="12">
        <v>45883</v>
      </c>
      <c r="L735" s="19" t="s">
        <v>731</v>
      </c>
      <c r="M735" s="36">
        <v>0</v>
      </c>
      <c r="N735"/>
      <c r="O735" t="s">
        <v>202</v>
      </c>
      <c r="P735" t="s">
        <v>340</v>
      </c>
      <c r="Q735" t="s">
        <v>213</v>
      </c>
    </row>
    <row r="736" spans="1:17" x14ac:dyDescent="0.3">
      <c r="A736" s="9">
        <v>1358</v>
      </c>
      <c r="B736" t="s">
        <v>215</v>
      </c>
      <c r="C736" t="s">
        <v>17</v>
      </c>
      <c r="D736" t="s">
        <v>480</v>
      </c>
      <c r="E736" s="121">
        <v>8428</v>
      </c>
      <c r="F736" s="13">
        <v>45836</v>
      </c>
      <c r="G736" s="24">
        <v>8736.76</v>
      </c>
      <c r="H736" s="24">
        <v>7836.87</v>
      </c>
      <c r="I736" s="3">
        <v>45852</v>
      </c>
      <c r="J736" s="102">
        <v>45880</v>
      </c>
      <c r="K736" s="12">
        <v>45880</v>
      </c>
      <c r="L736" s="19" t="s">
        <v>731</v>
      </c>
      <c r="M736" s="35">
        <v>0</v>
      </c>
      <c r="N736"/>
      <c r="O736" t="s">
        <v>202</v>
      </c>
      <c r="P736" t="s">
        <v>340</v>
      </c>
      <c r="Q736" t="s">
        <v>213</v>
      </c>
    </row>
    <row r="737" spans="1:17" x14ac:dyDescent="0.3">
      <c r="A737" s="9">
        <v>1473</v>
      </c>
      <c r="B737" t="s">
        <v>215</v>
      </c>
      <c r="C737" t="s">
        <v>208</v>
      </c>
      <c r="D737" t="s">
        <v>623</v>
      </c>
      <c r="E737" s="121">
        <v>8449</v>
      </c>
      <c r="F737" s="13">
        <v>45836</v>
      </c>
      <c r="G737" s="24">
        <v>225527.76</v>
      </c>
      <c r="H737" s="24">
        <v>207875.76</v>
      </c>
      <c r="I737" s="3">
        <v>45874</v>
      </c>
      <c r="J737" s="102">
        <v>45880</v>
      </c>
      <c r="K737" s="12">
        <v>45884</v>
      </c>
      <c r="L737" s="19" t="s">
        <v>731</v>
      </c>
      <c r="M737" s="35">
        <v>0</v>
      </c>
      <c r="N737"/>
      <c r="O737" t="s">
        <v>202</v>
      </c>
      <c r="P737" t="s">
        <v>340</v>
      </c>
      <c r="Q737" t="s">
        <v>213</v>
      </c>
    </row>
    <row r="738" spans="1:17" x14ac:dyDescent="0.3">
      <c r="A738" s="25">
        <v>1462</v>
      </c>
      <c r="B738" t="s">
        <v>212</v>
      </c>
      <c r="C738" t="s">
        <v>221</v>
      </c>
      <c r="D738" t="s">
        <v>610</v>
      </c>
      <c r="E738" s="121">
        <v>8467</v>
      </c>
      <c r="F738" s="13">
        <v>45836</v>
      </c>
      <c r="G738" s="24">
        <v>1342.67</v>
      </c>
      <c r="H738" s="24">
        <v>1260.0899999999999</v>
      </c>
      <c r="I738" s="3">
        <v>45880</v>
      </c>
      <c r="J738" s="102">
        <v>45880</v>
      </c>
      <c r="K738" s="12">
        <v>45880</v>
      </c>
      <c r="L738" s="19" t="s">
        <v>731</v>
      </c>
      <c r="M738" s="36">
        <v>0</v>
      </c>
      <c r="N738" s="26"/>
      <c r="O738" t="s">
        <v>202</v>
      </c>
      <c r="P738" t="s">
        <v>373</v>
      </c>
      <c r="Q738" t="s">
        <v>207</v>
      </c>
    </row>
    <row r="739" spans="1:17" x14ac:dyDescent="0.3">
      <c r="A739" s="14">
        <v>1260</v>
      </c>
      <c r="B739" t="s">
        <v>193</v>
      </c>
      <c r="C739" t="s">
        <v>121</v>
      </c>
      <c r="D739" t="s">
        <v>372</v>
      </c>
      <c r="E739" s="121">
        <v>4148</v>
      </c>
      <c r="F739" s="13">
        <v>45836</v>
      </c>
      <c r="G739" s="24">
        <v>10914</v>
      </c>
      <c r="H739" s="24">
        <v>10242.790000000001</v>
      </c>
      <c r="I739" s="3">
        <v>45839</v>
      </c>
      <c r="J739" s="102">
        <v>45859</v>
      </c>
      <c r="K739" s="12">
        <v>45861</v>
      </c>
      <c r="L739" s="20" t="s">
        <v>731</v>
      </c>
      <c r="M739" s="35">
        <v>0</v>
      </c>
      <c r="N739"/>
      <c r="O739" t="s">
        <v>199</v>
      </c>
      <c r="P739" t="s">
        <v>373</v>
      </c>
      <c r="Q739" t="s">
        <v>207</v>
      </c>
    </row>
    <row r="740" spans="1:17" x14ac:dyDescent="0.3">
      <c r="A740" s="25">
        <v>1485</v>
      </c>
      <c r="B740" t="s">
        <v>193</v>
      </c>
      <c r="C740" t="s">
        <v>43</v>
      </c>
      <c r="D740" t="s">
        <v>733</v>
      </c>
      <c r="E740" s="121">
        <v>4226</v>
      </c>
      <c r="F740" s="13">
        <v>45836</v>
      </c>
      <c r="G740" s="24">
        <v>27092.86</v>
      </c>
      <c r="H740" s="24">
        <v>25426.65</v>
      </c>
      <c r="I740" s="3">
        <v>45874</v>
      </c>
      <c r="J740" s="102">
        <v>45929</v>
      </c>
      <c r="K740" s="12">
        <v>45930</v>
      </c>
      <c r="L740" s="19" t="s">
        <v>731</v>
      </c>
      <c r="M740" s="36"/>
      <c r="N740" s="26"/>
      <c r="O740" t="s">
        <v>199</v>
      </c>
      <c r="P740" t="s">
        <v>376</v>
      </c>
      <c r="Q740" t="s">
        <v>207</v>
      </c>
    </row>
    <row r="741" spans="1:17" x14ac:dyDescent="0.3">
      <c r="A741" s="9">
        <v>1482</v>
      </c>
      <c r="B741" t="s">
        <v>211</v>
      </c>
      <c r="C741" t="s">
        <v>34</v>
      </c>
      <c r="D741" t="s">
        <v>632</v>
      </c>
      <c r="E741" s="121">
        <v>8407</v>
      </c>
      <c r="F741" s="13">
        <v>45836</v>
      </c>
      <c r="G741" s="24">
        <v>39000</v>
      </c>
      <c r="H741" s="24">
        <v>35236.5</v>
      </c>
      <c r="I741" s="3">
        <v>45842</v>
      </c>
      <c r="J741" s="102">
        <v>45866</v>
      </c>
      <c r="K741" s="12">
        <v>45868</v>
      </c>
      <c r="L741" s="37" t="s">
        <v>731</v>
      </c>
      <c r="M741" s="43"/>
      <c r="N741" s="15"/>
      <c r="O741" t="s">
        <v>202</v>
      </c>
      <c r="P741" t="s">
        <v>328</v>
      </c>
      <c r="Q741" t="s">
        <v>207</v>
      </c>
    </row>
    <row r="742" spans="1:17" x14ac:dyDescent="0.3">
      <c r="A742" s="25">
        <v>1262</v>
      </c>
      <c r="B742" t="s">
        <v>193</v>
      </c>
      <c r="C742" t="s">
        <v>45</v>
      </c>
      <c r="D742" t="s">
        <v>375</v>
      </c>
      <c r="E742" s="121">
        <v>4188</v>
      </c>
      <c r="F742" s="13">
        <v>45836</v>
      </c>
      <c r="G742" s="24">
        <v>4945.8100000000004</v>
      </c>
      <c r="H742" s="24">
        <v>4641.6400000000003</v>
      </c>
      <c r="I742" s="3">
        <v>45860</v>
      </c>
      <c r="J742" s="102">
        <v>45866</v>
      </c>
      <c r="K742" s="12">
        <v>45869</v>
      </c>
      <c r="L742" s="19" t="s">
        <v>731</v>
      </c>
      <c r="M742" s="35">
        <v>0</v>
      </c>
      <c r="N742" s="15"/>
      <c r="O742" t="s">
        <v>199</v>
      </c>
      <c r="P742" t="s">
        <v>376</v>
      </c>
      <c r="Q742" t="s">
        <v>207</v>
      </c>
    </row>
    <row r="743" spans="1:17" x14ac:dyDescent="0.3">
      <c r="A743" s="25">
        <v>1262</v>
      </c>
      <c r="B743" t="s">
        <v>193</v>
      </c>
      <c r="C743" t="s">
        <v>45</v>
      </c>
      <c r="D743" t="s">
        <v>375</v>
      </c>
      <c r="E743" s="121">
        <v>4183</v>
      </c>
      <c r="F743" s="13">
        <v>45836</v>
      </c>
      <c r="G743" s="24">
        <v>32021.86</v>
      </c>
      <c r="H743" s="27">
        <v>30052.51</v>
      </c>
      <c r="I743" s="3">
        <v>45860</v>
      </c>
      <c r="J743" s="102">
        <v>45866</v>
      </c>
      <c r="K743" s="12">
        <v>45869</v>
      </c>
      <c r="L743" s="19" t="s">
        <v>731</v>
      </c>
      <c r="M743" s="36">
        <v>0</v>
      </c>
      <c r="N743" s="26"/>
      <c r="O743" t="s">
        <v>199</v>
      </c>
      <c r="P743" t="s">
        <v>376</v>
      </c>
      <c r="Q743" t="s">
        <v>207</v>
      </c>
    </row>
    <row r="744" spans="1:17" x14ac:dyDescent="0.3">
      <c r="A744" s="25">
        <v>1262</v>
      </c>
      <c r="B744" t="s">
        <v>193</v>
      </c>
      <c r="C744" t="s">
        <v>45</v>
      </c>
      <c r="D744" t="s">
        <v>375</v>
      </c>
      <c r="E744" s="121">
        <v>4184</v>
      </c>
      <c r="F744" s="13">
        <v>45836</v>
      </c>
      <c r="G744" s="24">
        <v>18782.93</v>
      </c>
      <c r="H744" s="27">
        <v>17627.78</v>
      </c>
      <c r="I744" s="3">
        <v>45860</v>
      </c>
      <c r="J744" s="102">
        <v>45866</v>
      </c>
      <c r="K744" s="12">
        <v>45869</v>
      </c>
      <c r="L744" s="19" t="s">
        <v>731</v>
      </c>
      <c r="M744" s="36">
        <v>0</v>
      </c>
      <c r="N744" s="26"/>
      <c r="O744" t="s">
        <v>199</v>
      </c>
      <c r="P744" t="s">
        <v>376</v>
      </c>
      <c r="Q744" t="s">
        <v>207</v>
      </c>
    </row>
    <row r="745" spans="1:17" x14ac:dyDescent="0.3">
      <c r="A745" s="25">
        <v>1262</v>
      </c>
      <c r="B745" t="s">
        <v>193</v>
      </c>
      <c r="C745" t="s">
        <v>45</v>
      </c>
      <c r="D745" t="s">
        <v>375</v>
      </c>
      <c r="E745" s="121">
        <v>4185</v>
      </c>
      <c r="F745" s="13">
        <v>45836</v>
      </c>
      <c r="G745" s="24">
        <v>17258.98</v>
      </c>
      <c r="H745" s="27">
        <v>16197.56</v>
      </c>
      <c r="I745" s="3">
        <v>45860</v>
      </c>
      <c r="J745" s="102">
        <v>45866</v>
      </c>
      <c r="K745" s="12">
        <v>45869</v>
      </c>
      <c r="L745" s="19" t="s">
        <v>731</v>
      </c>
      <c r="M745" s="36">
        <v>0</v>
      </c>
      <c r="N745" s="26"/>
      <c r="O745" t="s">
        <v>199</v>
      </c>
      <c r="P745" t="s">
        <v>376</v>
      </c>
      <c r="Q745" t="s">
        <v>207</v>
      </c>
    </row>
    <row r="746" spans="1:17" x14ac:dyDescent="0.3">
      <c r="A746" s="25">
        <v>1262</v>
      </c>
      <c r="B746" t="s">
        <v>193</v>
      </c>
      <c r="C746" t="s">
        <v>45</v>
      </c>
      <c r="D746" t="s">
        <v>375</v>
      </c>
      <c r="E746" s="121">
        <v>4186</v>
      </c>
      <c r="F746" s="13">
        <v>45836</v>
      </c>
      <c r="G746" s="24">
        <v>57945.79</v>
      </c>
      <c r="H746" s="27">
        <v>54382.12</v>
      </c>
      <c r="I746" s="3">
        <v>45860</v>
      </c>
      <c r="J746" s="102">
        <v>45866</v>
      </c>
      <c r="K746" s="12">
        <v>45869</v>
      </c>
      <c r="L746" s="19" t="s">
        <v>731</v>
      </c>
      <c r="M746" s="36">
        <v>0</v>
      </c>
      <c r="N746" s="26"/>
      <c r="O746" t="s">
        <v>199</v>
      </c>
      <c r="P746" t="s">
        <v>376</v>
      </c>
      <c r="Q746" t="s">
        <v>207</v>
      </c>
    </row>
    <row r="747" spans="1:17" x14ac:dyDescent="0.3">
      <c r="A747" s="25">
        <v>1262</v>
      </c>
      <c r="B747" t="s">
        <v>193</v>
      </c>
      <c r="C747" t="s">
        <v>45</v>
      </c>
      <c r="D747" t="s">
        <v>375</v>
      </c>
      <c r="E747" s="121">
        <v>4189</v>
      </c>
      <c r="F747" s="13">
        <v>45836</v>
      </c>
      <c r="G747" s="24">
        <v>7396.7</v>
      </c>
      <c r="H747" s="27">
        <v>6941.8</v>
      </c>
      <c r="I747" s="3">
        <v>45860</v>
      </c>
      <c r="J747" s="102">
        <v>45866</v>
      </c>
      <c r="K747" s="12">
        <v>45869</v>
      </c>
      <c r="L747" s="19" t="s">
        <v>731</v>
      </c>
      <c r="M747" s="36">
        <v>0</v>
      </c>
      <c r="N747" s="26"/>
      <c r="O747" t="s">
        <v>199</v>
      </c>
      <c r="P747" t="s">
        <v>376</v>
      </c>
      <c r="Q747" t="s">
        <v>207</v>
      </c>
    </row>
    <row r="748" spans="1:17" x14ac:dyDescent="0.3">
      <c r="A748" s="9">
        <v>1269</v>
      </c>
      <c r="B748" t="s">
        <v>193</v>
      </c>
      <c r="C748" t="s">
        <v>45</v>
      </c>
      <c r="D748" t="s">
        <v>384</v>
      </c>
      <c r="E748" s="121">
        <v>4187</v>
      </c>
      <c r="F748" s="13">
        <v>45836</v>
      </c>
      <c r="G748" s="24">
        <v>198578.23</v>
      </c>
      <c r="H748" s="24">
        <v>186365.67</v>
      </c>
      <c r="I748" s="3">
        <v>45860</v>
      </c>
      <c r="J748" s="102">
        <v>45866</v>
      </c>
      <c r="K748" s="12">
        <v>45869</v>
      </c>
      <c r="L748" s="19" t="s">
        <v>731</v>
      </c>
      <c r="M748" s="35">
        <v>0</v>
      </c>
      <c r="N748" s="15"/>
      <c r="O748" t="s">
        <v>202</v>
      </c>
      <c r="P748" t="s">
        <v>376</v>
      </c>
      <c r="Q748" t="s">
        <v>207</v>
      </c>
    </row>
    <row r="749" spans="1:17" x14ac:dyDescent="0.3">
      <c r="A749" s="9">
        <v>1269</v>
      </c>
      <c r="B749" t="s">
        <v>193</v>
      </c>
      <c r="C749" t="s">
        <v>45</v>
      </c>
      <c r="D749" t="s">
        <v>384</v>
      </c>
      <c r="E749" s="121">
        <v>4190</v>
      </c>
      <c r="F749" s="13">
        <v>45836</v>
      </c>
      <c r="G749" s="24">
        <v>10876.23</v>
      </c>
      <c r="H749" s="24">
        <v>10207.35</v>
      </c>
      <c r="I749" s="3">
        <v>45860</v>
      </c>
      <c r="J749" s="102">
        <v>45866</v>
      </c>
      <c r="K749" s="12">
        <v>45869</v>
      </c>
      <c r="L749" s="19" t="s">
        <v>731</v>
      </c>
      <c r="M749" s="35">
        <v>0</v>
      </c>
      <c r="N749" s="15"/>
      <c r="O749" t="s">
        <v>202</v>
      </c>
      <c r="P749" t="s">
        <v>376</v>
      </c>
      <c r="Q749" t="s">
        <v>207</v>
      </c>
    </row>
    <row r="750" spans="1:17" x14ac:dyDescent="0.3">
      <c r="A750" s="9">
        <v>1269</v>
      </c>
      <c r="B750" t="s">
        <v>193</v>
      </c>
      <c r="C750" t="s">
        <v>45</v>
      </c>
      <c r="D750" t="s">
        <v>384</v>
      </c>
      <c r="E750" s="121">
        <v>4191</v>
      </c>
      <c r="F750" s="13">
        <v>45836</v>
      </c>
      <c r="G750" s="24">
        <v>6655.99</v>
      </c>
      <c r="H750" s="24">
        <v>6246.65</v>
      </c>
      <c r="I750" s="3">
        <v>45860</v>
      </c>
      <c r="J750" s="102">
        <v>45866</v>
      </c>
      <c r="K750" s="12">
        <v>45869</v>
      </c>
      <c r="L750" s="19" t="s">
        <v>731</v>
      </c>
      <c r="M750" s="35">
        <v>0</v>
      </c>
      <c r="N750" s="15"/>
      <c r="O750" t="s">
        <v>202</v>
      </c>
      <c r="P750" t="s">
        <v>376</v>
      </c>
      <c r="Q750" t="s">
        <v>207</v>
      </c>
    </row>
    <row r="751" spans="1:17" x14ac:dyDescent="0.3">
      <c r="A751" s="9">
        <v>1269</v>
      </c>
      <c r="B751" t="s">
        <v>193</v>
      </c>
      <c r="C751" t="s">
        <v>45</v>
      </c>
      <c r="D751" t="s">
        <v>384</v>
      </c>
      <c r="E751" s="121">
        <v>4192</v>
      </c>
      <c r="F751" s="13">
        <v>45836</v>
      </c>
      <c r="G751" s="24">
        <v>30699.4</v>
      </c>
      <c r="H751" s="24">
        <v>28811.39</v>
      </c>
      <c r="I751" s="3">
        <v>45860</v>
      </c>
      <c r="J751" s="102">
        <v>45866</v>
      </c>
      <c r="K751" s="12">
        <v>45869</v>
      </c>
      <c r="L751" s="19" t="s">
        <v>731</v>
      </c>
      <c r="M751" s="35">
        <v>0</v>
      </c>
      <c r="N751" s="15"/>
      <c r="O751" t="s">
        <v>202</v>
      </c>
      <c r="P751" t="s">
        <v>376</v>
      </c>
      <c r="Q751" t="s">
        <v>207</v>
      </c>
    </row>
    <row r="752" spans="1:17" x14ac:dyDescent="0.3">
      <c r="A752" s="25">
        <v>1400</v>
      </c>
      <c r="B752" t="s">
        <v>209</v>
      </c>
      <c r="C752" t="s">
        <v>3</v>
      </c>
      <c r="D752" t="s">
        <v>530</v>
      </c>
      <c r="E752" s="121">
        <v>8444</v>
      </c>
      <c r="F752" s="13">
        <v>45836</v>
      </c>
      <c r="G752" s="24">
        <v>77751.44</v>
      </c>
      <c r="H752" s="24">
        <v>70248.44</v>
      </c>
      <c r="I752" s="3">
        <v>45870</v>
      </c>
      <c r="J752" s="102">
        <v>45873</v>
      </c>
      <c r="K752" s="12">
        <v>45876</v>
      </c>
      <c r="L752" s="19" t="s">
        <v>731</v>
      </c>
      <c r="M752" s="39">
        <v>0</v>
      </c>
      <c r="N752"/>
      <c r="O752" t="s">
        <v>199</v>
      </c>
      <c r="P752" t="s">
        <v>328</v>
      </c>
      <c r="Q752" t="s">
        <v>203</v>
      </c>
    </row>
    <row r="753" spans="1:17" x14ac:dyDescent="0.3">
      <c r="A753" s="25">
        <v>1400</v>
      </c>
      <c r="B753" t="s">
        <v>209</v>
      </c>
      <c r="C753" t="s">
        <v>3</v>
      </c>
      <c r="D753" t="s">
        <v>530</v>
      </c>
      <c r="E753" s="121">
        <v>8635</v>
      </c>
      <c r="F753" s="13">
        <v>45836</v>
      </c>
      <c r="G753" s="24">
        <v>471529.37</v>
      </c>
      <c r="H753" s="27">
        <v>426026.79</v>
      </c>
      <c r="I753" s="3">
        <v>45992</v>
      </c>
      <c r="J753" s="102">
        <v>45992</v>
      </c>
      <c r="K753" s="12">
        <v>45995</v>
      </c>
      <c r="L753" s="19" t="s">
        <v>731</v>
      </c>
      <c r="M753" s="39"/>
      <c r="N753"/>
      <c r="O753" t="s">
        <v>199</v>
      </c>
      <c r="P753" t="s">
        <v>328</v>
      </c>
      <c r="Q753" t="s">
        <v>203</v>
      </c>
    </row>
    <row r="754" spans="1:17" x14ac:dyDescent="0.3">
      <c r="A754" s="9">
        <v>1366</v>
      </c>
      <c r="B754" t="s">
        <v>209</v>
      </c>
      <c r="C754" t="s">
        <v>3</v>
      </c>
      <c r="D754" t="s">
        <v>490</v>
      </c>
      <c r="E754" s="121">
        <v>1280</v>
      </c>
      <c r="F754" s="13">
        <v>45836</v>
      </c>
      <c r="G754" s="24">
        <v>328350.03000000003</v>
      </c>
      <c r="H754" s="11">
        <v>296664.25</v>
      </c>
      <c r="I754" s="3">
        <v>45870</v>
      </c>
      <c r="J754" s="102">
        <v>45873</v>
      </c>
      <c r="K754" s="12">
        <v>45876</v>
      </c>
      <c r="L754" s="19" t="s">
        <v>731</v>
      </c>
      <c r="M754" s="35">
        <v>0</v>
      </c>
      <c r="N754"/>
      <c r="O754" t="s">
        <v>202</v>
      </c>
      <c r="P754" t="s">
        <v>328</v>
      </c>
      <c r="Q754" t="s">
        <v>203</v>
      </c>
    </row>
    <row r="755" spans="1:17" x14ac:dyDescent="0.3">
      <c r="A755" s="25">
        <v>1388</v>
      </c>
      <c r="B755" t="s">
        <v>209</v>
      </c>
      <c r="C755" t="s">
        <v>3</v>
      </c>
      <c r="D755" t="s">
        <v>518</v>
      </c>
      <c r="E755" s="121">
        <v>4219</v>
      </c>
      <c r="F755" s="13">
        <v>45836</v>
      </c>
      <c r="G755" s="24">
        <v>180632.85</v>
      </c>
      <c r="H755" s="24">
        <v>163201.78</v>
      </c>
      <c r="I755" s="3">
        <v>45870</v>
      </c>
      <c r="J755" s="102">
        <v>45873</v>
      </c>
      <c r="K755" s="12">
        <v>45876</v>
      </c>
      <c r="L755" s="19" t="s">
        <v>731</v>
      </c>
      <c r="M755" s="36">
        <v>0</v>
      </c>
      <c r="N755"/>
      <c r="O755" t="s">
        <v>199</v>
      </c>
      <c r="P755" t="s">
        <v>328</v>
      </c>
      <c r="Q755" t="s">
        <v>203</v>
      </c>
    </row>
    <row r="756" spans="1:17" x14ac:dyDescent="0.3">
      <c r="A756" s="9">
        <v>1298</v>
      </c>
      <c r="B756" t="s">
        <v>84</v>
      </c>
      <c r="C756" t="s">
        <v>36</v>
      </c>
      <c r="D756" t="s">
        <v>418</v>
      </c>
      <c r="E756" s="121">
        <v>1273</v>
      </c>
      <c r="F756" s="13">
        <v>45836</v>
      </c>
      <c r="G756" s="24">
        <v>275594.28999999998</v>
      </c>
      <c r="H756" s="24">
        <v>258645.25</v>
      </c>
      <c r="I756" s="3">
        <v>45854</v>
      </c>
      <c r="J756" s="102">
        <v>45859</v>
      </c>
      <c r="K756" s="12">
        <v>45863</v>
      </c>
      <c r="L756" s="19" t="s">
        <v>731</v>
      </c>
      <c r="M756" s="35">
        <v>0</v>
      </c>
      <c r="N756"/>
      <c r="O756" t="s">
        <v>202</v>
      </c>
      <c r="P756" t="s">
        <v>340</v>
      </c>
      <c r="Q756" t="s">
        <v>207</v>
      </c>
    </row>
    <row r="757" spans="1:17" x14ac:dyDescent="0.3">
      <c r="A757" s="9">
        <v>1289</v>
      </c>
      <c r="B757" t="s">
        <v>204</v>
      </c>
      <c r="C757" t="s">
        <v>32</v>
      </c>
      <c r="D757" t="s">
        <v>408</v>
      </c>
      <c r="E757" s="121">
        <v>8401</v>
      </c>
      <c r="F757" s="13">
        <v>45836</v>
      </c>
      <c r="G757" s="24">
        <v>257289.7</v>
      </c>
      <c r="H757" s="11">
        <v>239794</v>
      </c>
      <c r="I757" s="3">
        <v>45839</v>
      </c>
      <c r="J757" s="102">
        <v>45852</v>
      </c>
      <c r="K757" s="12">
        <v>45853</v>
      </c>
      <c r="L757" s="19" t="s">
        <v>731</v>
      </c>
      <c r="M757" s="35"/>
      <c r="N757"/>
      <c r="O757" t="s">
        <v>202</v>
      </c>
      <c r="P757" t="s">
        <v>340</v>
      </c>
      <c r="Q757" t="s">
        <v>217</v>
      </c>
    </row>
    <row r="758" spans="1:17" x14ac:dyDescent="0.3">
      <c r="A758" s="25">
        <v>1288</v>
      </c>
      <c r="B758" t="s">
        <v>204</v>
      </c>
      <c r="C758" t="s">
        <v>32</v>
      </c>
      <c r="D758" t="s">
        <v>407</v>
      </c>
      <c r="E758" s="121">
        <v>8409</v>
      </c>
      <c r="F758" s="13">
        <v>45836</v>
      </c>
      <c r="G758" s="24">
        <v>393626.28</v>
      </c>
      <c r="H758" s="24">
        <v>366859.69</v>
      </c>
      <c r="I758" s="3">
        <v>45842</v>
      </c>
      <c r="J758" s="102">
        <v>45852</v>
      </c>
      <c r="K758" s="12">
        <v>45853</v>
      </c>
      <c r="L758" s="19" t="s">
        <v>731</v>
      </c>
      <c r="M758" s="36"/>
      <c r="N758"/>
      <c r="O758" t="s">
        <v>199</v>
      </c>
      <c r="P758" t="s">
        <v>340</v>
      </c>
      <c r="Q758" t="s">
        <v>217</v>
      </c>
    </row>
    <row r="759" spans="1:17" x14ac:dyDescent="0.3">
      <c r="A759" s="9">
        <v>1271</v>
      </c>
      <c r="B759" t="s">
        <v>204</v>
      </c>
      <c r="C759" t="s">
        <v>32</v>
      </c>
      <c r="D759" t="s">
        <v>387</v>
      </c>
      <c r="E759" s="121">
        <v>8415</v>
      </c>
      <c r="F759" s="13">
        <v>45836</v>
      </c>
      <c r="G759" s="24">
        <v>255597.54</v>
      </c>
      <c r="H759" s="11">
        <v>238216.91</v>
      </c>
      <c r="I759" s="3">
        <v>45846</v>
      </c>
      <c r="J759" s="102">
        <v>45852</v>
      </c>
      <c r="K759" s="12">
        <v>45853</v>
      </c>
      <c r="L759" s="19" t="s">
        <v>731</v>
      </c>
      <c r="M759" s="35">
        <v>0</v>
      </c>
      <c r="N759"/>
      <c r="O759" t="s">
        <v>202</v>
      </c>
      <c r="P759" t="s">
        <v>340</v>
      </c>
      <c r="Q759" t="s">
        <v>217</v>
      </c>
    </row>
    <row r="760" spans="1:17" x14ac:dyDescent="0.3">
      <c r="A760" s="9">
        <v>1299</v>
      </c>
      <c r="B760" t="s">
        <v>204</v>
      </c>
      <c r="C760" t="s">
        <v>32</v>
      </c>
      <c r="D760" t="s">
        <v>419</v>
      </c>
      <c r="E760" s="121">
        <v>8408</v>
      </c>
      <c r="F760" s="13">
        <v>45836</v>
      </c>
      <c r="G760" s="24">
        <v>1020096</v>
      </c>
      <c r="H760" s="11">
        <v>950729.47</v>
      </c>
      <c r="I760" s="3">
        <v>45842</v>
      </c>
      <c r="J760" s="102">
        <v>45852</v>
      </c>
      <c r="K760" s="12">
        <v>45856</v>
      </c>
      <c r="L760" s="19" t="s">
        <v>731</v>
      </c>
      <c r="M760" s="55">
        <v>0</v>
      </c>
      <c r="N760" s="15"/>
      <c r="O760" t="s">
        <v>199</v>
      </c>
      <c r="P760" t="s">
        <v>340</v>
      </c>
      <c r="Q760" t="s">
        <v>217</v>
      </c>
    </row>
    <row r="761" spans="1:17" x14ac:dyDescent="0.3">
      <c r="A761" s="9">
        <v>1394</v>
      </c>
      <c r="B761" t="s">
        <v>210</v>
      </c>
      <c r="C761" t="s">
        <v>38</v>
      </c>
      <c r="D761" t="s">
        <v>523</v>
      </c>
      <c r="E761" s="121">
        <v>8412</v>
      </c>
      <c r="F761" s="53">
        <v>45836</v>
      </c>
      <c r="G761" s="24">
        <v>76253.39</v>
      </c>
      <c r="H761" s="24">
        <v>71068.160000000003</v>
      </c>
      <c r="I761" s="3">
        <v>45845</v>
      </c>
      <c r="J761" s="102">
        <v>45859</v>
      </c>
      <c r="K761" s="5">
        <v>45859</v>
      </c>
      <c r="L761" s="22" t="s">
        <v>731</v>
      </c>
      <c r="M761" s="56">
        <v>0</v>
      </c>
      <c r="N761" s="15"/>
      <c r="O761" t="s">
        <v>202</v>
      </c>
      <c r="P761" t="s">
        <v>340</v>
      </c>
      <c r="Q761" t="s">
        <v>213</v>
      </c>
    </row>
    <row r="762" spans="1:17" x14ac:dyDescent="0.3">
      <c r="A762" s="9">
        <v>1394</v>
      </c>
      <c r="B762" t="s">
        <v>210</v>
      </c>
      <c r="C762" t="s">
        <v>38</v>
      </c>
      <c r="D762" t="s">
        <v>523</v>
      </c>
      <c r="E762" s="121">
        <v>8416</v>
      </c>
      <c r="F762" s="53">
        <v>45836</v>
      </c>
      <c r="G762" s="24">
        <v>117291.83</v>
      </c>
      <c r="H762" s="24">
        <v>109315.98</v>
      </c>
      <c r="I762" s="3">
        <v>45846</v>
      </c>
      <c r="J762" s="102">
        <v>45859</v>
      </c>
      <c r="K762" s="5">
        <v>45859</v>
      </c>
      <c r="L762" s="22" t="s">
        <v>731</v>
      </c>
      <c r="M762" s="56">
        <v>0</v>
      </c>
      <c r="N762" s="15"/>
      <c r="O762" t="s">
        <v>202</v>
      </c>
      <c r="P762" t="s">
        <v>340</v>
      </c>
      <c r="Q762" t="s">
        <v>213</v>
      </c>
    </row>
    <row r="763" spans="1:17" x14ac:dyDescent="0.3">
      <c r="A763" s="9">
        <v>1394</v>
      </c>
      <c r="B763" t="s">
        <v>210</v>
      </c>
      <c r="C763" t="s">
        <v>38</v>
      </c>
      <c r="D763" t="s">
        <v>523</v>
      </c>
      <c r="E763" s="121">
        <v>8429</v>
      </c>
      <c r="F763" s="53">
        <v>45836</v>
      </c>
      <c r="G763" s="24">
        <v>151907.14000000001</v>
      </c>
      <c r="H763" s="24">
        <v>141577.46</v>
      </c>
      <c r="I763" s="3">
        <v>45854</v>
      </c>
      <c r="J763" s="102">
        <v>45866</v>
      </c>
      <c r="K763" s="5">
        <v>45866</v>
      </c>
      <c r="L763" s="22" t="s">
        <v>731</v>
      </c>
      <c r="M763" s="56">
        <v>0</v>
      </c>
      <c r="N763" s="15"/>
      <c r="O763" t="s">
        <v>202</v>
      </c>
      <c r="P763" t="s">
        <v>340</v>
      </c>
      <c r="Q763" t="s">
        <v>213</v>
      </c>
    </row>
    <row r="764" spans="1:17" x14ac:dyDescent="0.3">
      <c r="A764" s="9">
        <v>1394</v>
      </c>
      <c r="B764" t="s">
        <v>210</v>
      </c>
      <c r="C764" t="s">
        <v>38</v>
      </c>
      <c r="D764" t="s">
        <v>523</v>
      </c>
      <c r="E764" s="121">
        <v>8430</v>
      </c>
      <c r="F764" s="53">
        <v>45836</v>
      </c>
      <c r="G764" s="24">
        <v>133850.94</v>
      </c>
      <c r="H764" s="24">
        <v>124749.07</v>
      </c>
      <c r="I764" s="3">
        <v>45854</v>
      </c>
      <c r="J764" s="102">
        <v>45866</v>
      </c>
      <c r="K764" s="5">
        <v>45867</v>
      </c>
      <c r="L764" s="1" t="s">
        <v>731</v>
      </c>
      <c r="M764" s="56">
        <v>0</v>
      </c>
      <c r="N764" s="15"/>
      <c r="O764" t="s">
        <v>202</v>
      </c>
      <c r="P764" t="s">
        <v>340</v>
      </c>
      <c r="Q764" t="s">
        <v>213</v>
      </c>
    </row>
    <row r="765" spans="1:17" x14ac:dyDescent="0.3">
      <c r="A765" s="9">
        <v>1394</v>
      </c>
      <c r="B765" t="s">
        <v>210</v>
      </c>
      <c r="C765" t="s">
        <v>38</v>
      </c>
      <c r="D765" t="s">
        <v>523</v>
      </c>
      <c r="E765" s="121">
        <v>8431</v>
      </c>
      <c r="F765" s="53">
        <v>45836</v>
      </c>
      <c r="G765" s="24">
        <v>297806.21999999997</v>
      </c>
      <c r="H765" s="24">
        <v>277555.40000000002</v>
      </c>
      <c r="I765" s="3">
        <v>45855</v>
      </c>
      <c r="J765" s="102">
        <v>45866</v>
      </c>
      <c r="K765" s="29">
        <v>45869</v>
      </c>
      <c r="L765" s="37" t="s">
        <v>731</v>
      </c>
      <c r="M765" s="56">
        <v>0</v>
      </c>
      <c r="N765" s="15"/>
      <c r="O765" t="s">
        <v>202</v>
      </c>
      <c r="P765" t="s">
        <v>340</v>
      </c>
      <c r="Q765" t="s">
        <v>213</v>
      </c>
    </row>
    <row r="766" spans="1:17" x14ac:dyDescent="0.3">
      <c r="A766" s="9">
        <v>1394</v>
      </c>
      <c r="B766" t="s">
        <v>210</v>
      </c>
      <c r="C766" t="s">
        <v>38</v>
      </c>
      <c r="D766" t="s">
        <v>523</v>
      </c>
      <c r="E766" s="121">
        <v>8432</v>
      </c>
      <c r="F766" s="53">
        <v>45836</v>
      </c>
      <c r="G766" s="24">
        <v>89335</v>
      </c>
      <c r="H766" s="24">
        <v>83260.22</v>
      </c>
      <c r="I766" s="3">
        <v>45855</v>
      </c>
      <c r="J766" s="102">
        <v>45866</v>
      </c>
      <c r="K766" s="29">
        <v>45869</v>
      </c>
      <c r="L766" s="37" t="s">
        <v>731</v>
      </c>
      <c r="M766" s="56">
        <v>0</v>
      </c>
      <c r="N766" s="15"/>
      <c r="O766" t="s">
        <v>202</v>
      </c>
      <c r="P766" t="s">
        <v>340</v>
      </c>
      <c r="Q766" t="s">
        <v>213</v>
      </c>
    </row>
    <row r="767" spans="1:17" x14ac:dyDescent="0.3">
      <c r="A767" s="9">
        <v>1394</v>
      </c>
      <c r="B767" t="s">
        <v>210</v>
      </c>
      <c r="C767" t="s">
        <v>38</v>
      </c>
      <c r="D767" t="s">
        <v>523</v>
      </c>
      <c r="E767" s="121">
        <v>8435</v>
      </c>
      <c r="F767" s="53">
        <v>45836</v>
      </c>
      <c r="G767" s="24">
        <v>18317.38</v>
      </c>
      <c r="H767" s="24">
        <v>17071.8</v>
      </c>
      <c r="I767" s="3">
        <v>45856</v>
      </c>
      <c r="J767" s="102">
        <v>45866</v>
      </c>
      <c r="K767" s="29">
        <v>45869</v>
      </c>
      <c r="L767" s="37" t="s">
        <v>731</v>
      </c>
      <c r="M767" s="56">
        <v>0</v>
      </c>
      <c r="N767" s="15"/>
      <c r="O767" t="s">
        <v>202</v>
      </c>
      <c r="P767" t="s">
        <v>340</v>
      </c>
      <c r="Q767" t="s">
        <v>213</v>
      </c>
    </row>
    <row r="768" spans="1:17" x14ac:dyDescent="0.3">
      <c r="A768" s="9">
        <v>1394</v>
      </c>
      <c r="B768" t="s">
        <v>210</v>
      </c>
      <c r="C768" t="s">
        <v>38</v>
      </c>
      <c r="D768" t="s">
        <v>523</v>
      </c>
      <c r="E768" s="121">
        <v>8437</v>
      </c>
      <c r="F768" s="53">
        <v>45836</v>
      </c>
      <c r="G768" s="24">
        <v>226733.58</v>
      </c>
      <c r="H768" s="24">
        <v>211315.7</v>
      </c>
      <c r="I768" s="3">
        <v>45859</v>
      </c>
      <c r="J768" s="102">
        <v>45866</v>
      </c>
      <c r="K768" s="29">
        <v>45869</v>
      </c>
      <c r="L768" s="37" t="s">
        <v>731</v>
      </c>
      <c r="M768" s="56">
        <v>0</v>
      </c>
      <c r="N768" s="15"/>
      <c r="O768" t="s">
        <v>202</v>
      </c>
      <c r="P768" t="s">
        <v>340</v>
      </c>
      <c r="Q768" t="s">
        <v>213</v>
      </c>
    </row>
    <row r="769" spans="1:17" x14ac:dyDescent="0.3">
      <c r="A769" s="9">
        <v>1394</v>
      </c>
      <c r="B769" t="s">
        <v>210</v>
      </c>
      <c r="C769" t="s">
        <v>38</v>
      </c>
      <c r="D769" t="s">
        <v>523</v>
      </c>
      <c r="E769" s="121">
        <v>8628</v>
      </c>
      <c r="F769" s="13">
        <v>45958</v>
      </c>
      <c r="G769" s="24">
        <v>27680.2</v>
      </c>
      <c r="H769" s="24">
        <v>25797.95</v>
      </c>
      <c r="I769" s="3">
        <v>45986</v>
      </c>
      <c r="J769" s="102">
        <v>45992</v>
      </c>
      <c r="K769" s="5">
        <v>45994</v>
      </c>
      <c r="L769" s="22" t="s">
        <v>731</v>
      </c>
      <c r="M769" s="56">
        <v>0</v>
      </c>
      <c r="N769" s="15"/>
      <c r="O769" t="s">
        <v>202</v>
      </c>
      <c r="P769" t="s">
        <v>340</v>
      </c>
      <c r="Q769" t="s">
        <v>213</v>
      </c>
    </row>
    <row r="770" spans="1:17" x14ac:dyDescent="0.3">
      <c r="A770" s="9">
        <v>1394</v>
      </c>
      <c r="B770" t="s">
        <v>210</v>
      </c>
      <c r="C770" t="s">
        <v>38</v>
      </c>
      <c r="D770" t="s">
        <v>523</v>
      </c>
      <c r="E770" s="121">
        <v>8630</v>
      </c>
      <c r="F770" s="13">
        <v>45958</v>
      </c>
      <c r="G770" s="24">
        <v>37439.58</v>
      </c>
      <c r="H770" s="24">
        <v>34893.69</v>
      </c>
      <c r="I770" s="3">
        <v>45986</v>
      </c>
      <c r="J770" s="102">
        <v>45992</v>
      </c>
      <c r="K770" s="5">
        <v>45994</v>
      </c>
      <c r="L770" s="22" t="s">
        <v>731</v>
      </c>
      <c r="M770" s="56">
        <v>0</v>
      </c>
      <c r="N770" s="15"/>
      <c r="O770" t="s">
        <v>202</v>
      </c>
      <c r="P770" t="s">
        <v>340</v>
      </c>
      <c r="Q770" t="s">
        <v>213</v>
      </c>
    </row>
    <row r="771" spans="1:17" x14ac:dyDescent="0.3">
      <c r="A771" s="25">
        <v>1500</v>
      </c>
      <c r="B771" t="s">
        <v>71</v>
      </c>
      <c r="C771" t="s">
        <v>44</v>
      </c>
      <c r="D771" t="s">
        <v>651</v>
      </c>
      <c r="E771" s="121">
        <v>4094</v>
      </c>
      <c r="F771" s="13">
        <v>45836</v>
      </c>
      <c r="G771" s="24">
        <v>75100.77</v>
      </c>
      <c r="H771" s="24">
        <v>70482.070000000007</v>
      </c>
      <c r="I771" s="3">
        <v>45817</v>
      </c>
      <c r="J771" s="102">
        <v>45831</v>
      </c>
      <c r="K771" s="12">
        <v>45833</v>
      </c>
      <c r="L771" s="19" t="s">
        <v>731</v>
      </c>
      <c r="M771" s="36"/>
      <c r="N771"/>
      <c r="O771" t="s">
        <v>201</v>
      </c>
      <c r="P771" t="s">
        <v>376</v>
      </c>
      <c r="Q771" t="s">
        <v>203</v>
      </c>
    </row>
    <row r="772" spans="1:17" x14ac:dyDescent="0.3">
      <c r="A772" s="25">
        <v>1360</v>
      </c>
      <c r="B772" t="s">
        <v>71</v>
      </c>
      <c r="C772" t="s">
        <v>44</v>
      </c>
      <c r="D772" t="s">
        <v>483</v>
      </c>
      <c r="E772" s="121">
        <v>4086</v>
      </c>
      <c r="F772" s="13">
        <v>45836</v>
      </c>
      <c r="G772" s="24">
        <v>51239.199999999997</v>
      </c>
      <c r="H772" s="27">
        <v>48087.99</v>
      </c>
      <c r="I772" s="3">
        <v>45814</v>
      </c>
      <c r="J772" s="102">
        <v>45831</v>
      </c>
      <c r="K772" s="12">
        <v>45833</v>
      </c>
      <c r="L772" s="19" t="s">
        <v>731</v>
      </c>
      <c r="M772" s="36"/>
      <c r="N772"/>
      <c r="O772" t="s">
        <v>199</v>
      </c>
      <c r="P772" t="s">
        <v>376</v>
      </c>
      <c r="Q772" t="s">
        <v>203</v>
      </c>
    </row>
    <row r="773" spans="1:17" x14ac:dyDescent="0.3">
      <c r="A773" s="25">
        <v>1360</v>
      </c>
      <c r="B773" t="s">
        <v>71</v>
      </c>
      <c r="C773" t="s">
        <v>44</v>
      </c>
      <c r="D773" t="s">
        <v>483</v>
      </c>
      <c r="E773" s="121">
        <v>4087</v>
      </c>
      <c r="F773" s="13">
        <v>45836</v>
      </c>
      <c r="G773" s="24">
        <v>79277.759999999995</v>
      </c>
      <c r="H773" s="27">
        <v>74402.17</v>
      </c>
      <c r="I773" s="3">
        <v>45814</v>
      </c>
      <c r="J773" s="102">
        <v>45831</v>
      </c>
      <c r="K773" s="12">
        <v>45833</v>
      </c>
      <c r="L773" s="19" t="s">
        <v>731</v>
      </c>
      <c r="M773" s="36"/>
      <c r="N773"/>
      <c r="O773" t="s">
        <v>199</v>
      </c>
      <c r="P773" t="s">
        <v>376</v>
      </c>
      <c r="Q773" t="s">
        <v>203</v>
      </c>
    </row>
    <row r="774" spans="1:17" x14ac:dyDescent="0.3">
      <c r="A774" s="25">
        <v>1360</v>
      </c>
      <c r="B774" t="s">
        <v>71</v>
      </c>
      <c r="C774" t="s">
        <v>44</v>
      </c>
      <c r="D774" t="s">
        <v>483</v>
      </c>
      <c r="E774" s="121">
        <v>4088</v>
      </c>
      <c r="F774" s="13">
        <v>45836</v>
      </c>
      <c r="G774" s="24">
        <v>133200.07999999999</v>
      </c>
      <c r="H774" s="27">
        <v>125008.28</v>
      </c>
      <c r="I774" s="3">
        <v>45814</v>
      </c>
      <c r="J774" s="102">
        <v>45831</v>
      </c>
      <c r="K774" s="12">
        <v>45833</v>
      </c>
      <c r="L774" s="19" t="s">
        <v>731</v>
      </c>
      <c r="M774" s="36"/>
      <c r="N774"/>
      <c r="O774" t="s">
        <v>199</v>
      </c>
      <c r="P774" t="s">
        <v>376</v>
      </c>
      <c r="Q774" t="s">
        <v>203</v>
      </c>
    </row>
    <row r="775" spans="1:17" x14ac:dyDescent="0.3">
      <c r="A775" s="25">
        <v>1360</v>
      </c>
      <c r="B775" t="s">
        <v>71</v>
      </c>
      <c r="C775" t="s">
        <v>44</v>
      </c>
      <c r="D775" t="s">
        <v>483</v>
      </c>
      <c r="E775" s="121">
        <v>4091</v>
      </c>
      <c r="F775" s="13">
        <v>45836</v>
      </c>
      <c r="G775" s="24">
        <v>24912.799999999999</v>
      </c>
      <c r="H775" s="27">
        <v>23380.67</v>
      </c>
      <c r="I775" s="3">
        <v>45814</v>
      </c>
      <c r="J775" s="102">
        <v>45831</v>
      </c>
      <c r="K775" s="12">
        <v>45833</v>
      </c>
      <c r="L775" s="19" t="s">
        <v>731</v>
      </c>
      <c r="M775" s="36"/>
      <c r="N775"/>
      <c r="O775" t="s">
        <v>199</v>
      </c>
      <c r="P775" t="s">
        <v>376</v>
      </c>
      <c r="Q775" t="s">
        <v>203</v>
      </c>
    </row>
    <row r="776" spans="1:17" x14ac:dyDescent="0.3">
      <c r="A776" s="25">
        <v>1360</v>
      </c>
      <c r="B776" t="s">
        <v>71</v>
      </c>
      <c r="C776" t="s">
        <v>44</v>
      </c>
      <c r="D776" t="s">
        <v>483</v>
      </c>
      <c r="E776" s="121">
        <v>4093</v>
      </c>
      <c r="F776" s="13">
        <v>45836</v>
      </c>
      <c r="G776" s="24">
        <v>27668.48</v>
      </c>
      <c r="H776" s="24">
        <v>27668.48</v>
      </c>
      <c r="I776" s="3">
        <v>45817</v>
      </c>
      <c r="J776" s="102">
        <v>45831</v>
      </c>
      <c r="K776" s="12">
        <v>45833</v>
      </c>
      <c r="L776" s="19" t="s">
        <v>731</v>
      </c>
      <c r="M776" s="36"/>
      <c r="N776"/>
      <c r="O776" t="s">
        <v>199</v>
      </c>
      <c r="P776" t="s">
        <v>376</v>
      </c>
      <c r="Q776" t="s">
        <v>203</v>
      </c>
    </row>
    <row r="777" spans="1:17" x14ac:dyDescent="0.3">
      <c r="A777" s="25">
        <v>1360</v>
      </c>
      <c r="B777" t="s">
        <v>71</v>
      </c>
      <c r="C777" t="s">
        <v>44</v>
      </c>
      <c r="D777" t="s">
        <v>483</v>
      </c>
      <c r="E777" s="121">
        <v>4095</v>
      </c>
      <c r="F777" s="13">
        <v>45836</v>
      </c>
      <c r="G777" s="24">
        <v>137533.72</v>
      </c>
      <c r="H777" s="27">
        <v>129075.39</v>
      </c>
      <c r="I777" s="3">
        <v>45817</v>
      </c>
      <c r="J777" s="102">
        <v>45831</v>
      </c>
      <c r="K777" s="12">
        <v>45833</v>
      </c>
      <c r="L777" s="19" t="s">
        <v>731</v>
      </c>
      <c r="M777" s="36"/>
      <c r="N777"/>
      <c r="O777" t="s">
        <v>199</v>
      </c>
      <c r="P777" t="s">
        <v>376</v>
      </c>
      <c r="Q777" t="s">
        <v>203</v>
      </c>
    </row>
    <row r="778" spans="1:17" x14ac:dyDescent="0.3">
      <c r="A778" s="25">
        <v>1360</v>
      </c>
      <c r="B778" t="s">
        <v>71</v>
      </c>
      <c r="C778" t="s">
        <v>44</v>
      </c>
      <c r="D778" t="s">
        <v>483</v>
      </c>
      <c r="E778" s="121">
        <v>4096</v>
      </c>
      <c r="F778" s="13">
        <v>45836</v>
      </c>
      <c r="G778" s="24">
        <v>68834.720000000001</v>
      </c>
      <c r="H778" s="24">
        <v>64601.38</v>
      </c>
      <c r="I778" s="3">
        <v>45817</v>
      </c>
      <c r="J778" s="102">
        <v>45831</v>
      </c>
      <c r="K778" s="12">
        <v>45833</v>
      </c>
      <c r="L778" s="19" t="s">
        <v>731</v>
      </c>
      <c r="M778" s="36"/>
      <c r="N778"/>
      <c r="O778" t="s">
        <v>199</v>
      </c>
      <c r="P778" t="s">
        <v>376</v>
      </c>
      <c r="Q778" t="s">
        <v>203</v>
      </c>
    </row>
    <row r="779" spans="1:17" x14ac:dyDescent="0.3">
      <c r="A779" s="25">
        <v>1360</v>
      </c>
      <c r="B779" t="s">
        <v>71</v>
      </c>
      <c r="C779" t="s">
        <v>44</v>
      </c>
      <c r="D779" t="s">
        <v>483</v>
      </c>
      <c r="E779" s="121">
        <v>4097</v>
      </c>
      <c r="F779" s="13">
        <v>45836</v>
      </c>
      <c r="G779" s="24">
        <v>62418.8</v>
      </c>
      <c r="H779" s="27">
        <v>58580.05</v>
      </c>
      <c r="I779" s="3">
        <v>45817</v>
      </c>
      <c r="J779" s="102">
        <v>45831</v>
      </c>
      <c r="K779" s="12">
        <v>45833</v>
      </c>
      <c r="L779" s="19" t="s">
        <v>731</v>
      </c>
      <c r="M779" s="36"/>
      <c r="N779"/>
      <c r="O779" t="s">
        <v>199</v>
      </c>
      <c r="P779" t="s">
        <v>376</v>
      </c>
      <c r="Q779" t="s">
        <v>203</v>
      </c>
    </row>
    <row r="780" spans="1:17" x14ac:dyDescent="0.3">
      <c r="A780" s="25">
        <v>1360</v>
      </c>
      <c r="B780" t="s">
        <v>71</v>
      </c>
      <c r="C780" t="s">
        <v>44</v>
      </c>
      <c r="D780" t="s">
        <v>483</v>
      </c>
      <c r="E780" s="121">
        <v>4098</v>
      </c>
      <c r="F780" s="13">
        <v>45836</v>
      </c>
      <c r="G780" s="24">
        <v>29336</v>
      </c>
      <c r="H780" s="27">
        <v>27531.84</v>
      </c>
      <c r="I780" s="3">
        <v>45817</v>
      </c>
      <c r="J780" s="102">
        <v>45831</v>
      </c>
      <c r="K780" s="12">
        <v>45833</v>
      </c>
      <c r="L780" s="19" t="s">
        <v>731</v>
      </c>
      <c r="M780" s="36"/>
      <c r="N780"/>
      <c r="O780" t="s">
        <v>199</v>
      </c>
      <c r="P780" t="s">
        <v>376</v>
      </c>
      <c r="Q780" t="s">
        <v>203</v>
      </c>
    </row>
    <row r="781" spans="1:17" x14ac:dyDescent="0.3">
      <c r="A781" s="25">
        <v>1360</v>
      </c>
      <c r="B781" t="s">
        <v>71</v>
      </c>
      <c r="C781" t="s">
        <v>44</v>
      </c>
      <c r="D781" t="s">
        <v>483</v>
      </c>
      <c r="E781" s="121">
        <v>4104</v>
      </c>
      <c r="F781" s="13">
        <v>45836</v>
      </c>
      <c r="G781" s="24">
        <v>95620.4</v>
      </c>
      <c r="H781" s="27">
        <v>89739.75</v>
      </c>
      <c r="I781" s="3">
        <v>45817</v>
      </c>
      <c r="J781" s="102">
        <v>45831</v>
      </c>
      <c r="K781" s="12">
        <v>45833</v>
      </c>
      <c r="L781" s="19" t="s">
        <v>731</v>
      </c>
      <c r="M781" s="36"/>
      <c r="N781"/>
      <c r="O781" t="s">
        <v>199</v>
      </c>
      <c r="P781" t="s">
        <v>376</v>
      </c>
      <c r="Q781" t="s">
        <v>203</v>
      </c>
    </row>
    <row r="782" spans="1:17" x14ac:dyDescent="0.3">
      <c r="A782" s="25">
        <v>1360</v>
      </c>
      <c r="B782" t="s">
        <v>71</v>
      </c>
      <c r="C782" t="s">
        <v>44</v>
      </c>
      <c r="D782" t="s">
        <v>483</v>
      </c>
      <c r="E782" s="121">
        <v>4110</v>
      </c>
      <c r="F782" s="13">
        <v>45836</v>
      </c>
      <c r="G782" s="24">
        <v>18684.8</v>
      </c>
      <c r="H782" s="27">
        <v>17535.689999999999</v>
      </c>
      <c r="I782" s="3">
        <v>45818</v>
      </c>
      <c r="J782" s="102">
        <v>45831</v>
      </c>
      <c r="K782" s="12">
        <v>45833</v>
      </c>
      <c r="L782" s="19" t="s">
        <v>731</v>
      </c>
      <c r="M782" s="36"/>
      <c r="N782"/>
      <c r="O782" t="s">
        <v>199</v>
      </c>
      <c r="P782" t="s">
        <v>376</v>
      </c>
      <c r="Q782" t="s">
        <v>203</v>
      </c>
    </row>
    <row r="783" spans="1:17" x14ac:dyDescent="0.3">
      <c r="A783" s="25">
        <v>1360</v>
      </c>
      <c r="B783" t="s">
        <v>71</v>
      </c>
      <c r="C783" t="s">
        <v>44</v>
      </c>
      <c r="D783" t="s">
        <v>483</v>
      </c>
      <c r="E783" s="121">
        <v>4128</v>
      </c>
      <c r="F783" s="13">
        <v>45836</v>
      </c>
      <c r="G783" s="24">
        <v>90756.160000000003</v>
      </c>
      <c r="H783" s="27">
        <v>85174.66</v>
      </c>
      <c r="I783" s="3">
        <v>45820</v>
      </c>
      <c r="J783" s="102">
        <v>45831</v>
      </c>
      <c r="K783" s="12">
        <v>45833</v>
      </c>
      <c r="L783" s="19" t="s">
        <v>731</v>
      </c>
      <c r="M783" s="36"/>
      <c r="N783"/>
      <c r="O783" t="s">
        <v>199</v>
      </c>
      <c r="P783" t="s">
        <v>376</v>
      </c>
      <c r="Q783" t="s">
        <v>203</v>
      </c>
    </row>
    <row r="784" spans="1:17" x14ac:dyDescent="0.3">
      <c r="A784" s="25">
        <v>1360</v>
      </c>
      <c r="B784" t="s">
        <v>71</v>
      </c>
      <c r="C784" t="s">
        <v>44</v>
      </c>
      <c r="D784" t="s">
        <v>483</v>
      </c>
      <c r="E784" s="121">
        <v>4144</v>
      </c>
      <c r="F784" s="13">
        <v>45836</v>
      </c>
      <c r="G784" s="24">
        <v>35501.120000000003</v>
      </c>
      <c r="H784" s="27">
        <v>33317.800000000003</v>
      </c>
      <c r="I784" s="3">
        <v>45833</v>
      </c>
      <c r="J784" s="102">
        <v>45859</v>
      </c>
      <c r="K784" s="12">
        <v>45863</v>
      </c>
      <c r="L784" s="19" t="s">
        <v>731</v>
      </c>
      <c r="M784" s="36"/>
      <c r="N784"/>
      <c r="O784" t="s">
        <v>199</v>
      </c>
      <c r="P784" t="s">
        <v>376</v>
      </c>
      <c r="Q784" t="s">
        <v>203</v>
      </c>
    </row>
    <row r="785" spans="1:17" x14ac:dyDescent="0.3">
      <c r="A785" s="9">
        <v>1298</v>
      </c>
      <c r="B785" t="s">
        <v>84</v>
      </c>
      <c r="C785" t="s">
        <v>36</v>
      </c>
      <c r="D785" t="s">
        <v>418</v>
      </c>
      <c r="E785" s="117">
        <v>1316</v>
      </c>
      <c r="F785" s="13">
        <v>45989</v>
      </c>
      <c r="G785" s="24">
        <v>294000.96000000002</v>
      </c>
      <c r="H785" s="27">
        <v>275919.90000000002</v>
      </c>
      <c r="I785" s="3">
        <v>45994</v>
      </c>
      <c r="J785" s="102">
        <v>46006</v>
      </c>
      <c r="K785" s="12">
        <v>46010</v>
      </c>
      <c r="L785" s="19" t="s">
        <v>731</v>
      </c>
      <c r="M785" s="35">
        <v>0</v>
      </c>
      <c r="N785"/>
      <c r="O785" t="s">
        <v>202</v>
      </c>
      <c r="P785" t="s">
        <v>340</v>
      </c>
      <c r="Q785" t="s">
        <v>207</v>
      </c>
    </row>
    <row r="786" spans="1:17" x14ac:dyDescent="0.3">
      <c r="A786" s="25">
        <v>1387</v>
      </c>
      <c r="B786" t="s">
        <v>71</v>
      </c>
      <c r="C786" t="s">
        <v>44</v>
      </c>
      <c r="D786" t="s">
        <v>517</v>
      </c>
      <c r="E786" s="121">
        <v>4089</v>
      </c>
      <c r="F786" s="13">
        <v>45836</v>
      </c>
      <c r="G786" s="24">
        <v>38570</v>
      </c>
      <c r="H786" s="27">
        <v>36197.94</v>
      </c>
      <c r="I786" s="3">
        <v>45814</v>
      </c>
      <c r="J786" s="102">
        <v>45831</v>
      </c>
      <c r="K786" s="12">
        <v>45833</v>
      </c>
      <c r="L786" s="19" t="s">
        <v>731</v>
      </c>
      <c r="M786" s="36"/>
      <c r="N786"/>
      <c r="O786" t="s">
        <v>202</v>
      </c>
      <c r="P786" t="s">
        <v>376</v>
      </c>
      <c r="Q786" t="s">
        <v>203</v>
      </c>
    </row>
    <row r="787" spans="1:17" x14ac:dyDescent="0.3">
      <c r="A787" s="25">
        <v>1387</v>
      </c>
      <c r="B787" t="s">
        <v>71</v>
      </c>
      <c r="C787" t="s">
        <v>44</v>
      </c>
      <c r="D787" t="s">
        <v>517</v>
      </c>
      <c r="E787" s="121">
        <v>4090</v>
      </c>
      <c r="F787" s="13">
        <v>45836</v>
      </c>
      <c r="G787" s="24">
        <v>25686.48</v>
      </c>
      <c r="H787" s="27">
        <v>24106.77</v>
      </c>
      <c r="I787" s="3">
        <v>45814</v>
      </c>
      <c r="J787" s="102">
        <v>45831</v>
      </c>
      <c r="K787" s="12">
        <v>45833</v>
      </c>
      <c r="L787" s="19" t="s">
        <v>731</v>
      </c>
      <c r="M787" s="36"/>
      <c r="N787"/>
      <c r="O787" t="s">
        <v>202</v>
      </c>
      <c r="P787" t="s">
        <v>376</v>
      </c>
      <c r="Q787" t="s">
        <v>203</v>
      </c>
    </row>
    <row r="788" spans="1:17" x14ac:dyDescent="0.3">
      <c r="A788" s="25">
        <v>1387</v>
      </c>
      <c r="B788" t="s">
        <v>71</v>
      </c>
      <c r="C788" t="s">
        <v>44</v>
      </c>
      <c r="D788" t="s">
        <v>517</v>
      </c>
      <c r="E788" s="121">
        <v>4103</v>
      </c>
      <c r="F788" s="13">
        <v>45836</v>
      </c>
      <c r="G788" s="24">
        <v>76103.28</v>
      </c>
      <c r="H788" s="27">
        <v>71422.929999999993</v>
      </c>
      <c r="I788" s="3">
        <v>45817</v>
      </c>
      <c r="J788" s="102">
        <v>45831</v>
      </c>
      <c r="K788" s="12">
        <v>45833</v>
      </c>
      <c r="L788" s="19" t="s">
        <v>731</v>
      </c>
      <c r="M788" s="36"/>
      <c r="N788"/>
      <c r="O788" t="s">
        <v>202</v>
      </c>
      <c r="P788" t="s">
        <v>376</v>
      </c>
      <c r="Q788" t="s">
        <v>203</v>
      </c>
    </row>
    <row r="789" spans="1:17" x14ac:dyDescent="0.3">
      <c r="A789" s="25">
        <v>1387</v>
      </c>
      <c r="B789" t="s">
        <v>71</v>
      </c>
      <c r="C789" t="s">
        <v>44</v>
      </c>
      <c r="D789" t="s">
        <v>517</v>
      </c>
      <c r="E789" s="121">
        <v>4149</v>
      </c>
      <c r="F789" s="13">
        <v>45836</v>
      </c>
      <c r="G789" s="24">
        <v>8571.36</v>
      </c>
      <c r="H789" s="27">
        <v>8044.23</v>
      </c>
      <c r="I789" s="3">
        <v>45841</v>
      </c>
      <c r="J789" s="102">
        <v>45894</v>
      </c>
      <c r="K789" s="12">
        <v>45896</v>
      </c>
      <c r="L789" s="19" t="s">
        <v>731</v>
      </c>
      <c r="M789" s="36"/>
      <c r="N789"/>
      <c r="O789" t="s">
        <v>202</v>
      </c>
      <c r="P789" t="s">
        <v>376</v>
      </c>
      <c r="Q789" t="s">
        <v>203</v>
      </c>
    </row>
    <row r="790" spans="1:17" x14ac:dyDescent="0.3">
      <c r="A790" s="25">
        <v>1470</v>
      </c>
      <c r="B790" t="s">
        <v>212</v>
      </c>
      <c r="C790" t="s">
        <v>175</v>
      </c>
      <c r="D790" t="s">
        <v>620</v>
      </c>
      <c r="E790" s="121">
        <v>8425</v>
      </c>
      <c r="F790" s="13">
        <v>45836</v>
      </c>
      <c r="G790" s="24">
        <v>36700</v>
      </c>
      <c r="H790" s="24">
        <v>33708.949999999997</v>
      </c>
      <c r="I790" s="3">
        <v>45852</v>
      </c>
      <c r="J790" s="102">
        <v>45866</v>
      </c>
      <c r="K790" s="12">
        <v>45868</v>
      </c>
      <c r="L790" s="19" t="s">
        <v>731</v>
      </c>
      <c r="M790" s="36">
        <v>0</v>
      </c>
      <c r="N790" s="26"/>
      <c r="O790" t="s">
        <v>202</v>
      </c>
      <c r="P790" t="s">
        <v>328</v>
      </c>
      <c r="Q790" t="s">
        <v>213</v>
      </c>
    </row>
    <row r="791" spans="1:17" x14ac:dyDescent="0.3">
      <c r="A791" s="25">
        <v>1273</v>
      </c>
      <c r="B791" t="s">
        <v>204</v>
      </c>
      <c r="C791" t="s">
        <v>39</v>
      </c>
      <c r="D791" t="s">
        <v>389</v>
      </c>
      <c r="E791" s="121">
        <v>1278</v>
      </c>
      <c r="F791" s="13">
        <v>45836</v>
      </c>
      <c r="G791" s="24">
        <v>568914.26</v>
      </c>
      <c r="H791" s="24">
        <v>510316.09</v>
      </c>
      <c r="I791" s="3">
        <v>45859</v>
      </c>
      <c r="J791" s="102">
        <v>45880</v>
      </c>
      <c r="K791" s="12">
        <v>45884</v>
      </c>
      <c r="L791" s="19" t="s">
        <v>731</v>
      </c>
      <c r="M791" s="36">
        <v>0</v>
      </c>
      <c r="N791"/>
      <c r="O791" t="s">
        <v>202</v>
      </c>
      <c r="P791" t="s">
        <v>340</v>
      </c>
      <c r="Q791" t="s">
        <v>217</v>
      </c>
    </row>
    <row r="792" spans="1:17" x14ac:dyDescent="0.3">
      <c r="A792" s="9">
        <v>1277</v>
      </c>
      <c r="B792" t="s">
        <v>204</v>
      </c>
      <c r="C792" t="s">
        <v>39</v>
      </c>
      <c r="D792" t="s">
        <v>393</v>
      </c>
      <c r="E792" s="121">
        <v>1279</v>
      </c>
      <c r="F792" s="13">
        <v>45836</v>
      </c>
      <c r="G792" s="24">
        <v>154365.24</v>
      </c>
      <c r="H792" s="11">
        <v>138465.63</v>
      </c>
      <c r="I792" s="3">
        <v>45861</v>
      </c>
      <c r="J792" s="102">
        <v>45873</v>
      </c>
      <c r="K792" s="12">
        <v>45877</v>
      </c>
      <c r="L792" s="19" t="s">
        <v>731</v>
      </c>
      <c r="M792" s="35">
        <v>0</v>
      </c>
      <c r="N792"/>
      <c r="O792" t="s">
        <v>202</v>
      </c>
      <c r="P792" t="s">
        <v>340</v>
      </c>
      <c r="Q792" t="s">
        <v>217</v>
      </c>
    </row>
    <row r="793" spans="1:17" x14ac:dyDescent="0.3">
      <c r="A793" s="25">
        <v>1268</v>
      </c>
      <c r="B793" t="s">
        <v>193</v>
      </c>
      <c r="C793" t="s">
        <v>141</v>
      </c>
      <c r="D793" t="s">
        <v>383</v>
      </c>
      <c r="E793" s="121">
        <v>4077</v>
      </c>
      <c r="F793" s="13">
        <v>45836</v>
      </c>
      <c r="G793" s="24">
        <v>82737</v>
      </c>
      <c r="H793" s="24">
        <v>77648.679999999993</v>
      </c>
      <c r="I793" s="3">
        <v>45811</v>
      </c>
      <c r="J793" s="102">
        <v>45838</v>
      </c>
      <c r="K793" s="12">
        <v>45838</v>
      </c>
      <c r="L793" s="19" t="s">
        <v>731</v>
      </c>
      <c r="M793" s="36">
        <v>0</v>
      </c>
      <c r="N793"/>
      <c r="O793" t="s">
        <v>199</v>
      </c>
      <c r="P793" t="s">
        <v>376</v>
      </c>
      <c r="Q793" t="s">
        <v>207</v>
      </c>
    </row>
    <row r="794" spans="1:17" x14ac:dyDescent="0.3">
      <c r="A794" s="25">
        <v>1268</v>
      </c>
      <c r="B794" t="s">
        <v>193</v>
      </c>
      <c r="C794" t="s">
        <v>141</v>
      </c>
      <c r="D794" t="s">
        <v>383</v>
      </c>
      <c r="E794" s="121">
        <v>4154</v>
      </c>
      <c r="F794" s="13">
        <v>45836</v>
      </c>
      <c r="G794" s="24">
        <v>82737</v>
      </c>
      <c r="H794" s="24">
        <v>77648.679999999993</v>
      </c>
      <c r="I794" s="3">
        <v>45842</v>
      </c>
      <c r="J794" s="102">
        <v>45866</v>
      </c>
      <c r="K794" s="12">
        <v>45867</v>
      </c>
      <c r="L794" s="19" t="s">
        <v>731</v>
      </c>
      <c r="M794" s="36">
        <v>0</v>
      </c>
      <c r="N794"/>
      <c r="O794" t="s">
        <v>199</v>
      </c>
      <c r="P794" t="s">
        <v>376</v>
      </c>
      <c r="Q794" t="s">
        <v>207</v>
      </c>
    </row>
    <row r="795" spans="1:17" x14ac:dyDescent="0.3">
      <c r="A795" s="25">
        <v>1268</v>
      </c>
      <c r="B795" t="s">
        <v>193</v>
      </c>
      <c r="C795" t="s">
        <v>141</v>
      </c>
      <c r="D795" t="s">
        <v>383</v>
      </c>
      <c r="E795" s="121">
        <v>4155</v>
      </c>
      <c r="F795" s="13">
        <v>45836</v>
      </c>
      <c r="G795" s="24">
        <v>134712</v>
      </c>
      <c r="H795" s="24">
        <v>126427.21</v>
      </c>
      <c r="I795" s="3">
        <v>45845</v>
      </c>
      <c r="J795" s="102">
        <v>45859</v>
      </c>
      <c r="K795" s="12">
        <v>45862</v>
      </c>
      <c r="L795" s="19" t="s">
        <v>731</v>
      </c>
      <c r="M795" s="36">
        <v>0</v>
      </c>
      <c r="N795"/>
      <c r="O795" t="s">
        <v>199</v>
      </c>
      <c r="P795" t="s">
        <v>376</v>
      </c>
      <c r="Q795" t="s">
        <v>207</v>
      </c>
    </row>
    <row r="796" spans="1:17" x14ac:dyDescent="0.3">
      <c r="A796" s="25">
        <v>1268</v>
      </c>
      <c r="B796" t="s">
        <v>193</v>
      </c>
      <c r="C796" t="s">
        <v>141</v>
      </c>
      <c r="D796" t="s">
        <v>383</v>
      </c>
      <c r="E796" s="121">
        <v>4174</v>
      </c>
      <c r="F796" s="13">
        <v>45836</v>
      </c>
      <c r="G796" s="24">
        <v>40342.400000000001</v>
      </c>
      <c r="H796" s="24">
        <v>37861.339999999997</v>
      </c>
      <c r="I796" s="3">
        <v>45852</v>
      </c>
      <c r="J796" s="102">
        <v>45866</v>
      </c>
      <c r="K796" s="12">
        <v>45868</v>
      </c>
      <c r="L796" s="19" t="s">
        <v>731</v>
      </c>
      <c r="M796" s="36">
        <v>0</v>
      </c>
      <c r="N796"/>
      <c r="O796" t="s">
        <v>199</v>
      </c>
      <c r="P796" t="s">
        <v>376</v>
      </c>
      <c r="Q796" t="s">
        <v>207</v>
      </c>
    </row>
    <row r="797" spans="1:17" x14ac:dyDescent="0.3">
      <c r="A797" s="25">
        <v>1268</v>
      </c>
      <c r="B797" t="s">
        <v>193</v>
      </c>
      <c r="C797" t="s">
        <v>141</v>
      </c>
      <c r="D797" t="s">
        <v>383</v>
      </c>
      <c r="E797" s="121">
        <v>4175</v>
      </c>
      <c r="F797" s="13">
        <v>45836</v>
      </c>
      <c r="G797" s="24">
        <v>78307.600000000006</v>
      </c>
      <c r="H797" s="24">
        <v>73491.69</v>
      </c>
      <c r="I797" s="3">
        <v>45852</v>
      </c>
      <c r="J797" s="102">
        <v>45866</v>
      </c>
      <c r="K797" s="12">
        <v>45868</v>
      </c>
      <c r="L797" s="19" t="s">
        <v>731</v>
      </c>
      <c r="M797" s="36">
        <v>0</v>
      </c>
      <c r="N797"/>
      <c r="O797" t="s">
        <v>199</v>
      </c>
      <c r="P797" t="s">
        <v>376</v>
      </c>
      <c r="Q797" t="s">
        <v>207</v>
      </c>
    </row>
    <row r="798" spans="1:17" x14ac:dyDescent="0.3">
      <c r="A798" s="25">
        <v>1268</v>
      </c>
      <c r="B798" t="s">
        <v>193</v>
      </c>
      <c r="C798" t="s">
        <v>141</v>
      </c>
      <c r="D798" t="s">
        <v>383</v>
      </c>
      <c r="E798" s="121">
        <v>4176</v>
      </c>
      <c r="F798" s="13">
        <v>45836</v>
      </c>
      <c r="G798" s="24">
        <v>1175596.22</v>
      </c>
      <c r="H798" s="24">
        <v>1103297.05</v>
      </c>
      <c r="I798" s="3">
        <v>45852</v>
      </c>
      <c r="J798" s="102">
        <v>45866</v>
      </c>
      <c r="K798" s="12">
        <v>45868</v>
      </c>
      <c r="L798" s="19" t="s">
        <v>731</v>
      </c>
      <c r="M798" s="36">
        <v>0</v>
      </c>
      <c r="N798"/>
      <c r="O798" t="s">
        <v>199</v>
      </c>
      <c r="P798" t="s">
        <v>376</v>
      </c>
      <c r="Q798" t="s">
        <v>207</v>
      </c>
    </row>
    <row r="799" spans="1:17" x14ac:dyDescent="0.3">
      <c r="A799" s="25">
        <v>1268</v>
      </c>
      <c r="B799" t="s">
        <v>193</v>
      </c>
      <c r="C799" t="s">
        <v>141</v>
      </c>
      <c r="D799" t="s">
        <v>383</v>
      </c>
      <c r="E799" s="121">
        <v>4177</v>
      </c>
      <c r="F799" s="13">
        <v>45836</v>
      </c>
      <c r="G799" s="24">
        <v>100686.39999999999</v>
      </c>
      <c r="H799" s="24">
        <v>94494.18</v>
      </c>
      <c r="I799" s="3">
        <v>45852</v>
      </c>
      <c r="J799" s="102">
        <v>45866</v>
      </c>
      <c r="K799" s="12">
        <v>45868</v>
      </c>
      <c r="L799" s="19" t="s">
        <v>731</v>
      </c>
      <c r="M799" s="36">
        <v>0</v>
      </c>
      <c r="N799"/>
      <c r="O799" t="s">
        <v>199</v>
      </c>
      <c r="P799" t="s">
        <v>376</v>
      </c>
      <c r="Q799" t="s">
        <v>207</v>
      </c>
    </row>
    <row r="800" spans="1:17" x14ac:dyDescent="0.3">
      <c r="A800" s="25">
        <v>1483</v>
      </c>
      <c r="B800" t="s">
        <v>212</v>
      </c>
      <c r="C800" t="s">
        <v>178</v>
      </c>
      <c r="D800" t="s">
        <v>633</v>
      </c>
      <c r="E800" s="121">
        <v>8422</v>
      </c>
      <c r="F800" s="13">
        <v>45836</v>
      </c>
      <c r="G800" s="24">
        <v>53591.199999999997</v>
      </c>
      <c r="H800" s="24">
        <v>49527.08</v>
      </c>
      <c r="I800" s="3">
        <v>45852</v>
      </c>
      <c r="J800" s="102">
        <v>45880</v>
      </c>
      <c r="K800" s="12">
        <v>45882</v>
      </c>
      <c r="L800" s="19" t="s">
        <v>731</v>
      </c>
      <c r="M800" s="36">
        <v>0</v>
      </c>
      <c r="N800" s="26"/>
      <c r="O800" t="s">
        <v>202</v>
      </c>
      <c r="P800" t="s">
        <v>328</v>
      </c>
      <c r="Q800" t="s">
        <v>207</v>
      </c>
    </row>
    <row r="801" spans="1:17" x14ac:dyDescent="0.3">
      <c r="A801" s="25">
        <v>1483</v>
      </c>
      <c r="B801" t="s">
        <v>212</v>
      </c>
      <c r="C801" t="s">
        <v>178</v>
      </c>
      <c r="D801" t="s">
        <v>633</v>
      </c>
      <c r="E801" s="121">
        <v>8423</v>
      </c>
      <c r="F801" s="13">
        <v>45836</v>
      </c>
      <c r="G801" s="24">
        <v>28856.799999999999</v>
      </c>
      <c r="H801" s="24">
        <v>26062.11</v>
      </c>
      <c r="I801" s="3">
        <v>45852</v>
      </c>
      <c r="J801" s="102">
        <v>45887</v>
      </c>
      <c r="K801" s="12">
        <v>45889</v>
      </c>
      <c r="L801" s="19" t="s">
        <v>731</v>
      </c>
      <c r="M801" s="36">
        <v>0</v>
      </c>
      <c r="N801" s="26"/>
      <c r="O801" t="s">
        <v>202</v>
      </c>
      <c r="P801" t="s">
        <v>328</v>
      </c>
      <c r="Q801" t="s">
        <v>207</v>
      </c>
    </row>
    <row r="802" spans="1:17" x14ac:dyDescent="0.3">
      <c r="A802" s="25">
        <v>1275</v>
      </c>
      <c r="B802" t="s">
        <v>193</v>
      </c>
      <c r="C802" t="s">
        <v>165</v>
      </c>
      <c r="D802" t="s">
        <v>391</v>
      </c>
      <c r="E802" s="121">
        <v>4151</v>
      </c>
      <c r="F802" s="13">
        <v>45836</v>
      </c>
      <c r="G802" s="24">
        <v>16767.240000000002</v>
      </c>
      <c r="H802" s="24">
        <v>15736.05</v>
      </c>
      <c r="I802" s="3">
        <v>45841</v>
      </c>
      <c r="J802" s="102">
        <v>45866</v>
      </c>
      <c r="K802" s="12">
        <v>45868</v>
      </c>
      <c r="L802" s="19" t="s">
        <v>731</v>
      </c>
      <c r="M802" s="36">
        <v>0</v>
      </c>
      <c r="N802" s="26"/>
      <c r="O802" t="s">
        <v>199</v>
      </c>
      <c r="P802" t="s">
        <v>376</v>
      </c>
      <c r="Q802" t="s">
        <v>207</v>
      </c>
    </row>
    <row r="803" spans="1:17" x14ac:dyDescent="0.3">
      <c r="A803" s="25">
        <v>1479</v>
      </c>
      <c r="B803" t="s">
        <v>193</v>
      </c>
      <c r="C803" t="s">
        <v>165</v>
      </c>
      <c r="D803" t="s">
        <v>629</v>
      </c>
      <c r="E803" s="121">
        <v>4153</v>
      </c>
      <c r="F803" s="13">
        <v>45836</v>
      </c>
      <c r="G803" s="24">
        <v>14880</v>
      </c>
      <c r="H803" s="24">
        <v>13964.88</v>
      </c>
      <c r="I803" s="3">
        <v>45841</v>
      </c>
      <c r="J803" s="102">
        <v>45866</v>
      </c>
      <c r="K803" s="12">
        <v>45868</v>
      </c>
      <c r="L803" s="19" t="s">
        <v>731</v>
      </c>
      <c r="M803" s="36">
        <v>0</v>
      </c>
      <c r="N803" s="26"/>
      <c r="O803" t="s">
        <v>201</v>
      </c>
      <c r="P803" t="s">
        <v>376</v>
      </c>
      <c r="Q803" t="s">
        <v>207</v>
      </c>
    </row>
    <row r="804" spans="1:17" x14ac:dyDescent="0.3">
      <c r="A804" s="25">
        <v>1455</v>
      </c>
      <c r="B804" t="s">
        <v>215</v>
      </c>
      <c r="C804" t="s">
        <v>60</v>
      </c>
      <c r="D804" t="s">
        <v>600</v>
      </c>
      <c r="E804" s="121">
        <v>8447</v>
      </c>
      <c r="F804" s="13">
        <v>45866</v>
      </c>
      <c r="G804" s="24">
        <v>54003.39</v>
      </c>
      <c r="H804" s="24">
        <v>47712</v>
      </c>
      <c r="I804" s="3">
        <v>45874</v>
      </c>
      <c r="J804" s="102">
        <v>45901</v>
      </c>
      <c r="K804" s="12">
        <v>45901</v>
      </c>
      <c r="L804" s="22" t="s">
        <v>731</v>
      </c>
      <c r="M804" s="42"/>
      <c r="N804" s="26"/>
      <c r="O804" t="s">
        <v>202</v>
      </c>
      <c r="P804" t="s">
        <v>373</v>
      </c>
      <c r="Q804" t="s">
        <v>213</v>
      </c>
    </row>
    <row r="805" spans="1:17" x14ac:dyDescent="0.3">
      <c r="A805" s="9">
        <v>1489</v>
      </c>
      <c r="B805" t="s">
        <v>193</v>
      </c>
      <c r="C805" t="s">
        <v>42</v>
      </c>
      <c r="D805" t="s">
        <v>639</v>
      </c>
      <c r="E805" s="121">
        <v>4223</v>
      </c>
      <c r="F805" s="13">
        <v>45866</v>
      </c>
      <c r="G805" s="24">
        <v>42812.21</v>
      </c>
      <c r="H805" s="24">
        <v>40179.26</v>
      </c>
      <c r="I805" s="3">
        <v>45873</v>
      </c>
      <c r="J805" s="102">
        <v>45901</v>
      </c>
      <c r="K805" s="12">
        <v>45904</v>
      </c>
      <c r="L805" s="19" t="s">
        <v>731</v>
      </c>
      <c r="M805" s="38"/>
      <c r="N805" s="15"/>
      <c r="O805" t="s">
        <v>201</v>
      </c>
      <c r="P805" t="s">
        <v>376</v>
      </c>
      <c r="Q805" t="s">
        <v>207</v>
      </c>
    </row>
    <row r="806" spans="1:17" x14ac:dyDescent="0.3">
      <c r="A806" s="9">
        <v>1357</v>
      </c>
      <c r="B806" t="s">
        <v>193</v>
      </c>
      <c r="C806" t="s">
        <v>197</v>
      </c>
      <c r="D806" t="s">
        <v>734</v>
      </c>
      <c r="E806" s="121">
        <v>4222</v>
      </c>
      <c r="F806" s="13">
        <v>45866</v>
      </c>
      <c r="G806" s="24">
        <v>14150.77</v>
      </c>
      <c r="H806" s="11">
        <v>13281.56</v>
      </c>
      <c r="I806" s="3">
        <v>45873</v>
      </c>
      <c r="J806" s="102">
        <v>46006</v>
      </c>
      <c r="K806" s="5">
        <v>46010</v>
      </c>
      <c r="L806" s="19" t="s">
        <v>731</v>
      </c>
      <c r="M806" s="38"/>
      <c r="N806" s="15"/>
      <c r="O806" t="s">
        <v>199</v>
      </c>
      <c r="P806" t="s">
        <v>376</v>
      </c>
      <c r="Q806" t="s">
        <v>207</v>
      </c>
    </row>
    <row r="807" spans="1:17" x14ac:dyDescent="0.3">
      <c r="A807" s="25">
        <v>1478</v>
      </c>
      <c r="B807" t="s">
        <v>71</v>
      </c>
      <c r="C807" t="s">
        <v>198</v>
      </c>
      <c r="D807" t="s">
        <v>628</v>
      </c>
      <c r="E807" s="121">
        <v>8463</v>
      </c>
      <c r="F807" s="13">
        <v>45866</v>
      </c>
      <c r="G807" s="24">
        <v>20754.55</v>
      </c>
      <c r="H807" s="24">
        <v>19478.14</v>
      </c>
      <c r="I807" s="3">
        <v>45877</v>
      </c>
      <c r="J807" s="102">
        <v>45901</v>
      </c>
      <c r="K807" s="12">
        <v>45901</v>
      </c>
      <c r="L807" s="19" t="s">
        <v>731</v>
      </c>
      <c r="M807" s="36"/>
      <c r="N807"/>
      <c r="O807" t="s">
        <v>199</v>
      </c>
      <c r="P807" t="s">
        <v>376</v>
      </c>
      <c r="Q807" t="s">
        <v>203</v>
      </c>
    </row>
    <row r="808" spans="1:17" x14ac:dyDescent="0.3">
      <c r="A808" s="25">
        <v>1478</v>
      </c>
      <c r="B808" t="s">
        <v>71</v>
      </c>
      <c r="C808" t="s">
        <v>198</v>
      </c>
      <c r="D808" t="s">
        <v>628</v>
      </c>
      <c r="E808" s="121">
        <v>8464</v>
      </c>
      <c r="F808" s="13">
        <v>45866</v>
      </c>
      <c r="G808" s="24">
        <v>29087.69</v>
      </c>
      <c r="H808" s="24">
        <v>27298.79</v>
      </c>
      <c r="I808" s="3">
        <v>45877</v>
      </c>
      <c r="J808" s="102">
        <v>45901</v>
      </c>
      <c r="K808" s="12">
        <v>45901</v>
      </c>
      <c r="L808" s="19" t="s">
        <v>731</v>
      </c>
      <c r="M808" s="36"/>
      <c r="N808"/>
      <c r="O808" t="s">
        <v>199</v>
      </c>
      <c r="P808" t="s">
        <v>376</v>
      </c>
      <c r="Q808" t="s">
        <v>203</v>
      </c>
    </row>
    <row r="809" spans="1:17" x14ac:dyDescent="0.3">
      <c r="A809" s="25">
        <v>1478</v>
      </c>
      <c r="B809" t="s">
        <v>71</v>
      </c>
      <c r="C809" t="s">
        <v>198</v>
      </c>
      <c r="D809" t="s">
        <v>628</v>
      </c>
      <c r="E809" s="121">
        <v>8465</v>
      </c>
      <c r="F809" s="13">
        <v>45866</v>
      </c>
      <c r="G809" s="24">
        <v>13993.56</v>
      </c>
      <c r="H809" s="24">
        <v>13132.95</v>
      </c>
      <c r="I809" s="3">
        <v>45877</v>
      </c>
      <c r="J809" s="102">
        <v>45901</v>
      </c>
      <c r="K809" s="12">
        <v>45901</v>
      </c>
      <c r="L809" s="19" t="s">
        <v>731</v>
      </c>
      <c r="M809" s="36"/>
      <c r="N809"/>
      <c r="O809" t="s">
        <v>199</v>
      </c>
      <c r="P809" t="s">
        <v>376</v>
      </c>
      <c r="Q809" t="s">
        <v>203</v>
      </c>
    </row>
    <row r="810" spans="1:17" x14ac:dyDescent="0.3">
      <c r="A810" s="25">
        <v>1478</v>
      </c>
      <c r="B810" t="s">
        <v>71</v>
      </c>
      <c r="C810" t="s">
        <v>198</v>
      </c>
      <c r="D810" t="s">
        <v>628</v>
      </c>
      <c r="E810" s="121">
        <v>8466</v>
      </c>
      <c r="F810" s="13">
        <v>45866</v>
      </c>
      <c r="G810" s="24">
        <v>26413.8</v>
      </c>
      <c r="H810" s="24">
        <v>24789.35</v>
      </c>
      <c r="I810" s="3">
        <v>45877</v>
      </c>
      <c r="J810" s="102">
        <v>45901</v>
      </c>
      <c r="K810" s="12">
        <v>45901</v>
      </c>
      <c r="L810" s="19" t="s">
        <v>731</v>
      </c>
      <c r="M810" s="36"/>
      <c r="N810"/>
      <c r="O810" t="s">
        <v>199</v>
      </c>
      <c r="P810" t="s">
        <v>376</v>
      </c>
      <c r="Q810" t="s">
        <v>203</v>
      </c>
    </row>
    <row r="811" spans="1:17" x14ac:dyDescent="0.3">
      <c r="A811" s="9">
        <v>1499</v>
      </c>
      <c r="B811" t="s">
        <v>71</v>
      </c>
      <c r="C811" t="s">
        <v>109</v>
      </c>
      <c r="D811" t="s">
        <v>650</v>
      </c>
      <c r="E811" s="121">
        <v>8450</v>
      </c>
      <c r="F811" s="13">
        <v>45866</v>
      </c>
      <c r="G811" s="24">
        <v>52900</v>
      </c>
      <c r="H811" s="11">
        <v>49646.65</v>
      </c>
      <c r="I811" s="3">
        <v>45875</v>
      </c>
      <c r="J811" s="102">
        <v>45894</v>
      </c>
      <c r="K811" s="12">
        <v>45895</v>
      </c>
      <c r="L811" s="19" t="s">
        <v>731</v>
      </c>
      <c r="M811" s="35">
        <v>0</v>
      </c>
      <c r="N811"/>
      <c r="O811" t="s">
        <v>199</v>
      </c>
      <c r="P811" t="s">
        <v>373</v>
      </c>
      <c r="Q811" t="s">
        <v>203</v>
      </c>
    </row>
    <row r="812" spans="1:17" x14ac:dyDescent="0.3">
      <c r="A812" s="25">
        <v>1391</v>
      </c>
      <c r="B812" t="s">
        <v>71</v>
      </c>
      <c r="C812" t="s">
        <v>196</v>
      </c>
      <c r="D812" t="s">
        <v>520</v>
      </c>
      <c r="E812" s="121">
        <v>4232</v>
      </c>
      <c r="F812" s="13">
        <v>45866</v>
      </c>
      <c r="G812" s="24">
        <v>117149.53</v>
      </c>
      <c r="H812" s="28">
        <v>109944.84</v>
      </c>
      <c r="I812" s="3">
        <v>45877</v>
      </c>
      <c r="J812" s="102">
        <v>45894</v>
      </c>
      <c r="K812" s="12">
        <v>45894</v>
      </c>
      <c r="L812" s="1" t="s">
        <v>731</v>
      </c>
      <c r="M812" s="36">
        <v>0</v>
      </c>
      <c r="N812"/>
      <c r="O812" t="s">
        <v>199</v>
      </c>
      <c r="P812" t="s">
        <v>376</v>
      </c>
      <c r="Q812" t="s">
        <v>203</v>
      </c>
    </row>
    <row r="813" spans="1:17" x14ac:dyDescent="0.3">
      <c r="A813" s="25">
        <v>1391</v>
      </c>
      <c r="B813" t="s">
        <v>71</v>
      </c>
      <c r="C813" t="s">
        <v>196</v>
      </c>
      <c r="D813" t="s">
        <v>520</v>
      </c>
      <c r="E813" s="121">
        <v>4233</v>
      </c>
      <c r="F813" s="13">
        <v>45866</v>
      </c>
      <c r="G813" s="24">
        <v>126870.48</v>
      </c>
      <c r="H813" s="28">
        <v>119067.94</v>
      </c>
      <c r="I813" s="3">
        <v>45880</v>
      </c>
      <c r="J813" s="102">
        <v>45894</v>
      </c>
      <c r="K813" s="12">
        <v>45895</v>
      </c>
      <c r="L813" s="1" t="s">
        <v>731</v>
      </c>
      <c r="M813" s="36">
        <v>0</v>
      </c>
      <c r="N813"/>
      <c r="O813" t="s">
        <v>199</v>
      </c>
      <c r="P813" t="s">
        <v>376</v>
      </c>
      <c r="Q813" t="s">
        <v>203</v>
      </c>
    </row>
    <row r="814" spans="1:17" x14ac:dyDescent="0.3">
      <c r="A814" s="9">
        <v>1391</v>
      </c>
      <c r="B814" t="s">
        <v>71</v>
      </c>
      <c r="C814" t="s">
        <v>196</v>
      </c>
      <c r="D814" t="s">
        <v>520</v>
      </c>
      <c r="E814" s="121">
        <v>4234</v>
      </c>
      <c r="F814" s="13">
        <v>45866</v>
      </c>
      <c r="G814" s="24">
        <v>152052.48000000001</v>
      </c>
      <c r="H814" s="40">
        <v>142701.25</v>
      </c>
      <c r="I814" s="3">
        <v>45881</v>
      </c>
      <c r="J814" s="102">
        <v>45894</v>
      </c>
      <c r="K814" s="12">
        <v>45896</v>
      </c>
      <c r="L814" s="1" t="s">
        <v>731</v>
      </c>
      <c r="M814" s="36">
        <v>0</v>
      </c>
      <c r="N814"/>
      <c r="O814" t="s">
        <v>199</v>
      </c>
      <c r="P814" t="s">
        <v>376</v>
      </c>
      <c r="Q814" t="s">
        <v>203</v>
      </c>
    </row>
    <row r="815" spans="1:17" x14ac:dyDescent="0.3">
      <c r="A815" s="9">
        <v>1391</v>
      </c>
      <c r="B815" t="s">
        <v>71</v>
      </c>
      <c r="C815" t="s">
        <v>196</v>
      </c>
      <c r="D815" t="s">
        <v>520</v>
      </c>
      <c r="E815" s="121">
        <v>4236</v>
      </c>
      <c r="F815" s="13">
        <v>45866</v>
      </c>
      <c r="G815" s="24">
        <v>293858.01</v>
      </c>
      <c r="H815" s="40">
        <v>275785.74</v>
      </c>
      <c r="I815" s="3">
        <v>45881</v>
      </c>
      <c r="J815" s="102">
        <v>45894</v>
      </c>
      <c r="K815" s="12">
        <v>45896</v>
      </c>
      <c r="L815" s="1" t="s">
        <v>731</v>
      </c>
      <c r="M815" s="36">
        <v>0</v>
      </c>
      <c r="N815"/>
      <c r="O815" t="s">
        <v>199</v>
      </c>
      <c r="P815" t="s">
        <v>376</v>
      </c>
      <c r="Q815" t="s">
        <v>203</v>
      </c>
    </row>
    <row r="816" spans="1:17" x14ac:dyDescent="0.3">
      <c r="A816" s="9">
        <v>1391</v>
      </c>
      <c r="B816" t="s">
        <v>71</v>
      </c>
      <c r="C816" t="s">
        <v>196</v>
      </c>
      <c r="D816" t="s">
        <v>520</v>
      </c>
      <c r="E816" s="121">
        <v>4237</v>
      </c>
      <c r="F816" s="13">
        <v>45866</v>
      </c>
      <c r="G816" s="24">
        <v>151942.25</v>
      </c>
      <c r="H816" s="40">
        <v>142597.81</v>
      </c>
      <c r="I816" s="3">
        <v>45881</v>
      </c>
      <c r="J816" s="102">
        <v>45894</v>
      </c>
      <c r="K816" s="12">
        <v>45896</v>
      </c>
      <c r="L816" s="1" t="s">
        <v>731</v>
      </c>
      <c r="M816" s="36">
        <v>0</v>
      </c>
      <c r="N816"/>
      <c r="O816" t="s">
        <v>199</v>
      </c>
      <c r="P816" t="s">
        <v>376</v>
      </c>
      <c r="Q816" t="s">
        <v>203</v>
      </c>
    </row>
    <row r="817" spans="1:17" x14ac:dyDescent="0.3">
      <c r="A817" s="9">
        <v>1391</v>
      </c>
      <c r="B817" t="s">
        <v>71</v>
      </c>
      <c r="C817" t="s">
        <v>196</v>
      </c>
      <c r="D817" t="s">
        <v>520</v>
      </c>
      <c r="E817" s="121">
        <v>4238</v>
      </c>
      <c r="F817" s="13">
        <v>45866</v>
      </c>
      <c r="G817" s="24">
        <v>11725.44</v>
      </c>
      <c r="H817" s="40">
        <v>11004.33</v>
      </c>
      <c r="I817" s="3">
        <v>45881</v>
      </c>
      <c r="J817" s="102">
        <v>45894</v>
      </c>
      <c r="K817" s="12">
        <v>45896</v>
      </c>
      <c r="L817" s="1" t="s">
        <v>731</v>
      </c>
      <c r="M817" s="36">
        <v>0</v>
      </c>
      <c r="N817"/>
      <c r="O817" t="s">
        <v>199</v>
      </c>
      <c r="P817" t="s">
        <v>376</v>
      </c>
      <c r="Q817" t="s">
        <v>203</v>
      </c>
    </row>
    <row r="818" spans="1:17" x14ac:dyDescent="0.3">
      <c r="A818" s="9">
        <v>1391</v>
      </c>
      <c r="B818" t="s">
        <v>71</v>
      </c>
      <c r="C818" t="s">
        <v>196</v>
      </c>
      <c r="D818" t="s">
        <v>520</v>
      </c>
      <c r="E818" s="121">
        <v>4245</v>
      </c>
      <c r="F818" s="13">
        <v>45866</v>
      </c>
      <c r="G818" s="24">
        <v>113460.48</v>
      </c>
      <c r="H818" s="40">
        <v>106482.66</v>
      </c>
      <c r="I818" s="3">
        <v>45882</v>
      </c>
      <c r="J818" s="102">
        <v>45894</v>
      </c>
      <c r="K818" s="12">
        <v>45897</v>
      </c>
      <c r="L818" s="1" t="s">
        <v>731</v>
      </c>
      <c r="M818" s="36">
        <v>0</v>
      </c>
      <c r="N818"/>
      <c r="O818" t="s">
        <v>199</v>
      </c>
      <c r="P818" t="s">
        <v>376</v>
      </c>
      <c r="Q818" t="s">
        <v>203</v>
      </c>
    </row>
    <row r="819" spans="1:17" x14ac:dyDescent="0.3">
      <c r="A819" s="9">
        <v>1391</v>
      </c>
      <c r="B819" t="s">
        <v>71</v>
      </c>
      <c r="C819" t="s">
        <v>196</v>
      </c>
      <c r="D819" t="s">
        <v>520</v>
      </c>
      <c r="E819" s="121">
        <v>4246</v>
      </c>
      <c r="F819" s="13">
        <v>45866</v>
      </c>
      <c r="G819" s="24">
        <v>42646.559999999998</v>
      </c>
      <c r="H819" s="40">
        <v>40023.79</v>
      </c>
      <c r="I819" s="3">
        <v>45882</v>
      </c>
      <c r="J819" s="102">
        <v>45894</v>
      </c>
      <c r="K819" s="12">
        <v>45897</v>
      </c>
      <c r="L819" s="1" t="s">
        <v>731</v>
      </c>
      <c r="M819" s="36">
        <v>0</v>
      </c>
      <c r="N819"/>
      <c r="O819" t="s">
        <v>199</v>
      </c>
      <c r="P819" t="s">
        <v>376</v>
      </c>
      <c r="Q819" t="s">
        <v>203</v>
      </c>
    </row>
    <row r="820" spans="1:17" x14ac:dyDescent="0.3">
      <c r="A820" s="9">
        <v>1391</v>
      </c>
      <c r="B820" t="s">
        <v>71</v>
      </c>
      <c r="C820" t="s">
        <v>196</v>
      </c>
      <c r="D820" t="s">
        <v>520</v>
      </c>
      <c r="E820" s="121">
        <v>4247</v>
      </c>
      <c r="F820" s="13">
        <v>45866</v>
      </c>
      <c r="G820" s="24">
        <v>204716.49</v>
      </c>
      <c r="H820" s="40">
        <v>192126.42</v>
      </c>
      <c r="I820" s="3">
        <v>45882</v>
      </c>
      <c r="J820" s="102">
        <v>45894</v>
      </c>
      <c r="K820" s="12">
        <v>45897</v>
      </c>
      <c r="L820" s="1" t="s">
        <v>731</v>
      </c>
      <c r="M820" s="36">
        <v>0</v>
      </c>
      <c r="N820"/>
      <c r="O820" t="s">
        <v>199</v>
      </c>
      <c r="P820" t="s">
        <v>376</v>
      </c>
      <c r="Q820" t="s">
        <v>203</v>
      </c>
    </row>
    <row r="821" spans="1:17" x14ac:dyDescent="0.3">
      <c r="A821" s="9">
        <v>1391</v>
      </c>
      <c r="B821" t="s">
        <v>71</v>
      </c>
      <c r="C821" t="s">
        <v>196</v>
      </c>
      <c r="D821" t="s">
        <v>520</v>
      </c>
      <c r="E821" s="121">
        <v>4258</v>
      </c>
      <c r="F821" s="13">
        <v>45866</v>
      </c>
      <c r="G821" s="24">
        <v>1111.48</v>
      </c>
      <c r="H821" s="28">
        <v>1043.1400000000001</v>
      </c>
      <c r="I821" s="3">
        <v>45884</v>
      </c>
      <c r="J821" s="102">
        <v>45901</v>
      </c>
      <c r="K821" s="12">
        <v>45901</v>
      </c>
      <c r="L821" s="1" t="s">
        <v>731</v>
      </c>
      <c r="M821" s="36">
        <v>0</v>
      </c>
      <c r="N821"/>
      <c r="O821" t="s">
        <v>199</v>
      </c>
      <c r="P821" t="s">
        <v>376</v>
      </c>
      <c r="Q821" t="s">
        <v>203</v>
      </c>
    </row>
    <row r="822" spans="1:17" x14ac:dyDescent="0.3">
      <c r="A822" s="25">
        <v>1294</v>
      </c>
      <c r="B822" t="s">
        <v>71</v>
      </c>
      <c r="C822" t="s">
        <v>196</v>
      </c>
      <c r="D822" t="s">
        <v>413</v>
      </c>
      <c r="E822" s="121">
        <v>4231</v>
      </c>
      <c r="F822" s="13">
        <v>45866</v>
      </c>
      <c r="G822" s="24">
        <v>212256</v>
      </c>
      <c r="H822" s="28">
        <v>199202.26</v>
      </c>
      <c r="I822" s="3">
        <v>45877</v>
      </c>
      <c r="J822" s="102">
        <v>45894</v>
      </c>
      <c r="K822" s="12">
        <v>45894</v>
      </c>
      <c r="L822" s="1" t="s">
        <v>731</v>
      </c>
      <c r="M822" s="36">
        <v>0</v>
      </c>
      <c r="N822"/>
      <c r="O822" t="s">
        <v>199</v>
      </c>
      <c r="P822" t="s">
        <v>376</v>
      </c>
      <c r="Q822" t="s">
        <v>203</v>
      </c>
    </row>
    <row r="823" spans="1:17" x14ac:dyDescent="0.3">
      <c r="A823" s="25">
        <v>1294</v>
      </c>
      <c r="B823" t="s">
        <v>71</v>
      </c>
      <c r="C823" t="s">
        <v>196</v>
      </c>
      <c r="D823" t="s">
        <v>413</v>
      </c>
      <c r="E823" s="121">
        <v>4235</v>
      </c>
      <c r="F823" s="13">
        <v>45866</v>
      </c>
      <c r="G823" s="24">
        <v>228465.44</v>
      </c>
      <c r="H823" s="28">
        <v>214414.82</v>
      </c>
      <c r="I823" s="3">
        <v>45881</v>
      </c>
      <c r="J823" s="102">
        <v>45894</v>
      </c>
      <c r="K823" s="12">
        <v>45896</v>
      </c>
      <c r="L823" s="1" t="s">
        <v>731</v>
      </c>
      <c r="M823" s="36">
        <v>0</v>
      </c>
      <c r="N823"/>
      <c r="O823" t="s">
        <v>199</v>
      </c>
      <c r="P823" t="s">
        <v>376</v>
      </c>
      <c r="Q823" t="s">
        <v>203</v>
      </c>
    </row>
    <row r="824" spans="1:17" x14ac:dyDescent="0.3">
      <c r="A824" s="25">
        <v>1294</v>
      </c>
      <c r="B824" t="s">
        <v>71</v>
      </c>
      <c r="C824" t="s">
        <v>196</v>
      </c>
      <c r="D824" t="s">
        <v>413</v>
      </c>
      <c r="E824" s="121">
        <v>4239</v>
      </c>
      <c r="F824" s="13">
        <v>45866</v>
      </c>
      <c r="G824" s="131">
        <v>185528.51</v>
      </c>
      <c r="H824" s="28">
        <v>174118.5</v>
      </c>
      <c r="I824" s="3">
        <v>45881</v>
      </c>
      <c r="J824" s="102">
        <v>45894</v>
      </c>
      <c r="K824" s="12">
        <v>45896</v>
      </c>
      <c r="L824" s="1" t="s">
        <v>731</v>
      </c>
      <c r="M824" s="36">
        <v>0</v>
      </c>
      <c r="N824"/>
      <c r="O824" t="s">
        <v>199</v>
      </c>
      <c r="P824" t="s">
        <v>376</v>
      </c>
      <c r="Q824" t="s">
        <v>203</v>
      </c>
    </row>
    <row r="825" spans="1:17" x14ac:dyDescent="0.3">
      <c r="A825" s="25">
        <v>1294</v>
      </c>
      <c r="B825" t="s">
        <v>71</v>
      </c>
      <c r="C825" t="s">
        <v>196</v>
      </c>
      <c r="D825" t="s">
        <v>413</v>
      </c>
      <c r="E825" s="121">
        <v>4240</v>
      </c>
      <c r="F825" s="13">
        <v>45866</v>
      </c>
      <c r="G825" s="24">
        <v>167314.19</v>
      </c>
      <c r="H825" s="28">
        <v>157024.37</v>
      </c>
      <c r="I825" s="3">
        <v>45881</v>
      </c>
      <c r="J825" s="102">
        <v>45894</v>
      </c>
      <c r="K825" s="12">
        <v>45896</v>
      </c>
      <c r="L825" s="1" t="s">
        <v>731</v>
      </c>
      <c r="M825" s="36">
        <v>0</v>
      </c>
      <c r="N825"/>
      <c r="O825" t="s">
        <v>199</v>
      </c>
      <c r="P825" t="s">
        <v>376</v>
      </c>
      <c r="Q825" t="s">
        <v>203</v>
      </c>
    </row>
    <row r="826" spans="1:17" x14ac:dyDescent="0.3">
      <c r="A826" s="25">
        <v>1294</v>
      </c>
      <c r="B826" t="s">
        <v>71</v>
      </c>
      <c r="C826" t="s">
        <v>196</v>
      </c>
      <c r="D826" t="s">
        <v>413</v>
      </c>
      <c r="E826" s="121">
        <v>4241</v>
      </c>
      <c r="F826" s="13">
        <v>45866</v>
      </c>
      <c r="G826" s="24">
        <v>166765.92000000001</v>
      </c>
      <c r="H826" s="28">
        <v>156509.81</v>
      </c>
      <c r="I826" s="3">
        <v>45881</v>
      </c>
      <c r="J826" s="102">
        <v>45894</v>
      </c>
      <c r="K826" s="12">
        <v>45896</v>
      </c>
      <c r="L826" s="1" t="s">
        <v>731</v>
      </c>
      <c r="M826" s="36">
        <v>0</v>
      </c>
      <c r="N826"/>
      <c r="O826" t="s">
        <v>199</v>
      </c>
      <c r="P826" t="s">
        <v>376</v>
      </c>
      <c r="Q826" t="s">
        <v>203</v>
      </c>
    </row>
    <row r="827" spans="1:17" x14ac:dyDescent="0.3">
      <c r="A827" s="25">
        <v>1294</v>
      </c>
      <c r="B827" t="s">
        <v>71</v>
      </c>
      <c r="C827" t="s">
        <v>196</v>
      </c>
      <c r="D827" t="s">
        <v>413</v>
      </c>
      <c r="E827" s="121">
        <v>4244</v>
      </c>
      <c r="F827" s="13">
        <v>45866</v>
      </c>
      <c r="G827" s="24">
        <v>165207.51</v>
      </c>
      <c r="H827" s="28">
        <v>155047.25</v>
      </c>
      <c r="I827" s="3">
        <v>45881</v>
      </c>
      <c r="J827" s="104">
        <v>45894</v>
      </c>
      <c r="K827" s="12">
        <v>45896</v>
      </c>
      <c r="L827" s="1" t="s">
        <v>731</v>
      </c>
      <c r="M827" s="36">
        <v>0</v>
      </c>
      <c r="N827"/>
      <c r="O827" t="s">
        <v>199</v>
      </c>
      <c r="P827" t="s">
        <v>376</v>
      </c>
      <c r="Q827" t="s">
        <v>203</v>
      </c>
    </row>
    <row r="828" spans="1:17" x14ac:dyDescent="0.3">
      <c r="A828" s="25">
        <v>1294</v>
      </c>
      <c r="B828" t="s">
        <v>71</v>
      </c>
      <c r="C828" t="s">
        <v>196</v>
      </c>
      <c r="D828" t="s">
        <v>413</v>
      </c>
      <c r="E828" s="121">
        <v>4254</v>
      </c>
      <c r="F828" s="13">
        <v>45866</v>
      </c>
      <c r="G828" s="24">
        <v>274566</v>
      </c>
      <c r="H828" s="28">
        <v>257680.19</v>
      </c>
      <c r="I828" s="3">
        <v>45883</v>
      </c>
      <c r="J828" s="104">
        <v>45894</v>
      </c>
      <c r="K828" s="12">
        <v>45897</v>
      </c>
      <c r="L828" s="1" t="s">
        <v>731</v>
      </c>
      <c r="M828" s="36">
        <v>0</v>
      </c>
      <c r="N828"/>
      <c r="O828" t="s">
        <v>199</v>
      </c>
      <c r="P828" t="s">
        <v>376</v>
      </c>
      <c r="Q828" t="s">
        <v>203</v>
      </c>
    </row>
    <row r="829" spans="1:17" x14ac:dyDescent="0.3">
      <c r="A829" s="25">
        <v>1285</v>
      </c>
      <c r="B829" t="s">
        <v>71</v>
      </c>
      <c r="C829" t="s">
        <v>196</v>
      </c>
      <c r="D829" t="s">
        <v>404</v>
      </c>
      <c r="E829" s="121">
        <v>4214</v>
      </c>
      <c r="F829" s="13">
        <v>45866</v>
      </c>
      <c r="G829" s="24">
        <v>13375.12</v>
      </c>
      <c r="H829" s="24">
        <v>12552.55</v>
      </c>
      <c r="I829" s="3">
        <v>45866</v>
      </c>
      <c r="J829" s="104">
        <v>45894</v>
      </c>
      <c r="K829" s="12">
        <v>45896</v>
      </c>
      <c r="L829" s="1" t="s">
        <v>731</v>
      </c>
      <c r="M829" s="36">
        <v>0</v>
      </c>
      <c r="N829" s="26"/>
      <c r="O829" t="s">
        <v>199</v>
      </c>
      <c r="P829" t="s">
        <v>376</v>
      </c>
      <c r="Q829" t="s">
        <v>203</v>
      </c>
    </row>
    <row r="830" spans="1:17" x14ac:dyDescent="0.3">
      <c r="A830" s="25">
        <v>1285</v>
      </c>
      <c r="B830" t="s">
        <v>71</v>
      </c>
      <c r="C830" t="s">
        <v>196</v>
      </c>
      <c r="D830" t="s">
        <v>404</v>
      </c>
      <c r="E830" s="121">
        <v>4292</v>
      </c>
      <c r="F830" s="13">
        <v>45866</v>
      </c>
      <c r="G830" s="24">
        <v>25534.32</v>
      </c>
      <c r="H830" s="24">
        <v>23963.97</v>
      </c>
      <c r="I830" s="3">
        <v>45895</v>
      </c>
      <c r="J830" s="104">
        <v>45922</v>
      </c>
      <c r="K830" s="12">
        <v>45925</v>
      </c>
      <c r="L830" s="1" t="s">
        <v>731</v>
      </c>
      <c r="M830" s="36">
        <v>0</v>
      </c>
      <c r="N830" s="26"/>
      <c r="O830" t="s">
        <v>199</v>
      </c>
      <c r="P830" t="s">
        <v>376</v>
      </c>
      <c r="Q830" t="s">
        <v>203</v>
      </c>
    </row>
    <row r="831" spans="1:17" x14ac:dyDescent="0.3">
      <c r="A831" s="25">
        <v>1292</v>
      </c>
      <c r="B831" t="s">
        <v>71</v>
      </c>
      <c r="C831" t="s">
        <v>200</v>
      </c>
      <c r="D831" t="s">
        <v>411</v>
      </c>
      <c r="E831" s="121">
        <v>4243</v>
      </c>
      <c r="F831" s="13">
        <v>45866</v>
      </c>
      <c r="G831" s="24">
        <v>136391.20000000001</v>
      </c>
      <c r="H831" s="24">
        <v>128003.14</v>
      </c>
      <c r="I831" s="3">
        <v>45881</v>
      </c>
      <c r="J831" s="102">
        <v>45894</v>
      </c>
      <c r="K831" s="12">
        <v>45896</v>
      </c>
      <c r="L831" s="1" t="s">
        <v>731</v>
      </c>
      <c r="M831" s="36">
        <v>0</v>
      </c>
      <c r="N831"/>
      <c r="O831" t="s">
        <v>199</v>
      </c>
      <c r="P831" t="s">
        <v>376</v>
      </c>
      <c r="Q831" t="s">
        <v>203</v>
      </c>
    </row>
    <row r="832" spans="1:17" x14ac:dyDescent="0.3">
      <c r="A832" s="25">
        <v>1292</v>
      </c>
      <c r="B832" t="s">
        <v>71</v>
      </c>
      <c r="C832" t="s">
        <v>200</v>
      </c>
      <c r="D832" t="s">
        <v>411</v>
      </c>
      <c r="E832" s="121">
        <v>4248</v>
      </c>
      <c r="F832" s="13">
        <v>45866</v>
      </c>
      <c r="G832" s="24">
        <v>34633.19</v>
      </c>
      <c r="H832" s="24">
        <v>32503.24</v>
      </c>
      <c r="I832" s="3">
        <v>45882</v>
      </c>
      <c r="J832" s="102">
        <v>45894</v>
      </c>
      <c r="K832" s="12">
        <v>45897</v>
      </c>
      <c r="L832" s="1" t="s">
        <v>731</v>
      </c>
      <c r="M832" s="36">
        <v>0</v>
      </c>
      <c r="N832"/>
      <c r="O832" t="s">
        <v>199</v>
      </c>
      <c r="P832" t="s">
        <v>376</v>
      </c>
      <c r="Q832" t="s">
        <v>203</v>
      </c>
    </row>
    <row r="833" spans="1:17" x14ac:dyDescent="0.3">
      <c r="A833" s="25">
        <v>1292</v>
      </c>
      <c r="B833" t="s">
        <v>71</v>
      </c>
      <c r="C833" t="s">
        <v>200</v>
      </c>
      <c r="D833" t="s">
        <v>411</v>
      </c>
      <c r="E833" s="121">
        <v>4255</v>
      </c>
      <c r="F833" s="13">
        <v>45866</v>
      </c>
      <c r="G833" s="24">
        <v>134253.73000000001</v>
      </c>
      <c r="H833" s="24">
        <v>125997.12</v>
      </c>
      <c r="I833" s="3">
        <v>45883</v>
      </c>
      <c r="J833" s="102">
        <v>45894</v>
      </c>
      <c r="K833" s="12">
        <v>45898</v>
      </c>
      <c r="L833" s="1" t="s">
        <v>731</v>
      </c>
      <c r="M833" s="36">
        <v>0</v>
      </c>
      <c r="N833"/>
      <c r="O833" t="s">
        <v>199</v>
      </c>
      <c r="P833" t="s">
        <v>376</v>
      </c>
      <c r="Q833" t="s">
        <v>203</v>
      </c>
    </row>
    <row r="834" spans="1:17" x14ac:dyDescent="0.3">
      <c r="A834" s="25">
        <v>1292</v>
      </c>
      <c r="B834" t="s">
        <v>71</v>
      </c>
      <c r="C834" t="s">
        <v>200</v>
      </c>
      <c r="D834" t="s">
        <v>411</v>
      </c>
      <c r="E834" s="121">
        <v>4256</v>
      </c>
      <c r="F834" s="13">
        <v>45866</v>
      </c>
      <c r="G834" s="24">
        <v>31008</v>
      </c>
      <c r="H834" s="24">
        <v>29101.01</v>
      </c>
      <c r="I834" s="3">
        <v>45883</v>
      </c>
      <c r="J834" s="102">
        <v>45894</v>
      </c>
      <c r="K834" s="12">
        <v>45898</v>
      </c>
      <c r="L834" s="1" t="s">
        <v>731</v>
      </c>
      <c r="M834" s="36">
        <v>0</v>
      </c>
      <c r="N834"/>
      <c r="O834" t="s">
        <v>199</v>
      </c>
      <c r="P834" t="s">
        <v>376</v>
      </c>
      <c r="Q834" t="s">
        <v>203</v>
      </c>
    </row>
    <row r="835" spans="1:17" x14ac:dyDescent="0.3">
      <c r="A835" s="25">
        <v>1292</v>
      </c>
      <c r="B835" t="s">
        <v>71</v>
      </c>
      <c r="C835" t="s">
        <v>200</v>
      </c>
      <c r="D835" t="s">
        <v>411</v>
      </c>
      <c r="E835" s="121">
        <v>4257</v>
      </c>
      <c r="F835" s="13">
        <v>45866</v>
      </c>
      <c r="G835" s="24">
        <v>16152.4</v>
      </c>
      <c r="H835" s="24">
        <v>15159.02</v>
      </c>
      <c r="I835" s="3">
        <v>45883</v>
      </c>
      <c r="J835" s="102">
        <v>45901</v>
      </c>
      <c r="K835" s="12">
        <v>45904</v>
      </c>
      <c r="L835" s="1" t="s">
        <v>731</v>
      </c>
      <c r="M835" s="36">
        <v>0</v>
      </c>
      <c r="N835"/>
      <c r="O835" t="s">
        <v>199</v>
      </c>
      <c r="P835" t="s">
        <v>376</v>
      </c>
      <c r="Q835" t="s">
        <v>203</v>
      </c>
    </row>
    <row r="836" spans="1:17" x14ac:dyDescent="0.3">
      <c r="A836" s="25">
        <v>1484</v>
      </c>
      <c r="B836" t="s">
        <v>71</v>
      </c>
      <c r="C836" t="s">
        <v>200</v>
      </c>
      <c r="D836" t="s">
        <v>634</v>
      </c>
      <c r="E836" s="121">
        <v>4230</v>
      </c>
      <c r="F836" s="13">
        <v>45866</v>
      </c>
      <c r="G836" s="24">
        <v>36601.06</v>
      </c>
      <c r="H836" s="24">
        <v>34350.089999999997</v>
      </c>
      <c r="I836" s="3">
        <v>45877</v>
      </c>
      <c r="J836" s="102">
        <v>45894</v>
      </c>
      <c r="K836" s="12">
        <v>45898</v>
      </c>
      <c r="L836" s="1" t="s">
        <v>731</v>
      </c>
      <c r="M836" s="36">
        <v>0</v>
      </c>
      <c r="N836"/>
      <c r="O836" t="s">
        <v>201</v>
      </c>
      <c r="P836" t="s">
        <v>376</v>
      </c>
      <c r="Q836" t="s">
        <v>203</v>
      </c>
    </row>
    <row r="837" spans="1:17" x14ac:dyDescent="0.3">
      <c r="A837" s="25">
        <v>1484</v>
      </c>
      <c r="B837" t="s">
        <v>71</v>
      </c>
      <c r="C837" t="s">
        <v>200</v>
      </c>
      <c r="D837" t="s">
        <v>634</v>
      </c>
      <c r="E837" s="121">
        <v>4242</v>
      </c>
      <c r="F837" s="13">
        <v>45866</v>
      </c>
      <c r="G837" s="24">
        <v>61248</v>
      </c>
      <c r="H837" s="24">
        <v>57481.25</v>
      </c>
      <c r="I837" s="3">
        <v>45881</v>
      </c>
      <c r="J837" s="102">
        <v>45894</v>
      </c>
      <c r="K837" s="12">
        <v>45896</v>
      </c>
      <c r="L837" s="1" t="s">
        <v>731</v>
      </c>
      <c r="M837" s="36">
        <v>0</v>
      </c>
      <c r="N837"/>
      <c r="O837" t="s">
        <v>201</v>
      </c>
      <c r="P837" t="s">
        <v>376</v>
      </c>
      <c r="Q837" t="s">
        <v>203</v>
      </c>
    </row>
    <row r="838" spans="1:17" x14ac:dyDescent="0.3">
      <c r="A838" s="25">
        <v>1398</v>
      </c>
      <c r="B838" t="s">
        <v>212</v>
      </c>
      <c r="C838" t="s">
        <v>169</v>
      </c>
      <c r="D838" t="s">
        <v>528</v>
      </c>
      <c r="E838" s="121">
        <v>8451</v>
      </c>
      <c r="F838" s="13">
        <v>45866</v>
      </c>
      <c r="G838" s="27">
        <v>48000</v>
      </c>
      <c r="H838" s="24">
        <v>45048</v>
      </c>
      <c r="I838" s="3">
        <v>45875</v>
      </c>
      <c r="J838" s="102">
        <v>45943</v>
      </c>
      <c r="K838" s="12">
        <v>45945</v>
      </c>
      <c r="L838" s="19" t="s">
        <v>731</v>
      </c>
      <c r="M838" s="36">
        <v>0</v>
      </c>
      <c r="N838"/>
      <c r="O838" t="s">
        <v>202</v>
      </c>
      <c r="P838" t="s">
        <v>328</v>
      </c>
      <c r="Q838" t="s">
        <v>207</v>
      </c>
    </row>
    <row r="839" spans="1:17" x14ac:dyDescent="0.3">
      <c r="A839" s="25">
        <v>1398</v>
      </c>
      <c r="B839" t="s">
        <v>212</v>
      </c>
      <c r="C839" t="s">
        <v>169</v>
      </c>
      <c r="D839" t="s">
        <v>528</v>
      </c>
      <c r="E839" s="121">
        <v>8480</v>
      </c>
      <c r="F839" s="13">
        <v>45866</v>
      </c>
      <c r="G839" s="27">
        <v>26093.54</v>
      </c>
      <c r="H839" s="24">
        <v>24488.78</v>
      </c>
      <c r="I839" s="3">
        <v>45888</v>
      </c>
      <c r="J839" s="102">
        <v>45915</v>
      </c>
      <c r="K839" s="12">
        <v>45918</v>
      </c>
      <c r="L839" s="19" t="s">
        <v>731</v>
      </c>
      <c r="M839" s="36">
        <v>0</v>
      </c>
      <c r="N839"/>
      <c r="O839" t="s">
        <v>202</v>
      </c>
      <c r="P839" t="s">
        <v>328</v>
      </c>
      <c r="Q839" t="s">
        <v>207</v>
      </c>
    </row>
    <row r="840" spans="1:17" x14ac:dyDescent="0.3">
      <c r="A840" s="25">
        <v>1398</v>
      </c>
      <c r="B840" t="s">
        <v>212</v>
      </c>
      <c r="C840" t="s">
        <v>169</v>
      </c>
      <c r="D840" t="s">
        <v>528</v>
      </c>
      <c r="E840" s="121">
        <v>8615</v>
      </c>
      <c r="F840" s="13">
        <v>45958</v>
      </c>
      <c r="G840" s="24">
        <v>75919.81</v>
      </c>
      <c r="H840" s="27">
        <v>71250.740000000005</v>
      </c>
      <c r="I840" s="3">
        <v>45980</v>
      </c>
      <c r="J840" s="102">
        <v>46041</v>
      </c>
      <c r="K840" s="12">
        <v>46041</v>
      </c>
      <c r="L840" s="19" t="s">
        <v>731</v>
      </c>
      <c r="M840" s="36">
        <v>0</v>
      </c>
      <c r="N840"/>
      <c r="O840" t="s">
        <v>202</v>
      </c>
      <c r="P840" t="s">
        <v>328</v>
      </c>
      <c r="Q840" t="s">
        <v>207</v>
      </c>
    </row>
    <row r="841" spans="1:17" x14ac:dyDescent="0.3">
      <c r="A841" s="25">
        <v>1398</v>
      </c>
      <c r="B841" t="s">
        <v>212</v>
      </c>
      <c r="C841" t="s">
        <v>169</v>
      </c>
      <c r="D841" t="s">
        <v>528</v>
      </c>
      <c r="E841" s="121">
        <v>8502</v>
      </c>
      <c r="F841" s="13">
        <v>45866</v>
      </c>
      <c r="G841" s="27">
        <v>5562</v>
      </c>
      <c r="H841" s="24">
        <v>5219.9399999999996</v>
      </c>
      <c r="I841" s="3">
        <v>45905</v>
      </c>
      <c r="J841" s="102">
        <v>45936</v>
      </c>
      <c r="K841" s="12">
        <v>45936</v>
      </c>
      <c r="L841" s="19" t="s">
        <v>731</v>
      </c>
      <c r="M841" s="36">
        <v>0</v>
      </c>
      <c r="N841"/>
      <c r="O841" t="s">
        <v>202</v>
      </c>
      <c r="P841" t="s">
        <v>328</v>
      </c>
      <c r="Q841" t="s">
        <v>207</v>
      </c>
    </row>
    <row r="842" spans="1:17" x14ac:dyDescent="0.3">
      <c r="A842" s="9">
        <v>1393</v>
      </c>
      <c r="B842" t="s">
        <v>215</v>
      </c>
      <c r="C842" t="s">
        <v>348</v>
      </c>
      <c r="D842" t="s">
        <v>522</v>
      </c>
      <c r="E842" s="121">
        <v>8469</v>
      </c>
      <c r="F842" s="13">
        <v>45866</v>
      </c>
      <c r="G842" s="24">
        <v>473894.04</v>
      </c>
      <c r="H842" s="24">
        <v>425082.96</v>
      </c>
      <c r="I842" s="3">
        <v>45880</v>
      </c>
      <c r="J842" s="102">
        <v>45901</v>
      </c>
      <c r="K842" s="5">
        <v>45902</v>
      </c>
      <c r="L842" s="19" t="s">
        <v>731</v>
      </c>
      <c r="M842" s="35">
        <v>0</v>
      </c>
      <c r="N842" s="15"/>
      <c r="O842" t="s">
        <v>202</v>
      </c>
      <c r="P842" t="s">
        <v>340</v>
      </c>
      <c r="Q842" t="s">
        <v>213</v>
      </c>
    </row>
    <row r="843" spans="1:17" x14ac:dyDescent="0.3">
      <c r="A843" s="9">
        <v>1476</v>
      </c>
      <c r="B843" t="s">
        <v>215</v>
      </c>
      <c r="C843" t="s">
        <v>46</v>
      </c>
      <c r="D843" t="s">
        <v>626</v>
      </c>
      <c r="E843" s="121">
        <v>8455</v>
      </c>
      <c r="F843" s="13">
        <v>45866</v>
      </c>
      <c r="G843" s="24">
        <v>495.3</v>
      </c>
      <c r="H843" s="24">
        <v>444.28</v>
      </c>
      <c r="I843" s="3">
        <v>45875</v>
      </c>
      <c r="J843" s="102">
        <v>45894</v>
      </c>
      <c r="K843" s="5">
        <v>45898</v>
      </c>
      <c r="L843" s="22" t="s">
        <v>731</v>
      </c>
      <c r="M843" s="35"/>
      <c r="N843" s="15"/>
      <c r="O843" t="s">
        <v>202</v>
      </c>
      <c r="P843" t="s">
        <v>340</v>
      </c>
      <c r="Q843" t="s">
        <v>213</v>
      </c>
    </row>
    <row r="844" spans="1:17" x14ac:dyDescent="0.3">
      <c r="A844" s="25">
        <v>1476</v>
      </c>
      <c r="B844" t="s">
        <v>215</v>
      </c>
      <c r="C844" t="s">
        <v>46</v>
      </c>
      <c r="D844" t="s">
        <v>626</v>
      </c>
      <c r="E844" s="121">
        <v>8461</v>
      </c>
      <c r="F844" s="13">
        <v>45866</v>
      </c>
      <c r="G844" s="24">
        <v>318628.40000000002</v>
      </c>
      <c r="H844" s="24">
        <v>285809.68</v>
      </c>
      <c r="I844" s="3">
        <v>45877</v>
      </c>
      <c r="J844" s="102">
        <v>45894</v>
      </c>
      <c r="K844" s="29">
        <v>45898</v>
      </c>
      <c r="L844" s="22" t="s">
        <v>731</v>
      </c>
      <c r="M844" s="36"/>
      <c r="N844" s="26"/>
      <c r="O844" t="s">
        <v>202</v>
      </c>
      <c r="P844" t="s">
        <v>340</v>
      </c>
      <c r="Q844" t="s">
        <v>213</v>
      </c>
    </row>
    <row r="845" spans="1:17" x14ac:dyDescent="0.3">
      <c r="A845" s="25">
        <v>1296</v>
      </c>
      <c r="B845" t="s">
        <v>211</v>
      </c>
      <c r="C845" t="s">
        <v>34</v>
      </c>
      <c r="D845" t="s">
        <v>416</v>
      </c>
      <c r="E845" s="121">
        <v>1281</v>
      </c>
      <c r="F845" s="13">
        <v>45866</v>
      </c>
      <c r="G845" s="24">
        <v>818703.81</v>
      </c>
      <c r="H845" s="24">
        <v>751979.46</v>
      </c>
      <c r="I845" s="3">
        <v>45880</v>
      </c>
      <c r="J845" s="102">
        <v>45894</v>
      </c>
      <c r="K845" s="29">
        <v>45895</v>
      </c>
      <c r="L845" s="19" t="s">
        <v>731</v>
      </c>
      <c r="M845" s="42"/>
      <c r="N845" s="26"/>
      <c r="O845" t="s">
        <v>202</v>
      </c>
      <c r="P845" t="s">
        <v>328</v>
      </c>
      <c r="Q845" t="s">
        <v>207</v>
      </c>
    </row>
    <row r="846" spans="1:17" x14ac:dyDescent="0.3">
      <c r="A846" s="9">
        <v>1300</v>
      </c>
      <c r="B846" t="s">
        <v>211</v>
      </c>
      <c r="C846" t="s">
        <v>34</v>
      </c>
      <c r="D846" t="s">
        <v>420</v>
      </c>
      <c r="E846" s="121">
        <v>1283</v>
      </c>
      <c r="F846" s="13">
        <v>45866</v>
      </c>
      <c r="G846" s="24">
        <v>287717.94</v>
      </c>
      <c r="H846" s="11">
        <v>264268.92</v>
      </c>
      <c r="I846" s="3">
        <v>45883</v>
      </c>
      <c r="J846" s="102">
        <v>45887</v>
      </c>
      <c r="K846" s="5">
        <v>45887</v>
      </c>
      <c r="L846" s="37" t="s">
        <v>731</v>
      </c>
      <c r="M846" s="38">
        <v>0</v>
      </c>
      <c r="N846" s="15"/>
      <c r="O846" t="s">
        <v>202</v>
      </c>
      <c r="P846" t="s">
        <v>328</v>
      </c>
      <c r="Q846" t="s">
        <v>207</v>
      </c>
    </row>
    <row r="847" spans="1:17" x14ac:dyDescent="0.3">
      <c r="A847" s="25">
        <v>1290</v>
      </c>
      <c r="B847" t="s">
        <v>215</v>
      </c>
      <c r="C847" t="s">
        <v>40</v>
      </c>
      <c r="D847" t="s">
        <v>409</v>
      </c>
      <c r="E847" s="121">
        <v>8457</v>
      </c>
      <c r="F847" s="13">
        <v>45866</v>
      </c>
      <c r="G847" s="24">
        <v>53175.27</v>
      </c>
      <c r="H847" s="24">
        <v>46980.35</v>
      </c>
      <c r="I847" s="3">
        <v>45876</v>
      </c>
      <c r="J847" s="102">
        <v>45908</v>
      </c>
      <c r="K847" s="12">
        <v>45908</v>
      </c>
      <c r="L847" s="22" t="s">
        <v>731</v>
      </c>
      <c r="M847" s="36">
        <v>0</v>
      </c>
      <c r="N847" s="26"/>
      <c r="O847" t="s">
        <v>202</v>
      </c>
      <c r="P847" t="s">
        <v>328</v>
      </c>
      <c r="Q847" t="s">
        <v>213</v>
      </c>
    </row>
    <row r="848" spans="1:17" x14ac:dyDescent="0.3">
      <c r="A848" s="25">
        <v>1490</v>
      </c>
      <c r="B848" t="s">
        <v>215</v>
      </c>
      <c r="C848" t="s">
        <v>40</v>
      </c>
      <c r="D848" t="s">
        <v>640</v>
      </c>
      <c r="E848" s="121">
        <v>8462</v>
      </c>
      <c r="F848" s="13">
        <v>45866</v>
      </c>
      <c r="G848" s="24">
        <v>2300</v>
      </c>
      <c r="H848" s="24">
        <v>2032.05</v>
      </c>
      <c r="I848" s="3">
        <v>45877</v>
      </c>
      <c r="J848" s="102">
        <v>45908</v>
      </c>
      <c r="K848" s="12">
        <v>45908</v>
      </c>
      <c r="L848" s="22" t="s">
        <v>731</v>
      </c>
      <c r="M848" s="36">
        <v>0</v>
      </c>
      <c r="N848" s="26"/>
      <c r="O848" t="s">
        <v>202</v>
      </c>
      <c r="P848" t="s">
        <v>328</v>
      </c>
      <c r="Q848" t="s">
        <v>213</v>
      </c>
    </row>
    <row r="849" spans="1:17" x14ac:dyDescent="0.3">
      <c r="A849" s="9">
        <v>1480</v>
      </c>
      <c r="B849" t="s">
        <v>193</v>
      </c>
      <c r="C849" t="s">
        <v>184</v>
      </c>
      <c r="D849" t="s">
        <v>732</v>
      </c>
      <c r="E849" s="121">
        <v>4259</v>
      </c>
      <c r="F849" s="13">
        <v>45866</v>
      </c>
      <c r="G849" s="24">
        <v>331667.28000000003</v>
      </c>
      <c r="H849" s="11">
        <v>311269.74</v>
      </c>
      <c r="I849" s="3">
        <v>45888</v>
      </c>
      <c r="J849" s="102">
        <v>45894</v>
      </c>
      <c r="K849" s="5">
        <v>45897</v>
      </c>
      <c r="L849" s="19" t="s">
        <v>731</v>
      </c>
      <c r="M849" s="38"/>
      <c r="N849" s="15"/>
      <c r="O849" t="s">
        <v>199</v>
      </c>
      <c r="P849" t="s">
        <v>376</v>
      </c>
      <c r="Q849" t="s">
        <v>207</v>
      </c>
    </row>
    <row r="850" spans="1:17" x14ac:dyDescent="0.3">
      <c r="A850" s="9">
        <v>1475</v>
      </c>
      <c r="B850" t="s">
        <v>204</v>
      </c>
      <c r="C850" t="s">
        <v>95</v>
      </c>
      <c r="D850" t="s">
        <v>625</v>
      </c>
      <c r="E850" s="121">
        <v>8446</v>
      </c>
      <c r="F850" s="13">
        <v>45866</v>
      </c>
      <c r="G850" s="24">
        <v>70696.11</v>
      </c>
      <c r="H850" s="11">
        <v>63414.42</v>
      </c>
      <c r="I850" s="3">
        <v>45874</v>
      </c>
      <c r="J850" s="102">
        <v>45880</v>
      </c>
      <c r="K850" s="12">
        <v>45882</v>
      </c>
      <c r="L850" s="19" t="s">
        <v>731</v>
      </c>
      <c r="M850" s="35">
        <v>0</v>
      </c>
      <c r="N850"/>
      <c r="O850" t="s">
        <v>199</v>
      </c>
      <c r="P850" t="s">
        <v>340</v>
      </c>
      <c r="Q850" t="s">
        <v>217</v>
      </c>
    </row>
    <row r="851" spans="1:17" x14ac:dyDescent="0.3">
      <c r="A851" s="9">
        <v>1472</v>
      </c>
      <c r="B851" t="s">
        <v>71</v>
      </c>
      <c r="C851" t="s">
        <v>41</v>
      </c>
      <c r="D851" t="s">
        <v>622</v>
      </c>
      <c r="E851" s="121">
        <v>4217</v>
      </c>
      <c r="F851" s="13">
        <v>45866</v>
      </c>
      <c r="G851" s="24">
        <v>100742.39999999999</v>
      </c>
      <c r="H851" s="24">
        <v>94546.74</v>
      </c>
      <c r="I851" s="3">
        <v>45868</v>
      </c>
      <c r="J851" s="102">
        <v>45873</v>
      </c>
      <c r="K851" s="12">
        <v>45875</v>
      </c>
      <c r="L851" s="19" t="s">
        <v>731</v>
      </c>
      <c r="M851" s="38"/>
      <c r="N851" s="15"/>
      <c r="O851" t="s">
        <v>201</v>
      </c>
      <c r="P851" t="s">
        <v>376</v>
      </c>
      <c r="Q851" t="s">
        <v>203</v>
      </c>
    </row>
    <row r="852" spans="1:17" x14ac:dyDescent="0.3">
      <c r="A852" s="9">
        <v>1378</v>
      </c>
      <c r="B852" t="s">
        <v>193</v>
      </c>
      <c r="C852" t="s">
        <v>4</v>
      </c>
      <c r="D852" t="s">
        <v>506</v>
      </c>
      <c r="E852" s="121">
        <v>8479</v>
      </c>
      <c r="F852" s="13">
        <v>45866</v>
      </c>
      <c r="G852" s="24">
        <v>4281.29</v>
      </c>
      <c r="H852" s="11">
        <v>4017.99</v>
      </c>
      <c r="I852" s="3">
        <v>45887</v>
      </c>
      <c r="J852" s="102">
        <v>45908</v>
      </c>
      <c r="K852" s="5">
        <v>45908</v>
      </c>
      <c r="L852" s="19" t="s">
        <v>731</v>
      </c>
      <c r="M852" s="35">
        <v>0</v>
      </c>
      <c r="N852"/>
      <c r="O852" t="s">
        <v>201</v>
      </c>
      <c r="P852" t="s">
        <v>376</v>
      </c>
      <c r="Q852" t="s">
        <v>207</v>
      </c>
    </row>
    <row r="853" spans="1:17" x14ac:dyDescent="0.3">
      <c r="A853" s="9">
        <v>1247</v>
      </c>
      <c r="B853" t="s">
        <v>215</v>
      </c>
      <c r="C853" t="s">
        <v>21</v>
      </c>
      <c r="D853" t="s">
        <v>359</v>
      </c>
      <c r="E853" s="121">
        <v>8445</v>
      </c>
      <c r="F853" s="13">
        <v>45866</v>
      </c>
      <c r="G853" s="24">
        <v>38395.360000000001</v>
      </c>
      <c r="H853" s="24">
        <v>34440.629999999997</v>
      </c>
      <c r="I853" s="3">
        <v>45870</v>
      </c>
      <c r="J853" s="102">
        <v>45887</v>
      </c>
      <c r="K853" s="12">
        <v>45889</v>
      </c>
      <c r="L853" s="19" t="s">
        <v>731</v>
      </c>
      <c r="M853" s="35">
        <v>0</v>
      </c>
      <c r="N853"/>
      <c r="O853" t="s">
        <v>202</v>
      </c>
      <c r="P853" t="s">
        <v>340</v>
      </c>
      <c r="Q853" t="s">
        <v>213</v>
      </c>
    </row>
    <row r="854" spans="1:17" x14ac:dyDescent="0.3">
      <c r="A854" s="9">
        <v>1358</v>
      </c>
      <c r="B854" t="s">
        <v>215</v>
      </c>
      <c r="C854" t="s">
        <v>17</v>
      </c>
      <c r="D854" t="s">
        <v>480</v>
      </c>
      <c r="E854" s="121">
        <v>8474</v>
      </c>
      <c r="F854" s="13">
        <v>45866</v>
      </c>
      <c r="G854" s="24">
        <v>89150.64</v>
      </c>
      <c r="H854" s="46">
        <v>79968.13</v>
      </c>
      <c r="I854" s="3">
        <v>45883</v>
      </c>
      <c r="J854" s="102">
        <v>45894</v>
      </c>
      <c r="K854" s="12">
        <v>45898</v>
      </c>
      <c r="L854" s="19" t="s">
        <v>731</v>
      </c>
      <c r="M854" s="35">
        <v>0</v>
      </c>
      <c r="N854"/>
      <c r="O854" t="s">
        <v>202</v>
      </c>
      <c r="P854" t="s">
        <v>340</v>
      </c>
      <c r="Q854" t="s">
        <v>213</v>
      </c>
    </row>
    <row r="855" spans="1:17" x14ac:dyDescent="0.3">
      <c r="A855" s="9">
        <v>1358</v>
      </c>
      <c r="B855" t="s">
        <v>215</v>
      </c>
      <c r="C855" t="s">
        <v>17</v>
      </c>
      <c r="D855" t="s">
        <v>480</v>
      </c>
      <c r="E855" s="121">
        <v>8475</v>
      </c>
      <c r="F855" s="13">
        <v>45866</v>
      </c>
      <c r="G855" s="24">
        <v>8202.98</v>
      </c>
      <c r="H855" s="46">
        <v>7358.08</v>
      </c>
      <c r="I855" s="3">
        <v>45883</v>
      </c>
      <c r="J855" s="102">
        <v>45915</v>
      </c>
      <c r="K855" s="12">
        <v>45919</v>
      </c>
      <c r="L855" s="19" t="s">
        <v>731</v>
      </c>
      <c r="M855" s="35">
        <v>0</v>
      </c>
      <c r="N855"/>
      <c r="O855" t="s">
        <v>202</v>
      </c>
      <c r="P855" t="s">
        <v>340</v>
      </c>
      <c r="Q855" t="s">
        <v>213</v>
      </c>
    </row>
    <row r="856" spans="1:17" x14ac:dyDescent="0.3">
      <c r="A856" s="9">
        <v>1473</v>
      </c>
      <c r="B856" t="s">
        <v>215</v>
      </c>
      <c r="C856" t="s">
        <v>208</v>
      </c>
      <c r="D856" t="s">
        <v>623</v>
      </c>
      <c r="E856" s="121">
        <v>8483</v>
      </c>
      <c r="F856" s="13">
        <v>45866</v>
      </c>
      <c r="G856" s="24">
        <v>55544.98</v>
      </c>
      <c r="H856" s="24">
        <v>51767.92</v>
      </c>
      <c r="I856" s="3">
        <v>45901</v>
      </c>
      <c r="J856" s="102">
        <v>45915</v>
      </c>
      <c r="K856" s="12">
        <v>45919</v>
      </c>
      <c r="L856" s="19" t="s">
        <v>731</v>
      </c>
      <c r="M856" s="35">
        <v>0</v>
      </c>
      <c r="N856"/>
      <c r="O856" t="s">
        <v>202</v>
      </c>
      <c r="P856" t="s">
        <v>340</v>
      </c>
      <c r="Q856" t="s">
        <v>213</v>
      </c>
    </row>
    <row r="857" spans="1:17" x14ac:dyDescent="0.3">
      <c r="A857" s="9">
        <v>1473</v>
      </c>
      <c r="B857" t="s">
        <v>215</v>
      </c>
      <c r="C857" t="s">
        <v>208</v>
      </c>
      <c r="D857" t="s">
        <v>623</v>
      </c>
      <c r="E857" s="121">
        <v>8521</v>
      </c>
      <c r="F857" s="13">
        <v>45866</v>
      </c>
      <c r="G857" s="24">
        <v>236280.79</v>
      </c>
      <c r="H857" s="24">
        <v>220180.69</v>
      </c>
      <c r="I857" s="3">
        <v>45919</v>
      </c>
      <c r="J857" s="102">
        <v>45943</v>
      </c>
      <c r="K857" s="12">
        <v>45943</v>
      </c>
      <c r="L857" s="19" t="s">
        <v>731</v>
      </c>
      <c r="M857" s="35">
        <v>0</v>
      </c>
      <c r="N857"/>
      <c r="O857" t="s">
        <v>202</v>
      </c>
      <c r="P857" t="s">
        <v>340</v>
      </c>
      <c r="Q857" t="s">
        <v>213</v>
      </c>
    </row>
    <row r="858" spans="1:17" x14ac:dyDescent="0.3">
      <c r="A858" s="25">
        <v>1462</v>
      </c>
      <c r="B858" t="s">
        <v>212</v>
      </c>
      <c r="C858" t="s">
        <v>221</v>
      </c>
      <c r="D858" t="s">
        <v>610</v>
      </c>
      <c r="E858" s="121">
        <v>8468</v>
      </c>
      <c r="F858" s="13">
        <v>45866</v>
      </c>
      <c r="G858" s="24">
        <v>1342.67</v>
      </c>
      <c r="H858" s="24">
        <v>1260.0899999999999</v>
      </c>
      <c r="I858" s="3">
        <v>45880</v>
      </c>
      <c r="J858" s="102">
        <v>45880</v>
      </c>
      <c r="K858" s="12">
        <v>45884</v>
      </c>
      <c r="L858" s="19" t="s">
        <v>731</v>
      </c>
      <c r="M858" s="36">
        <v>0</v>
      </c>
      <c r="N858" s="26"/>
      <c r="O858" t="s">
        <v>202</v>
      </c>
      <c r="P858" t="s">
        <v>373</v>
      </c>
      <c r="Q858" t="s">
        <v>207</v>
      </c>
    </row>
    <row r="859" spans="1:17" x14ac:dyDescent="0.3">
      <c r="A859" s="14">
        <v>1260</v>
      </c>
      <c r="B859" t="s">
        <v>193</v>
      </c>
      <c r="C859" t="s">
        <v>121</v>
      </c>
      <c r="D859" t="s">
        <v>372</v>
      </c>
      <c r="E859" s="121">
        <v>4220</v>
      </c>
      <c r="F859" s="13">
        <v>45866</v>
      </c>
      <c r="G859" s="24">
        <v>10914</v>
      </c>
      <c r="H859" s="24">
        <v>10242.790000000001</v>
      </c>
      <c r="I859" s="3">
        <v>45870</v>
      </c>
      <c r="J859" s="102">
        <v>45887</v>
      </c>
      <c r="K859" s="12">
        <v>45889</v>
      </c>
      <c r="L859" s="20" t="s">
        <v>731</v>
      </c>
      <c r="M859" s="35">
        <v>0</v>
      </c>
      <c r="N859"/>
      <c r="O859" t="s">
        <v>199</v>
      </c>
      <c r="P859" t="s">
        <v>373</v>
      </c>
      <c r="Q859" t="s">
        <v>207</v>
      </c>
    </row>
    <row r="860" spans="1:17" x14ac:dyDescent="0.3">
      <c r="A860" s="25">
        <v>1485</v>
      </c>
      <c r="B860" t="s">
        <v>193</v>
      </c>
      <c r="C860" t="s">
        <v>43</v>
      </c>
      <c r="D860" t="s">
        <v>733</v>
      </c>
      <c r="E860" s="121">
        <v>4227</v>
      </c>
      <c r="F860" s="13">
        <v>45866</v>
      </c>
      <c r="G860" s="24">
        <v>27092.86</v>
      </c>
      <c r="H860" s="24">
        <v>25426.65</v>
      </c>
      <c r="I860" s="3">
        <v>45874</v>
      </c>
      <c r="J860" s="102">
        <v>45929</v>
      </c>
      <c r="K860" s="12">
        <v>45930</v>
      </c>
      <c r="L860" s="19" t="s">
        <v>731</v>
      </c>
      <c r="M860" s="36"/>
      <c r="N860" s="26"/>
      <c r="O860" t="s">
        <v>199</v>
      </c>
      <c r="P860" t="s">
        <v>376</v>
      </c>
      <c r="Q860" t="s">
        <v>207</v>
      </c>
    </row>
    <row r="861" spans="1:17" x14ac:dyDescent="0.3">
      <c r="A861" s="9">
        <v>1482</v>
      </c>
      <c r="B861" t="s">
        <v>211</v>
      </c>
      <c r="C861" t="s">
        <v>34</v>
      </c>
      <c r="D861" t="s">
        <v>632</v>
      </c>
      <c r="E861" s="121">
        <v>8443</v>
      </c>
      <c r="F861" s="13">
        <v>45866</v>
      </c>
      <c r="G861" s="24">
        <v>39000</v>
      </c>
      <c r="H861" s="24">
        <v>35236.5</v>
      </c>
      <c r="I861" s="3">
        <v>45870</v>
      </c>
      <c r="J861" s="102">
        <v>45894</v>
      </c>
      <c r="K861" s="12">
        <v>45898</v>
      </c>
      <c r="L861" s="37" t="s">
        <v>731</v>
      </c>
      <c r="M861" s="43"/>
      <c r="N861" s="15"/>
      <c r="O861" t="s">
        <v>202</v>
      </c>
      <c r="P861" t="s">
        <v>328</v>
      </c>
      <c r="Q861" t="s">
        <v>207</v>
      </c>
    </row>
    <row r="862" spans="1:17" x14ac:dyDescent="0.3">
      <c r="A862" s="25">
        <v>1262</v>
      </c>
      <c r="B862" t="s">
        <v>193</v>
      </c>
      <c r="C862" t="s">
        <v>45</v>
      </c>
      <c r="D862" t="s">
        <v>375</v>
      </c>
      <c r="E862" s="121">
        <v>4260</v>
      </c>
      <c r="F862" s="13">
        <v>45866</v>
      </c>
      <c r="G862" s="24">
        <v>32213.51</v>
      </c>
      <c r="H862" s="24">
        <v>30232.37</v>
      </c>
      <c r="I862" s="3">
        <v>45890</v>
      </c>
      <c r="J862" s="102">
        <v>45894</v>
      </c>
      <c r="K862" s="12">
        <v>45898</v>
      </c>
      <c r="L862" s="19" t="s">
        <v>731</v>
      </c>
      <c r="M862" s="36">
        <v>0</v>
      </c>
      <c r="N862" s="26"/>
      <c r="O862" t="s">
        <v>199</v>
      </c>
      <c r="P862" t="s">
        <v>376</v>
      </c>
      <c r="Q862" t="s">
        <v>207</v>
      </c>
    </row>
    <row r="863" spans="1:17" x14ac:dyDescent="0.3">
      <c r="A863" s="25">
        <v>1360</v>
      </c>
      <c r="B863" t="s">
        <v>71</v>
      </c>
      <c r="C863" t="s">
        <v>44</v>
      </c>
      <c r="D863" t="s">
        <v>483</v>
      </c>
      <c r="E863" s="121">
        <v>4150</v>
      </c>
      <c r="F863" s="13">
        <v>45836</v>
      </c>
      <c r="G863" s="24">
        <v>26435.279999999999</v>
      </c>
      <c r="H863" s="27">
        <v>24809.51</v>
      </c>
      <c r="I863" s="3">
        <v>45841</v>
      </c>
      <c r="J863" s="102">
        <v>45894</v>
      </c>
      <c r="K863" s="12">
        <v>45896</v>
      </c>
      <c r="L863" s="19" t="s">
        <v>731</v>
      </c>
      <c r="M863" s="36"/>
      <c r="N863"/>
      <c r="O863" t="s">
        <v>199</v>
      </c>
      <c r="P863" t="s">
        <v>376</v>
      </c>
      <c r="Q863" t="s">
        <v>203</v>
      </c>
    </row>
    <row r="864" spans="1:17" x14ac:dyDescent="0.3">
      <c r="A864" s="25">
        <v>1262</v>
      </c>
      <c r="B864" t="s">
        <v>193</v>
      </c>
      <c r="C864" t="s">
        <v>45</v>
      </c>
      <c r="D864" t="s">
        <v>375</v>
      </c>
      <c r="E864" s="121">
        <v>4262</v>
      </c>
      <c r="F864" s="13">
        <v>45866</v>
      </c>
      <c r="G864" s="24">
        <v>12185.04</v>
      </c>
      <c r="H864" s="24">
        <v>11435.66</v>
      </c>
      <c r="I864" s="3">
        <v>45890</v>
      </c>
      <c r="J864" s="102">
        <v>45894</v>
      </c>
      <c r="K864" s="12">
        <v>45898</v>
      </c>
      <c r="L864" s="19" t="s">
        <v>731</v>
      </c>
      <c r="M864" s="36">
        <v>0</v>
      </c>
      <c r="N864" s="26"/>
      <c r="O864" t="s">
        <v>199</v>
      </c>
      <c r="P864" t="s">
        <v>376</v>
      </c>
      <c r="Q864" t="s">
        <v>207</v>
      </c>
    </row>
    <row r="865" spans="1:17" x14ac:dyDescent="0.3">
      <c r="A865" s="25">
        <v>1262</v>
      </c>
      <c r="B865" t="s">
        <v>193</v>
      </c>
      <c r="C865" t="s">
        <v>45</v>
      </c>
      <c r="D865" t="s">
        <v>375</v>
      </c>
      <c r="E865" s="121">
        <v>4263</v>
      </c>
      <c r="F865" s="13">
        <v>45866</v>
      </c>
      <c r="G865" s="24">
        <v>55484.9</v>
      </c>
      <c r="H865" s="24">
        <v>52072.58</v>
      </c>
      <c r="I865" s="3">
        <v>45890</v>
      </c>
      <c r="J865" s="102">
        <v>45894</v>
      </c>
      <c r="K865" s="12">
        <v>45898</v>
      </c>
      <c r="L865" s="19" t="s">
        <v>731</v>
      </c>
      <c r="M865" s="36">
        <v>0</v>
      </c>
      <c r="N865" s="26"/>
      <c r="O865" t="s">
        <v>199</v>
      </c>
      <c r="P865" t="s">
        <v>376</v>
      </c>
      <c r="Q865" t="s">
        <v>207</v>
      </c>
    </row>
    <row r="866" spans="1:17" x14ac:dyDescent="0.3">
      <c r="A866" s="25">
        <v>1262</v>
      </c>
      <c r="B866" t="s">
        <v>193</v>
      </c>
      <c r="C866" t="s">
        <v>45</v>
      </c>
      <c r="D866" t="s">
        <v>375</v>
      </c>
      <c r="E866" s="121">
        <v>4266</v>
      </c>
      <c r="F866" s="13">
        <v>45866</v>
      </c>
      <c r="G866" s="24">
        <v>5222.16</v>
      </c>
      <c r="H866" s="24">
        <v>4901.01</v>
      </c>
      <c r="I866" s="3">
        <v>45890</v>
      </c>
      <c r="J866" s="102">
        <v>45894</v>
      </c>
      <c r="K866" s="12">
        <v>45898</v>
      </c>
      <c r="L866" s="19" t="s">
        <v>731</v>
      </c>
      <c r="M866" s="36">
        <v>0</v>
      </c>
      <c r="N866" s="26"/>
      <c r="O866" t="s">
        <v>199</v>
      </c>
      <c r="P866" t="s">
        <v>376</v>
      </c>
      <c r="Q866" t="s">
        <v>207</v>
      </c>
    </row>
    <row r="867" spans="1:17" x14ac:dyDescent="0.3">
      <c r="A867" s="9">
        <v>1269</v>
      </c>
      <c r="B867" t="s">
        <v>193</v>
      </c>
      <c r="C867" t="s">
        <v>45</v>
      </c>
      <c r="D867" t="s">
        <v>384</v>
      </c>
      <c r="E867" s="121">
        <v>4264</v>
      </c>
      <c r="F867" s="13">
        <v>45866</v>
      </c>
      <c r="G867" s="24">
        <v>198578.23</v>
      </c>
      <c r="H867" s="24">
        <v>186365.67</v>
      </c>
      <c r="I867" s="3">
        <v>45890</v>
      </c>
      <c r="J867" s="102">
        <v>45894</v>
      </c>
      <c r="K867" s="12">
        <v>45898</v>
      </c>
      <c r="L867" s="19" t="s">
        <v>731</v>
      </c>
      <c r="M867" s="35">
        <v>0</v>
      </c>
      <c r="N867" s="15"/>
      <c r="O867" t="s">
        <v>202</v>
      </c>
      <c r="P867" t="s">
        <v>376</v>
      </c>
      <c r="Q867" t="s">
        <v>207</v>
      </c>
    </row>
    <row r="868" spans="1:17" x14ac:dyDescent="0.3">
      <c r="A868" s="9">
        <v>1269</v>
      </c>
      <c r="B868" t="s">
        <v>193</v>
      </c>
      <c r="C868" t="s">
        <v>45</v>
      </c>
      <c r="D868" t="s">
        <v>384</v>
      </c>
      <c r="E868" s="121">
        <v>4265</v>
      </c>
      <c r="F868" s="13">
        <v>45866</v>
      </c>
      <c r="G868" s="24">
        <v>9979.68</v>
      </c>
      <c r="H868" s="24">
        <v>9365.92</v>
      </c>
      <c r="I868" s="3">
        <v>45890</v>
      </c>
      <c r="J868" s="102">
        <v>45894</v>
      </c>
      <c r="K868" s="12">
        <v>45898</v>
      </c>
      <c r="L868" s="19" t="s">
        <v>731</v>
      </c>
      <c r="M868" s="35">
        <v>0</v>
      </c>
      <c r="N868" s="15"/>
      <c r="O868" t="s">
        <v>202</v>
      </c>
      <c r="P868" t="s">
        <v>376</v>
      </c>
      <c r="Q868" t="s">
        <v>207</v>
      </c>
    </row>
    <row r="869" spans="1:17" x14ac:dyDescent="0.3">
      <c r="A869" s="9">
        <v>1269</v>
      </c>
      <c r="B869" t="s">
        <v>193</v>
      </c>
      <c r="C869" t="s">
        <v>45</v>
      </c>
      <c r="D869" t="s">
        <v>384</v>
      </c>
      <c r="E869" s="121">
        <v>4267</v>
      </c>
      <c r="F869" s="13">
        <v>45866</v>
      </c>
      <c r="G869" s="24">
        <v>10876.23</v>
      </c>
      <c r="H869" s="24">
        <v>10207.34</v>
      </c>
      <c r="I869" s="3">
        <v>45890</v>
      </c>
      <c r="J869" s="102">
        <v>45894</v>
      </c>
      <c r="K869" s="12">
        <v>45898</v>
      </c>
      <c r="L869" s="19" t="s">
        <v>731</v>
      </c>
      <c r="M869" s="35">
        <v>0</v>
      </c>
      <c r="N869" s="15"/>
      <c r="O869" t="s">
        <v>202</v>
      </c>
      <c r="P869" t="s">
        <v>376</v>
      </c>
      <c r="Q869" t="s">
        <v>207</v>
      </c>
    </row>
    <row r="870" spans="1:17" x14ac:dyDescent="0.3">
      <c r="A870" s="9">
        <v>1269</v>
      </c>
      <c r="B870" t="s">
        <v>193</v>
      </c>
      <c r="C870" t="s">
        <v>45</v>
      </c>
      <c r="D870" t="s">
        <v>384</v>
      </c>
      <c r="E870" s="121">
        <v>4268</v>
      </c>
      <c r="F870" s="13">
        <v>45866</v>
      </c>
      <c r="G870" s="24">
        <v>6655.99</v>
      </c>
      <c r="H870" s="24">
        <v>6246.65</v>
      </c>
      <c r="I870" s="3">
        <v>45890</v>
      </c>
      <c r="J870" s="102">
        <v>45894</v>
      </c>
      <c r="K870" s="12">
        <v>45898</v>
      </c>
      <c r="L870" s="19" t="s">
        <v>731</v>
      </c>
      <c r="M870" s="35">
        <v>0</v>
      </c>
      <c r="N870" s="15"/>
      <c r="O870" t="s">
        <v>202</v>
      </c>
      <c r="P870" t="s">
        <v>376</v>
      </c>
      <c r="Q870" t="s">
        <v>207</v>
      </c>
    </row>
    <row r="871" spans="1:17" x14ac:dyDescent="0.3">
      <c r="A871" s="9">
        <v>1269</v>
      </c>
      <c r="B871" t="s">
        <v>193</v>
      </c>
      <c r="C871" t="s">
        <v>45</v>
      </c>
      <c r="D871" t="s">
        <v>384</v>
      </c>
      <c r="E871" s="121">
        <v>4269</v>
      </c>
      <c r="F871" s="13">
        <v>45866</v>
      </c>
      <c r="G871" s="24">
        <v>30699.39</v>
      </c>
      <c r="H871" s="24">
        <v>28811.38</v>
      </c>
      <c r="I871" s="3">
        <v>45890</v>
      </c>
      <c r="J871" s="102">
        <v>45894</v>
      </c>
      <c r="K871" s="12">
        <v>45898</v>
      </c>
      <c r="L871" s="19" t="s">
        <v>731</v>
      </c>
      <c r="M871" s="35">
        <v>0</v>
      </c>
      <c r="N871" s="15"/>
      <c r="O871" t="s">
        <v>202</v>
      </c>
      <c r="P871" t="s">
        <v>376</v>
      </c>
      <c r="Q871" t="s">
        <v>207</v>
      </c>
    </row>
    <row r="872" spans="1:17" x14ac:dyDescent="0.3">
      <c r="A872" s="25">
        <v>1400</v>
      </c>
      <c r="B872" t="s">
        <v>209</v>
      </c>
      <c r="C872" t="s">
        <v>3</v>
      </c>
      <c r="D872" t="s">
        <v>530</v>
      </c>
      <c r="E872" s="121">
        <v>8476</v>
      </c>
      <c r="F872" s="13">
        <v>45866</v>
      </c>
      <c r="G872" s="24">
        <v>77751.44</v>
      </c>
      <c r="H872" s="24">
        <v>70248.429999999993</v>
      </c>
      <c r="I872" s="3">
        <v>45884</v>
      </c>
      <c r="J872" s="102">
        <v>45901</v>
      </c>
      <c r="K872" s="12">
        <v>45904</v>
      </c>
      <c r="L872" s="19" t="s">
        <v>731</v>
      </c>
      <c r="M872" s="39"/>
      <c r="N872"/>
      <c r="O872" t="s">
        <v>199</v>
      </c>
      <c r="P872" t="s">
        <v>328</v>
      </c>
      <c r="Q872" t="s">
        <v>203</v>
      </c>
    </row>
    <row r="873" spans="1:17" x14ac:dyDescent="0.3">
      <c r="A873" s="25">
        <v>1400</v>
      </c>
      <c r="B873" t="s">
        <v>209</v>
      </c>
      <c r="C873" t="s">
        <v>3</v>
      </c>
      <c r="D873" t="s">
        <v>530</v>
      </c>
      <c r="E873" s="121">
        <v>8636</v>
      </c>
      <c r="F873" s="13">
        <v>45866</v>
      </c>
      <c r="G873" s="24">
        <v>524581.19999999995</v>
      </c>
      <c r="H873" s="27">
        <v>473959.12</v>
      </c>
      <c r="I873" s="3">
        <v>45992</v>
      </c>
      <c r="J873" s="102">
        <v>45992</v>
      </c>
      <c r="K873" s="12">
        <v>45995</v>
      </c>
      <c r="L873" s="19" t="s">
        <v>731</v>
      </c>
      <c r="M873" s="36"/>
      <c r="N873"/>
      <c r="O873" t="s">
        <v>199</v>
      </c>
      <c r="P873" t="s">
        <v>328</v>
      </c>
      <c r="Q873" t="s">
        <v>203</v>
      </c>
    </row>
    <row r="874" spans="1:17" x14ac:dyDescent="0.3">
      <c r="A874" s="9">
        <v>1366</v>
      </c>
      <c r="B874" t="s">
        <v>209</v>
      </c>
      <c r="C874" t="s">
        <v>3</v>
      </c>
      <c r="D874" t="s">
        <v>490</v>
      </c>
      <c r="E874" s="121">
        <v>1285</v>
      </c>
      <c r="F874" s="13">
        <v>45866</v>
      </c>
      <c r="G874" s="24">
        <v>338807.37</v>
      </c>
      <c r="H874" s="11">
        <v>306112.39</v>
      </c>
      <c r="I874" s="3">
        <v>45884</v>
      </c>
      <c r="J874" s="102">
        <v>45901</v>
      </c>
      <c r="K874" s="12">
        <v>45904</v>
      </c>
      <c r="L874" s="19" t="s">
        <v>731</v>
      </c>
      <c r="M874" s="35">
        <v>0</v>
      </c>
      <c r="N874"/>
      <c r="O874" t="s">
        <v>202</v>
      </c>
      <c r="P874" t="s">
        <v>328</v>
      </c>
      <c r="Q874" t="s">
        <v>203</v>
      </c>
    </row>
    <row r="875" spans="1:17" x14ac:dyDescent="0.3">
      <c r="A875" s="25">
        <v>1388</v>
      </c>
      <c r="B875" t="s">
        <v>209</v>
      </c>
      <c r="C875" t="s">
        <v>3</v>
      </c>
      <c r="D875" t="s">
        <v>518</v>
      </c>
      <c r="E875" s="121">
        <v>4414</v>
      </c>
      <c r="F875" s="13">
        <v>45866</v>
      </c>
      <c r="G875" s="24">
        <v>189134.02</v>
      </c>
      <c r="H875" s="24">
        <v>170882.6</v>
      </c>
      <c r="I875" s="3">
        <v>45938</v>
      </c>
      <c r="J875" s="102">
        <v>45950</v>
      </c>
      <c r="K875" s="12">
        <v>45953</v>
      </c>
      <c r="L875" s="19" t="s">
        <v>731</v>
      </c>
      <c r="M875" s="36"/>
      <c r="N875"/>
      <c r="O875" t="s">
        <v>199</v>
      </c>
      <c r="P875" t="s">
        <v>328</v>
      </c>
      <c r="Q875" t="s">
        <v>203</v>
      </c>
    </row>
    <row r="876" spans="1:17" x14ac:dyDescent="0.3">
      <c r="A876" s="9">
        <v>1298</v>
      </c>
      <c r="B876" t="s">
        <v>84</v>
      </c>
      <c r="C876" t="s">
        <v>36</v>
      </c>
      <c r="D876" t="s">
        <v>418</v>
      </c>
      <c r="E876" s="121">
        <v>1290</v>
      </c>
      <c r="F876" s="13">
        <v>45866</v>
      </c>
      <c r="G876" s="24">
        <v>275594.28999999998</v>
      </c>
      <c r="H876" s="24">
        <v>258645.25</v>
      </c>
      <c r="I876" s="3">
        <v>45890</v>
      </c>
      <c r="J876" s="102">
        <v>45894</v>
      </c>
      <c r="K876" s="12">
        <v>45898</v>
      </c>
      <c r="L876" s="19" t="s">
        <v>731</v>
      </c>
      <c r="M876" s="56"/>
      <c r="N876"/>
      <c r="O876" t="s">
        <v>202</v>
      </c>
      <c r="P876" t="s">
        <v>340</v>
      </c>
      <c r="Q876" t="s">
        <v>207</v>
      </c>
    </row>
    <row r="877" spans="1:17" x14ac:dyDescent="0.3">
      <c r="A877" s="9">
        <v>1289</v>
      </c>
      <c r="B877" t="s">
        <v>204</v>
      </c>
      <c r="C877" t="s">
        <v>32</v>
      </c>
      <c r="D877" t="s">
        <v>408</v>
      </c>
      <c r="E877" s="121">
        <v>8472</v>
      </c>
      <c r="F877" s="13">
        <v>45866</v>
      </c>
      <c r="G877" s="24">
        <v>288631.78000000003</v>
      </c>
      <c r="H877" s="24">
        <v>269004.81</v>
      </c>
      <c r="I877" s="3">
        <v>45880</v>
      </c>
      <c r="J877" s="102">
        <v>45894</v>
      </c>
      <c r="K877" s="12">
        <v>45895</v>
      </c>
      <c r="L877" s="19" t="s">
        <v>731</v>
      </c>
      <c r="M877" s="35"/>
      <c r="N877"/>
      <c r="O877" t="s">
        <v>202</v>
      </c>
      <c r="P877" t="s">
        <v>340</v>
      </c>
      <c r="Q877" t="s">
        <v>217</v>
      </c>
    </row>
    <row r="878" spans="1:17" x14ac:dyDescent="0.3">
      <c r="A878" s="25">
        <v>1288</v>
      </c>
      <c r="B878" t="s">
        <v>204</v>
      </c>
      <c r="C878" t="s">
        <v>32</v>
      </c>
      <c r="D878" t="s">
        <v>407</v>
      </c>
      <c r="E878" s="121">
        <v>8470</v>
      </c>
      <c r="F878" s="13">
        <v>45866</v>
      </c>
      <c r="G878" s="24">
        <v>378334.86</v>
      </c>
      <c r="H878" s="24">
        <v>352608.09</v>
      </c>
      <c r="I878" s="3">
        <v>45880</v>
      </c>
      <c r="J878" s="102">
        <v>45887</v>
      </c>
      <c r="K878" s="12">
        <v>45891</v>
      </c>
      <c r="L878" s="19" t="s">
        <v>731</v>
      </c>
      <c r="M878" s="36"/>
      <c r="N878"/>
      <c r="O878" t="s">
        <v>199</v>
      </c>
      <c r="P878" t="s">
        <v>340</v>
      </c>
      <c r="Q878" t="s">
        <v>217</v>
      </c>
    </row>
    <row r="879" spans="1:17" x14ac:dyDescent="0.3">
      <c r="A879" s="25">
        <v>1288</v>
      </c>
      <c r="B879" t="s">
        <v>204</v>
      </c>
      <c r="C879" t="s">
        <v>32</v>
      </c>
      <c r="D879" t="s">
        <v>407</v>
      </c>
      <c r="E879" s="121">
        <v>8470</v>
      </c>
      <c r="F879" s="13">
        <v>45866</v>
      </c>
      <c r="G879" s="24">
        <v>15290.359999999986</v>
      </c>
      <c r="H879" s="24">
        <v>14250.619999999995</v>
      </c>
      <c r="I879" s="3">
        <v>45880</v>
      </c>
      <c r="J879" s="102">
        <v>45922</v>
      </c>
      <c r="K879" s="12">
        <v>45925</v>
      </c>
      <c r="L879" s="19" t="s">
        <v>731</v>
      </c>
      <c r="M879" s="36"/>
      <c r="N879"/>
      <c r="O879" t="s">
        <v>199</v>
      </c>
      <c r="P879" t="s">
        <v>340</v>
      </c>
      <c r="Q879" t="s">
        <v>217</v>
      </c>
    </row>
    <row r="880" spans="1:17" x14ac:dyDescent="0.3">
      <c r="A880" s="9">
        <v>1271</v>
      </c>
      <c r="B880" t="s">
        <v>204</v>
      </c>
      <c r="C880" t="s">
        <v>32</v>
      </c>
      <c r="D880" t="s">
        <v>387</v>
      </c>
      <c r="E880" s="121">
        <v>8458</v>
      </c>
      <c r="F880" s="13">
        <v>45866</v>
      </c>
      <c r="G880" s="24">
        <v>255597.54</v>
      </c>
      <c r="H880" s="11">
        <v>238216.91</v>
      </c>
      <c r="I880" s="3">
        <v>45876</v>
      </c>
      <c r="J880" s="102">
        <v>45880</v>
      </c>
      <c r="K880" s="12">
        <v>45883</v>
      </c>
      <c r="L880" s="19" t="s">
        <v>731</v>
      </c>
      <c r="M880" s="35">
        <v>0</v>
      </c>
      <c r="N880"/>
      <c r="O880" t="s">
        <v>202</v>
      </c>
      <c r="P880" t="s">
        <v>340</v>
      </c>
      <c r="Q880" t="s">
        <v>217</v>
      </c>
    </row>
    <row r="881" spans="1:17" x14ac:dyDescent="0.3">
      <c r="A881" s="9">
        <v>1299</v>
      </c>
      <c r="B881" t="s">
        <v>204</v>
      </c>
      <c r="C881" t="s">
        <v>32</v>
      </c>
      <c r="D881" t="s">
        <v>419</v>
      </c>
      <c r="E881" s="121">
        <v>8471</v>
      </c>
      <c r="F881" s="13">
        <v>45866</v>
      </c>
      <c r="G881" s="24">
        <v>611958.6587982832</v>
      </c>
      <c r="H881" s="24">
        <v>570345.47</v>
      </c>
      <c r="I881" s="3">
        <v>45880</v>
      </c>
      <c r="J881" s="102">
        <v>45908</v>
      </c>
      <c r="K881" s="12">
        <v>45911</v>
      </c>
      <c r="L881" s="19" t="s">
        <v>731</v>
      </c>
      <c r="M881" s="55"/>
      <c r="N881" s="15"/>
      <c r="O881" t="s">
        <v>199</v>
      </c>
      <c r="P881" t="s">
        <v>340</v>
      </c>
      <c r="Q881" t="s">
        <v>217</v>
      </c>
    </row>
    <row r="882" spans="1:17" x14ac:dyDescent="0.3">
      <c r="A882" s="9">
        <v>1299</v>
      </c>
      <c r="B882" t="s">
        <v>204</v>
      </c>
      <c r="C882" t="s">
        <v>32</v>
      </c>
      <c r="D882" t="s">
        <v>419</v>
      </c>
      <c r="E882" s="121">
        <v>8471</v>
      </c>
      <c r="F882" s="13">
        <v>45866</v>
      </c>
      <c r="G882" s="24">
        <v>408137.33905579394</v>
      </c>
      <c r="H882" s="24">
        <v>380384</v>
      </c>
      <c r="I882" s="3">
        <v>45880</v>
      </c>
      <c r="J882" s="102">
        <v>45908</v>
      </c>
      <c r="K882" s="12">
        <v>45911</v>
      </c>
      <c r="L882" s="19" t="s">
        <v>731</v>
      </c>
      <c r="M882" s="55"/>
      <c r="N882" s="15"/>
      <c r="O882" t="s">
        <v>199</v>
      </c>
      <c r="P882" t="s">
        <v>340</v>
      </c>
      <c r="Q882" t="s">
        <v>217</v>
      </c>
    </row>
    <row r="883" spans="1:17" x14ac:dyDescent="0.3">
      <c r="A883" s="9">
        <v>1394</v>
      </c>
      <c r="B883" t="s">
        <v>210</v>
      </c>
      <c r="C883" t="s">
        <v>38</v>
      </c>
      <c r="D883" t="s">
        <v>523</v>
      </c>
      <c r="E883" s="121">
        <v>8456</v>
      </c>
      <c r="F883" s="13">
        <v>45866</v>
      </c>
      <c r="G883" s="24">
        <v>117291.83</v>
      </c>
      <c r="H883" s="11">
        <v>109315.98</v>
      </c>
      <c r="I883" s="3">
        <v>45876</v>
      </c>
      <c r="J883" s="102">
        <v>45880</v>
      </c>
      <c r="K883" s="5">
        <v>45882</v>
      </c>
      <c r="L883" s="22" t="s">
        <v>731</v>
      </c>
      <c r="M883" s="56">
        <v>0</v>
      </c>
      <c r="N883" s="15"/>
      <c r="O883" t="s">
        <v>202</v>
      </c>
      <c r="P883" t="s">
        <v>340</v>
      </c>
      <c r="Q883" t="s">
        <v>213</v>
      </c>
    </row>
    <row r="884" spans="1:17" x14ac:dyDescent="0.3">
      <c r="A884" s="9">
        <v>1394</v>
      </c>
      <c r="B884" t="s">
        <v>210</v>
      </c>
      <c r="C884" t="s">
        <v>38</v>
      </c>
      <c r="D884" t="s">
        <v>523</v>
      </c>
      <c r="E884" s="121">
        <v>8459</v>
      </c>
      <c r="F884" s="13">
        <v>45866</v>
      </c>
      <c r="G884" s="24">
        <v>99263.77</v>
      </c>
      <c r="H884" s="11">
        <v>92513.83</v>
      </c>
      <c r="I884" s="3">
        <v>45876</v>
      </c>
      <c r="J884" s="102">
        <v>45887</v>
      </c>
      <c r="K884" s="5">
        <v>45887</v>
      </c>
      <c r="L884" s="22" t="s">
        <v>731</v>
      </c>
      <c r="M884" s="56">
        <v>0</v>
      </c>
      <c r="N884" s="15"/>
      <c r="O884" t="s">
        <v>202</v>
      </c>
      <c r="P884" t="s">
        <v>340</v>
      </c>
      <c r="Q884" t="s">
        <v>213</v>
      </c>
    </row>
    <row r="885" spans="1:17" x14ac:dyDescent="0.3">
      <c r="A885" s="9">
        <v>1394</v>
      </c>
      <c r="B885" t="s">
        <v>210</v>
      </c>
      <c r="C885" t="s">
        <v>38</v>
      </c>
      <c r="D885" t="s">
        <v>523</v>
      </c>
      <c r="E885" s="121">
        <v>8473</v>
      </c>
      <c r="F885" s="13">
        <v>45866</v>
      </c>
      <c r="G885" s="24">
        <v>20934.14</v>
      </c>
      <c r="H885" s="11">
        <v>19510.62</v>
      </c>
      <c r="I885" s="3">
        <v>45882</v>
      </c>
      <c r="J885" s="102">
        <v>45894</v>
      </c>
      <c r="K885" s="5">
        <v>45897</v>
      </c>
      <c r="L885" s="22" t="s">
        <v>731</v>
      </c>
      <c r="M885" s="56">
        <v>0</v>
      </c>
      <c r="N885" s="15"/>
      <c r="O885" t="s">
        <v>202</v>
      </c>
      <c r="P885" t="s">
        <v>340</v>
      </c>
      <c r="Q885" t="s">
        <v>213</v>
      </c>
    </row>
    <row r="886" spans="1:17" x14ac:dyDescent="0.3">
      <c r="A886" s="9">
        <v>1394</v>
      </c>
      <c r="B886" t="s">
        <v>210</v>
      </c>
      <c r="C886" t="s">
        <v>38</v>
      </c>
      <c r="D886" t="s">
        <v>523</v>
      </c>
      <c r="E886" s="121">
        <v>8477</v>
      </c>
      <c r="F886" s="13">
        <v>45866</v>
      </c>
      <c r="G886" s="24">
        <v>297806.21999999997</v>
      </c>
      <c r="H886" s="11">
        <v>277555.40000000002</v>
      </c>
      <c r="I886" s="3">
        <v>45884</v>
      </c>
      <c r="J886" s="102">
        <v>45894</v>
      </c>
      <c r="K886" s="5">
        <v>45896</v>
      </c>
      <c r="L886" s="22" t="s">
        <v>731</v>
      </c>
      <c r="M886" s="56">
        <v>0</v>
      </c>
      <c r="N886" s="15"/>
      <c r="O886" t="s">
        <v>202</v>
      </c>
      <c r="P886" t="s">
        <v>340</v>
      </c>
      <c r="Q886" t="s">
        <v>213</v>
      </c>
    </row>
    <row r="887" spans="1:17" x14ac:dyDescent="0.3">
      <c r="A887" s="9">
        <v>1394</v>
      </c>
      <c r="B887" t="s">
        <v>210</v>
      </c>
      <c r="C887" t="s">
        <v>38</v>
      </c>
      <c r="D887" t="s">
        <v>523</v>
      </c>
      <c r="E887" s="121">
        <v>8478</v>
      </c>
      <c r="F887" s="13">
        <v>45866</v>
      </c>
      <c r="G887" s="24">
        <v>89335</v>
      </c>
      <c r="H887" s="11">
        <v>83260.22</v>
      </c>
      <c r="I887" s="3">
        <v>45884</v>
      </c>
      <c r="J887" s="102">
        <v>45887</v>
      </c>
      <c r="K887" s="5">
        <v>45891</v>
      </c>
      <c r="L887" s="22" t="s">
        <v>731</v>
      </c>
      <c r="M887" s="56">
        <v>0</v>
      </c>
      <c r="N887" s="15"/>
      <c r="O887" t="s">
        <v>202</v>
      </c>
      <c r="P887" t="s">
        <v>340</v>
      </c>
      <c r="Q887" t="s">
        <v>213</v>
      </c>
    </row>
    <row r="888" spans="1:17" x14ac:dyDescent="0.3">
      <c r="A888" s="9">
        <v>1394</v>
      </c>
      <c r="B888" t="s">
        <v>210</v>
      </c>
      <c r="C888" t="s">
        <v>38</v>
      </c>
      <c r="D888" t="s">
        <v>523</v>
      </c>
      <c r="E888" s="121">
        <v>8481</v>
      </c>
      <c r="F888" s="13">
        <v>45866</v>
      </c>
      <c r="G888" s="24">
        <v>199315.68</v>
      </c>
      <c r="H888" s="11">
        <v>185762.22</v>
      </c>
      <c r="I888" s="3">
        <v>45888</v>
      </c>
      <c r="J888" s="102">
        <v>45894</v>
      </c>
      <c r="K888" s="5">
        <v>45896</v>
      </c>
      <c r="L888" s="22" t="s">
        <v>731</v>
      </c>
      <c r="M888" s="56">
        <v>0</v>
      </c>
      <c r="N888" s="15"/>
      <c r="O888" t="s">
        <v>202</v>
      </c>
      <c r="P888" t="s">
        <v>340</v>
      </c>
      <c r="Q888" t="s">
        <v>213</v>
      </c>
    </row>
    <row r="889" spans="1:17" x14ac:dyDescent="0.3">
      <c r="A889" s="9">
        <v>1394</v>
      </c>
      <c r="B889" t="s">
        <v>210</v>
      </c>
      <c r="C889" t="s">
        <v>38</v>
      </c>
      <c r="D889" t="s">
        <v>523</v>
      </c>
      <c r="E889" s="121">
        <v>8482</v>
      </c>
      <c r="F889" s="13">
        <v>45866</v>
      </c>
      <c r="G889" s="24">
        <v>133850.94</v>
      </c>
      <c r="H889" s="11">
        <v>124749.07</v>
      </c>
      <c r="I889" s="3">
        <v>45894</v>
      </c>
      <c r="J889" s="102">
        <v>45901</v>
      </c>
      <c r="K889" s="5">
        <v>45903</v>
      </c>
      <c r="L889" s="22" t="s">
        <v>731</v>
      </c>
      <c r="M889" s="56">
        <v>0</v>
      </c>
      <c r="N889" s="15"/>
      <c r="O889" t="s">
        <v>202</v>
      </c>
      <c r="P889" t="s">
        <v>340</v>
      </c>
      <c r="Q889" t="s">
        <v>213</v>
      </c>
    </row>
    <row r="890" spans="1:17" x14ac:dyDescent="0.3">
      <c r="A890" s="9">
        <v>1394</v>
      </c>
      <c r="B890" t="s">
        <v>210</v>
      </c>
      <c r="C890" t="s">
        <v>38</v>
      </c>
      <c r="D890" t="s">
        <v>523</v>
      </c>
      <c r="E890" s="121">
        <v>8512</v>
      </c>
      <c r="F890" s="13">
        <v>45866</v>
      </c>
      <c r="G890" s="24">
        <v>233745.96</v>
      </c>
      <c r="H890" s="11">
        <v>217851.23</v>
      </c>
      <c r="I890" s="3">
        <v>45911</v>
      </c>
      <c r="J890" s="102">
        <v>45915</v>
      </c>
      <c r="K890" s="5">
        <v>45918</v>
      </c>
      <c r="L890" s="22" t="s">
        <v>731</v>
      </c>
      <c r="M890" s="56">
        <v>0</v>
      </c>
      <c r="N890" s="15"/>
      <c r="O890" t="s">
        <v>202</v>
      </c>
      <c r="P890" t="s">
        <v>340</v>
      </c>
      <c r="Q890" t="s">
        <v>213</v>
      </c>
    </row>
    <row r="891" spans="1:17" x14ac:dyDescent="0.3">
      <c r="A891" s="25">
        <v>1500</v>
      </c>
      <c r="B891" t="s">
        <v>71</v>
      </c>
      <c r="C891" t="s">
        <v>44</v>
      </c>
      <c r="D891" t="s">
        <v>651</v>
      </c>
      <c r="E891" s="121">
        <v>4202</v>
      </c>
      <c r="F891" s="13">
        <v>45866</v>
      </c>
      <c r="G891" s="24">
        <v>17786.88</v>
      </c>
      <c r="H891" s="24">
        <v>16692.990000000002</v>
      </c>
      <c r="I891" s="3">
        <v>45861</v>
      </c>
      <c r="J891" s="102">
        <v>45894</v>
      </c>
      <c r="K891" s="12">
        <v>45896</v>
      </c>
      <c r="L891" s="19" t="s">
        <v>731</v>
      </c>
      <c r="M891" s="36"/>
      <c r="N891"/>
      <c r="O891" t="s">
        <v>201</v>
      </c>
      <c r="P891" t="s">
        <v>376</v>
      </c>
      <c r="Q891" t="s">
        <v>203</v>
      </c>
    </row>
    <row r="892" spans="1:17" x14ac:dyDescent="0.3">
      <c r="A892" s="25">
        <v>1500</v>
      </c>
      <c r="B892" t="s">
        <v>71</v>
      </c>
      <c r="C892" t="s">
        <v>44</v>
      </c>
      <c r="D892" t="s">
        <v>651</v>
      </c>
      <c r="E892" s="121">
        <v>4215</v>
      </c>
      <c r="F892" s="13">
        <v>45866</v>
      </c>
      <c r="G892" s="24">
        <v>45455.360000000001</v>
      </c>
      <c r="H892" s="24">
        <v>42659.86</v>
      </c>
      <c r="I892" s="3">
        <v>45866</v>
      </c>
      <c r="J892" s="102">
        <v>45894</v>
      </c>
      <c r="K892" s="12">
        <v>45896</v>
      </c>
      <c r="L892" s="19" t="s">
        <v>731</v>
      </c>
      <c r="M892" s="36"/>
      <c r="N892"/>
      <c r="O892" t="s">
        <v>201</v>
      </c>
      <c r="P892" t="s">
        <v>376</v>
      </c>
      <c r="Q892" t="s">
        <v>203</v>
      </c>
    </row>
    <row r="893" spans="1:17" x14ac:dyDescent="0.3">
      <c r="A893" s="25">
        <v>1500</v>
      </c>
      <c r="B893" t="s">
        <v>71</v>
      </c>
      <c r="C893" t="s">
        <v>44</v>
      </c>
      <c r="D893" t="s">
        <v>651</v>
      </c>
      <c r="E893" s="121">
        <v>4216</v>
      </c>
      <c r="F893" s="13">
        <v>45866</v>
      </c>
      <c r="G893" s="24">
        <v>51385.02</v>
      </c>
      <c r="H893" s="24">
        <v>48224.84</v>
      </c>
      <c r="I893" s="3">
        <v>45866</v>
      </c>
      <c r="J893" s="102">
        <v>45894</v>
      </c>
      <c r="K893" s="12">
        <v>45896</v>
      </c>
      <c r="L893" s="19" t="s">
        <v>731</v>
      </c>
      <c r="M893" s="36"/>
      <c r="N893"/>
      <c r="O893" t="s">
        <v>201</v>
      </c>
      <c r="P893" t="s">
        <v>376</v>
      </c>
      <c r="Q893" t="s">
        <v>203</v>
      </c>
    </row>
    <row r="894" spans="1:17" x14ac:dyDescent="0.3">
      <c r="A894" s="25">
        <v>1360</v>
      </c>
      <c r="B894" t="s">
        <v>71</v>
      </c>
      <c r="C894" t="s">
        <v>44</v>
      </c>
      <c r="D894" t="s">
        <v>483</v>
      </c>
      <c r="E894" s="121">
        <v>4193</v>
      </c>
      <c r="F894" s="13">
        <v>45866</v>
      </c>
      <c r="G894" s="24">
        <v>182024.48</v>
      </c>
      <c r="H894" s="67">
        <v>170829.97</v>
      </c>
      <c r="I894" s="3">
        <v>45860</v>
      </c>
      <c r="J894" s="102">
        <v>45894</v>
      </c>
      <c r="K894" s="12">
        <v>45896</v>
      </c>
      <c r="L894" s="19" t="s">
        <v>731</v>
      </c>
      <c r="M894" s="36"/>
      <c r="N894"/>
      <c r="O894" t="s">
        <v>199</v>
      </c>
      <c r="P894" t="s">
        <v>376</v>
      </c>
      <c r="Q894" t="s">
        <v>203</v>
      </c>
    </row>
    <row r="895" spans="1:17" x14ac:dyDescent="0.3">
      <c r="A895" s="25">
        <v>1360</v>
      </c>
      <c r="B895" t="s">
        <v>71</v>
      </c>
      <c r="C895" t="s">
        <v>44</v>
      </c>
      <c r="D895" t="s">
        <v>483</v>
      </c>
      <c r="E895" s="121">
        <v>4194</v>
      </c>
      <c r="F895" s="13">
        <v>45866</v>
      </c>
      <c r="G895" s="24">
        <v>46640</v>
      </c>
      <c r="H895" s="67">
        <v>43771.63</v>
      </c>
      <c r="I895" s="3">
        <v>45860</v>
      </c>
      <c r="J895" s="102">
        <v>45894</v>
      </c>
      <c r="K895" s="12">
        <v>45896</v>
      </c>
      <c r="L895" s="19" t="s">
        <v>731</v>
      </c>
      <c r="M895" s="36"/>
      <c r="N895"/>
      <c r="O895" t="s">
        <v>199</v>
      </c>
      <c r="P895" t="s">
        <v>376</v>
      </c>
      <c r="Q895" t="s">
        <v>203</v>
      </c>
    </row>
    <row r="896" spans="1:17" x14ac:dyDescent="0.3">
      <c r="A896" s="25">
        <v>1360</v>
      </c>
      <c r="B896" t="s">
        <v>71</v>
      </c>
      <c r="C896" t="s">
        <v>44</v>
      </c>
      <c r="D896" t="s">
        <v>483</v>
      </c>
      <c r="E896" s="121">
        <v>4195</v>
      </c>
      <c r="F896" s="13">
        <v>45866</v>
      </c>
      <c r="G896" s="24">
        <v>28846.400000000001</v>
      </c>
      <c r="H896" s="67">
        <v>27072.34</v>
      </c>
      <c r="I896" s="3">
        <v>45861</v>
      </c>
      <c r="J896" s="102">
        <v>45894</v>
      </c>
      <c r="K896" s="12">
        <v>45896</v>
      </c>
      <c r="L896" s="19" t="s">
        <v>731</v>
      </c>
      <c r="M896" s="36"/>
      <c r="N896"/>
      <c r="O896" t="s">
        <v>199</v>
      </c>
      <c r="P896" t="s">
        <v>376</v>
      </c>
      <c r="Q896" t="s">
        <v>203</v>
      </c>
    </row>
    <row r="897" spans="1:17" x14ac:dyDescent="0.3">
      <c r="A897" s="25">
        <v>1360</v>
      </c>
      <c r="B897" t="s">
        <v>71</v>
      </c>
      <c r="C897" t="s">
        <v>44</v>
      </c>
      <c r="D897" t="s">
        <v>483</v>
      </c>
      <c r="E897" s="121">
        <v>4196</v>
      </c>
      <c r="F897" s="13">
        <v>45866</v>
      </c>
      <c r="G897" s="24">
        <v>202030.56</v>
      </c>
      <c r="H897" s="67">
        <v>189605.66</v>
      </c>
      <c r="I897" s="3">
        <v>45861</v>
      </c>
      <c r="J897" s="102">
        <v>45894</v>
      </c>
      <c r="K897" s="12">
        <v>45896</v>
      </c>
      <c r="L897" s="19" t="s">
        <v>731</v>
      </c>
      <c r="M897" s="36"/>
      <c r="N897"/>
      <c r="O897" t="s">
        <v>199</v>
      </c>
      <c r="P897" t="s">
        <v>376</v>
      </c>
      <c r="Q897" t="s">
        <v>203</v>
      </c>
    </row>
    <row r="898" spans="1:17" x14ac:dyDescent="0.3">
      <c r="A898" s="25">
        <v>1360</v>
      </c>
      <c r="B898" t="s">
        <v>71</v>
      </c>
      <c r="C898" t="s">
        <v>44</v>
      </c>
      <c r="D898" t="s">
        <v>483</v>
      </c>
      <c r="E898" s="121">
        <v>4199</v>
      </c>
      <c r="F898" s="13">
        <v>45866</v>
      </c>
      <c r="G898" s="24">
        <v>25160</v>
      </c>
      <c r="H898" s="67">
        <v>23612.65</v>
      </c>
      <c r="I898" s="3">
        <v>45861</v>
      </c>
      <c r="J898" s="102">
        <v>45894</v>
      </c>
      <c r="K898" s="12">
        <v>45896</v>
      </c>
      <c r="L898" s="19" t="s">
        <v>731</v>
      </c>
      <c r="M898" s="36"/>
      <c r="N898"/>
      <c r="O898" t="s">
        <v>199</v>
      </c>
      <c r="P898" t="s">
        <v>376</v>
      </c>
      <c r="Q898" t="s">
        <v>203</v>
      </c>
    </row>
    <row r="899" spans="1:17" x14ac:dyDescent="0.3">
      <c r="A899" s="25">
        <v>1360</v>
      </c>
      <c r="B899" t="s">
        <v>71</v>
      </c>
      <c r="C899" t="s">
        <v>44</v>
      </c>
      <c r="D899" t="s">
        <v>483</v>
      </c>
      <c r="E899" s="121">
        <v>4200</v>
      </c>
      <c r="F899" s="13">
        <v>45866</v>
      </c>
      <c r="G899" s="24">
        <v>694.4</v>
      </c>
      <c r="H899" s="27">
        <v>651.70000000000005</v>
      </c>
      <c r="I899" s="3">
        <v>45861</v>
      </c>
      <c r="J899" s="102">
        <v>45894</v>
      </c>
      <c r="K899" s="12">
        <v>45896</v>
      </c>
      <c r="L899" s="19" t="s">
        <v>731</v>
      </c>
      <c r="M899" s="36"/>
      <c r="N899"/>
      <c r="O899" t="s">
        <v>199</v>
      </c>
      <c r="P899" t="s">
        <v>376</v>
      </c>
      <c r="Q899" t="s">
        <v>203</v>
      </c>
    </row>
    <row r="900" spans="1:17" x14ac:dyDescent="0.3">
      <c r="A900" s="25">
        <v>1360</v>
      </c>
      <c r="B900" t="s">
        <v>71</v>
      </c>
      <c r="C900" t="s">
        <v>44</v>
      </c>
      <c r="D900" t="s">
        <v>483</v>
      </c>
      <c r="E900" s="121">
        <v>4201</v>
      </c>
      <c r="F900" s="13">
        <v>45866</v>
      </c>
      <c r="G900" s="24">
        <v>72788.69</v>
      </c>
      <c r="H900" s="27">
        <v>68312.179999999993</v>
      </c>
      <c r="I900" s="3">
        <v>45861</v>
      </c>
      <c r="J900" s="102">
        <v>45894</v>
      </c>
      <c r="K900" s="12">
        <v>45896</v>
      </c>
      <c r="L900" s="19" t="s">
        <v>731</v>
      </c>
      <c r="M900" s="36"/>
      <c r="N900"/>
      <c r="O900" t="s">
        <v>199</v>
      </c>
      <c r="P900" t="s">
        <v>376</v>
      </c>
      <c r="Q900" t="s">
        <v>203</v>
      </c>
    </row>
    <row r="901" spans="1:17" x14ac:dyDescent="0.3">
      <c r="A901" s="25">
        <v>1360</v>
      </c>
      <c r="B901" t="s">
        <v>71</v>
      </c>
      <c r="C901" t="s">
        <v>44</v>
      </c>
      <c r="D901" t="s">
        <v>483</v>
      </c>
      <c r="E901" s="121">
        <v>4203</v>
      </c>
      <c r="F901" s="13">
        <v>45866</v>
      </c>
      <c r="G901" s="24">
        <v>13896</v>
      </c>
      <c r="H901" s="27">
        <v>13041.4</v>
      </c>
      <c r="I901" s="3">
        <v>45861</v>
      </c>
      <c r="J901" s="102">
        <v>45894</v>
      </c>
      <c r="K901" s="12">
        <v>45896</v>
      </c>
      <c r="L901" s="19" t="s">
        <v>731</v>
      </c>
      <c r="M901" s="36"/>
      <c r="N901"/>
      <c r="O901" t="s">
        <v>199</v>
      </c>
      <c r="P901" t="s">
        <v>376</v>
      </c>
      <c r="Q901" t="s">
        <v>203</v>
      </c>
    </row>
    <row r="902" spans="1:17" x14ac:dyDescent="0.3">
      <c r="A902" s="25">
        <v>1360</v>
      </c>
      <c r="B902" t="s">
        <v>71</v>
      </c>
      <c r="C902" t="s">
        <v>44</v>
      </c>
      <c r="D902" t="s">
        <v>483</v>
      </c>
      <c r="E902" s="121">
        <v>4205</v>
      </c>
      <c r="F902" s="13">
        <v>45866</v>
      </c>
      <c r="G902" s="24">
        <v>45989.440000000002</v>
      </c>
      <c r="H902" s="27">
        <v>43161.1</v>
      </c>
      <c r="I902" s="3">
        <v>45861</v>
      </c>
      <c r="J902" s="102">
        <v>45894</v>
      </c>
      <c r="K902" s="12">
        <v>45896</v>
      </c>
      <c r="L902" s="19" t="s">
        <v>731</v>
      </c>
      <c r="M902" s="36"/>
      <c r="N902"/>
      <c r="O902" t="s">
        <v>199</v>
      </c>
      <c r="P902" t="s">
        <v>376</v>
      </c>
      <c r="Q902" t="s">
        <v>203</v>
      </c>
    </row>
    <row r="903" spans="1:17" x14ac:dyDescent="0.3">
      <c r="A903" s="25">
        <v>1360</v>
      </c>
      <c r="B903" t="s">
        <v>71</v>
      </c>
      <c r="C903" t="s">
        <v>44</v>
      </c>
      <c r="D903" t="s">
        <v>483</v>
      </c>
      <c r="E903" s="121">
        <v>4206</v>
      </c>
      <c r="F903" s="13">
        <v>45866</v>
      </c>
      <c r="G903" s="24">
        <v>72274.399999999994</v>
      </c>
      <c r="H903" s="27">
        <v>67829.53</v>
      </c>
      <c r="I903" s="3">
        <v>45863</v>
      </c>
      <c r="J903" s="102">
        <v>45894</v>
      </c>
      <c r="K903" s="12">
        <v>45896</v>
      </c>
      <c r="L903" s="19" t="s">
        <v>731</v>
      </c>
      <c r="M903" s="36"/>
      <c r="N903"/>
      <c r="O903" t="s">
        <v>199</v>
      </c>
      <c r="P903" t="s">
        <v>376</v>
      </c>
      <c r="Q903" t="s">
        <v>203</v>
      </c>
    </row>
    <row r="904" spans="1:17" x14ac:dyDescent="0.3">
      <c r="A904" s="25">
        <v>1360</v>
      </c>
      <c r="B904" t="s">
        <v>71</v>
      </c>
      <c r="C904" t="s">
        <v>44</v>
      </c>
      <c r="D904" t="s">
        <v>483</v>
      </c>
      <c r="E904" s="121">
        <v>4208</v>
      </c>
      <c r="F904" s="13">
        <v>45866</v>
      </c>
      <c r="G904" s="24">
        <v>68015.199999999997</v>
      </c>
      <c r="H904" s="27">
        <v>63832.26</v>
      </c>
      <c r="I904" s="3">
        <v>45863</v>
      </c>
      <c r="J904" s="102">
        <v>45894</v>
      </c>
      <c r="K904" s="12">
        <v>45896</v>
      </c>
      <c r="L904" s="19" t="s">
        <v>731</v>
      </c>
      <c r="M904" s="36"/>
      <c r="N904"/>
      <c r="O904" t="s">
        <v>199</v>
      </c>
      <c r="P904" t="s">
        <v>376</v>
      </c>
      <c r="Q904" t="s">
        <v>203</v>
      </c>
    </row>
    <row r="905" spans="1:17" x14ac:dyDescent="0.3">
      <c r="A905" s="25">
        <v>1360</v>
      </c>
      <c r="B905" t="s">
        <v>71</v>
      </c>
      <c r="C905" t="s">
        <v>44</v>
      </c>
      <c r="D905" t="s">
        <v>483</v>
      </c>
      <c r="E905" s="121">
        <v>4209</v>
      </c>
      <c r="F905" s="13">
        <v>45866</v>
      </c>
      <c r="G905" s="24">
        <v>79055.679999999993</v>
      </c>
      <c r="H905" s="27">
        <v>74193.75</v>
      </c>
      <c r="I905" s="3">
        <v>45863</v>
      </c>
      <c r="J905" s="102">
        <v>45894</v>
      </c>
      <c r="K905" s="12">
        <v>45896</v>
      </c>
      <c r="L905" s="19" t="s">
        <v>731</v>
      </c>
      <c r="M905" s="36"/>
      <c r="N905"/>
      <c r="O905" t="s">
        <v>199</v>
      </c>
      <c r="P905" t="s">
        <v>376</v>
      </c>
      <c r="Q905" t="s">
        <v>203</v>
      </c>
    </row>
    <row r="906" spans="1:17" x14ac:dyDescent="0.3">
      <c r="A906" s="25">
        <v>1360</v>
      </c>
      <c r="B906" t="s">
        <v>71</v>
      </c>
      <c r="C906" t="s">
        <v>44</v>
      </c>
      <c r="D906" t="s">
        <v>483</v>
      </c>
      <c r="E906" s="121">
        <v>4210</v>
      </c>
      <c r="F906" s="13">
        <v>45866</v>
      </c>
      <c r="G906" s="24">
        <v>110209.36</v>
      </c>
      <c r="H906" s="27">
        <v>103431.49</v>
      </c>
      <c r="I906" s="3">
        <v>45863</v>
      </c>
      <c r="J906" s="102">
        <v>45894</v>
      </c>
      <c r="K906" s="12">
        <v>45896</v>
      </c>
      <c r="L906" s="19" t="s">
        <v>731</v>
      </c>
      <c r="M906" s="36"/>
      <c r="N906"/>
      <c r="O906" t="s">
        <v>199</v>
      </c>
      <c r="P906" t="s">
        <v>376</v>
      </c>
      <c r="Q906" t="s">
        <v>203</v>
      </c>
    </row>
    <row r="907" spans="1:17" x14ac:dyDescent="0.3">
      <c r="A907" s="25">
        <v>1360</v>
      </c>
      <c r="B907" t="s">
        <v>71</v>
      </c>
      <c r="C907" t="s">
        <v>44</v>
      </c>
      <c r="D907" t="s">
        <v>483</v>
      </c>
      <c r="E907" s="121">
        <v>4211</v>
      </c>
      <c r="F907" s="13">
        <v>45866</v>
      </c>
      <c r="G907" s="24">
        <v>87403.66</v>
      </c>
      <c r="H907" s="27">
        <v>82028.34</v>
      </c>
      <c r="I907" s="3">
        <v>45863</v>
      </c>
      <c r="J907" s="102">
        <v>45894</v>
      </c>
      <c r="K907" s="12">
        <v>45896</v>
      </c>
      <c r="L907" s="19" t="s">
        <v>731</v>
      </c>
      <c r="M907" s="36"/>
      <c r="N907"/>
      <c r="O907" t="s">
        <v>199</v>
      </c>
      <c r="P907" t="s">
        <v>376</v>
      </c>
      <c r="Q907" t="s">
        <v>203</v>
      </c>
    </row>
    <row r="908" spans="1:17" x14ac:dyDescent="0.3">
      <c r="A908" s="25">
        <v>1360</v>
      </c>
      <c r="B908" t="s">
        <v>71</v>
      </c>
      <c r="C908" t="s">
        <v>44</v>
      </c>
      <c r="D908" t="s">
        <v>483</v>
      </c>
      <c r="E908" s="121">
        <v>4212</v>
      </c>
      <c r="F908" s="13">
        <v>45866</v>
      </c>
      <c r="G908" s="24">
        <v>30880</v>
      </c>
      <c r="H908" s="27">
        <v>28980.880000000001</v>
      </c>
      <c r="I908" s="3">
        <v>45866</v>
      </c>
      <c r="J908" s="102">
        <v>45894</v>
      </c>
      <c r="K908" s="12">
        <v>45896</v>
      </c>
      <c r="L908" s="19" t="s">
        <v>731</v>
      </c>
      <c r="M908" s="36"/>
      <c r="N908"/>
      <c r="O908" t="s">
        <v>199</v>
      </c>
      <c r="P908" t="s">
        <v>376</v>
      </c>
      <c r="Q908" t="s">
        <v>203</v>
      </c>
    </row>
    <row r="909" spans="1:17" x14ac:dyDescent="0.3">
      <c r="A909" s="25">
        <v>1360</v>
      </c>
      <c r="B909" t="s">
        <v>71</v>
      </c>
      <c r="C909" t="s">
        <v>44</v>
      </c>
      <c r="D909" t="s">
        <v>483</v>
      </c>
      <c r="E909" s="121">
        <v>4213</v>
      </c>
      <c r="F909" s="13">
        <v>45866</v>
      </c>
      <c r="G909" s="24">
        <v>33968</v>
      </c>
      <c r="H909" s="27">
        <v>31878.97</v>
      </c>
      <c r="I909" s="3">
        <v>45866</v>
      </c>
      <c r="J909" s="102">
        <v>45894</v>
      </c>
      <c r="K909" s="12">
        <v>45896</v>
      </c>
      <c r="L909" s="19" t="s">
        <v>731</v>
      </c>
      <c r="M909" s="36"/>
      <c r="N909"/>
      <c r="O909" t="s">
        <v>199</v>
      </c>
      <c r="P909" t="s">
        <v>376</v>
      </c>
      <c r="Q909" t="s">
        <v>203</v>
      </c>
    </row>
    <row r="910" spans="1:17" x14ac:dyDescent="0.3">
      <c r="A910" s="25">
        <v>1360</v>
      </c>
      <c r="B910" t="s">
        <v>71</v>
      </c>
      <c r="C910" t="s">
        <v>44</v>
      </c>
      <c r="D910" t="s">
        <v>483</v>
      </c>
      <c r="E910" s="121">
        <v>4218</v>
      </c>
      <c r="F910" s="13">
        <v>45866</v>
      </c>
      <c r="G910" s="24">
        <v>39238.080000000002</v>
      </c>
      <c r="H910" s="24">
        <v>36824.94</v>
      </c>
      <c r="I910" s="3">
        <v>45869</v>
      </c>
      <c r="J910" s="102">
        <v>45901</v>
      </c>
      <c r="K910" s="12">
        <v>45901</v>
      </c>
      <c r="L910" s="19" t="s">
        <v>731</v>
      </c>
      <c r="M910" s="36"/>
      <c r="N910"/>
      <c r="O910" t="s">
        <v>199</v>
      </c>
      <c r="P910" t="s">
        <v>376</v>
      </c>
      <c r="Q910" t="s">
        <v>203</v>
      </c>
    </row>
    <row r="911" spans="1:17" x14ac:dyDescent="0.3">
      <c r="A911" s="25">
        <v>1360</v>
      </c>
      <c r="B911" t="s">
        <v>71</v>
      </c>
      <c r="C911" t="s">
        <v>44</v>
      </c>
      <c r="D911" t="s">
        <v>483</v>
      </c>
      <c r="E911" s="121">
        <v>4384</v>
      </c>
      <c r="F911" s="13">
        <v>45866</v>
      </c>
      <c r="G911" s="24">
        <v>12254.21</v>
      </c>
      <c r="H911" s="24">
        <v>11500.58</v>
      </c>
      <c r="I911" s="3">
        <v>45931</v>
      </c>
      <c r="J911" s="102">
        <v>45936</v>
      </c>
      <c r="K911" s="12">
        <v>45937</v>
      </c>
      <c r="L911" s="19" t="s">
        <v>731</v>
      </c>
      <c r="M911" s="36"/>
      <c r="N911"/>
      <c r="O911" t="s">
        <v>199</v>
      </c>
      <c r="P911" t="s">
        <v>376</v>
      </c>
      <c r="Q911" t="s">
        <v>203</v>
      </c>
    </row>
    <row r="912" spans="1:17" x14ac:dyDescent="0.3">
      <c r="A912" s="25">
        <v>1387</v>
      </c>
      <c r="B912" t="s">
        <v>71</v>
      </c>
      <c r="C912" t="s">
        <v>44</v>
      </c>
      <c r="D912" t="s">
        <v>517</v>
      </c>
      <c r="E912" s="121">
        <v>4197</v>
      </c>
      <c r="F912" s="13">
        <v>45866</v>
      </c>
      <c r="G912" s="24">
        <v>29920</v>
      </c>
      <c r="H912" s="27">
        <v>28079.919999999998</v>
      </c>
      <c r="I912" s="3">
        <v>45861</v>
      </c>
      <c r="J912" s="102">
        <v>45894</v>
      </c>
      <c r="K912" s="12">
        <v>45896</v>
      </c>
      <c r="L912" s="19" t="s">
        <v>731</v>
      </c>
      <c r="M912" s="36"/>
      <c r="N912"/>
      <c r="O912" t="s">
        <v>202</v>
      </c>
      <c r="P912" t="s">
        <v>376</v>
      </c>
      <c r="Q912" t="s">
        <v>203</v>
      </c>
    </row>
    <row r="913" spans="1:17" x14ac:dyDescent="0.3">
      <c r="A913" s="25">
        <v>1387</v>
      </c>
      <c r="B913" t="s">
        <v>71</v>
      </c>
      <c r="C913" t="s">
        <v>44</v>
      </c>
      <c r="D913" t="s">
        <v>517</v>
      </c>
      <c r="E913" s="121">
        <v>4207</v>
      </c>
      <c r="F913" s="13">
        <v>45866</v>
      </c>
      <c r="G913" s="24">
        <v>82559.839999999997</v>
      </c>
      <c r="H913" s="27">
        <v>77482.399999999994</v>
      </c>
      <c r="I913" s="3">
        <v>45863</v>
      </c>
      <c r="J913" s="102">
        <v>45894</v>
      </c>
      <c r="K913" s="12">
        <v>45896</v>
      </c>
      <c r="L913" s="19" t="s">
        <v>731</v>
      </c>
      <c r="M913" s="36"/>
      <c r="N913"/>
      <c r="O913" t="s">
        <v>202</v>
      </c>
      <c r="P913" t="s">
        <v>376</v>
      </c>
      <c r="Q913" t="s">
        <v>203</v>
      </c>
    </row>
    <row r="914" spans="1:17" x14ac:dyDescent="0.3">
      <c r="A914" s="25">
        <v>1387</v>
      </c>
      <c r="B914" t="s">
        <v>71</v>
      </c>
      <c r="C914" t="s">
        <v>44</v>
      </c>
      <c r="D914" t="s">
        <v>517</v>
      </c>
      <c r="E914" s="121">
        <v>4204</v>
      </c>
      <c r="F914" s="13">
        <v>45866</v>
      </c>
      <c r="G914" s="24">
        <v>29742.240000000002</v>
      </c>
      <c r="H914" s="27">
        <v>27913.1</v>
      </c>
      <c r="I914" s="3">
        <v>45861</v>
      </c>
      <c r="J914" s="102">
        <v>45894</v>
      </c>
      <c r="K914" s="12">
        <v>45896</v>
      </c>
      <c r="L914" s="19" t="s">
        <v>731</v>
      </c>
      <c r="M914" s="36"/>
      <c r="N914"/>
      <c r="O914" t="s">
        <v>202</v>
      </c>
      <c r="P914" t="s">
        <v>376</v>
      </c>
      <c r="Q914" t="s">
        <v>203</v>
      </c>
    </row>
    <row r="915" spans="1:17" x14ac:dyDescent="0.3">
      <c r="A915" s="25">
        <v>1389</v>
      </c>
      <c r="B915" t="s">
        <v>212</v>
      </c>
      <c r="C915" t="s">
        <v>304</v>
      </c>
      <c r="D915" t="s">
        <v>214</v>
      </c>
      <c r="E915" s="121">
        <v>4163</v>
      </c>
      <c r="F915" s="13">
        <v>45866</v>
      </c>
      <c r="G915" s="24">
        <v>1177.6500000000001</v>
      </c>
      <c r="H915" s="24">
        <v>1105.23</v>
      </c>
      <c r="I915" s="3">
        <v>45849</v>
      </c>
      <c r="J915" s="102">
        <v>45852</v>
      </c>
      <c r="K915" s="12">
        <v>45854</v>
      </c>
      <c r="L915" s="19" t="s">
        <v>731</v>
      </c>
      <c r="M915" s="36">
        <v>0</v>
      </c>
      <c r="N915" s="26"/>
      <c r="O915" t="s">
        <v>202</v>
      </c>
      <c r="P915" t="s">
        <v>233</v>
      </c>
      <c r="Q915" t="s">
        <v>216</v>
      </c>
    </row>
    <row r="916" spans="1:17" x14ac:dyDescent="0.3">
      <c r="A916" s="25">
        <v>1470</v>
      </c>
      <c r="B916" t="s">
        <v>212</v>
      </c>
      <c r="C916" t="s">
        <v>175</v>
      </c>
      <c r="D916" t="s">
        <v>620</v>
      </c>
      <c r="E916" s="121">
        <v>8460</v>
      </c>
      <c r="F916" s="13">
        <v>45866</v>
      </c>
      <c r="G916" s="24">
        <v>36700</v>
      </c>
      <c r="H916" s="24">
        <v>33708.949999999997</v>
      </c>
      <c r="I916" s="3">
        <v>45877</v>
      </c>
      <c r="J916" s="102">
        <v>45894</v>
      </c>
      <c r="K916" s="12">
        <v>45898</v>
      </c>
      <c r="L916" s="19" t="s">
        <v>731</v>
      </c>
      <c r="M916" s="36">
        <v>0</v>
      </c>
      <c r="N916" s="26"/>
      <c r="O916" t="s">
        <v>202</v>
      </c>
      <c r="P916" t="s">
        <v>328</v>
      </c>
      <c r="Q916" t="s">
        <v>213</v>
      </c>
    </row>
    <row r="917" spans="1:17" x14ac:dyDescent="0.3">
      <c r="A917" s="25">
        <v>1273</v>
      </c>
      <c r="B917" t="s">
        <v>204</v>
      </c>
      <c r="C917" t="s">
        <v>39</v>
      </c>
      <c r="D917" t="s">
        <v>389</v>
      </c>
      <c r="E917" s="121">
        <v>1289</v>
      </c>
      <c r="F917" s="13">
        <v>45866</v>
      </c>
      <c r="G917" s="24">
        <v>572666.5</v>
      </c>
      <c r="H917" s="24">
        <v>513681.85</v>
      </c>
      <c r="I917" s="3">
        <v>45888</v>
      </c>
      <c r="J917" s="102">
        <v>45901</v>
      </c>
      <c r="K917" s="12">
        <v>45902</v>
      </c>
      <c r="L917" s="19" t="s">
        <v>731</v>
      </c>
      <c r="M917" s="36">
        <v>0</v>
      </c>
      <c r="N917"/>
      <c r="O917" t="s">
        <v>202</v>
      </c>
      <c r="P917" t="s">
        <v>340</v>
      </c>
      <c r="Q917" t="s">
        <v>217</v>
      </c>
    </row>
    <row r="918" spans="1:17" x14ac:dyDescent="0.3">
      <c r="A918" s="9">
        <v>1277</v>
      </c>
      <c r="B918" t="s">
        <v>204</v>
      </c>
      <c r="C918" t="s">
        <v>39</v>
      </c>
      <c r="D918" t="s">
        <v>393</v>
      </c>
      <c r="E918" s="121">
        <v>1293</v>
      </c>
      <c r="F918" s="13">
        <v>45866</v>
      </c>
      <c r="G918" s="24">
        <v>134447.14000000001</v>
      </c>
      <c r="H918" s="11">
        <v>120599.09</v>
      </c>
      <c r="I918" s="3">
        <v>45909</v>
      </c>
      <c r="J918" s="102">
        <v>45943</v>
      </c>
      <c r="K918" s="12">
        <v>45947</v>
      </c>
      <c r="L918" s="19" t="s">
        <v>731</v>
      </c>
      <c r="M918" s="36"/>
      <c r="N918"/>
      <c r="O918" t="s">
        <v>202</v>
      </c>
      <c r="P918" t="s">
        <v>340</v>
      </c>
      <c r="Q918" t="s">
        <v>217</v>
      </c>
    </row>
    <row r="919" spans="1:17" x14ac:dyDescent="0.3">
      <c r="A919" s="25">
        <v>1277</v>
      </c>
      <c r="B919" t="s">
        <v>204</v>
      </c>
      <c r="C919" t="s">
        <v>39</v>
      </c>
      <c r="D919" t="s">
        <v>393</v>
      </c>
      <c r="E919" s="121">
        <v>1287</v>
      </c>
      <c r="F919" s="13">
        <v>45866</v>
      </c>
      <c r="G919" s="24">
        <v>20954.12</v>
      </c>
      <c r="H919" s="27">
        <v>18795.849999999999</v>
      </c>
      <c r="I919" s="3">
        <v>45887</v>
      </c>
      <c r="J919" s="102">
        <v>45950</v>
      </c>
      <c r="K919" s="12">
        <v>45951</v>
      </c>
      <c r="L919" s="19" t="s">
        <v>731</v>
      </c>
      <c r="M919" s="36"/>
      <c r="N919"/>
      <c r="O919" t="s">
        <v>202</v>
      </c>
      <c r="P919" t="s">
        <v>340</v>
      </c>
      <c r="Q919" t="s">
        <v>217</v>
      </c>
    </row>
    <row r="920" spans="1:17" x14ac:dyDescent="0.3">
      <c r="A920" s="25">
        <v>1268</v>
      </c>
      <c r="B920" t="s">
        <v>193</v>
      </c>
      <c r="C920" t="s">
        <v>141</v>
      </c>
      <c r="D920" t="s">
        <v>383</v>
      </c>
      <c r="E920" s="121">
        <v>4229</v>
      </c>
      <c r="F920" s="13">
        <v>45866</v>
      </c>
      <c r="G920" s="24">
        <v>30310.2</v>
      </c>
      <c r="H920" s="24">
        <v>28446.12</v>
      </c>
      <c r="I920" s="3">
        <v>45876</v>
      </c>
      <c r="J920" s="102">
        <v>45894</v>
      </c>
      <c r="K920" s="12">
        <v>45894</v>
      </c>
      <c r="L920" s="19" t="s">
        <v>731</v>
      </c>
      <c r="M920" s="36">
        <v>0</v>
      </c>
      <c r="N920"/>
      <c r="O920" t="s">
        <v>199</v>
      </c>
      <c r="P920" t="s">
        <v>376</v>
      </c>
      <c r="Q920" t="s">
        <v>207</v>
      </c>
    </row>
    <row r="921" spans="1:17" x14ac:dyDescent="0.3">
      <c r="A921" s="25">
        <v>1268</v>
      </c>
      <c r="B921" t="s">
        <v>193</v>
      </c>
      <c r="C921" t="s">
        <v>141</v>
      </c>
      <c r="D921" t="s">
        <v>383</v>
      </c>
      <c r="E921" s="118">
        <v>4249</v>
      </c>
      <c r="F921" s="13">
        <v>45866</v>
      </c>
      <c r="G921" s="24">
        <v>48769.84</v>
      </c>
      <c r="H921" s="24">
        <v>45770.49</v>
      </c>
      <c r="I921" s="3">
        <v>45883</v>
      </c>
      <c r="J921" s="102">
        <v>45894</v>
      </c>
      <c r="K921" s="12">
        <v>45897</v>
      </c>
      <c r="L921" s="19" t="s">
        <v>731</v>
      </c>
      <c r="M921" s="36">
        <v>0</v>
      </c>
      <c r="N921"/>
      <c r="O921" t="s">
        <v>199</v>
      </c>
      <c r="P921" t="s">
        <v>376</v>
      </c>
      <c r="Q921" t="s">
        <v>207</v>
      </c>
    </row>
    <row r="922" spans="1:17" x14ac:dyDescent="0.3">
      <c r="A922" s="25">
        <v>1268</v>
      </c>
      <c r="B922" t="s">
        <v>193</v>
      </c>
      <c r="C922" t="s">
        <v>141</v>
      </c>
      <c r="D922" t="s">
        <v>383</v>
      </c>
      <c r="E922" s="118">
        <v>4250</v>
      </c>
      <c r="F922" s="13">
        <v>45866</v>
      </c>
      <c r="G922" s="24">
        <v>145255.51999999999</v>
      </c>
      <c r="H922" s="24">
        <v>136322.31</v>
      </c>
      <c r="I922" s="3">
        <v>45883</v>
      </c>
      <c r="J922" s="102">
        <v>45894</v>
      </c>
      <c r="K922" s="12">
        <v>45897</v>
      </c>
      <c r="L922" s="19" t="s">
        <v>731</v>
      </c>
      <c r="M922" s="36">
        <v>0</v>
      </c>
      <c r="N922"/>
      <c r="O922" t="s">
        <v>199</v>
      </c>
      <c r="P922" t="s">
        <v>376</v>
      </c>
      <c r="Q922" t="s">
        <v>207</v>
      </c>
    </row>
    <row r="923" spans="1:17" x14ac:dyDescent="0.3">
      <c r="A923" s="25">
        <v>1268</v>
      </c>
      <c r="B923" t="s">
        <v>193</v>
      </c>
      <c r="C923" t="s">
        <v>141</v>
      </c>
      <c r="D923" t="s">
        <v>383</v>
      </c>
      <c r="E923" s="118">
        <v>4251</v>
      </c>
      <c r="F923" s="13">
        <v>45866</v>
      </c>
      <c r="G923" s="24">
        <v>1193868.51</v>
      </c>
      <c r="H923" s="24">
        <v>1120445.5900000001</v>
      </c>
      <c r="I923" s="3">
        <v>45883</v>
      </c>
      <c r="J923" s="102">
        <v>45894</v>
      </c>
      <c r="K923" s="12">
        <v>45897</v>
      </c>
      <c r="L923" s="19" t="s">
        <v>731</v>
      </c>
      <c r="M923" s="36">
        <v>0</v>
      </c>
      <c r="N923"/>
      <c r="O923" t="s">
        <v>199</v>
      </c>
      <c r="P923" t="s">
        <v>376</v>
      </c>
      <c r="Q923" t="s">
        <v>207</v>
      </c>
    </row>
    <row r="924" spans="1:17" x14ac:dyDescent="0.3">
      <c r="A924" s="25">
        <v>1268</v>
      </c>
      <c r="B924" t="s">
        <v>193</v>
      </c>
      <c r="C924" t="s">
        <v>141</v>
      </c>
      <c r="D924" t="s">
        <v>383</v>
      </c>
      <c r="E924" s="118">
        <v>4252</v>
      </c>
      <c r="F924" s="13">
        <v>45866</v>
      </c>
      <c r="G924" s="24">
        <v>110755.04</v>
      </c>
      <c r="H924" s="24">
        <v>103943.6</v>
      </c>
      <c r="I924" s="3">
        <v>45883</v>
      </c>
      <c r="J924" s="102">
        <v>45894</v>
      </c>
      <c r="K924" s="12">
        <v>45897</v>
      </c>
      <c r="L924" s="19" t="s">
        <v>731</v>
      </c>
      <c r="M924" s="36">
        <v>0</v>
      </c>
      <c r="N924"/>
      <c r="O924" t="s">
        <v>199</v>
      </c>
      <c r="P924" t="s">
        <v>376</v>
      </c>
      <c r="Q924" t="s">
        <v>207</v>
      </c>
    </row>
    <row r="925" spans="1:17" x14ac:dyDescent="0.3">
      <c r="A925" s="25">
        <v>1268</v>
      </c>
      <c r="B925" t="s">
        <v>193</v>
      </c>
      <c r="C925" t="s">
        <v>141</v>
      </c>
      <c r="D925" t="s">
        <v>383</v>
      </c>
      <c r="E925" s="118">
        <v>4253</v>
      </c>
      <c r="F925" s="13">
        <v>45866</v>
      </c>
      <c r="G925" s="24">
        <v>51503.92</v>
      </c>
      <c r="H925" s="24">
        <v>48336.43</v>
      </c>
      <c r="I925" s="3">
        <v>45883</v>
      </c>
      <c r="J925" s="102">
        <v>45894</v>
      </c>
      <c r="K925" s="12">
        <v>45897</v>
      </c>
      <c r="L925" s="19" t="s">
        <v>731</v>
      </c>
      <c r="M925" s="36">
        <v>0</v>
      </c>
      <c r="N925"/>
      <c r="O925" t="s">
        <v>199</v>
      </c>
      <c r="P925" t="s">
        <v>376</v>
      </c>
      <c r="Q925" t="s">
        <v>207</v>
      </c>
    </row>
    <row r="926" spans="1:17" x14ac:dyDescent="0.3">
      <c r="A926" s="25">
        <v>1483</v>
      </c>
      <c r="B926" t="s">
        <v>212</v>
      </c>
      <c r="C926" t="s">
        <v>178</v>
      </c>
      <c r="D926" t="s">
        <v>633</v>
      </c>
      <c r="E926" s="121">
        <v>8452</v>
      </c>
      <c r="F926" s="13">
        <v>45866</v>
      </c>
      <c r="G926" s="24">
        <v>53591.199999999997</v>
      </c>
      <c r="H926" s="24">
        <v>49527.08</v>
      </c>
      <c r="I926" s="3">
        <v>45875</v>
      </c>
      <c r="J926" s="102">
        <v>45915</v>
      </c>
      <c r="K926" s="12">
        <v>45917</v>
      </c>
      <c r="L926" s="19" t="s">
        <v>731</v>
      </c>
      <c r="M926" s="36">
        <v>0</v>
      </c>
      <c r="N926" s="26"/>
      <c r="O926" t="s">
        <v>202</v>
      </c>
      <c r="P926" t="s">
        <v>328</v>
      </c>
      <c r="Q926" t="s">
        <v>207</v>
      </c>
    </row>
    <row r="927" spans="1:17" x14ac:dyDescent="0.3">
      <c r="A927" s="25">
        <v>1483</v>
      </c>
      <c r="B927" t="s">
        <v>212</v>
      </c>
      <c r="C927" t="s">
        <v>178</v>
      </c>
      <c r="D927" t="s">
        <v>633</v>
      </c>
      <c r="E927" s="121">
        <v>8453</v>
      </c>
      <c r="F927" s="13">
        <v>45866</v>
      </c>
      <c r="G927" s="24">
        <v>28856.799999999999</v>
      </c>
      <c r="H927" s="24">
        <v>27082.11</v>
      </c>
      <c r="I927" s="3">
        <v>45875</v>
      </c>
      <c r="J927" s="102">
        <v>45901</v>
      </c>
      <c r="K927" s="12">
        <v>45903</v>
      </c>
      <c r="L927" s="19" t="s">
        <v>731</v>
      </c>
      <c r="M927" s="36">
        <v>0</v>
      </c>
      <c r="N927" s="26"/>
      <c r="O927" t="s">
        <v>202</v>
      </c>
      <c r="P927" t="s">
        <v>328</v>
      </c>
      <c r="Q927" t="s">
        <v>207</v>
      </c>
    </row>
    <row r="928" spans="1:17" x14ac:dyDescent="0.3">
      <c r="A928" s="25">
        <v>1275</v>
      </c>
      <c r="B928" t="s">
        <v>193</v>
      </c>
      <c r="C928" t="s">
        <v>165</v>
      </c>
      <c r="D928" t="s">
        <v>391</v>
      </c>
      <c r="E928" s="121">
        <v>4225</v>
      </c>
      <c r="F928" s="13">
        <v>45866</v>
      </c>
      <c r="G928" s="24">
        <v>16767.240000000002</v>
      </c>
      <c r="H928" s="24">
        <v>15736.05</v>
      </c>
      <c r="I928" s="3">
        <v>45874</v>
      </c>
      <c r="J928" s="102">
        <v>45894</v>
      </c>
      <c r="K928" s="12">
        <v>45898</v>
      </c>
      <c r="L928" s="19" t="s">
        <v>731</v>
      </c>
      <c r="M928" s="36">
        <v>0</v>
      </c>
      <c r="N928" s="26"/>
      <c r="O928" t="s">
        <v>199</v>
      </c>
      <c r="P928" t="s">
        <v>376</v>
      </c>
      <c r="Q928" t="s">
        <v>207</v>
      </c>
    </row>
    <row r="929" spans="1:17" x14ac:dyDescent="0.3">
      <c r="A929" s="25">
        <v>1479</v>
      </c>
      <c r="B929" t="s">
        <v>193</v>
      </c>
      <c r="C929" t="s">
        <v>165</v>
      </c>
      <c r="D929" t="s">
        <v>629</v>
      </c>
      <c r="E929" s="121">
        <v>4224</v>
      </c>
      <c r="F929" s="13">
        <v>45866</v>
      </c>
      <c r="G929" s="24">
        <v>26040</v>
      </c>
      <c r="H929" s="24">
        <v>24438.54</v>
      </c>
      <c r="I929" s="3">
        <v>45874</v>
      </c>
      <c r="J929" s="102">
        <v>45894</v>
      </c>
      <c r="K929" s="12">
        <v>45898</v>
      </c>
      <c r="L929" s="19" t="s">
        <v>731</v>
      </c>
      <c r="M929" s="36">
        <v>0</v>
      </c>
      <c r="N929" s="26"/>
      <c r="O929" t="s">
        <v>201</v>
      </c>
      <c r="P929" t="s">
        <v>376</v>
      </c>
      <c r="Q929" t="s">
        <v>207</v>
      </c>
    </row>
    <row r="930" spans="1:17" x14ac:dyDescent="0.3">
      <c r="A930" s="25">
        <v>1455</v>
      </c>
      <c r="B930" t="s">
        <v>215</v>
      </c>
      <c r="C930" t="s">
        <v>60</v>
      </c>
      <c r="D930" t="s">
        <v>600</v>
      </c>
      <c r="E930" s="121">
        <v>8484</v>
      </c>
      <c r="F930" s="13">
        <v>45897</v>
      </c>
      <c r="G930" s="24">
        <v>54003.39</v>
      </c>
      <c r="H930" s="24">
        <v>47712</v>
      </c>
      <c r="I930" s="3">
        <v>45901</v>
      </c>
      <c r="J930" s="102">
        <v>45929</v>
      </c>
      <c r="K930" s="12">
        <v>45930</v>
      </c>
      <c r="L930" s="22" t="s">
        <v>731</v>
      </c>
      <c r="M930" s="42"/>
      <c r="N930" s="26"/>
      <c r="O930" t="s">
        <v>202</v>
      </c>
      <c r="P930" t="s">
        <v>373</v>
      </c>
      <c r="Q930" t="s">
        <v>213</v>
      </c>
    </row>
    <row r="931" spans="1:17" x14ac:dyDescent="0.3">
      <c r="A931" s="25">
        <v>1489</v>
      </c>
      <c r="B931" t="s">
        <v>193</v>
      </c>
      <c r="C931" t="s">
        <v>42</v>
      </c>
      <c r="D931" t="s">
        <v>639</v>
      </c>
      <c r="E931" s="121">
        <v>4302</v>
      </c>
      <c r="F931" s="13">
        <v>45897</v>
      </c>
      <c r="G931" s="24">
        <v>42812.21</v>
      </c>
      <c r="H931" s="24">
        <v>40179.26</v>
      </c>
      <c r="I931" s="3">
        <v>45901</v>
      </c>
      <c r="J931" s="102">
        <v>45931</v>
      </c>
      <c r="K931" s="12">
        <v>45931</v>
      </c>
      <c r="L931" s="19" t="s">
        <v>731</v>
      </c>
      <c r="M931" s="42"/>
      <c r="N931" s="26"/>
      <c r="O931" t="s">
        <v>201</v>
      </c>
      <c r="P931" t="s">
        <v>376</v>
      </c>
      <c r="Q931" t="s">
        <v>207</v>
      </c>
    </row>
    <row r="932" spans="1:17" x14ac:dyDescent="0.3">
      <c r="A932" s="9">
        <v>1357</v>
      </c>
      <c r="B932" t="s">
        <v>193</v>
      </c>
      <c r="C932" t="s">
        <v>197</v>
      </c>
      <c r="D932" t="s">
        <v>734</v>
      </c>
      <c r="E932" s="121">
        <v>4306</v>
      </c>
      <c r="F932" s="13">
        <v>45897</v>
      </c>
      <c r="G932" s="24">
        <v>14150.77</v>
      </c>
      <c r="H932" s="11">
        <v>13280.5</v>
      </c>
      <c r="I932" s="3">
        <v>45902</v>
      </c>
      <c r="J932" s="102">
        <v>46034</v>
      </c>
      <c r="K932" s="5">
        <v>46036</v>
      </c>
      <c r="L932" s="19" t="s">
        <v>731</v>
      </c>
      <c r="M932" s="38"/>
      <c r="N932" s="15"/>
      <c r="O932" t="s">
        <v>199</v>
      </c>
      <c r="P932" t="s">
        <v>376</v>
      </c>
      <c r="Q932" t="s">
        <v>207</v>
      </c>
    </row>
    <row r="933" spans="1:17" x14ac:dyDescent="0.3">
      <c r="A933" s="9">
        <v>1357</v>
      </c>
      <c r="B933" t="s">
        <v>193</v>
      </c>
      <c r="C933" t="s">
        <v>197</v>
      </c>
      <c r="D933" t="s">
        <v>734</v>
      </c>
      <c r="E933" s="121">
        <v>4720</v>
      </c>
      <c r="F933" s="13">
        <v>46019</v>
      </c>
      <c r="G933" s="27">
        <v>17625.599999999999</v>
      </c>
      <c r="H933" s="18">
        <v>16541.62</v>
      </c>
      <c r="I933" s="3">
        <v>46028</v>
      </c>
      <c r="J933" s="102">
        <v>46048</v>
      </c>
      <c r="K933" s="5">
        <v>46048</v>
      </c>
      <c r="L933" s="19" t="s">
        <v>731</v>
      </c>
      <c r="M933" s="38"/>
      <c r="N933" s="15"/>
      <c r="O933" t="s">
        <v>199</v>
      </c>
      <c r="P933" t="s">
        <v>376</v>
      </c>
      <c r="Q933" t="s">
        <v>207</v>
      </c>
    </row>
    <row r="934" spans="1:17" x14ac:dyDescent="0.3">
      <c r="A934" s="9">
        <v>1357</v>
      </c>
      <c r="B934" t="s">
        <v>193</v>
      </c>
      <c r="C934" t="s">
        <v>197</v>
      </c>
      <c r="D934" t="s">
        <v>734</v>
      </c>
      <c r="E934" s="121">
        <v>4805</v>
      </c>
      <c r="F934" s="13">
        <v>46051</v>
      </c>
      <c r="G934" s="27">
        <v>23133.599999999999</v>
      </c>
      <c r="H934" s="11">
        <v>21710.880000000001</v>
      </c>
      <c r="I934" s="3">
        <v>46056</v>
      </c>
      <c r="J934" s="102">
        <v>46076</v>
      </c>
      <c r="K934" s="5">
        <v>46077</v>
      </c>
      <c r="L934" s="19" t="s">
        <v>731</v>
      </c>
      <c r="M934" s="38"/>
      <c r="N934" s="15"/>
      <c r="O934" t="s">
        <v>199</v>
      </c>
      <c r="P934" t="s">
        <v>376</v>
      </c>
      <c r="Q934" t="s">
        <v>207</v>
      </c>
    </row>
    <row r="935" spans="1:17" x14ac:dyDescent="0.3">
      <c r="A935" s="9">
        <v>1357</v>
      </c>
      <c r="B935" t="s">
        <v>193</v>
      </c>
      <c r="C935" t="s">
        <v>197</v>
      </c>
      <c r="D935" t="s">
        <v>734</v>
      </c>
      <c r="E935" s="121">
        <v>4815</v>
      </c>
      <c r="F935" s="13">
        <v>46051</v>
      </c>
      <c r="G935" s="27">
        <v>32166</v>
      </c>
      <c r="H935" s="11">
        <v>30187.79</v>
      </c>
      <c r="I935" s="3">
        <v>46057</v>
      </c>
      <c r="J935" s="102">
        <v>46076</v>
      </c>
      <c r="K935" s="5">
        <v>46079</v>
      </c>
      <c r="L935" s="19" t="s">
        <v>731</v>
      </c>
      <c r="M935" s="38"/>
      <c r="N935" s="15"/>
      <c r="O935" t="s">
        <v>199</v>
      </c>
      <c r="P935" t="s">
        <v>376</v>
      </c>
      <c r="Q935" t="s">
        <v>207</v>
      </c>
    </row>
    <row r="936" spans="1:17" x14ac:dyDescent="0.3">
      <c r="A936" s="25">
        <v>1357</v>
      </c>
      <c r="B936" t="s">
        <v>193</v>
      </c>
      <c r="C936" t="s">
        <v>197</v>
      </c>
      <c r="D936" t="s">
        <v>734</v>
      </c>
      <c r="E936" s="121">
        <v>4907</v>
      </c>
      <c r="F936" s="13">
        <v>46081</v>
      </c>
      <c r="G936" s="27">
        <v>32166</v>
      </c>
      <c r="H936" s="27">
        <v>30187.79</v>
      </c>
      <c r="I936" s="3">
        <v>46084</v>
      </c>
      <c r="J936" s="102">
        <v>46104</v>
      </c>
      <c r="K936" s="29">
        <v>46105</v>
      </c>
      <c r="L936" s="19" t="s">
        <v>731</v>
      </c>
      <c r="M936" s="42"/>
      <c r="N936" s="26"/>
      <c r="O936" t="s">
        <v>199</v>
      </c>
      <c r="P936" t="s">
        <v>376</v>
      </c>
      <c r="Q936" t="s">
        <v>207</v>
      </c>
    </row>
    <row r="937" spans="1:17" x14ac:dyDescent="0.3">
      <c r="A937" s="25">
        <v>1357</v>
      </c>
      <c r="B937" t="s">
        <v>193</v>
      </c>
      <c r="C937" t="s">
        <v>197</v>
      </c>
      <c r="D937" t="s">
        <v>734</v>
      </c>
      <c r="E937" s="121">
        <v>4908</v>
      </c>
      <c r="F937" s="13">
        <v>46081</v>
      </c>
      <c r="G937" s="27">
        <v>66036.97</v>
      </c>
      <c r="H937" s="27">
        <v>61975.7</v>
      </c>
      <c r="I937" s="3">
        <v>46084</v>
      </c>
      <c r="J937" s="102">
        <v>46097</v>
      </c>
      <c r="K937" s="29">
        <v>46100</v>
      </c>
      <c r="L937" s="19" t="s">
        <v>731</v>
      </c>
      <c r="M937" s="42"/>
      <c r="N937" s="26"/>
      <c r="O937" t="s">
        <v>199</v>
      </c>
      <c r="P937" t="s">
        <v>376</v>
      </c>
      <c r="Q937" t="s">
        <v>207</v>
      </c>
    </row>
    <row r="938" spans="1:17" x14ac:dyDescent="0.3">
      <c r="A938" s="9">
        <v>1357</v>
      </c>
      <c r="B938" t="s">
        <v>193</v>
      </c>
      <c r="C938" t="s">
        <v>197</v>
      </c>
      <c r="D938" t="s">
        <v>734</v>
      </c>
      <c r="E938" s="121">
        <v>4910</v>
      </c>
      <c r="F938" s="13">
        <v>46081</v>
      </c>
      <c r="G938" s="27">
        <v>19415.7</v>
      </c>
      <c r="H938" s="24">
        <v>18221.63</v>
      </c>
      <c r="I938" s="3">
        <v>46084</v>
      </c>
      <c r="J938" s="102">
        <v>46125</v>
      </c>
      <c r="K938" s="5">
        <v>46126</v>
      </c>
      <c r="L938" s="19" t="s">
        <v>731</v>
      </c>
      <c r="M938" s="38"/>
      <c r="N938" s="15"/>
      <c r="O938" t="s">
        <v>199</v>
      </c>
      <c r="P938" t="s">
        <v>376</v>
      </c>
      <c r="Q938" t="s">
        <v>207</v>
      </c>
    </row>
    <row r="939" spans="1:17" x14ac:dyDescent="0.3">
      <c r="A939" s="9">
        <v>1357</v>
      </c>
      <c r="B939" t="s">
        <v>193</v>
      </c>
      <c r="C939" t="s">
        <v>197</v>
      </c>
      <c r="D939" t="s">
        <v>734</v>
      </c>
      <c r="E939" s="121">
        <v>4941</v>
      </c>
      <c r="F939" s="13">
        <v>46081</v>
      </c>
      <c r="G939" s="27">
        <v>5361</v>
      </c>
      <c r="H939" s="27">
        <v>5031.29</v>
      </c>
      <c r="I939" s="3">
        <v>46093</v>
      </c>
      <c r="J939" s="102">
        <v>46111</v>
      </c>
      <c r="K939" s="5">
        <v>46112</v>
      </c>
      <c r="L939" s="19" t="s">
        <v>731</v>
      </c>
      <c r="M939" s="38"/>
      <c r="N939" s="15"/>
      <c r="O939" t="s">
        <v>199</v>
      </c>
      <c r="P939" t="s">
        <v>376</v>
      </c>
      <c r="Q939" t="s">
        <v>207</v>
      </c>
    </row>
    <row r="940" spans="1:17" x14ac:dyDescent="0.3">
      <c r="A940" s="9">
        <v>1357</v>
      </c>
      <c r="B940" t="s">
        <v>193</v>
      </c>
      <c r="C940" t="s">
        <v>197</v>
      </c>
      <c r="D940" t="s">
        <v>734</v>
      </c>
      <c r="E940" s="121">
        <v>5025</v>
      </c>
      <c r="F940" s="13">
        <v>46109</v>
      </c>
      <c r="G940" s="27">
        <v>47176.800000000003</v>
      </c>
      <c r="H940" s="24">
        <v>44275.43</v>
      </c>
      <c r="I940" s="3">
        <v>46114</v>
      </c>
      <c r="J940" s="102">
        <v>46139</v>
      </c>
      <c r="K940" s="5">
        <v>46140</v>
      </c>
      <c r="L940" s="19" t="s">
        <v>731</v>
      </c>
      <c r="M940" s="38"/>
      <c r="N940" s="15"/>
      <c r="O940" t="s">
        <v>199</v>
      </c>
      <c r="P940" t="s">
        <v>376</v>
      </c>
      <c r="Q940" t="s">
        <v>207</v>
      </c>
    </row>
    <row r="941" spans="1:17" x14ac:dyDescent="0.3">
      <c r="A941" s="9">
        <v>1357</v>
      </c>
      <c r="B941" t="s">
        <v>193</v>
      </c>
      <c r="C941" t="s">
        <v>197</v>
      </c>
      <c r="D941" t="s">
        <v>734</v>
      </c>
      <c r="E941" s="121">
        <v>5026</v>
      </c>
      <c r="F941" s="13">
        <v>46109</v>
      </c>
      <c r="G941" s="27">
        <v>24920.95</v>
      </c>
      <c r="H941" s="24">
        <v>23388.31</v>
      </c>
      <c r="I941" s="3">
        <v>46114</v>
      </c>
      <c r="J941" s="102">
        <v>46139</v>
      </c>
      <c r="K941" s="5">
        <v>46139</v>
      </c>
      <c r="L941" s="19" t="s">
        <v>731</v>
      </c>
      <c r="M941" s="38"/>
      <c r="N941" s="15"/>
      <c r="O941" t="s">
        <v>199</v>
      </c>
      <c r="P941" t="s">
        <v>376</v>
      </c>
      <c r="Q941" t="s">
        <v>207</v>
      </c>
    </row>
    <row r="942" spans="1:17" x14ac:dyDescent="0.3">
      <c r="A942" s="9">
        <v>1357</v>
      </c>
      <c r="B942" t="s">
        <v>193</v>
      </c>
      <c r="C942" t="s">
        <v>197</v>
      </c>
      <c r="D942" t="s">
        <v>734</v>
      </c>
      <c r="E942" s="121">
        <v>5118</v>
      </c>
      <c r="F942" s="13">
        <v>46140</v>
      </c>
      <c r="G942" s="27">
        <v>18227.400000000001</v>
      </c>
      <c r="H942" s="24">
        <v>17106.43</v>
      </c>
      <c r="I942" s="3">
        <v>46147</v>
      </c>
      <c r="J942" s="102">
        <v>46167</v>
      </c>
      <c r="K942" s="5">
        <v>46168</v>
      </c>
      <c r="L942" s="19" t="s">
        <v>731</v>
      </c>
      <c r="M942" s="38"/>
      <c r="N942" s="15"/>
      <c r="O942" t="s">
        <v>199</v>
      </c>
      <c r="P942" t="s">
        <v>376</v>
      </c>
      <c r="Q942" t="s">
        <v>207</v>
      </c>
    </row>
    <row r="943" spans="1:17" x14ac:dyDescent="0.3">
      <c r="A943" s="9">
        <v>1357</v>
      </c>
      <c r="B943" t="s">
        <v>193</v>
      </c>
      <c r="C943" t="s">
        <v>197</v>
      </c>
      <c r="D943" t="s">
        <v>734</v>
      </c>
      <c r="E943" s="121">
        <v>5119</v>
      </c>
      <c r="F943" s="13">
        <v>46140</v>
      </c>
      <c r="G943" s="27">
        <v>27522</v>
      </c>
      <c r="H943" s="24">
        <v>25829.4</v>
      </c>
      <c r="I943" s="3">
        <v>46147</v>
      </c>
      <c r="J943" s="102">
        <v>46167</v>
      </c>
      <c r="K943" s="5">
        <v>46168</v>
      </c>
      <c r="L943" s="19" t="s">
        <v>731</v>
      </c>
      <c r="M943" s="38"/>
      <c r="N943" s="15"/>
      <c r="O943" t="s">
        <v>199</v>
      </c>
      <c r="P943" t="s">
        <v>376</v>
      </c>
      <c r="Q943" t="s">
        <v>207</v>
      </c>
    </row>
    <row r="944" spans="1:17" x14ac:dyDescent="0.3">
      <c r="A944" s="9">
        <v>1357</v>
      </c>
      <c r="B944" t="s">
        <v>193</v>
      </c>
      <c r="C944" t="s">
        <v>197</v>
      </c>
      <c r="D944" t="s">
        <v>734</v>
      </c>
      <c r="E944" s="121">
        <v>5120</v>
      </c>
      <c r="F944" s="13">
        <v>46140</v>
      </c>
      <c r="G944" s="27">
        <v>22032</v>
      </c>
      <c r="H944" s="24">
        <v>20677.03</v>
      </c>
      <c r="I944" s="3">
        <v>46147</v>
      </c>
      <c r="J944" s="102">
        <v>46167</v>
      </c>
      <c r="K944" s="5">
        <v>46168</v>
      </c>
      <c r="L944" s="19" t="s">
        <v>731</v>
      </c>
      <c r="M944" s="38"/>
      <c r="N944" s="15"/>
      <c r="O944" t="s">
        <v>199</v>
      </c>
      <c r="P944" t="s">
        <v>376</v>
      </c>
      <c r="Q944" t="s">
        <v>207</v>
      </c>
    </row>
    <row r="945" spans="1:17" x14ac:dyDescent="0.3">
      <c r="A945" s="14">
        <v>1260</v>
      </c>
      <c r="B945" t="s">
        <v>193</v>
      </c>
      <c r="C945" t="s">
        <v>121</v>
      </c>
      <c r="D945" t="s">
        <v>372</v>
      </c>
      <c r="E945" s="118">
        <v>5200</v>
      </c>
      <c r="F945" s="13">
        <v>46170</v>
      </c>
      <c r="G945" s="24">
        <v>11009.7</v>
      </c>
      <c r="H945" s="24">
        <v>10332.6</v>
      </c>
      <c r="I945" s="3">
        <v>46174</v>
      </c>
      <c r="J945" s="102">
        <v>46195</v>
      </c>
      <c r="K945" s="12"/>
      <c r="L945" s="20" t="s">
        <v>730</v>
      </c>
      <c r="M945" s="35">
        <v>0</v>
      </c>
      <c r="N945"/>
      <c r="O945" t="s">
        <v>199</v>
      </c>
      <c r="P945" t="s">
        <v>373</v>
      </c>
      <c r="Q945" t="s">
        <v>207</v>
      </c>
    </row>
    <row r="946" spans="1:17" x14ac:dyDescent="0.3">
      <c r="A946" s="25">
        <v>1478</v>
      </c>
      <c r="B946" t="s">
        <v>71</v>
      </c>
      <c r="C946" t="s">
        <v>198</v>
      </c>
      <c r="D946" t="s">
        <v>628</v>
      </c>
      <c r="E946" s="118">
        <v>8493</v>
      </c>
      <c r="F946" s="13">
        <v>45897</v>
      </c>
      <c r="G946" s="24">
        <v>13993.56</v>
      </c>
      <c r="H946" s="24">
        <v>13132.95</v>
      </c>
      <c r="I946" s="3">
        <v>45904</v>
      </c>
      <c r="J946" s="102">
        <v>45929</v>
      </c>
      <c r="K946" s="12">
        <v>45930</v>
      </c>
      <c r="L946" s="19" t="s">
        <v>731</v>
      </c>
      <c r="M946" s="36"/>
      <c r="N946"/>
      <c r="O946" t="s">
        <v>199</v>
      </c>
      <c r="P946" t="s">
        <v>376</v>
      </c>
      <c r="Q946" t="s">
        <v>203</v>
      </c>
    </row>
    <row r="947" spans="1:17" x14ac:dyDescent="0.3">
      <c r="A947" s="25">
        <v>1478</v>
      </c>
      <c r="B947" t="s">
        <v>71</v>
      </c>
      <c r="C947" t="s">
        <v>198</v>
      </c>
      <c r="D947" t="s">
        <v>628</v>
      </c>
      <c r="E947" s="118">
        <v>8494</v>
      </c>
      <c r="F947" s="13">
        <v>45897</v>
      </c>
      <c r="G947" s="24">
        <v>29087.69</v>
      </c>
      <c r="H947" s="24">
        <v>27298.79</v>
      </c>
      <c r="I947" s="3">
        <v>45904</v>
      </c>
      <c r="J947" s="102">
        <v>45929</v>
      </c>
      <c r="K947" s="12">
        <v>45930</v>
      </c>
      <c r="L947" s="19" t="s">
        <v>731</v>
      </c>
      <c r="M947" s="36"/>
      <c r="N947"/>
      <c r="O947" t="s">
        <v>199</v>
      </c>
      <c r="P947" t="s">
        <v>376</v>
      </c>
      <c r="Q947" t="s">
        <v>203</v>
      </c>
    </row>
    <row r="948" spans="1:17" x14ac:dyDescent="0.3">
      <c r="A948" s="25">
        <v>1478</v>
      </c>
      <c r="B948" t="s">
        <v>71</v>
      </c>
      <c r="C948" t="s">
        <v>198</v>
      </c>
      <c r="D948" t="s">
        <v>628</v>
      </c>
      <c r="E948" s="118">
        <v>8495</v>
      </c>
      <c r="F948" s="13">
        <v>45897</v>
      </c>
      <c r="G948" s="24">
        <v>26413.8</v>
      </c>
      <c r="H948" s="24">
        <v>24789.35</v>
      </c>
      <c r="I948" s="3">
        <v>45904</v>
      </c>
      <c r="J948" s="102">
        <v>45929</v>
      </c>
      <c r="K948" s="12">
        <v>45930</v>
      </c>
      <c r="L948" s="19" t="s">
        <v>731</v>
      </c>
      <c r="M948" s="36"/>
      <c r="N948"/>
      <c r="O948" t="s">
        <v>199</v>
      </c>
      <c r="P948" t="s">
        <v>376</v>
      </c>
      <c r="Q948" t="s">
        <v>203</v>
      </c>
    </row>
    <row r="949" spans="1:17" x14ac:dyDescent="0.3">
      <c r="A949" s="25">
        <v>1478</v>
      </c>
      <c r="B949" t="s">
        <v>71</v>
      </c>
      <c r="C949" t="s">
        <v>198</v>
      </c>
      <c r="D949" t="s">
        <v>628</v>
      </c>
      <c r="E949" s="118">
        <v>8496</v>
      </c>
      <c r="F949" s="13">
        <v>45897</v>
      </c>
      <c r="G949" s="24">
        <v>20754.55</v>
      </c>
      <c r="H949" s="24">
        <v>19478.14</v>
      </c>
      <c r="I949" s="3">
        <v>45904</v>
      </c>
      <c r="J949" s="102">
        <v>45929</v>
      </c>
      <c r="K949" s="12">
        <v>45930</v>
      </c>
      <c r="L949" s="19" t="s">
        <v>731</v>
      </c>
      <c r="M949" s="36"/>
      <c r="N949"/>
      <c r="O949" t="s">
        <v>199</v>
      </c>
      <c r="P949" t="s">
        <v>376</v>
      </c>
      <c r="Q949" t="s">
        <v>203</v>
      </c>
    </row>
    <row r="950" spans="1:17" x14ac:dyDescent="0.3">
      <c r="A950" s="9">
        <v>1499</v>
      </c>
      <c r="B950" t="s">
        <v>71</v>
      </c>
      <c r="C950" t="s">
        <v>109</v>
      </c>
      <c r="D950" t="s">
        <v>650</v>
      </c>
      <c r="E950" s="118">
        <v>8534</v>
      </c>
      <c r="F950" s="13">
        <v>45897</v>
      </c>
      <c r="G950" s="24">
        <v>52900</v>
      </c>
      <c r="H950" s="11">
        <v>49646.65</v>
      </c>
      <c r="I950" s="3">
        <v>45931</v>
      </c>
      <c r="J950" s="102">
        <v>45950</v>
      </c>
      <c r="K950" s="12">
        <v>45951</v>
      </c>
      <c r="L950" s="19" t="s">
        <v>731</v>
      </c>
      <c r="M950" s="35">
        <v>0</v>
      </c>
      <c r="N950"/>
      <c r="O950" t="s">
        <v>199</v>
      </c>
      <c r="P950" t="s">
        <v>373</v>
      </c>
      <c r="Q950" t="s">
        <v>203</v>
      </c>
    </row>
    <row r="951" spans="1:17" x14ac:dyDescent="0.3">
      <c r="A951" s="25">
        <v>1499</v>
      </c>
      <c r="B951" t="s">
        <v>71</v>
      </c>
      <c r="C951" t="s">
        <v>109</v>
      </c>
      <c r="D951" t="s">
        <v>650</v>
      </c>
      <c r="E951" s="118">
        <v>8596</v>
      </c>
      <c r="F951" s="13">
        <v>45897</v>
      </c>
      <c r="G951" s="24">
        <v>8744</v>
      </c>
      <c r="H951" s="24">
        <v>8206.24</v>
      </c>
      <c r="I951" s="3">
        <v>45968</v>
      </c>
      <c r="J951" s="102">
        <v>46013</v>
      </c>
      <c r="K951" s="12">
        <v>46013</v>
      </c>
      <c r="L951" s="19" t="s">
        <v>731</v>
      </c>
      <c r="M951" s="36">
        <v>0</v>
      </c>
      <c r="N951"/>
      <c r="O951" t="s">
        <v>199</v>
      </c>
      <c r="P951" t="s">
        <v>373</v>
      </c>
      <c r="Q951" t="s">
        <v>203</v>
      </c>
    </row>
    <row r="952" spans="1:17" x14ac:dyDescent="0.3">
      <c r="A952" s="25">
        <v>1391</v>
      </c>
      <c r="B952" t="s">
        <v>71</v>
      </c>
      <c r="C952" t="s">
        <v>196</v>
      </c>
      <c r="D952" t="s">
        <v>520</v>
      </c>
      <c r="E952" s="118">
        <v>4307</v>
      </c>
      <c r="F952" s="13">
        <v>45897</v>
      </c>
      <c r="G952" s="24">
        <v>102110.06</v>
      </c>
      <c r="H952" s="40">
        <v>95830.29</v>
      </c>
      <c r="I952" s="3">
        <v>45905</v>
      </c>
      <c r="J952" s="102">
        <v>45922</v>
      </c>
      <c r="K952" s="12">
        <v>45922</v>
      </c>
      <c r="L952" s="1" t="s">
        <v>731</v>
      </c>
      <c r="M952" s="36">
        <v>0</v>
      </c>
      <c r="N952"/>
      <c r="O952" t="s">
        <v>199</v>
      </c>
      <c r="P952" t="s">
        <v>376</v>
      </c>
      <c r="Q952" t="s">
        <v>203</v>
      </c>
    </row>
    <row r="953" spans="1:17" x14ac:dyDescent="0.3">
      <c r="A953" s="25">
        <v>1391</v>
      </c>
      <c r="B953" t="s">
        <v>71</v>
      </c>
      <c r="C953" t="s">
        <v>196</v>
      </c>
      <c r="D953" t="s">
        <v>520</v>
      </c>
      <c r="E953" s="118">
        <v>4308</v>
      </c>
      <c r="F953" s="13">
        <v>45897</v>
      </c>
      <c r="G953" s="24">
        <v>167099.34</v>
      </c>
      <c r="H953" s="40">
        <v>156822.73000000001</v>
      </c>
      <c r="I953" s="3">
        <v>45905</v>
      </c>
      <c r="J953" s="102">
        <v>45922</v>
      </c>
      <c r="K953" s="12">
        <v>45922</v>
      </c>
      <c r="L953" s="1" t="s">
        <v>731</v>
      </c>
      <c r="M953" s="36">
        <v>0</v>
      </c>
      <c r="N953"/>
      <c r="O953" t="s">
        <v>199</v>
      </c>
      <c r="P953" t="s">
        <v>376</v>
      </c>
      <c r="Q953" t="s">
        <v>203</v>
      </c>
    </row>
    <row r="954" spans="1:17" x14ac:dyDescent="0.3">
      <c r="A954" s="25">
        <v>1391</v>
      </c>
      <c r="B954" t="s">
        <v>71</v>
      </c>
      <c r="C954" t="s">
        <v>196</v>
      </c>
      <c r="D954" t="s">
        <v>520</v>
      </c>
      <c r="E954" s="118">
        <v>4309</v>
      </c>
      <c r="F954" s="13">
        <v>45897</v>
      </c>
      <c r="G954" s="24">
        <v>254846.1</v>
      </c>
      <c r="H954" s="40">
        <v>239173.07</v>
      </c>
      <c r="I954" s="3">
        <v>45905</v>
      </c>
      <c r="J954" s="102">
        <v>45922</v>
      </c>
      <c r="K954" s="12">
        <v>45922</v>
      </c>
      <c r="L954" s="1" t="s">
        <v>731</v>
      </c>
      <c r="M954" s="36">
        <v>0</v>
      </c>
      <c r="N954"/>
      <c r="O954" t="s">
        <v>199</v>
      </c>
      <c r="P954" t="s">
        <v>376</v>
      </c>
      <c r="Q954" t="s">
        <v>203</v>
      </c>
    </row>
    <row r="955" spans="1:17" x14ac:dyDescent="0.3">
      <c r="A955" s="25">
        <v>1391</v>
      </c>
      <c r="B955" t="s">
        <v>71</v>
      </c>
      <c r="C955" t="s">
        <v>196</v>
      </c>
      <c r="D955" t="s">
        <v>520</v>
      </c>
      <c r="E955" s="118">
        <v>4310</v>
      </c>
      <c r="F955" s="13">
        <v>45897</v>
      </c>
      <c r="G955" s="24">
        <v>17269.2</v>
      </c>
      <c r="H955" s="40">
        <v>16207.14</v>
      </c>
      <c r="I955" s="3">
        <v>45908</v>
      </c>
      <c r="J955" s="102">
        <v>45922</v>
      </c>
      <c r="K955" s="12">
        <v>45923</v>
      </c>
      <c r="L955" s="1" t="s">
        <v>731</v>
      </c>
      <c r="M955" s="36">
        <v>0</v>
      </c>
      <c r="N955"/>
      <c r="O955" t="s">
        <v>199</v>
      </c>
      <c r="P955" t="s">
        <v>376</v>
      </c>
      <c r="Q955" t="s">
        <v>203</v>
      </c>
    </row>
    <row r="956" spans="1:17" x14ac:dyDescent="0.3">
      <c r="A956" s="25">
        <v>1391</v>
      </c>
      <c r="B956" t="s">
        <v>71</v>
      </c>
      <c r="C956" t="s">
        <v>196</v>
      </c>
      <c r="D956" t="s">
        <v>520</v>
      </c>
      <c r="E956" s="118">
        <v>4318</v>
      </c>
      <c r="F956" s="13">
        <v>45897</v>
      </c>
      <c r="G956" s="24">
        <v>126870.48</v>
      </c>
      <c r="H956" s="40">
        <v>119067.95</v>
      </c>
      <c r="I956" s="3">
        <v>45910</v>
      </c>
      <c r="J956" s="102">
        <v>45922</v>
      </c>
      <c r="K956" s="12">
        <v>45925</v>
      </c>
      <c r="L956" s="1" t="s">
        <v>731</v>
      </c>
      <c r="M956" s="36">
        <v>0</v>
      </c>
      <c r="N956"/>
      <c r="O956" t="s">
        <v>199</v>
      </c>
      <c r="P956" t="s">
        <v>376</v>
      </c>
      <c r="Q956" t="s">
        <v>203</v>
      </c>
    </row>
    <row r="957" spans="1:17" x14ac:dyDescent="0.3">
      <c r="A957" s="25">
        <v>1391</v>
      </c>
      <c r="B957" t="s">
        <v>71</v>
      </c>
      <c r="C957" t="s">
        <v>196</v>
      </c>
      <c r="D957" t="s">
        <v>520</v>
      </c>
      <c r="E957" s="118">
        <v>4319</v>
      </c>
      <c r="F957" s="13">
        <v>45897</v>
      </c>
      <c r="G957" s="24">
        <v>232436.4</v>
      </c>
      <c r="H957" s="40">
        <v>218141.56</v>
      </c>
      <c r="I957" s="3">
        <v>45910</v>
      </c>
      <c r="J957" s="102">
        <v>45922</v>
      </c>
      <c r="K957" s="12">
        <v>45925</v>
      </c>
      <c r="L957" s="1" t="s">
        <v>731</v>
      </c>
      <c r="M957" s="36">
        <v>0</v>
      </c>
      <c r="N957"/>
      <c r="O957" t="s">
        <v>199</v>
      </c>
      <c r="P957" t="s">
        <v>376</v>
      </c>
      <c r="Q957" t="s">
        <v>203</v>
      </c>
    </row>
    <row r="958" spans="1:17" x14ac:dyDescent="0.3">
      <c r="A958" s="25">
        <v>1391</v>
      </c>
      <c r="B958" t="s">
        <v>71</v>
      </c>
      <c r="C958" t="s">
        <v>196</v>
      </c>
      <c r="D958" t="s">
        <v>520</v>
      </c>
      <c r="E958" s="118">
        <v>4320</v>
      </c>
      <c r="F958" s="13">
        <v>45897</v>
      </c>
      <c r="G958" s="24">
        <v>126870.48</v>
      </c>
      <c r="H958" s="40">
        <v>119067.95</v>
      </c>
      <c r="I958" s="3">
        <v>45910</v>
      </c>
      <c r="J958" s="102">
        <v>45922</v>
      </c>
      <c r="K958" s="12">
        <v>45925</v>
      </c>
      <c r="L958" s="1" t="s">
        <v>731</v>
      </c>
      <c r="M958" s="36">
        <v>0</v>
      </c>
      <c r="N958"/>
      <c r="O958" t="s">
        <v>199</v>
      </c>
      <c r="P958" t="s">
        <v>376</v>
      </c>
      <c r="Q958" t="s">
        <v>203</v>
      </c>
    </row>
    <row r="959" spans="1:17" x14ac:dyDescent="0.3">
      <c r="A959" s="9">
        <v>1391</v>
      </c>
      <c r="B959" t="s">
        <v>71</v>
      </c>
      <c r="C959" t="s">
        <v>196</v>
      </c>
      <c r="D959" t="s">
        <v>520</v>
      </c>
      <c r="E959" s="118">
        <v>4339</v>
      </c>
      <c r="F959" s="13">
        <v>45897</v>
      </c>
      <c r="G959" s="24">
        <v>134788.62</v>
      </c>
      <c r="H959" s="28">
        <v>126499.12</v>
      </c>
      <c r="I959" s="3">
        <v>45911</v>
      </c>
      <c r="J959" s="102">
        <v>45922</v>
      </c>
      <c r="K959" s="12">
        <v>45926</v>
      </c>
      <c r="L959" s="1" t="s">
        <v>731</v>
      </c>
      <c r="M959" s="36">
        <v>0</v>
      </c>
      <c r="N959"/>
      <c r="O959" t="s">
        <v>199</v>
      </c>
      <c r="P959" t="s">
        <v>376</v>
      </c>
      <c r="Q959" t="s">
        <v>203</v>
      </c>
    </row>
    <row r="960" spans="1:17" x14ac:dyDescent="0.3">
      <c r="A960" s="9">
        <v>1391</v>
      </c>
      <c r="B960" t="s">
        <v>71</v>
      </c>
      <c r="C960" t="s">
        <v>196</v>
      </c>
      <c r="D960" t="s">
        <v>520</v>
      </c>
      <c r="E960" s="118">
        <v>4341</v>
      </c>
      <c r="F960" s="13">
        <v>45897</v>
      </c>
      <c r="G960" s="24">
        <v>30779.279999999999</v>
      </c>
      <c r="H960" s="28">
        <v>28886.35</v>
      </c>
      <c r="I960" s="3">
        <v>45912</v>
      </c>
      <c r="J960" s="102">
        <v>45929</v>
      </c>
      <c r="K960" s="12">
        <v>45929</v>
      </c>
      <c r="L960" s="1" t="s">
        <v>731</v>
      </c>
      <c r="M960" s="36">
        <v>0</v>
      </c>
      <c r="N960"/>
      <c r="O960" t="s">
        <v>199</v>
      </c>
      <c r="P960" t="s">
        <v>376</v>
      </c>
      <c r="Q960" t="s">
        <v>203</v>
      </c>
    </row>
    <row r="961" spans="1:17" x14ac:dyDescent="0.3">
      <c r="A961" s="9">
        <v>1391</v>
      </c>
      <c r="B961" t="s">
        <v>71</v>
      </c>
      <c r="C961" t="s">
        <v>196</v>
      </c>
      <c r="D961" t="s">
        <v>520</v>
      </c>
      <c r="E961" s="118">
        <v>4347</v>
      </c>
      <c r="F961" s="13">
        <v>45897</v>
      </c>
      <c r="G961" s="24">
        <v>29077.200000000001</v>
      </c>
      <c r="H961" s="28">
        <v>27288.95</v>
      </c>
      <c r="I961" s="3">
        <v>45912</v>
      </c>
      <c r="J961" s="102">
        <v>45929</v>
      </c>
      <c r="K961" s="12">
        <v>45929</v>
      </c>
      <c r="L961" s="1" t="s">
        <v>731</v>
      </c>
      <c r="M961" s="36">
        <v>0</v>
      </c>
      <c r="N961"/>
      <c r="O961" t="s">
        <v>199</v>
      </c>
      <c r="P961" t="s">
        <v>376</v>
      </c>
      <c r="Q961" t="s">
        <v>203</v>
      </c>
    </row>
    <row r="962" spans="1:17" x14ac:dyDescent="0.3">
      <c r="A962" s="25">
        <v>1294</v>
      </c>
      <c r="B962" t="s">
        <v>71</v>
      </c>
      <c r="C962" t="s">
        <v>196</v>
      </c>
      <c r="D962" t="s">
        <v>413</v>
      </c>
      <c r="E962" s="118">
        <v>4312</v>
      </c>
      <c r="F962" s="13">
        <v>45897</v>
      </c>
      <c r="G962" s="24">
        <v>13192.46</v>
      </c>
      <c r="H962" s="28">
        <v>12381.13</v>
      </c>
      <c r="I962" s="3">
        <v>45909</v>
      </c>
      <c r="J962" s="102">
        <v>45922</v>
      </c>
      <c r="K962" s="12">
        <v>45924</v>
      </c>
      <c r="L962" s="1" t="s">
        <v>731</v>
      </c>
      <c r="M962" s="36">
        <v>0</v>
      </c>
      <c r="N962"/>
      <c r="O962" t="s">
        <v>199</v>
      </c>
      <c r="P962" t="s">
        <v>376</v>
      </c>
      <c r="Q962" t="s">
        <v>203</v>
      </c>
    </row>
    <row r="963" spans="1:17" ht="13.95" customHeight="1" x14ac:dyDescent="0.3">
      <c r="A963" s="25">
        <v>1294</v>
      </c>
      <c r="B963" t="s">
        <v>71</v>
      </c>
      <c r="C963" t="s">
        <v>196</v>
      </c>
      <c r="D963" t="s">
        <v>413</v>
      </c>
      <c r="E963" s="118">
        <v>4313</v>
      </c>
      <c r="F963" s="13">
        <v>45897</v>
      </c>
      <c r="G963" s="24">
        <v>167314.19</v>
      </c>
      <c r="H963" s="28">
        <v>157024.37</v>
      </c>
      <c r="I963" s="3">
        <v>45909</v>
      </c>
      <c r="J963" s="102">
        <v>45922</v>
      </c>
      <c r="K963" s="12">
        <v>45924</v>
      </c>
      <c r="L963" s="1" t="s">
        <v>731</v>
      </c>
      <c r="M963" s="36">
        <v>0</v>
      </c>
      <c r="N963"/>
      <c r="O963" t="s">
        <v>199</v>
      </c>
      <c r="P963" t="s">
        <v>376</v>
      </c>
      <c r="Q963" t="s">
        <v>203</v>
      </c>
    </row>
    <row r="964" spans="1:17" x14ac:dyDescent="0.3">
      <c r="A964" s="25">
        <v>1294</v>
      </c>
      <c r="B964" t="s">
        <v>71</v>
      </c>
      <c r="C964" t="s">
        <v>196</v>
      </c>
      <c r="D964" t="s">
        <v>413</v>
      </c>
      <c r="E964" s="118">
        <v>4314</v>
      </c>
      <c r="F964" s="13">
        <v>45897</v>
      </c>
      <c r="G964" s="24">
        <v>166765.92000000001</v>
      </c>
      <c r="H964" s="28">
        <v>156509.81</v>
      </c>
      <c r="I964" s="3">
        <v>45909</v>
      </c>
      <c r="J964" s="102">
        <v>45922</v>
      </c>
      <c r="K964" s="12">
        <v>45924</v>
      </c>
      <c r="L964" s="1" t="s">
        <v>731</v>
      </c>
      <c r="M964" s="36">
        <v>0</v>
      </c>
      <c r="N964"/>
      <c r="O964" t="s">
        <v>199</v>
      </c>
      <c r="P964" t="s">
        <v>376</v>
      </c>
      <c r="Q964" t="s">
        <v>203</v>
      </c>
    </row>
    <row r="965" spans="1:17" x14ac:dyDescent="0.3">
      <c r="A965" s="25">
        <v>1294</v>
      </c>
      <c r="B965" t="s">
        <v>71</v>
      </c>
      <c r="C965" t="s">
        <v>196</v>
      </c>
      <c r="D965" t="s">
        <v>413</v>
      </c>
      <c r="E965" s="118">
        <v>4315</v>
      </c>
      <c r="F965" s="13">
        <v>45897</v>
      </c>
      <c r="G965" s="24">
        <v>91673.4</v>
      </c>
      <c r="H965" s="28">
        <v>86035.49</v>
      </c>
      <c r="I965" s="3">
        <v>45909</v>
      </c>
      <c r="J965" s="102">
        <v>45922</v>
      </c>
      <c r="K965" s="12">
        <v>45924</v>
      </c>
      <c r="L965" s="1" t="s">
        <v>731</v>
      </c>
      <c r="M965" s="36">
        <v>0</v>
      </c>
      <c r="N965"/>
      <c r="O965" t="s">
        <v>199</v>
      </c>
      <c r="P965" t="s">
        <v>376</v>
      </c>
      <c r="Q965" t="s">
        <v>203</v>
      </c>
    </row>
    <row r="966" spans="1:17" x14ac:dyDescent="0.3">
      <c r="A966" s="25">
        <v>1294</v>
      </c>
      <c r="B966" t="s">
        <v>71</v>
      </c>
      <c r="C966" t="s">
        <v>196</v>
      </c>
      <c r="D966" t="s">
        <v>413</v>
      </c>
      <c r="E966" s="118">
        <v>4316</v>
      </c>
      <c r="F966" s="13">
        <v>45897</v>
      </c>
      <c r="G966" s="131">
        <v>185528.51</v>
      </c>
      <c r="H966" s="28">
        <v>174118.49</v>
      </c>
      <c r="I966" s="3">
        <v>45909</v>
      </c>
      <c r="J966" s="102">
        <v>45922</v>
      </c>
      <c r="K966" s="12">
        <v>45924</v>
      </c>
      <c r="L966" s="1" t="s">
        <v>731</v>
      </c>
      <c r="M966" s="36">
        <v>0</v>
      </c>
      <c r="N966"/>
      <c r="O966" t="s">
        <v>199</v>
      </c>
      <c r="P966" t="s">
        <v>376</v>
      </c>
      <c r="Q966" t="s">
        <v>203</v>
      </c>
    </row>
    <row r="967" spans="1:17" x14ac:dyDescent="0.3">
      <c r="A967" s="25">
        <v>1294</v>
      </c>
      <c r="B967" t="s">
        <v>71</v>
      </c>
      <c r="C967" t="s">
        <v>196</v>
      </c>
      <c r="D967" t="s">
        <v>413</v>
      </c>
      <c r="E967" s="118">
        <v>4329</v>
      </c>
      <c r="F967" s="13">
        <v>45897</v>
      </c>
      <c r="G967" s="24">
        <v>139002.92000000001</v>
      </c>
      <c r="H967" s="28">
        <v>130454.24</v>
      </c>
      <c r="I967" s="3">
        <v>45911</v>
      </c>
      <c r="J967" s="102">
        <v>45922</v>
      </c>
      <c r="K967" s="12">
        <v>45926</v>
      </c>
      <c r="L967" s="1" t="s">
        <v>731</v>
      </c>
      <c r="M967" s="36">
        <v>0</v>
      </c>
      <c r="N967"/>
      <c r="O967" t="s">
        <v>199</v>
      </c>
      <c r="P967" t="s">
        <v>376</v>
      </c>
      <c r="Q967" t="s">
        <v>203</v>
      </c>
    </row>
    <row r="968" spans="1:17" x14ac:dyDescent="0.3">
      <c r="A968" s="25">
        <v>1294</v>
      </c>
      <c r="B968" t="s">
        <v>71</v>
      </c>
      <c r="C968" t="s">
        <v>196</v>
      </c>
      <c r="D968" t="s">
        <v>413</v>
      </c>
      <c r="E968" s="118">
        <v>4330</v>
      </c>
      <c r="F968" s="13">
        <v>45897</v>
      </c>
      <c r="G968" s="24">
        <v>202608</v>
      </c>
      <c r="H968" s="28">
        <v>190147.61</v>
      </c>
      <c r="I968" s="3">
        <v>45911</v>
      </c>
      <c r="J968" s="102">
        <v>45922</v>
      </c>
      <c r="K968" s="12">
        <v>45926</v>
      </c>
      <c r="L968" s="1" t="s">
        <v>731</v>
      </c>
      <c r="M968" s="36">
        <v>0</v>
      </c>
      <c r="N968"/>
      <c r="O968" t="s">
        <v>199</v>
      </c>
      <c r="P968" t="s">
        <v>376</v>
      </c>
      <c r="Q968" t="s">
        <v>203</v>
      </c>
    </row>
    <row r="969" spans="1:17" x14ac:dyDescent="0.3">
      <c r="A969" s="25">
        <v>1294</v>
      </c>
      <c r="B969" t="s">
        <v>71</v>
      </c>
      <c r="C969" t="s">
        <v>196</v>
      </c>
      <c r="D969" t="s">
        <v>413</v>
      </c>
      <c r="E969" s="118">
        <v>4331</v>
      </c>
      <c r="F969" s="13">
        <v>45897</v>
      </c>
      <c r="G969" s="131">
        <v>181920.64000000001</v>
      </c>
      <c r="H969" s="28">
        <v>170732.52</v>
      </c>
      <c r="I969" s="3">
        <v>45911</v>
      </c>
      <c r="J969" s="102">
        <v>45922</v>
      </c>
      <c r="K969" s="12">
        <v>45926</v>
      </c>
      <c r="L969" s="1" t="s">
        <v>731</v>
      </c>
      <c r="M969" s="36">
        <v>0</v>
      </c>
      <c r="N969"/>
      <c r="O969" t="s">
        <v>199</v>
      </c>
      <c r="P969" t="s">
        <v>376</v>
      </c>
      <c r="Q969" t="s">
        <v>203</v>
      </c>
    </row>
    <row r="970" spans="1:17" x14ac:dyDescent="0.3">
      <c r="A970" s="25">
        <v>1294</v>
      </c>
      <c r="B970" t="s">
        <v>71</v>
      </c>
      <c r="C970" t="s">
        <v>196</v>
      </c>
      <c r="D970" t="s">
        <v>413</v>
      </c>
      <c r="E970" s="118">
        <v>4338</v>
      </c>
      <c r="F970" s="13">
        <v>45897</v>
      </c>
      <c r="G970" s="24">
        <v>128748.48</v>
      </c>
      <c r="H970" s="28">
        <v>120830.45</v>
      </c>
      <c r="I970" s="3">
        <v>45911</v>
      </c>
      <c r="J970" s="102">
        <v>45922</v>
      </c>
      <c r="K970" s="12">
        <v>45926</v>
      </c>
      <c r="L970" s="1" t="s">
        <v>731</v>
      </c>
      <c r="M970" s="36">
        <v>0</v>
      </c>
      <c r="N970"/>
      <c r="O970" t="s">
        <v>199</v>
      </c>
      <c r="P970" t="s">
        <v>376</v>
      </c>
      <c r="Q970" t="s">
        <v>203</v>
      </c>
    </row>
    <row r="971" spans="1:17" x14ac:dyDescent="0.3">
      <c r="A971" s="25">
        <v>1294</v>
      </c>
      <c r="B971" t="s">
        <v>71</v>
      </c>
      <c r="C971" t="s">
        <v>196</v>
      </c>
      <c r="D971" t="s">
        <v>413</v>
      </c>
      <c r="E971" s="118">
        <v>4353</v>
      </c>
      <c r="F971" s="13">
        <v>45897</v>
      </c>
      <c r="G971" s="24">
        <v>276165.96000000002</v>
      </c>
      <c r="H971" s="28">
        <v>259181.75</v>
      </c>
      <c r="I971" s="3">
        <v>45912</v>
      </c>
      <c r="J971" s="102">
        <v>45929</v>
      </c>
      <c r="K971" s="12">
        <v>45929</v>
      </c>
      <c r="L971" s="1" t="s">
        <v>731</v>
      </c>
      <c r="M971" s="36">
        <v>0</v>
      </c>
      <c r="N971"/>
      <c r="O971" t="s">
        <v>199</v>
      </c>
      <c r="P971" t="s">
        <v>376</v>
      </c>
      <c r="Q971" t="s">
        <v>203</v>
      </c>
    </row>
    <row r="972" spans="1:17" ht="13.95" customHeight="1" x14ac:dyDescent="0.3">
      <c r="A972" s="25">
        <v>1292</v>
      </c>
      <c r="B972" t="s">
        <v>71</v>
      </c>
      <c r="C972" t="s">
        <v>200</v>
      </c>
      <c r="D972" t="s">
        <v>411</v>
      </c>
      <c r="E972" s="118">
        <v>4325</v>
      </c>
      <c r="F972" s="13">
        <v>45897</v>
      </c>
      <c r="G972" s="24">
        <v>58290</v>
      </c>
      <c r="H972" s="24">
        <v>54705.16</v>
      </c>
      <c r="I972" s="3">
        <v>45911</v>
      </c>
      <c r="J972" s="102">
        <v>45922</v>
      </c>
      <c r="K972" s="12">
        <v>45926</v>
      </c>
      <c r="L972" s="1" t="s">
        <v>731</v>
      </c>
      <c r="M972" s="36">
        <v>0</v>
      </c>
      <c r="N972"/>
      <c r="O972" t="s">
        <v>199</v>
      </c>
      <c r="P972" t="s">
        <v>376</v>
      </c>
      <c r="Q972" t="s">
        <v>203</v>
      </c>
    </row>
    <row r="973" spans="1:17" ht="13.95" customHeight="1" x14ac:dyDescent="0.3">
      <c r="A973" s="25">
        <v>1292</v>
      </c>
      <c r="B973" t="s">
        <v>71</v>
      </c>
      <c r="C973" t="s">
        <v>200</v>
      </c>
      <c r="D973" t="s">
        <v>411</v>
      </c>
      <c r="E973" s="118">
        <v>4300</v>
      </c>
      <c r="F973" s="13">
        <v>45897</v>
      </c>
      <c r="G973" s="24">
        <v>48434.61</v>
      </c>
      <c r="H973" s="24">
        <v>45455.88</v>
      </c>
      <c r="I973" s="3">
        <v>45901</v>
      </c>
      <c r="J973" s="102">
        <v>45915</v>
      </c>
      <c r="K973" s="12">
        <v>45916</v>
      </c>
      <c r="L973" s="1" t="s">
        <v>731</v>
      </c>
      <c r="M973" s="36">
        <v>0</v>
      </c>
      <c r="N973"/>
      <c r="O973" t="s">
        <v>199</v>
      </c>
      <c r="P973" t="s">
        <v>376</v>
      </c>
      <c r="Q973" t="s">
        <v>203</v>
      </c>
    </row>
    <row r="974" spans="1:17" x14ac:dyDescent="0.3">
      <c r="A974" s="25">
        <v>1292</v>
      </c>
      <c r="B974" t="s">
        <v>71</v>
      </c>
      <c r="C974" t="s">
        <v>200</v>
      </c>
      <c r="D974" t="s">
        <v>411</v>
      </c>
      <c r="E974" s="118">
        <v>4317</v>
      </c>
      <c r="F974" s="13">
        <v>45897</v>
      </c>
      <c r="G974" s="24">
        <v>31008</v>
      </c>
      <c r="H974" s="24">
        <v>29101.01</v>
      </c>
      <c r="I974" s="3">
        <v>45910</v>
      </c>
      <c r="J974" s="102">
        <v>45922</v>
      </c>
      <c r="K974" s="12">
        <v>45925</v>
      </c>
      <c r="L974" s="1" t="s">
        <v>731</v>
      </c>
      <c r="M974" s="36">
        <v>0</v>
      </c>
      <c r="N974"/>
      <c r="O974" t="s">
        <v>199</v>
      </c>
      <c r="P974" t="s">
        <v>376</v>
      </c>
      <c r="Q974" t="s">
        <v>203</v>
      </c>
    </row>
    <row r="975" spans="1:17" x14ac:dyDescent="0.3">
      <c r="A975" s="25">
        <v>1292</v>
      </c>
      <c r="B975" t="s">
        <v>71</v>
      </c>
      <c r="C975" t="s">
        <v>200</v>
      </c>
      <c r="D975" t="s">
        <v>411</v>
      </c>
      <c r="E975" s="118">
        <v>4354</v>
      </c>
      <c r="F975" s="13">
        <v>45897</v>
      </c>
      <c r="G975" s="24">
        <v>34633.19</v>
      </c>
      <c r="H975" s="24">
        <v>32503.25</v>
      </c>
      <c r="I975" s="3">
        <v>45912</v>
      </c>
      <c r="J975" s="102">
        <v>45929</v>
      </c>
      <c r="K975" s="12">
        <v>45929</v>
      </c>
      <c r="L975" s="1" t="s">
        <v>731</v>
      </c>
      <c r="M975" s="36">
        <v>0</v>
      </c>
      <c r="N975"/>
      <c r="O975" t="s">
        <v>199</v>
      </c>
      <c r="P975" t="s">
        <v>376</v>
      </c>
      <c r="Q975" t="s">
        <v>203</v>
      </c>
    </row>
    <row r="976" spans="1:17" x14ac:dyDescent="0.3">
      <c r="A976" s="25">
        <v>1292</v>
      </c>
      <c r="B976" t="s">
        <v>71</v>
      </c>
      <c r="C976" t="s">
        <v>200</v>
      </c>
      <c r="D976" t="s">
        <v>411</v>
      </c>
      <c r="E976" s="118">
        <v>4355</v>
      </c>
      <c r="F976" s="13">
        <v>45897</v>
      </c>
      <c r="G976" s="24">
        <v>124611.96</v>
      </c>
      <c r="H976" s="24">
        <v>116948.32</v>
      </c>
      <c r="I976" s="3">
        <v>45915</v>
      </c>
      <c r="J976" s="102">
        <v>45929</v>
      </c>
      <c r="K976" s="12">
        <v>45930</v>
      </c>
      <c r="L976" s="1" t="s">
        <v>731</v>
      </c>
      <c r="M976" s="36">
        <v>0</v>
      </c>
      <c r="N976"/>
      <c r="O976" t="s">
        <v>199</v>
      </c>
      <c r="P976" t="s">
        <v>376</v>
      </c>
      <c r="Q976" t="s">
        <v>203</v>
      </c>
    </row>
    <row r="977" spans="1:17" x14ac:dyDescent="0.3">
      <c r="A977" s="25">
        <v>1292</v>
      </c>
      <c r="B977" t="s">
        <v>71</v>
      </c>
      <c r="C977" t="s">
        <v>200</v>
      </c>
      <c r="D977" t="s">
        <v>411</v>
      </c>
      <c r="E977" s="118">
        <v>4356</v>
      </c>
      <c r="F977" s="13">
        <v>45897</v>
      </c>
      <c r="G977" s="24">
        <v>48434.61</v>
      </c>
      <c r="H977" s="24">
        <v>45455.88</v>
      </c>
      <c r="I977" s="3">
        <v>45915</v>
      </c>
      <c r="J977" s="102">
        <v>45929</v>
      </c>
      <c r="K977" s="12">
        <v>45930</v>
      </c>
      <c r="L977" s="1" t="s">
        <v>731</v>
      </c>
      <c r="M977" s="36">
        <v>0</v>
      </c>
      <c r="N977"/>
      <c r="O977" t="s">
        <v>199</v>
      </c>
      <c r="P977" t="s">
        <v>376</v>
      </c>
      <c r="Q977" t="s">
        <v>203</v>
      </c>
    </row>
    <row r="978" spans="1:17" x14ac:dyDescent="0.3">
      <c r="A978" s="25">
        <v>1484</v>
      </c>
      <c r="B978" t="s">
        <v>71</v>
      </c>
      <c r="C978" t="s">
        <v>200</v>
      </c>
      <c r="D978" t="s">
        <v>634</v>
      </c>
      <c r="E978" s="118">
        <v>4311</v>
      </c>
      <c r="F978" s="13">
        <v>45897</v>
      </c>
      <c r="G978" s="24">
        <v>36601.06</v>
      </c>
      <c r="H978" s="24">
        <v>34350.089999999997</v>
      </c>
      <c r="I978" s="3">
        <v>45908</v>
      </c>
      <c r="J978" s="102">
        <v>45922</v>
      </c>
      <c r="K978" s="12">
        <v>45926</v>
      </c>
      <c r="L978" s="1" t="s">
        <v>731</v>
      </c>
      <c r="M978" s="36">
        <v>0</v>
      </c>
      <c r="N978"/>
      <c r="O978" t="s">
        <v>201</v>
      </c>
      <c r="P978" t="s">
        <v>376</v>
      </c>
      <c r="Q978" t="s">
        <v>203</v>
      </c>
    </row>
    <row r="979" spans="1:17" x14ac:dyDescent="0.3">
      <c r="A979" s="25">
        <v>1398</v>
      </c>
      <c r="B979" t="s">
        <v>212</v>
      </c>
      <c r="C979" t="s">
        <v>169</v>
      </c>
      <c r="D979" t="s">
        <v>528</v>
      </c>
      <c r="E979" s="118">
        <v>8505</v>
      </c>
      <c r="F979" s="13">
        <v>45897</v>
      </c>
      <c r="G979" s="27">
        <v>26093.54</v>
      </c>
      <c r="H979" s="24">
        <v>24488.79</v>
      </c>
      <c r="I979" s="3">
        <v>45909</v>
      </c>
      <c r="J979" s="102">
        <v>45936</v>
      </c>
      <c r="K979" s="12">
        <v>45939</v>
      </c>
      <c r="L979" s="19" t="s">
        <v>731</v>
      </c>
      <c r="M979" s="36">
        <v>0</v>
      </c>
      <c r="N979"/>
      <c r="O979" t="s">
        <v>202</v>
      </c>
      <c r="P979" t="s">
        <v>328</v>
      </c>
      <c r="Q979" t="s">
        <v>207</v>
      </c>
    </row>
    <row r="980" spans="1:17" x14ac:dyDescent="0.3">
      <c r="A980" s="9">
        <v>1393</v>
      </c>
      <c r="B980" t="s">
        <v>215</v>
      </c>
      <c r="C980" t="s">
        <v>348</v>
      </c>
      <c r="D980" t="s">
        <v>522</v>
      </c>
      <c r="E980" s="118">
        <v>8507</v>
      </c>
      <c r="F980" s="13">
        <v>45897</v>
      </c>
      <c r="G980" s="24">
        <v>475106.24</v>
      </c>
      <c r="H980" s="11">
        <v>426170.3</v>
      </c>
      <c r="I980" s="3">
        <v>45909</v>
      </c>
      <c r="J980" s="102">
        <v>45936</v>
      </c>
      <c r="K980" s="5">
        <v>45940</v>
      </c>
      <c r="L980" s="19" t="s">
        <v>731</v>
      </c>
      <c r="M980" s="35">
        <v>0</v>
      </c>
      <c r="N980" s="15"/>
      <c r="O980" t="s">
        <v>202</v>
      </c>
      <c r="P980" t="s">
        <v>340</v>
      </c>
      <c r="Q980" t="s">
        <v>213</v>
      </c>
    </row>
    <row r="981" spans="1:17" x14ac:dyDescent="0.3">
      <c r="A981" s="9">
        <v>1476</v>
      </c>
      <c r="B981" t="s">
        <v>215</v>
      </c>
      <c r="C981" t="s">
        <v>46</v>
      </c>
      <c r="D981" t="s">
        <v>626</v>
      </c>
      <c r="E981" s="118">
        <v>8497</v>
      </c>
      <c r="F981" s="13">
        <v>45897</v>
      </c>
      <c r="G981" s="24">
        <v>318628.40000000002</v>
      </c>
      <c r="H981" s="24">
        <v>285809.68</v>
      </c>
      <c r="I981" s="3">
        <v>45904</v>
      </c>
      <c r="J981" s="102">
        <v>45929</v>
      </c>
      <c r="K981" s="5">
        <v>45929</v>
      </c>
      <c r="L981" s="22" t="s">
        <v>731</v>
      </c>
      <c r="M981" s="35"/>
      <c r="N981" s="15"/>
      <c r="O981" t="s">
        <v>202</v>
      </c>
      <c r="P981" t="s">
        <v>340</v>
      </c>
      <c r="Q981" t="s">
        <v>213</v>
      </c>
    </row>
    <row r="982" spans="1:17" x14ac:dyDescent="0.3">
      <c r="A982" s="9">
        <v>1476</v>
      </c>
      <c r="B982" t="s">
        <v>215</v>
      </c>
      <c r="C982" t="s">
        <v>46</v>
      </c>
      <c r="D982" t="s">
        <v>626</v>
      </c>
      <c r="E982" s="118">
        <v>8798</v>
      </c>
      <c r="F982" s="13">
        <v>45897</v>
      </c>
      <c r="G982" s="24">
        <v>273.12</v>
      </c>
      <c r="H982" s="24">
        <v>244.99</v>
      </c>
      <c r="I982" s="3">
        <v>45904</v>
      </c>
      <c r="J982" s="102">
        <v>45929</v>
      </c>
      <c r="K982" s="5">
        <v>45929</v>
      </c>
      <c r="L982" s="22" t="s">
        <v>731</v>
      </c>
      <c r="M982" s="35"/>
      <c r="N982" s="15"/>
      <c r="O982" t="s">
        <v>202</v>
      </c>
      <c r="P982" t="s">
        <v>340</v>
      </c>
      <c r="Q982" t="s">
        <v>213</v>
      </c>
    </row>
    <row r="983" spans="1:17" x14ac:dyDescent="0.3">
      <c r="A983" s="25">
        <v>1296</v>
      </c>
      <c r="B983" t="s">
        <v>84</v>
      </c>
      <c r="C983" t="s">
        <v>34</v>
      </c>
      <c r="D983" t="s">
        <v>416</v>
      </c>
      <c r="E983" s="118">
        <v>8491</v>
      </c>
      <c r="F983" s="13">
        <v>45897</v>
      </c>
      <c r="G983" s="24">
        <v>35000</v>
      </c>
      <c r="H983" s="24">
        <v>32147.5</v>
      </c>
      <c r="I983" s="3">
        <v>45903</v>
      </c>
      <c r="J983" s="102">
        <v>45936</v>
      </c>
      <c r="K983" s="29">
        <v>45936</v>
      </c>
      <c r="L983" s="19" t="s">
        <v>731</v>
      </c>
      <c r="M983" s="42"/>
      <c r="N983" s="26"/>
      <c r="O983" t="s">
        <v>202</v>
      </c>
      <c r="P983" t="s">
        <v>328</v>
      </c>
      <c r="Q983" t="s">
        <v>207</v>
      </c>
    </row>
    <row r="984" spans="1:17" x14ac:dyDescent="0.3">
      <c r="A984" s="25">
        <v>1262</v>
      </c>
      <c r="B984" t="s">
        <v>193</v>
      </c>
      <c r="C984" t="s">
        <v>45</v>
      </c>
      <c r="D984" t="s">
        <v>375</v>
      </c>
      <c r="E984" s="118">
        <v>4261</v>
      </c>
      <c r="F984" s="13">
        <v>45866</v>
      </c>
      <c r="G984" s="24">
        <v>15016.96</v>
      </c>
      <c r="H984" s="24">
        <v>14093.42</v>
      </c>
      <c r="I984" s="3">
        <v>45890</v>
      </c>
      <c r="J984" s="102">
        <v>45894</v>
      </c>
      <c r="K984" s="12">
        <v>45898</v>
      </c>
      <c r="L984" s="19" t="s">
        <v>731</v>
      </c>
      <c r="M984" s="36">
        <v>0</v>
      </c>
      <c r="N984" s="26"/>
      <c r="O984" t="s">
        <v>199</v>
      </c>
      <c r="P984" t="s">
        <v>376</v>
      </c>
      <c r="Q984" t="s">
        <v>207</v>
      </c>
    </row>
    <row r="985" spans="1:17" x14ac:dyDescent="0.3">
      <c r="A985" s="9">
        <v>1300</v>
      </c>
      <c r="B985" t="s">
        <v>84</v>
      </c>
      <c r="C985" t="s">
        <v>34</v>
      </c>
      <c r="D985" t="s">
        <v>420</v>
      </c>
      <c r="E985" s="118">
        <v>1295</v>
      </c>
      <c r="F985" s="13">
        <v>45897</v>
      </c>
      <c r="G985" s="24">
        <v>287717.94</v>
      </c>
      <c r="H985" s="11">
        <v>264268.92</v>
      </c>
      <c r="I985" s="3">
        <v>45911</v>
      </c>
      <c r="J985" s="102">
        <v>45957</v>
      </c>
      <c r="K985" s="5">
        <v>45957</v>
      </c>
      <c r="L985" s="37" t="s">
        <v>731</v>
      </c>
      <c r="M985" s="38">
        <v>0</v>
      </c>
      <c r="N985" s="15"/>
      <c r="O985" t="s">
        <v>202</v>
      </c>
      <c r="P985" t="s">
        <v>328</v>
      </c>
      <c r="Q985" t="s">
        <v>207</v>
      </c>
    </row>
    <row r="986" spans="1:17" x14ac:dyDescent="0.3">
      <c r="A986" s="9">
        <v>1300</v>
      </c>
      <c r="B986" t="s">
        <v>84</v>
      </c>
      <c r="C986" t="s">
        <v>34</v>
      </c>
      <c r="D986" t="s">
        <v>420</v>
      </c>
      <c r="E986" s="118">
        <v>8514</v>
      </c>
      <c r="F986" s="13">
        <v>45897</v>
      </c>
      <c r="G986" s="24">
        <v>35127.120000000003</v>
      </c>
      <c r="H986" s="11">
        <v>32264.26</v>
      </c>
      <c r="I986" s="3">
        <v>45912</v>
      </c>
      <c r="J986" s="102">
        <v>45943</v>
      </c>
      <c r="K986" s="5">
        <v>45946</v>
      </c>
      <c r="L986" s="37" t="s">
        <v>731</v>
      </c>
      <c r="M986" s="38">
        <v>0</v>
      </c>
      <c r="N986" s="15"/>
      <c r="O986" t="s">
        <v>202</v>
      </c>
      <c r="P986" t="s">
        <v>328</v>
      </c>
      <c r="Q986" t="s">
        <v>207</v>
      </c>
    </row>
    <row r="987" spans="1:17" x14ac:dyDescent="0.3">
      <c r="A987" s="25">
        <v>1290</v>
      </c>
      <c r="B987" t="s">
        <v>215</v>
      </c>
      <c r="C987" t="s">
        <v>40</v>
      </c>
      <c r="D987" t="s">
        <v>409</v>
      </c>
      <c r="E987" s="118">
        <v>8499</v>
      </c>
      <c r="F987" s="13">
        <v>45897</v>
      </c>
      <c r="G987" s="24">
        <v>53175.27</v>
      </c>
      <c r="H987" s="24">
        <v>46980.35</v>
      </c>
      <c r="I987" s="3">
        <v>45904</v>
      </c>
      <c r="J987" s="102">
        <v>45936</v>
      </c>
      <c r="K987" s="12">
        <v>45936</v>
      </c>
      <c r="L987" s="22" t="s">
        <v>731</v>
      </c>
      <c r="M987" s="36">
        <v>0</v>
      </c>
      <c r="N987" s="26"/>
      <c r="O987" t="s">
        <v>202</v>
      </c>
      <c r="P987" t="s">
        <v>328</v>
      </c>
      <c r="Q987" t="s">
        <v>213</v>
      </c>
    </row>
    <row r="988" spans="1:17" x14ac:dyDescent="0.3">
      <c r="A988" s="25">
        <v>1490</v>
      </c>
      <c r="B988" t="s">
        <v>215</v>
      </c>
      <c r="C988" t="s">
        <v>40</v>
      </c>
      <c r="D988" t="s">
        <v>640</v>
      </c>
      <c r="E988" s="118">
        <v>8500</v>
      </c>
      <c r="F988" s="13">
        <v>45897</v>
      </c>
      <c r="G988" s="24">
        <v>2300</v>
      </c>
      <c r="H988" s="24">
        <v>2032.05</v>
      </c>
      <c r="I988" s="3">
        <v>45904</v>
      </c>
      <c r="J988" s="102">
        <v>45936</v>
      </c>
      <c r="K988" s="12">
        <v>45936</v>
      </c>
      <c r="L988" s="22" t="s">
        <v>731</v>
      </c>
      <c r="M988" s="36">
        <v>0</v>
      </c>
      <c r="N988" s="26"/>
      <c r="O988" t="s">
        <v>202</v>
      </c>
      <c r="P988" t="s">
        <v>328</v>
      </c>
      <c r="Q988" t="s">
        <v>213</v>
      </c>
    </row>
    <row r="989" spans="1:17" x14ac:dyDescent="0.3">
      <c r="A989" s="9">
        <v>1480</v>
      </c>
      <c r="B989" t="s">
        <v>193</v>
      </c>
      <c r="C989" t="s">
        <v>184</v>
      </c>
      <c r="D989" t="s">
        <v>630</v>
      </c>
      <c r="E989" s="118">
        <v>4361</v>
      </c>
      <c r="F989" s="13">
        <v>45897</v>
      </c>
      <c r="G989" s="24">
        <v>323657.03999999998</v>
      </c>
      <c r="H989" s="11">
        <v>303752.13</v>
      </c>
      <c r="I989" s="3">
        <v>45916</v>
      </c>
      <c r="J989" s="102">
        <v>45929</v>
      </c>
      <c r="K989" s="5">
        <v>45930</v>
      </c>
      <c r="L989" s="19" t="s">
        <v>731</v>
      </c>
      <c r="M989" s="38"/>
      <c r="N989" s="15"/>
      <c r="O989" t="s">
        <v>199</v>
      </c>
      <c r="P989" t="s">
        <v>376</v>
      </c>
      <c r="Q989" t="s">
        <v>207</v>
      </c>
    </row>
    <row r="990" spans="1:17" x14ac:dyDescent="0.3">
      <c r="A990" s="9">
        <v>1475</v>
      </c>
      <c r="B990" t="s">
        <v>204</v>
      </c>
      <c r="C990" t="s">
        <v>95</v>
      </c>
      <c r="D990" t="s">
        <v>625</v>
      </c>
      <c r="E990" s="118">
        <v>8492</v>
      </c>
      <c r="F990" s="13">
        <v>45897</v>
      </c>
      <c r="G990" s="24">
        <v>70696.11</v>
      </c>
      <c r="H990" s="11">
        <v>63414.42</v>
      </c>
      <c r="I990" s="3">
        <v>45904</v>
      </c>
      <c r="J990" s="102">
        <v>45915</v>
      </c>
      <c r="K990" s="12">
        <v>45918</v>
      </c>
      <c r="L990" s="19" t="s">
        <v>731</v>
      </c>
      <c r="M990" s="35">
        <v>0</v>
      </c>
      <c r="N990"/>
      <c r="O990" t="s">
        <v>199</v>
      </c>
      <c r="P990" t="s">
        <v>340</v>
      </c>
      <c r="Q990" t="s">
        <v>217</v>
      </c>
    </row>
    <row r="991" spans="1:17" x14ac:dyDescent="0.3">
      <c r="A991" s="9">
        <v>1472</v>
      </c>
      <c r="B991" t="s">
        <v>71</v>
      </c>
      <c r="C991" t="s">
        <v>41</v>
      </c>
      <c r="D991" t="s">
        <v>622</v>
      </c>
      <c r="E991" s="118">
        <v>4301</v>
      </c>
      <c r="F991" s="13">
        <v>45897</v>
      </c>
      <c r="G991" s="24">
        <v>93301.2</v>
      </c>
      <c r="H991" s="24">
        <v>87563.17</v>
      </c>
      <c r="I991" s="3">
        <v>45901</v>
      </c>
      <c r="J991" s="102">
        <v>45908</v>
      </c>
      <c r="K991" s="12">
        <v>45909</v>
      </c>
      <c r="L991" s="19" t="s">
        <v>731</v>
      </c>
      <c r="M991" s="38"/>
      <c r="N991" s="15"/>
      <c r="O991" t="s">
        <v>201</v>
      </c>
      <c r="P991" t="s">
        <v>376</v>
      </c>
      <c r="Q991" t="s">
        <v>203</v>
      </c>
    </row>
    <row r="992" spans="1:17" x14ac:dyDescent="0.3">
      <c r="A992" s="25">
        <v>1378</v>
      </c>
      <c r="B992" t="s">
        <v>193</v>
      </c>
      <c r="C992" t="s">
        <v>4</v>
      </c>
      <c r="D992" t="s">
        <v>506</v>
      </c>
      <c r="E992" s="118">
        <v>8516</v>
      </c>
      <c r="F992" s="13">
        <v>45897</v>
      </c>
      <c r="G992" s="24">
        <v>4281.29</v>
      </c>
      <c r="H992" s="24">
        <v>4017.99</v>
      </c>
      <c r="I992" s="3">
        <v>45916</v>
      </c>
      <c r="J992" s="102">
        <v>45936</v>
      </c>
      <c r="K992" s="29">
        <v>45937</v>
      </c>
      <c r="L992" s="19" t="s">
        <v>731</v>
      </c>
      <c r="M992" s="36">
        <v>0</v>
      </c>
      <c r="N992"/>
      <c r="O992" t="s">
        <v>201</v>
      </c>
      <c r="P992" t="s">
        <v>376</v>
      </c>
      <c r="Q992" t="s">
        <v>207</v>
      </c>
    </row>
    <row r="993" spans="1:17" x14ac:dyDescent="0.3">
      <c r="A993" s="9">
        <v>1247</v>
      </c>
      <c r="B993" t="s">
        <v>215</v>
      </c>
      <c r="C993" t="s">
        <v>21</v>
      </c>
      <c r="D993" t="s">
        <v>359</v>
      </c>
      <c r="E993" s="118">
        <v>8485</v>
      </c>
      <c r="F993" s="13">
        <v>45897</v>
      </c>
      <c r="G993" s="24">
        <v>38395.360000000001</v>
      </c>
      <c r="H993" s="24">
        <v>34440.629999999997</v>
      </c>
      <c r="I993" s="3">
        <v>45901</v>
      </c>
      <c r="J993" s="102">
        <v>45908</v>
      </c>
      <c r="K993" s="12">
        <v>45911</v>
      </c>
      <c r="L993" s="19" t="s">
        <v>731</v>
      </c>
      <c r="M993" s="35">
        <v>0</v>
      </c>
      <c r="N993"/>
      <c r="O993" t="s">
        <v>202</v>
      </c>
      <c r="P993" t="s">
        <v>340</v>
      </c>
      <c r="Q993" t="s">
        <v>213</v>
      </c>
    </row>
    <row r="994" spans="1:17" x14ac:dyDescent="0.3">
      <c r="A994" s="9">
        <v>1358</v>
      </c>
      <c r="B994" t="s">
        <v>215</v>
      </c>
      <c r="C994" t="s">
        <v>17</v>
      </c>
      <c r="D994" t="s">
        <v>480</v>
      </c>
      <c r="E994" s="118">
        <v>8504</v>
      </c>
      <c r="F994" s="13">
        <v>45897</v>
      </c>
      <c r="G994" s="24">
        <v>89150.64</v>
      </c>
      <c r="H994" s="24">
        <v>79968.13</v>
      </c>
      <c r="I994" s="3">
        <v>45908</v>
      </c>
      <c r="J994" s="102">
        <v>45929</v>
      </c>
      <c r="K994" s="12">
        <v>45929</v>
      </c>
      <c r="L994" s="19" t="s">
        <v>731</v>
      </c>
      <c r="M994" s="35">
        <v>0</v>
      </c>
      <c r="N994"/>
      <c r="O994" t="s">
        <v>202</v>
      </c>
      <c r="P994" t="s">
        <v>340</v>
      </c>
      <c r="Q994" t="s">
        <v>213</v>
      </c>
    </row>
    <row r="995" spans="1:17" x14ac:dyDescent="0.3">
      <c r="A995" s="25">
        <v>1473</v>
      </c>
      <c r="B995" t="s">
        <v>215</v>
      </c>
      <c r="C995" t="s">
        <v>208</v>
      </c>
      <c r="D995" t="s">
        <v>623</v>
      </c>
      <c r="E995" s="118">
        <v>8553</v>
      </c>
      <c r="F995" s="13">
        <v>45897</v>
      </c>
      <c r="G995" s="24">
        <v>236280.79</v>
      </c>
      <c r="H995" s="24">
        <v>220213.69</v>
      </c>
      <c r="I995" s="3">
        <v>45940</v>
      </c>
      <c r="J995" s="102">
        <v>45950</v>
      </c>
      <c r="K995" s="12">
        <v>45954</v>
      </c>
      <c r="L995" s="19" t="s">
        <v>731</v>
      </c>
      <c r="M995" s="36">
        <v>0</v>
      </c>
      <c r="N995"/>
      <c r="O995" t="s">
        <v>202</v>
      </c>
      <c r="P995" t="s">
        <v>340</v>
      </c>
      <c r="Q995" t="s">
        <v>213</v>
      </c>
    </row>
    <row r="996" spans="1:17" x14ac:dyDescent="0.3">
      <c r="A996" s="25">
        <v>1462</v>
      </c>
      <c r="B996" t="s">
        <v>212</v>
      </c>
      <c r="C996" t="s">
        <v>169</v>
      </c>
      <c r="D996" t="s">
        <v>610</v>
      </c>
      <c r="E996" s="118">
        <v>8486</v>
      </c>
      <c r="F996" s="13">
        <v>45897</v>
      </c>
      <c r="G996" s="24">
        <v>1342.67</v>
      </c>
      <c r="H996" s="24">
        <v>1260.0899999999999</v>
      </c>
      <c r="I996" s="3">
        <v>45903</v>
      </c>
      <c r="J996" s="102">
        <v>45901</v>
      </c>
      <c r="K996" s="12">
        <v>45905</v>
      </c>
      <c r="L996" s="19" t="s">
        <v>731</v>
      </c>
      <c r="M996" s="36">
        <v>0</v>
      </c>
      <c r="N996" s="26"/>
      <c r="O996" t="s">
        <v>202</v>
      </c>
      <c r="P996" t="s">
        <v>328</v>
      </c>
      <c r="Q996" t="s">
        <v>207</v>
      </c>
    </row>
    <row r="997" spans="1:17" x14ac:dyDescent="0.3">
      <c r="A997" s="14">
        <v>1260</v>
      </c>
      <c r="B997" t="s">
        <v>193</v>
      </c>
      <c r="C997" t="s">
        <v>121</v>
      </c>
      <c r="D997" t="s">
        <v>372</v>
      </c>
      <c r="E997" s="118">
        <v>4299</v>
      </c>
      <c r="F997" s="13">
        <v>45897</v>
      </c>
      <c r="G997" s="24">
        <v>10914</v>
      </c>
      <c r="H997" s="24">
        <v>10242.790000000001</v>
      </c>
      <c r="I997" s="3">
        <v>45901</v>
      </c>
      <c r="J997" s="102">
        <v>45922</v>
      </c>
      <c r="K997" s="12">
        <v>45924</v>
      </c>
      <c r="L997" s="20" t="s">
        <v>731</v>
      </c>
      <c r="M997" s="35">
        <v>0</v>
      </c>
      <c r="N997"/>
      <c r="O997" t="s">
        <v>199</v>
      </c>
      <c r="P997" t="s">
        <v>373</v>
      </c>
      <c r="Q997" t="s">
        <v>207</v>
      </c>
    </row>
    <row r="998" spans="1:17" x14ac:dyDescent="0.3">
      <c r="A998" s="25">
        <v>1485</v>
      </c>
      <c r="B998" t="s">
        <v>193</v>
      </c>
      <c r="C998" t="s">
        <v>43</v>
      </c>
      <c r="D998" t="s">
        <v>635</v>
      </c>
      <c r="E998" s="118">
        <v>4298</v>
      </c>
      <c r="F998" s="13">
        <v>45897</v>
      </c>
      <c r="G998" s="24">
        <v>30030.639999999999</v>
      </c>
      <c r="H998" s="24">
        <v>28183.75</v>
      </c>
      <c r="I998" s="3">
        <v>45901</v>
      </c>
      <c r="J998" s="102">
        <v>45957</v>
      </c>
      <c r="K998" s="12">
        <v>45961</v>
      </c>
      <c r="L998" s="19" t="s">
        <v>731</v>
      </c>
      <c r="M998" s="36"/>
      <c r="N998" s="26"/>
      <c r="O998" t="s">
        <v>199</v>
      </c>
      <c r="P998" t="s">
        <v>376</v>
      </c>
      <c r="Q998" t="s">
        <v>207</v>
      </c>
    </row>
    <row r="999" spans="1:17" x14ac:dyDescent="0.3">
      <c r="A999" s="25">
        <v>1485</v>
      </c>
      <c r="B999" t="s">
        <v>193</v>
      </c>
      <c r="C999" t="s">
        <v>43</v>
      </c>
      <c r="D999" t="s">
        <v>635</v>
      </c>
      <c r="E999" s="118">
        <v>4383</v>
      </c>
      <c r="F999" s="13">
        <v>45897</v>
      </c>
      <c r="G999" s="24">
        <v>7834.08</v>
      </c>
      <c r="H999" s="24">
        <v>7352.29</v>
      </c>
      <c r="I999" s="3">
        <v>45931</v>
      </c>
      <c r="J999" s="102">
        <v>46069</v>
      </c>
      <c r="K999" s="12">
        <v>46073</v>
      </c>
      <c r="L999" s="19" t="s">
        <v>731</v>
      </c>
      <c r="M999" s="36">
        <v>0</v>
      </c>
      <c r="N999" s="26"/>
      <c r="O999" t="s">
        <v>199</v>
      </c>
      <c r="P999" t="s">
        <v>376</v>
      </c>
      <c r="Q999" t="s">
        <v>207</v>
      </c>
    </row>
    <row r="1000" spans="1:17" x14ac:dyDescent="0.3">
      <c r="A1000" s="25">
        <v>1506</v>
      </c>
      <c r="B1000" t="s">
        <v>193</v>
      </c>
      <c r="C1000" t="s">
        <v>43</v>
      </c>
      <c r="D1000" t="s">
        <v>656</v>
      </c>
      <c r="E1000" s="118">
        <v>4579</v>
      </c>
      <c r="F1000" s="13">
        <v>45989</v>
      </c>
      <c r="G1000" s="24">
        <v>39163.519999999997</v>
      </c>
      <c r="H1000" s="24">
        <v>36754.959999999999</v>
      </c>
      <c r="I1000" s="3">
        <v>45992</v>
      </c>
      <c r="J1000" s="102">
        <v>46048</v>
      </c>
      <c r="K1000" s="12">
        <v>46052</v>
      </c>
      <c r="L1000" s="19" t="s">
        <v>731</v>
      </c>
      <c r="M1000" s="36">
        <v>0</v>
      </c>
      <c r="N1000" s="26"/>
      <c r="O1000" t="s">
        <v>201</v>
      </c>
      <c r="P1000" t="s">
        <v>376</v>
      </c>
      <c r="Q1000" t="s">
        <v>207</v>
      </c>
    </row>
    <row r="1001" spans="1:17" x14ac:dyDescent="0.3">
      <c r="A1001" s="9">
        <v>1482</v>
      </c>
      <c r="B1001" t="s">
        <v>84</v>
      </c>
      <c r="C1001" t="s">
        <v>34</v>
      </c>
      <c r="D1001" t="s">
        <v>632</v>
      </c>
      <c r="E1001" s="118">
        <v>8503</v>
      </c>
      <c r="F1001" s="13">
        <v>45897</v>
      </c>
      <c r="G1001" s="24">
        <v>39000</v>
      </c>
      <c r="H1001" s="24">
        <v>35236.5</v>
      </c>
      <c r="I1001" s="3">
        <v>45905</v>
      </c>
      <c r="J1001" s="102">
        <v>45929</v>
      </c>
      <c r="K1001" s="12">
        <v>45930</v>
      </c>
      <c r="L1001" s="37" t="s">
        <v>731</v>
      </c>
      <c r="M1001" s="43"/>
      <c r="N1001" s="15"/>
      <c r="O1001" t="s">
        <v>202</v>
      </c>
      <c r="P1001" t="s">
        <v>328</v>
      </c>
      <c r="Q1001" t="s">
        <v>207</v>
      </c>
    </row>
    <row r="1002" spans="1:17" x14ac:dyDescent="0.3">
      <c r="A1002" s="25">
        <v>1262</v>
      </c>
      <c r="B1002" t="s">
        <v>193</v>
      </c>
      <c r="C1002" t="s">
        <v>45</v>
      </c>
      <c r="D1002" t="s">
        <v>375</v>
      </c>
      <c r="E1002" s="118">
        <v>4364</v>
      </c>
      <c r="F1002" s="13">
        <v>45897</v>
      </c>
      <c r="G1002" s="24">
        <v>28509.83</v>
      </c>
      <c r="H1002" s="24">
        <v>26756.48</v>
      </c>
      <c r="I1002" s="3">
        <v>45922</v>
      </c>
      <c r="J1002" s="102">
        <v>45929</v>
      </c>
      <c r="K1002" s="12">
        <v>45930</v>
      </c>
      <c r="L1002" s="19" t="s">
        <v>731</v>
      </c>
      <c r="M1002" s="36">
        <v>0</v>
      </c>
      <c r="N1002" s="26"/>
      <c r="O1002" t="s">
        <v>199</v>
      </c>
      <c r="P1002" t="s">
        <v>376</v>
      </c>
      <c r="Q1002" t="s">
        <v>207</v>
      </c>
    </row>
    <row r="1003" spans="1:17" x14ac:dyDescent="0.3">
      <c r="A1003" s="25">
        <v>1262</v>
      </c>
      <c r="B1003" t="s">
        <v>193</v>
      </c>
      <c r="C1003" t="s">
        <v>45</v>
      </c>
      <c r="D1003" t="s">
        <v>375</v>
      </c>
      <c r="E1003" s="118">
        <v>4365</v>
      </c>
      <c r="F1003" s="13">
        <v>45897</v>
      </c>
      <c r="G1003" s="24">
        <v>19716.8</v>
      </c>
      <c r="H1003" s="24">
        <v>18504.22</v>
      </c>
      <c r="I1003" s="3">
        <v>45922</v>
      </c>
      <c r="J1003" s="102">
        <v>45929</v>
      </c>
      <c r="K1003" s="12">
        <v>45930</v>
      </c>
      <c r="L1003" s="19" t="s">
        <v>731</v>
      </c>
      <c r="M1003" s="36">
        <v>0</v>
      </c>
      <c r="N1003" s="26"/>
      <c r="O1003" t="s">
        <v>199</v>
      </c>
      <c r="P1003" t="s">
        <v>376</v>
      </c>
      <c r="Q1003" t="s">
        <v>207</v>
      </c>
    </row>
    <row r="1004" spans="1:17" x14ac:dyDescent="0.3">
      <c r="A1004" s="25">
        <v>1262</v>
      </c>
      <c r="B1004" t="s">
        <v>193</v>
      </c>
      <c r="C1004" t="s">
        <v>45</v>
      </c>
      <c r="D1004" t="s">
        <v>375</v>
      </c>
      <c r="E1004" s="118">
        <v>4366</v>
      </c>
      <c r="F1004" s="13">
        <v>45897</v>
      </c>
      <c r="G1004" s="24">
        <v>10802.27</v>
      </c>
      <c r="H1004" s="24">
        <v>10137.94</v>
      </c>
      <c r="I1004" s="3">
        <v>45922</v>
      </c>
      <c r="J1004" s="102">
        <v>45929</v>
      </c>
      <c r="K1004" s="12">
        <v>45930</v>
      </c>
      <c r="L1004" s="19" t="s">
        <v>731</v>
      </c>
      <c r="M1004" s="36">
        <v>0</v>
      </c>
      <c r="N1004" s="26"/>
      <c r="O1004" t="s">
        <v>199</v>
      </c>
      <c r="P1004" t="s">
        <v>376</v>
      </c>
      <c r="Q1004" t="s">
        <v>207</v>
      </c>
    </row>
    <row r="1005" spans="1:17" x14ac:dyDescent="0.3">
      <c r="A1005" s="25">
        <v>1262</v>
      </c>
      <c r="B1005" t="s">
        <v>193</v>
      </c>
      <c r="C1005" t="s">
        <v>45</v>
      </c>
      <c r="D1005" t="s">
        <v>375</v>
      </c>
      <c r="E1005" s="118">
        <v>4367</v>
      </c>
      <c r="F1005" s="13">
        <v>45897</v>
      </c>
      <c r="G1005" s="24">
        <v>63128.47</v>
      </c>
      <c r="H1005" s="24">
        <v>59246.07</v>
      </c>
      <c r="I1005" s="3">
        <v>45922</v>
      </c>
      <c r="J1005" s="102">
        <v>45929</v>
      </c>
      <c r="K1005" s="12">
        <v>45930</v>
      </c>
      <c r="L1005" s="19" t="s">
        <v>731</v>
      </c>
      <c r="M1005" s="36">
        <v>0</v>
      </c>
      <c r="N1005" s="26"/>
      <c r="O1005" t="s">
        <v>199</v>
      </c>
      <c r="P1005" t="s">
        <v>376</v>
      </c>
      <c r="Q1005" t="s">
        <v>207</v>
      </c>
    </row>
    <row r="1006" spans="1:17" x14ac:dyDescent="0.3">
      <c r="A1006" s="25">
        <v>1262</v>
      </c>
      <c r="B1006" t="s">
        <v>193</v>
      </c>
      <c r="C1006" t="s">
        <v>45</v>
      </c>
      <c r="D1006" t="s">
        <v>375</v>
      </c>
      <c r="E1006" s="118">
        <v>4369</v>
      </c>
      <c r="F1006" s="13">
        <v>45897</v>
      </c>
      <c r="G1006" s="24">
        <v>4629.54</v>
      </c>
      <c r="H1006" s="24">
        <v>4344.82</v>
      </c>
      <c r="I1006" s="3">
        <v>45922</v>
      </c>
      <c r="J1006" s="102">
        <v>45929</v>
      </c>
      <c r="K1006" s="12">
        <v>45930</v>
      </c>
      <c r="L1006" s="19" t="s">
        <v>731</v>
      </c>
      <c r="M1006" s="36">
        <v>0</v>
      </c>
      <c r="N1006" s="26"/>
      <c r="O1006" t="s">
        <v>199</v>
      </c>
      <c r="P1006" t="s">
        <v>376</v>
      </c>
      <c r="Q1006" t="s">
        <v>207</v>
      </c>
    </row>
    <row r="1007" spans="1:17" x14ac:dyDescent="0.3">
      <c r="A1007" s="9">
        <v>1269</v>
      </c>
      <c r="B1007" t="s">
        <v>193</v>
      </c>
      <c r="C1007" t="s">
        <v>45</v>
      </c>
      <c r="D1007" t="s">
        <v>384</v>
      </c>
      <c r="E1007" s="118">
        <v>4368</v>
      </c>
      <c r="F1007" s="13">
        <v>45897</v>
      </c>
      <c r="G1007" s="24">
        <v>198578.23</v>
      </c>
      <c r="H1007" s="24">
        <v>186365.67</v>
      </c>
      <c r="I1007" s="3">
        <v>45922</v>
      </c>
      <c r="J1007" s="102">
        <v>45929</v>
      </c>
      <c r="K1007" s="12">
        <v>45930</v>
      </c>
      <c r="L1007" s="19" t="s">
        <v>731</v>
      </c>
      <c r="M1007" s="35">
        <v>0</v>
      </c>
      <c r="N1007" s="15"/>
      <c r="O1007" t="s">
        <v>202</v>
      </c>
      <c r="P1007" t="s">
        <v>376</v>
      </c>
      <c r="Q1007" t="s">
        <v>207</v>
      </c>
    </row>
    <row r="1008" spans="1:17" x14ac:dyDescent="0.3">
      <c r="A1008" s="9">
        <v>1269</v>
      </c>
      <c r="B1008" t="s">
        <v>193</v>
      </c>
      <c r="C1008" t="s">
        <v>45</v>
      </c>
      <c r="D1008" t="s">
        <v>384</v>
      </c>
      <c r="E1008" s="118">
        <v>4370</v>
      </c>
      <c r="F1008" s="13">
        <v>45897</v>
      </c>
      <c r="G1008" s="24">
        <v>10876.23</v>
      </c>
      <c r="H1008" s="24">
        <v>10207.34</v>
      </c>
      <c r="I1008" s="3">
        <v>45922</v>
      </c>
      <c r="J1008" s="102">
        <v>45929</v>
      </c>
      <c r="K1008" s="12">
        <v>45930</v>
      </c>
      <c r="L1008" s="19" t="s">
        <v>731</v>
      </c>
      <c r="M1008" s="35">
        <v>0</v>
      </c>
      <c r="N1008" s="15"/>
      <c r="O1008" t="s">
        <v>202</v>
      </c>
      <c r="P1008" t="s">
        <v>376</v>
      </c>
      <c r="Q1008" t="s">
        <v>207</v>
      </c>
    </row>
    <row r="1009" spans="1:17" x14ac:dyDescent="0.3">
      <c r="A1009" s="9">
        <v>1269</v>
      </c>
      <c r="B1009" t="s">
        <v>193</v>
      </c>
      <c r="C1009" t="s">
        <v>45</v>
      </c>
      <c r="D1009" t="s">
        <v>384</v>
      </c>
      <c r="E1009" s="118">
        <v>4371</v>
      </c>
      <c r="F1009" s="13">
        <v>45897</v>
      </c>
      <c r="G1009" s="24">
        <v>6655.99</v>
      </c>
      <c r="H1009" s="24">
        <v>6246.65</v>
      </c>
      <c r="I1009" s="3">
        <v>45922</v>
      </c>
      <c r="J1009" s="104">
        <v>45929</v>
      </c>
      <c r="K1009" s="12">
        <v>45930</v>
      </c>
      <c r="L1009" s="19" t="s">
        <v>731</v>
      </c>
      <c r="M1009" s="35">
        <v>0</v>
      </c>
      <c r="N1009" s="15"/>
      <c r="O1009" t="s">
        <v>202</v>
      </c>
      <c r="P1009" t="s">
        <v>376</v>
      </c>
      <c r="Q1009" t="s">
        <v>207</v>
      </c>
    </row>
    <row r="1010" spans="1:17" x14ac:dyDescent="0.3">
      <c r="A1010" s="9">
        <v>1269</v>
      </c>
      <c r="B1010" t="s">
        <v>193</v>
      </c>
      <c r="C1010" t="s">
        <v>45</v>
      </c>
      <c r="D1010" t="s">
        <v>384</v>
      </c>
      <c r="E1010" s="118">
        <v>4372</v>
      </c>
      <c r="F1010" s="13">
        <v>45897</v>
      </c>
      <c r="G1010" s="24">
        <v>30699.39</v>
      </c>
      <c r="H1010" s="24">
        <v>28811.38</v>
      </c>
      <c r="I1010" s="3">
        <v>45922</v>
      </c>
      <c r="J1010" s="104">
        <v>45929</v>
      </c>
      <c r="K1010" s="12">
        <v>45930</v>
      </c>
      <c r="L1010" s="19" t="s">
        <v>731</v>
      </c>
      <c r="M1010" s="35">
        <v>0</v>
      </c>
      <c r="N1010" s="15"/>
      <c r="O1010" t="s">
        <v>202</v>
      </c>
      <c r="P1010" t="s">
        <v>376</v>
      </c>
      <c r="Q1010" t="s">
        <v>207</v>
      </c>
    </row>
    <row r="1011" spans="1:17" x14ac:dyDescent="0.3">
      <c r="A1011" s="25">
        <v>1400</v>
      </c>
      <c r="B1011" t="s">
        <v>209</v>
      </c>
      <c r="C1011" t="s">
        <v>3</v>
      </c>
      <c r="D1011" t="s">
        <v>530</v>
      </c>
      <c r="E1011" s="118">
        <v>8547</v>
      </c>
      <c r="F1011" s="13">
        <v>45897</v>
      </c>
      <c r="G1011" s="24">
        <v>77751.44</v>
      </c>
      <c r="H1011" s="24">
        <v>70248.429999999993</v>
      </c>
      <c r="I1011" s="3">
        <v>45938</v>
      </c>
      <c r="J1011" s="102">
        <v>45950</v>
      </c>
      <c r="K1011" s="12">
        <v>45953</v>
      </c>
      <c r="L1011" s="19" t="s">
        <v>731</v>
      </c>
      <c r="M1011" s="39"/>
      <c r="N1011"/>
      <c r="O1011" t="s">
        <v>199</v>
      </c>
      <c r="P1011" t="s">
        <v>328</v>
      </c>
      <c r="Q1011" t="s">
        <v>203</v>
      </c>
    </row>
    <row r="1012" spans="1:17" x14ac:dyDescent="0.3">
      <c r="A1012" s="25">
        <v>1400</v>
      </c>
      <c r="B1012" t="s">
        <v>209</v>
      </c>
      <c r="C1012" t="s">
        <v>3</v>
      </c>
      <c r="D1012" t="s">
        <v>530</v>
      </c>
      <c r="E1012" s="118">
        <v>8637</v>
      </c>
      <c r="F1012" s="13">
        <v>45897</v>
      </c>
      <c r="G1012" s="24">
        <v>516722.79</v>
      </c>
      <c r="H1012" s="27">
        <v>466859.04</v>
      </c>
      <c r="I1012" s="3">
        <v>45992</v>
      </c>
      <c r="J1012" s="102">
        <v>45992</v>
      </c>
      <c r="K1012" s="12">
        <v>45995</v>
      </c>
      <c r="L1012" s="19" t="s">
        <v>731</v>
      </c>
      <c r="M1012" s="36"/>
      <c r="N1012"/>
      <c r="O1012" t="s">
        <v>199</v>
      </c>
      <c r="P1012" t="s">
        <v>328</v>
      </c>
      <c r="Q1012" t="s">
        <v>203</v>
      </c>
    </row>
    <row r="1013" spans="1:17" x14ac:dyDescent="0.3">
      <c r="A1013" s="25">
        <v>1366</v>
      </c>
      <c r="B1013" t="s">
        <v>209</v>
      </c>
      <c r="C1013" t="s">
        <v>3</v>
      </c>
      <c r="D1013" t="s">
        <v>490</v>
      </c>
      <c r="E1013" s="118">
        <v>1297</v>
      </c>
      <c r="F1013" s="13">
        <v>45897</v>
      </c>
      <c r="G1013" s="24">
        <v>297531.55</v>
      </c>
      <c r="H1013" s="24">
        <v>268819.76</v>
      </c>
      <c r="I1013" s="3">
        <v>45918</v>
      </c>
      <c r="J1013" s="102">
        <v>45957</v>
      </c>
      <c r="K1013" s="12">
        <v>45960</v>
      </c>
      <c r="L1013" s="19" t="s">
        <v>731</v>
      </c>
      <c r="M1013" s="36">
        <v>0</v>
      </c>
      <c r="N1013"/>
      <c r="O1013" t="s">
        <v>202</v>
      </c>
      <c r="P1013" t="s">
        <v>328</v>
      </c>
      <c r="Q1013" t="s">
        <v>203</v>
      </c>
    </row>
    <row r="1014" spans="1:17" x14ac:dyDescent="0.3">
      <c r="A1014" s="9">
        <v>1501</v>
      </c>
      <c r="B1014" t="s">
        <v>209</v>
      </c>
      <c r="C1014" t="s">
        <v>3</v>
      </c>
      <c r="D1014" t="s">
        <v>186</v>
      </c>
      <c r="E1014" s="118">
        <v>8601</v>
      </c>
      <c r="F1014" s="13">
        <v>45897</v>
      </c>
      <c r="G1014" s="24">
        <v>292069.58</v>
      </c>
      <c r="H1014" s="11">
        <v>263884.87</v>
      </c>
      <c r="I1014" s="3">
        <v>45972</v>
      </c>
      <c r="J1014" s="102">
        <v>45985</v>
      </c>
      <c r="K1014" s="12">
        <v>45988</v>
      </c>
      <c r="L1014" s="19" t="s">
        <v>731</v>
      </c>
      <c r="M1014" s="35">
        <v>0</v>
      </c>
      <c r="N1014"/>
      <c r="O1014" t="s">
        <v>202</v>
      </c>
      <c r="P1014" t="s">
        <v>328</v>
      </c>
      <c r="Q1014" t="s">
        <v>203</v>
      </c>
    </row>
    <row r="1015" spans="1:17" x14ac:dyDescent="0.3">
      <c r="A1015" s="9">
        <v>1388</v>
      </c>
      <c r="B1015" t="s">
        <v>209</v>
      </c>
      <c r="C1015" t="s">
        <v>3</v>
      </c>
      <c r="D1015" t="s">
        <v>518</v>
      </c>
      <c r="E1015" s="118">
        <v>4415</v>
      </c>
      <c r="F1015" s="13">
        <v>45897</v>
      </c>
      <c r="G1015" s="24">
        <v>183507.12</v>
      </c>
      <c r="H1015" s="11">
        <v>165798.69</v>
      </c>
      <c r="I1015" s="3">
        <v>45938</v>
      </c>
      <c r="J1015" s="102">
        <v>45950</v>
      </c>
      <c r="K1015" s="12">
        <v>45953</v>
      </c>
      <c r="L1015" s="19" t="s">
        <v>731</v>
      </c>
      <c r="M1015" s="35"/>
      <c r="N1015"/>
      <c r="O1015" t="s">
        <v>199</v>
      </c>
      <c r="P1015" t="s">
        <v>328</v>
      </c>
      <c r="Q1015" t="s">
        <v>203</v>
      </c>
    </row>
    <row r="1016" spans="1:17" x14ac:dyDescent="0.3">
      <c r="A1016" s="25">
        <v>1494</v>
      </c>
      <c r="B1016" t="s">
        <v>193</v>
      </c>
      <c r="C1016" t="s">
        <v>141</v>
      </c>
      <c r="D1016" t="s">
        <v>645</v>
      </c>
      <c r="E1016" s="118">
        <v>4334</v>
      </c>
      <c r="F1016" s="13">
        <v>45897</v>
      </c>
      <c r="G1016" s="24">
        <v>36951.599999999999</v>
      </c>
      <c r="H1016" s="24">
        <v>34679.08</v>
      </c>
      <c r="I1016" s="3">
        <v>45911</v>
      </c>
      <c r="J1016" s="102">
        <v>45929</v>
      </c>
      <c r="K1016" s="12">
        <v>45929</v>
      </c>
      <c r="L1016" s="19" t="s">
        <v>731</v>
      </c>
      <c r="M1016" s="36">
        <v>0</v>
      </c>
      <c r="N1016"/>
      <c r="O1016" t="s">
        <v>201</v>
      </c>
      <c r="P1016" t="s">
        <v>376</v>
      </c>
      <c r="Q1016" t="s">
        <v>207</v>
      </c>
    </row>
    <row r="1017" spans="1:17" x14ac:dyDescent="0.3">
      <c r="A1017" s="9">
        <v>1298</v>
      </c>
      <c r="B1017" t="s">
        <v>84</v>
      </c>
      <c r="C1017" t="s">
        <v>36</v>
      </c>
      <c r="D1017" t="s">
        <v>418</v>
      </c>
      <c r="E1017" s="118">
        <v>1291</v>
      </c>
      <c r="F1017" s="13">
        <v>45897</v>
      </c>
      <c r="G1017" s="24">
        <v>275594.28999999998</v>
      </c>
      <c r="H1017" s="24">
        <v>258645.25</v>
      </c>
      <c r="I1017" s="3">
        <v>45908</v>
      </c>
      <c r="J1017" s="102">
        <v>45922</v>
      </c>
      <c r="K1017" s="12">
        <v>45926</v>
      </c>
      <c r="L1017" s="19" t="s">
        <v>731</v>
      </c>
      <c r="M1017" s="35">
        <v>0</v>
      </c>
      <c r="N1017"/>
      <c r="O1017" t="s">
        <v>202</v>
      </c>
      <c r="P1017" t="s">
        <v>340</v>
      </c>
      <c r="Q1017" t="s">
        <v>207</v>
      </c>
    </row>
    <row r="1018" spans="1:17" x14ac:dyDescent="0.3">
      <c r="A1018" s="9">
        <v>1289</v>
      </c>
      <c r="B1018" t="s">
        <v>204</v>
      </c>
      <c r="C1018" t="s">
        <v>32</v>
      </c>
      <c r="D1018" t="s">
        <v>408</v>
      </c>
      <c r="E1018" s="118">
        <v>8510</v>
      </c>
      <c r="F1018" s="13">
        <v>45897</v>
      </c>
      <c r="G1018" s="24">
        <v>288631.78000000003</v>
      </c>
      <c r="H1018" s="11">
        <v>269004.81</v>
      </c>
      <c r="I1018" s="3">
        <v>45909</v>
      </c>
      <c r="J1018" s="102">
        <v>45931</v>
      </c>
      <c r="K1018" s="12">
        <v>45933</v>
      </c>
      <c r="L1018" s="19" t="s">
        <v>731</v>
      </c>
      <c r="M1018" s="35"/>
      <c r="N1018"/>
      <c r="O1018" t="s">
        <v>202</v>
      </c>
      <c r="P1018" t="s">
        <v>340</v>
      </c>
      <c r="Q1018" t="s">
        <v>217</v>
      </c>
    </row>
    <row r="1019" spans="1:17" x14ac:dyDescent="0.3">
      <c r="A1019" s="25">
        <v>1288</v>
      </c>
      <c r="B1019" t="s">
        <v>204</v>
      </c>
      <c r="C1019" t="s">
        <v>32</v>
      </c>
      <c r="D1019" t="s">
        <v>407</v>
      </c>
      <c r="E1019" s="118">
        <v>8508</v>
      </c>
      <c r="F1019" s="13">
        <v>45897</v>
      </c>
      <c r="G1019" s="24">
        <v>393625.11</v>
      </c>
      <c r="H1019" s="24">
        <v>366858.6</v>
      </c>
      <c r="I1019" s="3">
        <v>45909</v>
      </c>
      <c r="J1019" s="102">
        <v>45936</v>
      </c>
      <c r="K1019" s="5">
        <v>45940</v>
      </c>
      <c r="L1019" s="19" t="s">
        <v>731</v>
      </c>
      <c r="M1019" s="36"/>
      <c r="N1019"/>
      <c r="O1019" t="s">
        <v>199</v>
      </c>
      <c r="P1019" t="s">
        <v>340</v>
      </c>
      <c r="Q1019" t="s">
        <v>217</v>
      </c>
    </row>
    <row r="1020" spans="1:17" x14ac:dyDescent="0.3">
      <c r="A1020" s="9">
        <v>1271</v>
      </c>
      <c r="B1020" t="s">
        <v>204</v>
      </c>
      <c r="C1020" t="s">
        <v>32</v>
      </c>
      <c r="D1020" t="s">
        <v>387</v>
      </c>
      <c r="E1020" s="118">
        <v>8509</v>
      </c>
      <c r="F1020" s="13">
        <v>45897</v>
      </c>
      <c r="G1020" s="24">
        <v>255597.54</v>
      </c>
      <c r="H1020" s="11">
        <v>238216.91</v>
      </c>
      <c r="I1020" s="3">
        <v>45909</v>
      </c>
      <c r="J1020" s="102">
        <v>45915</v>
      </c>
      <c r="K1020" s="12">
        <v>45919</v>
      </c>
      <c r="L1020" s="19" t="s">
        <v>731</v>
      </c>
      <c r="M1020" s="35">
        <v>0</v>
      </c>
      <c r="N1020"/>
      <c r="O1020" t="s">
        <v>202</v>
      </c>
      <c r="P1020" t="s">
        <v>340</v>
      </c>
      <c r="Q1020" t="s">
        <v>217</v>
      </c>
    </row>
    <row r="1021" spans="1:17" x14ac:dyDescent="0.3">
      <c r="A1021" s="9">
        <v>1299</v>
      </c>
      <c r="B1021" t="s">
        <v>204</v>
      </c>
      <c r="C1021" t="s">
        <v>32</v>
      </c>
      <c r="D1021" t="s">
        <v>419</v>
      </c>
      <c r="E1021" s="118">
        <v>8525</v>
      </c>
      <c r="F1021" s="13">
        <v>45897</v>
      </c>
      <c r="G1021" s="24">
        <v>1020096</v>
      </c>
      <c r="H1021" s="18">
        <v>950729.47</v>
      </c>
      <c r="I1021" s="3">
        <v>45925</v>
      </c>
      <c r="J1021" s="102">
        <v>45957</v>
      </c>
      <c r="K1021" s="12">
        <v>45961</v>
      </c>
      <c r="L1021" s="19" t="s">
        <v>731</v>
      </c>
      <c r="M1021" s="55"/>
      <c r="N1021" s="15"/>
      <c r="O1021" t="s">
        <v>199</v>
      </c>
      <c r="P1021" t="s">
        <v>340</v>
      </c>
      <c r="Q1021" t="s">
        <v>217</v>
      </c>
    </row>
    <row r="1022" spans="1:17" x14ac:dyDescent="0.3">
      <c r="A1022" s="9">
        <v>1394</v>
      </c>
      <c r="B1022" t="s">
        <v>210</v>
      </c>
      <c r="C1022" t="s">
        <v>38</v>
      </c>
      <c r="D1022" t="s">
        <v>523</v>
      </c>
      <c r="E1022" s="118">
        <v>8501</v>
      </c>
      <c r="F1022" s="13">
        <v>45897</v>
      </c>
      <c r="G1022" s="24">
        <v>89018.28</v>
      </c>
      <c r="H1022" s="11">
        <v>82965.03</v>
      </c>
      <c r="I1022" s="3">
        <v>45904</v>
      </c>
      <c r="J1022" s="102">
        <v>45908</v>
      </c>
      <c r="K1022" s="5">
        <v>45911</v>
      </c>
      <c r="L1022" s="22" t="s">
        <v>731</v>
      </c>
      <c r="M1022" s="56">
        <v>0</v>
      </c>
      <c r="N1022" s="15"/>
      <c r="O1022" t="s">
        <v>202</v>
      </c>
      <c r="P1022" t="s">
        <v>340</v>
      </c>
      <c r="Q1022" t="s">
        <v>213</v>
      </c>
    </row>
    <row r="1023" spans="1:17" x14ac:dyDescent="0.3">
      <c r="A1023" s="9">
        <v>1394</v>
      </c>
      <c r="B1023" t="s">
        <v>210</v>
      </c>
      <c r="C1023" t="s">
        <v>38</v>
      </c>
      <c r="D1023" t="s">
        <v>523</v>
      </c>
      <c r="E1023" s="118">
        <v>8511</v>
      </c>
      <c r="F1023" s="13">
        <v>45897</v>
      </c>
      <c r="G1023" s="24">
        <v>11012.23</v>
      </c>
      <c r="H1023" s="11">
        <v>10263.4</v>
      </c>
      <c r="I1023" s="3">
        <v>45911</v>
      </c>
      <c r="J1023" s="102">
        <v>45915</v>
      </c>
      <c r="K1023" s="5">
        <v>45918</v>
      </c>
      <c r="L1023" s="22" t="s">
        <v>731</v>
      </c>
      <c r="M1023" s="56">
        <v>0</v>
      </c>
      <c r="N1023" s="15"/>
      <c r="O1023" t="s">
        <v>202</v>
      </c>
      <c r="P1023" t="s">
        <v>340</v>
      </c>
      <c r="Q1023" t="s">
        <v>213</v>
      </c>
    </row>
    <row r="1024" spans="1:17" x14ac:dyDescent="0.3">
      <c r="A1024" s="9">
        <v>1394</v>
      </c>
      <c r="B1024" t="s">
        <v>210</v>
      </c>
      <c r="C1024" t="s">
        <v>38</v>
      </c>
      <c r="D1024" t="s">
        <v>523</v>
      </c>
      <c r="E1024" s="118">
        <v>8513</v>
      </c>
      <c r="F1024" s="13">
        <v>45897</v>
      </c>
      <c r="G1024" s="24">
        <v>234609.58</v>
      </c>
      <c r="H1024" s="11">
        <v>218656.13</v>
      </c>
      <c r="I1024" s="3">
        <v>45911</v>
      </c>
      <c r="J1024" s="102">
        <v>45922</v>
      </c>
      <c r="K1024" s="5">
        <v>45922</v>
      </c>
      <c r="L1024" s="22" t="s">
        <v>731</v>
      </c>
      <c r="M1024" s="56">
        <v>0</v>
      </c>
      <c r="N1024" s="15"/>
      <c r="O1024" t="s">
        <v>202</v>
      </c>
      <c r="P1024" t="s">
        <v>340</v>
      </c>
      <c r="Q1024" t="s">
        <v>213</v>
      </c>
    </row>
    <row r="1025" spans="1:17" x14ac:dyDescent="0.3">
      <c r="A1025" s="9">
        <v>1394</v>
      </c>
      <c r="B1025" t="s">
        <v>210</v>
      </c>
      <c r="C1025" t="s">
        <v>38</v>
      </c>
      <c r="D1025" t="s">
        <v>523</v>
      </c>
      <c r="E1025" s="118">
        <v>8515</v>
      </c>
      <c r="F1025" s="13">
        <v>45897</v>
      </c>
      <c r="G1025" s="24">
        <v>117291.83</v>
      </c>
      <c r="H1025" s="11">
        <v>109315.98</v>
      </c>
      <c r="I1025" s="3">
        <v>45915</v>
      </c>
      <c r="J1025" s="102">
        <v>45922</v>
      </c>
      <c r="K1025" s="5">
        <v>45922</v>
      </c>
      <c r="L1025" s="22" t="s">
        <v>731</v>
      </c>
      <c r="M1025" s="56">
        <v>0</v>
      </c>
      <c r="N1025" s="15"/>
      <c r="O1025" t="s">
        <v>202</v>
      </c>
      <c r="P1025" t="s">
        <v>340</v>
      </c>
      <c r="Q1025" t="s">
        <v>213</v>
      </c>
    </row>
    <row r="1026" spans="1:17" x14ac:dyDescent="0.3">
      <c r="A1026" s="9">
        <v>1394</v>
      </c>
      <c r="B1026" t="s">
        <v>210</v>
      </c>
      <c r="C1026" t="s">
        <v>38</v>
      </c>
      <c r="D1026" t="s">
        <v>523</v>
      </c>
      <c r="E1026" s="118">
        <v>8517</v>
      </c>
      <c r="F1026" s="13">
        <v>45897</v>
      </c>
      <c r="G1026" s="24">
        <v>133850.94</v>
      </c>
      <c r="H1026" s="11">
        <v>124749.07</v>
      </c>
      <c r="I1026" s="3">
        <v>45916</v>
      </c>
      <c r="J1026" s="102">
        <v>45922</v>
      </c>
      <c r="K1026" s="5">
        <v>45923</v>
      </c>
      <c r="L1026" s="22" t="s">
        <v>731</v>
      </c>
      <c r="M1026" s="56">
        <v>0</v>
      </c>
      <c r="N1026" s="15"/>
      <c r="O1026" t="s">
        <v>202</v>
      </c>
      <c r="P1026" t="s">
        <v>340</v>
      </c>
      <c r="Q1026" t="s">
        <v>213</v>
      </c>
    </row>
    <row r="1027" spans="1:17" x14ac:dyDescent="0.3">
      <c r="A1027" s="9">
        <v>1394</v>
      </c>
      <c r="B1027" t="s">
        <v>210</v>
      </c>
      <c r="C1027" t="s">
        <v>38</v>
      </c>
      <c r="D1027" t="s">
        <v>523</v>
      </c>
      <c r="E1027" s="118">
        <v>8518</v>
      </c>
      <c r="F1027" s="13">
        <v>45897</v>
      </c>
      <c r="G1027" s="24">
        <v>297806.21999999997</v>
      </c>
      <c r="H1027" s="11">
        <v>277555.40000000002</v>
      </c>
      <c r="I1027" s="3">
        <v>45917</v>
      </c>
      <c r="J1027" s="102">
        <v>45922</v>
      </c>
      <c r="K1027" s="5">
        <v>45926</v>
      </c>
      <c r="L1027" s="22" t="s">
        <v>731</v>
      </c>
      <c r="M1027" s="56">
        <v>0</v>
      </c>
      <c r="N1027" s="15"/>
      <c r="O1027" t="s">
        <v>202</v>
      </c>
      <c r="P1027" t="s">
        <v>340</v>
      </c>
      <c r="Q1027" t="s">
        <v>213</v>
      </c>
    </row>
    <row r="1028" spans="1:17" x14ac:dyDescent="0.3">
      <c r="A1028" s="9">
        <v>1394</v>
      </c>
      <c r="B1028" t="s">
        <v>210</v>
      </c>
      <c r="C1028" t="s">
        <v>38</v>
      </c>
      <c r="D1028" t="s">
        <v>523</v>
      </c>
      <c r="E1028" s="118">
        <v>8519</v>
      </c>
      <c r="F1028" s="13">
        <v>45897</v>
      </c>
      <c r="G1028" s="24">
        <v>89335</v>
      </c>
      <c r="H1028" s="11">
        <v>83260.22</v>
      </c>
      <c r="I1028" s="3">
        <v>45917</v>
      </c>
      <c r="J1028" s="102">
        <v>45922</v>
      </c>
      <c r="K1028" s="5">
        <v>45926</v>
      </c>
      <c r="L1028" s="22" t="s">
        <v>731</v>
      </c>
      <c r="M1028" s="56">
        <v>0</v>
      </c>
      <c r="N1028" s="15"/>
      <c r="O1028" t="s">
        <v>202</v>
      </c>
      <c r="P1028" t="s">
        <v>340</v>
      </c>
      <c r="Q1028" t="s">
        <v>213</v>
      </c>
    </row>
    <row r="1029" spans="1:17" x14ac:dyDescent="0.3">
      <c r="A1029" s="25">
        <v>1500</v>
      </c>
      <c r="B1029" t="s">
        <v>71</v>
      </c>
      <c r="C1029" t="s">
        <v>44</v>
      </c>
      <c r="D1029" t="s">
        <v>651</v>
      </c>
      <c r="E1029" s="118">
        <v>4273</v>
      </c>
      <c r="F1029" s="13">
        <v>45897</v>
      </c>
      <c r="G1029" s="24">
        <v>39507.279999999999</v>
      </c>
      <c r="H1029" s="27">
        <v>37077.589999999997</v>
      </c>
      <c r="I1029" s="3">
        <v>45891</v>
      </c>
      <c r="J1029" s="102">
        <v>45931</v>
      </c>
      <c r="K1029" s="12">
        <v>45931</v>
      </c>
      <c r="L1029" s="19" t="s">
        <v>731</v>
      </c>
      <c r="M1029" s="36"/>
      <c r="N1029"/>
      <c r="O1029" t="s">
        <v>201</v>
      </c>
      <c r="P1029" t="s">
        <v>376</v>
      </c>
      <c r="Q1029" t="s">
        <v>203</v>
      </c>
    </row>
    <row r="1030" spans="1:17" x14ac:dyDescent="0.3">
      <c r="A1030" s="25">
        <v>1500</v>
      </c>
      <c r="B1030" t="s">
        <v>71</v>
      </c>
      <c r="C1030" t="s">
        <v>44</v>
      </c>
      <c r="D1030" t="s">
        <v>651</v>
      </c>
      <c r="E1030" s="118">
        <v>4296</v>
      </c>
      <c r="F1030" s="13">
        <v>45897</v>
      </c>
      <c r="G1030" s="24">
        <v>41502.720000000001</v>
      </c>
      <c r="H1030" s="27">
        <v>38950.31</v>
      </c>
      <c r="I1030" s="3">
        <v>45896</v>
      </c>
      <c r="J1030" s="102">
        <v>45931</v>
      </c>
      <c r="K1030" s="12">
        <v>45931</v>
      </c>
      <c r="L1030" s="19" t="s">
        <v>731</v>
      </c>
      <c r="M1030" s="36"/>
      <c r="N1030"/>
      <c r="O1030" t="s">
        <v>201</v>
      </c>
      <c r="P1030" t="s">
        <v>376</v>
      </c>
      <c r="Q1030" t="s">
        <v>203</v>
      </c>
    </row>
    <row r="1031" spans="1:17" x14ac:dyDescent="0.3">
      <c r="A1031" s="25">
        <v>1360</v>
      </c>
      <c r="B1031" t="s">
        <v>71</v>
      </c>
      <c r="C1031" t="s">
        <v>44</v>
      </c>
      <c r="D1031" t="s">
        <v>483</v>
      </c>
      <c r="E1031" s="118">
        <v>4270</v>
      </c>
      <c r="F1031" s="13">
        <v>45897</v>
      </c>
      <c r="G1031" s="24">
        <v>85475.04</v>
      </c>
      <c r="H1031" s="27">
        <v>80218.320000000007</v>
      </c>
      <c r="I1031" s="3">
        <v>45891</v>
      </c>
      <c r="J1031" s="102">
        <v>45931</v>
      </c>
      <c r="K1031" s="12">
        <v>45931</v>
      </c>
      <c r="L1031" s="19" t="s">
        <v>731</v>
      </c>
      <c r="M1031" s="36"/>
      <c r="N1031"/>
      <c r="O1031" t="s">
        <v>199</v>
      </c>
      <c r="P1031" t="s">
        <v>376</v>
      </c>
      <c r="Q1031" t="s">
        <v>203</v>
      </c>
    </row>
    <row r="1032" spans="1:17" x14ac:dyDescent="0.3">
      <c r="A1032" s="25">
        <v>1360</v>
      </c>
      <c r="B1032" t="s">
        <v>71</v>
      </c>
      <c r="C1032" t="s">
        <v>44</v>
      </c>
      <c r="D1032" t="s">
        <v>483</v>
      </c>
      <c r="E1032" s="118">
        <v>4271</v>
      </c>
      <c r="F1032" s="13">
        <v>45897</v>
      </c>
      <c r="G1032" s="24">
        <v>39835.599999999999</v>
      </c>
      <c r="H1032" s="27">
        <v>37385.71</v>
      </c>
      <c r="I1032" s="3">
        <v>45891</v>
      </c>
      <c r="J1032" s="102">
        <v>45931</v>
      </c>
      <c r="K1032" s="12">
        <v>45931</v>
      </c>
      <c r="L1032" s="19" t="s">
        <v>731</v>
      </c>
      <c r="M1032" s="36"/>
      <c r="N1032"/>
      <c r="O1032" t="s">
        <v>199</v>
      </c>
      <c r="P1032" t="s">
        <v>376</v>
      </c>
      <c r="Q1032" t="s">
        <v>203</v>
      </c>
    </row>
    <row r="1033" spans="1:17" x14ac:dyDescent="0.3">
      <c r="A1033" s="25">
        <v>1360</v>
      </c>
      <c r="B1033" t="s">
        <v>71</v>
      </c>
      <c r="C1033" t="s">
        <v>44</v>
      </c>
      <c r="D1033" t="s">
        <v>483</v>
      </c>
      <c r="E1033" s="118">
        <v>4272</v>
      </c>
      <c r="F1033" s="13">
        <v>45897</v>
      </c>
      <c r="G1033" s="24">
        <v>200034.24</v>
      </c>
      <c r="H1033" s="27">
        <v>187732.14</v>
      </c>
      <c r="I1033" s="3">
        <v>45891</v>
      </c>
      <c r="J1033" s="102">
        <v>45931</v>
      </c>
      <c r="K1033" s="12">
        <v>45931</v>
      </c>
      <c r="L1033" s="19" t="s">
        <v>731</v>
      </c>
      <c r="M1033" s="36"/>
      <c r="N1033"/>
      <c r="O1033" t="s">
        <v>199</v>
      </c>
      <c r="P1033" t="s">
        <v>376</v>
      </c>
      <c r="Q1033" t="s">
        <v>203</v>
      </c>
    </row>
    <row r="1034" spans="1:17" x14ac:dyDescent="0.3">
      <c r="A1034" s="25">
        <v>1360</v>
      </c>
      <c r="B1034" t="s">
        <v>71</v>
      </c>
      <c r="C1034" t="s">
        <v>44</v>
      </c>
      <c r="D1034" t="s">
        <v>483</v>
      </c>
      <c r="E1034" s="118">
        <v>4275</v>
      </c>
      <c r="F1034" s="13">
        <v>45897</v>
      </c>
      <c r="G1034" s="24">
        <v>27535.200000000001</v>
      </c>
      <c r="H1034" s="24">
        <v>25841.78</v>
      </c>
      <c r="I1034" s="3">
        <v>45891</v>
      </c>
      <c r="J1034" s="102">
        <v>45936</v>
      </c>
      <c r="K1034" s="12">
        <v>45937</v>
      </c>
      <c r="L1034" s="19" t="s">
        <v>731</v>
      </c>
      <c r="M1034" s="36"/>
      <c r="N1034"/>
      <c r="O1034" t="s">
        <v>199</v>
      </c>
      <c r="P1034" t="s">
        <v>376</v>
      </c>
      <c r="Q1034" t="s">
        <v>203</v>
      </c>
    </row>
    <row r="1035" spans="1:17" x14ac:dyDescent="0.3">
      <c r="A1035" s="25">
        <v>1360</v>
      </c>
      <c r="B1035" t="s">
        <v>71</v>
      </c>
      <c r="C1035" t="s">
        <v>44</v>
      </c>
      <c r="D1035" t="s">
        <v>483</v>
      </c>
      <c r="E1035" s="118">
        <v>4276</v>
      </c>
      <c r="F1035" s="13">
        <v>45897</v>
      </c>
      <c r="G1035" s="24">
        <v>41069.279999999999</v>
      </c>
      <c r="H1035" s="24">
        <v>38543.519999999997</v>
      </c>
      <c r="I1035" s="3">
        <v>45891</v>
      </c>
      <c r="J1035" s="102">
        <v>45931</v>
      </c>
      <c r="K1035" s="12">
        <v>45931</v>
      </c>
      <c r="L1035" s="19" t="s">
        <v>731</v>
      </c>
      <c r="M1035" s="36"/>
      <c r="N1035"/>
      <c r="O1035" t="s">
        <v>199</v>
      </c>
      <c r="P1035" t="s">
        <v>376</v>
      </c>
      <c r="Q1035" t="s">
        <v>203</v>
      </c>
    </row>
    <row r="1036" spans="1:17" x14ac:dyDescent="0.3">
      <c r="A1036" s="25">
        <v>1360</v>
      </c>
      <c r="B1036" t="s">
        <v>71</v>
      </c>
      <c r="C1036" t="s">
        <v>44</v>
      </c>
      <c r="D1036" t="s">
        <v>483</v>
      </c>
      <c r="E1036" s="118">
        <v>4277</v>
      </c>
      <c r="F1036" s="13">
        <v>45897</v>
      </c>
      <c r="G1036" s="24">
        <v>33416</v>
      </c>
      <c r="H1036" s="24">
        <v>31360.92</v>
      </c>
      <c r="I1036" s="3">
        <v>45891</v>
      </c>
      <c r="J1036" s="102">
        <v>45931</v>
      </c>
      <c r="K1036" s="12">
        <v>45931</v>
      </c>
      <c r="L1036" s="19" t="s">
        <v>731</v>
      </c>
      <c r="M1036" s="36"/>
      <c r="N1036"/>
      <c r="O1036" t="s">
        <v>199</v>
      </c>
      <c r="P1036" t="s">
        <v>376</v>
      </c>
      <c r="Q1036" t="s">
        <v>203</v>
      </c>
    </row>
    <row r="1037" spans="1:17" x14ac:dyDescent="0.3">
      <c r="A1037" s="25">
        <v>1360</v>
      </c>
      <c r="B1037" t="s">
        <v>71</v>
      </c>
      <c r="C1037" t="s">
        <v>44</v>
      </c>
      <c r="D1037" t="s">
        <v>483</v>
      </c>
      <c r="E1037" s="118">
        <v>4278</v>
      </c>
      <c r="F1037" s="13">
        <v>45897</v>
      </c>
      <c r="G1037" s="24">
        <v>127217.28</v>
      </c>
      <c r="H1037" s="24">
        <v>119393.42</v>
      </c>
      <c r="I1037" s="3">
        <v>45891</v>
      </c>
      <c r="J1037" s="102">
        <v>45931</v>
      </c>
      <c r="K1037" s="12">
        <v>45931</v>
      </c>
      <c r="L1037" s="19" t="s">
        <v>731</v>
      </c>
      <c r="M1037" s="36"/>
      <c r="N1037"/>
      <c r="O1037" t="s">
        <v>199</v>
      </c>
      <c r="P1037" t="s">
        <v>376</v>
      </c>
      <c r="Q1037" t="s">
        <v>203</v>
      </c>
    </row>
    <row r="1038" spans="1:17" x14ac:dyDescent="0.3">
      <c r="A1038" s="25">
        <v>1360</v>
      </c>
      <c r="B1038" t="s">
        <v>71</v>
      </c>
      <c r="C1038" t="s">
        <v>44</v>
      </c>
      <c r="D1038" t="s">
        <v>483</v>
      </c>
      <c r="E1038" s="118">
        <v>4281</v>
      </c>
      <c r="F1038" s="13">
        <v>45897</v>
      </c>
      <c r="G1038" s="24">
        <v>39238.080000000002</v>
      </c>
      <c r="H1038" s="24">
        <v>36824.94</v>
      </c>
      <c r="I1038" s="3">
        <v>45894</v>
      </c>
      <c r="J1038" s="102">
        <v>45931</v>
      </c>
      <c r="K1038" s="12">
        <v>45931</v>
      </c>
      <c r="L1038" s="19" t="s">
        <v>731</v>
      </c>
      <c r="M1038" s="36"/>
      <c r="N1038"/>
      <c r="O1038" t="s">
        <v>199</v>
      </c>
      <c r="P1038" t="s">
        <v>376</v>
      </c>
      <c r="Q1038" t="s">
        <v>203</v>
      </c>
    </row>
    <row r="1039" spans="1:17" x14ac:dyDescent="0.3">
      <c r="A1039" s="25">
        <v>1360</v>
      </c>
      <c r="B1039" t="s">
        <v>71</v>
      </c>
      <c r="C1039" t="s">
        <v>44</v>
      </c>
      <c r="D1039" t="s">
        <v>483</v>
      </c>
      <c r="E1039" s="118">
        <v>4283</v>
      </c>
      <c r="F1039" s="13">
        <v>45897</v>
      </c>
      <c r="G1039" s="24">
        <v>36123.599999999999</v>
      </c>
      <c r="H1039" s="24">
        <v>33902</v>
      </c>
      <c r="I1039" s="3">
        <v>45894</v>
      </c>
      <c r="J1039" s="102">
        <v>45931</v>
      </c>
      <c r="K1039" s="12">
        <v>45931</v>
      </c>
      <c r="L1039" s="19" t="s">
        <v>731</v>
      </c>
      <c r="M1039" s="36"/>
      <c r="N1039"/>
      <c r="O1039" t="s">
        <v>199</v>
      </c>
      <c r="P1039" t="s">
        <v>376</v>
      </c>
      <c r="Q1039" t="s">
        <v>203</v>
      </c>
    </row>
    <row r="1040" spans="1:17" x14ac:dyDescent="0.3">
      <c r="A1040" s="25">
        <v>1360</v>
      </c>
      <c r="B1040" t="s">
        <v>71</v>
      </c>
      <c r="C1040" t="s">
        <v>44</v>
      </c>
      <c r="D1040" t="s">
        <v>483</v>
      </c>
      <c r="E1040" s="118">
        <v>4284</v>
      </c>
      <c r="F1040" s="13">
        <v>45897</v>
      </c>
      <c r="G1040" s="24">
        <v>37320</v>
      </c>
      <c r="H1040" s="24">
        <v>35024.82</v>
      </c>
      <c r="I1040" s="3">
        <v>45894</v>
      </c>
      <c r="J1040" s="102">
        <v>45931</v>
      </c>
      <c r="K1040" s="12">
        <v>45931</v>
      </c>
      <c r="L1040" s="19" t="s">
        <v>731</v>
      </c>
      <c r="M1040" s="36"/>
      <c r="N1040"/>
      <c r="O1040" t="s">
        <v>199</v>
      </c>
      <c r="P1040" t="s">
        <v>376</v>
      </c>
      <c r="Q1040" t="s">
        <v>203</v>
      </c>
    </row>
    <row r="1041" spans="1:17" x14ac:dyDescent="0.3">
      <c r="A1041" s="25">
        <v>1360</v>
      </c>
      <c r="B1041" t="s">
        <v>71</v>
      </c>
      <c r="C1041" t="s">
        <v>44</v>
      </c>
      <c r="D1041" t="s">
        <v>483</v>
      </c>
      <c r="E1041" s="118">
        <v>4285</v>
      </c>
      <c r="F1041" s="13">
        <v>45897</v>
      </c>
      <c r="G1041" s="24">
        <v>23504</v>
      </c>
      <c r="H1041" s="24">
        <v>22058.5</v>
      </c>
      <c r="I1041" s="3">
        <v>45894</v>
      </c>
      <c r="J1041" s="102">
        <v>45931</v>
      </c>
      <c r="K1041" s="12">
        <v>45931</v>
      </c>
      <c r="L1041" s="19" t="s">
        <v>731</v>
      </c>
      <c r="M1041" s="36"/>
      <c r="N1041"/>
      <c r="O1041" t="s">
        <v>199</v>
      </c>
      <c r="P1041" t="s">
        <v>376</v>
      </c>
      <c r="Q1041" t="s">
        <v>203</v>
      </c>
    </row>
    <row r="1042" spans="1:17" x14ac:dyDescent="0.3">
      <c r="A1042" s="25">
        <v>1360</v>
      </c>
      <c r="B1042" t="s">
        <v>71</v>
      </c>
      <c r="C1042" t="s">
        <v>44</v>
      </c>
      <c r="D1042" t="s">
        <v>483</v>
      </c>
      <c r="E1042" s="118">
        <v>4286</v>
      </c>
      <c r="F1042" s="13">
        <v>45897</v>
      </c>
      <c r="G1042" s="24">
        <v>149975.67999999999</v>
      </c>
      <c r="H1042" s="24">
        <v>140752.17000000001</v>
      </c>
      <c r="I1042" s="3">
        <v>45894</v>
      </c>
      <c r="J1042" s="102">
        <v>45931</v>
      </c>
      <c r="K1042" s="12">
        <v>45931</v>
      </c>
      <c r="L1042" s="19" t="s">
        <v>731</v>
      </c>
      <c r="M1042" s="36"/>
      <c r="N1042"/>
      <c r="O1042" t="s">
        <v>199</v>
      </c>
      <c r="P1042" t="s">
        <v>376</v>
      </c>
      <c r="Q1042" t="s">
        <v>203</v>
      </c>
    </row>
    <row r="1043" spans="1:17" x14ac:dyDescent="0.3">
      <c r="A1043" s="25">
        <v>1360</v>
      </c>
      <c r="B1043" t="s">
        <v>71</v>
      </c>
      <c r="C1043" t="s">
        <v>44</v>
      </c>
      <c r="D1043" t="s">
        <v>483</v>
      </c>
      <c r="E1043" s="118">
        <v>4287</v>
      </c>
      <c r="F1043" s="13">
        <v>45897</v>
      </c>
      <c r="G1043" s="24">
        <v>87403.66</v>
      </c>
      <c r="H1043" s="24">
        <v>82028.34</v>
      </c>
      <c r="I1043" s="3">
        <v>45894</v>
      </c>
      <c r="J1043" s="102">
        <v>45931</v>
      </c>
      <c r="K1043" s="12">
        <v>45931</v>
      </c>
      <c r="L1043" s="19" t="s">
        <v>731</v>
      </c>
      <c r="M1043" s="36"/>
      <c r="N1043"/>
      <c r="O1043" t="s">
        <v>199</v>
      </c>
      <c r="P1043" t="s">
        <v>376</v>
      </c>
      <c r="Q1043" t="s">
        <v>203</v>
      </c>
    </row>
    <row r="1044" spans="1:17" x14ac:dyDescent="0.3">
      <c r="A1044" s="25">
        <v>1360</v>
      </c>
      <c r="B1044" t="s">
        <v>71</v>
      </c>
      <c r="C1044" t="s">
        <v>44</v>
      </c>
      <c r="D1044" t="s">
        <v>483</v>
      </c>
      <c r="E1044" s="118">
        <v>4289</v>
      </c>
      <c r="F1044" s="13">
        <v>45897</v>
      </c>
      <c r="G1044" s="24">
        <v>1175.2</v>
      </c>
      <c r="H1044" s="24">
        <v>1102.92</v>
      </c>
      <c r="I1044" s="3">
        <v>45894</v>
      </c>
      <c r="J1044" s="102">
        <v>45931</v>
      </c>
      <c r="K1044" s="12">
        <v>45931</v>
      </c>
      <c r="L1044" s="19" t="s">
        <v>731</v>
      </c>
      <c r="M1044" s="36"/>
      <c r="N1044"/>
      <c r="O1044" t="s">
        <v>199</v>
      </c>
      <c r="P1044" t="s">
        <v>376</v>
      </c>
      <c r="Q1044" t="s">
        <v>203</v>
      </c>
    </row>
    <row r="1045" spans="1:17" x14ac:dyDescent="0.3">
      <c r="A1045" s="25">
        <v>1360</v>
      </c>
      <c r="B1045" t="s">
        <v>71</v>
      </c>
      <c r="C1045" t="s">
        <v>44</v>
      </c>
      <c r="D1045" t="s">
        <v>483</v>
      </c>
      <c r="E1045" s="118">
        <v>4290</v>
      </c>
      <c r="F1045" s="13">
        <v>45897</v>
      </c>
      <c r="G1045" s="24">
        <v>11800.8</v>
      </c>
      <c r="H1045" s="24">
        <v>11075.05</v>
      </c>
      <c r="I1045" s="3">
        <v>45895</v>
      </c>
      <c r="J1045" s="102">
        <v>45936</v>
      </c>
      <c r="K1045" s="12">
        <v>45937</v>
      </c>
      <c r="L1045" s="19" t="s">
        <v>731</v>
      </c>
      <c r="M1045" s="36"/>
      <c r="N1045"/>
      <c r="O1045" t="s">
        <v>199</v>
      </c>
      <c r="P1045" t="s">
        <v>376</v>
      </c>
      <c r="Q1045" t="s">
        <v>203</v>
      </c>
    </row>
    <row r="1046" spans="1:17" x14ac:dyDescent="0.3">
      <c r="A1046" s="25">
        <v>1360</v>
      </c>
      <c r="B1046" t="s">
        <v>71</v>
      </c>
      <c r="C1046" t="s">
        <v>44</v>
      </c>
      <c r="D1046" t="s">
        <v>483</v>
      </c>
      <c r="E1046" s="118">
        <v>4291</v>
      </c>
      <c r="F1046" s="13">
        <v>45897</v>
      </c>
      <c r="G1046" s="24">
        <v>25828.799999999999</v>
      </c>
      <c r="H1046" s="24">
        <v>24240.33</v>
      </c>
      <c r="I1046" s="3">
        <v>45895</v>
      </c>
      <c r="J1046" s="102">
        <v>45929</v>
      </c>
      <c r="K1046" s="12">
        <v>45929</v>
      </c>
      <c r="L1046" s="19" t="s">
        <v>731</v>
      </c>
      <c r="M1046" s="36"/>
      <c r="N1046"/>
      <c r="O1046" t="s">
        <v>199</v>
      </c>
      <c r="P1046" t="s">
        <v>376</v>
      </c>
      <c r="Q1046" t="s">
        <v>203</v>
      </c>
    </row>
    <row r="1047" spans="1:17" x14ac:dyDescent="0.3">
      <c r="A1047" s="25">
        <v>1360</v>
      </c>
      <c r="B1047" t="s">
        <v>71</v>
      </c>
      <c r="C1047" t="s">
        <v>44</v>
      </c>
      <c r="D1047" t="s">
        <v>483</v>
      </c>
      <c r="E1047" s="118">
        <v>4293</v>
      </c>
      <c r="F1047" s="13">
        <v>45897</v>
      </c>
      <c r="G1047" s="24">
        <v>68989.2</v>
      </c>
      <c r="H1047" s="27">
        <v>64746.36</v>
      </c>
      <c r="I1047" s="3">
        <v>45895</v>
      </c>
      <c r="J1047" s="102">
        <v>45931</v>
      </c>
      <c r="K1047" s="12">
        <v>45931</v>
      </c>
      <c r="L1047" s="19" t="s">
        <v>731</v>
      </c>
      <c r="M1047" s="36"/>
      <c r="N1047"/>
      <c r="O1047" t="s">
        <v>199</v>
      </c>
      <c r="P1047" t="s">
        <v>376</v>
      </c>
      <c r="Q1047" t="s">
        <v>203</v>
      </c>
    </row>
    <row r="1048" spans="1:17" x14ac:dyDescent="0.3">
      <c r="A1048" s="25">
        <v>1360</v>
      </c>
      <c r="B1048" t="s">
        <v>71</v>
      </c>
      <c r="C1048" t="s">
        <v>44</v>
      </c>
      <c r="D1048" t="s">
        <v>483</v>
      </c>
      <c r="E1048" s="118">
        <v>4294</v>
      </c>
      <c r="F1048" s="13">
        <v>45897</v>
      </c>
      <c r="G1048" s="24">
        <v>32424</v>
      </c>
      <c r="H1048" s="27">
        <v>30429.919999999998</v>
      </c>
      <c r="I1048" s="3">
        <v>45896</v>
      </c>
      <c r="J1048" s="102">
        <v>45931</v>
      </c>
      <c r="K1048" s="12">
        <v>45931</v>
      </c>
      <c r="L1048" s="19" t="s">
        <v>731</v>
      </c>
      <c r="M1048" s="36"/>
      <c r="N1048"/>
      <c r="O1048" t="s">
        <v>199</v>
      </c>
      <c r="P1048" t="s">
        <v>376</v>
      </c>
      <c r="Q1048" t="s">
        <v>203</v>
      </c>
    </row>
    <row r="1049" spans="1:17" x14ac:dyDescent="0.3">
      <c r="A1049" s="25">
        <v>1360</v>
      </c>
      <c r="B1049" t="s">
        <v>71</v>
      </c>
      <c r="C1049" t="s">
        <v>44</v>
      </c>
      <c r="D1049" t="s">
        <v>483</v>
      </c>
      <c r="E1049" s="118">
        <v>4295</v>
      </c>
      <c r="F1049" s="13">
        <v>45897</v>
      </c>
      <c r="G1049" s="24">
        <v>32424</v>
      </c>
      <c r="H1049" s="27">
        <v>30429.919999999998</v>
      </c>
      <c r="I1049" s="3">
        <v>45896</v>
      </c>
      <c r="J1049" s="102">
        <v>45931</v>
      </c>
      <c r="K1049" s="12">
        <v>45931</v>
      </c>
      <c r="L1049" s="19" t="s">
        <v>731</v>
      </c>
      <c r="M1049" s="36"/>
      <c r="N1049"/>
      <c r="O1049" t="s">
        <v>199</v>
      </c>
      <c r="P1049" t="s">
        <v>376</v>
      </c>
      <c r="Q1049" t="s">
        <v>203</v>
      </c>
    </row>
    <row r="1050" spans="1:17" x14ac:dyDescent="0.3">
      <c r="A1050" s="25">
        <v>1360</v>
      </c>
      <c r="B1050" t="s">
        <v>71</v>
      </c>
      <c r="C1050" t="s">
        <v>44</v>
      </c>
      <c r="D1050" t="s">
        <v>483</v>
      </c>
      <c r="E1050" s="118">
        <v>4297</v>
      </c>
      <c r="F1050" s="13">
        <v>45897</v>
      </c>
      <c r="G1050" s="24">
        <v>31652</v>
      </c>
      <c r="H1050" s="27">
        <v>29705.4</v>
      </c>
      <c r="I1050" s="3">
        <v>45896</v>
      </c>
      <c r="J1050" s="102">
        <v>45931</v>
      </c>
      <c r="K1050" s="12">
        <v>45931</v>
      </c>
      <c r="L1050" s="19" t="s">
        <v>731</v>
      </c>
      <c r="M1050" s="36"/>
      <c r="N1050"/>
      <c r="O1050" t="s">
        <v>199</v>
      </c>
      <c r="P1050" t="s">
        <v>376</v>
      </c>
      <c r="Q1050" t="s">
        <v>203</v>
      </c>
    </row>
    <row r="1051" spans="1:17" x14ac:dyDescent="0.3">
      <c r="A1051" s="25">
        <v>1360</v>
      </c>
      <c r="B1051" t="s">
        <v>71</v>
      </c>
      <c r="C1051" t="s">
        <v>44</v>
      </c>
      <c r="D1051" t="s">
        <v>483</v>
      </c>
      <c r="E1051" s="118">
        <v>4321</v>
      </c>
      <c r="F1051" s="13">
        <v>45897</v>
      </c>
      <c r="G1051" s="24">
        <v>209559.67999999999</v>
      </c>
      <c r="H1051" s="24">
        <v>196671.75</v>
      </c>
      <c r="I1051" s="3">
        <v>45911</v>
      </c>
      <c r="J1051" s="102">
        <v>45931</v>
      </c>
      <c r="K1051" s="12">
        <v>45933</v>
      </c>
      <c r="L1051" s="19" t="s">
        <v>731</v>
      </c>
      <c r="M1051" s="36"/>
      <c r="N1051"/>
      <c r="O1051" t="s">
        <v>199</v>
      </c>
      <c r="P1051" t="s">
        <v>376</v>
      </c>
      <c r="Q1051" t="s">
        <v>203</v>
      </c>
    </row>
    <row r="1052" spans="1:17" x14ac:dyDescent="0.3">
      <c r="A1052" s="25">
        <v>1360</v>
      </c>
      <c r="B1052" t="s">
        <v>71</v>
      </c>
      <c r="C1052" t="s">
        <v>44</v>
      </c>
      <c r="D1052" t="s">
        <v>483</v>
      </c>
      <c r="E1052" s="118">
        <v>4322</v>
      </c>
      <c r="F1052" s="13">
        <v>45897</v>
      </c>
      <c r="G1052" s="24">
        <v>28846.400000000001</v>
      </c>
      <c r="H1052" s="24">
        <v>27072.35</v>
      </c>
      <c r="I1052" s="3">
        <v>45911</v>
      </c>
      <c r="J1052" s="102">
        <v>45931</v>
      </c>
      <c r="K1052" s="12">
        <v>45933</v>
      </c>
      <c r="L1052" s="19" t="s">
        <v>731</v>
      </c>
      <c r="M1052" s="36"/>
      <c r="N1052"/>
      <c r="O1052" t="s">
        <v>199</v>
      </c>
      <c r="P1052" t="s">
        <v>376</v>
      </c>
      <c r="Q1052" t="s">
        <v>203</v>
      </c>
    </row>
    <row r="1053" spans="1:17" x14ac:dyDescent="0.3">
      <c r="A1053" s="25">
        <v>1360</v>
      </c>
      <c r="B1053" t="s">
        <v>71</v>
      </c>
      <c r="C1053" t="s">
        <v>44</v>
      </c>
      <c r="D1053" t="s">
        <v>483</v>
      </c>
      <c r="E1053" s="118">
        <v>4323</v>
      </c>
      <c r="F1053" s="13">
        <v>45897</v>
      </c>
      <c r="G1053" s="24">
        <v>28846.400000000001</v>
      </c>
      <c r="H1053" s="24">
        <v>27072.35</v>
      </c>
      <c r="I1053" s="3">
        <v>45911</v>
      </c>
      <c r="J1053" s="102">
        <v>45931</v>
      </c>
      <c r="K1053" s="12">
        <v>45933</v>
      </c>
      <c r="L1053" s="19" t="s">
        <v>731</v>
      </c>
      <c r="M1053" s="36"/>
      <c r="N1053"/>
      <c r="O1053" t="s">
        <v>199</v>
      </c>
      <c r="P1053" t="s">
        <v>376</v>
      </c>
      <c r="Q1053" t="s">
        <v>203</v>
      </c>
    </row>
    <row r="1054" spans="1:17" x14ac:dyDescent="0.3">
      <c r="A1054" s="25">
        <v>1360</v>
      </c>
      <c r="B1054" t="s">
        <v>71</v>
      </c>
      <c r="C1054" t="s">
        <v>44</v>
      </c>
      <c r="D1054" t="s">
        <v>483</v>
      </c>
      <c r="E1054" s="118">
        <v>4326</v>
      </c>
      <c r="F1054" s="13">
        <v>45897</v>
      </c>
      <c r="G1054" s="24">
        <v>25854.400000000001</v>
      </c>
      <c r="H1054" s="24">
        <v>24264.36</v>
      </c>
      <c r="I1054" s="3">
        <v>45911</v>
      </c>
      <c r="J1054" s="102">
        <v>45931</v>
      </c>
      <c r="K1054" s="12">
        <v>45933</v>
      </c>
      <c r="L1054" s="19" t="s">
        <v>731</v>
      </c>
      <c r="M1054" s="36"/>
      <c r="N1054"/>
      <c r="O1054" t="s">
        <v>199</v>
      </c>
      <c r="P1054" t="s">
        <v>376</v>
      </c>
      <c r="Q1054" t="s">
        <v>203</v>
      </c>
    </row>
    <row r="1055" spans="1:17" x14ac:dyDescent="0.3">
      <c r="A1055" s="25">
        <v>1360</v>
      </c>
      <c r="B1055" t="s">
        <v>71</v>
      </c>
      <c r="C1055" t="s">
        <v>44</v>
      </c>
      <c r="D1055" t="s">
        <v>483</v>
      </c>
      <c r="E1055" s="118">
        <v>4327</v>
      </c>
      <c r="F1055" s="13">
        <v>45897</v>
      </c>
      <c r="G1055" s="24">
        <v>186200.95999999999</v>
      </c>
      <c r="H1055" s="24">
        <v>174749.6</v>
      </c>
      <c r="I1055" s="3">
        <v>45911</v>
      </c>
      <c r="J1055" s="102">
        <v>45931</v>
      </c>
      <c r="K1055" s="12">
        <v>45933</v>
      </c>
      <c r="L1055" s="19" t="s">
        <v>731</v>
      </c>
      <c r="M1055" s="36"/>
      <c r="N1055"/>
      <c r="O1055" t="s">
        <v>199</v>
      </c>
      <c r="P1055" t="s">
        <v>376</v>
      </c>
      <c r="Q1055" t="s">
        <v>203</v>
      </c>
    </row>
    <row r="1056" spans="1:17" x14ac:dyDescent="0.3">
      <c r="A1056" s="25">
        <v>1360</v>
      </c>
      <c r="B1056" t="s">
        <v>71</v>
      </c>
      <c r="C1056" t="s">
        <v>44</v>
      </c>
      <c r="D1056" t="s">
        <v>483</v>
      </c>
      <c r="E1056" s="118">
        <v>4332</v>
      </c>
      <c r="F1056" s="13">
        <v>45897</v>
      </c>
      <c r="G1056" s="24">
        <v>64125.599999999999</v>
      </c>
      <c r="H1056" s="24">
        <v>60181.87</v>
      </c>
      <c r="I1056" s="3">
        <v>45911</v>
      </c>
      <c r="J1056" s="102">
        <v>45931</v>
      </c>
      <c r="K1056" s="12">
        <v>45933</v>
      </c>
      <c r="L1056" s="19" t="s">
        <v>731</v>
      </c>
      <c r="M1056" s="36"/>
      <c r="N1056"/>
      <c r="O1056" t="s">
        <v>199</v>
      </c>
      <c r="P1056" t="s">
        <v>376</v>
      </c>
      <c r="Q1056" t="s">
        <v>203</v>
      </c>
    </row>
    <row r="1057" spans="1:17" x14ac:dyDescent="0.3">
      <c r="A1057" s="25">
        <v>1360</v>
      </c>
      <c r="B1057" t="s">
        <v>71</v>
      </c>
      <c r="C1057" t="s">
        <v>44</v>
      </c>
      <c r="D1057" t="s">
        <v>483</v>
      </c>
      <c r="E1057" s="118">
        <v>4373</v>
      </c>
      <c r="F1057" s="13">
        <v>45897</v>
      </c>
      <c r="G1057" s="24">
        <v>4858</v>
      </c>
      <c r="H1057" s="24">
        <v>4559.2299999999996</v>
      </c>
      <c r="I1057" s="3">
        <v>45924</v>
      </c>
      <c r="J1057" s="102">
        <v>45936</v>
      </c>
      <c r="K1057" s="12">
        <v>45937</v>
      </c>
      <c r="L1057" s="19" t="s">
        <v>731</v>
      </c>
      <c r="M1057" s="36"/>
      <c r="N1057"/>
      <c r="O1057" t="s">
        <v>199</v>
      </c>
      <c r="P1057" t="s">
        <v>376</v>
      </c>
      <c r="Q1057" t="s">
        <v>203</v>
      </c>
    </row>
    <row r="1058" spans="1:17" x14ac:dyDescent="0.3">
      <c r="A1058" s="25">
        <v>1360</v>
      </c>
      <c r="B1058" t="s">
        <v>71</v>
      </c>
      <c r="C1058" t="s">
        <v>44</v>
      </c>
      <c r="D1058" t="s">
        <v>483</v>
      </c>
      <c r="E1058" s="118">
        <v>4386</v>
      </c>
      <c r="F1058" s="13">
        <v>45897</v>
      </c>
      <c r="G1058" s="24">
        <v>63027.44</v>
      </c>
      <c r="H1058" s="24">
        <v>59151.26</v>
      </c>
      <c r="I1058" s="3">
        <v>45931</v>
      </c>
      <c r="J1058" s="102">
        <v>45936</v>
      </c>
      <c r="K1058" s="12">
        <v>45937</v>
      </c>
      <c r="L1058" s="19" t="s">
        <v>731</v>
      </c>
      <c r="M1058" s="36"/>
      <c r="N1058"/>
      <c r="O1058" t="s">
        <v>199</v>
      </c>
      <c r="P1058" t="s">
        <v>376</v>
      </c>
      <c r="Q1058" t="s">
        <v>203</v>
      </c>
    </row>
    <row r="1059" spans="1:17" x14ac:dyDescent="0.3">
      <c r="A1059" s="25">
        <v>1387</v>
      </c>
      <c r="B1059" t="s">
        <v>71</v>
      </c>
      <c r="C1059" t="s">
        <v>44</v>
      </c>
      <c r="D1059" t="s">
        <v>517</v>
      </c>
      <c r="E1059" s="118">
        <v>4274</v>
      </c>
      <c r="F1059" s="13">
        <v>45897</v>
      </c>
      <c r="G1059" s="24">
        <v>28390.32</v>
      </c>
      <c r="H1059" s="27">
        <v>26644.32</v>
      </c>
      <c r="I1059" s="3">
        <v>45891</v>
      </c>
      <c r="J1059" s="102">
        <v>45931</v>
      </c>
      <c r="K1059" s="12">
        <v>45931</v>
      </c>
      <c r="L1059" s="19" t="s">
        <v>731</v>
      </c>
      <c r="M1059" s="36"/>
      <c r="N1059"/>
      <c r="O1059" t="s">
        <v>202</v>
      </c>
      <c r="P1059" t="s">
        <v>376</v>
      </c>
      <c r="Q1059" t="s">
        <v>203</v>
      </c>
    </row>
    <row r="1060" spans="1:17" x14ac:dyDescent="0.3">
      <c r="A1060" s="25">
        <v>1387</v>
      </c>
      <c r="B1060" t="s">
        <v>71</v>
      </c>
      <c r="C1060" t="s">
        <v>44</v>
      </c>
      <c r="D1060" t="s">
        <v>517</v>
      </c>
      <c r="E1060" s="118">
        <v>4279</v>
      </c>
      <c r="F1060" s="13">
        <v>45897</v>
      </c>
      <c r="G1060" s="24">
        <v>42630</v>
      </c>
      <c r="H1060" s="27">
        <v>40008.25</v>
      </c>
      <c r="I1060" s="3">
        <v>45891</v>
      </c>
      <c r="J1060" s="102">
        <v>45931</v>
      </c>
      <c r="K1060" s="12">
        <v>45931</v>
      </c>
      <c r="L1060" s="19" t="s">
        <v>731</v>
      </c>
      <c r="M1060" s="36"/>
      <c r="N1060"/>
      <c r="O1060" t="s">
        <v>202</v>
      </c>
      <c r="P1060" t="s">
        <v>376</v>
      </c>
      <c r="Q1060" t="s">
        <v>203</v>
      </c>
    </row>
    <row r="1061" spans="1:17" x14ac:dyDescent="0.3">
      <c r="A1061" s="25">
        <v>1387</v>
      </c>
      <c r="B1061" t="s">
        <v>71</v>
      </c>
      <c r="C1061" t="s">
        <v>44</v>
      </c>
      <c r="D1061" t="s">
        <v>517</v>
      </c>
      <c r="E1061" s="118">
        <v>4280</v>
      </c>
      <c r="F1061" s="13">
        <v>45897</v>
      </c>
      <c r="G1061" s="24">
        <v>44660</v>
      </c>
      <c r="H1061" s="27">
        <v>41913.410000000003</v>
      </c>
      <c r="I1061" s="3">
        <v>45891</v>
      </c>
      <c r="J1061" s="102">
        <v>45931</v>
      </c>
      <c r="K1061" s="12">
        <v>45931</v>
      </c>
      <c r="L1061" s="19" t="s">
        <v>731</v>
      </c>
      <c r="M1061" s="36"/>
      <c r="N1061"/>
      <c r="O1061" t="s">
        <v>202</v>
      </c>
      <c r="P1061" t="s">
        <v>376</v>
      </c>
      <c r="Q1061" t="s">
        <v>203</v>
      </c>
    </row>
    <row r="1062" spans="1:17" x14ac:dyDescent="0.3">
      <c r="A1062" s="25">
        <v>1387</v>
      </c>
      <c r="B1062" t="s">
        <v>71</v>
      </c>
      <c r="C1062" t="s">
        <v>44</v>
      </c>
      <c r="D1062" t="s">
        <v>517</v>
      </c>
      <c r="E1062" s="118">
        <v>4282</v>
      </c>
      <c r="F1062" s="13">
        <v>45897</v>
      </c>
      <c r="G1062" s="24">
        <v>78807.12</v>
      </c>
      <c r="H1062" s="27">
        <v>73960.479999999996</v>
      </c>
      <c r="I1062" s="3">
        <v>45894</v>
      </c>
      <c r="J1062" s="102">
        <v>45931</v>
      </c>
      <c r="K1062" s="12">
        <v>45931</v>
      </c>
      <c r="L1062" s="19" t="s">
        <v>731</v>
      </c>
      <c r="M1062" s="36"/>
      <c r="N1062"/>
      <c r="O1062" t="s">
        <v>202</v>
      </c>
      <c r="P1062" t="s">
        <v>376</v>
      </c>
      <c r="Q1062" t="s">
        <v>203</v>
      </c>
    </row>
    <row r="1063" spans="1:17" x14ac:dyDescent="0.3">
      <c r="A1063" s="25">
        <v>1387</v>
      </c>
      <c r="B1063" t="s">
        <v>71</v>
      </c>
      <c r="C1063" t="s">
        <v>44</v>
      </c>
      <c r="D1063" t="s">
        <v>517</v>
      </c>
      <c r="E1063" s="118">
        <v>4288</v>
      </c>
      <c r="F1063" s="13">
        <v>45897</v>
      </c>
      <c r="G1063" s="24">
        <v>29920</v>
      </c>
      <c r="H1063" s="27">
        <v>28079.93</v>
      </c>
      <c r="I1063" s="3">
        <v>45894</v>
      </c>
      <c r="J1063" s="102">
        <v>45931</v>
      </c>
      <c r="K1063" s="12">
        <v>45931</v>
      </c>
      <c r="L1063" s="19" t="s">
        <v>731</v>
      </c>
      <c r="M1063" s="36"/>
      <c r="N1063"/>
      <c r="O1063" t="s">
        <v>202</v>
      </c>
      <c r="P1063" t="s">
        <v>376</v>
      </c>
      <c r="Q1063" t="s">
        <v>203</v>
      </c>
    </row>
    <row r="1064" spans="1:17" x14ac:dyDescent="0.3">
      <c r="A1064" s="25">
        <v>1387</v>
      </c>
      <c r="B1064" t="s">
        <v>71</v>
      </c>
      <c r="C1064" t="s">
        <v>44</v>
      </c>
      <c r="D1064" t="s">
        <v>517</v>
      </c>
      <c r="E1064" s="118">
        <v>4324</v>
      </c>
      <c r="F1064" s="13">
        <v>45897</v>
      </c>
      <c r="G1064" s="24">
        <v>24360</v>
      </c>
      <c r="H1064" s="24">
        <v>22861.86</v>
      </c>
      <c r="I1064" s="3">
        <v>45911</v>
      </c>
      <c r="J1064" s="102">
        <v>45931</v>
      </c>
      <c r="K1064" s="12">
        <v>45933</v>
      </c>
      <c r="L1064" s="19" t="s">
        <v>731</v>
      </c>
      <c r="M1064" s="36"/>
      <c r="N1064"/>
      <c r="O1064" t="s">
        <v>202</v>
      </c>
      <c r="P1064" t="s">
        <v>376</v>
      </c>
      <c r="Q1064" t="s">
        <v>203</v>
      </c>
    </row>
    <row r="1065" spans="1:17" x14ac:dyDescent="0.3">
      <c r="A1065" s="25">
        <v>1387</v>
      </c>
      <c r="B1065" t="s">
        <v>71</v>
      </c>
      <c r="C1065" t="s">
        <v>44</v>
      </c>
      <c r="D1065" t="s">
        <v>517</v>
      </c>
      <c r="E1065" s="118">
        <v>4328</v>
      </c>
      <c r="F1065" s="13">
        <v>45897</v>
      </c>
      <c r="G1065" s="24">
        <v>29920</v>
      </c>
      <c r="H1065" s="24">
        <v>28079.919999999998</v>
      </c>
      <c r="I1065" s="3">
        <v>45911</v>
      </c>
      <c r="J1065" s="102">
        <v>45931</v>
      </c>
      <c r="K1065" s="12">
        <v>45933</v>
      </c>
      <c r="L1065" s="19" t="s">
        <v>731</v>
      </c>
      <c r="M1065" s="36"/>
      <c r="N1065"/>
      <c r="O1065" t="s">
        <v>202</v>
      </c>
      <c r="P1065" t="s">
        <v>376</v>
      </c>
      <c r="Q1065" t="s">
        <v>203</v>
      </c>
    </row>
    <row r="1066" spans="1:17" x14ac:dyDescent="0.3">
      <c r="A1066" s="9">
        <v>1470</v>
      </c>
      <c r="B1066" t="s">
        <v>215</v>
      </c>
      <c r="C1066" t="s">
        <v>175</v>
      </c>
      <c r="D1066" t="s">
        <v>620</v>
      </c>
      <c r="E1066" s="118">
        <v>8487</v>
      </c>
      <c r="F1066" s="13">
        <v>45897</v>
      </c>
      <c r="G1066" s="24">
        <v>36700</v>
      </c>
      <c r="H1066" s="11">
        <v>33708.949999999997</v>
      </c>
      <c r="I1066" s="3">
        <v>45903</v>
      </c>
      <c r="J1066" s="102">
        <v>45915</v>
      </c>
      <c r="K1066" s="5">
        <v>45915</v>
      </c>
      <c r="L1066" s="37" t="s">
        <v>731</v>
      </c>
      <c r="M1066" s="38">
        <v>0</v>
      </c>
      <c r="N1066" s="15"/>
      <c r="O1066" t="s">
        <v>202</v>
      </c>
      <c r="P1066" t="s">
        <v>373</v>
      </c>
      <c r="Q1066" t="s">
        <v>213</v>
      </c>
    </row>
    <row r="1067" spans="1:17" x14ac:dyDescent="0.3">
      <c r="A1067" s="25">
        <v>1273</v>
      </c>
      <c r="B1067" t="s">
        <v>204</v>
      </c>
      <c r="C1067" t="s">
        <v>39</v>
      </c>
      <c r="D1067" t="s">
        <v>389</v>
      </c>
      <c r="E1067" s="118">
        <v>1294</v>
      </c>
      <c r="F1067" s="13">
        <v>45897</v>
      </c>
      <c r="G1067" s="24">
        <v>571783.62</v>
      </c>
      <c r="H1067" s="24">
        <v>512889.91</v>
      </c>
      <c r="I1067" s="3">
        <v>45910</v>
      </c>
      <c r="J1067" s="102">
        <v>45922</v>
      </c>
      <c r="K1067" s="12">
        <v>45922</v>
      </c>
      <c r="L1067" s="19" t="s">
        <v>731</v>
      </c>
      <c r="M1067" s="36">
        <v>0</v>
      </c>
      <c r="N1067"/>
      <c r="O1067" t="s">
        <v>202</v>
      </c>
      <c r="P1067" t="s">
        <v>340</v>
      </c>
      <c r="Q1067" t="s">
        <v>217</v>
      </c>
    </row>
    <row r="1068" spans="1:17" x14ac:dyDescent="0.3">
      <c r="A1068" s="9">
        <v>1277</v>
      </c>
      <c r="B1068" t="s">
        <v>204</v>
      </c>
      <c r="C1068" t="s">
        <v>39</v>
      </c>
      <c r="D1068" t="s">
        <v>393</v>
      </c>
      <c r="E1068" s="118">
        <v>1300</v>
      </c>
      <c r="F1068" s="13">
        <v>45897</v>
      </c>
      <c r="G1068" s="24">
        <v>162394.43</v>
      </c>
      <c r="H1068" s="11">
        <v>145667.79999999999</v>
      </c>
      <c r="I1068" s="3">
        <v>45931</v>
      </c>
      <c r="J1068" s="102">
        <v>45971</v>
      </c>
      <c r="K1068" s="12">
        <v>45975</v>
      </c>
      <c r="L1068" s="19" t="s">
        <v>731</v>
      </c>
      <c r="M1068" s="39"/>
      <c r="N1068" s="26"/>
      <c r="O1068" t="s">
        <v>202</v>
      </c>
      <c r="P1068" t="s">
        <v>340</v>
      </c>
      <c r="Q1068" t="s">
        <v>217</v>
      </c>
    </row>
    <row r="1069" spans="1:17" x14ac:dyDescent="0.3">
      <c r="A1069" s="25">
        <v>1268</v>
      </c>
      <c r="B1069" t="s">
        <v>193</v>
      </c>
      <c r="C1069" t="s">
        <v>141</v>
      </c>
      <c r="D1069" t="s">
        <v>383</v>
      </c>
      <c r="E1069" s="118">
        <v>4333</v>
      </c>
      <c r="F1069" s="13">
        <v>45897</v>
      </c>
      <c r="G1069" s="24">
        <v>293308.59999999998</v>
      </c>
      <c r="H1069" s="24">
        <v>275270.12</v>
      </c>
      <c r="I1069" s="3">
        <v>45911</v>
      </c>
      <c r="J1069" s="102">
        <v>45929</v>
      </c>
      <c r="K1069" s="12">
        <v>45929</v>
      </c>
      <c r="L1069" s="19" t="s">
        <v>731</v>
      </c>
      <c r="M1069" s="36">
        <v>0</v>
      </c>
      <c r="N1069"/>
      <c r="O1069" t="s">
        <v>199</v>
      </c>
      <c r="P1069" t="s">
        <v>376</v>
      </c>
      <c r="Q1069" t="s">
        <v>207</v>
      </c>
    </row>
    <row r="1070" spans="1:17" x14ac:dyDescent="0.3">
      <c r="A1070" s="25">
        <v>1268</v>
      </c>
      <c r="B1070" t="s">
        <v>193</v>
      </c>
      <c r="C1070" t="s">
        <v>141</v>
      </c>
      <c r="D1070" t="s">
        <v>383</v>
      </c>
      <c r="E1070" s="118">
        <v>4335</v>
      </c>
      <c r="F1070" s="13">
        <v>45897</v>
      </c>
      <c r="G1070" s="24">
        <v>42359.519999999997</v>
      </c>
      <c r="H1070" s="24">
        <v>39754.410000000003</v>
      </c>
      <c r="I1070" s="3">
        <v>45911</v>
      </c>
      <c r="J1070" s="102">
        <v>45929</v>
      </c>
      <c r="K1070" s="12">
        <v>45929</v>
      </c>
      <c r="L1070" s="19" t="s">
        <v>731</v>
      </c>
      <c r="M1070" s="36">
        <v>0</v>
      </c>
      <c r="N1070"/>
      <c r="O1070" t="s">
        <v>199</v>
      </c>
      <c r="P1070" t="s">
        <v>376</v>
      </c>
      <c r="Q1070" t="s">
        <v>207</v>
      </c>
    </row>
    <row r="1071" spans="1:17" x14ac:dyDescent="0.3">
      <c r="A1071" s="25">
        <v>1268</v>
      </c>
      <c r="B1071" t="s">
        <v>193</v>
      </c>
      <c r="C1071" t="s">
        <v>141</v>
      </c>
      <c r="D1071" t="s">
        <v>383</v>
      </c>
      <c r="E1071" s="118">
        <v>4336</v>
      </c>
      <c r="F1071" s="13">
        <v>45897</v>
      </c>
      <c r="G1071" s="24">
        <v>107115.28</v>
      </c>
      <c r="H1071" s="24">
        <v>100527.69</v>
      </c>
      <c r="I1071" s="3">
        <v>45911</v>
      </c>
      <c r="J1071" s="102">
        <v>45929</v>
      </c>
      <c r="K1071" s="12">
        <v>45929</v>
      </c>
      <c r="L1071" s="19" t="s">
        <v>731</v>
      </c>
      <c r="M1071" s="36">
        <v>0</v>
      </c>
      <c r="N1071"/>
      <c r="O1071" t="s">
        <v>199</v>
      </c>
      <c r="P1071" t="s">
        <v>376</v>
      </c>
      <c r="Q1071" t="s">
        <v>207</v>
      </c>
    </row>
    <row r="1072" spans="1:17" x14ac:dyDescent="0.3">
      <c r="A1072" s="25">
        <v>1268</v>
      </c>
      <c r="B1072" t="s">
        <v>193</v>
      </c>
      <c r="C1072" t="s">
        <v>141</v>
      </c>
      <c r="D1072" t="s">
        <v>383</v>
      </c>
      <c r="E1072" s="118">
        <v>4337</v>
      </c>
      <c r="F1072" s="13">
        <v>45897</v>
      </c>
      <c r="G1072" s="24">
        <v>1058150.3999999999</v>
      </c>
      <c r="H1072" s="24">
        <v>993074.15</v>
      </c>
      <c r="I1072" s="3">
        <v>45911</v>
      </c>
      <c r="J1072" s="102">
        <v>45929</v>
      </c>
      <c r="K1072" s="12">
        <v>45929</v>
      </c>
      <c r="L1072" s="19" t="s">
        <v>731</v>
      </c>
      <c r="M1072" s="36">
        <v>0</v>
      </c>
      <c r="N1072"/>
      <c r="O1072" t="s">
        <v>199</v>
      </c>
      <c r="P1072" t="s">
        <v>376</v>
      </c>
      <c r="Q1072" t="s">
        <v>207</v>
      </c>
    </row>
    <row r="1073" spans="1:17" x14ac:dyDescent="0.3">
      <c r="A1073" s="25">
        <v>1483</v>
      </c>
      <c r="B1073" t="s">
        <v>193</v>
      </c>
      <c r="C1073" t="s">
        <v>178</v>
      </c>
      <c r="D1073" t="s">
        <v>633</v>
      </c>
      <c r="E1073" s="118">
        <v>8489</v>
      </c>
      <c r="F1073" s="13">
        <v>45897</v>
      </c>
      <c r="G1073" s="24">
        <v>53591.199999999997</v>
      </c>
      <c r="H1073" s="24">
        <v>49527.08</v>
      </c>
      <c r="I1073" s="3">
        <v>45903</v>
      </c>
      <c r="J1073" s="102">
        <v>45936</v>
      </c>
      <c r="K1073" s="12">
        <v>45938</v>
      </c>
      <c r="L1073" s="19" t="s">
        <v>731</v>
      </c>
      <c r="M1073" s="36">
        <v>0</v>
      </c>
      <c r="N1073" s="26"/>
      <c r="O1073" t="s">
        <v>202</v>
      </c>
      <c r="P1073" t="s">
        <v>373</v>
      </c>
      <c r="Q1073" t="s">
        <v>207</v>
      </c>
    </row>
    <row r="1074" spans="1:17" x14ac:dyDescent="0.3">
      <c r="A1074" s="25">
        <v>1483</v>
      </c>
      <c r="B1074" t="s">
        <v>193</v>
      </c>
      <c r="C1074" t="s">
        <v>178</v>
      </c>
      <c r="D1074" t="s">
        <v>633</v>
      </c>
      <c r="E1074" s="118">
        <v>8490</v>
      </c>
      <c r="F1074" s="13">
        <v>45897</v>
      </c>
      <c r="G1074" s="24">
        <v>28856.799999999999</v>
      </c>
      <c r="H1074" s="24">
        <v>25450.11</v>
      </c>
      <c r="I1074" s="3">
        <v>45903</v>
      </c>
      <c r="J1074" s="102">
        <v>45936</v>
      </c>
      <c r="K1074" s="12">
        <v>45938</v>
      </c>
      <c r="L1074" s="19" t="s">
        <v>731</v>
      </c>
      <c r="M1074" s="36">
        <v>0</v>
      </c>
      <c r="N1074" s="26"/>
      <c r="O1074" t="s">
        <v>202</v>
      </c>
      <c r="P1074" t="s">
        <v>373</v>
      </c>
      <c r="Q1074" t="s">
        <v>207</v>
      </c>
    </row>
    <row r="1075" spans="1:17" x14ac:dyDescent="0.3">
      <c r="A1075" s="25">
        <v>1275</v>
      </c>
      <c r="B1075" t="s">
        <v>193</v>
      </c>
      <c r="C1075" t="s">
        <v>165</v>
      </c>
      <c r="D1075" t="s">
        <v>391</v>
      </c>
      <c r="E1075" s="118">
        <v>4305</v>
      </c>
      <c r="F1075" s="13">
        <v>45897</v>
      </c>
      <c r="G1075" s="24">
        <v>16767.240000000002</v>
      </c>
      <c r="H1075" s="24">
        <v>15736.05</v>
      </c>
      <c r="I1075" s="3">
        <v>45902</v>
      </c>
      <c r="J1075" s="102">
        <v>45929</v>
      </c>
      <c r="K1075" s="12">
        <v>45929</v>
      </c>
      <c r="L1075" s="19" t="s">
        <v>731</v>
      </c>
      <c r="M1075" s="36">
        <v>0</v>
      </c>
      <c r="N1075" s="26"/>
      <c r="O1075" t="s">
        <v>199</v>
      </c>
      <c r="P1075" t="s">
        <v>376</v>
      </c>
      <c r="Q1075" t="s">
        <v>207</v>
      </c>
    </row>
    <row r="1076" spans="1:17" x14ac:dyDescent="0.3">
      <c r="A1076" s="25">
        <v>1479</v>
      </c>
      <c r="B1076" t="s">
        <v>193</v>
      </c>
      <c r="C1076" t="s">
        <v>165</v>
      </c>
      <c r="D1076" t="s">
        <v>629</v>
      </c>
      <c r="E1076" s="118">
        <v>4304</v>
      </c>
      <c r="F1076" s="13">
        <v>45897</v>
      </c>
      <c r="G1076" s="24">
        <v>13640</v>
      </c>
      <c r="H1076" s="24">
        <v>12801.14</v>
      </c>
      <c r="I1076" s="3">
        <v>45901</v>
      </c>
      <c r="J1076" s="102">
        <v>45929</v>
      </c>
      <c r="K1076" s="12">
        <v>45929</v>
      </c>
      <c r="L1076" s="19" t="s">
        <v>731</v>
      </c>
      <c r="M1076" s="36">
        <v>0</v>
      </c>
      <c r="N1076" s="26"/>
      <c r="O1076" t="s">
        <v>201</v>
      </c>
      <c r="P1076" t="s">
        <v>376</v>
      </c>
      <c r="Q1076" t="s">
        <v>207</v>
      </c>
    </row>
    <row r="1077" spans="1:17" x14ac:dyDescent="0.3">
      <c r="A1077" s="25">
        <v>1455</v>
      </c>
      <c r="B1077" t="s">
        <v>215</v>
      </c>
      <c r="C1077" t="s">
        <v>60</v>
      </c>
      <c r="D1077" t="s">
        <v>600</v>
      </c>
      <c r="E1077" s="118">
        <v>8533</v>
      </c>
      <c r="F1077" s="13">
        <v>45928</v>
      </c>
      <c r="G1077" s="24">
        <v>54003.39</v>
      </c>
      <c r="H1077" s="24">
        <v>47712</v>
      </c>
      <c r="I1077" s="3">
        <v>45931</v>
      </c>
      <c r="J1077" s="102">
        <v>45957</v>
      </c>
      <c r="K1077" s="12">
        <v>45960</v>
      </c>
      <c r="L1077" s="22" t="s">
        <v>731</v>
      </c>
      <c r="M1077" s="42"/>
      <c r="N1077" s="26"/>
      <c r="O1077" t="s">
        <v>202</v>
      </c>
      <c r="P1077" t="s">
        <v>373</v>
      </c>
      <c r="Q1077" t="s">
        <v>213</v>
      </c>
    </row>
    <row r="1078" spans="1:17" x14ac:dyDescent="0.3">
      <c r="A1078" s="25">
        <v>1489</v>
      </c>
      <c r="B1078" t="s">
        <v>193</v>
      </c>
      <c r="C1078" t="s">
        <v>42</v>
      </c>
      <c r="D1078" t="s">
        <v>639</v>
      </c>
      <c r="E1078" s="118">
        <v>4391</v>
      </c>
      <c r="F1078" s="13">
        <v>45928</v>
      </c>
      <c r="G1078" s="24">
        <v>42812.21</v>
      </c>
      <c r="H1078" s="24">
        <v>40179.26</v>
      </c>
      <c r="I1078" s="3">
        <v>45933</v>
      </c>
      <c r="J1078" s="102">
        <v>45964</v>
      </c>
      <c r="K1078" s="12">
        <v>45964</v>
      </c>
      <c r="L1078" s="19" t="s">
        <v>731</v>
      </c>
      <c r="M1078" s="42"/>
      <c r="N1078" s="26"/>
      <c r="O1078" t="s">
        <v>201</v>
      </c>
      <c r="P1078" t="s">
        <v>376</v>
      </c>
      <c r="Q1078" t="s">
        <v>207</v>
      </c>
    </row>
    <row r="1079" spans="1:17" x14ac:dyDescent="0.3">
      <c r="A1079" s="25">
        <v>1478</v>
      </c>
      <c r="B1079" t="s">
        <v>71</v>
      </c>
      <c r="C1079" t="s">
        <v>198</v>
      </c>
      <c r="D1079" t="s">
        <v>628</v>
      </c>
      <c r="E1079" s="118">
        <v>8539</v>
      </c>
      <c r="F1079" s="13">
        <v>45928</v>
      </c>
      <c r="G1079" s="24">
        <v>26413.8</v>
      </c>
      <c r="H1079" s="24">
        <v>24789.35</v>
      </c>
      <c r="I1079" s="3">
        <v>45933</v>
      </c>
      <c r="J1079" s="102">
        <v>45957</v>
      </c>
      <c r="K1079" s="12">
        <v>45958</v>
      </c>
      <c r="L1079" s="19" t="s">
        <v>731</v>
      </c>
      <c r="M1079" s="36"/>
      <c r="N1079"/>
      <c r="O1079" t="s">
        <v>199</v>
      </c>
      <c r="P1079" t="s">
        <v>376</v>
      </c>
      <c r="Q1079" t="s">
        <v>203</v>
      </c>
    </row>
    <row r="1080" spans="1:17" x14ac:dyDescent="0.3">
      <c r="A1080" s="25">
        <v>1478</v>
      </c>
      <c r="B1080" t="s">
        <v>71</v>
      </c>
      <c r="C1080" t="s">
        <v>198</v>
      </c>
      <c r="D1080" t="s">
        <v>628</v>
      </c>
      <c r="E1080" s="118">
        <v>8540</v>
      </c>
      <c r="F1080" s="13">
        <v>45928</v>
      </c>
      <c r="G1080" s="24">
        <v>13993.56</v>
      </c>
      <c r="H1080" s="24">
        <v>13132.95</v>
      </c>
      <c r="I1080" s="3">
        <v>45933</v>
      </c>
      <c r="J1080" s="102">
        <v>45957</v>
      </c>
      <c r="K1080" s="12">
        <v>45958</v>
      </c>
      <c r="L1080" s="19" t="s">
        <v>731</v>
      </c>
      <c r="M1080" s="36"/>
      <c r="N1080"/>
      <c r="O1080" t="s">
        <v>199</v>
      </c>
      <c r="P1080" t="s">
        <v>376</v>
      </c>
      <c r="Q1080" t="s">
        <v>203</v>
      </c>
    </row>
    <row r="1081" spans="1:17" x14ac:dyDescent="0.3">
      <c r="A1081" s="25">
        <v>1478</v>
      </c>
      <c r="B1081" t="s">
        <v>71</v>
      </c>
      <c r="C1081" t="s">
        <v>198</v>
      </c>
      <c r="D1081" t="s">
        <v>628</v>
      </c>
      <c r="E1081" s="118">
        <v>8541</v>
      </c>
      <c r="F1081" s="13">
        <v>45928</v>
      </c>
      <c r="G1081" s="24">
        <v>29087.69</v>
      </c>
      <c r="H1081" s="24">
        <v>27298.79</v>
      </c>
      <c r="I1081" s="3">
        <v>45933</v>
      </c>
      <c r="J1081" s="102">
        <v>45957</v>
      </c>
      <c r="K1081" s="12">
        <v>45958</v>
      </c>
      <c r="L1081" s="19" t="s">
        <v>731</v>
      </c>
      <c r="M1081" s="36"/>
      <c r="N1081"/>
      <c r="O1081" t="s">
        <v>199</v>
      </c>
      <c r="P1081" t="s">
        <v>376</v>
      </c>
      <c r="Q1081" t="s">
        <v>203</v>
      </c>
    </row>
    <row r="1082" spans="1:17" x14ac:dyDescent="0.3">
      <c r="A1082" s="25">
        <v>1478</v>
      </c>
      <c r="B1082" t="s">
        <v>71</v>
      </c>
      <c r="C1082" t="s">
        <v>198</v>
      </c>
      <c r="D1082" t="s">
        <v>628</v>
      </c>
      <c r="E1082" s="118">
        <v>8542</v>
      </c>
      <c r="F1082" s="13">
        <v>45928</v>
      </c>
      <c r="G1082" s="24">
        <v>20754.55</v>
      </c>
      <c r="H1082" s="24">
        <v>19478.14</v>
      </c>
      <c r="I1082" s="3">
        <v>45933</v>
      </c>
      <c r="J1082" s="102">
        <v>45957</v>
      </c>
      <c r="K1082" s="12">
        <v>45957</v>
      </c>
      <c r="L1082" s="19" t="s">
        <v>731</v>
      </c>
      <c r="M1082" s="36"/>
      <c r="N1082"/>
      <c r="O1082" t="s">
        <v>199</v>
      </c>
      <c r="P1082" t="s">
        <v>376</v>
      </c>
      <c r="Q1082" t="s">
        <v>203</v>
      </c>
    </row>
    <row r="1083" spans="1:17" x14ac:dyDescent="0.3">
      <c r="A1083" s="25">
        <v>1499</v>
      </c>
      <c r="B1083" t="s">
        <v>71</v>
      </c>
      <c r="C1083" t="s">
        <v>109</v>
      </c>
      <c r="D1083" t="s">
        <v>650</v>
      </c>
      <c r="E1083" s="118">
        <v>8536</v>
      </c>
      <c r="F1083" s="13">
        <v>45928</v>
      </c>
      <c r="G1083" s="24">
        <v>52900</v>
      </c>
      <c r="H1083" s="24">
        <v>49646.65</v>
      </c>
      <c r="I1083" s="3">
        <v>45932</v>
      </c>
      <c r="J1083" s="102">
        <v>45950</v>
      </c>
      <c r="K1083" s="12">
        <v>45952</v>
      </c>
      <c r="L1083" s="19" t="s">
        <v>731</v>
      </c>
      <c r="M1083" s="36">
        <v>0</v>
      </c>
      <c r="N1083"/>
      <c r="O1083" t="s">
        <v>199</v>
      </c>
      <c r="P1083" t="s">
        <v>373</v>
      </c>
      <c r="Q1083" t="s">
        <v>203</v>
      </c>
    </row>
    <row r="1084" spans="1:17" x14ac:dyDescent="0.3">
      <c r="A1084" s="25">
        <v>1499</v>
      </c>
      <c r="B1084" t="s">
        <v>71</v>
      </c>
      <c r="C1084" t="s">
        <v>109</v>
      </c>
      <c r="D1084" t="s">
        <v>650</v>
      </c>
      <c r="E1084" s="118">
        <v>8595</v>
      </c>
      <c r="F1084" s="13">
        <v>45928</v>
      </c>
      <c r="G1084" s="24">
        <v>52464.7</v>
      </c>
      <c r="H1084" s="24">
        <v>49238.12</v>
      </c>
      <c r="I1084" s="3">
        <v>45968</v>
      </c>
      <c r="J1084" s="102">
        <v>46013</v>
      </c>
      <c r="K1084" s="12">
        <v>46013</v>
      </c>
      <c r="L1084" s="19" t="s">
        <v>731</v>
      </c>
      <c r="M1084" s="36">
        <v>0</v>
      </c>
      <c r="N1084"/>
      <c r="O1084" t="s">
        <v>199</v>
      </c>
      <c r="P1084" t="s">
        <v>373</v>
      </c>
      <c r="Q1084" t="s">
        <v>203</v>
      </c>
    </row>
    <row r="1085" spans="1:17" x14ac:dyDescent="0.3">
      <c r="A1085" s="25">
        <v>1391</v>
      </c>
      <c r="B1085" t="s">
        <v>71</v>
      </c>
      <c r="C1085" t="s">
        <v>196</v>
      </c>
      <c r="D1085" t="s">
        <v>520</v>
      </c>
      <c r="E1085" s="118">
        <v>4399</v>
      </c>
      <c r="F1085" s="13">
        <v>45928</v>
      </c>
      <c r="G1085" s="24">
        <v>170954.63</v>
      </c>
      <c r="H1085" s="40">
        <v>160440.92000000001</v>
      </c>
      <c r="I1085" s="3">
        <v>45936</v>
      </c>
      <c r="J1085" s="102">
        <v>45950</v>
      </c>
      <c r="K1085" s="12">
        <v>45951</v>
      </c>
      <c r="L1085" s="1" t="s">
        <v>731</v>
      </c>
      <c r="M1085" s="36">
        <v>0</v>
      </c>
      <c r="N1085"/>
      <c r="O1085" t="s">
        <v>199</v>
      </c>
      <c r="P1085" t="s">
        <v>376</v>
      </c>
      <c r="Q1085" t="s">
        <v>203</v>
      </c>
    </row>
    <row r="1086" spans="1:17" x14ac:dyDescent="0.3">
      <c r="A1086" s="25">
        <v>1391</v>
      </c>
      <c r="B1086" t="s">
        <v>71</v>
      </c>
      <c r="C1086" t="s">
        <v>196</v>
      </c>
      <c r="D1086" t="s">
        <v>520</v>
      </c>
      <c r="E1086" s="118">
        <v>4401</v>
      </c>
      <c r="F1086" s="13">
        <v>45928</v>
      </c>
      <c r="G1086" s="24">
        <v>16867.5</v>
      </c>
      <c r="H1086" s="28">
        <v>15830.15</v>
      </c>
      <c r="I1086" s="3">
        <v>45937</v>
      </c>
      <c r="J1086" s="102">
        <v>45950</v>
      </c>
      <c r="K1086" s="12">
        <v>45952</v>
      </c>
      <c r="L1086" s="1" t="s">
        <v>731</v>
      </c>
      <c r="M1086" s="36">
        <v>0</v>
      </c>
      <c r="N1086"/>
      <c r="O1086" t="s">
        <v>199</v>
      </c>
      <c r="P1086" t="s">
        <v>376</v>
      </c>
      <c r="Q1086" t="s">
        <v>203</v>
      </c>
    </row>
    <row r="1087" spans="1:17" x14ac:dyDescent="0.3">
      <c r="A1087" s="25">
        <v>1391</v>
      </c>
      <c r="B1087" t="s">
        <v>71</v>
      </c>
      <c r="C1087" t="s">
        <v>196</v>
      </c>
      <c r="D1087" t="s">
        <v>520</v>
      </c>
      <c r="E1087" s="118">
        <v>4402</v>
      </c>
      <c r="F1087" s="13">
        <v>45928</v>
      </c>
      <c r="G1087" s="24">
        <v>74833.2</v>
      </c>
      <c r="H1087" s="28">
        <v>70230.960000000006</v>
      </c>
      <c r="I1087" s="3">
        <v>45937</v>
      </c>
      <c r="J1087" s="102">
        <v>45950</v>
      </c>
      <c r="K1087" s="12">
        <v>45952</v>
      </c>
      <c r="L1087" s="1" t="s">
        <v>731</v>
      </c>
      <c r="M1087" s="36">
        <v>0</v>
      </c>
      <c r="N1087"/>
      <c r="O1087" t="s">
        <v>199</v>
      </c>
      <c r="P1087" t="s">
        <v>376</v>
      </c>
      <c r="Q1087" t="s">
        <v>203</v>
      </c>
    </row>
    <row r="1088" spans="1:17" x14ac:dyDescent="0.3">
      <c r="A1088" s="25">
        <v>1391</v>
      </c>
      <c r="B1088" t="s">
        <v>71</v>
      </c>
      <c r="C1088" t="s">
        <v>196</v>
      </c>
      <c r="D1088" t="s">
        <v>520</v>
      </c>
      <c r="E1088" s="118">
        <v>4403</v>
      </c>
      <c r="F1088" s="13">
        <v>45928</v>
      </c>
      <c r="G1088" s="24">
        <v>32244.959999999999</v>
      </c>
      <c r="H1088" s="28">
        <v>30261.9</v>
      </c>
      <c r="I1088" s="3">
        <v>45937</v>
      </c>
      <c r="J1088" s="102">
        <v>45950</v>
      </c>
      <c r="K1088" s="12">
        <v>45952</v>
      </c>
      <c r="L1088" s="1" t="s">
        <v>731</v>
      </c>
      <c r="M1088" s="36">
        <v>0</v>
      </c>
      <c r="N1088"/>
      <c r="O1088" t="s">
        <v>199</v>
      </c>
      <c r="P1088" t="s">
        <v>376</v>
      </c>
      <c r="Q1088" t="s">
        <v>203</v>
      </c>
    </row>
    <row r="1089" spans="1:17" x14ac:dyDescent="0.3">
      <c r="A1089" s="25">
        <v>1391</v>
      </c>
      <c r="B1089" t="s">
        <v>71</v>
      </c>
      <c r="C1089" t="s">
        <v>196</v>
      </c>
      <c r="D1089" t="s">
        <v>520</v>
      </c>
      <c r="E1089" s="118">
        <v>4404</v>
      </c>
      <c r="F1089" s="13">
        <v>45928</v>
      </c>
      <c r="G1089" s="24">
        <v>140052.78</v>
      </c>
      <c r="H1089" s="28">
        <v>131439.54</v>
      </c>
      <c r="I1089" s="3">
        <v>45937</v>
      </c>
      <c r="J1089" s="102">
        <v>45950</v>
      </c>
      <c r="K1089" s="12">
        <v>45952</v>
      </c>
      <c r="L1089" s="1" t="s">
        <v>731</v>
      </c>
      <c r="M1089" s="36">
        <v>0</v>
      </c>
      <c r="N1089"/>
      <c r="O1089" t="s">
        <v>199</v>
      </c>
      <c r="P1089" t="s">
        <v>376</v>
      </c>
      <c r="Q1089" t="s">
        <v>203</v>
      </c>
    </row>
    <row r="1090" spans="1:17" x14ac:dyDescent="0.3">
      <c r="A1090" s="25">
        <v>1391</v>
      </c>
      <c r="B1090" t="s">
        <v>71</v>
      </c>
      <c r="C1090" t="s">
        <v>196</v>
      </c>
      <c r="D1090" t="s">
        <v>520</v>
      </c>
      <c r="E1090" s="118">
        <v>4405</v>
      </c>
      <c r="F1090" s="13">
        <v>45928</v>
      </c>
      <c r="G1090" s="24">
        <v>153914.23999999999</v>
      </c>
      <c r="H1090" s="28">
        <v>144448.51999999999</v>
      </c>
      <c r="I1090" s="3">
        <v>45937</v>
      </c>
      <c r="J1090" s="102">
        <v>45950</v>
      </c>
      <c r="K1090" s="12">
        <v>45952</v>
      </c>
      <c r="L1090" s="1" t="s">
        <v>731</v>
      </c>
      <c r="M1090" s="36">
        <v>0</v>
      </c>
      <c r="N1090"/>
      <c r="O1090" t="s">
        <v>199</v>
      </c>
      <c r="P1090" t="s">
        <v>376</v>
      </c>
      <c r="Q1090" t="s">
        <v>203</v>
      </c>
    </row>
    <row r="1091" spans="1:17" x14ac:dyDescent="0.3">
      <c r="A1091" s="25">
        <v>1391</v>
      </c>
      <c r="B1091" t="s">
        <v>71</v>
      </c>
      <c r="C1091" t="s">
        <v>196</v>
      </c>
      <c r="D1091" t="s">
        <v>520</v>
      </c>
      <c r="E1091" s="118">
        <v>4416</v>
      </c>
      <c r="F1091" s="13">
        <v>45928</v>
      </c>
      <c r="G1091" s="24">
        <v>22654.71</v>
      </c>
      <c r="H1091" s="28">
        <v>21261.45</v>
      </c>
      <c r="I1091" s="3">
        <v>45940</v>
      </c>
      <c r="J1091" s="102">
        <v>45957</v>
      </c>
      <c r="K1091" s="12">
        <v>45957</v>
      </c>
      <c r="L1091" s="1" t="s">
        <v>731</v>
      </c>
      <c r="M1091" s="36">
        <v>0</v>
      </c>
      <c r="N1091"/>
      <c r="O1091" t="s">
        <v>199</v>
      </c>
      <c r="P1091" t="s">
        <v>376</v>
      </c>
      <c r="Q1091" t="s">
        <v>203</v>
      </c>
    </row>
    <row r="1092" spans="1:17" x14ac:dyDescent="0.3">
      <c r="A1092" s="25">
        <v>1391</v>
      </c>
      <c r="B1092" t="s">
        <v>71</v>
      </c>
      <c r="C1092" t="s">
        <v>196</v>
      </c>
      <c r="D1092" t="s">
        <v>520</v>
      </c>
      <c r="E1092" s="118">
        <v>4417</v>
      </c>
      <c r="F1092" s="13">
        <v>45928</v>
      </c>
      <c r="G1092" s="24">
        <v>126870.48</v>
      </c>
      <c r="H1092" s="28">
        <v>119067.94</v>
      </c>
      <c r="I1092" s="3">
        <v>45940</v>
      </c>
      <c r="J1092" s="102">
        <v>45957</v>
      </c>
      <c r="K1092" s="12">
        <v>45957</v>
      </c>
      <c r="L1092" s="1" t="s">
        <v>731</v>
      </c>
      <c r="M1092" s="36">
        <v>0</v>
      </c>
      <c r="N1092"/>
      <c r="O1092" t="s">
        <v>199</v>
      </c>
      <c r="P1092" t="s">
        <v>376</v>
      </c>
      <c r="Q1092" t="s">
        <v>203</v>
      </c>
    </row>
    <row r="1093" spans="1:17" x14ac:dyDescent="0.3">
      <c r="A1093" s="25">
        <v>1391</v>
      </c>
      <c r="B1093" t="s">
        <v>71</v>
      </c>
      <c r="C1093" t="s">
        <v>196</v>
      </c>
      <c r="D1093" t="s">
        <v>520</v>
      </c>
      <c r="E1093" s="118">
        <v>4418</v>
      </c>
      <c r="F1093" s="13">
        <v>45928</v>
      </c>
      <c r="G1093" s="24">
        <v>741547.47</v>
      </c>
      <c r="H1093" s="28">
        <v>695942.3</v>
      </c>
      <c r="I1093" s="3">
        <v>45940</v>
      </c>
      <c r="J1093" s="102">
        <v>45957</v>
      </c>
      <c r="K1093" s="12">
        <v>45957</v>
      </c>
      <c r="L1093" s="1" t="s">
        <v>731</v>
      </c>
      <c r="M1093" s="36">
        <v>0</v>
      </c>
      <c r="N1093"/>
      <c r="O1093" t="s">
        <v>199</v>
      </c>
      <c r="P1093" t="s">
        <v>376</v>
      </c>
      <c r="Q1093" t="s">
        <v>203</v>
      </c>
    </row>
    <row r="1094" spans="1:17" x14ac:dyDescent="0.3">
      <c r="A1094" s="25">
        <v>1391</v>
      </c>
      <c r="B1094" t="s">
        <v>71</v>
      </c>
      <c r="C1094" t="s">
        <v>196</v>
      </c>
      <c r="D1094" t="s">
        <v>520</v>
      </c>
      <c r="E1094" s="118">
        <v>4419</v>
      </c>
      <c r="F1094" s="13">
        <v>45928</v>
      </c>
      <c r="G1094" s="24">
        <v>121700.95</v>
      </c>
      <c r="H1094" s="40">
        <v>114216.35</v>
      </c>
      <c r="I1094" s="3">
        <v>45943</v>
      </c>
      <c r="J1094" s="102">
        <v>45957</v>
      </c>
      <c r="K1094" s="12">
        <v>45958</v>
      </c>
      <c r="L1094" s="1" t="s">
        <v>731</v>
      </c>
      <c r="M1094" s="36">
        <v>0</v>
      </c>
      <c r="N1094"/>
      <c r="O1094" t="s">
        <v>199</v>
      </c>
      <c r="P1094" t="s">
        <v>376</v>
      </c>
      <c r="Q1094" t="s">
        <v>203</v>
      </c>
    </row>
    <row r="1095" spans="1:17" x14ac:dyDescent="0.3">
      <c r="A1095" s="25">
        <v>1391</v>
      </c>
      <c r="B1095" t="s">
        <v>71</v>
      </c>
      <c r="C1095" t="s">
        <v>196</v>
      </c>
      <c r="D1095" t="s">
        <v>520</v>
      </c>
      <c r="E1095" s="118">
        <v>4420</v>
      </c>
      <c r="F1095" s="13">
        <v>45928</v>
      </c>
      <c r="G1095" s="24">
        <v>197787.02</v>
      </c>
      <c r="H1095" s="40">
        <v>185623.11</v>
      </c>
      <c r="I1095" s="3">
        <v>45943</v>
      </c>
      <c r="J1095" s="102">
        <v>45957</v>
      </c>
      <c r="K1095" s="12">
        <v>45958</v>
      </c>
      <c r="L1095" s="1" t="s">
        <v>731</v>
      </c>
      <c r="M1095" s="36">
        <v>0</v>
      </c>
      <c r="N1095"/>
      <c r="O1095" t="s">
        <v>199</v>
      </c>
      <c r="P1095" t="s">
        <v>376</v>
      </c>
      <c r="Q1095" t="s">
        <v>203</v>
      </c>
    </row>
    <row r="1096" spans="1:17" x14ac:dyDescent="0.3">
      <c r="A1096" s="25">
        <v>1294</v>
      </c>
      <c r="B1096" t="s">
        <v>71</v>
      </c>
      <c r="C1096" t="s">
        <v>196</v>
      </c>
      <c r="D1096" t="s">
        <v>413</v>
      </c>
      <c r="E1096" s="118">
        <v>4400</v>
      </c>
      <c r="F1096" s="13">
        <v>45928</v>
      </c>
      <c r="G1096" s="24">
        <v>114434.78</v>
      </c>
      <c r="H1096" s="40">
        <v>107397.04</v>
      </c>
      <c r="I1096" s="3">
        <v>45936</v>
      </c>
      <c r="J1096" s="102">
        <v>45950</v>
      </c>
      <c r="K1096" s="12">
        <v>45951</v>
      </c>
      <c r="L1096" s="1" t="s">
        <v>731</v>
      </c>
      <c r="M1096" s="36">
        <v>0</v>
      </c>
      <c r="N1096"/>
      <c r="O1096" t="s">
        <v>199</v>
      </c>
      <c r="P1096" t="s">
        <v>376</v>
      </c>
      <c r="Q1096" t="s">
        <v>203</v>
      </c>
    </row>
    <row r="1097" spans="1:17" x14ac:dyDescent="0.3">
      <c r="A1097" s="25">
        <v>1294</v>
      </c>
      <c r="B1097" t="s">
        <v>71</v>
      </c>
      <c r="C1097" t="s">
        <v>196</v>
      </c>
      <c r="D1097" t="s">
        <v>413</v>
      </c>
      <c r="E1097" s="118">
        <v>4407</v>
      </c>
      <c r="F1097" s="13">
        <v>45928</v>
      </c>
      <c r="G1097" s="24">
        <v>272817.3</v>
      </c>
      <c r="H1097" s="28">
        <v>256039.04000000001</v>
      </c>
      <c r="I1097" s="3">
        <v>45937</v>
      </c>
      <c r="J1097" s="102">
        <v>45950</v>
      </c>
      <c r="K1097" s="12">
        <v>45952</v>
      </c>
      <c r="L1097" s="1" t="s">
        <v>731</v>
      </c>
      <c r="M1097" s="36">
        <v>0</v>
      </c>
      <c r="N1097"/>
      <c r="O1097" t="s">
        <v>199</v>
      </c>
      <c r="P1097" t="s">
        <v>376</v>
      </c>
      <c r="Q1097" t="s">
        <v>203</v>
      </c>
    </row>
    <row r="1098" spans="1:17" x14ac:dyDescent="0.3">
      <c r="A1098" s="25">
        <v>1294</v>
      </c>
      <c r="B1098" t="s">
        <v>71</v>
      </c>
      <c r="C1098" t="s">
        <v>196</v>
      </c>
      <c r="D1098" t="s">
        <v>413</v>
      </c>
      <c r="E1098" s="118">
        <v>4427</v>
      </c>
      <c r="F1098" s="13">
        <v>45928</v>
      </c>
      <c r="G1098" s="24">
        <v>167364.26999999999</v>
      </c>
      <c r="H1098" s="28">
        <v>157071.37</v>
      </c>
      <c r="I1098" s="3">
        <v>45943</v>
      </c>
      <c r="J1098" s="102">
        <v>45957</v>
      </c>
      <c r="K1098" s="12">
        <v>45958</v>
      </c>
      <c r="L1098" s="1" t="s">
        <v>731</v>
      </c>
      <c r="M1098" s="36">
        <v>0</v>
      </c>
      <c r="N1098"/>
      <c r="O1098" t="s">
        <v>199</v>
      </c>
      <c r="P1098" t="s">
        <v>376</v>
      </c>
      <c r="Q1098" t="s">
        <v>203</v>
      </c>
    </row>
    <row r="1099" spans="1:17" x14ac:dyDescent="0.3">
      <c r="A1099" s="25">
        <v>1294</v>
      </c>
      <c r="B1099" t="s">
        <v>71</v>
      </c>
      <c r="C1099" t="s">
        <v>196</v>
      </c>
      <c r="D1099" t="s">
        <v>413</v>
      </c>
      <c r="E1099" s="118">
        <v>4428</v>
      </c>
      <c r="F1099" s="13">
        <v>45928</v>
      </c>
      <c r="G1099" s="24">
        <v>167314.19</v>
      </c>
      <c r="H1099" s="28">
        <v>157024.37</v>
      </c>
      <c r="I1099" s="3">
        <v>45943</v>
      </c>
      <c r="J1099" s="102">
        <v>45957</v>
      </c>
      <c r="K1099" s="12">
        <v>45958</v>
      </c>
      <c r="L1099" s="1" t="s">
        <v>731</v>
      </c>
      <c r="M1099" s="36">
        <v>0</v>
      </c>
      <c r="N1099"/>
      <c r="O1099" t="s">
        <v>199</v>
      </c>
      <c r="P1099" t="s">
        <v>376</v>
      </c>
      <c r="Q1099" t="s">
        <v>203</v>
      </c>
    </row>
    <row r="1100" spans="1:17" x14ac:dyDescent="0.3">
      <c r="A1100" s="25">
        <v>1294</v>
      </c>
      <c r="B1100" t="s">
        <v>71</v>
      </c>
      <c r="C1100" t="s">
        <v>196</v>
      </c>
      <c r="D1100" t="s">
        <v>413</v>
      </c>
      <c r="E1100" s="118">
        <v>4429</v>
      </c>
      <c r="F1100" s="13">
        <v>45928</v>
      </c>
      <c r="G1100" s="24">
        <v>166765.92000000001</v>
      </c>
      <c r="H1100" s="28">
        <v>156509.81</v>
      </c>
      <c r="I1100" s="3">
        <v>45943</v>
      </c>
      <c r="J1100" s="102">
        <v>45957</v>
      </c>
      <c r="K1100" s="12">
        <v>45958</v>
      </c>
      <c r="L1100" s="1" t="s">
        <v>731</v>
      </c>
      <c r="M1100" s="36">
        <v>0</v>
      </c>
      <c r="N1100"/>
      <c r="O1100" t="s">
        <v>199</v>
      </c>
      <c r="P1100" t="s">
        <v>376</v>
      </c>
      <c r="Q1100" t="s">
        <v>203</v>
      </c>
    </row>
    <row r="1101" spans="1:17" x14ac:dyDescent="0.3">
      <c r="A1101" s="25">
        <v>1294</v>
      </c>
      <c r="B1101" t="s">
        <v>71</v>
      </c>
      <c r="C1101" t="s">
        <v>196</v>
      </c>
      <c r="D1101" t="s">
        <v>413</v>
      </c>
      <c r="E1101" s="118">
        <v>4430</v>
      </c>
      <c r="F1101" s="13">
        <v>45928</v>
      </c>
      <c r="G1101" s="131">
        <v>185528.51</v>
      </c>
      <c r="H1101" s="28">
        <v>174118.5</v>
      </c>
      <c r="I1101" s="3">
        <v>45943</v>
      </c>
      <c r="J1101" s="102">
        <v>45957</v>
      </c>
      <c r="K1101" s="12">
        <v>45958</v>
      </c>
      <c r="L1101" s="1" t="s">
        <v>731</v>
      </c>
      <c r="M1101" s="36">
        <v>0</v>
      </c>
      <c r="N1101"/>
      <c r="O1101" t="s">
        <v>199</v>
      </c>
      <c r="P1101" t="s">
        <v>376</v>
      </c>
      <c r="Q1101" t="s">
        <v>203</v>
      </c>
    </row>
    <row r="1102" spans="1:17" x14ac:dyDescent="0.3">
      <c r="A1102" s="25">
        <v>1294</v>
      </c>
      <c r="B1102" t="s">
        <v>71</v>
      </c>
      <c r="C1102" t="s">
        <v>196</v>
      </c>
      <c r="D1102" t="s">
        <v>413</v>
      </c>
      <c r="E1102" s="118">
        <v>4431</v>
      </c>
      <c r="F1102" s="13">
        <v>45928</v>
      </c>
      <c r="G1102" s="24">
        <v>215271</v>
      </c>
      <c r="H1102" s="28">
        <v>202031.83</v>
      </c>
      <c r="I1102" s="3">
        <v>45944</v>
      </c>
      <c r="J1102" s="102">
        <v>45957</v>
      </c>
      <c r="K1102" s="12">
        <v>45959</v>
      </c>
      <c r="L1102" s="1" t="s">
        <v>731</v>
      </c>
      <c r="M1102" s="36">
        <v>0</v>
      </c>
      <c r="N1102"/>
      <c r="O1102" t="s">
        <v>199</v>
      </c>
      <c r="P1102" t="s">
        <v>376</v>
      </c>
      <c r="Q1102" t="s">
        <v>203</v>
      </c>
    </row>
    <row r="1103" spans="1:17" x14ac:dyDescent="0.3">
      <c r="A1103" s="25">
        <v>1294</v>
      </c>
      <c r="B1103" t="s">
        <v>71</v>
      </c>
      <c r="C1103" t="s">
        <v>196</v>
      </c>
      <c r="D1103" t="s">
        <v>413</v>
      </c>
      <c r="E1103" s="118">
        <v>4432</v>
      </c>
      <c r="F1103" s="13">
        <v>45928</v>
      </c>
      <c r="G1103" s="24">
        <v>13192.46</v>
      </c>
      <c r="H1103" s="28">
        <v>12381.12</v>
      </c>
      <c r="I1103" s="3">
        <v>45944</v>
      </c>
      <c r="J1103" s="102">
        <v>45957</v>
      </c>
      <c r="K1103" s="12">
        <v>45959</v>
      </c>
      <c r="L1103" s="1" t="s">
        <v>731</v>
      </c>
      <c r="M1103" s="36">
        <v>0</v>
      </c>
      <c r="N1103"/>
      <c r="O1103" t="s">
        <v>199</v>
      </c>
      <c r="P1103" t="s">
        <v>376</v>
      </c>
      <c r="Q1103" t="s">
        <v>203</v>
      </c>
    </row>
    <row r="1104" spans="1:17" x14ac:dyDescent="0.3">
      <c r="A1104" s="25">
        <v>1294</v>
      </c>
      <c r="B1104" t="s">
        <v>71</v>
      </c>
      <c r="C1104" t="s">
        <v>196</v>
      </c>
      <c r="D1104" t="s">
        <v>413</v>
      </c>
      <c r="E1104" s="118">
        <v>4433</v>
      </c>
      <c r="F1104" s="13">
        <v>45928</v>
      </c>
      <c r="G1104" s="24">
        <v>13192.46</v>
      </c>
      <c r="H1104" s="28">
        <v>12381.12</v>
      </c>
      <c r="I1104" s="3">
        <v>45944</v>
      </c>
      <c r="J1104" s="102">
        <v>45957</v>
      </c>
      <c r="K1104" s="12">
        <v>45959</v>
      </c>
      <c r="L1104" s="1" t="s">
        <v>731</v>
      </c>
      <c r="M1104" s="36">
        <v>0</v>
      </c>
      <c r="N1104"/>
      <c r="O1104" t="s">
        <v>199</v>
      </c>
      <c r="P1104" t="s">
        <v>376</v>
      </c>
      <c r="Q1104" t="s">
        <v>203</v>
      </c>
    </row>
    <row r="1105" spans="1:17" x14ac:dyDescent="0.3">
      <c r="A1105" s="25">
        <v>1294</v>
      </c>
      <c r="B1105" t="s">
        <v>71</v>
      </c>
      <c r="C1105" t="s">
        <v>196</v>
      </c>
      <c r="D1105" t="s">
        <v>413</v>
      </c>
      <c r="E1105" s="118">
        <v>4434</v>
      </c>
      <c r="F1105" s="13">
        <v>45928</v>
      </c>
      <c r="G1105" s="24">
        <v>247341.23</v>
      </c>
      <c r="H1105" s="28">
        <v>232129.74</v>
      </c>
      <c r="I1105" s="3">
        <v>45944</v>
      </c>
      <c r="J1105" s="102">
        <v>45957</v>
      </c>
      <c r="K1105" s="12">
        <v>45959</v>
      </c>
      <c r="L1105" s="1" t="s">
        <v>731</v>
      </c>
      <c r="M1105" s="36">
        <v>0</v>
      </c>
      <c r="N1105"/>
      <c r="O1105" t="s">
        <v>199</v>
      </c>
      <c r="P1105" t="s">
        <v>376</v>
      </c>
      <c r="Q1105" t="s">
        <v>203</v>
      </c>
    </row>
    <row r="1106" spans="1:17" x14ac:dyDescent="0.3">
      <c r="A1106" s="25">
        <v>1294</v>
      </c>
      <c r="B1106" t="s">
        <v>71</v>
      </c>
      <c r="C1106" t="s">
        <v>196</v>
      </c>
      <c r="D1106" t="s">
        <v>413</v>
      </c>
      <c r="E1106" s="118">
        <v>4436</v>
      </c>
      <c r="F1106" s="13">
        <v>45928</v>
      </c>
      <c r="G1106" s="131">
        <v>181920.64000000001</v>
      </c>
      <c r="H1106" s="28">
        <v>170732.52</v>
      </c>
      <c r="I1106" s="3">
        <v>45945</v>
      </c>
      <c r="J1106" s="102">
        <v>45957</v>
      </c>
      <c r="K1106" s="12">
        <v>45960</v>
      </c>
      <c r="L1106" s="1" t="s">
        <v>731</v>
      </c>
      <c r="M1106" s="36">
        <v>0</v>
      </c>
      <c r="N1106"/>
      <c r="O1106" t="s">
        <v>199</v>
      </c>
      <c r="P1106" t="s">
        <v>376</v>
      </c>
      <c r="Q1106" t="s">
        <v>203</v>
      </c>
    </row>
    <row r="1107" spans="1:17" x14ac:dyDescent="0.3">
      <c r="A1107" s="25">
        <v>1294</v>
      </c>
      <c r="B1107" t="s">
        <v>71</v>
      </c>
      <c r="C1107" t="s">
        <v>196</v>
      </c>
      <c r="D1107" t="s">
        <v>413</v>
      </c>
      <c r="E1107" s="118">
        <v>4437</v>
      </c>
      <c r="F1107" s="13">
        <v>45928</v>
      </c>
      <c r="G1107" s="24">
        <v>19968.05</v>
      </c>
      <c r="H1107" s="28">
        <v>18740.02</v>
      </c>
      <c r="I1107" s="3">
        <v>45945</v>
      </c>
      <c r="J1107" s="102">
        <v>45957</v>
      </c>
      <c r="K1107" s="12">
        <v>45960</v>
      </c>
      <c r="L1107" s="1" t="s">
        <v>731</v>
      </c>
      <c r="M1107" s="36">
        <v>0</v>
      </c>
      <c r="N1107"/>
      <c r="O1107" t="s">
        <v>199</v>
      </c>
      <c r="P1107" t="s">
        <v>376</v>
      </c>
      <c r="Q1107" t="s">
        <v>203</v>
      </c>
    </row>
    <row r="1108" spans="1:17" x14ac:dyDescent="0.3">
      <c r="A1108" s="25">
        <v>1285</v>
      </c>
      <c r="B1108" t="s">
        <v>71</v>
      </c>
      <c r="C1108" t="s">
        <v>196</v>
      </c>
      <c r="D1108" t="s">
        <v>404</v>
      </c>
      <c r="E1108" s="118">
        <v>4378</v>
      </c>
      <c r="F1108" s="13">
        <v>45928</v>
      </c>
      <c r="G1108" s="24">
        <v>14477.09</v>
      </c>
      <c r="H1108" s="24">
        <v>13586.75</v>
      </c>
      <c r="I1108" s="3">
        <v>45926</v>
      </c>
      <c r="J1108" s="102">
        <v>45957</v>
      </c>
      <c r="K1108" s="12">
        <v>45957</v>
      </c>
      <c r="L1108" s="1" t="s">
        <v>731</v>
      </c>
      <c r="M1108" s="36">
        <v>0</v>
      </c>
      <c r="N1108" s="26"/>
      <c r="O1108" t="s">
        <v>199</v>
      </c>
      <c r="P1108" t="s">
        <v>376</v>
      </c>
      <c r="Q1108" t="s">
        <v>203</v>
      </c>
    </row>
    <row r="1109" spans="1:17" x14ac:dyDescent="0.3">
      <c r="A1109" s="25">
        <v>1285</v>
      </c>
      <c r="B1109" t="s">
        <v>71</v>
      </c>
      <c r="C1109" t="s">
        <v>196</v>
      </c>
      <c r="D1109" t="s">
        <v>404</v>
      </c>
      <c r="E1109" s="118">
        <v>4381</v>
      </c>
      <c r="F1109" s="13">
        <v>45928</v>
      </c>
      <c r="G1109" s="24">
        <v>27966.16</v>
      </c>
      <c r="H1109" s="24">
        <v>26246.240000000002</v>
      </c>
      <c r="I1109" s="3">
        <v>45930</v>
      </c>
      <c r="J1109" s="102">
        <v>45957</v>
      </c>
      <c r="K1109" s="12">
        <v>45960</v>
      </c>
      <c r="L1109" s="1" t="s">
        <v>731</v>
      </c>
      <c r="M1109" s="36">
        <v>0</v>
      </c>
      <c r="N1109" s="26"/>
      <c r="O1109" t="s">
        <v>199</v>
      </c>
      <c r="P1109" t="s">
        <v>376</v>
      </c>
      <c r="Q1109" t="s">
        <v>203</v>
      </c>
    </row>
    <row r="1110" spans="1:17" x14ac:dyDescent="0.3">
      <c r="A1110" s="25">
        <v>1292</v>
      </c>
      <c r="B1110" t="s">
        <v>71</v>
      </c>
      <c r="C1110" t="s">
        <v>200</v>
      </c>
      <c r="D1110" t="s">
        <v>411</v>
      </c>
      <c r="E1110" s="118">
        <v>4393</v>
      </c>
      <c r="F1110" s="13">
        <v>45928</v>
      </c>
      <c r="G1110" s="24">
        <v>31008</v>
      </c>
      <c r="H1110" s="24">
        <v>29101.01</v>
      </c>
      <c r="I1110" s="3">
        <v>45933</v>
      </c>
      <c r="J1110" s="102">
        <v>45950</v>
      </c>
      <c r="K1110" s="12">
        <v>45950</v>
      </c>
      <c r="L1110" s="1" t="s">
        <v>731</v>
      </c>
      <c r="M1110" s="36">
        <v>0</v>
      </c>
      <c r="N1110"/>
      <c r="O1110" t="s">
        <v>199</v>
      </c>
      <c r="P1110" t="s">
        <v>376</v>
      </c>
      <c r="Q1110" t="s">
        <v>203</v>
      </c>
    </row>
    <row r="1111" spans="1:17" x14ac:dyDescent="0.3">
      <c r="A1111" s="25">
        <v>1292</v>
      </c>
      <c r="B1111" t="s">
        <v>71</v>
      </c>
      <c r="C1111" t="s">
        <v>200</v>
      </c>
      <c r="D1111" t="s">
        <v>411</v>
      </c>
      <c r="E1111" s="118">
        <v>4408</v>
      </c>
      <c r="F1111" s="13">
        <v>45928</v>
      </c>
      <c r="G1111" s="24">
        <v>126157</v>
      </c>
      <c r="H1111" s="24">
        <v>118398.34</v>
      </c>
      <c r="I1111" s="3">
        <v>45937</v>
      </c>
      <c r="J1111" s="102">
        <v>45950</v>
      </c>
      <c r="K1111" s="12">
        <v>45952</v>
      </c>
      <c r="L1111" s="1" t="s">
        <v>731</v>
      </c>
      <c r="M1111" s="36">
        <v>0</v>
      </c>
      <c r="N1111"/>
      <c r="O1111" t="s">
        <v>199</v>
      </c>
      <c r="P1111" t="s">
        <v>376</v>
      </c>
      <c r="Q1111" t="s">
        <v>203</v>
      </c>
    </row>
    <row r="1112" spans="1:17" x14ac:dyDescent="0.3">
      <c r="A1112" s="25">
        <v>1292</v>
      </c>
      <c r="B1112" t="s">
        <v>71</v>
      </c>
      <c r="C1112" t="s">
        <v>200</v>
      </c>
      <c r="D1112" t="s">
        <v>411</v>
      </c>
      <c r="E1112" s="118">
        <v>4409</v>
      </c>
      <c r="F1112" s="13">
        <v>45928</v>
      </c>
      <c r="G1112" s="24">
        <v>6137.45</v>
      </c>
      <c r="H1112" s="24">
        <v>5760</v>
      </c>
      <c r="I1112" s="3">
        <v>45938</v>
      </c>
      <c r="J1112" s="102">
        <v>45971</v>
      </c>
      <c r="K1112" s="12">
        <v>45972</v>
      </c>
      <c r="L1112" s="1" t="s">
        <v>731</v>
      </c>
      <c r="M1112" s="36">
        <v>0</v>
      </c>
      <c r="N1112"/>
      <c r="O1112" t="s">
        <v>199</v>
      </c>
      <c r="P1112" t="s">
        <v>376</v>
      </c>
      <c r="Q1112" t="s">
        <v>203</v>
      </c>
    </row>
    <row r="1113" spans="1:17" x14ac:dyDescent="0.3">
      <c r="A1113" s="25">
        <v>1292</v>
      </c>
      <c r="B1113" t="s">
        <v>71</v>
      </c>
      <c r="C1113" t="s">
        <v>200</v>
      </c>
      <c r="D1113" t="s">
        <v>411</v>
      </c>
      <c r="E1113" s="118">
        <v>4410</v>
      </c>
      <c r="F1113" s="13">
        <v>45928</v>
      </c>
      <c r="G1113" s="24">
        <v>6137.45</v>
      </c>
      <c r="H1113" s="24">
        <v>5760</v>
      </c>
      <c r="I1113" s="3">
        <v>45938</v>
      </c>
      <c r="J1113" s="102">
        <v>45971</v>
      </c>
      <c r="K1113" s="12">
        <v>45972</v>
      </c>
      <c r="L1113" s="1" t="s">
        <v>731</v>
      </c>
      <c r="M1113" s="36">
        <v>0</v>
      </c>
      <c r="N1113"/>
      <c r="O1113" t="s">
        <v>199</v>
      </c>
      <c r="P1113" t="s">
        <v>376</v>
      </c>
      <c r="Q1113" t="s">
        <v>203</v>
      </c>
    </row>
    <row r="1114" spans="1:17" x14ac:dyDescent="0.3">
      <c r="A1114" s="25">
        <v>1292</v>
      </c>
      <c r="B1114" t="s">
        <v>71</v>
      </c>
      <c r="C1114" t="s">
        <v>200</v>
      </c>
      <c r="D1114" t="s">
        <v>411</v>
      </c>
      <c r="E1114" s="118">
        <v>4411</v>
      </c>
      <c r="F1114" s="13">
        <v>45928</v>
      </c>
      <c r="G1114" s="24">
        <v>6137.45</v>
      </c>
      <c r="H1114" s="24">
        <v>5760</v>
      </c>
      <c r="I1114" s="3">
        <v>45938</v>
      </c>
      <c r="J1114" s="102">
        <v>45971</v>
      </c>
      <c r="K1114" s="12">
        <v>45972</v>
      </c>
      <c r="L1114" s="1" t="s">
        <v>731</v>
      </c>
      <c r="M1114" s="36">
        <v>0</v>
      </c>
      <c r="N1114"/>
      <c r="O1114" t="s">
        <v>199</v>
      </c>
      <c r="P1114" t="s">
        <v>376</v>
      </c>
      <c r="Q1114" t="s">
        <v>203</v>
      </c>
    </row>
    <row r="1115" spans="1:17" x14ac:dyDescent="0.3">
      <c r="A1115" s="25">
        <v>1292</v>
      </c>
      <c r="B1115" t="s">
        <v>71</v>
      </c>
      <c r="C1115" t="s">
        <v>200</v>
      </c>
      <c r="D1115" t="s">
        <v>411</v>
      </c>
      <c r="E1115" s="118">
        <v>4412</v>
      </c>
      <c r="F1115" s="13">
        <v>45928</v>
      </c>
      <c r="G1115" s="24">
        <v>6137.45</v>
      </c>
      <c r="H1115" s="24">
        <v>5760</v>
      </c>
      <c r="I1115" s="3">
        <v>45938</v>
      </c>
      <c r="J1115" s="102">
        <v>45971</v>
      </c>
      <c r="K1115" s="12">
        <v>45972</v>
      </c>
      <c r="L1115" s="1" t="s">
        <v>731</v>
      </c>
      <c r="M1115" s="36">
        <v>0</v>
      </c>
      <c r="N1115"/>
      <c r="O1115" t="s">
        <v>199</v>
      </c>
      <c r="P1115" t="s">
        <v>376</v>
      </c>
      <c r="Q1115" t="s">
        <v>203</v>
      </c>
    </row>
    <row r="1116" spans="1:17" x14ac:dyDescent="0.3">
      <c r="A1116" s="25">
        <v>1292</v>
      </c>
      <c r="B1116" t="s">
        <v>71</v>
      </c>
      <c r="C1116" t="s">
        <v>200</v>
      </c>
      <c r="D1116" t="s">
        <v>411</v>
      </c>
      <c r="E1116" s="118">
        <v>4413</v>
      </c>
      <c r="F1116" s="13">
        <v>45928</v>
      </c>
      <c r="G1116" s="24">
        <v>54288</v>
      </c>
      <c r="H1116" s="24">
        <v>50949.29</v>
      </c>
      <c r="I1116" s="3">
        <v>45938</v>
      </c>
      <c r="J1116" s="102">
        <v>45950</v>
      </c>
      <c r="K1116" s="12">
        <v>45953</v>
      </c>
      <c r="L1116" s="1" t="s">
        <v>731</v>
      </c>
      <c r="M1116" s="36">
        <v>0</v>
      </c>
      <c r="N1116"/>
      <c r="O1116" t="s">
        <v>199</v>
      </c>
      <c r="P1116" t="s">
        <v>376</v>
      </c>
      <c r="Q1116" t="s">
        <v>203</v>
      </c>
    </row>
    <row r="1117" spans="1:17" x14ac:dyDescent="0.3">
      <c r="A1117" s="25">
        <v>1292</v>
      </c>
      <c r="B1117" t="s">
        <v>71</v>
      </c>
      <c r="C1117" t="s">
        <v>200</v>
      </c>
      <c r="D1117" t="s">
        <v>411</v>
      </c>
      <c r="E1117" s="118">
        <v>4426</v>
      </c>
      <c r="F1117" s="13">
        <v>45928</v>
      </c>
      <c r="G1117" s="24">
        <v>34633.19</v>
      </c>
      <c r="H1117" s="24">
        <v>32503.25</v>
      </c>
      <c r="I1117" s="3">
        <v>45943</v>
      </c>
      <c r="J1117" s="102">
        <v>45957</v>
      </c>
      <c r="K1117" s="12">
        <v>45958</v>
      </c>
      <c r="L1117" s="1" t="s">
        <v>731</v>
      </c>
      <c r="M1117" s="36">
        <v>0</v>
      </c>
      <c r="N1117"/>
      <c r="O1117" t="s">
        <v>199</v>
      </c>
      <c r="P1117" t="s">
        <v>376</v>
      </c>
      <c r="Q1117" t="s">
        <v>203</v>
      </c>
    </row>
    <row r="1118" spans="1:17" x14ac:dyDescent="0.3">
      <c r="A1118" s="25">
        <v>1507</v>
      </c>
      <c r="B1118" t="s">
        <v>71</v>
      </c>
      <c r="C1118" t="s">
        <v>200</v>
      </c>
      <c r="D1118" t="s">
        <v>657</v>
      </c>
      <c r="E1118" s="118">
        <v>4394</v>
      </c>
      <c r="F1118" s="13">
        <v>45928</v>
      </c>
      <c r="G1118" s="24">
        <v>48434.61</v>
      </c>
      <c r="H1118" s="24">
        <v>45455.88</v>
      </c>
      <c r="I1118" s="3">
        <v>45933</v>
      </c>
      <c r="J1118" s="102">
        <v>45943</v>
      </c>
      <c r="K1118" s="12">
        <v>45947</v>
      </c>
      <c r="L1118" s="1" t="s">
        <v>731</v>
      </c>
      <c r="M1118" s="36">
        <v>0</v>
      </c>
      <c r="N1118"/>
      <c r="O1118" t="s">
        <v>199</v>
      </c>
      <c r="P1118" t="s">
        <v>376</v>
      </c>
      <c r="Q1118" t="s">
        <v>203</v>
      </c>
    </row>
    <row r="1119" spans="1:17" x14ac:dyDescent="0.3">
      <c r="A1119" s="25">
        <v>1507</v>
      </c>
      <c r="B1119" t="s">
        <v>71</v>
      </c>
      <c r="C1119" t="s">
        <v>200</v>
      </c>
      <c r="D1119" t="s">
        <v>657</v>
      </c>
      <c r="E1119" s="118">
        <v>4395</v>
      </c>
      <c r="F1119" s="13">
        <v>45928</v>
      </c>
      <c r="G1119" s="24">
        <v>48434.61</v>
      </c>
      <c r="H1119" s="24">
        <v>45455.88</v>
      </c>
      <c r="I1119" s="3">
        <v>45933</v>
      </c>
      <c r="J1119" s="102">
        <v>45943</v>
      </c>
      <c r="K1119" s="12">
        <v>45947</v>
      </c>
      <c r="L1119" s="1" t="s">
        <v>731</v>
      </c>
      <c r="M1119" s="36">
        <v>0</v>
      </c>
      <c r="N1119"/>
      <c r="O1119" t="s">
        <v>199</v>
      </c>
      <c r="P1119" t="s">
        <v>376</v>
      </c>
      <c r="Q1119" t="s">
        <v>203</v>
      </c>
    </row>
    <row r="1120" spans="1:17" x14ac:dyDescent="0.3">
      <c r="A1120" s="25">
        <v>1484</v>
      </c>
      <c r="B1120" t="s">
        <v>71</v>
      </c>
      <c r="C1120" t="s">
        <v>200</v>
      </c>
      <c r="D1120" t="s">
        <v>634</v>
      </c>
      <c r="E1120" s="118">
        <v>4389</v>
      </c>
      <c r="F1120" s="13">
        <v>45928</v>
      </c>
      <c r="G1120" s="24">
        <v>42265.08</v>
      </c>
      <c r="H1120" s="24">
        <v>39665.78</v>
      </c>
      <c r="I1120" s="3">
        <v>45932</v>
      </c>
      <c r="J1120" s="102">
        <v>45971</v>
      </c>
      <c r="K1120" s="12">
        <v>45974</v>
      </c>
      <c r="L1120" s="1" t="s">
        <v>731</v>
      </c>
      <c r="M1120" s="36">
        <v>0</v>
      </c>
      <c r="N1120"/>
      <c r="O1120" t="s">
        <v>201</v>
      </c>
      <c r="P1120" t="s">
        <v>376</v>
      </c>
      <c r="Q1120" t="s">
        <v>203</v>
      </c>
    </row>
    <row r="1121" spans="1:17" x14ac:dyDescent="0.3">
      <c r="A1121" s="25">
        <v>1484</v>
      </c>
      <c r="B1121" t="s">
        <v>71</v>
      </c>
      <c r="C1121" t="s">
        <v>200</v>
      </c>
      <c r="D1121" t="s">
        <v>634</v>
      </c>
      <c r="E1121" s="118">
        <v>4390</v>
      </c>
      <c r="F1121" s="13">
        <v>45928</v>
      </c>
      <c r="G1121" s="24">
        <v>36601.06</v>
      </c>
      <c r="H1121" s="24">
        <v>34350.089999999997</v>
      </c>
      <c r="I1121" s="3">
        <v>45932</v>
      </c>
      <c r="J1121" s="102">
        <v>45943</v>
      </c>
      <c r="K1121" s="12">
        <v>45947</v>
      </c>
      <c r="L1121" s="1" t="s">
        <v>731</v>
      </c>
      <c r="M1121" s="36">
        <v>0</v>
      </c>
      <c r="N1121"/>
      <c r="O1121" t="s">
        <v>201</v>
      </c>
      <c r="P1121" t="s">
        <v>376</v>
      </c>
      <c r="Q1121" t="s">
        <v>203</v>
      </c>
    </row>
    <row r="1122" spans="1:17" x14ac:dyDescent="0.3">
      <c r="A1122" s="25">
        <v>1393</v>
      </c>
      <c r="B1122" t="s">
        <v>215</v>
      </c>
      <c r="C1122" t="s">
        <v>348</v>
      </c>
      <c r="D1122" t="s">
        <v>522</v>
      </c>
      <c r="E1122" s="118">
        <v>8564</v>
      </c>
      <c r="F1122" s="13">
        <v>45928</v>
      </c>
      <c r="G1122" s="24">
        <v>466135.96</v>
      </c>
      <c r="H1122" s="24">
        <v>418123.95</v>
      </c>
      <c r="I1122" s="3">
        <v>45945</v>
      </c>
      <c r="J1122" s="102">
        <v>45964</v>
      </c>
      <c r="K1122" s="29">
        <v>45967</v>
      </c>
      <c r="L1122" s="19" t="s">
        <v>731</v>
      </c>
      <c r="M1122" s="36"/>
      <c r="N1122" s="26"/>
      <c r="O1122" t="s">
        <v>202</v>
      </c>
      <c r="P1122" t="s">
        <v>340</v>
      </c>
      <c r="Q1122" t="s">
        <v>213</v>
      </c>
    </row>
    <row r="1123" spans="1:17" x14ac:dyDescent="0.3">
      <c r="A1123" s="9">
        <v>1476</v>
      </c>
      <c r="B1123" t="s">
        <v>215</v>
      </c>
      <c r="C1123" t="s">
        <v>46</v>
      </c>
      <c r="D1123" t="s">
        <v>626</v>
      </c>
      <c r="E1123" s="118">
        <v>8551</v>
      </c>
      <c r="F1123" s="13">
        <v>45928</v>
      </c>
      <c r="G1123" s="24">
        <v>318628.40000000002</v>
      </c>
      <c r="H1123" s="27">
        <v>285809.68</v>
      </c>
      <c r="I1123" s="3">
        <v>45939</v>
      </c>
      <c r="J1123" s="102">
        <v>45950</v>
      </c>
      <c r="K1123" s="5">
        <v>45951</v>
      </c>
      <c r="L1123" s="22" t="s">
        <v>731</v>
      </c>
      <c r="M1123" s="35"/>
      <c r="N1123" s="15"/>
      <c r="O1123" t="s">
        <v>202</v>
      </c>
      <c r="P1123" t="s">
        <v>340</v>
      </c>
      <c r="Q1123" t="s">
        <v>213</v>
      </c>
    </row>
    <row r="1124" spans="1:17" x14ac:dyDescent="0.3">
      <c r="A1124" s="9">
        <v>1476</v>
      </c>
      <c r="B1124" t="s">
        <v>215</v>
      </c>
      <c r="C1124" t="s">
        <v>46</v>
      </c>
      <c r="D1124" t="s">
        <v>626</v>
      </c>
      <c r="E1124" s="118">
        <v>8552</v>
      </c>
      <c r="F1124" s="13">
        <v>45928</v>
      </c>
      <c r="G1124" s="24">
        <v>479.29</v>
      </c>
      <c r="H1124" s="27">
        <v>429.91</v>
      </c>
      <c r="I1124" s="3">
        <v>45939</v>
      </c>
      <c r="J1124" s="102">
        <v>45950</v>
      </c>
      <c r="K1124" s="5">
        <v>45951</v>
      </c>
      <c r="L1124" s="22" t="s">
        <v>731</v>
      </c>
      <c r="M1124" s="35"/>
      <c r="N1124" s="15"/>
      <c r="O1124" t="s">
        <v>202</v>
      </c>
      <c r="P1124" t="s">
        <v>340</v>
      </c>
      <c r="Q1124" t="s">
        <v>213</v>
      </c>
    </row>
    <row r="1125" spans="1:17" x14ac:dyDescent="0.3">
      <c r="A1125" s="25">
        <v>1296</v>
      </c>
      <c r="B1125" t="s">
        <v>84</v>
      </c>
      <c r="C1125" t="s">
        <v>34</v>
      </c>
      <c r="D1125" t="s">
        <v>416</v>
      </c>
      <c r="E1125" s="118">
        <v>1305</v>
      </c>
      <c r="F1125" s="13">
        <v>45928</v>
      </c>
      <c r="G1125" s="24">
        <v>917050.68</v>
      </c>
      <c r="H1125" s="24">
        <v>842311.05</v>
      </c>
      <c r="I1125" s="3">
        <v>45946</v>
      </c>
      <c r="J1125" s="102">
        <v>45957</v>
      </c>
      <c r="K1125" s="29">
        <v>45957</v>
      </c>
      <c r="L1125" s="19" t="s">
        <v>731</v>
      </c>
      <c r="M1125" s="42"/>
      <c r="N1125" s="26"/>
      <c r="O1125" t="s">
        <v>202</v>
      </c>
      <c r="P1125" t="s">
        <v>328</v>
      </c>
      <c r="Q1125" t="s">
        <v>207</v>
      </c>
    </row>
    <row r="1126" spans="1:17" x14ac:dyDescent="0.3">
      <c r="A1126" s="9">
        <v>1300</v>
      </c>
      <c r="B1126" t="s">
        <v>84</v>
      </c>
      <c r="C1126" t="s">
        <v>34</v>
      </c>
      <c r="D1126" t="s">
        <v>420</v>
      </c>
      <c r="E1126" s="118">
        <v>8538</v>
      </c>
      <c r="F1126" s="13">
        <v>45928</v>
      </c>
      <c r="G1126" s="11">
        <v>35682.61</v>
      </c>
      <c r="H1126" s="11">
        <v>32774.47</v>
      </c>
      <c r="I1126" s="3">
        <v>45933</v>
      </c>
      <c r="J1126" s="104">
        <v>45964</v>
      </c>
      <c r="K1126" s="5">
        <v>45967</v>
      </c>
      <c r="L1126" s="37" t="s">
        <v>731</v>
      </c>
      <c r="M1126" s="38">
        <v>0</v>
      </c>
      <c r="N1126" s="15"/>
      <c r="O1126" t="s">
        <v>202</v>
      </c>
      <c r="P1126" t="s">
        <v>328</v>
      </c>
      <c r="Q1126" t="s">
        <v>207</v>
      </c>
    </row>
    <row r="1127" spans="1:17" x14ac:dyDescent="0.3">
      <c r="A1127" s="9">
        <v>1300</v>
      </c>
      <c r="B1127" t="s">
        <v>84</v>
      </c>
      <c r="C1127" t="s">
        <v>34</v>
      </c>
      <c r="D1127" t="s">
        <v>420</v>
      </c>
      <c r="E1127" s="118">
        <v>1303</v>
      </c>
      <c r="F1127" s="13">
        <v>45928</v>
      </c>
      <c r="G1127" s="71">
        <v>287717.94</v>
      </c>
      <c r="H1127" s="11">
        <v>264268.92</v>
      </c>
      <c r="I1127" s="3">
        <v>45943</v>
      </c>
      <c r="J1127" s="102">
        <v>45978</v>
      </c>
      <c r="K1127" s="5">
        <v>45978</v>
      </c>
      <c r="L1127" s="37" t="s">
        <v>731</v>
      </c>
      <c r="M1127" s="38">
        <v>0</v>
      </c>
      <c r="N1127" s="15"/>
      <c r="O1127" t="s">
        <v>202</v>
      </c>
      <c r="P1127" t="s">
        <v>328</v>
      </c>
      <c r="Q1127" t="s">
        <v>207</v>
      </c>
    </row>
    <row r="1128" spans="1:17" x14ac:dyDescent="0.3">
      <c r="A1128" s="25">
        <v>1290</v>
      </c>
      <c r="B1128" t="s">
        <v>215</v>
      </c>
      <c r="C1128" t="s">
        <v>40</v>
      </c>
      <c r="D1128" t="s">
        <v>409</v>
      </c>
      <c r="E1128" s="118">
        <v>8545</v>
      </c>
      <c r="F1128" s="13">
        <v>45928</v>
      </c>
      <c r="G1128" s="24">
        <v>53175.27</v>
      </c>
      <c r="H1128" s="24">
        <v>46980.35</v>
      </c>
      <c r="I1128" s="3">
        <v>45937</v>
      </c>
      <c r="J1128" s="102">
        <v>45964</v>
      </c>
      <c r="K1128" s="12">
        <v>45967</v>
      </c>
      <c r="L1128" s="22" t="s">
        <v>731</v>
      </c>
      <c r="M1128" s="36">
        <v>0</v>
      </c>
      <c r="N1128" s="26"/>
      <c r="O1128" t="s">
        <v>202</v>
      </c>
      <c r="P1128" t="s">
        <v>328</v>
      </c>
      <c r="Q1128" t="s">
        <v>213</v>
      </c>
    </row>
    <row r="1129" spans="1:17" x14ac:dyDescent="0.3">
      <c r="A1129" s="25">
        <v>1490</v>
      </c>
      <c r="B1129" t="s">
        <v>215</v>
      </c>
      <c r="C1129" t="s">
        <v>40</v>
      </c>
      <c r="D1129" t="s">
        <v>640</v>
      </c>
      <c r="E1129" s="118">
        <v>8550</v>
      </c>
      <c r="F1129" s="13">
        <v>45928</v>
      </c>
      <c r="G1129" s="27">
        <v>2300</v>
      </c>
      <c r="H1129" s="24">
        <v>2032.05</v>
      </c>
      <c r="I1129" s="3">
        <v>45939</v>
      </c>
      <c r="J1129" s="102">
        <v>45971</v>
      </c>
      <c r="K1129" s="12">
        <v>45971</v>
      </c>
      <c r="L1129" s="22" t="s">
        <v>731</v>
      </c>
      <c r="M1129" s="36">
        <v>0</v>
      </c>
      <c r="N1129" s="26"/>
      <c r="O1129" t="s">
        <v>202</v>
      </c>
      <c r="P1129" t="s">
        <v>328</v>
      </c>
      <c r="Q1129" t="s">
        <v>213</v>
      </c>
    </row>
    <row r="1130" spans="1:17" x14ac:dyDescent="0.3">
      <c r="A1130" s="9">
        <v>1480</v>
      </c>
      <c r="B1130" t="s">
        <v>193</v>
      </c>
      <c r="C1130" t="s">
        <v>184</v>
      </c>
      <c r="D1130" t="s">
        <v>630</v>
      </c>
      <c r="E1130" s="118">
        <v>4406</v>
      </c>
      <c r="F1130" s="13">
        <v>45928</v>
      </c>
      <c r="G1130" s="24">
        <v>493114</v>
      </c>
      <c r="H1130" s="11">
        <v>462787.48</v>
      </c>
      <c r="I1130" s="3">
        <v>45937</v>
      </c>
      <c r="J1130" s="102">
        <v>45964</v>
      </c>
      <c r="K1130" s="5">
        <v>45966</v>
      </c>
      <c r="L1130" s="19" t="s">
        <v>731</v>
      </c>
      <c r="M1130" s="38"/>
      <c r="N1130" s="15"/>
      <c r="O1130" t="s">
        <v>199</v>
      </c>
      <c r="P1130" t="s">
        <v>376</v>
      </c>
      <c r="Q1130" t="s">
        <v>207</v>
      </c>
    </row>
    <row r="1131" spans="1:17" x14ac:dyDescent="0.3">
      <c r="A1131" s="25">
        <v>1511</v>
      </c>
      <c r="B1131" t="s">
        <v>212</v>
      </c>
      <c r="C1131" t="s">
        <v>218</v>
      </c>
      <c r="D1131" t="s">
        <v>663</v>
      </c>
      <c r="E1131" s="118">
        <v>8528</v>
      </c>
      <c r="F1131" s="13">
        <v>45928</v>
      </c>
      <c r="G1131" s="24">
        <v>9520</v>
      </c>
      <c r="H1131" s="24">
        <v>8934.52</v>
      </c>
      <c r="I1131" s="3">
        <v>45929</v>
      </c>
      <c r="J1131" s="102">
        <v>45936</v>
      </c>
      <c r="K1131" s="12">
        <v>45936</v>
      </c>
      <c r="L1131" s="19" t="s">
        <v>731</v>
      </c>
      <c r="M1131" s="36">
        <v>0</v>
      </c>
      <c r="N1131" s="26"/>
      <c r="O1131" t="s">
        <v>202</v>
      </c>
      <c r="P1131" t="s">
        <v>340</v>
      </c>
      <c r="Q1131" t="s">
        <v>207</v>
      </c>
    </row>
    <row r="1132" spans="1:17" x14ac:dyDescent="0.3">
      <c r="A1132" s="25">
        <v>1511</v>
      </c>
      <c r="B1132" t="s">
        <v>212</v>
      </c>
      <c r="C1132" t="s">
        <v>218</v>
      </c>
      <c r="D1132" t="s">
        <v>663</v>
      </c>
      <c r="E1132" s="118">
        <v>8698</v>
      </c>
      <c r="F1132" s="13">
        <v>46019</v>
      </c>
      <c r="G1132" s="24">
        <v>32220</v>
      </c>
      <c r="H1132" s="24">
        <v>30238.47</v>
      </c>
      <c r="I1132" s="3">
        <v>46021</v>
      </c>
      <c r="J1132" s="102">
        <v>46020</v>
      </c>
      <c r="K1132" s="12">
        <v>46021</v>
      </c>
      <c r="L1132" s="19" t="s">
        <v>731</v>
      </c>
      <c r="M1132" s="36">
        <v>0</v>
      </c>
      <c r="N1132" s="26"/>
      <c r="O1132" t="s">
        <v>202</v>
      </c>
      <c r="P1132" t="s">
        <v>340</v>
      </c>
      <c r="Q1132" t="s">
        <v>207</v>
      </c>
    </row>
    <row r="1133" spans="1:17" x14ac:dyDescent="0.3">
      <c r="A1133" s="25">
        <v>1475</v>
      </c>
      <c r="B1133" t="s">
        <v>204</v>
      </c>
      <c r="C1133" t="s">
        <v>95</v>
      </c>
      <c r="D1133" t="s">
        <v>625</v>
      </c>
      <c r="E1133" s="118">
        <v>8543</v>
      </c>
      <c r="F1133" s="13">
        <v>45928</v>
      </c>
      <c r="G1133" s="27">
        <v>70696.11</v>
      </c>
      <c r="H1133" s="24">
        <v>63414.42</v>
      </c>
      <c r="I1133" s="3">
        <v>45936</v>
      </c>
      <c r="J1133" s="102">
        <v>45943</v>
      </c>
      <c r="K1133" s="12">
        <v>45947</v>
      </c>
      <c r="L1133" s="19" t="s">
        <v>731</v>
      </c>
      <c r="M1133" s="36">
        <v>0</v>
      </c>
      <c r="N1133"/>
      <c r="O1133" t="s">
        <v>199</v>
      </c>
      <c r="P1133" t="s">
        <v>340</v>
      </c>
      <c r="Q1133" t="s">
        <v>217</v>
      </c>
    </row>
    <row r="1134" spans="1:17" x14ac:dyDescent="0.3">
      <c r="A1134" s="25">
        <v>1472</v>
      </c>
      <c r="B1134" t="s">
        <v>71</v>
      </c>
      <c r="C1134" t="s">
        <v>41</v>
      </c>
      <c r="D1134" t="s">
        <v>622</v>
      </c>
      <c r="E1134" s="118">
        <v>4379</v>
      </c>
      <c r="F1134" s="13">
        <v>45928</v>
      </c>
      <c r="G1134" s="24">
        <v>57597.75</v>
      </c>
      <c r="H1134" s="24">
        <v>54055.48</v>
      </c>
      <c r="I1134" s="3">
        <v>45929</v>
      </c>
      <c r="J1134" s="102">
        <v>45936</v>
      </c>
      <c r="K1134" s="12">
        <v>45936</v>
      </c>
      <c r="L1134" s="19" t="s">
        <v>731</v>
      </c>
      <c r="M1134" s="42"/>
      <c r="N1134" s="26"/>
      <c r="O1134" t="s">
        <v>201</v>
      </c>
      <c r="P1134" t="s">
        <v>376</v>
      </c>
      <c r="Q1134" t="s">
        <v>203</v>
      </c>
    </row>
    <row r="1135" spans="1:17" x14ac:dyDescent="0.3">
      <c r="A1135" s="25">
        <v>1378</v>
      </c>
      <c r="B1135" t="s">
        <v>193</v>
      </c>
      <c r="C1135" t="s">
        <v>4</v>
      </c>
      <c r="D1135" t="s">
        <v>506</v>
      </c>
      <c r="E1135" s="118">
        <v>8571</v>
      </c>
      <c r="F1135" s="13">
        <v>45928</v>
      </c>
      <c r="G1135" s="24">
        <v>4281.29</v>
      </c>
      <c r="H1135" s="24">
        <v>4017.99</v>
      </c>
      <c r="I1135" s="3">
        <v>45947</v>
      </c>
      <c r="J1135" s="102">
        <v>45964</v>
      </c>
      <c r="K1135" s="29">
        <v>45968</v>
      </c>
      <c r="L1135" s="19" t="s">
        <v>731</v>
      </c>
      <c r="M1135" s="36">
        <v>0</v>
      </c>
      <c r="N1135"/>
      <c r="O1135" t="s">
        <v>201</v>
      </c>
      <c r="P1135" t="s">
        <v>376</v>
      </c>
      <c r="Q1135" t="s">
        <v>207</v>
      </c>
    </row>
    <row r="1136" spans="1:17" x14ac:dyDescent="0.3">
      <c r="A1136" s="25">
        <v>1247</v>
      </c>
      <c r="B1136" t="s">
        <v>215</v>
      </c>
      <c r="C1136" t="s">
        <v>21</v>
      </c>
      <c r="D1136" t="s">
        <v>359</v>
      </c>
      <c r="E1136" s="118">
        <v>8562</v>
      </c>
      <c r="F1136" s="13">
        <v>45928</v>
      </c>
      <c r="G1136" s="24">
        <v>38395.360000000001</v>
      </c>
      <c r="H1136" s="24">
        <v>34440.629999999997</v>
      </c>
      <c r="I1136" s="3">
        <v>45944</v>
      </c>
      <c r="J1136" s="102">
        <v>45957</v>
      </c>
      <c r="K1136" s="12">
        <v>45958</v>
      </c>
      <c r="L1136" s="19" t="s">
        <v>731</v>
      </c>
      <c r="M1136" s="36">
        <v>0</v>
      </c>
      <c r="N1136"/>
      <c r="O1136" t="s">
        <v>202</v>
      </c>
      <c r="P1136" t="s">
        <v>340</v>
      </c>
      <c r="Q1136" t="s">
        <v>213</v>
      </c>
    </row>
    <row r="1137" spans="1:17" x14ac:dyDescent="0.3">
      <c r="A1137" s="25">
        <v>1358</v>
      </c>
      <c r="B1137" t="s">
        <v>215</v>
      </c>
      <c r="C1137" t="s">
        <v>17</v>
      </c>
      <c r="D1137" t="s">
        <v>480</v>
      </c>
      <c r="E1137" s="118">
        <v>8549</v>
      </c>
      <c r="F1137" s="13">
        <v>45928</v>
      </c>
      <c r="G1137" s="24">
        <v>89150.64</v>
      </c>
      <c r="H1137" s="41">
        <v>79968.13</v>
      </c>
      <c r="I1137" s="3">
        <v>45938</v>
      </c>
      <c r="J1137" s="102">
        <v>45971</v>
      </c>
      <c r="K1137" s="12">
        <v>45971</v>
      </c>
      <c r="L1137" s="19" t="s">
        <v>731</v>
      </c>
      <c r="M1137" s="39"/>
      <c r="N1137"/>
      <c r="O1137" t="s">
        <v>202</v>
      </c>
      <c r="P1137" t="s">
        <v>340</v>
      </c>
      <c r="Q1137" t="s">
        <v>213</v>
      </c>
    </row>
    <row r="1138" spans="1:17" x14ac:dyDescent="0.3">
      <c r="A1138" s="25">
        <v>1358</v>
      </c>
      <c r="B1138" t="s">
        <v>215</v>
      </c>
      <c r="C1138" t="s">
        <v>17</v>
      </c>
      <c r="D1138" t="s">
        <v>480</v>
      </c>
      <c r="E1138" s="118">
        <v>8555</v>
      </c>
      <c r="F1138" s="70">
        <v>45928</v>
      </c>
      <c r="G1138" s="72">
        <v>7437.65</v>
      </c>
      <c r="H1138" s="41">
        <v>6671.57</v>
      </c>
      <c r="I1138" s="3">
        <v>45943</v>
      </c>
      <c r="J1138" s="102">
        <v>45964</v>
      </c>
      <c r="K1138" s="12">
        <v>45964</v>
      </c>
      <c r="L1138" s="19" t="s">
        <v>731</v>
      </c>
      <c r="M1138" s="36">
        <v>0</v>
      </c>
      <c r="N1138"/>
      <c r="O1138" t="s">
        <v>202</v>
      </c>
      <c r="P1138" t="s">
        <v>340</v>
      </c>
      <c r="Q1138" t="s">
        <v>213</v>
      </c>
    </row>
    <row r="1139" spans="1:17" x14ac:dyDescent="0.3">
      <c r="A1139" s="25">
        <v>1358</v>
      </c>
      <c r="B1139" t="s">
        <v>215</v>
      </c>
      <c r="C1139" t="s">
        <v>17</v>
      </c>
      <c r="D1139" t="s">
        <v>480</v>
      </c>
      <c r="E1139" s="118">
        <v>8556</v>
      </c>
      <c r="F1139" s="70">
        <v>45928</v>
      </c>
      <c r="G1139" s="72">
        <v>23097.040000000001</v>
      </c>
      <c r="H1139" s="41">
        <v>20718.04</v>
      </c>
      <c r="I1139" s="3">
        <v>45943</v>
      </c>
      <c r="J1139" s="102">
        <v>45971</v>
      </c>
      <c r="K1139" s="12">
        <v>45971</v>
      </c>
      <c r="L1139" s="19" t="s">
        <v>731</v>
      </c>
      <c r="M1139" s="39"/>
      <c r="N1139"/>
      <c r="O1139" t="s">
        <v>202</v>
      </c>
      <c r="P1139" t="s">
        <v>340</v>
      </c>
      <c r="Q1139" t="s">
        <v>213</v>
      </c>
    </row>
    <row r="1140" spans="1:17" x14ac:dyDescent="0.3">
      <c r="A1140" s="25">
        <v>1358</v>
      </c>
      <c r="B1140" t="s">
        <v>215</v>
      </c>
      <c r="C1140" t="s">
        <v>17</v>
      </c>
      <c r="D1140" t="s">
        <v>480</v>
      </c>
      <c r="E1140" s="118">
        <v>8557</v>
      </c>
      <c r="F1140" s="13">
        <v>45928</v>
      </c>
      <c r="G1140" s="11">
        <v>7649.4</v>
      </c>
      <c r="H1140" s="11">
        <v>6861.51</v>
      </c>
      <c r="I1140" s="3">
        <v>45943</v>
      </c>
      <c r="J1140" s="102">
        <v>45964</v>
      </c>
      <c r="K1140" s="12">
        <v>45967</v>
      </c>
      <c r="L1140" s="19" t="s">
        <v>731</v>
      </c>
      <c r="M1140" s="36">
        <v>0</v>
      </c>
      <c r="N1140"/>
      <c r="O1140" t="s">
        <v>202</v>
      </c>
      <c r="P1140" t="s">
        <v>340</v>
      </c>
      <c r="Q1140" t="s">
        <v>213</v>
      </c>
    </row>
    <row r="1141" spans="1:17" x14ac:dyDescent="0.3">
      <c r="A1141" s="25">
        <v>1473</v>
      </c>
      <c r="B1141" t="s">
        <v>215</v>
      </c>
      <c r="C1141" t="s">
        <v>208</v>
      </c>
      <c r="D1141" t="s">
        <v>623</v>
      </c>
      <c r="E1141" s="118">
        <v>8616</v>
      </c>
      <c r="F1141" s="13">
        <v>45928</v>
      </c>
      <c r="G1141" s="24">
        <v>236280.79</v>
      </c>
      <c r="H1141" s="24">
        <v>217610.34</v>
      </c>
      <c r="I1141" s="3">
        <v>45980</v>
      </c>
      <c r="J1141" s="102">
        <v>45992</v>
      </c>
      <c r="K1141" s="12">
        <v>45996</v>
      </c>
      <c r="L1141" s="19" t="s">
        <v>731</v>
      </c>
      <c r="M1141" s="36"/>
      <c r="N1141"/>
      <c r="O1141" t="s">
        <v>202</v>
      </c>
      <c r="P1141" t="s">
        <v>340</v>
      </c>
      <c r="Q1141" t="s">
        <v>213</v>
      </c>
    </row>
    <row r="1142" spans="1:17" x14ac:dyDescent="0.3">
      <c r="A1142" s="25">
        <v>1462</v>
      </c>
      <c r="B1142" t="s">
        <v>212</v>
      </c>
      <c r="C1142" t="s">
        <v>169</v>
      </c>
      <c r="D1142" t="s">
        <v>610</v>
      </c>
      <c r="E1142" s="118">
        <v>8532</v>
      </c>
      <c r="F1142" s="13">
        <v>45928</v>
      </c>
      <c r="G1142" s="24">
        <v>800</v>
      </c>
      <c r="H1142" s="24">
        <v>750.8</v>
      </c>
      <c r="I1142" s="3">
        <v>45931</v>
      </c>
      <c r="J1142" s="102">
        <v>45936</v>
      </c>
      <c r="K1142" s="12">
        <v>45937</v>
      </c>
      <c r="L1142" s="19" t="s">
        <v>731</v>
      </c>
      <c r="M1142" s="36">
        <v>0</v>
      </c>
      <c r="N1142" s="26"/>
      <c r="O1142" t="s">
        <v>202</v>
      </c>
      <c r="P1142" t="s">
        <v>328</v>
      </c>
      <c r="Q1142" t="s">
        <v>207</v>
      </c>
    </row>
    <row r="1143" spans="1:17" x14ac:dyDescent="0.3">
      <c r="A1143" s="25">
        <v>1292</v>
      </c>
      <c r="B1143" t="s">
        <v>71</v>
      </c>
      <c r="C1143" t="s">
        <v>200</v>
      </c>
      <c r="D1143" t="s">
        <v>411</v>
      </c>
      <c r="E1143" s="118">
        <v>4532</v>
      </c>
      <c r="F1143" s="13">
        <v>45958</v>
      </c>
      <c r="G1143" s="27">
        <v>132926.39999999999</v>
      </c>
      <c r="H1143" s="27">
        <v>124751.42</v>
      </c>
      <c r="I1143" s="3">
        <v>45979</v>
      </c>
      <c r="J1143" s="102">
        <v>45992</v>
      </c>
      <c r="K1143" s="12">
        <v>45994</v>
      </c>
      <c r="L1143" s="1" t="s">
        <v>731</v>
      </c>
      <c r="M1143" s="36"/>
      <c r="N1143"/>
      <c r="O1143" t="s">
        <v>199</v>
      </c>
      <c r="P1143" t="s">
        <v>376</v>
      </c>
      <c r="Q1143" t="s">
        <v>203</v>
      </c>
    </row>
    <row r="1144" spans="1:17" x14ac:dyDescent="0.3">
      <c r="A1144" s="14">
        <v>1260</v>
      </c>
      <c r="B1144" t="s">
        <v>193</v>
      </c>
      <c r="C1144" t="s">
        <v>121</v>
      </c>
      <c r="D1144" t="s">
        <v>372</v>
      </c>
      <c r="E1144" s="118">
        <v>4382</v>
      </c>
      <c r="F1144" s="13">
        <v>45928</v>
      </c>
      <c r="G1144" s="27">
        <v>10914</v>
      </c>
      <c r="H1144" s="24">
        <v>10242.790000000001</v>
      </c>
      <c r="I1144" s="3">
        <v>45931</v>
      </c>
      <c r="J1144" s="102">
        <v>45957</v>
      </c>
      <c r="K1144" s="12">
        <v>45959</v>
      </c>
      <c r="L1144" s="20" t="s">
        <v>731</v>
      </c>
      <c r="M1144" s="35">
        <v>0</v>
      </c>
      <c r="N1144"/>
      <c r="O1144" t="s">
        <v>199</v>
      </c>
      <c r="P1144" t="s">
        <v>373</v>
      </c>
      <c r="Q1144" t="s">
        <v>207</v>
      </c>
    </row>
    <row r="1145" spans="1:17" x14ac:dyDescent="0.3">
      <c r="A1145" s="25">
        <v>1506</v>
      </c>
      <c r="B1145" t="s">
        <v>193</v>
      </c>
      <c r="C1145" t="s">
        <v>43</v>
      </c>
      <c r="D1145" t="s">
        <v>656</v>
      </c>
      <c r="E1145" s="118">
        <v>4710</v>
      </c>
      <c r="F1145" s="13">
        <v>46019</v>
      </c>
      <c r="G1145" s="27">
        <v>35603.199999999997</v>
      </c>
      <c r="H1145" s="24">
        <v>33413.599999999999</v>
      </c>
      <c r="I1145" s="3">
        <v>46024</v>
      </c>
      <c r="J1145" s="102">
        <v>46083</v>
      </c>
      <c r="K1145" s="12">
        <v>46083</v>
      </c>
      <c r="L1145" s="19" t="s">
        <v>731</v>
      </c>
      <c r="M1145" s="36">
        <v>0</v>
      </c>
      <c r="N1145" s="26"/>
      <c r="O1145" t="s">
        <v>201</v>
      </c>
      <c r="P1145" t="s">
        <v>376</v>
      </c>
      <c r="Q1145" t="s">
        <v>207</v>
      </c>
    </row>
    <row r="1146" spans="1:17" x14ac:dyDescent="0.3">
      <c r="A1146" s="25">
        <v>1506</v>
      </c>
      <c r="B1146" t="s">
        <v>193</v>
      </c>
      <c r="C1146" t="s">
        <v>43</v>
      </c>
      <c r="D1146" t="s">
        <v>656</v>
      </c>
      <c r="E1146" s="118">
        <v>4788</v>
      </c>
      <c r="F1146" s="13">
        <v>46051</v>
      </c>
      <c r="G1146" s="27">
        <v>37383.360000000001</v>
      </c>
      <c r="H1146" s="24">
        <v>35084.29</v>
      </c>
      <c r="I1146" s="3">
        <v>46055</v>
      </c>
      <c r="J1146" s="102">
        <v>46113</v>
      </c>
      <c r="K1146" s="12">
        <v>46114</v>
      </c>
      <c r="L1146" s="19" t="s">
        <v>731</v>
      </c>
      <c r="M1146" s="36"/>
      <c r="N1146" s="26"/>
      <c r="O1146" t="s">
        <v>201</v>
      </c>
      <c r="P1146" t="s">
        <v>376</v>
      </c>
      <c r="Q1146" t="s">
        <v>207</v>
      </c>
    </row>
    <row r="1147" spans="1:17" x14ac:dyDescent="0.3">
      <c r="A1147" s="25">
        <v>1506</v>
      </c>
      <c r="B1147" t="s">
        <v>193</v>
      </c>
      <c r="C1147" t="s">
        <v>43</v>
      </c>
      <c r="D1147" t="s">
        <v>656</v>
      </c>
      <c r="E1147" s="118">
        <v>4904</v>
      </c>
      <c r="F1147" s="13">
        <v>46081</v>
      </c>
      <c r="G1147" s="27">
        <v>35603.199999999997</v>
      </c>
      <c r="H1147" s="24">
        <v>33413.599999999999</v>
      </c>
      <c r="I1147" s="3">
        <v>46083</v>
      </c>
      <c r="J1147" s="102">
        <v>46139</v>
      </c>
      <c r="K1147" s="12">
        <v>46142</v>
      </c>
      <c r="L1147" s="19" t="s">
        <v>731</v>
      </c>
      <c r="M1147" s="36">
        <v>0</v>
      </c>
      <c r="N1147" s="26"/>
      <c r="O1147" t="s">
        <v>201</v>
      </c>
      <c r="P1147" t="s">
        <v>376</v>
      </c>
      <c r="Q1147" t="s">
        <v>207</v>
      </c>
    </row>
    <row r="1148" spans="1:17" x14ac:dyDescent="0.3">
      <c r="A1148" s="25">
        <v>1506</v>
      </c>
      <c r="B1148" t="s">
        <v>193</v>
      </c>
      <c r="C1148" t="s">
        <v>43</v>
      </c>
      <c r="D1148" t="s">
        <v>656</v>
      </c>
      <c r="E1148" s="118">
        <v>5023</v>
      </c>
      <c r="F1148" s="13">
        <v>46109</v>
      </c>
      <c r="G1148" s="44">
        <v>35603.199999999997</v>
      </c>
      <c r="H1148" s="24">
        <v>33413.599999999999</v>
      </c>
      <c r="I1148" s="3">
        <v>46113</v>
      </c>
      <c r="J1148" s="161">
        <v>46174</v>
      </c>
      <c r="K1148" s="12">
        <v>46174</v>
      </c>
      <c r="L1148" s="19" t="s">
        <v>731</v>
      </c>
      <c r="M1148" s="36">
        <v>0</v>
      </c>
      <c r="N1148" s="26"/>
      <c r="O1148" t="s">
        <v>201</v>
      </c>
      <c r="P1148" t="s">
        <v>376</v>
      </c>
      <c r="Q1148" t="s">
        <v>207</v>
      </c>
    </row>
    <row r="1149" spans="1:17" x14ac:dyDescent="0.3">
      <c r="A1149" s="25">
        <v>1506</v>
      </c>
      <c r="B1149" t="s">
        <v>193</v>
      </c>
      <c r="C1149" t="s">
        <v>43</v>
      </c>
      <c r="D1149" t="s">
        <v>656</v>
      </c>
      <c r="E1149" s="118">
        <v>5114</v>
      </c>
      <c r="F1149" s="13">
        <v>46140</v>
      </c>
      <c r="G1149" s="24">
        <v>37383.360000000001</v>
      </c>
      <c r="H1149" s="24">
        <v>35084.28</v>
      </c>
      <c r="I1149" s="3">
        <v>46146</v>
      </c>
      <c r="J1149" s="102">
        <v>46209</v>
      </c>
      <c r="K1149" s="12"/>
      <c r="L1149" s="19" t="s">
        <v>730</v>
      </c>
      <c r="M1149" s="36">
        <v>0</v>
      </c>
      <c r="N1149" s="26"/>
      <c r="O1149" t="s">
        <v>201</v>
      </c>
      <c r="P1149" t="s">
        <v>376</v>
      </c>
      <c r="Q1149" t="s">
        <v>207</v>
      </c>
    </row>
    <row r="1150" spans="1:17" x14ac:dyDescent="0.3">
      <c r="A1150" s="9">
        <v>1357</v>
      </c>
      <c r="B1150" t="s">
        <v>193</v>
      </c>
      <c r="C1150" t="s">
        <v>197</v>
      </c>
      <c r="D1150" t="s">
        <v>734</v>
      </c>
      <c r="E1150" s="118">
        <v>5202</v>
      </c>
      <c r="F1150" s="13">
        <v>46170</v>
      </c>
      <c r="G1150" s="27">
        <v>45036</v>
      </c>
      <c r="H1150" s="24">
        <v>42266.29</v>
      </c>
      <c r="I1150" s="3">
        <v>46174</v>
      </c>
      <c r="J1150" s="102">
        <v>46195</v>
      </c>
      <c r="K1150" s="5"/>
      <c r="L1150" s="19" t="s">
        <v>730</v>
      </c>
      <c r="M1150" s="38"/>
      <c r="N1150" s="15"/>
      <c r="O1150" t="s">
        <v>199</v>
      </c>
      <c r="P1150" t="s">
        <v>376</v>
      </c>
      <c r="Q1150" t="s">
        <v>207</v>
      </c>
    </row>
    <row r="1151" spans="1:17" x14ac:dyDescent="0.3">
      <c r="A1151" s="9">
        <v>1357</v>
      </c>
      <c r="B1151" t="s">
        <v>193</v>
      </c>
      <c r="C1151" t="s">
        <v>197</v>
      </c>
      <c r="D1151" t="s">
        <v>734</v>
      </c>
      <c r="E1151" s="174">
        <v>5209</v>
      </c>
      <c r="F1151" s="13">
        <v>46170</v>
      </c>
      <c r="G1151" s="27">
        <v>9639</v>
      </c>
      <c r="H1151" s="24">
        <v>9046.2000000000007</v>
      </c>
      <c r="I1151" s="3">
        <v>46175</v>
      </c>
      <c r="J1151" s="102">
        <v>46195</v>
      </c>
      <c r="K1151" s="5"/>
      <c r="L1151" s="19" t="s">
        <v>730</v>
      </c>
      <c r="M1151" s="38"/>
      <c r="N1151" s="15"/>
      <c r="O1151" t="s">
        <v>199</v>
      </c>
      <c r="P1151" t="s">
        <v>376</v>
      </c>
      <c r="Q1151" t="s">
        <v>207</v>
      </c>
    </row>
    <row r="1152" spans="1:17" x14ac:dyDescent="0.3">
      <c r="A1152" s="25">
        <v>1485</v>
      </c>
      <c r="B1152" t="s">
        <v>193</v>
      </c>
      <c r="C1152" t="s">
        <v>43</v>
      </c>
      <c r="D1152" t="s">
        <v>635</v>
      </c>
      <c r="E1152" s="118">
        <v>4456</v>
      </c>
      <c r="F1152" s="13">
        <v>45928</v>
      </c>
      <c r="G1152" s="24">
        <v>53404.800000000003</v>
      </c>
      <c r="H1152" s="24">
        <v>50120.41</v>
      </c>
      <c r="I1152" s="3">
        <v>45952</v>
      </c>
      <c r="J1152" s="102">
        <v>45978</v>
      </c>
      <c r="K1152" s="12">
        <v>45982</v>
      </c>
      <c r="L1152" s="19" t="s">
        <v>731</v>
      </c>
      <c r="M1152" s="36">
        <v>0</v>
      </c>
      <c r="N1152" s="26"/>
      <c r="O1152" t="s">
        <v>199</v>
      </c>
      <c r="P1152" t="s">
        <v>376</v>
      </c>
      <c r="Q1152" t="s">
        <v>207</v>
      </c>
    </row>
    <row r="1153" spans="1:17" x14ac:dyDescent="0.3">
      <c r="A1153" s="25">
        <v>1482</v>
      </c>
      <c r="B1153" t="s">
        <v>84</v>
      </c>
      <c r="C1153" t="s">
        <v>34</v>
      </c>
      <c r="D1153" t="s">
        <v>632</v>
      </c>
      <c r="E1153" s="118">
        <v>8544</v>
      </c>
      <c r="F1153" s="13">
        <v>45928</v>
      </c>
      <c r="G1153" s="24">
        <v>39000</v>
      </c>
      <c r="H1153" s="24">
        <v>35236.5</v>
      </c>
      <c r="I1153" s="3">
        <v>45937</v>
      </c>
      <c r="J1153" s="102">
        <v>45964</v>
      </c>
      <c r="K1153" s="12">
        <v>45964</v>
      </c>
      <c r="L1153" s="37" t="s">
        <v>731</v>
      </c>
      <c r="M1153" s="48"/>
      <c r="N1153" s="26"/>
      <c r="O1153" t="s">
        <v>202</v>
      </c>
      <c r="P1153" t="s">
        <v>328</v>
      </c>
      <c r="Q1153" t="s">
        <v>207</v>
      </c>
    </row>
    <row r="1154" spans="1:17" x14ac:dyDescent="0.3">
      <c r="A1154" s="25">
        <v>1262</v>
      </c>
      <c r="B1154" t="s">
        <v>193</v>
      </c>
      <c r="C1154" t="s">
        <v>45</v>
      </c>
      <c r="D1154" t="s">
        <v>375</v>
      </c>
      <c r="E1154" s="118">
        <v>4438</v>
      </c>
      <c r="F1154" s="13">
        <v>45928</v>
      </c>
      <c r="G1154" s="24">
        <v>28299.01</v>
      </c>
      <c r="H1154" s="27">
        <v>26558.62</v>
      </c>
      <c r="I1154" s="3">
        <v>45951</v>
      </c>
      <c r="J1154" s="102">
        <v>45957</v>
      </c>
      <c r="K1154" s="12">
        <v>45960</v>
      </c>
      <c r="L1154" s="19" t="s">
        <v>731</v>
      </c>
      <c r="M1154" s="36">
        <v>0</v>
      </c>
      <c r="N1154" s="26"/>
      <c r="O1154" t="s">
        <v>199</v>
      </c>
      <c r="P1154" t="s">
        <v>376</v>
      </c>
      <c r="Q1154" t="s">
        <v>207</v>
      </c>
    </row>
    <row r="1155" spans="1:17" x14ac:dyDescent="0.3">
      <c r="A1155" s="25">
        <v>1262</v>
      </c>
      <c r="B1155" t="s">
        <v>193</v>
      </c>
      <c r="C1155" t="s">
        <v>45</v>
      </c>
      <c r="D1155" t="s">
        <v>375</v>
      </c>
      <c r="E1155" s="118">
        <v>4439</v>
      </c>
      <c r="F1155" s="13">
        <v>45928</v>
      </c>
      <c r="G1155" s="24">
        <v>21811.68</v>
      </c>
      <c r="H1155" s="27">
        <v>20470.25</v>
      </c>
      <c r="I1155" s="3">
        <v>45951</v>
      </c>
      <c r="J1155" s="102">
        <v>45957</v>
      </c>
      <c r="K1155" s="12">
        <v>45960</v>
      </c>
      <c r="L1155" s="19" t="s">
        <v>731</v>
      </c>
      <c r="M1155" s="36">
        <v>0</v>
      </c>
      <c r="N1155" s="26"/>
      <c r="O1155" t="s">
        <v>199</v>
      </c>
      <c r="P1155" t="s">
        <v>376</v>
      </c>
      <c r="Q1155" t="s">
        <v>207</v>
      </c>
    </row>
    <row r="1156" spans="1:17" x14ac:dyDescent="0.3">
      <c r="A1156" s="25">
        <v>1262</v>
      </c>
      <c r="B1156" t="s">
        <v>193</v>
      </c>
      <c r="C1156" t="s">
        <v>45</v>
      </c>
      <c r="D1156" t="s">
        <v>375</v>
      </c>
      <c r="E1156" s="118">
        <v>4440</v>
      </c>
      <c r="F1156" s="13">
        <v>45928</v>
      </c>
      <c r="G1156" s="24">
        <v>18080.830000000002</v>
      </c>
      <c r="H1156" s="27">
        <v>16968.86</v>
      </c>
      <c r="I1156" s="3">
        <v>45951</v>
      </c>
      <c r="J1156" s="102">
        <v>45957</v>
      </c>
      <c r="K1156" s="12">
        <v>45960</v>
      </c>
      <c r="L1156" s="19" t="s">
        <v>731</v>
      </c>
      <c r="M1156" s="36">
        <v>0</v>
      </c>
      <c r="N1156" s="26"/>
      <c r="O1156" t="s">
        <v>199</v>
      </c>
      <c r="P1156" t="s">
        <v>376</v>
      </c>
      <c r="Q1156" t="s">
        <v>207</v>
      </c>
    </row>
    <row r="1157" spans="1:17" x14ac:dyDescent="0.3">
      <c r="A1157" s="25">
        <v>1262</v>
      </c>
      <c r="B1157" t="s">
        <v>193</v>
      </c>
      <c r="C1157" t="s">
        <v>45</v>
      </c>
      <c r="D1157" t="s">
        <v>375</v>
      </c>
      <c r="E1157" s="118">
        <v>4441</v>
      </c>
      <c r="F1157" s="13">
        <v>45928</v>
      </c>
      <c r="G1157" s="24">
        <v>65393.83</v>
      </c>
      <c r="H1157" s="27">
        <v>61372.11</v>
      </c>
      <c r="I1157" s="3">
        <v>45951</v>
      </c>
      <c r="J1157" s="102">
        <v>45957</v>
      </c>
      <c r="K1157" s="12">
        <v>45960</v>
      </c>
      <c r="L1157" s="19" t="s">
        <v>731</v>
      </c>
      <c r="M1157" s="36">
        <v>0</v>
      </c>
      <c r="N1157" s="26"/>
      <c r="O1157" t="s">
        <v>199</v>
      </c>
      <c r="P1157" t="s">
        <v>376</v>
      </c>
      <c r="Q1157" t="s">
        <v>207</v>
      </c>
    </row>
    <row r="1158" spans="1:17" x14ac:dyDescent="0.3">
      <c r="A1158" s="25">
        <v>1262</v>
      </c>
      <c r="B1158" t="s">
        <v>193</v>
      </c>
      <c r="C1158" t="s">
        <v>45</v>
      </c>
      <c r="D1158" t="s">
        <v>375</v>
      </c>
      <c r="E1158" s="118">
        <v>4443</v>
      </c>
      <c r="F1158" s="13">
        <v>45928</v>
      </c>
      <c r="G1158" s="24">
        <v>7748.93</v>
      </c>
      <c r="H1158" s="27">
        <v>7272.37</v>
      </c>
      <c r="I1158" s="3">
        <v>45951</v>
      </c>
      <c r="J1158" s="102">
        <v>45957</v>
      </c>
      <c r="K1158" s="12">
        <v>45960</v>
      </c>
      <c r="L1158" s="19" t="s">
        <v>731</v>
      </c>
      <c r="M1158" s="36">
        <v>0</v>
      </c>
      <c r="N1158" s="26"/>
      <c r="O1158" t="s">
        <v>199</v>
      </c>
      <c r="P1158" t="s">
        <v>376</v>
      </c>
      <c r="Q1158" t="s">
        <v>207</v>
      </c>
    </row>
    <row r="1159" spans="1:17" x14ac:dyDescent="0.3">
      <c r="A1159" s="9">
        <v>1269</v>
      </c>
      <c r="B1159" t="s">
        <v>193</v>
      </c>
      <c r="C1159" t="s">
        <v>45</v>
      </c>
      <c r="D1159" t="s">
        <v>384</v>
      </c>
      <c r="E1159" s="118">
        <v>4442</v>
      </c>
      <c r="F1159" s="13">
        <v>45928</v>
      </c>
      <c r="G1159" s="24">
        <v>256578.23</v>
      </c>
      <c r="H1159" s="27">
        <v>240798.67</v>
      </c>
      <c r="I1159" s="3">
        <v>45951</v>
      </c>
      <c r="J1159" s="102">
        <v>45957</v>
      </c>
      <c r="K1159" s="12">
        <v>45960</v>
      </c>
      <c r="L1159" s="19" t="s">
        <v>731</v>
      </c>
      <c r="M1159" s="35">
        <v>0</v>
      </c>
      <c r="N1159" s="15"/>
      <c r="O1159" t="s">
        <v>202</v>
      </c>
      <c r="P1159" t="s">
        <v>376</v>
      </c>
      <c r="Q1159" t="s">
        <v>207</v>
      </c>
    </row>
    <row r="1160" spans="1:17" x14ac:dyDescent="0.3">
      <c r="A1160" s="9">
        <v>1269</v>
      </c>
      <c r="B1160" t="s">
        <v>193</v>
      </c>
      <c r="C1160" t="s">
        <v>45</v>
      </c>
      <c r="D1160" t="s">
        <v>384</v>
      </c>
      <c r="E1160" s="118">
        <v>4444</v>
      </c>
      <c r="F1160" s="13">
        <v>45928</v>
      </c>
      <c r="G1160" s="24">
        <v>10876.23</v>
      </c>
      <c r="H1160" s="27">
        <v>10207.34</v>
      </c>
      <c r="I1160" s="3">
        <v>45951</v>
      </c>
      <c r="J1160" s="102">
        <v>45957</v>
      </c>
      <c r="K1160" s="12">
        <v>45960</v>
      </c>
      <c r="L1160" s="19" t="s">
        <v>731</v>
      </c>
      <c r="M1160" s="35">
        <v>0</v>
      </c>
      <c r="N1160" s="15"/>
      <c r="O1160" t="s">
        <v>202</v>
      </c>
      <c r="P1160" t="s">
        <v>376</v>
      </c>
      <c r="Q1160" t="s">
        <v>207</v>
      </c>
    </row>
    <row r="1161" spans="1:17" x14ac:dyDescent="0.3">
      <c r="A1161" s="9">
        <v>1269</v>
      </c>
      <c r="B1161" t="s">
        <v>193</v>
      </c>
      <c r="C1161" t="s">
        <v>45</v>
      </c>
      <c r="D1161" t="s">
        <v>384</v>
      </c>
      <c r="E1161" s="118">
        <v>4445</v>
      </c>
      <c r="F1161" s="13">
        <v>45928</v>
      </c>
      <c r="G1161" s="24">
        <v>6655.99</v>
      </c>
      <c r="H1161" s="27">
        <v>6246.65</v>
      </c>
      <c r="I1161" s="3">
        <v>45951</v>
      </c>
      <c r="J1161" s="102">
        <v>45957</v>
      </c>
      <c r="K1161" s="12">
        <v>45960</v>
      </c>
      <c r="L1161" s="19" t="s">
        <v>731</v>
      </c>
      <c r="M1161" s="35">
        <v>0</v>
      </c>
      <c r="N1161" s="15"/>
      <c r="O1161" t="s">
        <v>202</v>
      </c>
      <c r="P1161" t="s">
        <v>376</v>
      </c>
      <c r="Q1161" t="s">
        <v>207</v>
      </c>
    </row>
    <row r="1162" spans="1:17" x14ac:dyDescent="0.3">
      <c r="A1162" s="9">
        <v>1269</v>
      </c>
      <c r="B1162" t="s">
        <v>193</v>
      </c>
      <c r="C1162" t="s">
        <v>45</v>
      </c>
      <c r="D1162" t="s">
        <v>384</v>
      </c>
      <c r="E1162" s="118">
        <v>4446</v>
      </c>
      <c r="F1162" s="13">
        <v>45928</v>
      </c>
      <c r="G1162" s="24">
        <v>30699.39</v>
      </c>
      <c r="H1162" s="27">
        <v>28811.38</v>
      </c>
      <c r="I1162" s="3">
        <v>45951</v>
      </c>
      <c r="J1162" s="102">
        <v>45957</v>
      </c>
      <c r="K1162" s="12">
        <v>45960</v>
      </c>
      <c r="L1162" s="19" t="s">
        <v>731</v>
      </c>
      <c r="M1162" s="35">
        <v>0</v>
      </c>
      <c r="N1162" s="15"/>
      <c r="O1162" t="s">
        <v>202</v>
      </c>
      <c r="P1162" t="s">
        <v>376</v>
      </c>
      <c r="Q1162" t="s">
        <v>207</v>
      </c>
    </row>
    <row r="1163" spans="1:17" x14ac:dyDescent="0.3">
      <c r="A1163" s="25">
        <v>1400</v>
      </c>
      <c r="B1163" t="s">
        <v>209</v>
      </c>
      <c r="C1163" t="s">
        <v>3</v>
      </c>
      <c r="D1163" t="s">
        <v>530</v>
      </c>
      <c r="E1163" s="118">
        <v>8583</v>
      </c>
      <c r="F1163" s="13">
        <v>45928</v>
      </c>
      <c r="G1163" s="27">
        <v>77751.44</v>
      </c>
      <c r="H1163" s="24">
        <v>70248.429999999993</v>
      </c>
      <c r="I1163" s="3">
        <v>45964</v>
      </c>
      <c r="J1163" s="102">
        <v>45985</v>
      </c>
      <c r="K1163" s="12">
        <v>45988</v>
      </c>
      <c r="L1163" s="19" t="s">
        <v>731</v>
      </c>
      <c r="M1163" s="39"/>
      <c r="N1163"/>
      <c r="O1163" t="s">
        <v>199</v>
      </c>
      <c r="P1163" t="s">
        <v>328</v>
      </c>
      <c r="Q1163" t="s">
        <v>203</v>
      </c>
    </row>
    <row r="1164" spans="1:17" x14ac:dyDescent="0.3">
      <c r="A1164" s="25">
        <v>1400</v>
      </c>
      <c r="B1164" t="s">
        <v>209</v>
      </c>
      <c r="C1164" t="s">
        <v>3</v>
      </c>
      <c r="D1164" t="s">
        <v>530</v>
      </c>
      <c r="E1164" s="118">
        <v>8638</v>
      </c>
      <c r="F1164" s="13">
        <v>45928</v>
      </c>
      <c r="G1164" s="24">
        <v>408831.74</v>
      </c>
      <c r="H1164" s="27">
        <v>369379.47</v>
      </c>
      <c r="I1164" s="3">
        <v>45992</v>
      </c>
      <c r="J1164" s="102">
        <v>45992</v>
      </c>
      <c r="K1164" s="12">
        <v>45995</v>
      </c>
      <c r="L1164" s="19" t="s">
        <v>731</v>
      </c>
      <c r="M1164" s="36"/>
      <c r="N1164"/>
      <c r="O1164" t="s">
        <v>199</v>
      </c>
      <c r="P1164" t="s">
        <v>328</v>
      </c>
      <c r="Q1164" t="s">
        <v>203</v>
      </c>
    </row>
    <row r="1165" spans="1:17" x14ac:dyDescent="0.3">
      <c r="A1165" s="9">
        <v>1501</v>
      </c>
      <c r="B1165" t="s">
        <v>209</v>
      </c>
      <c r="C1165" t="s">
        <v>3</v>
      </c>
      <c r="D1165" t="s">
        <v>186</v>
      </c>
      <c r="E1165" s="118">
        <v>8602</v>
      </c>
      <c r="F1165" s="13">
        <v>45928</v>
      </c>
      <c r="G1165" s="11">
        <v>428751</v>
      </c>
      <c r="H1165" s="11">
        <v>387376.51</v>
      </c>
      <c r="I1165" s="3">
        <v>45972</v>
      </c>
      <c r="J1165" s="102">
        <v>45985</v>
      </c>
      <c r="K1165" s="12">
        <v>45988</v>
      </c>
      <c r="L1165" s="19" t="s">
        <v>731</v>
      </c>
      <c r="M1165" s="35">
        <v>0</v>
      </c>
      <c r="N1165"/>
      <c r="O1165" t="s">
        <v>202</v>
      </c>
      <c r="P1165" t="s">
        <v>328</v>
      </c>
      <c r="Q1165" t="s">
        <v>203</v>
      </c>
    </row>
    <row r="1166" spans="1:17" x14ac:dyDescent="0.3">
      <c r="A1166" s="25">
        <v>1388</v>
      </c>
      <c r="B1166" t="s">
        <v>209</v>
      </c>
      <c r="C1166" t="s">
        <v>3</v>
      </c>
      <c r="D1166" t="s">
        <v>518</v>
      </c>
      <c r="E1166" s="118">
        <v>4489</v>
      </c>
      <c r="F1166" s="13">
        <v>45928</v>
      </c>
      <c r="G1166" s="27">
        <v>205887.45</v>
      </c>
      <c r="H1166" s="24">
        <v>186019.32</v>
      </c>
      <c r="I1166" s="3">
        <v>45964</v>
      </c>
      <c r="J1166" s="102">
        <v>45985</v>
      </c>
      <c r="K1166" s="12">
        <v>45988</v>
      </c>
      <c r="L1166" s="19" t="s">
        <v>731</v>
      </c>
      <c r="M1166" s="36"/>
      <c r="N1166"/>
      <c r="O1166" t="s">
        <v>199</v>
      </c>
      <c r="P1166" t="s">
        <v>328</v>
      </c>
      <c r="Q1166" t="s">
        <v>203</v>
      </c>
    </row>
    <row r="1167" spans="1:17" x14ac:dyDescent="0.3">
      <c r="A1167" s="9">
        <v>1298</v>
      </c>
      <c r="B1167" t="s">
        <v>84</v>
      </c>
      <c r="C1167" t="s">
        <v>36</v>
      </c>
      <c r="D1167" t="s">
        <v>418</v>
      </c>
      <c r="E1167" s="118">
        <v>1304</v>
      </c>
      <c r="F1167" s="13">
        <v>45928</v>
      </c>
      <c r="G1167" s="24">
        <v>279997.09000000003</v>
      </c>
      <c r="H1167" s="27">
        <v>262777.28000000003</v>
      </c>
      <c r="I1167" s="3">
        <v>45946</v>
      </c>
      <c r="J1167" s="102">
        <v>45957</v>
      </c>
      <c r="K1167" s="12">
        <v>45961</v>
      </c>
      <c r="L1167" s="19" t="s">
        <v>731</v>
      </c>
      <c r="M1167" s="35">
        <v>0</v>
      </c>
      <c r="N1167"/>
      <c r="O1167" t="s">
        <v>202</v>
      </c>
      <c r="P1167" t="s">
        <v>340</v>
      </c>
      <c r="Q1167" t="s">
        <v>207</v>
      </c>
    </row>
    <row r="1168" spans="1:17" x14ac:dyDescent="0.3">
      <c r="A1168" s="25">
        <v>1289</v>
      </c>
      <c r="B1168" t="s">
        <v>204</v>
      </c>
      <c r="C1168" t="s">
        <v>32</v>
      </c>
      <c r="D1168" t="s">
        <v>408</v>
      </c>
      <c r="E1168" s="118">
        <v>8565</v>
      </c>
      <c r="F1168" s="13">
        <v>45928</v>
      </c>
      <c r="G1168" s="24">
        <v>288631.78000000003</v>
      </c>
      <c r="H1168" s="24">
        <v>269004.81</v>
      </c>
      <c r="I1168" s="3">
        <v>45945</v>
      </c>
      <c r="J1168" s="102">
        <v>45957</v>
      </c>
      <c r="K1168" s="12">
        <v>45957</v>
      </c>
      <c r="L1168" s="19" t="s">
        <v>731</v>
      </c>
      <c r="M1168" s="36"/>
      <c r="N1168"/>
      <c r="O1168" t="s">
        <v>202</v>
      </c>
      <c r="P1168" t="s">
        <v>340</v>
      </c>
      <c r="Q1168" t="s">
        <v>217</v>
      </c>
    </row>
    <row r="1169" spans="1:17" x14ac:dyDescent="0.3">
      <c r="A1169" s="25">
        <v>1288</v>
      </c>
      <c r="B1169" t="s">
        <v>204</v>
      </c>
      <c r="C1169" t="s">
        <v>32</v>
      </c>
      <c r="D1169" t="s">
        <v>407</v>
      </c>
      <c r="E1169" s="118">
        <v>8575</v>
      </c>
      <c r="F1169" s="13">
        <v>45928</v>
      </c>
      <c r="G1169" s="24">
        <v>393560.01</v>
      </c>
      <c r="H1169" s="24">
        <v>366797.93</v>
      </c>
      <c r="I1169" s="3">
        <v>45953</v>
      </c>
      <c r="J1169" s="104">
        <v>45964</v>
      </c>
      <c r="K1169" s="12">
        <v>45966</v>
      </c>
      <c r="L1169" s="19" t="s">
        <v>731</v>
      </c>
      <c r="M1169" s="58"/>
      <c r="N1169" s="26"/>
      <c r="O1169" t="s">
        <v>199</v>
      </c>
      <c r="P1169" t="s">
        <v>340</v>
      </c>
      <c r="Q1169" t="s">
        <v>217</v>
      </c>
    </row>
    <row r="1170" spans="1:17" x14ac:dyDescent="0.3">
      <c r="A1170" s="25">
        <v>1271</v>
      </c>
      <c r="B1170" t="s">
        <v>204</v>
      </c>
      <c r="C1170" t="s">
        <v>32</v>
      </c>
      <c r="D1170" t="s">
        <v>387</v>
      </c>
      <c r="E1170" s="118">
        <v>8563</v>
      </c>
      <c r="F1170" s="13">
        <v>45928</v>
      </c>
      <c r="G1170" s="24">
        <v>255597.54</v>
      </c>
      <c r="H1170" s="24">
        <v>238216.91</v>
      </c>
      <c r="I1170" s="3">
        <v>45944</v>
      </c>
      <c r="J1170" s="102">
        <v>45957</v>
      </c>
      <c r="K1170" s="12">
        <v>45957</v>
      </c>
      <c r="L1170" s="19" t="s">
        <v>731</v>
      </c>
      <c r="M1170" s="36">
        <v>0</v>
      </c>
      <c r="N1170"/>
      <c r="O1170" t="s">
        <v>202</v>
      </c>
      <c r="P1170" t="s">
        <v>340</v>
      </c>
      <c r="Q1170" t="s">
        <v>217</v>
      </c>
    </row>
    <row r="1171" spans="1:17" x14ac:dyDescent="0.3">
      <c r="A1171" s="9">
        <v>1394</v>
      </c>
      <c r="B1171" t="s">
        <v>210</v>
      </c>
      <c r="C1171" t="s">
        <v>38</v>
      </c>
      <c r="D1171" t="s">
        <v>523</v>
      </c>
      <c r="E1171" s="118">
        <v>8548</v>
      </c>
      <c r="F1171" s="13">
        <v>45928</v>
      </c>
      <c r="G1171" s="24">
        <v>226733.57</v>
      </c>
      <c r="H1171" s="24">
        <v>211315.69</v>
      </c>
      <c r="I1171" s="3">
        <v>45938</v>
      </c>
      <c r="J1171" s="102">
        <v>45950</v>
      </c>
      <c r="K1171" s="5">
        <v>45950</v>
      </c>
      <c r="L1171" s="22" t="s">
        <v>731</v>
      </c>
      <c r="M1171" s="56">
        <v>0</v>
      </c>
      <c r="N1171" s="15"/>
      <c r="O1171" t="s">
        <v>202</v>
      </c>
      <c r="P1171" t="s">
        <v>340</v>
      </c>
      <c r="Q1171" t="s">
        <v>213</v>
      </c>
    </row>
    <row r="1172" spans="1:17" x14ac:dyDescent="0.3">
      <c r="A1172" s="9">
        <v>1394</v>
      </c>
      <c r="B1172" t="s">
        <v>210</v>
      </c>
      <c r="C1172" t="s">
        <v>38</v>
      </c>
      <c r="D1172" t="s">
        <v>523</v>
      </c>
      <c r="E1172" s="118">
        <v>8554</v>
      </c>
      <c r="F1172" s="13">
        <v>45928</v>
      </c>
      <c r="G1172" s="45">
        <v>117291.83</v>
      </c>
      <c r="H1172" s="27">
        <v>109315.98</v>
      </c>
      <c r="I1172" s="3">
        <v>45943</v>
      </c>
      <c r="J1172" s="102">
        <v>45950</v>
      </c>
      <c r="K1172" s="5">
        <v>45951</v>
      </c>
      <c r="L1172" s="22" t="s">
        <v>731</v>
      </c>
      <c r="M1172" s="56">
        <v>0</v>
      </c>
      <c r="N1172" s="15"/>
      <c r="O1172" t="s">
        <v>202</v>
      </c>
      <c r="P1172" t="s">
        <v>340</v>
      </c>
      <c r="Q1172" t="s">
        <v>213</v>
      </c>
    </row>
    <row r="1173" spans="1:17" x14ac:dyDescent="0.3">
      <c r="A1173" s="9">
        <v>1394</v>
      </c>
      <c r="B1173" t="s">
        <v>210</v>
      </c>
      <c r="C1173" t="s">
        <v>38</v>
      </c>
      <c r="D1173" t="s">
        <v>523</v>
      </c>
      <c r="E1173" s="118">
        <v>8561</v>
      </c>
      <c r="F1173" s="13">
        <v>45928</v>
      </c>
      <c r="G1173" s="45">
        <v>13956.1</v>
      </c>
      <c r="H1173" s="24">
        <v>13007.09</v>
      </c>
      <c r="I1173" s="3">
        <v>45944</v>
      </c>
      <c r="J1173" s="102">
        <v>45957</v>
      </c>
      <c r="K1173" s="5">
        <v>45958</v>
      </c>
      <c r="L1173" s="22" t="s">
        <v>731</v>
      </c>
      <c r="M1173" s="56">
        <v>0</v>
      </c>
      <c r="N1173" s="15"/>
      <c r="O1173" t="s">
        <v>202</v>
      </c>
      <c r="P1173" t="s">
        <v>340</v>
      </c>
      <c r="Q1173" t="s">
        <v>213</v>
      </c>
    </row>
    <row r="1174" spans="1:17" x14ac:dyDescent="0.3">
      <c r="A1174" s="9">
        <v>1394</v>
      </c>
      <c r="B1174" t="s">
        <v>210</v>
      </c>
      <c r="C1174" t="s">
        <v>38</v>
      </c>
      <c r="D1174" t="s">
        <v>523</v>
      </c>
      <c r="E1174" s="118">
        <v>8568</v>
      </c>
      <c r="F1174" s="13">
        <v>45928</v>
      </c>
      <c r="G1174" s="45">
        <v>89335</v>
      </c>
      <c r="H1174" s="24">
        <v>83260.22</v>
      </c>
      <c r="I1174" s="3">
        <v>45946</v>
      </c>
      <c r="J1174" s="102">
        <v>45950</v>
      </c>
      <c r="K1174" s="5">
        <v>45952</v>
      </c>
      <c r="L1174" s="22" t="s">
        <v>731</v>
      </c>
      <c r="M1174" s="56">
        <v>0</v>
      </c>
      <c r="N1174" s="15"/>
      <c r="O1174" t="s">
        <v>202</v>
      </c>
      <c r="P1174" t="s">
        <v>340</v>
      </c>
      <c r="Q1174" t="s">
        <v>213</v>
      </c>
    </row>
    <row r="1175" spans="1:17" x14ac:dyDescent="0.3">
      <c r="A1175" s="9">
        <v>1394</v>
      </c>
      <c r="B1175" t="s">
        <v>210</v>
      </c>
      <c r="C1175" t="s">
        <v>38</v>
      </c>
      <c r="D1175" t="s">
        <v>523</v>
      </c>
      <c r="E1175" s="118">
        <v>8569</v>
      </c>
      <c r="F1175" s="13">
        <v>45928</v>
      </c>
      <c r="G1175" s="45">
        <v>297806.21999999997</v>
      </c>
      <c r="H1175" s="24">
        <v>277555.40000000002</v>
      </c>
      <c r="I1175" s="3">
        <v>45946</v>
      </c>
      <c r="J1175" s="102">
        <v>45957</v>
      </c>
      <c r="K1175" s="5">
        <v>45958</v>
      </c>
      <c r="L1175" s="22" t="s">
        <v>731</v>
      </c>
      <c r="M1175" s="56">
        <v>0</v>
      </c>
      <c r="N1175" s="15"/>
      <c r="O1175" t="s">
        <v>202</v>
      </c>
      <c r="P1175" t="s">
        <v>340</v>
      </c>
      <c r="Q1175" t="s">
        <v>213</v>
      </c>
    </row>
    <row r="1176" spans="1:17" x14ac:dyDescent="0.3">
      <c r="A1176" s="9">
        <v>1394</v>
      </c>
      <c r="B1176" t="s">
        <v>210</v>
      </c>
      <c r="C1176" t="s">
        <v>38</v>
      </c>
      <c r="D1176" t="s">
        <v>523</v>
      </c>
      <c r="E1176" s="118">
        <v>8570</v>
      </c>
      <c r="F1176" s="13">
        <v>45928</v>
      </c>
      <c r="G1176" s="45">
        <v>97752.15</v>
      </c>
      <c r="H1176" s="24">
        <v>91105.01</v>
      </c>
      <c r="I1176" s="3">
        <v>45946</v>
      </c>
      <c r="J1176" s="102">
        <v>45950</v>
      </c>
      <c r="K1176" s="5">
        <v>45954</v>
      </c>
      <c r="L1176" s="22" t="s">
        <v>731</v>
      </c>
      <c r="M1176" s="56">
        <v>0</v>
      </c>
      <c r="N1176" s="15"/>
      <c r="O1176" t="s">
        <v>202</v>
      </c>
      <c r="P1176" t="s">
        <v>340</v>
      </c>
      <c r="Q1176" t="s">
        <v>213</v>
      </c>
    </row>
    <row r="1177" spans="1:17" x14ac:dyDescent="0.3">
      <c r="A1177" s="9">
        <v>1394</v>
      </c>
      <c r="B1177" t="s">
        <v>210</v>
      </c>
      <c r="C1177" t="s">
        <v>38</v>
      </c>
      <c r="D1177" t="s">
        <v>523</v>
      </c>
      <c r="E1177" s="118">
        <v>8572</v>
      </c>
      <c r="F1177" s="13">
        <v>45928</v>
      </c>
      <c r="G1177" s="45">
        <v>195140.88</v>
      </c>
      <c r="H1177" s="24">
        <v>181871.3</v>
      </c>
      <c r="I1177" s="3">
        <v>45950</v>
      </c>
      <c r="J1177" s="102">
        <v>45950</v>
      </c>
      <c r="K1177" s="5">
        <v>45954</v>
      </c>
      <c r="L1177" s="22" t="s">
        <v>731</v>
      </c>
      <c r="M1177" s="56">
        <v>0</v>
      </c>
      <c r="N1177" s="15"/>
      <c r="O1177" t="s">
        <v>202</v>
      </c>
      <c r="P1177" t="s">
        <v>340</v>
      </c>
      <c r="Q1177" t="s">
        <v>213</v>
      </c>
    </row>
    <row r="1178" spans="1:17" x14ac:dyDescent="0.3">
      <c r="A1178" s="9">
        <v>1394</v>
      </c>
      <c r="B1178" t="s">
        <v>210</v>
      </c>
      <c r="C1178" t="s">
        <v>38</v>
      </c>
      <c r="D1178" t="s">
        <v>523</v>
      </c>
      <c r="E1178" s="118">
        <v>8576</v>
      </c>
      <c r="F1178" s="13">
        <v>45928</v>
      </c>
      <c r="G1178" s="24">
        <v>133850.94</v>
      </c>
      <c r="H1178" s="24">
        <v>124749.07</v>
      </c>
      <c r="I1178" s="3">
        <v>45959</v>
      </c>
      <c r="J1178" s="102">
        <v>45964</v>
      </c>
      <c r="K1178" s="5">
        <v>45968</v>
      </c>
      <c r="L1178" s="22" t="s">
        <v>731</v>
      </c>
      <c r="M1178" s="56"/>
      <c r="N1178" s="15"/>
      <c r="O1178" t="s">
        <v>202</v>
      </c>
      <c r="P1178" t="s">
        <v>340</v>
      </c>
      <c r="Q1178" t="s">
        <v>213</v>
      </c>
    </row>
    <row r="1179" spans="1:17" x14ac:dyDescent="0.3">
      <c r="A1179" s="25">
        <v>1500</v>
      </c>
      <c r="B1179" t="s">
        <v>71</v>
      </c>
      <c r="C1179" t="s">
        <v>44</v>
      </c>
      <c r="D1179" t="s">
        <v>651</v>
      </c>
      <c r="E1179" s="118">
        <v>4359</v>
      </c>
      <c r="F1179" s="13">
        <v>45928</v>
      </c>
      <c r="G1179" s="24">
        <v>43479.040000000001</v>
      </c>
      <c r="H1179" s="24">
        <v>40805.07</v>
      </c>
      <c r="I1179" s="3">
        <v>45915</v>
      </c>
      <c r="J1179" s="102">
        <v>45931</v>
      </c>
      <c r="K1179" s="12">
        <v>45933</v>
      </c>
      <c r="L1179" s="19" t="s">
        <v>731</v>
      </c>
      <c r="M1179" s="36"/>
      <c r="N1179"/>
      <c r="O1179" t="s">
        <v>201</v>
      </c>
      <c r="P1179" t="s">
        <v>376</v>
      </c>
      <c r="Q1179" t="s">
        <v>203</v>
      </c>
    </row>
    <row r="1180" spans="1:17" x14ac:dyDescent="0.3">
      <c r="A1180" s="25">
        <v>1360</v>
      </c>
      <c r="B1180" t="s">
        <v>71</v>
      </c>
      <c r="C1180" t="s">
        <v>44</v>
      </c>
      <c r="D1180" t="s">
        <v>483</v>
      </c>
      <c r="E1180" s="118">
        <v>4343</v>
      </c>
      <c r="F1180" s="13">
        <v>45928</v>
      </c>
      <c r="G1180" s="24">
        <v>29534</v>
      </c>
      <c r="H1180" s="24">
        <v>27717.66</v>
      </c>
      <c r="I1180" s="3">
        <v>45912</v>
      </c>
      <c r="J1180" s="102">
        <v>45931</v>
      </c>
      <c r="K1180" s="12">
        <v>45933</v>
      </c>
      <c r="L1180" s="19" t="s">
        <v>731</v>
      </c>
      <c r="M1180" s="36"/>
      <c r="N1180"/>
      <c r="O1180" t="s">
        <v>199</v>
      </c>
      <c r="P1180" t="s">
        <v>376</v>
      </c>
      <c r="Q1180" t="s">
        <v>203</v>
      </c>
    </row>
    <row r="1181" spans="1:17" x14ac:dyDescent="0.3">
      <c r="A1181" s="25">
        <v>1360</v>
      </c>
      <c r="B1181" t="s">
        <v>71</v>
      </c>
      <c r="C1181" t="s">
        <v>44</v>
      </c>
      <c r="D1181" t="s">
        <v>483</v>
      </c>
      <c r="E1181" s="118">
        <v>4345</v>
      </c>
      <c r="F1181" s="13">
        <v>45928</v>
      </c>
      <c r="G1181" s="24">
        <v>18460.400000000001</v>
      </c>
      <c r="H1181" s="24">
        <v>17325.09</v>
      </c>
      <c r="I1181" s="3">
        <v>45912</v>
      </c>
      <c r="J1181" s="102">
        <v>45931</v>
      </c>
      <c r="K1181" s="12">
        <v>45933</v>
      </c>
      <c r="L1181" s="19" t="s">
        <v>731</v>
      </c>
      <c r="M1181" s="36"/>
      <c r="N1181"/>
      <c r="O1181" t="s">
        <v>199</v>
      </c>
      <c r="P1181" t="s">
        <v>376</v>
      </c>
      <c r="Q1181" t="s">
        <v>203</v>
      </c>
    </row>
    <row r="1182" spans="1:17" x14ac:dyDescent="0.3">
      <c r="A1182" s="25">
        <v>1360</v>
      </c>
      <c r="B1182" t="s">
        <v>71</v>
      </c>
      <c r="C1182" t="s">
        <v>44</v>
      </c>
      <c r="D1182" t="s">
        <v>483</v>
      </c>
      <c r="E1182" s="118">
        <v>4346</v>
      </c>
      <c r="F1182" s="13">
        <v>45928</v>
      </c>
      <c r="G1182" s="24">
        <v>43024.959999999999</v>
      </c>
      <c r="H1182" s="24">
        <v>40378.93</v>
      </c>
      <c r="I1182" s="3">
        <v>45912</v>
      </c>
      <c r="J1182" s="102">
        <v>45931</v>
      </c>
      <c r="K1182" s="12">
        <v>45933</v>
      </c>
      <c r="L1182" s="19" t="s">
        <v>731</v>
      </c>
      <c r="M1182" s="36"/>
      <c r="N1182"/>
      <c r="O1182" t="s">
        <v>199</v>
      </c>
      <c r="P1182" t="s">
        <v>376</v>
      </c>
      <c r="Q1182" t="s">
        <v>203</v>
      </c>
    </row>
    <row r="1183" spans="1:17" x14ac:dyDescent="0.3">
      <c r="A1183" s="25">
        <v>1360</v>
      </c>
      <c r="B1183" t="s">
        <v>71</v>
      </c>
      <c r="C1183" t="s">
        <v>44</v>
      </c>
      <c r="D1183" t="s">
        <v>483</v>
      </c>
      <c r="E1183" s="118">
        <v>4348</v>
      </c>
      <c r="F1183" s="13">
        <v>45928</v>
      </c>
      <c r="G1183" s="24">
        <v>74687.679999999993</v>
      </c>
      <c r="H1183" s="24">
        <v>70094.38</v>
      </c>
      <c r="I1183" s="3">
        <v>45912</v>
      </c>
      <c r="J1183" s="102">
        <v>45931</v>
      </c>
      <c r="K1183" s="12">
        <v>45933</v>
      </c>
      <c r="L1183" s="19" t="s">
        <v>731</v>
      </c>
      <c r="M1183" s="36"/>
      <c r="N1183"/>
      <c r="O1183" t="s">
        <v>199</v>
      </c>
      <c r="P1183" t="s">
        <v>376</v>
      </c>
      <c r="Q1183" t="s">
        <v>203</v>
      </c>
    </row>
    <row r="1184" spans="1:17" x14ac:dyDescent="0.3">
      <c r="A1184" s="25">
        <v>1360</v>
      </c>
      <c r="B1184" t="s">
        <v>71</v>
      </c>
      <c r="C1184" t="s">
        <v>44</v>
      </c>
      <c r="D1184" t="s">
        <v>483</v>
      </c>
      <c r="E1184" s="118">
        <v>4349</v>
      </c>
      <c r="F1184" s="13">
        <v>45928</v>
      </c>
      <c r="G1184" s="24">
        <v>42320</v>
      </c>
      <c r="H1184" s="24">
        <v>39717.32</v>
      </c>
      <c r="I1184" s="3">
        <v>45912</v>
      </c>
      <c r="J1184" s="102">
        <v>45931</v>
      </c>
      <c r="K1184" s="12">
        <v>45933</v>
      </c>
      <c r="L1184" s="19" t="s">
        <v>731</v>
      </c>
      <c r="M1184" s="36"/>
      <c r="N1184"/>
      <c r="O1184" t="s">
        <v>199</v>
      </c>
      <c r="P1184" t="s">
        <v>376</v>
      </c>
      <c r="Q1184" t="s">
        <v>203</v>
      </c>
    </row>
    <row r="1185" spans="1:17" x14ac:dyDescent="0.3">
      <c r="A1185" s="25">
        <v>1360</v>
      </c>
      <c r="B1185" t="s">
        <v>71</v>
      </c>
      <c r="C1185" t="s">
        <v>44</v>
      </c>
      <c r="D1185" t="s">
        <v>483</v>
      </c>
      <c r="E1185" s="118">
        <v>4350</v>
      </c>
      <c r="F1185" s="13">
        <v>45928</v>
      </c>
      <c r="G1185" s="24">
        <v>152900.16</v>
      </c>
      <c r="H1185" s="24">
        <v>143496.81</v>
      </c>
      <c r="I1185" s="3">
        <v>45912</v>
      </c>
      <c r="J1185" s="102">
        <v>45931</v>
      </c>
      <c r="K1185" s="12">
        <v>45933</v>
      </c>
      <c r="L1185" s="19" t="s">
        <v>731</v>
      </c>
      <c r="M1185" s="36"/>
      <c r="N1185"/>
      <c r="O1185" t="s">
        <v>199</v>
      </c>
      <c r="P1185" t="s">
        <v>376</v>
      </c>
      <c r="Q1185" t="s">
        <v>203</v>
      </c>
    </row>
    <row r="1186" spans="1:17" ht="15" customHeight="1" x14ac:dyDescent="0.3">
      <c r="A1186" s="25">
        <v>1360</v>
      </c>
      <c r="B1186" t="s">
        <v>71</v>
      </c>
      <c r="C1186" t="s">
        <v>44</v>
      </c>
      <c r="D1186" t="s">
        <v>483</v>
      </c>
      <c r="E1186" s="118">
        <v>4352</v>
      </c>
      <c r="F1186" s="13">
        <v>45928</v>
      </c>
      <c r="G1186" s="24">
        <v>72274.399999999994</v>
      </c>
      <c r="H1186" s="24">
        <v>67829.53</v>
      </c>
      <c r="I1186" s="3">
        <v>45912</v>
      </c>
      <c r="J1186" s="102">
        <v>45931</v>
      </c>
      <c r="K1186" s="12">
        <v>45933</v>
      </c>
      <c r="L1186" s="19" t="s">
        <v>731</v>
      </c>
      <c r="M1186" s="36"/>
      <c r="N1186"/>
      <c r="O1186" t="s">
        <v>199</v>
      </c>
      <c r="P1186" t="s">
        <v>376</v>
      </c>
      <c r="Q1186" t="s">
        <v>203</v>
      </c>
    </row>
    <row r="1187" spans="1:17" x14ac:dyDescent="0.3">
      <c r="A1187" s="25">
        <v>1360</v>
      </c>
      <c r="B1187" t="s">
        <v>71</v>
      </c>
      <c r="C1187" t="s">
        <v>44</v>
      </c>
      <c r="D1187" t="s">
        <v>483</v>
      </c>
      <c r="E1187" s="118">
        <v>4357</v>
      </c>
      <c r="F1187" s="13">
        <v>45928</v>
      </c>
      <c r="G1187" s="24">
        <v>19371.599999999999</v>
      </c>
      <c r="H1187" s="24">
        <v>18180.240000000002</v>
      </c>
      <c r="I1187" s="3">
        <v>45915</v>
      </c>
      <c r="J1187" s="102">
        <v>45931</v>
      </c>
      <c r="K1187" s="12">
        <v>45933</v>
      </c>
      <c r="L1187" s="19" t="s">
        <v>731</v>
      </c>
      <c r="M1187" s="36"/>
      <c r="N1187"/>
      <c r="O1187" t="s">
        <v>199</v>
      </c>
      <c r="P1187" t="s">
        <v>376</v>
      </c>
      <c r="Q1187" t="s">
        <v>203</v>
      </c>
    </row>
    <row r="1188" spans="1:17" x14ac:dyDescent="0.3">
      <c r="A1188" s="25">
        <v>1360</v>
      </c>
      <c r="B1188" t="s">
        <v>71</v>
      </c>
      <c r="C1188" t="s">
        <v>44</v>
      </c>
      <c r="D1188" t="s">
        <v>483</v>
      </c>
      <c r="E1188" s="118">
        <v>4358</v>
      </c>
      <c r="F1188" s="13">
        <v>45928</v>
      </c>
      <c r="G1188" s="24">
        <v>19668</v>
      </c>
      <c r="H1188" s="24">
        <v>18458.419999999998</v>
      </c>
      <c r="I1188" s="3">
        <v>45915</v>
      </c>
      <c r="J1188" s="102">
        <v>45931</v>
      </c>
      <c r="K1188" s="12">
        <v>45933</v>
      </c>
      <c r="L1188" s="19" t="s">
        <v>731</v>
      </c>
      <c r="M1188" s="36"/>
      <c r="N1188"/>
      <c r="O1188" t="s">
        <v>199</v>
      </c>
      <c r="P1188" t="s">
        <v>376</v>
      </c>
      <c r="Q1188" t="s">
        <v>203</v>
      </c>
    </row>
    <row r="1189" spans="1:17" x14ac:dyDescent="0.3">
      <c r="A1189" s="25">
        <v>1360</v>
      </c>
      <c r="B1189" t="s">
        <v>71</v>
      </c>
      <c r="C1189" t="s">
        <v>44</v>
      </c>
      <c r="D1189" t="s">
        <v>483</v>
      </c>
      <c r="E1189" s="118">
        <v>4360</v>
      </c>
      <c r="F1189" s="13">
        <v>45928</v>
      </c>
      <c r="G1189" s="24">
        <v>33968</v>
      </c>
      <c r="H1189" s="24">
        <v>31878.97</v>
      </c>
      <c r="I1189" s="3">
        <v>45915</v>
      </c>
      <c r="J1189" s="102">
        <v>45931</v>
      </c>
      <c r="K1189" s="12">
        <v>45933</v>
      </c>
      <c r="L1189" s="19" t="s">
        <v>731</v>
      </c>
      <c r="M1189" s="36"/>
      <c r="N1189"/>
      <c r="O1189" t="s">
        <v>199</v>
      </c>
      <c r="P1189" t="s">
        <v>376</v>
      </c>
      <c r="Q1189" t="s">
        <v>203</v>
      </c>
    </row>
    <row r="1190" spans="1:17" x14ac:dyDescent="0.3">
      <c r="A1190" s="25">
        <v>1360</v>
      </c>
      <c r="B1190" t="s">
        <v>71</v>
      </c>
      <c r="C1190" t="s">
        <v>44</v>
      </c>
      <c r="D1190" t="s">
        <v>483</v>
      </c>
      <c r="E1190" s="118">
        <v>4362</v>
      </c>
      <c r="F1190" s="13">
        <v>45928</v>
      </c>
      <c r="G1190" s="24">
        <v>36757.599999999999</v>
      </c>
      <c r="H1190" s="24">
        <v>34497.01</v>
      </c>
      <c r="I1190" s="3">
        <v>45916</v>
      </c>
      <c r="J1190" s="102">
        <v>45931</v>
      </c>
      <c r="K1190" s="12">
        <v>45933</v>
      </c>
      <c r="L1190" s="19" t="s">
        <v>731</v>
      </c>
      <c r="M1190" s="36"/>
      <c r="N1190"/>
      <c r="O1190" t="s">
        <v>199</v>
      </c>
      <c r="P1190" t="s">
        <v>376</v>
      </c>
      <c r="Q1190" t="s">
        <v>203</v>
      </c>
    </row>
    <row r="1191" spans="1:17" x14ac:dyDescent="0.3">
      <c r="A1191" s="25">
        <v>1360</v>
      </c>
      <c r="B1191" t="s">
        <v>71</v>
      </c>
      <c r="C1191" t="s">
        <v>44</v>
      </c>
      <c r="D1191" t="s">
        <v>483</v>
      </c>
      <c r="E1191" s="118">
        <v>4363</v>
      </c>
      <c r="F1191" s="13">
        <v>45928</v>
      </c>
      <c r="G1191" s="24">
        <v>41106.559999999998</v>
      </c>
      <c r="H1191" s="24">
        <v>38578.5</v>
      </c>
      <c r="I1191" s="3">
        <v>45916</v>
      </c>
      <c r="J1191" s="102">
        <v>45931</v>
      </c>
      <c r="K1191" s="12">
        <v>45933</v>
      </c>
      <c r="L1191" s="19" t="s">
        <v>731</v>
      </c>
      <c r="M1191" s="36"/>
      <c r="N1191"/>
      <c r="O1191" t="s">
        <v>199</v>
      </c>
      <c r="P1191" t="s">
        <v>376</v>
      </c>
      <c r="Q1191" t="s">
        <v>203</v>
      </c>
    </row>
    <row r="1192" spans="1:17" x14ac:dyDescent="0.3">
      <c r="A1192" s="25">
        <v>1360</v>
      </c>
      <c r="B1192" t="s">
        <v>71</v>
      </c>
      <c r="C1192" t="s">
        <v>44</v>
      </c>
      <c r="D1192" t="s">
        <v>483</v>
      </c>
      <c r="E1192" s="118">
        <v>4374</v>
      </c>
      <c r="F1192" s="13">
        <v>45928</v>
      </c>
      <c r="G1192" s="24">
        <v>39835.599999999999</v>
      </c>
      <c r="H1192" s="24">
        <v>37385.71</v>
      </c>
      <c r="I1192" s="3">
        <v>45924</v>
      </c>
      <c r="J1192" s="102">
        <v>45936</v>
      </c>
      <c r="K1192" s="12">
        <v>45937</v>
      </c>
      <c r="L1192" s="19" t="s">
        <v>731</v>
      </c>
      <c r="M1192" s="36"/>
      <c r="N1192"/>
      <c r="O1192" t="s">
        <v>199</v>
      </c>
      <c r="P1192" t="s">
        <v>376</v>
      </c>
      <c r="Q1192" t="s">
        <v>203</v>
      </c>
    </row>
    <row r="1193" spans="1:17" x14ac:dyDescent="0.3">
      <c r="A1193" s="25">
        <v>1360</v>
      </c>
      <c r="B1193" t="s">
        <v>71</v>
      </c>
      <c r="C1193" t="s">
        <v>44</v>
      </c>
      <c r="D1193" t="s">
        <v>483</v>
      </c>
      <c r="E1193" s="118">
        <v>4375</v>
      </c>
      <c r="F1193" s="13">
        <v>45928</v>
      </c>
      <c r="G1193" s="24">
        <v>33968</v>
      </c>
      <c r="H1193" s="24">
        <v>31878.97</v>
      </c>
      <c r="I1193" s="3">
        <v>45924</v>
      </c>
      <c r="J1193" s="102">
        <v>45936</v>
      </c>
      <c r="K1193" s="12">
        <v>45937</v>
      </c>
      <c r="L1193" s="19" t="s">
        <v>731</v>
      </c>
      <c r="M1193" s="36"/>
      <c r="N1193"/>
      <c r="O1193" t="s">
        <v>199</v>
      </c>
      <c r="P1193" t="s">
        <v>376</v>
      </c>
      <c r="Q1193" t="s">
        <v>203</v>
      </c>
    </row>
    <row r="1194" spans="1:17" x14ac:dyDescent="0.3">
      <c r="A1194" s="25">
        <v>1360</v>
      </c>
      <c r="B1194" t="s">
        <v>71</v>
      </c>
      <c r="C1194" t="s">
        <v>44</v>
      </c>
      <c r="D1194" t="s">
        <v>483</v>
      </c>
      <c r="E1194" s="118">
        <v>4376</v>
      </c>
      <c r="F1194" s="13">
        <v>45928</v>
      </c>
      <c r="G1194" s="24">
        <v>33968</v>
      </c>
      <c r="H1194" s="24">
        <v>31878.97</v>
      </c>
      <c r="I1194" s="3">
        <v>45924</v>
      </c>
      <c r="J1194" s="102">
        <v>45936</v>
      </c>
      <c r="K1194" s="12">
        <v>45937</v>
      </c>
      <c r="L1194" s="19" t="s">
        <v>731</v>
      </c>
      <c r="M1194" s="36"/>
      <c r="N1194"/>
      <c r="O1194" t="s">
        <v>199</v>
      </c>
      <c r="P1194" t="s">
        <v>376</v>
      </c>
      <c r="Q1194" t="s">
        <v>203</v>
      </c>
    </row>
    <row r="1195" spans="1:17" x14ac:dyDescent="0.3">
      <c r="A1195" s="25">
        <v>1360</v>
      </c>
      <c r="B1195" t="s">
        <v>71</v>
      </c>
      <c r="C1195" t="s">
        <v>44</v>
      </c>
      <c r="D1195" t="s">
        <v>483</v>
      </c>
      <c r="E1195" s="118">
        <v>4380</v>
      </c>
      <c r="F1195" s="13">
        <v>45928</v>
      </c>
      <c r="G1195" s="24">
        <v>36125</v>
      </c>
      <c r="H1195" s="24">
        <v>33903.31</v>
      </c>
      <c r="I1195" s="3">
        <v>45929</v>
      </c>
      <c r="J1195" s="102">
        <v>45936</v>
      </c>
      <c r="K1195" s="12">
        <v>45937</v>
      </c>
      <c r="L1195" s="19" t="s">
        <v>731</v>
      </c>
      <c r="M1195" s="36"/>
      <c r="N1195"/>
      <c r="O1195" t="s">
        <v>199</v>
      </c>
      <c r="P1195" t="s">
        <v>376</v>
      </c>
      <c r="Q1195" t="s">
        <v>203</v>
      </c>
    </row>
    <row r="1196" spans="1:17" x14ac:dyDescent="0.3">
      <c r="A1196" s="25">
        <v>1360</v>
      </c>
      <c r="B1196" t="s">
        <v>71</v>
      </c>
      <c r="C1196" t="s">
        <v>44</v>
      </c>
      <c r="D1196" t="s">
        <v>483</v>
      </c>
      <c r="E1196" s="118">
        <v>4385</v>
      </c>
      <c r="F1196" s="13">
        <v>45928</v>
      </c>
      <c r="G1196" s="27">
        <v>56289.52</v>
      </c>
      <c r="H1196" s="24">
        <v>52827.71</v>
      </c>
      <c r="I1196" s="3">
        <v>45931</v>
      </c>
      <c r="J1196" s="102">
        <v>45936</v>
      </c>
      <c r="K1196" s="12">
        <v>45937</v>
      </c>
      <c r="L1196" s="19" t="s">
        <v>731</v>
      </c>
      <c r="M1196" s="36"/>
      <c r="N1196"/>
      <c r="O1196" t="s">
        <v>199</v>
      </c>
      <c r="P1196" t="s">
        <v>376</v>
      </c>
      <c r="Q1196" t="s">
        <v>203</v>
      </c>
    </row>
    <row r="1197" spans="1:17" x14ac:dyDescent="0.3">
      <c r="A1197" s="25">
        <v>1360</v>
      </c>
      <c r="B1197" t="s">
        <v>71</v>
      </c>
      <c r="C1197" t="s">
        <v>44</v>
      </c>
      <c r="D1197" t="s">
        <v>483</v>
      </c>
      <c r="E1197" s="118">
        <v>4451</v>
      </c>
      <c r="F1197" s="13">
        <v>45928</v>
      </c>
      <c r="G1197" s="27">
        <v>87403.66</v>
      </c>
      <c r="H1197" s="27">
        <v>82028.34</v>
      </c>
      <c r="I1197" s="3">
        <v>45952</v>
      </c>
      <c r="J1197" s="102">
        <v>45985</v>
      </c>
      <c r="K1197" s="12">
        <v>45987</v>
      </c>
      <c r="L1197" s="19" t="s">
        <v>731</v>
      </c>
      <c r="M1197" s="36"/>
      <c r="N1197"/>
      <c r="O1197" t="s">
        <v>199</v>
      </c>
      <c r="P1197" t="s">
        <v>376</v>
      </c>
      <c r="Q1197" t="s">
        <v>203</v>
      </c>
    </row>
    <row r="1198" spans="1:17" x14ac:dyDescent="0.3">
      <c r="A1198" s="25">
        <v>1387</v>
      </c>
      <c r="B1198" t="s">
        <v>71</v>
      </c>
      <c r="C1198" t="s">
        <v>44</v>
      </c>
      <c r="D1198" t="s">
        <v>517</v>
      </c>
      <c r="E1198" s="118">
        <v>4342</v>
      </c>
      <c r="F1198" s="13">
        <v>45928</v>
      </c>
      <c r="G1198" s="24">
        <v>29742.240000000002</v>
      </c>
      <c r="H1198" s="27">
        <v>27913.1</v>
      </c>
      <c r="I1198" s="3">
        <v>45912</v>
      </c>
      <c r="J1198" s="102">
        <v>45931</v>
      </c>
      <c r="K1198" s="12">
        <v>45933</v>
      </c>
      <c r="L1198" s="19" t="s">
        <v>731</v>
      </c>
      <c r="M1198" s="36"/>
      <c r="N1198"/>
      <c r="O1198" t="s">
        <v>202</v>
      </c>
      <c r="P1198" t="s">
        <v>376</v>
      </c>
      <c r="Q1198" t="s">
        <v>203</v>
      </c>
    </row>
    <row r="1199" spans="1:17" x14ac:dyDescent="0.3">
      <c r="A1199" s="25">
        <v>1387</v>
      </c>
      <c r="B1199" t="s">
        <v>71</v>
      </c>
      <c r="C1199" t="s">
        <v>44</v>
      </c>
      <c r="D1199" t="s">
        <v>517</v>
      </c>
      <c r="E1199" s="118">
        <v>4344</v>
      </c>
      <c r="F1199" s="13">
        <v>45928</v>
      </c>
      <c r="G1199" s="24">
        <v>82559.839999999997</v>
      </c>
      <c r="H1199" s="27">
        <v>77482.399999999994</v>
      </c>
      <c r="I1199" s="3">
        <v>45912</v>
      </c>
      <c r="J1199" s="102">
        <v>45931</v>
      </c>
      <c r="K1199" s="12">
        <v>45933</v>
      </c>
      <c r="L1199" s="19" t="s">
        <v>731</v>
      </c>
      <c r="M1199" s="36"/>
      <c r="N1199"/>
      <c r="O1199" t="s">
        <v>202</v>
      </c>
      <c r="P1199" t="s">
        <v>376</v>
      </c>
      <c r="Q1199" t="s">
        <v>203</v>
      </c>
    </row>
    <row r="1200" spans="1:17" x14ac:dyDescent="0.3">
      <c r="A1200" s="25">
        <v>1387</v>
      </c>
      <c r="B1200" t="s">
        <v>71</v>
      </c>
      <c r="C1200" t="s">
        <v>44</v>
      </c>
      <c r="D1200" t="s">
        <v>517</v>
      </c>
      <c r="E1200" s="118">
        <v>4351</v>
      </c>
      <c r="F1200" s="13">
        <v>45928</v>
      </c>
      <c r="G1200" s="24">
        <v>35516.800000000003</v>
      </c>
      <c r="H1200" s="27">
        <v>33332.51</v>
      </c>
      <c r="I1200" s="3">
        <v>45912</v>
      </c>
      <c r="J1200" s="102">
        <v>45931</v>
      </c>
      <c r="K1200" s="12">
        <v>45933</v>
      </c>
      <c r="L1200" s="19" t="s">
        <v>731</v>
      </c>
      <c r="M1200" s="36"/>
      <c r="N1200"/>
      <c r="O1200" t="s">
        <v>202</v>
      </c>
      <c r="P1200" t="s">
        <v>376</v>
      </c>
      <c r="Q1200" t="s">
        <v>203</v>
      </c>
    </row>
    <row r="1201" spans="1:17" x14ac:dyDescent="0.3">
      <c r="A1201" s="25">
        <v>1470</v>
      </c>
      <c r="B1201" t="s">
        <v>215</v>
      </c>
      <c r="C1201" t="s">
        <v>175</v>
      </c>
      <c r="D1201" t="s">
        <v>620</v>
      </c>
      <c r="E1201" s="118">
        <v>8535</v>
      </c>
      <c r="F1201" s="13">
        <v>45928</v>
      </c>
      <c r="G1201" s="24">
        <v>36700</v>
      </c>
      <c r="H1201" s="27">
        <v>33708.949999999997</v>
      </c>
      <c r="I1201" s="3">
        <v>45932</v>
      </c>
      <c r="J1201" s="102">
        <v>45957</v>
      </c>
      <c r="K1201" s="12">
        <v>45961</v>
      </c>
      <c r="L1201" s="19" t="s">
        <v>731</v>
      </c>
      <c r="M1201" s="36">
        <v>0</v>
      </c>
      <c r="N1201" s="26"/>
      <c r="O1201" t="s">
        <v>202</v>
      </c>
      <c r="P1201" t="s">
        <v>373</v>
      </c>
      <c r="Q1201" t="s">
        <v>213</v>
      </c>
    </row>
    <row r="1202" spans="1:17" x14ac:dyDescent="0.3">
      <c r="A1202" s="25">
        <v>1273</v>
      </c>
      <c r="B1202" t="s">
        <v>204</v>
      </c>
      <c r="C1202" t="s">
        <v>39</v>
      </c>
      <c r="D1202" t="s">
        <v>389</v>
      </c>
      <c r="E1202" s="118">
        <v>1306</v>
      </c>
      <c r="F1202" s="13">
        <v>45928</v>
      </c>
      <c r="G1202" s="2">
        <v>573770.1</v>
      </c>
      <c r="H1202" s="27">
        <v>514671.79</v>
      </c>
      <c r="I1202" s="3">
        <v>45947</v>
      </c>
      <c r="J1202" s="102">
        <v>45971</v>
      </c>
      <c r="K1202" s="12">
        <v>45972</v>
      </c>
      <c r="L1202" s="19" t="s">
        <v>731</v>
      </c>
      <c r="M1202" s="36">
        <v>0</v>
      </c>
      <c r="N1202"/>
      <c r="O1202" t="s">
        <v>202</v>
      </c>
      <c r="P1202" t="s">
        <v>340</v>
      </c>
      <c r="Q1202" t="s">
        <v>217</v>
      </c>
    </row>
    <row r="1203" spans="1:17" x14ac:dyDescent="0.3">
      <c r="A1203" s="25">
        <v>1277</v>
      </c>
      <c r="B1203" t="s">
        <v>204</v>
      </c>
      <c r="C1203" t="s">
        <v>39</v>
      </c>
      <c r="D1203" t="s">
        <v>393</v>
      </c>
      <c r="E1203" s="118">
        <v>8661</v>
      </c>
      <c r="F1203" s="13">
        <v>45928</v>
      </c>
      <c r="G1203" s="27">
        <v>162394.43</v>
      </c>
      <c r="H1203" s="24">
        <v>145667.79999999999</v>
      </c>
      <c r="I1203" s="3">
        <v>45996</v>
      </c>
      <c r="J1203" s="102">
        <v>46006</v>
      </c>
      <c r="K1203" s="12">
        <v>46007</v>
      </c>
      <c r="L1203" s="19" t="s">
        <v>731</v>
      </c>
      <c r="M1203" s="36"/>
      <c r="N1203"/>
      <c r="O1203" t="s">
        <v>202</v>
      </c>
      <c r="P1203" t="s">
        <v>340</v>
      </c>
      <c r="Q1203" t="s">
        <v>217</v>
      </c>
    </row>
    <row r="1204" spans="1:17" x14ac:dyDescent="0.3">
      <c r="A1204" s="25">
        <v>1268</v>
      </c>
      <c r="B1204" t="s">
        <v>193</v>
      </c>
      <c r="C1204" t="s">
        <v>141</v>
      </c>
      <c r="D1204" t="s">
        <v>383</v>
      </c>
      <c r="E1204" s="118">
        <v>4421</v>
      </c>
      <c r="F1204" s="13">
        <v>45928</v>
      </c>
      <c r="G1204" s="45">
        <v>38711.199999999997</v>
      </c>
      <c r="H1204" s="27">
        <v>36330.46</v>
      </c>
      <c r="I1204" s="3">
        <v>45943</v>
      </c>
      <c r="J1204" s="102">
        <v>45957</v>
      </c>
      <c r="K1204" s="12">
        <v>45960</v>
      </c>
      <c r="L1204" s="19" t="s">
        <v>731</v>
      </c>
      <c r="M1204" s="36">
        <v>0</v>
      </c>
      <c r="N1204"/>
      <c r="O1204" t="s">
        <v>199</v>
      </c>
      <c r="P1204" t="s">
        <v>376</v>
      </c>
      <c r="Q1204" t="s">
        <v>207</v>
      </c>
    </row>
    <row r="1205" spans="1:17" x14ac:dyDescent="0.3">
      <c r="A1205" s="25">
        <v>1268</v>
      </c>
      <c r="B1205" t="s">
        <v>193</v>
      </c>
      <c r="C1205" t="s">
        <v>141</v>
      </c>
      <c r="D1205" t="s">
        <v>383</v>
      </c>
      <c r="E1205" s="118">
        <v>4422</v>
      </c>
      <c r="F1205" s="13">
        <v>45928</v>
      </c>
      <c r="G1205" s="45">
        <v>1206305.1299999999</v>
      </c>
      <c r="H1205" s="27">
        <v>1132117.3600000001</v>
      </c>
      <c r="I1205" s="3">
        <v>45943</v>
      </c>
      <c r="J1205" s="102">
        <v>45957</v>
      </c>
      <c r="K1205" s="12">
        <v>45960</v>
      </c>
      <c r="L1205" s="19" t="s">
        <v>731</v>
      </c>
      <c r="M1205" s="36">
        <v>0</v>
      </c>
      <c r="N1205"/>
      <c r="O1205" t="s">
        <v>199</v>
      </c>
      <c r="P1205" t="s">
        <v>376</v>
      </c>
      <c r="Q1205" t="s">
        <v>207</v>
      </c>
    </row>
    <row r="1206" spans="1:17" x14ac:dyDescent="0.3">
      <c r="A1206" s="25">
        <v>1268</v>
      </c>
      <c r="B1206" t="s">
        <v>193</v>
      </c>
      <c r="C1206" t="s">
        <v>141</v>
      </c>
      <c r="D1206" t="s">
        <v>383</v>
      </c>
      <c r="E1206" s="118" t="s">
        <v>735</v>
      </c>
      <c r="F1206" s="13">
        <v>45928</v>
      </c>
      <c r="G1206" s="45">
        <v>54424.12</v>
      </c>
      <c r="H1206" s="27">
        <v>51077.04</v>
      </c>
      <c r="I1206" s="3">
        <v>45943</v>
      </c>
      <c r="J1206" s="102">
        <v>45957</v>
      </c>
      <c r="K1206" s="12">
        <v>45960</v>
      </c>
      <c r="L1206" s="19" t="s">
        <v>731</v>
      </c>
      <c r="M1206" s="36">
        <v>0</v>
      </c>
      <c r="N1206"/>
      <c r="O1206" t="s">
        <v>199</v>
      </c>
      <c r="P1206" t="s">
        <v>376</v>
      </c>
      <c r="Q1206" t="s">
        <v>207</v>
      </c>
    </row>
    <row r="1207" spans="1:17" x14ac:dyDescent="0.3">
      <c r="A1207" s="25">
        <v>1268</v>
      </c>
      <c r="B1207" t="s">
        <v>193</v>
      </c>
      <c r="C1207" t="s">
        <v>141</v>
      </c>
      <c r="D1207" t="s">
        <v>383</v>
      </c>
      <c r="E1207" s="118" t="s">
        <v>736</v>
      </c>
      <c r="F1207" s="13">
        <v>45928</v>
      </c>
      <c r="G1207" s="45">
        <v>280377.92</v>
      </c>
      <c r="H1207" s="27">
        <v>263134.69</v>
      </c>
      <c r="I1207" s="3">
        <v>45943</v>
      </c>
      <c r="J1207" s="104">
        <v>45957</v>
      </c>
      <c r="K1207" s="12">
        <v>45960</v>
      </c>
      <c r="L1207" s="19" t="s">
        <v>731</v>
      </c>
      <c r="M1207" s="36">
        <v>0</v>
      </c>
      <c r="N1207"/>
      <c r="O1207" t="s">
        <v>199</v>
      </c>
      <c r="P1207" t="s">
        <v>376</v>
      </c>
      <c r="Q1207" t="s">
        <v>207</v>
      </c>
    </row>
    <row r="1208" spans="1:17" x14ac:dyDescent="0.3">
      <c r="A1208" s="25">
        <v>1268</v>
      </c>
      <c r="B1208" t="s">
        <v>193</v>
      </c>
      <c r="C1208" t="s">
        <v>141</v>
      </c>
      <c r="D1208" t="s">
        <v>383</v>
      </c>
      <c r="E1208" s="118" t="s">
        <v>737</v>
      </c>
      <c r="F1208" s="13">
        <v>45928</v>
      </c>
      <c r="G1208" s="45">
        <v>113369.84</v>
      </c>
      <c r="H1208" s="27">
        <v>106397.59</v>
      </c>
      <c r="I1208" s="3">
        <v>45943</v>
      </c>
      <c r="J1208" s="104">
        <v>45957</v>
      </c>
      <c r="K1208" s="12">
        <v>45960</v>
      </c>
      <c r="L1208" s="19" t="s">
        <v>731</v>
      </c>
      <c r="M1208" s="36">
        <v>0</v>
      </c>
      <c r="N1208"/>
      <c r="O1208" t="s">
        <v>199</v>
      </c>
      <c r="P1208" t="s">
        <v>376</v>
      </c>
      <c r="Q1208" t="s">
        <v>207</v>
      </c>
    </row>
    <row r="1209" spans="1:17" x14ac:dyDescent="0.3">
      <c r="A1209" s="25">
        <v>1483</v>
      </c>
      <c r="B1209" t="s">
        <v>193</v>
      </c>
      <c r="C1209" t="s">
        <v>178</v>
      </c>
      <c r="D1209" t="s">
        <v>633</v>
      </c>
      <c r="E1209" s="118">
        <v>8530</v>
      </c>
      <c r="F1209" s="13">
        <v>45928</v>
      </c>
      <c r="G1209" s="57">
        <v>53591.199999999997</v>
      </c>
      <c r="H1209" s="24">
        <v>49527.08</v>
      </c>
      <c r="I1209" s="3">
        <v>45931</v>
      </c>
      <c r="J1209" s="102">
        <v>45964</v>
      </c>
      <c r="K1209" s="12">
        <v>45966</v>
      </c>
      <c r="L1209" s="19" t="s">
        <v>731</v>
      </c>
      <c r="M1209" s="36">
        <v>0</v>
      </c>
      <c r="N1209" s="26"/>
      <c r="O1209" t="s">
        <v>202</v>
      </c>
      <c r="P1209" t="s">
        <v>373</v>
      </c>
      <c r="Q1209" t="s">
        <v>207</v>
      </c>
    </row>
    <row r="1210" spans="1:17" x14ac:dyDescent="0.3">
      <c r="A1210" s="25">
        <v>1483</v>
      </c>
      <c r="B1210" t="s">
        <v>193</v>
      </c>
      <c r="C1210" t="s">
        <v>178</v>
      </c>
      <c r="D1210" t="s">
        <v>633</v>
      </c>
      <c r="E1210" s="118">
        <v>8531</v>
      </c>
      <c r="F1210" s="13">
        <v>45928</v>
      </c>
      <c r="G1210" s="57">
        <v>28856.799999999999</v>
      </c>
      <c r="H1210" s="24">
        <v>27082.11</v>
      </c>
      <c r="I1210" s="3">
        <v>45931</v>
      </c>
      <c r="J1210" s="102">
        <v>45957</v>
      </c>
      <c r="K1210" s="12">
        <v>45959</v>
      </c>
      <c r="L1210" s="19" t="s">
        <v>731</v>
      </c>
      <c r="M1210" s="36">
        <v>0</v>
      </c>
      <c r="N1210" s="26"/>
      <c r="O1210" t="s">
        <v>202</v>
      </c>
      <c r="P1210" t="s">
        <v>373</v>
      </c>
      <c r="Q1210" t="s">
        <v>207</v>
      </c>
    </row>
    <row r="1211" spans="1:17" x14ac:dyDescent="0.3">
      <c r="A1211" s="25">
        <v>1275</v>
      </c>
      <c r="B1211" t="s">
        <v>193</v>
      </c>
      <c r="C1211" t="s">
        <v>165</v>
      </c>
      <c r="D1211" t="s">
        <v>391</v>
      </c>
      <c r="E1211" s="118">
        <v>4387</v>
      </c>
      <c r="F1211" s="13">
        <v>45928</v>
      </c>
      <c r="G1211" s="24">
        <v>16767.240000000002</v>
      </c>
      <c r="H1211" s="27">
        <v>15736.05</v>
      </c>
      <c r="I1211" s="3">
        <v>45932</v>
      </c>
      <c r="J1211" s="102">
        <v>45957</v>
      </c>
      <c r="K1211" s="12">
        <v>45960</v>
      </c>
      <c r="L1211" s="19" t="s">
        <v>731</v>
      </c>
      <c r="M1211" s="36">
        <v>0</v>
      </c>
      <c r="N1211" s="26"/>
      <c r="O1211" t="s">
        <v>199</v>
      </c>
      <c r="P1211" t="s">
        <v>376</v>
      </c>
      <c r="Q1211" t="s">
        <v>207</v>
      </c>
    </row>
    <row r="1212" spans="1:17" x14ac:dyDescent="0.3">
      <c r="A1212" s="25">
        <v>1479</v>
      </c>
      <c r="B1212" t="s">
        <v>193</v>
      </c>
      <c r="C1212" t="s">
        <v>165</v>
      </c>
      <c r="D1212" t="s">
        <v>629</v>
      </c>
      <c r="E1212" s="118">
        <v>4392</v>
      </c>
      <c r="F1212" s="13">
        <v>45928</v>
      </c>
      <c r="G1212" s="24">
        <v>26040</v>
      </c>
      <c r="H1212" s="27">
        <v>24438.54</v>
      </c>
      <c r="I1212" s="3">
        <v>45933</v>
      </c>
      <c r="J1212" s="102">
        <v>45957</v>
      </c>
      <c r="K1212" s="12">
        <v>45960</v>
      </c>
      <c r="L1212" s="19" t="s">
        <v>731</v>
      </c>
      <c r="M1212" s="36">
        <v>0</v>
      </c>
      <c r="N1212" s="26"/>
      <c r="O1212" t="s">
        <v>201</v>
      </c>
      <c r="P1212" t="s">
        <v>376</v>
      </c>
      <c r="Q1212" t="s">
        <v>207</v>
      </c>
    </row>
    <row r="1213" spans="1:17" x14ac:dyDescent="0.3">
      <c r="A1213" s="25">
        <v>1455</v>
      </c>
      <c r="B1213" t="s">
        <v>215</v>
      </c>
      <c r="C1213" t="s">
        <v>60</v>
      </c>
      <c r="D1213" t="s">
        <v>600</v>
      </c>
      <c r="E1213" s="118">
        <v>8577</v>
      </c>
      <c r="F1213" s="13">
        <v>45958</v>
      </c>
      <c r="G1213" s="24">
        <v>56875.77</v>
      </c>
      <c r="H1213" s="27">
        <v>50249.74</v>
      </c>
      <c r="I1213" s="3">
        <v>45964</v>
      </c>
      <c r="J1213" s="102">
        <v>45992</v>
      </c>
      <c r="K1213" s="12">
        <v>45992</v>
      </c>
      <c r="L1213" s="22" t="s">
        <v>731</v>
      </c>
      <c r="M1213" s="42"/>
      <c r="N1213" s="26"/>
      <c r="O1213" t="s">
        <v>202</v>
      </c>
      <c r="P1213" t="s">
        <v>373</v>
      </c>
      <c r="Q1213" t="s">
        <v>213</v>
      </c>
    </row>
    <row r="1214" spans="1:17" x14ac:dyDescent="0.3">
      <c r="A1214" s="25">
        <v>1455</v>
      </c>
      <c r="B1214" t="s">
        <v>215</v>
      </c>
      <c r="C1214" t="s">
        <v>60</v>
      </c>
      <c r="D1214" t="s">
        <v>600</v>
      </c>
      <c r="E1214" s="118">
        <v>8584</v>
      </c>
      <c r="F1214" s="13">
        <v>45958</v>
      </c>
      <c r="G1214" s="24">
        <v>9575.9</v>
      </c>
      <c r="H1214" s="27">
        <v>8460.2999999999993</v>
      </c>
      <c r="I1214" s="3">
        <v>45965</v>
      </c>
      <c r="J1214" s="102">
        <v>45992</v>
      </c>
      <c r="K1214" s="12">
        <v>45992</v>
      </c>
      <c r="L1214" s="22" t="s">
        <v>731</v>
      </c>
      <c r="M1214" s="42"/>
      <c r="N1214" s="26"/>
      <c r="O1214" t="s">
        <v>202</v>
      </c>
      <c r="P1214" t="s">
        <v>373</v>
      </c>
      <c r="Q1214" t="s">
        <v>213</v>
      </c>
    </row>
    <row r="1215" spans="1:17" x14ac:dyDescent="0.3">
      <c r="A1215" s="9">
        <v>1489</v>
      </c>
      <c r="B1215" t="s">
        <v>193</v>
      </c>
      <c r="C1215" t="s">
        <v>42</v>
      </c>
      <c r="D1215" t="s">
        <v>639</v>
      </c>
      <c r="E1215" s="118">
        <v>4492</v>
      </c>
      <c r="F1215" s="13">
        <v>45958</v>
      </c>
      <c r="G1215" s="11">
        <v>42812.21</v>
      </c>
      <c r="H1215" s="24">
        <v>40179.26</v>
      </c>
      <c r="I1215" s="3">
        <v>45965</v>
      </c>
      <c r="J1215" s="102">
        <v>45992</v>
      </c>
      <c r="K1215" s="12">
        <v>45995</v>
      </c>
      <c r="L1215" s="19" t="s">
        <v>731</v>
      </c>
      <c r="M1215" s="38"/>
      <c r="N1215" s="15"/>
      <c r="O1215" t="s">
        <v>201</v>
      </c>
      <c r="P1215" t="s">
        <v>376</v>
      </c>
      <c r="Q1215" t="s">
        <v>207</v>
      </c>
    </row>
    <row r="1216" spans="1:17" x14ac:dyDescent="0.3">
      <c r="A1216" s="9">
        <v>1489</v>
      </c>
      <c r="B1216" t="s">
        <v>193</v>
      </c>
      <c r="C1216" t="s">
        <v>42</v>
      </c>
      <c r="D1216" t="s">
        <v>639</v>
      </c>
      <c r="E1216" s="118">
        <v>4585</v>
      </c>
      <c r="F1216" s="13">
        <v>45989</v>
      </c>
      <c r="G1216" s="11">
        <v>42812.21</v>
      </c>
      <c r="H1216" s="24">
        <v>40179.26</v>
      </c>
      <c r="I1216" s="3">
        <v>45992</v>
      </c>
      <c r="J1216" s="102">
        <v>46020</v>
      </c>
      <c r="K1216" s="12">
        <v>46021</v>
      </c>
      <c r="L1216" s="19" t="s">
        <v>731</v>
      </c>
      <c r="M1216" s="38"/>
      <c r="N1216" s="15"/>
      <c r="O1216" t="s">
        <v>201</v>
      </c>
      <c r="P1216" t="s">
        <v>376</v>
      </c>
      <c r="Q1216" t="s">
        <v>207</v>
      </c>
    </row>
    <row r="1217" spans="1:17" x14ac:dyDescent="0.3">
      <c r="A1217" s="9">
        <v>1489</v>
      </c>
      <c r="B1217" t="s">
        <v>193</v>
      </c>
      <c r="C1217" t="s">
        <v>42</v>
      </c>
      <c r="D1217" t="s">
        <v>639</v>
      </c>
      <c r="E1217" s="118">
        <v>4706</v>
      </c>
      <c r="F1217" s="13">
        <v>46019</v>
      </c>
      <c r="G1217" s="11">
        <v>42812.21</v>
      </c>
      <c r="H1217" s="24">
        <v>40179.26</v>
      </c>
      <c r="I1217" s="3">
        <v>46024</v>
      </c>
      <c r="J1217" s="102">
        <v>46055</v>
      </c>
      <c r="K1217" s="12">
        <v>46055</v>
      </c>
      <c r="L1217" s="19" t="s">
        <v>731</v>
      </c>
      <c r="M1217" s="38"/>
      <c r="N1217" s="15"/>
      <c r="O1217" t="s">
        <v>201</v>
      </c>
      <c r="P1217" t="s">
        <v>376</v>
      </c>
      <c r="Q1217" t="s">
        <v>207</v>
      </c>
    </row>
    <row r="1218" spans="1:17" x14ac:dyDescent="0.3">
      <c r="A1218" s="9">
        <v>1489</v>
      </c>
      <c r="B1218" t="s">
        <v>193</v>
      </c>
      <c r="C1218" t="s">
        <v>42</v>
      </c>
      <c r="D1218" t="s">
        <v>639</v>
      </c>
      <c r="E1218" s="118">
        <v>4787</v>
      </c>
      <c r="F1218" s="13">
        <v>46051</v>
      </c>
      <c r="G1218" s="11">
        <v>44525</v>
      </c>
      <c r="H1218" s="24">
        <v>41786.71</v>
      </c>
      <c r="I1218" s="3">
        <v>46051</v>
      </c>
      <c r="J1218" s="102">
        <v>46083</v>
      </c>
      <c r="K1218" s="12">
        <v>46083</v>
      </c>
      <c r="L1218" s="19" t="s">
        <v>731</v>
      </c>
      <c r="M1218" s="38"/>
      <c r="N1218" s="15"/>
      <c r="O1218" t="s">
        <v>201</v>
      </c>
      <c r="P1218" t="s">
        <v>376</v>
      </c>
      <c r="Q1218" t="s">
        <v>207</v>
      </c>
    </row>
    <row r="1219" spans="1:17" x14ac:dyDescent="0.3">
      <c r="A1219" s="9">
        <v>1489</v>
      </c>
      <c r="B1219" t="s">
        <v>193</v>
      </c>
      <c r="C1219" t="s">
        <v>42</v>
      </c>
      <c r="D1219" t="s">
        <v>639</v>
      </c>
      <c r="E1219" s="118">
        <v>4909</v>
      </c>
      <c r="F1219" s="13">
        <v>46081</v>
      </c>
      <c r="G1219" s="27">
        <v>44525</v>
      </c>
      <c r="H1219" s="24">
        <v>41786.71</v>
      </c>
      <c r="I1219" s="3">
        <v>46084</v>
      </c>
      <c r="J1219" s="102">
        <v>46118</v>
      </c>
      <c r="K1219" s="12">
        <v>46118</v>
      </c>
      <c r="L1219" s="19" t="s">
        <v>731</v>
      </c>
      <c r="M1219" s="38"/>
      <c r="N1219" s="15"/>
      <c r="O1219" t="s">
        <v>201</v>
      </c>
      <c r="P1219" t="s">
        <v>376</v>
      </c>
      <c r="Q1219" t="s">
        <v>207</v>
      </c>
    </row>
    <row r="1220" spans="1:17" x14ac:dyDescent="0.3">
      <c r="A1220" s="9">
        <v>1489</v>
      </c>
      <c r="B1220" t="s">
        <v>193</v>
      </c>
      <c r="C1220" t="s">
        <v>42</v>
      </c>
      <c r="D1220" t="s">
        <v>639</v>
      </c>
      <c r="E1220" s="118">
        <v>5020</v>
      </c>
      <c r="F1220" s="13">
        <v>46109</v>
      </c>
      <c r="G1220" s="24">
        <v>44525</v>
      </c>
      <c r="H1220" s="24">
        <v>41786.71</v>
      </c>
      <c r="I1220" s="3">
        <v>46113</v>
      </c>
      <c r="J1220" s="102">
        <v>46146</v>
      </c>
      <c r="K1220" s="12">
        <v>46146</v>
      </c>
      <c r="L1220" s="19" t="s">
        <v>731</v>
      </c>
      <c r="M1220" s="38"/>
      <c r="N1220" s="15"/>
      <c r="O1220" t="s">
        <v>201</v>
      </c>
      <c r="P1220" t="s">
        <v>376</v>
      </c>
      <c r="Q1220" t="s">
        <v>207</v>
      </c>
    </row>
    <row r="1221" spans="1:17" x14ac:dyDescent="0.3">
      <c r="A1221" s="9">
        <v>1489</v>
      </c>
      <c r="B1221" t="s">
        <v>193</v>
      </c>
      <c r="C1221" t="s">
        <v>42</v>
      </c>
      <c r="D1221" t="s">
        <v>639</v>
      </c>
      <c r="E1221" s="118">
        <v>5108</v>
      </c>
      <c r="F1221" s="13">
        <v>46140</v>
      </c>
      <c r="G1221" s="24">
        <v>44525</v>
      </c>
      <c r="H1221" s="24">
        <v>41786.71</v>
      </c>
      <c r="I1221" s="3">
        <v>46140</v>
      </c>
      <c r="J1221" s="102">
        <v>46167</v>
      </c>
      <c r="K1221" s="12">
        <v>46170</v>
      </c>
      <c r="L1221" s="19" t="s">
        <v>731</v>
      </c>
      <c r="M1221" s="38"/>
      <c r="N1221" s="15"/>
      <c r="O1221" t="s">
        <v>201</v>
      </c>
      <c r="P1221" t="s">
        <v>376</v>
      </c>
      <c r="Q1221" t="s">
        <v>207</v>
      </c>
    </row>
    <row r="1222" spans="1:17" x14ac:dyDescent="0.3">
      <c r="A1222" s="9">
        <v>1489</v>
      </c>
      <c r="B1222" t="s">
        <v>193</v>
      </c>
      <c r="C1222" t="s">
        <v>42</v>
      </c>
      <c r="D1222" t="s">
        <v>639</v>
      </c>
      <c r="E1222" s="118">
        <v>5181</v>
      </c>
      <c r="F1222" s="13">
        <v>46170</v>
      </c>
      <c r="G1222" s="24">
        <v>44525</v>
      </c>
      <c r="H1222" s="24">
        <v>41786.71</v>
      </c>
      <c r="I1222" s="3">
        <v>46170</v>
      </c>
      <c r="J1222" s="102">
        <v>46195</v>
      </c>
      <c r="K1222" s="12"/>
      <c r="L1222" s="19" t="s">
        <v>730</v>
      </c>
      <c r="M1222" s="38"/>
      <c r="N1222" s="15"/>
      <c r="O1222" t="s">
        <v>201</v>
      </c>
      <c r="P1222" t="s">
        <v>376</v>
      </c>
      <c r="Q1222" t="s">
        <v>207</v>
      </c>
    </row>
    <row r="1223" spans="1:17" x14ac:dyDescent="0.3">
      <c r="A1223" s="25">
        <v>1478</v>
      </c>
      <c r="B1223" t="s">
        <v>71</v>
      </c>
      <c r="C1223" t="s">
        <v>198</v>
      </c>
      <c r="D1223" t="s">
        <v>628</v>
      </c>
      <c r="E1223" s="118">
        <v>8586</v>
      </c>
      <c r="F1223" s="13">
        <v>45958</v>
      </c>
      <c r="G1223" s="27">
        <v>13993.56</v>
      </c>
      <c r="H1223" s="24">
        <v>13132.95</v>
      </c>
      <c r="I1223" s="3">
        <v>45966</v>
      </c>
      <c r="J1223" s="102">
        <v>45992</v>
      </c>
      <c r="K1223" s="12">
        <v>45996</v>
      </c>
      <c r="L1223" s="19" t="s">
        <v>731</v>
      </c>
      <c r="M1223" s="36"/>
      <c r="N1223"/>
      <c r="O1223" t="s">
        <v>199</v>
      </c>
      <c r="P1223" t="s">
        <v>376</v>
      </c>
      <c r="Q1223" t="s">
        <v>203</v>
      </c>
    </row>
    <row r="1224" spans="1:17" x14ac:dyDescent="0.3">
      <c r="A1224" s="25">
        <v>1478</v>
      </c>
      <c r="B1224" t="s">
        <v>71</v>
      </c>
      <c r="C1224" t="s">
        <v>198</v>
      </c>
      <c r="D1224" t="s">
        <v>628</v>
      </c>
      <c r="E1224" s="118">
        <v>8587</v>
      </c>
      <c r="F1224" s="13">
        <v>45958</v>
      </c>
      <c r="G1224" s="27">
        <v>29087.69</v>
      </c>
      <c r="H1224" s="24">
        <v>27298.79</v>
      </c>
      <c r="I1224" s="3">
        <v>45966</v>
      </c>
      <c r="J1224" s="102">
        <v>45992</v>
      </c>
      <c r="K1224" s="12">
        <v>45996</v>
      </c>
      <c r="L1224" s="19" t="s">
        <v>731</v>
      </c>
      <c r="M1224" s="36"/>
      <c r="N1224"/>
      <c r="O1224" t="s">
        <v>199</v>
      </c>
      <c r="P1224" t="s">
        <v>376</v>
      </c>
      <c r="Q1224" t="s">
        <v>203</v>
      </c>
    </row>
    <row r="1225" spans="1:17" x14ac:dyDescent="0.3">
      <c r="A1225" s="25">
        <v>1478</v>
      </c>
      <c r="B1225" t="s">
        <v>71</v>
      </c>
      <c r="C1225" t="s">
        <v>198</v>
      </c>
      <c r="D1225" t="s">
        <v>628</v>
      </c>
      <c r="E1225" s="118">
        <v>8588</v>
      </c>
      <c r="F1225" s="13">
        <v>45958</v>
      </c>
      <c r="G1225" s="27">
        <v>16351.92</v>
      </c>
      <c r="H1225" s="24">
        <v>15346.27</v>
      </c>
      <c r="I1225" s="3">
        <v>45966</v>
      </c>
      <c r="J1225" s="102">
        <v>45992</v>
      </c>
      <c r="K1225" s="12">
        <v>45996</v>
      </c>
      <c r="L1225" s="19" t="s">
        <v>731</v>
      </c>
      <c r="M1225" s="36"/>
      <c r="N1225"/>
      <c r="O1225" t="s">
        <v>199</v>
      </c>
      <c r="P1225" t="s">
        <v>376</v>
      </c>
      <c r="Q1225" t="s">
        <v>203</v>
      </c>
    </row>
    <row r="1226" spans="1:17" x14ac:dyDescent="0.3">
      <c r="A1226" s="25">
        <v>1478</v>
      </c>
      <c r="B1226" t="s">
        <v>71</v>
      </c>
      <c r="C1226" t="s">
        <v>198</v>
      </c>
      <c r="D1226" t="s">
        <v>628</v>
      </c>
      <c r="E1226" s="118">
        <v>8589</v>
      </c>
      <c r="F1226" s="13">
        <v>45958</v>
      </c>
      <c r="G1226" s="27">
        <v>20754.55</v>
      </c>
      <c r="H1226" s="24">
        <v>19478.14</v>
      </c>
      <c r="I1226" s="3">
        <v>45966</v>
      </c>
      <c r="J1226" s="102">
        <v>45992</v>
      </c>
      <c r="K1226" s="12">
        <v>45996</v>
      </c>
      <c r="L1226" s="19" t="s">
        <v>731</v>
      </c>
      <c r="M1226" s="36"/>
      <c r="N1226"/>
      <c r="O1226" t="s">
        <v>199</v>
      </c>
      <c r="P1226" t="s">
        <v>376</v>
      </c>
      <c r="Q1226" t="s">
        <v>203</v>
      </c>
    </row>
    <row r="1227" spans="1:17" x14ac:dyDescent="0.3">
      <c r="A1227" s="25">
        <v>1499</v>
      </c>
      <c r="B1227" t="s">
        <v>71</v>
      </c>
      <c r="C1227" t="s">
        <v>109</v>
      </c>
      <c r="D1227" t="s">
        <v>650</v>
      </c>
      <c r="E1227" s="118">
        <v>8590</v>
      </c>
      <c r="F1227" s="13">
        <v>45958</v>
      </c>
      <c r="G1227" s="24">
        <v>52900</v>
      </c>
      <c r="H1227" s="24">
        <v>49646.65</v>
      </c>
      <c r="I1227" s="3">
        <v>45967</v>
      </c>
      <c r="J1227" s="102">
        <v>45985</v>
      </c>
      <c r="K1227" s="12">
        <v>45987</v>
      </c>
      <c r="L1227" s="19" t="s">
        <v>731</v>
      </c>
      <c r="M1227" s="36">
        <v>0</v>
      </c>
      <c r="N1227"/>
      <c r="O1227" t="s">
        <v>199</v>
      </c>
      <c r="P1227" t="s">
        <v>373</v>
      </c>
      <c r="Q1227" t="s">
        <v>203</v>
      </c>
    </row>
    <row r="1228" spans="1:17" x14ac:dyDescent="0.3">
      <c r="A1228" s="25">
        <v>1391</v>
      </c>
      <c r="B1228" t="s">
        <v>71</v>
      </c>
      <c r="C1228" t="s">
        <v>196</v>
      </c>
      <c r="D1228" t="s">
        <v>520</v>
      </c>
      <c r="E1228" s="118">
        <v>4497</v>
      </c>
      <c r="F1228" s="13">
        <v>45958</v>
      </c>
      <c r="G1228" s="40">
        <v>741547.47</v>
      </c>
      <c r="H1228" s="27">
        <v>695942.3</v>
      </c>
      <c r="I1228" s="3">
        <v>45966</v>
      </c>
      <c r="J1228" s="102">
        <v>45978</v>
      </c>
      <c r="K1228" s="12">
        <v>45982</v>
      </c>
      <c r="L1228" s="1" t="s">
        <v>731</v>
      </c>
      <c r="M1228" s="36">
        <v>0</v>
      </c>
      <c r="N1228"/>
      <c r="O1228" t="s">
        <v>199</v>
      </c>
      <c r="P1228" t="s">
        <v>376</v>
      </c>
      <c r="Q1228" t="s">
        <v>203</v>
      </c>
    </row>
    <row r="1229" spans="1:17" x14ac:dyDescent="0.3">
      <c r="A1229" s="25">
        <v>1391</v>
      </c>
      <c r="B1229" t="s">
        <v>71</v>
      </c>
      <c r="C1229" t="s">
        <v>196</v>
      </c>
      <c r="D1229" t="s">
        <v>520</v>
      </c>
      <c r="E1229" s="118">
        <v>4498</v>
      </c>
      <c r="F1229" s="13">
        <v>45958</v>
      </c>
      <c r="G1229" s="40">
        <v>117708.05</v>
      </c>
      <c r="H1229" s="27">
        <v>110469.01</v>
      </c>
      <c r="I1229" s="3">
        <v>45966</v>
      </c>
      <c r="J1229" s="102">
        <v>45978</v>
      </c>
      <c r="K1229" s="12">
        <v>45982</v>
      </c>
      <c r="L1229" s="1" t="s">
        <v>731</v>
      </c>
      <c r="M1229" s="36">
        <v>0</v>
      </c>
      <c r="N1229"/>
      <c r="O1229" t="s">
        <v>199</v>
      </c>
      <c r="P1229" t="s">
        <v>376</v>
      </c>
      <c r="Q1229" t="s">
        <v>203</v>
      </c>
    </row>
    <row r="1230" spans="1:17" x14ac:dyDescent="0.3">
      <c r="A1230" s="25">
        <v>1391</v>
      </c>
      <c r="B1230" t="s">
        <v>71</v>
      </c>
      <c r="C1230" t="s">
        <v>196</v>
      </c>
      <c r="D1230" t="s">
        <v>520</v>
      </c>
      <c r="E1230" s="118">
        <v>4499</v>
      </c>
      <c r="F1230" s="13">
        <v>45958</v>
      </c>
      <c r="G1230" s="40">
        <v>117708.05</v>
      </c>
      <c r="H1230" s="27">
        <v>110469.01</v>
      </c>
      <c r="I1230" s="3">
        <v>45966</v>
      </c>
      <c r="J1230" s="102">
        <v>45978</v>
      </c>
      <c r="K1230" s="12">
        <v>45982</v>
      </c>
      <c r="L1230" s="1" t="s">
        <v>731</v>
      </c>
      <c r="M1230" s="36">
        <v>0</v>
      </c>
      <c r="N1230"/>
      <c r="O1230" t="s">
        <v>199</v>
      </c>
      <c r="P1230" t="s">
        <v>376</v>
      </c>
      <c r="Q1230" t="s">
        <v>203</v>
      </c>
    </row>
    <row r="1231" spans="1:17" x14ac:dyDescent="0.3">
      <c r="A1231" s="25">
        <v>1391</v>
      </c>
      <c r="B1231" t="s">
        <v>71</v>
      </c>
      <c r="C1231" t="s">
        <v>196</v>
      </c>
      <c r="D1231" t="s">
        <v>520</v>
      </c>
      <c r="E1231" s="118">
        <v>4500</v>
      </c>
      <c r="F1231" s="13">
        <v>45958</v>
      </c>
      <c r="G1231" s="40">
        <v>146532.54</v>
      </c>
      <c r="H1231" s="27">
        <v>137520.79</v>
      </c>
      <c r="I1231" s="3">
        <v>45967</v>
      </c>
      <c r="J1231" s="102">
        <v>45978</v>
      </c>
      <c r="K1231" s="12">
        <v>45982</v>
      </c>
      <c r="L1231" s="1" t="s">
        <v>731</v>
      </c>
      <c r="M1231" s="36">
        <v>0</v>
      </c>
      <c r="N1231"/>
      <c r="O1231" t="s">
        <v>199</v>
      </c>
      <c r="P1231" t="s">
        <v>376</v>
      </c>
      <c r="Q1231" t="s">
        <v>203</v>
      </c>
    </row>
    <row r="1232" spans="1:17" x14ac:dyDescent="0.3">
      <c r="A1232" s="25">
        <v>1391</v>
      </c>
      <c r="B1232" t="s">
        <v>71</v>
      </c>
      <c r="C1232" t="s">
        <v>196</v>
      </c>
      <c r="D1232" t="s">
        <v>520</v>
      </c>
      <c r="E1232" s="118">
        <v>4501</v>
      </c>
      <c r="F1232" s="13">
        <v>45958</v>
      </c>
      <c r="G1232" s="40">
        <v>122096.72</v>
      </c>
      <c r="H1232" s="27">
        <v>114587.77</v>
      </c>
      <c r="I1232" s="3">
        <v>45967</v>
      </c>
      <c r="J1232" s="102">
        <v>45978</v>
      </c>
      <c r="K1232" s="12">
        <v>45982</v>
      </c>
      <c r="L1232" s="1" t="s">
        <v>731</v>
      </c>
      <c r="M1232" s="36">
        <v>0</v>
      </c>
      <c r="N1232"/>
      <c r="O1232" t="s">
        <v>199</v>
      </c>
      <c r="P1232" t="s">
        <v>376</v>
      </c>
      <c r="Q1232" t="s">
        <v>203</v>
      </c>
    </row>
    <row r="1233" spans="1:17" x14ac:dyDescent="0.3">
      <c r="A1233" s="25">
        <v>1391</v>
      </c>
      <c r="B1233" t="s">
        <v>71</v>
      </c>
      <c r="C1233" t="s">
        <v>196</v>
      </c>
      <c r="D1233" t="s">
        <v>520</v>
      </c>
      <c r="E1233" s="118">
        <v>4502</v>
      </c>
      <c r="F1233" s="13">
        <v>45958</v>
      </c>
      <c r="G1233" s="40">
        <v>88513.43</v>
      </c>
      <c r="H1233" s="27">
        <v>83069.86</v>
      </c>
      <c r="I1233" s="3">
        <v>45967</v>
      </c>
      <c r="J1233" s="102">
        <v>45978</v>
      </c>
      <c r="K1233" s="12">
        <v>45982</v>
      </c>
      <c r="L1233" s="1" t="s">
        <v>731</v>
      </c>
      <c r="M1233" s="36">
        <v>0</v>
      </c>
      <c r="N1233"/>
      <c r="O1233" t="s">
        <v>199</v>
      </c>
      <c r="P1233" t="s">
        <v>376</v>
      </c>
      <c r="Q1233" t="s">
        <v>203</v>
      </c>
    </row>
    <row r="1234" spans="1:17" x14ac:dyDescent="0.3">
      <c r="A1234" s="25">
        <v>1391</v>
      </c>
      <c r="B1234" t="s">
        <v>71</v>
      </c>
      <c r="C1234" t="s">
        <v>196</v>
      </c>
      <c r="D1234" t="s">
        <v>520</v>
      </c>
      <c r="E1234" s="118">
        <v>4504</v>
      </c>
      <c r="F1234" s="13">
        <v>45958</v>
      </c>
      <c r="G1234" s="40">
        <v>63103.95</v>
      </c>
      <c r="H1234" s="27">
        <v>59223.06</v>
      </c>
      <c r="I1234" s="3">
        <v>45967</v>
      </c>
      <c r="J1234" s="102">
        <v>45978</v>
      </c>
      <c r="K1234" s="12">
        <v>45982</v>
      </c>
      <c r="L1234" s="1" t="s">
        <v>731</v>
      </c>
      <c r="M1234" s="36">
        <v>0</v>
      </c>
      <c r="N1234"/>
      <c r="O1234" t="s">
        <v>199</v>
      </c>
      <c r="P1234" t="s">
        <v>376</v>
      </c>
      <c r="Q1234" t="s">
        <v>203</v>
      </c>
    </row>
    <row r="1235" spans="1:17" x14ac:dyDescent="0.3">
      <c r="A1235" s="25">
        <v>1391</v>
      </c>
      <c r="B1235" t="s">
        <v>71</v>
      </c>
      <c r="C1235" t="s">
        <v>196</v>
      </c>
      <c r="D1235" t="s">
        <v>520</v>
      </c>
      <c r="E1235" s="118">
        <v>4505</v>
      </c>
      <c r="F1235" s="13">
        <v>45958</v>
      </c>
      <c r="G1235" s="131">
        <v>186897.84</v>
      </c>
      <c r="H1235" s="27">
        <v>175403.62</v>
      </c>
      <c r="I1235" s="3">
        <v>45968</v>
      </c>
      <c r="J1235" s="102">
        <v>45985</v>
      </c>
      <c r="K1235" s="12">
        <v>45985</v>
      </c>
      <c r="L1235" s="1" t="s">
        <v>731</v>
      </c>
      <c r="M1235" s="36">
        <v>0</v>
      </c>
      <c r="N1235"/>
      <c r="O1235" t="s">
        <v>199</v>
      </c>
      <c r="P1235" t="s">
        <v>376</v>
      </c>
      <c r="Q1235" t="s">
        <v>203</v>
      </c>
    </row>
    <row r="1236" spans="1:17" x14ac:dyDescent="0.3">
      <c r="A1236" s="25">
        <v>1391</v>
      </c>
      <c r="B1236" t="s">
        <v>71</v>
      </c>
      <c r="C1236" t="s">
        <v>196</v>
      </c>
      <c r="D1236" t="s">
        <v>520</v>
      </c>
      <c r="E1236" s="118">
        <v>4506</v>
      </c>
      <c r="F1236" s="13">
        <v>45958</v>
      </c>
      <c r="G1236" s="40">
        <v>78723.45</v>
      </c>
      <c r="H1236" s="27">
        <v>73881.960000000006</v>
      </c>
      <c r="I1236" s="3">
        <v>45968</v>
      </c>
      <c r="J1236" s="102">
        <v>45985</v>
      </c>
      <c r="K1236" s="12">
        <v>45985</v>
      </c>
      <c r="L1236" s="1" t="s">
        <v>731</v>
      </c>
      <c r="M1236" s="36">
        <v>0</v>
      </c>
      <c r="N1236"/>
      <c r="O1236" t="s">
        <v>199</v>
      </c>
      <c r="P1236" t="s">
        <v>376</v>
      </c>
      <c r="Q1236" t="s">
        <v>203</v>
      </c>
    </row>
    <row r="1237" spans="1:17" x14ac:dyDescent="0.3">
      <c r="A1237" s="25">
        <v>1391</v>
      </c>
      <c r="B1237" t="s">
        <v>71</v>
      </c>
      <c r="C1237" t="s">
        <v>196</v>
      </c>
      <c r="D1237" t="s">
        <v>520</v>
      </c>
      <c r="E1237" s="118">
        <v>4509</v>
      </c>
      <c r="F1237" s="13">
        <v>45958</v>
      </c>
      <c r="G1237" s="40">
        <v>33710.639999999999</v>
      </c>
      <c r="H1237" s="27">
        <v>31637.439999999999</v>
      </c>
      <c r="I1237" s="3">
        <v>45971</v>
      </c>
      <c r="J1237" s="102">
        <v>45985</v>
      </c>
      <c r="K1237" s="12">
        <v>45986</v>
      </c>
      <c r="L1237" s="1" t="s">
        <v>731</v>
      </c>
      <c r="M1237" s="36">
        <v>0</v>
      </c>
      <c r="N1237"/>
      <c r="O1237" t="s">
        <v>199</v>
      </c>
      <c r="P1237" t="s">
        <v>376</v>
      </c>
      <c r="Q1237" t="s">
        <v>203</v>
      </c>
    </row>
    <row r="1238" spans="1:17" x14ac:dyDescent="0.3">
      <c r="A1238" s="25">
        <v>1391</v>
      </c>
      <c r="B1238" t="s">
        <v>71</v>
      </c>
      <c r="C1238" t="s">
        <v>196</v>
      </c>
      <c r="D1238" t="s">
        <v>520</v>
      </c>
      <c r="E1238" s="118">
        <v>4510</v>
      </c>
      <c r="F1238" s="13">
        <v>45958</v>
      </c>
      <c r="G1238" s="40">
        <v>86671.2</v>
      </c>
      <c r="H1238" s="27">
        <v>81340.92</v>
      </c>
      <c r="I1238" s="3">
        <v>45971</v>
      </c>
      <c r="J1238" s="102">
        <v>45985</v>
      </c>
      <c r="K1238" s="12">
        <v>45986</v>
      </c>
      <c r="L1238" s="1" t="s">
        <v>731</v>
      </c>
      <c r="M1238" s="36">
        <v>0</v>
      </c>
      <c r="N1238"/>
      <c r="O1238" t="s">
        <v>199</v>
      </c>
      <c r="P1238" t="s">
        <v>376</v>
      </c>
      <c r="Q1238" t="s">
        <v>203</v>
      </c>
    </row>
    <row r="1239" spans="1:17" x14ac:dyDescent="0.3">
      <c r="A1239" s="25">
        <v>1391</v>
      </c>
      <c r="B1239" t="s">
        <v>71</v>
      </c>
      <c r="C1239" t="s">
        <v>196</v>
      </c>
      <c r="D1239" t="s">
        <v>520</v>
      </c>
      <c r="E1239" s="118">
        <v>4511</v>
      </c>
      <c r="F1239" s="13">
        <v>45958</v>
      </c>
      <c r="G1239" s="40">
        <v>51687.68</v>
      </c>
      <c r="H1239" s="27">
        <v>48508.88</v>
      </c>
      <c r="I1239" s="3">
        <v>45971</v>
      </c>
      <c r="J1239" s="102">
        <v>45985</v>
      </c>
      <c r="K1239" s="12">
        <v>45986</v>
      </c>
      <c r="L1239" s="1" t="s">
        <v>731</v>
      </c>
      <c r="M1239" s="36">
        <v>0</v>
      </c>
      <c r="N1239"/>
      <c r="O1239" t="s">
        <v>199</v>
      </c>
      <c r="P1239" t="s">
        <v>376</v>
      </c>
      <c r="Q1239" t="s">
        <v>203</v>
      </c>
    </row>
    <row r="1240" spans="1:17" x14ac:dyDescent="0.3">
      <c r="A1240" s="25">
        <v>1294</v>
      </c>
      <c r="B1240" t="s">
        <v>71</v>
      </c>
      <c r="C1240" t="s">
        <v>196</v>
      </c>
      <c r="D1240" t="s">
        <v>413</v>
      </c>
      <c r="E1240" s="118">
        <v>4455</v>
      </c>
      <c r="F1240" s="13">
        <v>45958</v>
      </c>
      <c r="G1240" s="28">
        <v>19968.05</v>
      </c>
      <c r="H1240" s="27">
        <v>18740.02</v>
      </c>
      <c r="I1240" s="3">
        <v>45952</v>
      </c>
      <c r="J1240" s="102">
        <v>45964</v>
      </c>
      <c r="K1240" s="12">
        <v>45967</v>
      </c>
      <c r="L1240" s="1" t="s">
        <v>731</v>
      </c>
      <c r="M1240" s="36">
        <v>0</v>
      </c>
      <c r="N1240"/>
      <c r="O1240" t="s">
        <v>199</v>
      </c>
      <c r="P1240" t="s">
        <v>376</v>
      </c>
      <c r="Q1240" t="s">
        <v>203</v>
      </c>
    </row>
    <row r="1241" spans="1:17" x14ac:dyDescent="0.3">
      <c r="A1241" s="25">
        <v>1294</v>
      </c>
      <c r="B1241" t="s">
        <v>71</v>
      </c>
      <c r="C1241" t="s">
        <v>196</v>
      </c>
      <c r="D1241" t="s">
        <v>413</v>
      </c>
      <c r="E1241" s="118">
        <v>4507</v>
      </c>
      <c r="F1241" s="13">
        <v>45958</v>
      </c>
      <c r="G1241" s="40">
        <v>220026.66</v>
      </c>
      <c r="H1241" s="27">
        <v>206495.02</v>
      </c>
      <c r="I1241" s="3">
        <v>45971</v>
      </c>
      <c r="J1241" s="102">
        <v>45985</v>
      </c>
      <c r="K1241" s="12">
        <v>45986</v>
      </c>
      <c r="L1241" s="1" t="s">
        <v>731</v>
      </c>
      <c r="M1241" s="36">
        <v>0</v>
      </c>
      <c r="N1241"/>
      <c r="O1241" t="s">
        <v>199</v>
      </c>
      <c r="P1241" t="s">
        <v>376</v>
      </c>
      <c r="Q1241" t="s">
        <v>203</v>
      </c>
    </row>
    <row r="1242" spans="1:17" x14ac:dyDescent="0.3">
      <c r="A1242" s="25">
        <v>1294</v>
      </c>
      <c r="B1242" t="s">
        <v>71</v>
      </c>
      <c r="C1242" t="s">
        <v>196</v>
      </c>
      <c r="D1242" t="s">
        <v>413</v>
      </c>
      <c r="E1242" s="118">
        <v>4517</v>
      </c>
      <c r="F1242" s="13">
        <v>45958</v>
      </c>
      <c r="G1242" s="40">
        <v>123696.3</v>
      </c>
      <c r="H1242" s="24">
        <v>116088.98</v>
      </c>
      <c r="I1242" s="3">
        <v>45973</v>
      </c>
      <c r="J1242" s="102">
        <v>45985</v>
      </c>
      <c r="K1242" s="12">
        <v>45988</v>
      </c>
      <c r="L1242" s="1" t="s">
        <v>731</v>
      </c>
      <c r="M1242" s="36">
        <v>0</v>
      </c>
      <c r="N1242"/>
      <c r="O1242" t="s">
        <v>199</v>
      </c>
      <c r="P1242" t="s">
        <v>376</v>
      </c>
      <c r="Q1242" t="s">
        <v>203</v>
      </c>
    </row>
    <row r="1243" spans="1:17" x14ac:dyDescent="0.3">
      <c r="A1243" s="25">
        <v>1294</v>
      </c>
      <c r="B1243" t="s">
        <v>71</v>
      </c>
      <c r="C1243" t="s">
        <v>196</v>
      </c>
      <c r="D1243" t="s">
        <v>413</v>
      </c>
      <c r="E1243" s="118">
        <v>4519</v>
      </c>
      <c r="F1243" s="13">
        <v>45958</v>
      </c>
      <c r="G1243" s="40">
        <v>247341.23</v>
      </c>
      <c r="H1243" s="24">
        <v>232129.74</v>
      </c>
      <c r="I1243" s="3">
        <v>45973</v>
      </c>
      <c r="J1243" s="102">
        <v>45985</v>
      </c>
      <c r="K1243" s="12">
        <v>45988</v>
      </c>
      <c r="L1243" s="1" t="s">
        <v>731</v>
      </c>
      <c r="M1243" s="36">
        <v>0</v>
      </c>
      <c r="N1243"/>
      <c r="O1243" t="s">
        <v>199</v>
      </c>
      <c r="P1243" t="s">
        <v>376</v>
      </c>
      <c r="Q1243" t="s">
        <v>203</v>
      </c>
    </row>
    <row r="1244" spans="1:17" x14ac:dyDescent="0.3">
      <c r="A1244" s="25">
        <v>1294</v>
      </c>
      <c r="B1244" t="s">
        <v>71</v>
      </c>
      <c r="C1244" t="s">
        <v>196</v>
      </c>
      <c r="D1244" t="s">
        <v>413</v>
      </c>
      <c r="E1244" s="118">
        <v>4518</v>
      </c>
      <c r="F1244" s="13">
        <v>45958</v>
      </c>
      <c r="G1244" s="40">
        <v>116871.65</v>
      </c>
      <c r="H1244" s="24">
        <v>109684.05</v>
      </c>
      <c r="I1244" s="3">
        <v>45973</v>
      </c>
      <c r="J1244" s="102">
        <v>45985</v>
      </c>
      <c r="K1244" s="12">
        <v>45988</v>
      </c>
      <c r="L1244" s="1" t="s">
        <v>731</v>
      </c>
      <c r="M1244" s="36">
        <v>0</v>
      </c>
      <c r="N1244"/>
      <c r="O1244" t="s">
        <v>199</v>
      </c>
      <c r="P1244" t="s">
        <v>376</v>
      </c>
      <c r="Q1244" t="s">
        <v>203</v>
      </c>
    </row>
    <row r="1245" spans="1:17" x14ac:dyDescent="0.3">
      <c r="A1245" s="25">
        <v>1294</v>
      </c>
      <c r="B1245" t="s">
        <v>71</v>
      </c>
      <c r="C1245" t="s">
        <v>196</v>
      </c>
      <c r="D1245" t="s">
        <v>413</v>
      </c>
      <c r="E1245" s="118">
        <v>4520</v>
      </c>
      <c r="F1245" s="13">
        <v>45958</v>
      </c>
      <c r="G1245" s="40">
        <v>167314.19</v>
      </c>
      <c r="H1245" s="27">
        <v>157024.37</v>
      </c>
      <c r="I1245" s="3">
        <v>45974</v>
      </c>
      <c r="J1245" s="102">
        <v>45985</v>
      </c>
      <c r="K1245" s="12">
        <v>45989</v>
      </c>
      <c r="L1245" s="1" t="s">
        <v>731</v>
      </c>
      <c r="M1245" s="36">
        <v>0</v>
      </c>
      <c r="N1245"/>
      <c r="O1245" t="s">
        <v>199</v>
      </c>
      <c r="P1245" t="s">
        <v>376</v>
      </c>
      <c r="Q1245" t="s">
        <v>203</v>
      </c>
    </row>
    <row r="1246" spans="1:17" x14ac:dyDescent="0.3">
      <c r="A1246" s="25">
        <v>1294</v>
      </c>
      <c r="B1246" t="s">
        <v>71</v>
      </c>
      <c r="C1246" t="s">
        <v>196</v>
      </c>
      <c r="D1246" t="s">
        <v>413</v>
      </c>
      <c r="E1246" s="118">
        <v>4521</v>
      </c>
      <c r="F1246" s="13">
        <v>45958</v>
      </c>
      <c r="G1246" s="131">
        <v>185528.51</v>
      </c>
      <c r="H1246" s="27">
        <v>174118.49</v>
      </c>
      <c r="I1246" s="3">
        <v>45974</v>
      </c>
      <c r="J1246" s="102">
        <v>45985</v>
      </c>
      <c r="K1246" s="12">
        <v>45989</v>
      </c>
      <c r="L1246" s="1" t="s">
        <v>731</v>
      </c>
      <c r="M1246" s="36">
        <v>0</v>
      </c>
      <c r="N1246"/>
      <c r="O1246" t="s">
        <v>199</v>
      </c>
      <c r="P1246" t="s">
        <v>376</v>
      </c>
      <c r="Q1246" t="s">
        <v>203</v>
      </c>
    </row>
    <row r="1247" spans="1:17" x14ac:dyDescent="0.3">
      <c r="A1247" s="25">
        <v>1294</v>
      </c>
      <c r="B1247" t="s">
        <v>71</v>
      </c>
      <c r="C1247" t="s">
        <v>196</v>
      </c>
      <c r="D1247" t="s">
        <v>413</v>
      </c>
      <c r="E1247" s="118">
        <v>4523</v>
      </c>
      <c r="F1247" s="13">
        <v>45958</v>
      </c>
      <c r="G1247" s="40">
        <v>86759.91</v>
      </c>
      <c r="H1247" s="27">
        <v>81424.17</v>
      </c>
      <c r="I1247" s="3">
        <v>45974</v>
      </c>
      <c r="J1247" s="102">
        <v>45985</v>
      </c>
      <c r="K1247" s="12">
        <v>45989</v>
      </c>
      <c r="L1247" s="1" t="s">
        <v>731</v>
      </c>
      <c r="M1247" s="36">
        <v>0</v>
      </c>
      <c r="N1247"/>
      <c r="O1247" t="s">
        <v>199</v>
      </c>
      <c r="P1247" t="s">
        <v>376</v>
      </c>
      <c r="Q1247" t="s">
        <v>203</v>
      </c>
    </row>
    <row r="1248" spans="1:17" x14ac:dyDescent="0.3">
      <c r="A1248" s="25">
        <v>1294</v>
      </c>
      <c r="B1248" t="s">
        <v>71</v>
      </c>
      <c r="C1248" t="s">
        <v>196</v>
      </c>
      <c r="D1248" t="s">
        <v>413</v>
      </c>
      <c r="E1248" s="118">
        <v>4529</v>
      </c>
      <c r="F1248" s="13">
        <v>45958</v>
      </c>
      <c r="G1248" s="40">
        <v>86759.91</v>
      </c>
      <c r="H1248" s="27">
        <v>81424.17</v>
      </c>
      <c r="I1248" s="3">
        <v>45974</v>
      </c>
      <c r="J1248" s="102">
        <v>45985</v>
      </c>
      <c r="K1248" s="12">
        <v>45989</v>
      </c>
      <c r="L1248" s="1" t="s">
        <v>731</v>
      </c>
      <c r="M1248" s="36">
        <v>0</v>
      </c>
      <c r="N1248"/>
      <c r="O1248" t="s">
        <v>199</v>
      </c>
      <c r="P1248" t="s">
        <v>376</v>
      </c>
      <c r="Q1248" t="s">
        <v>203</v>
      </c>
    </row>
    <row r="1249" spans="1:17" x14ac:dyDescent="0.3">
      <c r="A1249" s="25">
        <v>1294</v>
      </c>
      <c r="B1249" t="s">
        <v>71</v>
      </c>
      <c r="C1249" t="s">
        <v>196</v>
      </c>
      <c r="D1249" t="s">
        <v>413</v>
      </c>
      <c r="E1249" s="118">
        <v>4531</v>
      </c>
      <c r="F1249" s="13">
        <v>45958</v>
      </c>
      <c r="G1249" s="131">
        <v>181920.64000000001</v>
      </c>
      <c r="H1249" s="27">
        <v>170732.52</v>
      </c>
      <c r="I1249" s="3">
        <v>45978</v>
      </c>
      <c r="J1249" s="102">
        <v>45992</v>
      </c>
      <c r="K1249" s="12">
        <v>45993</v>
      </c>
      <c r="L1249" s="1" t="s">
        <v>731</v>
      </c>
      <c r="M1249" s="36">
        <v>0</v>
      </c>
      <c r="N1249"/>
      <c r="O1249" t="s">
        <v>199</v>
      </c>
      <c r="P1249" t="s">
        <v>376</v>
      </c>
      <c r="Q1249" t="s">
        <v>203</v>
      </c>
    </row>
    <row r="1250" spans="1:17" x14ac:dyDescent="0.3">
      <c r="A1250" s="25">
        <v>1294</v>
      </c>
      <c r="B1250" t="s">
        <v>71</v>
      </c>
      <c r="C1250" t="s">
        <v>196</v>
      </c>
      <c r="D1250" t="s">
        <v>413</v>
      </c>
      <c r="E1250" s="118">
        <v>4533</v>
      </c>
      <c r="F1250" s="13">
        <v>45958</v>
      </c>
      <c r="G1250" s="40">
        <v>53988.63</v>
      </c>
      <c r="H1250" s="27">
        <v>50668.33</v>
      </c>
      <c r="I1250" s="3">
        <v>45979</v>
      </c>
      <c r="J1250" s="102">
        <v>45992</v>
      </c>
      <c r="K1250" s="12">
        <v>45994</v>
      </c>
      <c r="L1250" s="1" t="s">
        <v>731</v>
      </c>
      <c r="M1250" s="36">
        <v>0</v>
      </c>
      <c r="N1250"/>
      <c r="O1250" t="s">
        <v>199</v>
      </c>
      <c r="P1250" t="s">
        <v>376</v>
      </c>
      <c r="Q1250" t="s">
        <v>203</v>
      </c>
    </row>
    <row r="1251" spans="1:17" x14ac:dyDescent="0.3">
      <c r="A1251" s="25">
        <v>1294</v>
      </c>
      <c r="B1251" t="s">
        <v>71</v>
      </c>
      <c r="C1251" t="s">
        <v>196</v>
      </c>
      <c r="D1251" t="s">
        <v>413</v>
      </c>
      <c r="E1251" s="118">
        <v>4540</v>
      </c>
      <c r="F1251" s="13">
        <v>45958</v>
      </c>
      <c r="G1251" s="40">
        <v>192382.64</v>
      </c>
      <c r="H1251" s="27">
        <v>180551.11</v>
      </c>
      <c r="I1251" s="3">
        <v>45979</v>
      </c>
      <c r="J1251" s="102">
        <v>45992</v>
      </c>
      <c r="K1251" s="12">
        <v>45994</v>
      </c>
      <c r="L1251" s="1" t="s">
        <v>731</v>
      </c>
      <c r="M1251" s="36">
        <v>0</v>
      </c>
      <c r="N1251"/>
      <c r="O1251" t="s">
        <v>199</v>
      </c>
      <c r="P1251" t="s">
        <v>376</v>
      </c>
      <c r="Q1251" t="s">
        <v>203</v>
      </c>
    </row>
    <row r="1252" spans="1:17" x14ac:dyDescent="0.3">
      <c r="A1252" s="25">
        <v>1285</v>
      </c>
      <c r="B1252" t="s">
        <v>71</v>
      </c>
      <c r="C1252" t="s">
        <v>196</v>
      </c>
      <c r="D1252" t="s">
        <v>404</v>
      </c>
      <c r="E1252" s="118">
        <v>4471</v>
      </c>
      <c r="F1252" s="13">
        <v>45958</v>
      </c>
      <c r="G1252" s="24">
        <v>25534.32</v>
      </c>
      <c r="H1252" s="24">
        <v>23963.96</v>
      </c>
      <c r="I1252" s="3">
        <v>45957</v>
      </c>
      <c r="J1252" s="102">
        <v>45985</v>
      </c>
      <c r="K1252" s="12">
        <v>45987</v>
      </c>
      <c r="L1252" s="1" t="s">
        <v>731</v>
      </c>
      <c r="M1252" s="36">
        <v>0</v>
      </c>
      <c r="N1252" s="26"/>
      <c r="O1252" t="s">
        <v>199</v>
      </c>
      <c r="P1252" t="s">
        <v>376</v>
      </c>
      <c r="Q1252" t="s">
        <v>203</v>
      </c>
    </row>
    <row r="1253" spans="1:17" x14ac:dyDescent="0.3">
      <c r="A1253" s="25">
        <v>1292</v>
      </c>
      <c r="B1253" t="s">
        <v>71</v>
      </c>
      <c r="C1253" t="s">
        <v>200</v>
      </c>
      <c r="D1253" t="s">
        <v>411</v>
      </c>
      <c r="E1253" s="118">
        <v>4508</v>
      </c>
      <c r="F1253" s="13">
        <v>45958</v>
      </c>
      <c r="G1253" s="24">
        <v>34633.19</v>
      </c>
      <c r="H1253" s="24">
        <v>32503.24</v>
      </c>
      <c r="I1253" s="3">
        <v>45971</v>
      </c>
      <c r="J1253" s="102">
        <v>45985</v>
      </c>
      <c r="K1253" s="12">
        <v>45986</v>
      </c>
      <c r="L1253" s="1" t="s">
        <v>731</v>
      </c>
      <c r="M1253" s="36">
        <v>0</v>
      </c>
      <c r="N1253"/>
      <c r="O1253" t="s">
        <v>199</v>
      </c>
      <c r="P1253" t="s">
        <v>376</v>
      </c>
      <c r="Q1253" t="s">
        <v>203</v>
      </c>
    </row>
    <row r="1254" spans="1:17" x14ac:dyDescent="0.3">
      <c r="A1254" s="25">
        <v>1292</v>
      </c>
      <c r="B1254" t="s">
        <v>71</v>
      </c>
      <c r="C1254" t="s">
        <v>200</v>
      </c>
      <c r="D1254" t="s">
        <v>411</v>
      </c>
      <c r="E1254" s="118">
        <v>4512</v>
      </c>
      <c r="F1254" s="13">
        <v>45958</v>
      </c>
      <c r="G1254" s="27">
        <v>31008</v>
      </c>
      <c r="H1254" s="27">
        <v>29101.01</v>
      </c>
      <c r="I1254" s="3">
        <v>45971</v>
      </c>
      <c r="J1254" s="102">
        <v>45985</v>
      </c>
      <c r="K1254" s="12">
        <v>45986</v>
      </c>
      <c r="L1254" s="1" t="s">
        <v>731</v>
      </c>
      <c r="M1254" s="36">
        <v>0</v>
      </c>
      <c r="N1254"/>
      <c r="O1254" t="s">
        <v>199</v>
      </c>
      <c r="P1254" t="s">
        <v>376</v>
      </c>
      <c r="Q1254" t="s">
        <v>203</v>
      </c>
    </row>
    <row r="1255" spans="1:17" x14ac:dyDescent="0.3">
      <c r="A1255" s="25">
        <v>1292</v>
      </c>
      <c r="B1255" t="s">
        <v>71</v>
      </c>
      <c r="C1255" t="s">
        <v>200</v>
      </c>
      <c r="D1255" t="s">
        <v>411</v>
      </c>
      <c r="E1255" s="118">
        <v>4513</v>
      </c>
      <c r="F1255" s="13">
        <v>45958</v>
      </c>
      <c r="G1255" s="27">
        <v>27095.59</v>
      </c>
      <c r="H1255" s="24">
        <v>25429.22</v>
      </c>
      <c r="I1255" s="3">
        <v>45972</v>
      </c>
      <c r="J1255" s="102">
        <v>45985</v>
      </c>
      <c r="K1255" s="12">
        <v>45987</v>
      </c>
      <c r="L1255" s="1" t="s">
        <v>731</v>
      </c>
      <c r="M1255" s="36">
        <v>0</v>
      </c>
      <c r="N1255"/>
      <c r="O1255" t="s">
        <v>199</v>
      </c>
      <c r="P1255" t="s">
        <v>376</v>
      </c>
      <c r="Q1255" t="s">
        <v>203</v>
      </c>
    </row>
    <row r="1256" spans="1:17" x14ac:dyDescent="0.3">
      <c r="A1256" s="25">
        <v>1292</v>
      </c>
      <c r="B1256" t="s">
        <v>71</v>
      </c>
      <c r="C1256" t="s">
        <v>200</v>
      </c>
      <c r="D1256" t="s">
        <v>411</v>
      </c>
      <c r="E1256" s="118">
        <v>4514</v>
      </c>
      <c r="F1256" s="13">
        <v>45958</v>
      </c>
      <c r="G1256" s="27">
        <v>27095.59</v>
      </c>
      <c r="H1256" s="24">
        <v>25429.22</v>
      </c>
      <c r="I1256" s="3">
        <v>45972</v>
      </c>
      <c r="J1256" s="102">
        <v>45985</v>
      </c>
      <c r="K1256" s="12">
        <v>45987</v>
      </c>
      <c r="L1256" s="1" t="s">
        <v>731</v>
      </c>
      <c r="M1256" s="36">
        <v>0</v>
      </c>
      <c r="N1256"/>
      <c r="O1256" t="s">
        <v>199</v>
      </c>
      <c r="P1256" t="s">
        <v>376</v>
      </c>
      <c r="Q1256" t="s">
        <v>203</v>
      </c>
    </row>
    <row r="1257" spans="1:17" x14ac:dyDescent="0.3">
      <c r="A1257" s="25">
        <v>1292</v>
      </c>
      <c r="B1257" t="s">
        <v>71</v>
      </c>
      <c r="C1257" t="s">
        <v>200</v>
      </c>
      <c r="D1257" t="s">
        <v>411</v>
      </c>
      <c r="E1257" s="118">
        <v>4515</v>
      </c>
      <c r="F1257" s="13">
        <v>45958</v>
      </c>
      <c r="G1257" s="27">
        <v>27095.59</v>
      </c>
      <c r="H1257" s="24">
        <v>25429.22</v>
      </c>
      <c r="I1257" s="3">
        <v>45972</v>
      </c>
      <c r="J1257" s="102">
        <v>45985</v>
      </c>
      <c r="K1257" s="12">
        <v>45987</v>
      </c>
      <c r="L1257" s="1" t="s">
        <v>731</v>
      </c>
      <c r="M1257" s="36">
        <v>0</v>
      </c>
      <c r="N1257"/>
      <c r="O1257" t="s">
        <v>199</v>
      </c>
      <c r="P1257" t="s">
        <v>376</v>
      </c>
      <c r="Q1257" t="s">
        <v>203</v>
      </c>
    </row>
    <row r="1258" spans="1:17" x14ac:dyDescent="0.3">
      <c r="A1258" s="25">
        <v>1292</v>
      </c>
      <c r="B1258" t="s">
        <v>71</v>
      </c>
      <c r="C1258" t="s">
        <v>200</v>
      </c>
      <c r="D1258" t="s">
        <v>411</v>
      </c>
      <c r="E1258" s="118">
        <v>4522</v>
      </c>
      <c r="F1258" s="13">
        <v>45958</v>
      </c>
      <c r="G1258" s="27">
        <v>57072</v>
      </c>
      <c r="H1258" s="27">
        <v>53562.07</v>
      </c>
      <c r="I1258" s="3">
        <v>45974</v>
      </c>
      <c r="J1258" s="102">
        <v>45985</v>
      </c>
      <c r="K1258" s="12">
        <v>45989</v>
      </c>
      <c r="L1258" s="1" t="s">
        <v>731</v>
      </c>
      <c r="M1258" s="36"/>
      <c r="N1258"/>
      <c r="O1258" t="s">
        <v>199</v>
      </c>
      <c r="P1258" t="s">
        <v>376</v>
      </c>
      <c r="Q1258" t="s">
        <v>203</v>
      </c>
    </row>
    <row r="1259" spans="1:17" x14ac:dyDescent="0.3">
      <c r="A1259" s="25">
        <v>1507</v>
      </c>
      <c r="B1259" t="s">
        <v>71</v>
      </c>
      <c r="C1259" t="s">
        <v>200</v>
      </c>
      <c r="D1259" t="s">
        <v>657</v>
      </c>
      <c r="E1259" s="118">
        <v>4479</v>
      </c>
      <c r="F1259" s="13">
        <v>45958</v>
      </c>
      <c r="G1259" s="27">
        <v>140554.46</v>
      </c>
      <c r="H1259" s="27">
        <v>131910.35999999999</v>
      </c>
      <c r="I1259" s="3">
        <v>45964</v>
      </c>
      <c r="J1259" s="102">
        <v>45978</v>
      </c>
      <c r="K1259" s="12">
        <v>45979</v>
      </c>
      <c r="L1259" s="1" t="s">
        <v>731</v>
      </c>
      <c r="M1259" s="36">
        <v>0</v>
      </c>
      <c r="N1259"/>
      <c r="O1259" t="s">
        <v>199</v>
      </c>
      <c r="P1259" t="s">
        <v>376</v>
      </c>
      <c r="Q1259" t="s">
        <v>203</v>
      </c>
    </row>
    <row r="1260" spans="1:17" x14ac:dyDescent="0.3">
      <c r="A1260" s="25">
        <v>1507</v>
      </c>
      <c r="B1260" t="s">
        <v>71</v>
      </c>
      <c r="C1260" t="s">
        <v>200</v>
      </c>
      <c r="D1260" t="s">
        <v>657</v>
      </c>
      <c r="E1260" s="118">
        <v>4480</v>
      </c>
      <c r="F1260" s="13">
        <v>45958</v>
      </c>
      <c r="G1260" s="27">
        <v>140554.46</v>
      </c>
      <c r="H1260" s="27">
        <v>131910.35999999999</v>
      </c>
      <c r="I1260" s="3">
        <v>45964</v>
      </c>
      <c r="J1260" s="102">
        <v>45978</v>
      </c>
      <c r="K1260" s="12">
        <v>45979</v>
      </c>
      <c r="L1260" s="1" t="s">
        <v>731</v>
      </c>
      <c r="M1260" s="36">
        <v>0</v>
      </c>
      <c r="N1260"/>
      <c r="O1260" t="s">
        <v>199</v>
      </c>
      <c r="P1260" t="s">
        <v>376</v>
      </c>
      <c r="Q1260" t="s">
        <v>203</v>
      </c>
    </row>
    <row r="1261" spans="1:17" x14ac:dyDescent="0.3">
      <c r="A1261" s="25">
        <v>1507</v>
      </c>
      <c r="B1261" t="s">
        <v>71</v>
      </c>
      <c r="C1261" t="s">
        <v>200</v>
      </c>
      <c r="D1261" t="s">
        <v>657</v>
      </c>
      <c r="E1261" s="118">
        <v>4482</v>
      </c>
      <c r="F1261" s="13">
        <v>45958</v>
      </c>
      <c r="G1261" s="27">
        <v>140554.46</v>
      </c>
      <c r="H1261" s="27">
        <v>131910.35999999999</v>
      </c>
      <c r="I1261" s="3">
        <v>45964</v>
      </c>
      <c r="J1261" s="102">
        <v>45999</v>
      </c>
      <c r="K1261" s="12">
        <v>46000</v>
      </c>
      <c r="L1261" s="1" t="s">
        <v>731</v>
      </c>
      <c r="M1261" s="36">
        <v>0</v>
      </c>
      <c r="N1261"/>
      <c r="O1261" t="s">
        <v>199</v>
      </c>
      <c r="P1261" t="s">
        <v>376</v>
      </c>
      <c r="Q1261" t="s">
        <v>203</v>
      </c>
    </row>
    <row r="1262" spans="1:17" x14ac:dyDescent="0.3">
      <c r="A1262" s="25">
        <v>1507</v>
      </c>
      <c r="B1262" t="s">
        <v>71</v>
      </c>
      <c r="C1262" t="s">
        <v>200</v>
      </c>
      <c r="D1262" t="s">
        <v>657</v>
      </c>
      <c r="E1262" s="118">
        <v>4483</v>
      </c>
      <c r="F1262" s="13">
        <v>45958</v>
      </c>
      <c r="G1262" s="24">
        <v>28856.02</v>
      </c>
      <c r="H1262" s="24">
        <v>27081.38</v>
      </c>
      <c r="I1262" s="3">
        <v>45964</v>
      </c>
      <c r="J1262" s="102">
        <v>45978</v>
      </c>
      <c r="K1262" s="12">
        <v>45979</v>
      </c>
      <c r="L1262" s="1" t="s">
        <v>731</v>
      </c>
      <c r="M1262" s="36">
        <v>0</v>
      </c>
      <c r="N1262"/>
      <c r="O1262" t="s">
        <v>199</v>
      </c>
      <c r="P1262" t="s">
        <v>376</v>
      </c>
      <c r="Q1262" t="s">
        <v>203</v>
      </c>
    </row>
    <row r="1263" spans="1:17" x14ac:dyDescent="0.3">
      <c r="A1263" s="25">
        <v>1507</v>
      </c>
      <c r="B1263" t="s">
        <v>71</v>
      </c>
      <c r="C1263" t="s">
        <v>200</v>
      </c>
      <c r="D1263" t="s">
        <v>657</v>
      </c>
      <c r="E1263" s="118">
        <v>4484</v>
      </c>
      <c r="F1263" s="13">
        <v>45958</v>
      </c>
      <c r="G1263" s="24">
        <v>28856.02</v>
      </c>
      <c r="H1263" s="24">
        <v>27081.38</v>
      </c>
      <c r="I1263" s="3">
        <v>45964</v>
      </c>
      <c r="J1263" s="102">
        <v>45978</v>
      </c>
      <c r="K1263" s="12">
        <v>45979</v>
      </c>
      <c r="L1263" s="1" t="s">
        <v>731</v>
      </c>
      <c r="M1263" s="36">
        <v>0</v>
      </c>
      <c r="N1263"/>
      <c r="O1263" t="s">
        <v>199</v>
      </c>
      <c r="P1263" t="s">
        <v>376</v>
      </c>
      <c r="Q1263" t="s">
        <v>203</v>
      </c>
    </row>
    <row r="1264" spans="1:17" x14ac:dyDescent="0.3">
      <c r="A1264" s="25">
        <v>1507</v>
      </c>
      <c r="B1264" t="s">
        <v>71</v>
      </c>
      <c r="C1264" t="s">
        <v>200</v>
      </c>
      <c r="D1264" t="s">
        <v>657</v>
      </c>
      <c r="E1264" s="118">
        <v>4485</v>
      </c>
      <c r="F1264" s="13">
        <v>45958</v>
      </c>
      <c r="G1264" s="24">
        <v>28856.02</v>
      </c>
      <c r="H1264" s="24">
        <v>27081.38</v>
      </c>
      <c r="I1264" s="3">
        <v>45964</v>
      </c>
      <c r="J1264" s="102">
        <v>45999</v>
      </c>
      <c r="K1264" s="12">
        <v>46000</v>
      </c>
      <c r="L1264" s="1" t="s">
        <v>731</v>
      </c>
      <c r="M1264" s="36">
        <v>0</v>
      </c>
      <c r="N1264"/>
      <c r="O1264" t="s">
        <v>199</v>
      </c>
      <c r="P1264" t="s">
        <v>376</v>
      </c>
      <c r="Q1264" t="s">
        <v>203</v>
      </c>
    </row>
    <row r="1265" spans="1:17" x14ac:dyDescent="0.3">
      <c r="A1265" s="25">
        <v>1507</v>
      </c>
      <c r="B1265" t="s">
        <v>71</v>
      </c>
      <c r="C1265" t="s">
        <v>200</v>
      </c>
      <c r="D1265" t="s">
        <v>657</v>
      </c>
      <c r="E1265" s="118">
        <v>4673</v>
      </c>
      <c r="F1265" s="13">
        <v>45989</v>
      </c>
      <c r="G1265" s="24">
        <v>15295.14</v>
      </c>
      <c r="H1265" s="24">
        <v>14354.49</v>
      </c>
      <c r="I1265" s="3">
        <v>46000</v>
      </c>
      <c r="J1265" s="102">
        <v>46034</v>
      </c>
      <c r="K1265" s="12">
        <v>46034</v>
      </c>
      <c r="L1265" s="1" t="s">
        <v>731</v>
      </c>
      <c r="M1265" s="36">
        <v>0</v>
      </c>
      <c r="N1265"/>
      <c r="O1265" t="s">
        <v>199</v>
      </c>
      <c r="P1265" t="s">
        <v>376</v>
      </c>
      <c r="Q1265" t="s">
        <v>203</v>
      </c>
    </row>
    <row r="1266" spans="1:17" x14ac:dyDescent="0.3">
      <c r="A1266" s="25">
        <v>1507</v>
      </c>
      <c r="B1266" t="s">
        <v>71</v>
      </c>
      <c r="C1266" t="s">
        <v>200</v>
      </c>
      <c r="D1266" t="s">
        <v>657</v>
      </c>
      <c r="E1266" s="118">
        <v>4712</v>
      </c>
      <c r="F1266" s="13">
        <v>45958</v>
      </c>
      <c r="G1266" s="27">
        <v>140554.46</v>
      </c>
      <c r="H1266" s="24">
        <v>131910.35999999999</v>
      </c>
      <c r="I1266" s="3">
        <v>46027</v>
      </c>
      <c r="J1266" s="102">
        <v>46041</v>
      </c>
      <c r="K1266" s="12">
        <v>46042</v>
      </c>
      <c r="L1266" s="1" t="s">
        <v>731</v>
      </c>
      <c r="M1266" s="36">
        <v>0</v>
      </c>
      <c r="N1266"/>
      <c r="O1266" t="s">
        <v>199</v>
      </c>
      <c r="P1266" t="s">
        <v>376</v>
      </c>
      <c r="Q1266" t="s">
        <v>203</v>
      </c>
    </row>
    <row r="1267" spans="1:17" x14ac:dyDescent="0.3">
      <c r="A1267" s="25">
        <v>1507</v>
      </c>
      <c r="B1267" t="s">
        <v>71</v>
      </c>
      <c r="C1267" t="s">
        <v>200</v>
      </c>
      <c r="D1267" t="s">
        <v>657</v>
      </c>
      <c r="E1267" s="118">
        <v>4713</v>
      </c>
      <c r="F1267" s="13">
        <v>45958</v>
      </c>
      <c r="G1267" s="27">
        <v>28856.02</v>
      </c>
      <c r="H1267" s="24">
        <v>27081.38</v>
      </c>
      <c r="I1267" s="3">
        <v>46027</v>
      </c>
      <c r="J1267" s="102">
        <v>46041</v>
      </c>
      <c r="K1267" s="12">
        <v>46042</v>
      </c>
      <c r="L1267" s="1" t="s">
        <v>731</v>
      </c>
      <c r="M1267" s="36">
        <v>0</v>
      </c>
      <c r="N1267"/>
      <c r="O1267" t="s">
        <v>199</v>
      </c>
      <c r="P1267" t="s">
        <v>376</v>
      </c>
      <c r="Q1267" t="s">
        <v>203</v>
      </c>
    </row>
    <row r="1268" spans="1:17" x14ac:dyDescent="0.3">
      <c r="A1268" s="25">
        <v>1507</v>
      </c>
      <c r="B1268" t="s">
        <v>71</v>
      </c>
      <c r="C1268" t="s">
        <v>200</v>
      </c>
      <c r="D1268" t="s">
        <v>657</v>
      </c>
      <c r="E1268" s="118" t="s">
        <v>738</v>
      </c>
      <c r="F1268" s="13">
        <v>46019</v>
      </c>
      <c r="G1268" s="27">
        <v>13216.92</v>
      </c>
      <c r="H1268" s="27">
        <v>12404.08</v>
      </c>
      <c r="I1268" s="3">
        <v>46056</v>
      </c>
      <c r="J1268" s="102">
        <v>46069</v>
      </c>
      <c r="K1268" s="12">
        <v>46071</v>
      </c>
      <c r="L1268" s="1" t="s">
        <v>731</v>
      </c>
      <c r="M1268" s="36">
        <v>0</v>
      </c>
      <c r="N1268"/>
      <c r="O1268" t="s">
        <v>199</v>
      </c>
      <c r="P1268" t="s">
        <v>376</v>
      </c>
      <c r="Q1268" t="s">
        <v>203</v>
      </c>
    </row>
    <row r="1269" spans="1:17" x14ac:dyDescent="0.3">
      <c r="A1269" s="25">
        <v>1507</v>
      </c>
      <c r="B1269" t="s">
        <v>71</v>
      </c>
      <c r="C1269" t="s">
        <v>200</v>
      </c>
      <c r="D1269" t="s">
        <v>657</v>
      </c>
      <c r="E1269" s="118" t="s">
        <v>739</v>
      </c>
      <c r="F1269" s="13">
        <v>46019</v>
      </c>
      <c r="G1269" s="27">
        <v>13216.92</v>
      </c>
      <c r="H1269" s="27">
        <v>12404.08</v>
      </c>
      <c r="I1269" s="3">
        <v>46056</v>
      </c>
      <c r="J1269" s="102">
        <v>46069</v>
      </c>
      <c r="K1269" s="12">
        <v>46071</v>
      </c>
      <c r="L1269" s="1" t="s">
        <v>731</v>
      </c>
      <c r="M1269" s="36">
        <v>0</v>
      </c>
      <c r="N1269"/>
      <c r="O1269" t="s">
        <v>199</v>
      </c>
      <c r="P1269" t="s">
        <v>376</v>
      </c>
      <c r="Q1269" t="s">
        <v>203</v>
      </c>
    </row>
    <row r="1270" spans="1:17" x14ac:dyDescent="0.3">
      <c r="A1270" s="25">
        <v>1507</v>
      </c>
      <c r="B1270" t="s">
        <v>71</v>
      </c>
      <c r="C1270" t="s">
        <v>200</v>
      </c>
      <c r="D1270" t="s">
        <v>657</v>
      </c>
      <c r="E1270" s="118" t="s">
        <v>740</v>
      </c>
      <c r="F1270" s="13">
        <v>46019</v>
      </c>
      <c r="G1270" s="27">
        <v>13216.92</v>
      </c>
      <c r="H1270" s="27">
        <v>12404.08</v>
      </c>
      <c r="I1270" s="3">
        <v>46056</v>
      </c>
      <c r="J1270" s="102">
        <v>46069</v>
      </c>
      <c r="K1270" s="12">
        <v>46071</v>
      </c>
      <c r="L1270" s="1" t="s">
        <v>731</v>
      </c>
      <c r="M1270" s="36">
        <v>0</v>
      </c>
      <c r="N1270"/>
      <c r="O1270" t="s">
        <v>199</v>
      </c>
      <c r="P1270" t="s">
        <v>376</v>
      </c>
      <c r="Q1270" t="s">
        <v>203</v>
      </c>
    </row>
    <row r="1271" spans="1:17" x14ac:dyDescent="0.3">
      <c r="A1271" s="25">
        <v>1507</v>
      </c>
      <c r="B1271" t="s">
        <v>71</v>
      </c>
      <c r="C1271" t="s">
        <v>200</v>
      </c>
      <c r="D1271" t="s">
        <v>657</v>
      </c>
      <c r="E1271" s="118" t="s">
        <v>741</v>
      </c>
      <c r="F1271" s="13">
        <v>46019</v>
      </c>
      <c r="G1271" s="27">
        <v>13216.9</v>
      </c>
      <c r="H1271" s="27">
        <v>12404.06</v>
      </c>
      <c r="I1271" s="3">
        <v>46056</v>
      </c>
      <c r="J1271" s="102">
        <v>46069</v>
      </c>
      <c r="K1271" s="12">
        <v>46071</v>
      </c>
      <c r="L1271" s="1" t="s">
        <v>731</v>
      </c>
      <c r="M1271" s="36">
        <v>0</v>
      </c>
      <c r="N1271"/>
      <c r="O1271" t="s">
        <v>199</v>
      </c>
      <c r="P1271" t="s">
        <v>376</v>
      </c>
      <c r="Q1271" t="s">
        <v>203</v>
      </c>
    </row>
    <row r="1272" spans="1:17" x14ac:dyDescent="0.3">
      <c r="A1272" s="25">
        <v>1507</v>
      </c>
      <c r="B1272" t="s">
        <v>71</v>
      </c>
      <c r="C1272" t="s">
        <v>200</v>
      </c>
      <c r="D1272" t="s">
        <v>657</v>
      </c>
      <c r="E1272" s="118" t="s">
        <v>742</v>
      </c>
      <c r="F1272" s="13">
        <v>46051</v>
      </c>
      <c r="G1272" s="27">
        <v>13216.92</v>
      </c>
      <c r="H1272" s="27">
        <v>12404.08</v>
      </c>
      <c r="I1272" s="3">
        <v>46056</v>
      </c>
      <c r="J1272" s="102">
        <v>46069</v>
      </c>
      <c r="K1272" s="12">
        <v>46071</v>
      </c>
      <c r="L1272" s="1" t="s">
        <v>731</v>
      </c>
      <c r="M1272" s="36">
        <v>0</v>
      </c>
      <c r="N1272"/>
      <c r="O1272" t="s">
        <v>199</v>
      </c>
      <c r="P1272" t="s">
        <v>376</v>
      </c>
      <c r="Q1272" t="s">
        <v>203</v>
      </c>
    </row>
    <row r="1273" spans="1:17" x14ac:dyDescent="0.3">
      <c r="A1273" s="25">
        <v>1507</v>
      </c>
      <c r="B1273" t="s">
        <v>71</v>
      </c>
      <c r="C1273" t="s">
        <v>200</v>
      </c>
      <c r="D1273" t="s">
        <v>657</v>
      </c>
      <c r="E1273" s="118" t="s">
        <v>743</v>
      </c>
      <c r="F1273" s="13">
        <v>46051</v>
      </c>
      <c r="G1273" s="27">
        <v>13216.92</v>
      </c>
      <c r="H1273" s="27">
        <v>12404.08</v>
      </c>
      <c r="I1273" s="3">
        <v>46056</v>
      </c>
      <c r="J1273" s="102">
        <v>46069</v>
      </c>
      <c r="K1273" s="12">
        <v>46071</v>
      </c>
      <c r="L1273" s="1" t="s">
        <v>731</v>
      </c>
      <c r="M1273" s="36">
        <v>0</v>
      </c>
      <c r="N1273"/>
      <c r="O1273" t="s">
        <v>199</v>
      </c>
      <c r="P1273" t="s">
        <v>376</v>
      </c>
      <c r="Q1273" t="s">
        <v>203</v>
      </c>
    </row>
    <row r="1274" spans="1:17" x14ac:dyDescent="0.3">
      <c r="A1274" s="25">
        <v>1507</v>
      </c>
      <c r="B1274" t="s">
        <v>71</v>
      </c>
      <c r="C1274" t="s">
        <v>200</v>
      </c>
      <c r="D1274" t="s">
        <v>657</v>
      </c>
      <c r="E1274" s="118" t="s">
        <v>744</v>
      </c>
      <c r="F1274" s="13">
        <v>46051</v>
      </c>
      <c r="G1274" s="27">
        <v>13216.92</v>
      </c>
      <c r="H1274" s="27">
        <v>12404.08</v>
      </c>
      <c r="I1274" s="3">
        <v>46056</v>
      </c>
      <c r="J1274" s="102">
        <v>46069</v>
      </c>
      <c r="K1274" s="12">
        <v>46071</v>
      </c>
      <c r="L1274" s="1" t="s">
        <v>731</v>
      </c>
      <c r="M1274" s="36">
        <v>0</v>
      </c>
      <c r="N1274"/>
      <c r="O1274" t="s">
        <v>199</v>
      </c>
      <c r="P1274" t="s">
        <v>376</v>
      </c>
      <c r="Q1274" t="s">
        <v>203</v>
      </c>
    </row>
    <row r="1275" spans="1:17" x14ac:dyDescent="0.3">
      <c r="A1275" s="25">
        <v>1507</v>
      </c>
      <c r="B1275" t="s">
        <v>71</v>
      </c>
      <c r="C1275" t="s">
        <v>200</v>
      </c>
      <c r="D1275" t="s">
        <v>657</v>
      </c>
      <c r="E1275" s="118" t="s">
        <v>745</v>
      </c>
      <c r="F1275" s="13">
        <v>46051</v>
      </c>
      <c r="G1275" s="27">
        <v>13216.9</v>
      </c>
      <c r="H1275" s="27">
        <v>12404.06</v>
      </c>
      <c r="I1275" s="3">
        <v>46056</v>
      </c>
      <c r="J1275" s="102">
        <v>46069</v>
      </c>
      <c r="K1275" s="12">
        <v>46071</v>
      </c>
      <c r="L1275" s="1" t="s">
        <v>731</v>
      </c>
      <c r="M1275" s="36">
        <v>0</v>
      </c>
      <c r="N1275"/>
      <c r="O1275" t="s">
        <v>199</v>
      </c>
      <c r="P1275" t="s">
        <v>376</v>
      </c>
      <c r="Q1275" t="s">
        <v>203</v>
      </c>
    </row>
    <row r="1276" spans="1:17" x14ac:dyDescent="0.3">
      <c r="A1276" s="25">
        <v>1507</v>
      </c>
      <c r="B1276" t="s">
        <v>71</v>
      </c>
      <c r="C1276" t="s">
        <v>200</v>
      </c>
      <c r="D1276" t="s">
        <v>657</v>
      </c>
      <c r="E1276" s="118" t="s">
        <v>746</v>
      </c>
      <c r="F1276" s="13">
        <v>46081</v>
      </c>
      <c r="G1276" s="27">
        <v>13216.92</v>
      </c>
      <c r="H1276" s="27">
        <v>12404.08</v>
      </c>
      <c r="I1276" s="3">
        <v>46056</v>
      </c>
      <c r="J1276" s="102">
        <v>46069</v>
      </c>
      <c r="K1276" s="12">
        <v>46071</v>
      </c>
      <c r="L1276" s="1" t="s">
        <v>731</v>
      </c>
      <c r="M1276" s="36">
        <v>0</v>
      </c>
      <c r="N1276"/>
      <c r="O1276" t="s">
        <v>199</v>
      </c>
      <c r="P1276" t="s">
        <v>376</v>
      </c>
      <c r="Q1276" t="s">
        <v>203</v>
      </c>
    </row>
    <row r="1277" spans="1:17" x14ac:dyDescent="0.3">
      <c r="A1277" s="25">
        <v>1507</v>
      </c>
      <c r="B1277" t="s">
        <v>71</v>
      </c>
      <c r="C1277" t="s">
        <v>200</v>
      </c>
      <c r="D1277" t="s">
        <v>657</v>
      </c>
      <c r="E1277" s="118" t="s">
        <v>747</v>
      </c>
      <c r="F1277" s="13">
        <v>46081</v>
      </c>
      <c r="G1277" s="27">
        <v>13216.92</v>
      </c>
      <c r="H1277" s="27">
        <v>12404.08</v>
      </c>
      <c r="I1277" s="3">
        <v>46056</v>
      </c>
      <c r="J1277" s="102">
        <v>46069</v>
      </c>
      <c r="K1277" s="12">
        <v>46071</v>
      </c>
      <c r="L1277" s="1" t="s">
        <v>731</v>
      </c>
      <c r="M1277" s="36">
        <v>0</v>
      </c>
      <c r="N1277"/>
      <c r="O1277" t="s">
        <v>199</v>
      </c>
      <c r="P1277" t="s">
        <v>376</v>
      </c>
      <c r="Q1277" t="s">
        <v>203</v>
      </c>
    </row>
    <row r="1278" spans="1:17" x14ac:dyDescent="0.3">
      <c r="A1278" s="25">
        <v>1507</v>
      </c>
      <c r="B1278" t="s">
        <v>71</v>
      </c>
      <c r="C1278" t="s">
        <v>200</v>
      </c>
      <c r="D1278" t="s">
        <v>657</v>
      </c>
      <c r="E1278" s="118" t="s">
        <v>748</v>
      </c>
      <c r="F1278" s="13">
        <v>46081</v>
      </c>
      <c r="G1278" s="27">
        <v>13216.92</v>
      </c>
      <c r="H1278" s="27">
        <v>12404.08</v>
      </c>
      <c r="I1278" s="3">
        <v>46056</v>
      </c>
      <c r="J1278" s="102">
        <v>46069</v>
      </c>
      <c r="K1278" s="12">
        <v>46071</v>
      </c>
      <c r="L1278" s="1" t="s">
        <v>731</v>
      </c>
      <c r="M1278" s="36">
        <v>0</v>
      </c>
      <c r="N1278"/>
      <c r="O1278" t="s">
        <v>199</v>
      </c>
      <c r="P1278" t="s">
        <v>376</v>
      </c>
      <c r="Q1278" t="s">
        <v>203</v>
      </c>
    </row>
    <row r="1279" spans="1:17" x14ac:dyDescent="0.3">
      <c r="A1279" s="25">
        <v>1507</v>
      </c>
      <c r="B1279" t="s">
        <v>71</v>
      </c>
      <c r="C1279" t="s">
        <v>200</v>
      </c>
      <c r="D1279" t="s">
        <v>657</v>
      </c>
      <c r="E1279" s="118" t="s">
        <v>749</v>
      </c>
      <c r="F1279" s="13">
        <v>46109</v>
      </c>
      <c r="G1279" s="27">
        <v>13216.92</v>
      </c>
      <c r="H1279" s="27">
        <v>12404.08</v>
      </c>
      <c r="I1279" s="3">
        <v>46056</v>
      </c>
      <c r="J1279" s="102">
        <v>46069</v>
      </c>
      <c r="K1279" s="12">
        <v>46071</v>
      </c>
      <c r="L1279" s="1" t="s">
        <v>731</v>
      </c>
      <c r="M1279" s="36">
        <v>0</v>
      </c>
      <c r="N1279"/>
      <c r="O1279" t="s">
        <v>199</v>
      </c>
      <c r="P1279" t="s">
        <v>376</v>
      </c>
      <c r="Q1279" t="s">
        <v>203</v>
      </c>
    </row>
    <row r="1280" spans="1:17" x14ac:dyDescent="0.3">
      <c r="A1280" s="25">
        <v>1507</v>
      </c>
      <c r="B1280" t="s">
        <v>71</v>
      </c>
      <c r="C1280" t="s">
        <v>200</v>
      </c>
      <c r="D1280" t="s">
        <v>657</v>
      </c>
      <c r="E1280" s="118" t="s">
        <v>750</v>
      </c>
      <c r="F1280" s="13">
        <v>46109</v>
      </c>
      <c r="G1280" s="27">
        <v>13216.92</v>
      </c>
      <c r="H1280" s="27">
        <v>12404.08</v>
      </c>
      <c r="I1280" s="3">
        <v>46056</v>
      </c>
      <c r="J1280" s="102">
        <v>46069</v>
      </c>
      <c r="K1280" s="12">
        <v>46071</v>
      </c>
      <c r="L1280" s="1" t="s">
        <v>731</v>
      </c>
      <c r="M1280" s="36">
        <v>0</v>
      </c>
      <c r="N1280"/>
      <c r="O1280" t="s">
        <v>199</v>
      </c>
      <c r="P1280" t="s">
        <v>376</v>
      </c>
      <c r="Q1280" t="s">
        <v>203</v>
      </c>
    </row>
    <row r="1281" spans="1:17" x14ac:dyDescent="0.3">
      <c r="A1281" s="25">
        <v>1507</v>
      </c>
      <c r="B1281" t="s">
        <v>71</v>
      </c>
      <c r="C1281" t="s">
        <v>200</v>
      </c>
      <c r="D1281" t="s">
        <v>657</v>
      </c>
      <c r="E1281" s="118" t="s">
        <v>751</v>
      </c>
      <c r="F1281" s="13">
        <v>46109</v>
      </c>
      <c r="G1281" s="27">
        <v>13216.92</v>
      </c>
      <c r="H1281" s="27">
        <v>12404.08</v>
      </c>
      <c r="I1281" s="3">
        <v>46056</v>
      </c>
      <c r="J1281" s="102">
        <v>46069</v>
      </c>
      <c r="K1281" s="12">
        <v>46071</v>
      </c>
      <c r="L1281" s="1" t="s">
        <v>731</v>
      </c>
      <c r="M1281" s="36">
        <v>0</v>
      </c>
      <c r="N1281"/>
      <c r="O1281" t="s">
        <v>199</v>
      </c>
      <c r="P1281" t="s">
        <v>376</v>
      </c>
      <c r="Q1281" t="s">
        <v>203</v>
      </c>
    </row>
    <row r="1282" spans="1:17" x14ac:dyDescent="0.3">
      <c r="A1282" s="25">
        <v>1507</v>
      </c>
      <c r="B1282" t="s">
        <v>71</v>
      </c>
      <c r="C1282" t="s">
        <v>200</v>
      </c>
      <c r="D1282" t="s">
        <v>657</v>
      </c>
      <c r="E1282" s="118" t="s">
        <v>752</v>
      </c>
      <c r="F1282" s="13">
        <v>46109</v>
      </c>
      <c r="G1282" s="27">
        <v>13216.9</v>
      </c>
      <c r="H1282" s="27">
        <v>12404.06</v>
      </c>
      <c r="I1282" s="3">
        <v>46056</v>
      </c>
      <c r="J1282" s="102">
        <v>46069</v>
      </c>
      <c r="K1282" s="12">
        <v>46071</v>
      </c>
      <c r="L1282" s="1" t="s">
        <v>731</v>
      </c>
      <c r="M1282" s="36">
        <v>0</v>
      </c>
      <c r="N1282"/>
      <c r="O1282" t="s">
        <v>199</v>
      </c>
      <c r="P1282" t="s">
        <v>376</v>
      </c>
      <c r="Q1282" t="s">
        <v>203</v>
      </c>
    </row>
    <row r="1283" spans="1:17" x14ac:dyDescent="0.3">
      <c r="A1283" s="25">
        <v>1507</v>
      </c>
      <c r="B1283" t="s">
        <v>71</v>
      </c>
      <c r="C1283" t="s">
        <v>200</v>
      </c>
      <c r="D1283" t="s">
        <v>657</v>
      </c>
      <c r="E1283" s="118">
        <v>4818</v>
      </c>
      <c r="F1283" s="13">
        <v>46081</v>
      </c>
      <c r="G1283" s="27">
        <v>13216.9</v>
      </c>
      <c r="H1283" s="27">
        <v>12404.06</v>
      </c>
      <c r="I1283" s="3">
        <v>46058</v>
      </c>
      <c r="J1283" s="102">
        <v>46069</v>
      </c>
      <c r="K1283" s="12">
        <v>46073</v>
      </c>
      <c r="L1283" s="1" t="s">
        <v>731</v>
      </c>
      <c r="M1283" s="36">
        <v>0</v>
      </c>
      <c r="N1283"/>
      <c r="O1283" t="s">
        <v>199</v>
      </c>
      <c r="P1283" t="s">
        <v>376</v>
      </c>
      <c r="Q1283" t="s">
        <v>203</v>
      </c>
    </row>
    <row r="1284" spans="1:17" x14ac:dyDescent="0.3">
      <c r="A1284" s="25">
        <v>1507</v>
      </c>
      <c r="B1284" t="s">
        <v>71</v>
      </c>
      <c r="C1284" t="s">
        <v>200</v>
      </c>
      <c r="D1284" t="s">
        <v>657</v>
      </c>
      <c r="E1284" s="118" t="s">
        <v>753</v>
      </c>
      <c r="F1284" s="13">
        <v>46051</v>
      </c>
      <c r="G1284" s="24">
        <v>30933.4</v>
      </c>
      <c r="H1284" s="27">
        <v>29031</v>
      </c>
      <c r="I1284" s="3">
        <v>46064</v>
      </c>
      <c r="J1284" s="102">
        <v>46076</v>
      </c>
      <c r="K1284" s="12">
        <v>46079</v>
      </c>
      <c r="L1284" s="1" t="s">
        <v>731</v>
      </c>
      <c r="M1284" s="36">
        <v>0</v>
      </c>
      <c r="N1284"/>
      <c r="O1284" t="s">
        <v>199</v>
      </c>
      <c r="P1284" t="s">
        <v>376</v>
      </c>
      <c r="Q1284" t="s">
        <v>203</v>
      </c>
    </row>
    <row r="1285" spans="1:17" x14ac:dyDescent="0.3">
      <c r="A1285" s="25">
        <v>1507</v>
      </c>
      <c r="B1285" t="s">
        <v>71</v>
      </c>
      <c r="C1285" t="s">
        <v>200</v>
      </c>
      <c r="D1285" t="s">
        <v>657</v>
      </c>
      <c r="E1285" s="118" t="s">
        <v>754</v>
      </c>
      <c r="F1285" s="13">
        <v>46051</v>
      </c>
      <c r="G1285" s="24">
        <v>30933.4</v>
      </c>
      <c r="H1285" s="27">
        <v>29031</v>
      </c>
      <c r="I1285" s="3">
        <v>46064</v>
      </c>
      <c r="J1285" s="102">
        <v>46076</v>
      </c>
      <c r="K1285" s="12">
        <v>46079</v>
      </c>
      <c r="L1285" s="1" t="s">
        <v>731</v>
      </c>
      <c r="M1285" s="36">
        <v>0</v>
      </c>
      <c r="N1285"/>
      <c r="O1285" t="s">
        <v>199</v>
      </c>
      <c r="P1285" t="s">
        <v>376</v>
      </c>
      <c r="Q1285" t="s">
        <v>203</v>
      </c>
    </row>
    <row r="1286" spans="1:17" x14ac:dyDescent="0.3">
      <c r="A1286" s="25">
        <v>1507</v>
      </c>
      <c r="B1286" t="s">
        <v>71</v>
      </c>
      <c r="C1286" t="s">
        <v>200</v>
      </c>
      <c r="D1286" t="s">
        <v>657</v>
      </c>
      <c r="E1286" s="118" t="s">
        <v>755</v>
      </c>
      <c r="F1286" s="13">
        <v>46051</v>
      </c>
      <c r="G1286" s="24">
        <v>30933.4</v>
      </c>
      <c r="H1286" s="27">
        <v>29031</v>
      </c>
      <c r="I1286" s="3">
        <v>46064</v>
      </c>
      <c r="J1286" s="102">
        <v>46076</v>
      </c>
      <c r="K1286" s="12">
        <v>46079</v>
      </c>
      <c r="L1286" s="1" t="s">
        <v>731</v>
      </c>
      <c r="M1286" s="36">
        <v>0</v>
      </c>
      <c r="N1286"/>
      <c r="O1286" t="s">
        <v>199</v>
      </c>
      <c r="P1286" t="s">
        <v>376</v>
      </c>
      <c r="Q1286" t="s">
        <v>203</v>
      </c>
    </row>
    <row r="1287" spans="1:17" x14ac:dyDescent="0.3">
      <c r="A1287" s="25">
        <v>1507</v>
      </c>
      <c r="B1287" t="s">
        <v>71</v>
      </c>
      <c r="C1287" t="s">
        <v>200</v>
      </c>
      <c r="D1287" t="s">
        <v>657</v>
      </c>
      <c r="E1287" s="118" t="s">
        <v>756</v>
      </c>
      <c r="F1287" s="13">
        <v>46051</v>
      </c>
      <c r="G1287" s="24">
        <v>6074.97</v>
      </c>
      <c r="H1287" s="27">
        <v>5701.36</v>
      </c>
      <c r="I1287" s="3">
        <v>46064</v>
      </c>
      <c r="J1287" s="102">
        <v>46076</v>
      </c>
      <c r="K1287" s="12">
        <v>46079</v>
      </c>
      <c r="L1287" s="1" t="s">
        <v>731</v>
      </c>
      <c r="M1287" s="36">
        <v>0</v>
      </c>
      <c r="N1287"/>
      <c r="O1287" t="s">
        <v>199</v>
      </c>
      <c r="P1287" t="s">
        <v>376</v>
      </c>
      <c r="Q1287" t="s">
        <v>203</v>
      </c>
    </row>
    <row r="1288" spans="1:17" x14ac:dyDescent="0.3">
      <c r="A1288" s="25">
        <v>1507</v>
      </c>
      <c r="B1288" t="s">
        <v>71</v>
      </c>
      <c r="C1288" t="s">
        <v>200</v>
      </c>
      <c r="D1288" t="s">
        <v>657</v>
      </c>
      <c r="E1288" s="118" t="s">
        <v>757</v>
      </c>
      <c r="F1288" s="13">
        <v>46051</v>
      </c>
      <c r="G1288" s="24">
        <v>30933.41</v>
      </c>
      <c r="H1288" s="27">
        <v>29031.01</v>
      </c>
      <c r="I1288" s="3">
        <v>46064</v>
      </c>
      <c r="J1288" s="102">
        <v>46076</v>
      </c>
      <c r="K1288" s="12">
        <v>46079</v>
      </c>
      <c r="L1288" s="1" t="s">
        <v>731</v>
      </c>
      <c r="M1288" s="36">
        <v>0</v>
      </c>
      <c r="N1288"/>
      <c r="O1288" t="s">
        <v>199</v>
      </c>
      <c r="P1288" t="s">
        <v>376</v>
      </c>
      <c r="Q1288" t="s">
        <v>203</v>
      </c>
    </row>
    <row r="1289" spans="1:17" x14ac:dyDescent="0.3">
      <c r="A1289" s="25">
        <v>1507</v>
      </c>
      <c r="B1289" t="s">
        <v>71</v>
      </c>
      <c r="C1289" t="s">
        <v>200</v>
      </c>
      <c r="D1289" t="s">
        <v>657</v>
      </c>
      <c r="E1289" s="118" t="s">
        <v>758</v>
      </c>
      <c r="F1289" s="13">
        <v>46051</v>
      </c>
      <c r="G1289" s="24">
        <v>32039</v>
      </c>
      <c r="H1289" s="27">
        <v>30068.6</v>
      </c>
      <c r="I1289" s="3">
        <v>46064</v>
      </c>
      <c r="J1289" s="102">
        <v>46076</v>
      </c>
      <c r="K1289" s="12">
        <v>46079</v>
      </c>
      <c r="L1289" s="1" t="s">
        <v>731</v>
      </c>
      <c r="M1289" s="36">
        <v>0</v>
      </c>
      <c r="N1289"/>
      <c r="O1289" t="s">
        <v>199</v>
      </c>
      <c r="P1289" t="s">
        <v>376</v>
      </c>
      <c r="Q1289" t="s">
        <v>203</v>
      </c>
    </row>
    <row r="1290" spans="1:17" x14ac:dyDescent="0.3">
      <c r="A1290" s="25">
        <v>1507</v>
      </c>
      <c r="B1290" t="s">
        <v>71</v>
      </c>
      <c r="C1290" t="s">
        <v>200</v>
      </c>
      <c r="D1290" t="s">
        <v>657</v>
      </c>
      <c r="E1290" s="118">
        <v>4850</v>
      </c>
      <c r="F1290" s="13">
        <v>46051</v>
      </c>
      <c r="G1290" s="24">
        <v>29590.400000000001</v>
      </c>
      <c r="H1290" s="24">
        <v>27770.59</v>
      </c>
      <c r="I1290" s="3">
        <v>46066</v>
      </c>
      <c r="J1290" s="102">
        <v>46076</v>
      </c>
      <c r="K1290" s="12">
        <v>46080</v>
      </c>
      <c r="L1290" s="1" t="s">
        <v>731</v>
      </c>
      <c r="M1290" s="36">
        <v>0</v>
      </c>
      <c r="N1290"/>
      <c r="O1290" t="s">
        <v>199</v>
      </c>
      <c r="P1290" t="s">
        <v>376</v>
      </c>
      <c r="Q1290" t="s">
        <v>203</v>
      </c>
    </row>
    <row r="1291" spans="1:17" x14ac:dyDescent="0.3">
      <c r="A1291" s="25">
        <v>1507</v>
      </c>
      <c r="B1291" t="s">
        <v>71</v>
      </c>
      <c r="C1291" t="s">
        <v>200</v>
      </c>
      <c r="D1291" t="s">
        <v>657</v>
      </c>
      <c r="E1291" s="118" t="s">
        <v>759</v>
      </c>
      <c r="F1291" s="13">
        <v>46081</v>
      </c>
      <c r="G1291" s="24">
        <v>30933.4</v>
      </c>
      <c r="H1291" s="27">
        <v>29031</v>
      </c>
      <c r="I1291" s="3">
        <v>46093</v>
      </c>
      <c r="J1291" s="102">
        <v>46104</v>
      </c>
      <c r="K1291" s="12">
        <v>46108</v>
      </c>
      <c r="L1291" s="1" t="s">
        <v>731</v>
      </c>
      <c r="M1291" s="36">
        <v>0</v>
      </c>
      <c r="N1291"/>
      <c r="O1291" t="s">
        <v>199</v>
      </c>
      <c r="P1291" t="s">
        <v>376</v>
      </c>
      <c r="Q1291" t="s">
        <v>203</v>
      </c>
    </row>
    <row r="1292" spans="1:17" x14ac:dyDescent="0.3">
      <c r="A1292" s="25">
        <v>1507</v>
      </c>
      <c r="B1292" t="s">
        <v>71</v>
      </c>
      <c r="C1292" t="s">
        <v>200</v>
      </c>
      <c r="D1292" t="s">
        <v>657</v>
      </c>
      <c r="E1292" s="118" t="s">
        <v>760</v>
      </c>
      <c r="F1292" s="13">
        <v>46081</v>
      </c>
      <c r="G1292" s="24">
        <v>30933.4</v>
      </c>
      <c r="H1292" s="27">
        <v>29031</v>
      </c>
      <c r="I1292" s="3">
        <v>46093</v>
      </c>
      <c r="J1292" s="102">
        <v>46104</v>
      </c>
      <c r="K1292" s="12">
        <v>46108</v>
      </c>
      <c r="L1292" s="1" t="s">
        <v>731</v>
      </c>
      <c r="M1292" s="36">
        <v>0</v>
      </c>
      <c r="N1292"/>
      <c r="O1292" t="s">
        <v>199</v>
      </c>
      <c r="P1292" t="s">
        <v>376</v>
      </c>
      <c r="Q1292" t="s">
        <v>203</v>
      </c>
    </row>
    <row r="1293" spans="1:17" x14ac:dyDescent="0.3">
      <c r="A1293" s="25">
        <v>1507</v>
      </c>
      <c r="B1293" t="s">
        <v>71</v>
      </c>
      <c r="C1293" t="s">
        <v>200</v>
      </c>
      <c r="D1293" t="s">
        <v>657</v>
      </c>
      <c r="E1293" s="118" t="s">
        <v>761</v>
      </c>
      <c r="F1293" s="13">
        <v>46081</v>
      </c>
      <c r="G1293" s="24">
        <v>30933.4</v>
      </c>
      <c r="H1293" s="27">
        <v>29031.01</v>
      </c>
      <c r="I1293" s="3">
        <v>46093</v>
      </c>
      <c r="J1293" s="102">
        <v>46104</v>
      </c>
      <c r="K1293" s="12">
        <v>46108</v>
      </c>
      <c r="L1293" s="1" t="s">
        <v>731</v>
      </c>
      <c r="M1293" s="36">
        <v>0</v>
      </c>
      <c r="N1293"/>
      <c r="O1293" t="s">
        <v>199</v>
      </c>
      <c r="P1293" t="s">
        <v>376</v>
      </c>
      <c r="Q1293" t="s">
        <v>203</v>
      </c>
    </row>
    <row r="1294" spans="1:17" x14ac:dyDescent="0.3">
      <c r="A1294" s="25">
        <v>1507</v>
      </c>
      <c r="B1294" t="s">
        <v>71</v>
      </c>
      <c r="C1294" t="s">
        <v>200</v>
      </c>
      <c r="D1294" t="s">
        <v>657</v>
      </c>
      <c r="E1294" s="118" t="s">
        <v>762</v>
      </c>
      <c r="F1294" s="13">
        <v>46081</v>
      </c>
      <c r="G1294" s="24">
        <v>30933.41</v>
      </c>
      <c r="H1294" s="27">
        <v>29031</v>
      </c>
      <c r="I1294" s="3">
        <v>46093</v>
      </c>
      <c r="J1294" s="102">
        <v>46104</v>
      </c>
      <c r="K1294" s="12">
        <v>46108</v>
      </c>
      <c r="L1294" s="1" t="s">
        <v>731</v>
      </c>
      <c r="M1294" s="36">
        <v>0</v>
      </c>
      <c r="N1294"/>
      <c r="O1294" t="s">
        <v>199</v>
      </c>
      <c r="P1294" t="s">
        <v>376</v>
      </c>
      <c r="Q1294" t="s">
        <v>203</v>
      </c>
    </row>
    <row r="1295" spans="1:17" x14ac:dyDescent="0.3">
      <c r="A1295" s="25">
        <v>1507</v>
      </c>
      <c r="B1295" t="s">
        <v>71</v>
      </c>
      <c r="C1295" t="s">
        <v>200</v>
      </c>
      <c r="D1295" t="s">
        <v>657</v>
      </c>
      <c r="E1295" s="118">
        <v>5028</v>
      </c>
      <c r="F1295" s="13">
        <v>46109</v>
      </c>
      <c r="G1295" s="27">
        <v>13216.92</v>
      </c>
      <c r="H1295" s="24">
        <v>12404.08</v>
      </c>
      <c r="I1295" s="3">
        <v>46119</v>
      </c>
      <c r="J1295" s="102">
        <v>46132</v>
      </c>
      <c r="K1295" s="12">
        <v>46134</v>
      </c>
      <c r="L1295" s="1" t="s">
        <v>731</v>
      </c>
      <c r="M1295" s="36">
        <v>0</v>
      </c>
      <c r="N1295"/>
      <c r="O1295" t="s">
        <v>199</v>
      </c>
      <c r="P1295" t="s">
        <v>376</v>
      </c>
      <c r="Q1295" t="s">
        <v>203</v>
      </c>
    </row>
    <row r="1296" spans="1:17" x14ac:dyDescent="0.3">
      <c r="A1296" s="25">
        <v>1507</v>
      </c>
      <c r="B1296" t="s">
        <v>71</v>
      </c>
      <c r="C1296" t="s">
        <v>200</v>
      </c>
      <c r="D1296" t="s">
        <v>657</v>
      </c>
      <c r="E1296" s="118">
        <v>5029</v>
      </c>
      <c r="F1296" s="13">
        <v>46109</v>
      </c>
      <c r="G1296" s="27">
        <v>13216.9</v>
      </c>
      <c r="H1296" s="24">
        <v>12404.06</v>
      </c>
      <c r="I1296" s="3">
        <v>46119</v>
      </c>
      <c r="J1296" s="102">
        <v>46132</v>
      </c>
      <c r="K1296" s="12">
        <v>46134</v>
      </c>
      <c r="L1296" s="1" t="s">
        <v>731</v>
      </c>
      <c r="M1296" s="36">
        <v>0</v>
      </c>
      <c r="N1296"/>
      <c r="O1296" t="s">
        <v>199</v>
      </c>
      <c r="P1296" t="s">
        <v>376</v>
      </c>
      <c r="Q1296" t="s">
        <v>203</v>
      </c>
    </row>
    <row r="1297" spans="1:17" x14ac:dyDescent="0.3">
      <c r="A1297" s="25">
        <v>1507</v>
      </c>
      <c r="B1297" t="s">
        <v>71</v>
      </c>
      <c r="C1297" t="s">
        <v>200</v>
      </c>
      <c r="D1297" t="s">
        <v>657</v>
      </c>
      <c r="E1297" s="118">
        <v>5030</v>
      </c>
      <c r="F1297" s="13">
        <v>46109</v>
      </c>
      <c r="G1297" s="27">
        <v>13216.92</v>
      </c>
      <c r="H1297" s="24">
        <v>12404.08</v>
      </c>
      <c r="I1297" s="3">
        <v>46119</v>
      </c>
      <c r="J1297" s="102">
        <v>46132</v>
      </c>
      <c r="K1297" s="12">
        <v>46134</v>
      </c>
      <c r="L1297" s="1" t="s">
        <v>731</v>
      </c>
      <c r="M1297" s="36">
        <v>0</v>
      </c>
      <c r="N1297"/>
      <c r="O1297" t="s">
        <v>199</v>
      </c>
      <c r="P1297" t="s">
        <v>376</v>
      </c>
      <c r="Q1297" t="s">
        <v>203</v>
      </c>
    </row>
    <row r="1298" spans="1:17" x14ac:dyDescent="0.3">
      <c r="A1298" s="25">
        <v>1507</v>
      </c>
      <c r="B1298" t="s">
        <v>71</v>
      </c>
      <c r="C1298" t="s">
        <v>200</v>
      </c>
      <c r="D1298" t="s">
        <v>657</v>
      </c>
      <c r="E1298" s="118">
        <v>5031</v>
      </c>
      <c r="F1298" s="13">
        <v>46109</v>
      </c>
      <c r="G1298" s="27">
        <v>13216.92</v>
      </c>
      <c r="H1298" s="24">
        <v>12404.08</v>
      </c>
      <c r="I1298" s="3">
        <v>46119</v>
      </c>
      <c r="J1298" s="102">
        <v>46132</v>
      </c>
      <c r="K1298" s="12">
        <v>46134</v>
      </c>
      <c r="L1298" s="1" t="s">
        <v>731</v>
      </c>
      <c r="M1298" s="36">
        <v>0</v>
      </c>
      <c r="N1298"/>
      <c r="O1298" t="s">
        <v>199</v>
      </c>
      <c r="P1298" t="s">
        <v>376</v>
      </c>
      <c r="Q1298" t="s">
        <v>203</v>
      </c>
    </row>
    <row r="1299" spans="1:17" x14ac:dyDescent="0.3">
      <c r="A1299" s="25">
        <v>1507</v>
      </c>
      <c r="B1299" t="s">
        <v>71</v>
      </c>
      <c r="C1299" t="s">
        <v>200</v>
      </c>
      <c r="D1299" t="s">
        <v>657</v>
      </c>
      <c r="E1299" s="118">
        <v>5032</v>
      </c>
      <c r="F1299" s="13">
        <v>46109</v>
      </c>
      <c r="G1299" s="27">
        <v>13216.92</v>
      </c>
      <c r="H1299" s="24">
        <v>12404.08</v>
      </c>
      <c r="I1299" s="3">
        <v>46119</v>
      </c>
      <c r="J1299" s="102">
        <v>46132</v>
      </c>
      <c r="K1299" s="12">
        <v>46134</v>
      </c>
      <c r="L1299" s="1" t="s">
        <v>731</v>
      </c>
      <c r="M1299" s="36">
        <v>0</v>
      </c>
      <c r="N1299"/>
      <c r="O1299" t="s">
        <v>199</v>
      </c>
      <c r="P1299" t="s">
        <v>376</v>
      </c>
      <c r="Q1299" t="s">
        <v>203</v>
      </c>
    </row>
    <row r="1300" spans="1:17" x14ac:dyDescent="0.3">
      <c r="A1300" s="25">
        <v>1507</v>
      </c>
      <c r="B1300" t="s">
        <v>71</v>
      </c>
      <c r="C1300" t="s">
        <v>200</v>
      </c>
      <c r="D1300" t="s">
        <v>657</v>
      </c>
      <c r="E1300" s="118">
        <v>5033</v>
      </c>
      <c r="F1300" s="13">
        <v>46109</v>
      </c>
      <c r="G1300" s="27">
        <v>13216.9</v>
      </c>
      <c r="H1300" s="24">
        <v>12404.06</v>
      </c>
      <c r="I1300" s="3">
        <v>46119</v>
      </c>
      <c r="J1300" s="102">
        <v>46132</v>
      </c>
      <c r="K1300" s="12">
        <v>46134</v>
      </c>
      <c r="L1300" s="1" t="s">
        <v>731</v>
      </c>
      <c r="M1300" s="36">
        <v>0</v>
      </c>
      <c r="N1300"/>
      <c r="O1300" t="s">
        <v>199</v>
      </c>
      <c r="P1300" t="s">
        <v>376</v>
      </c>
      <c r="Q1300" t="s">
        <v>203</v>
      </c>
    </row>
    <row r="1301" spans="1:17" x14ac:dyDescent="0.3">
      <c r="A1301" s="25">
        <v>1507</v>
      </c>
      <c r="B1301" t="s">
        <v>71</v>
      </c>
      <c r="C1301" t="s">
        <v>200</v>
      </c>
      <c r="D1301" t="s">
        <v>657</v>
      </c>
      <c r="E1301" s="118">
        <v>5034</v>
      </c>
      <c r="F1301" s="13">
        <v>46109</v>
      </c>
      <c r="G1301" s="27">
        <v>13216.92</v>
      </c>
      <c r="H1301" s="24">
        <v>12404.08</v>
      </c>
      <c r="I1301" s="3">
        <v>46119</v>
      </c>
      <c r="J1301" s="102">
        <v>46132</v>
      </c>
      <c r="K1301" s="12">
        <v>46134</v>
      </c>
      <c r="L1301" s="1" t="s">
        <v>731</v>
      </c>
      <c r="M1301" s="36">
        <v>0</v>
      </c>
      <c r="N1301"/>
      <c r="O1301" t="s">
        <v>199</v>
      </c>
      <c r="P1301" t="s">
        <v>376</v>
      </c>
      <c r="Q1301" t="s">
        <v>203</v>
      </c>
    </row>
    <row r="1302" spans="1:17" x14ac:dyDescent="0.3">
      <c r="A1302" s="25">
        <v>1507</v>
      </c>
      <c r="B1302" t="s">
        <v>71</v>
      </c>
      <c r="C1302" t="s">
        <v>200</v>
      </c>
      <c r="D1302" t="s">
        <v>657</v>
      </c>
      <c r="E1302" s="118">
        <v>5035</v>
      </c>
      <c r="F1302" s="13">
        <v>46109</v>
      </c>
      <c r="G1302" s="27">
        <v>13216.92</v>
      </c>
      <c r="H1302" s="24">
        <v>12404.08</v>
      </c>
      <c r="I1302" s="3">
        <v>46119</v>
      </c>
      <c r="J1302" s="102">
        <v>46132</v>
      </c>
      <c r="K1302" s="12">
        <v>46134</v>
      </c>
      <c r="L1302" s="1" t="s">
        <v>731</v>
      </c>
      <c r="M1302" s="36">
        <v>0</v>
      </c>
      <c r="N1302"/>
      <c r="O1302" t="s">
        <v>199</v>
      </c>
      <c r="P1302" t="s">
        <v>376</v>
      </c>
      <c r="Q1302" t="s">
        <v>203</v>
      </c>
    </row>
    <row r="1303" spans="1:17" x14ac:dyDescent="0.3">
      <c r="A1303" s="25">
        <v>1507</v>
      </c>
      <c r="B1303" t="s">
        <v>71</v>
      </c>
      <c r="C1303" t="s">
        <v>200</v>
      </c>
      <c r="D1303" t="s">
        <v>657</v>
      </c>
      <c r="E1303" s="118">
        <v>5069</v>
      </c>
      <c r="F1303" s="13">
        <v>46109</v>
      </c>
      <c r="G1303" s="27">
        <v>30933.41</v>
      </c>
      <c r="H1303" s="27">
        <v>29031.01</v>
      </c>
      <c r="I1303" s="3">
        <v>46125</v>
      </c>
      <c r="J1303" s="102">
        <v>46139</v>
      </c>
      <c r="K1303" s="12">
        <v>46141</v>
      </c>
      <c r="L1303" s="1" t="s">
        <v>731</v>
      </c>
      <c r="M1303" s="36">
        <v>0</v>
      </c>
      <c r="N1303"/>
      <c r="O1303" t="s">
        <v>199</v>
      </c>
      <c r="P1303" t="s">
        <v>376</v>
      </c>
      <c r="Q1303" t="s">
        <v>203</v>
      </c>
    </row>
    <row r="1304" spans="1:17" x14ac:dyDescent="0.3">
      <c r="A1304" s="25">
        <v>1507</v>
      </c>
      <c r="B1304" t="s">
        <v>71</v>
      </c>
      <c r="C1304" t="s">
        <v>200</v>
      </c>
      <c r="D1304" t="s">
        <v>657</v>
      </c>
      <c r="E1304" s="118">
        <v>5073</v>
      </c>
      <c r="F1304" s="13">
        <v>46109</v>
      </c>
      <c r="G1304" s="27">
        <v>30933.4</v>
      </c>
      <c r="H1304" s="27">
        <v>29031</v>
      </c>
      <c r="I1304" s="3">
        <v>46125</v>
      </c>
      <c r="J1304" s="102">
        <v>46139</v>
      </c>
      <c r="K1304" s="12">
        <v>46141</v>
      </c>
      <c r="L1304" s="1" t="s">
        <v>731</v>
      </c>
      <c r="M1304" s="36">
        <v>0</v>
      </c>
      <c r="N1304"/>
      <c r="O1304" t="s">
        <v>199</v>
      </c>
      <c r="P1304" t="s">
        <v>376</v>
      </c>
      <c r="Q1304" t="s">
        <v>203</v>
      </c>
    </row>
    <row r="1305" spans="1:17" x14ac:dyDescent="0.3">
      <c r="A1305" s="25">
        <v>1507</v>
      </c>
      <c r="B1305" t="s">
        <v>71</v>
      </c>
      <c r="C1305" t="s">
        <v>200</v>
      </c>
      <c r="D1305" t="s">
        <v>657</v>
      </c>
      <c r="E1305" s="118">
        <v>5075</v>
      </c>
      <c r="F1305" s="13">
        <v>46109</v>
      </c>
      <c r="G1305" s="27">
        <v>30933.4</v>
      </c>
      <c r="H1305" s="27">
        <v>29031</v>
      </c>
      <c r="I1305" s="3">
        <v>46125</v>
      </c>
      <c r="J1305" s="102">
        <v>46139</v>
      </c>
      <c r="K1305" s="12">
        <v>46141</v>
      </c>
      <c r="L1305" s="1" t="s">
        <v>731</v>
      </c>
      <c r="M1305" s="36">
        <v>0</v>
      </c>
      <c r="N1305"/>
      <c r="O1305" t="s">
        <v>199</v>
      </c>
      <c r="P1305" t="s">
        <v>376</v>
      </c>
      <c r="Q1305" t="s">
        <v>203</v>
      </c>
    </row>
    <row r="1306" spans="1:17" x14ac:dyDescent="0.3">
      <c r="A1306" s="25">
        <v>1507</v>
      </c>
      <c r="B1306" t="s">
        <v>71</v>
      </c>
      <c r="C1306" t="s">
        <v>200</v>
      </c>
      <c r="D1306" t="s">
        <v>657</v>
      </c>
      <c r="E1306" s="118">
        <v>5072</v>
      </c>
      <c r="F1306" s="13">
        <v>46109</v>
      </c>
      <c r="G1306" s="27">
        <v>30933.4</v>
      </c>
      <c r="H1306" s="27">
        <v>29031</v>
      </c>
      <c r="I1306" s="3">
        <v>46125</v>
      </c>
      <c r="J1306" s="102">
        <v>46139</v>
      </c>
      <c r="K1306" s="12">
        <v>46141</v>
      </c>
      <c r="L1306" s="1" t="s">
        <v>731</v>
      </c>
      <c r="M1306" s="36">
        <v>0</v>
      </c>
      <c r="N1306"/>
      <c r="O1306" t="s">
        <v>199</v>
      </c>
      <c r="P1306" t="s">
        <v>376</v>
      </c>
      <c r="Q1306" t="s">
        <v>203</v>
      </c>
    </row>
    <row r="1307" spans="1:17" x14ac:dyDescent="0.3">
      <c r="A1307" s="25">
        <v>1507</v>
      </c>
      <c r="B1307" t="s">
        <v>71</v>
      </c>
      <c r="C1307" t="s">
        <v>200</v>
      </c>
      <c r="D1307" t="s">
        <v>657</v>
      </c>
      <c r="E1307" s="118" t="s">
        <v>868</v>
      </c>
      <c r="F1307" s="13">
        <v>46140</v>
      </c>
      <c r="G1307" s="24">
        <v>30933.4</v>
      </c>
      <c r="H1307" s="27">
        <v>29031</v>
      </c>
      <c r="I1307" s="3">
        <v>46155</v>
      </c>
      <c r="J1307" s="102">
        <v>46167</v>
      </c>
      <c r="K1307" s="12">
        <v>46170</v>
      </c>
      <c r="L1307" s="1" t="s">
        <v>731</v>
      </c>
      <c r="M1307" s="36">
        <v>0</v>
      </c>
      <c r="N1307"/>
      <c r="O1307" t="s">
        <v>199</v>
      </c>
      <c r="P1307" t="s">
        <v>376</v>
      </c>
      <c r="Q1307" t="s">
        <v>203</v>
      </c>
    </row>
    <row r="1308" spans="1:17" x14ac:dyDescent="0.3">
      <c r="A1308" s="25">
        <v>1507</v>
      </c>
      <c r="B1308" t="s">
        <v>71</v>
      </c>
      <c r="C1308" t="s">
        <v>200</v>
      </c>
      <c r="D1308" t="s">
        <v>657</v>
      </c>
      <c r="E1308" s="118" t="s">
        <v>869</v>
      </c>
      <c r="F1308" s="13">
        <v>46140</v>
      </c>
      <c r="G1308" s="24">
        <v>30933.4</v>
      </c>
      <c r="H1308" s="27">
        <v>29031</v>
      </c>
      <c r="I1308" s="3">
        <v>46155</v>
      </c>
      <c r="J1308" s="102">
        <v>46167</v>
      </c>
      <c r="K1308" s="12">
        <v>46170</v>
      </c>
      <c r="L1308" s="1" t="s">
        <v>731</v>
      </c>
      <c r="M1308" s="36">
        <v>0</v>
      </c>
      <c r="N1308"/>
      <c r="O1308" t="s">
        <v>199</v>
      </c>
      <c r="P1308" t="s">
        <v>376</v>
      </c>
      <c r="Q1308" t="s">
        <v>203</v>
      </c>
    </row>
    <row r="1309" spans="1:17" x14ac:dyDescent="0.3">
      <c r="A1309" s="25">
        <v>1507</v>
      </c>
      <c r="B1309" t="s">
        <v>71</v>
      </c>
      <c r="C1309" t="s">
        <v>200</v>
      </c>
      <c r="D1309" t="s">
        <v>657</v>
      </c>
      <c r="E1309" s="118" t="s">
        <v>870</v>
      </c>
      <c r="F1309" s="13">
        <v>46140</v>
      </c>
      <c r="G1309" s="24">
        <v>30933.4</v>
      </c>
      <c r="H1309" s="27">
        <v>29031</v>
      </c>
      <c r="I1309" s="3">
        <v>46155</v>
      </c>
      <c r="J1309" s="102">
        <v>46167</v>
      </c>
      <c r="K1309" s="12">
        <v>46170</v>
      </c>
      <c r="L1309" s="1" t="s">
        <v>731</v>
      </c>
      <c r="M1309" s="36">
        <v>0</v>
      </c>
      <c r="N1309"/>
      <c r="O1309" t="s">
        <v>199</v>
      </c>
      <c r="P1309" t="s">
        <v>376</v>
      </c>
      <c r="Q1309" t="s">
        <v>203</v>
      </c>
    </row>
    <row r="1310" spans="1:17" x14ac:dyDescent="0.3">
      <c r="A1310" s="25">
        <v>1507</v>
      </c>
      <c r="B1310" t="s">
        <v>71</v>
      </c>
      <c r="C1310" t="s">
        <v>200</v>
      </c>
      <c r="D1310" t="s">
        <v>657</v>
      </c>
      <c r="E1310" s="118" t="s">
        <v>871</v>
      </c>
      <c r="F1310" s="13">
        <v>46140</v>
      </c>
      <c r="G1310" s="24">
        <v>30933.41</v>
      </c>
      <c r="H1310" s="27">
        <v>29031.01</v>
      </c>
      <c r="I1310" s="3">
        <v>46155</v>
      </c>
      <c r="J1310" s="102">
        <v>46167</v>
      </c>
      <c r="K1310" s="12">
        <v>46170</v>
      </c>
      <c r="L1310" s="1" t="s">
        <v>731</v>
      </c>
      <c r="M1310" s="36">
        <v>0</v>
      </c>
      <c r="N1310"/>
      <c r="O1310" t="s">
        <v>199</v>
      </c>
      <c r="P1310" t="s">
        <v>376</v>
      </c>
      <c r="Q1310" t="s">
        <v>203</v>
      </c>
    </row>
    <row r="1311" spans="1:17" x14ac:dyDescent="0.3">
      <c r="A1311" s="25">
        <v>1507</v>
      </c>
      <c r="B1311" t="s">
        <v>71</v>
      </c>
      <c r="C1311" t="s">
        <v>200</v>
      </c>
      <c r="D1311" t="s">
        <v>657</v>
      </c>
      <c r="E1311" s="118" t="s">
        <v>872</v>
      </c>
      <c r="F1311" s="13">
        <v>46140</v>
      </c>
      <c r="G1311" s="44">
        <v>13216.92</v>
      </c>
      <c r="H1311" s="27">
        <v>12404.08</v>
      </c>
      <c r="I1311" s="3">
        <v>46155</v>
      </c>
      <c r="J1311" s="161">
        <v>46181</v>
      </c>
      <c r="K1311" s="12"/>
      <c r="L1311" s="1" t="s">
        <v>730</v>
      </c>
      <c r="M1311" s="36">
        <v>0</v>
      </c>
      <c r="N1311"/>
      <c r="O1311" t="s">
        <v>199</v>
      </c>
      <c r="P1311" t="s">
        <v>376</v>
      </c>
      <c r="Q1311" t="s">
        <v>203</v>
      </c>
    </row>
    <row r="1312" spans="1:17" x14ac:dyDescent="0.3">
      <c r="A1312" s="25">
        <v>1507</v>
      </c>
      <c r="B1312" t="s">
        <v>71</v>
      </c>
      <c r="C1312" t="s">
        <v>200</v>
      </c>
      <c r="D1312" t="s">
        <v>657</v>
      </c>
      <c r="E1312" s="118" t="s">
        <v>873</v>
      </c>
      <c r="F1312" s="13">
        <v>46140</v>
      </c>
      <c r="G1312" s="44">
        <v>13216.92</v>
      </c>
      <c r="H1312" s="27">
        <v>12404.08</v>
      </c>
      <c r="I1312" s="3">
        <v>46155</v>
      </c>
      <c r="J1312" s="161">
        <v>46181</v>
      </c>
      <c r="K1312" s="12"/>
      <c r="L1312" s="1" t="s">
        <v>730</v>
      </c>
      <c r="M1312" s="36">
        <v>0</v>
      </c>
      <c r="N1312"/>
      <c r="O1312" t="s">
        <v>199</v>
      </c>
      <c r="P1312" t="s">
        <v>376</v>
      </c>
      <c r="Q1312" t="s">
        <v>203</v>
      </c>
    </row>
    <row r="1313" spans="1:17" x14ac:dyDescent="0.3">
      <c r="A1313" s="25">
        <v>1507</v>
      </c>
      <c r="B1313" t="s">
        <v>71</v>
      </c>
      <c r="C1313" t="s">
        <v>200</v>
      </c>
      <c r="D1313" t="s">
        <v>657</v>
      </c>
      <c r="E1313" s="118" t="s">
        <v>874</v>
      </c>
      <c r="F1313" s="13">
        <v>46140</v>
      </c>
      <c r="G1313" s="44">
        <v>13216.92</v>
      </c>
      <c r="H1313" s="27">
        <v>12404.08</v>
      </c>
      <c r="I1313" s="3">
        <v>46155</v>
      </c>
      <c r="J1313" s="161">
        <v>46181</v>
      </c>
      <c r="K1313" s="12"/>
      <c r="L1313" s="1" t="s">
        <v>730</v>
      </c>
      <c r="M1313" s="36">
        <v>0</v>
      </c>
      <c r="N1313"/>
      <c r="O1313" t="s">
        <v>199</v>
      </c>
      <c r="P1313" t="s">
        <v>376</v>
      </c>
      <c r="Q1313" t="s">
        <v>203</v>
      </c>
    </row>
    <row r="1314" spans="1:17" x14ac:dyDescent="0.3">
      <c r="A1314" s="25">
        <v>1507</v>
      </c>
      <c r="B1314" t="s">
        <v>71</v>
      </c>
      <c r="C1314" t="s">
        <v>200</v>
      </c>
      <c r="D1314" t="s">
        <v>657</v>
      </c>
      <c r="E1314" s="118" t="s">
        <v>875</v>
      </c>
      <c r="F1314" s="13">
        <v>46140</v>
      </c>
      <c r="G1314" s="44">
        <v>13216.9</v>
      </c>
      <c r="H1314" s="27">
        <v>12404.06</v>
      </c>
      <c r="I1314" s="3">
        <v>46155</v>
      </c>
      <c r="J1314" s="161">
        <v>46181</v>
      </c>
      <c r="K1314" s="12"/>
      <c r="L1314" s="1" t="s">
        <v>730</v>
      </c>
      <c r="M1314" s="36">
        <v>0</v>
      </c>
      <c r="N1314"/>
      <c r="O1314" t="s">
        <v>199</v>
      </c>
      <c r="P1314" t="s">
        <v>376</v>
      </c>
      <c r="Q1314" t="s">
        <v>203</v>
      </c>
    </row>
    <row r="1315" spans="1:17" x14ac:dyDescent="0.3">
      <c r="A1315" s="25">
        <v>1507</v>
      </c>
      <c r="B1315" t="s">
        <v>71</v>
      </c>
      <c r="C1315" t="s">
        <v>200</v>
      </c>
      <c r="D1315" t="s">
        <v>657</v>
      </c>
      <c r="E1315" s="118">
        <v>5239</v>
      </c>
      <c r="F1315" s="13">
        <v>46170</v>
      </c>
      <c r="G1315" s="24">
        <v>10963.18</v>
      </c>
      <c r="H1315" s="27">
        <v>10288.942723934018</v>
      </c>
      <c r="I1315" s="3">
        <v>46182</v>
      </c>
      <c r="J1315" s="102">
        <v>46195</v>
      </c>
      <c r="K1315" s="12"/>
      <c r="L1315" s="1" t="s">
        <v>730</v>
      </c>
      <c r="M1315" s="36">
        <v>0</v>
      </c>
      <c r="N1315"/>
      <c r="O1315" t="s">
        <v>199</v>
      </c>
      <c r="P1315" t="s">
        <v>376</v>
      </c>
      <c r="Q1315" t="s">
        <v>203</v>
      </c>
    </row>
    <row r="1316" spans="1:17" x14ac:dyDescent="0.3">
      <c r="A1316" s="25">
        <v>1507</v>
      </c>
      <c r="B1316" t="s">
        <v>71</v>
      </c>
      <c r="C1316" t="s">
        <v>200</v>
      </c>
      <c r="D1316" t="s">
        <v>657</v>
      </c>
      <c r="E1316" s="118">
        <v>5240</v>
      </c>
      <c r="F1316" s="13">
        <v>46170</v>
      </c>
      <c r="G1316" s="24">
        <v>10180.1</v>
      </c>
      <c r="H1316" s="27">
        <v>17062.021020852786</v>
      </c>
      <c r="I1316" s="3">
        <v>46182</v>
      </c>
      <c r="J1316" s="102">
        <v>46195</v>
      </c>
      <c r="K1316" s="12"/>
      <c r="L1316" s="1" t="s">
        <v>730</v>
      </c>
      <c r="M1316" s="36">
        <v>0</v>
      </c>
      <c r="N1316"/>
      <c r="O1316" t="s">
        <v>199</v>
      </c>
      <c r="P1316" t="s">
        <v>376</v>
      </c>
      <c r="Q1316" t="s">
        <v>203</v>
      </c>
    </row>
    <row r="1317" spans="1:17" x14ac:dyDescent="0.3">
      <c r="A1317" s="25">
        <v>1507</v>
      </c>
      <c r="B1317" t="s">
        <v>71</v>
      </c>
      <c r="C1317" t="s">
        <v>200</v>
      </c>
      <c r="D1317" t="s">
        <v>657</v>
      </c>
      <c r="E1317" s="118">
        <v>5241</v>
      </c>
      <c r="F1317" s="13">
        <v>46170</v>
      </c>
      <c r="G1317" s="24">
        <v>39154.22</v>
      </c>
      <c r="H1317" s="27">
        <v>36746.229376906318</v>
      </c>
      <c r="I1317" s="3">
        <v>46182</v>
      </c>
      <c r="J1317" s="102">
        <v>46195</v>
      </c>
      <c r="K1317" s="12"/>
      <c r="L1317" s="1" t="s">
        <v>730</v>
      </c>
      <c r="M1317" s="36">
        <v>0</v>
      </c>
      <c r="N1317"/>
      <c r="O1317" t="s">
        <v>199</v>
      </c>
      <c r="P1317" t="s">
        <v>376</v>
      </c>
      <c r="Q1317" t="s">
        <v>203</v>
      </c>
    </row>
    <row r="1318" spans="1:17" x14ac:dyDescent="0.3">
      <c r="A1318" s="25">
        <v>1507</v>
      </c>
      <c r="B1318" t="s">
        <v>71</v>
      </c>
      <c r="C1318" t="s">
        <v>200</v>
      </c>
      <c r="D1318" t="s">
        <v>657</v>
      </c>
      <c r="E1318" s="118">
        <v>5242</v>
      </c>
      <c r="F1318" s="13">
        <v>46170</v>
      </c>
      <c r="G1318" s="24">
        <v>18010.939999999999</v>
      </c>
      <c r="H1318" s="27">
        <v>16903.264387177092</v>
      </c>
      <c r="I1318" s="3">
        <v>46182</v>
      </c>
      <c r="J1318" s="102">
        <v>46195</v>
      </c>
      <c r="K1318" s="12"/>
      <c r="L1318" s="1" t="s">
        <v>730</v>
      </c>
      <c r="M1318" s="36">
        <v>0</v>
      </c>
      <c r="N1318"/>
      <c r="O1318" t="s">
        <v>199</v>
      </c>
      <c r="P1318" t="s">
        <v>376</v>
      </c>
      <c r="Q1318" t="s">
        <v>203</v>
      </c>
    </row>
    <row r="1319" spans="1:17" x14ac:dyDescent="0.3">
      <c r="A1319" s="25">
        <v>1507</v>
      </c>
      <c r="B1319" t="s">
        <v>71</v>
      </c>
      <c r="C1319" t="s">
        <v>200</v>
      </c>
      <c r="D1319" t="s">
        <v>657</v>
      </c>
      <c r="E1319" s="118">
        <v>5267</v>
      </c>
      <c r="F1319" s="13">
        <v>46140</v>
      </c>
      <c r="G1319" s="24">
        <v>30933.4</v>
      </c>
      <c r="H1319" s="27">
        <v>29030.99</v>
      </c>
      <c r="I1319" s="3">
        <v>46183</v>
      </c>
      <c r="J1319" s="102">
        <v>46195</v>
      </c>
      <c r="K1319" s="12"/>
      <c r="L1319" s="1" t="s">
        <v>730</v>
      </c>
      <c r="M1319" s="36">
        <v>0</v>
      </c>
      <c r="N1319"/>
      <c r="O1319" t="s">
        <v>199</v>
      </c>
      <c r="P1319" t="s">
        <v>376</v>
      </c>
      <c r="Q1319" t="s">
        <v>203</v>
      </c>
    </row>
    <row r="1320" spans="1:17" x14ac:dyDescent="0.3">
      <c r="A1320" s="25">
        <v>1507</v>
      </c>
      <c r="B1320" t="s">
        <v>71</v>
      </c>
      <c r="C1320" t="s">
        <v>200</v>
      </c>
      <c r="D1320" t="s">
        <v>657</v>
      </c>
      <c r="E1320" s="118">
        <v>5265</v>
      </c>
      <c r="F1320" s="13">
        <v>46170</v>
      </c>
      <c r="G1320" s="24">
        <v>30933.4</v>
      </c>
      <c r="H1320" s="27">
        <v>29030.99</v>
      </c>
      <c r="I1320" s="3">
        <v>46183</v>
      </c>
      <c r="J1320" s="102">
        <v>46195</v>
      </c>
      <c r="K1320" s="12"/>
      <c r="L1320" s="1" t="s">
        <v>730</v>
      </c>
      <c r="M1320" s="36">
        <v>0</v>
      </c>
      <c r="N1320"/>
      <c r="O1320" t="s">
        <v>199</v>
      </c>
      <c r="P1320" t="s">
        <v>376</v>
      </c>
      <c r="Q1320" t="s">
        <v>203</v>
      </c>
    </row>
    <row r="1321" spans="1:17" x14ac:dyDescent="0.3">
      <c r="A1321" s="25">
        <v>1507</v>
      </c>
      <c r="B1321" t="s">
        <v>71</v>
      </c>
      <c r="C1321" t="s">
        <v>200</v>
      </c>
      <c r="D1321" t="s">
        <v>657</v>
      </c>
      <c r="E1321" s="118">
        <v>5266</v>
      </c>
      <c r="F1321" s="13">
        <v>46170</v>
      </c>
      <c r="G1321" s="24">
        <v>30933.41</v>
      </c>
      <c r="H1321" s="27">
        <v>29031</v>
      </c>
      <c r="I1321" s="3">
        <v>46183</v>
      </c>
      <c r="J1321" s="102">
        <v>46195</v>
      </c>
      <c r="K1321" s="12"/>
      <c r="L1321" s="1" t="s">
        <v>730</v>
      </c>
      <c r="M1321" s="36">
        <v>0</v>
      </c>
      <c r="N1321"/>
      <c r="O1321" t="s">
        <v>199</v>
      </c>
      <c r="P1321" t="s">
        <v>376</v>
      </c>
      <c r="Q1321" t="s">
        <v>203</v>
      </c>
    </row>
    <row r="1322" spans="1:17" x14ac:dyDescent="0.3">
      <c r="A1322" s="25">
        <v>1507</v>
      </c>
      <c r="B1322" t="s">
        <v>71</v>
      </c>
      <c r="C1322" t="s">
        <v>200</v>
      </c>
      <c r="D1322" t="s">
        <v>657</v>
      </c>
      <c r="E1322" s="118">
        <v>5264</v>
      </c>
      <c r="F1322" s="13">
        <v>46140</v>
      </c>
      <c r="G1322" s="24">
        <v>30933.4</v>
      </c>
      <c r="H1322" s="27">
        <v>29030.99</v>
      </c>
      <c r="I1322" s="3">
        <v>46183</v>
      </c>
      <c r="J1322" s="102">
        <v>46195</v>
      </c>
      <c r="K1322" s="12"/>
      <c r="L1322" s="1" t="s">
        <v>730</v>
      </c>
      <c r="M1322" s="36">
        <v>0</v>
      </c>
      <c r="N1322"/>
      <c r="O1322" t="s">
        <v>199</v>
      </c>
      <c r="P1322" t="s">
        <v>376</v>
      </c>
      <c r="Q1322" t="s">
        <v>203</v>
      </c>
    </row>
    <row r="1323" spans="1:17" x14ac:dyDescent="0.3">
      <c r="A1323" s="25">
        <v>1507</v>
      </c>
      <c r="B1323" t="s">
        <v>71</v>
      </c>
      <c r="C1323" t="s">
        <v>200</v>
      </c>
      <c r="D1323" t="s">
        <v>657</v>
      </c>
      <c r="E1323" s="118">
        <v>5268</v>
      </c>
      <c r="F1323" s="13">
        <v>46170</v>
      </c>
      <c r="G1323" s="24">
        <v>4869.3900000000003</v>
      </c>
      <c r="H1323" s="27">
        <v>4569.92</v>
      </c>
      <c r="I1323" s="3">
        <v>46183</v>
      </c>
      <c r="J1323" s="102">
        <v>46195</v>
      </c>
      <c r="K1323" s="12"/>
      <c r="L1323" s="1" t="s">
        <v>730</v>
      </c>
      <c r="M1323" s="36">
        <v>0</v>
      </c>
      <c r="N1323"/>
      <c r="O1323" t="s">
        <v>199</v>
      </c>
      <c r="P1323" t="s">
        <v>376</v>
      </c>
      <c r="Q1323" t="s">
        <v>203</v>
      </c>
    </row>
    <row r="1324" spans="1:17" x14ac:dyDescent="0.3">
      <c r="A1324" s="25">
        <v>1507</v>
      </c>
      <c r="B1324" t="s">
        <v>71</v>
      </c>
      <c r="C1324" t="s">
        <v>200</v>
      </c>
      <c r="D1324" t="s">
        <v>657</v>
      </c>
      <c r="E1324" s="118">
        <v>5269</v>
      </c>
      <c r="F1324" s="13">
        <v>46170</v>
      </c>
      <c r="G1324" s="24">
        <v>4869.3900000000003</v>
      </c>
      <c r="H1324" s="27">
        <v>4569.92</v>
      </c>
      <c r="I1324" s="3">
        <v>46183</v>
      </c>
      <c r="J1324" s="102">
        <v>46195</v>
      </c>
      <c r="K1324" s="12"/>
      <c r="L1324" s="1" t="s">
        <v>730</v>
      </c>
      <c r="M1324" s="36">
        <v>0</v>
      </c>
      <c r="N1324"/>
      <c r="O1324" t="s">
        <v>199</v>
      </c>
      <c r="P1324" t="s">
        <v>376</v>
      </c>
      <c r="Q1324" t="s">
        <v>203</v>
      </c>
    </row>
    <row r="1325" spans="1:17" x14ac:dyDescent="0.3">
      <c r="A1325" s="25">
        <v>1507</v>
      </c>
      <c r="B1325" t="s">
        <v>71</v>
      </c>
      <c r="C1325" t="s">
        <v>200</v>
      </c>
      <c r="D1325" t="s">
        <v>657</v>
      </c>
      <c r="E1325" s="118">
        <v>5270</v>
      </c>
      <c r="F1325" s="13">
        <v>46170</v>
      </c>
      <c r="G1325" s="24">
        <v>4869.3900000000003</v>
      </c>
      <c r="H1325" s="27">
        <v>4569.92</v>
      </c>
      <c r="I1325" s="3">
        <v>46183</v>
      </c>
      <c r="J1325" s="102">
        <v>46195</v>
      </c>
      <c r="K1325" s="12"/>
      <c r="L1325" s="1" t="s">
        <v>730</v>
      </c>
      <c r="M1325" s="36">
        <v>0</v>
      </c>
      <c r="N1325"/>
      <c r="O1325" t="s">
        <v>199</v>
      </c>
      <c r="P1325" t="s">
        <v>376</v>
      </c>
      <c r="Q1325" t="s">
        <v>203</v>
      </c>
    </row>
    <row r="1326" spans="1:17" x14ac:dyDescent="0.3">
      <c r="A1326" s="25">
        <v>1507</v>
      </c>
      <c r="B1326" t="s">
        <v>71</v>
      </c>
      <c r="C1326" t="s">
        <v>200</v>
      </c>
      <c r="D1326" t="s">
        <v>657</v>
      </c>
      <c r="E1326" s="118">
        <v>5271</v>
      </c>
      <c r="F1326" s="13">
        <v>46170</v>
      </c>
      <c r="G1326" s="24">
        <v>4869.37</v>
      </c>
      <c r="H1326" s="27">
        <v>4569.8999999999996</v>
      </c>
      <c r="I1326" s="3">
        <v>46183</v>
      </c>
      <c r="J1326" s="102">
        <v>46195</v>
      </c>
      <c r="K1326" s="12"/>
      <c r="L1326" s="1" t="s">
        <v>730</v>
      </c>
      <c r="M1326" s="36">
        <v>0</v>
      </c>
      <c r="N1326"/>
      <c r="O1326" t="s">
        <v>199</v>
      </c>
      <c r="P1326" t="s">
        <v>376</v>
      </c>
      <c r="Q1326" t="s">
        <v>203</v>
      </c>
    </row>
    <row r="1327" spans="1:17" x14ac:dyDescent="0.3">
      <c r="A1327" s="25">
        <v>1507</v>
      </c>
      <c r="B1327" t="s">
        <v>71</v>
      </c>
      <c r="C1327" t="s">
        <v>200</v>
      </c>
      <c r="D1327" t="s">
        <v>657</v>
      </c>
      <c r="E1327" s="118"/>
      <c r="F1327" s="13">
        <v>46170</v>
      </c>
      <c r="G1327" s="24">
        <v>139304</v>
      </c>
      <c r="H1327" s="27"/>
      <c r="I1327" s="3">
        <v>46143</v>
      </c>
      <c r="J1327" s="161">
        <v>46188</v>
      </c>
      <c r="K1327" s="12"/>
      <c r="L1327" s="1" t="s">
        <v>719</v>
      </c>
      <c r="M1327" s="36">
        <v>0</v>
      </c>
      <c r="N1327"/>
      <c r="O1327" t="s">
        <v>199</v>
      </c>
      <c r="P1327" t="s">
        <v>376</v>
      </c>
      <c r="Q1327" t="s">
        <v>203</v>
      </c>
    </row>
    <row r="1328" spans="1:17" x14ac:dyDescent="0.3">
      <c r="A1328" s="25">
        <v>1507</v>
      </c>
      <c r="B1328" t="s">
        <v>71</v>
      </c>
      <c r="C1328" t="s">
        <v>200</v>
      </c>
      <c r="D1328" t="s">
        <v>657</v>
      </c>
      <c r="E1328" s="118"/>
      <c r="F1328" s="13">
        <v>46201</v>
      </c>
      <c r="G1328" s="24">
        <v>350000</v>
      </c>
      <c r="H1328" s="27"/>
      <c r="I1328" s="3">
        <v>46174</v>
      </c>
      <c r="J1328" s="161">
        <v>46223</v>
      </c>
      <c r="K1328" s="12"/>
      <c r="L1328" s="1" t="s">
        <v>719</v>
      </c>
      <c r="M1328" s="36">
        <v>0</v>
      </c>
      <c r="N1328"/>
      <c r="O1328" t="s">
        <v>199</v>
      </c>
      <c r="P1328" t="s">
        <v>376</v>
      </c>
      <c r="Q1328" t="s">
        <v>203</v>
      </c>
    </row>
    <row r="1329" spans="1:17" x14ac:dyDescent="0.3">
      <c r="A1329" s="25">
        <v>1512</v>
      </c>
      <c r="B1329" t="s">
        <v>71</v>
      </c>
      <c r="C1329" t="s">
        <v>200</v>
      </c>
      <c r="D1329" t="s">
        <v>664</v>
      </c>
      <c r="E1329" s="118" t="s">
        <v>763</v>
      </c>
      <c r="F1329" s="13">
        <v>46051</v>
      </c>
      <c r="G1329" s="27">
        <v>640.45000000000005</v>
      </c>
      <c r="H1329" s="24">
        <v>601.05999999999995</v>
      </c>
      <c r="I1329" s="3">
        <v>46057</v>
      </c>
      <c r="J1329" s="161">
        <v>46069</v>
      </c>
      <c r="K1329" s="12">
        <v>46072</v>
      </c>
      <c r="L1329" s="1" t="s">
        <v>731</v>
      </c>
      <c r="M1329" s="36">
        <v>0</v>
      </c>
      <c r="N1329"/>
      <c r="O1329" t="s">
        <v>202</v>
      </c>
      <c r="P1329" t="s">
        <v>376</v>
      </c>
      <c r="Q1329" t="s">
        <v>203</v>
      </c>
    </row>
    <row r="1330" spans="1:17" x14ac:dyDescent="0.3">
      <c r="A1330" s="25">
        <v>1512</v>
      </c>
      <c r="B1330" t="s">
        <v>71</v>
      </c>
      <c r="C1330" t="s">
        <v>200</v>
      </c>
      <c r="D1330" t="s">
        <v>664</v>
      </c>
      <c r="E1330" s="118" t="s">
        <v>764</v>
      </c>
      <c r="F1330" s="13">
        <v>46051</v>
      </c>
      <c r="G1330" s="27">
        <v>17292.11</v>
      </c>
      <c r="H1330" s="27">
        <v>16228.65</v>
      </c>
      <c r="I1330" s="3">
        <v>46057</v>
      </c>
      <c r="J1330" s="161">
        <v>46069</v>
      </c>
      <c r="K1330" s="12">
        <v>46072</v>
      </c>
      <c r="L1330" s="1" t="s">
        <v>731</v>
      </c>
      <c r="M1330" s="36">
        <v>0</v>
      </c>
      <c r="N1330"/>
      <c r="O1330" t="s">
        <v>202</v>
      </c>
      <c r="P1330" t="s">
        <v>376</v>
      </c>
      <c r="Q1330" t="s">
        <v>203</v>
      </c>
    </row>
    <row r="1331" spans="1:17" x14ac:dyDescent="0.3">
      <c r="A1331" s="25">
        <v>1512</v>
      </c>
      <c r="B1331" t="s">
        <v>71</v>
      </c>
      <c r="C1331" t="s">
        <v>200</v>
      </c>
      <c r="D1331" t="s">
        <v>664</v>
      </c>
      <c r="E1331" s="118" t="s">
        <v>765</v>
      </c>
      <c r="F1331" s="13">
        <v>46051</v>
      </c>
      <c r="G1331" s="27">
        <v>37786.46</v>
      </c>
      <c r="H1331" s="27">
        <v>35462.589999999997</v>
      </c>
      <c r="I1331" s="3">
        <v>46057</v>
      </c>
      <c r="J1331" s="161">
        <v>46069</v>
      </c>
      <c r="K1331" s="12">
        <v>46072</v>
      </c>
      <c r="L1331" s="1" t="s">
        <v>731</v>
      </c>
      <c r="M1331" s="36">
        <v>0</v>
      </c>
      <c r="N1331"/>
      <c r="O1331" t="s">
        <v>202</v>
      </c>
      <c r="P1331" t="s">
        <v>376</v>
      </c>
      <c r="Q1331" t="s">
        <v>203</v>
      </c>
    </row>
    <row r="1332" spans="1:17" x14ac:dyDescent="0.3">
      <c r="A1332" s="25">
        <v>1512</v>
      </c>
      <c r="B1332" t="s">
        <v>71</v>
      </c>
      <c r="C1332" t="s">
        <v>200</v>
      </c>
      <c r="D1332" t="s">
        <v>664</v>
      </c>
      <c r="E1332" s="118" t="s">
        <v>766</v>
      </c>
      <c r="F1332" s="13">
        <v>46051</v>
      </c>
      <c r="G1332" s="27">
        <v>8325.83</v>
      </c>
      <c r="H1332" s="27">
        <v>7813.79</v>
      </c>
      <c r="I1332" s="3">
        <v>46057</v>
      </c>
      <c r="J1332" s="161">
        <v>46069</v>
      </c>
      <c r="K1332" s="12">
        <v>46072</v>
      </c>
      <c r="L1332" s="1" t="s">
        <v>731</v>
      </c>
      <c r="M1332" s="36">
        <v>0</v>
      </c>
      <c r="N1332"/>
      <c r="O1332" t="s">
        <v>202</v>
      </c>
      <c r="P1332" t="s">
        <v>376</v>
      </c>
      <c r="Q1332" t="s">
        <v>203</v>
      </c>
    </row>
    <row r="1333" spans="1:17" x14ac:dyDescent="0.3">
      <c r="A1333" s="25">
        <v>1512</v>
      </c>
      <c r="B1333" t="s">
        <v>71</v>
      </c>
      <c r="C1333" t="s">
        <v>200</v>
      </c>
      <c r="D1333" t="s">
        <v>664</v>
      </c>
      <c r="E1333" s="118" t="s">
        <v>851</v>
      </c>
      <c r="F1333" s="13">
        <v>46109</v>
      </c>
      <c r="G1333" s="27">
        <v>37786.46</v>
      </c>
      <c r="H1333" s="24">
        <v>35462.589999999997</v>
      </c>
      <c r="I1333" s="3">
        <v>46120</v>
      </c>
      <c r="J1333" s="161">
        <v>46132</v>
      </c>
      <c r="K1333" s="12">
        <v>46135</v>
      </c>
      <c r="L1333" s="1" t="s">
        <v>731</v>
      </c>
      <c r="M1333" s="36">
        <v>0</v>
      </c>
      <c r="N1333"/>
      <c r="O1333" t="s">
        <v>202</v>
      </c>
      <c r="P1333" t="s">
        <v>376</v>
      </c>
      <c r="Q1333" t="s">
        <v>203</v>
      </c>
    </row>
    <row r="1334" spans="1:17" x14ac:dyDescent="0.3">
      <c r="A1334" s="25">
        <v>1512</v>
      </c>
      <c r="B1334" t="s">
        <v>71</v>
      </c>
      <c r="C1334" t="s">
        <v>200</v>
      </c>
      <c r="D1334" t="s">
        <v>664</v>
      </c>
      <c r="E1334" s="118" t="s">
        <v>852</v>
      </c>
      <c r="F1334" s="13">
        <v>46109</v>
      </c>
      <c r="G1334" s="27">
        <v>17292.11</v>
      </c>
      <c r="H1334" s="24">
        <v>16228.65</v>
      </c>
      <c r="I1334" s="3">
        <v>46120</v>
      </c>
      <c r="J1334" s="161">
        <v>46132</v>
      </c>
      <c r="K1334" s="12">
        <v>46135</v>
      </c>
      <c r="L1334" s="1" t="s">
        <v>731</v>
      </c>
      <c r="M1334" s="36">
        <v>0</v>
      </c>
      <c r="N1334"/>
      <c r="O1334" t="s">
        <v>202</v>
      </c>
      <c r="P1334" t="s">
        <v>376</v>
      </c>
      <c r="Q1334" t="s">
        <v>203</v>
      </c>
    </row>
    <row r="1335" spans="1:17" x14ac:dyDescent="0.3">
      <c r="A1335" s="25">
        <v>1512</v>
      </c>
      <c r="B1335" t="s">
        <v>71</v>
      </c>
      <c r="C1335" t="s">
        <v>200</v>
      </c>
      <c r="D1335" t="s">
        <v>664</v>
      </c>
      <c r="E1335" s="118" t="s">
        <v>853</v>
      </c>
      <c r="F1335" s="13">
        <v>46109</v>
      </c>
      <c r="G1335" s="27">
        <v>640.45000000000005</v>
      </c>
      <c r="H1335" s="24">
        <v>601.05999999999995</v>
      </c>
      <c r="I1335" s="3">
        <v>46120</v>
      </c>
      <c r="J1335" s="161">
        <v>46132</v>
      </c>
      <c r="K1335" s="12">
        <v>46135</v>
      </c>
      <c r="L1335" s="1" t="s">
        <v>731</v>
      </c>
      <c r="M1335" s="36">
        <v>0</v>
      </c>
      <c r="N1335"/>
      <c r="O1335" t="s">
        <v>202</v>
      </c>
      <c r="P1335" t="s">
        <v>376</v>
      </c>
      <c r="Q1335" t="s">
        <v>203</v>
      </c>
    </row>
    <row r="1336" spans="1:17" x14ac:dyDescent="0.3">
      <c r="A1336" s="25">
        <v>1512</v>
      </c>
      <c r="B1336" t="s">
        <v>71</v>
      </c>
      <c r="C1336" t="s">
        <v>200</v>
      </c>
      <c r="D1336" t="s">
        <v>664</v>
      </c>
      <c r="E1336" s="118" t="s">
        <v>854</v>
      </c>
      <c r="F1336" s="13">
        <v>46109</v>
      </c>
      <c r="G1336" s="27">
        <v>8325.83</v>
      </c>
      <c r="H1336" s="24">
        <v>7813.79</v>
      </c>
      <c r="I1336" s="3">
        <v>46120</v>
      </c>
      <c r="J1336" s="161">
        <v>46132</v>
      </c>
      <c r="K1336" s="12">
        <v>46135</v>
      </c>
      <c r="L1336" s="1" t="s">
        <v>731</v>
      </c>
      <c r="M1336" s="36">
        <v>0</v>
      </c>
      <c r="N1336"/>
      <c r="O1336" t="s">
        <v>202</v>
      </c>
      <c r="P1336" t="s">
        <v>376</v>
      </c>
      <c r="Q1336" t="s">
        <v>203</v>
      </c>
    </row>
    <row r="1337" spans="1:17" x14ac:dyDescent="0.3">
      <c r="A1337" s="25">
        <v>1512</v>
      </c>
      <c r="B1337" t="s">
        <v>71</v>
      </c>
      <c r="C1337" t="s">
        <v>200</v>
      </c>
      <c r="D1337" t="s">
        <v>664</v>
      </c>
      <c r="E1337" s="118" t="s">
        <v>855</v>
      </c>
      <c r="F1337" s="13">
        <v>46109</v>
      </c>
      <c r="G1337" s="27">
        <v>640.45000000000005</v>
      </c>
      <c r="H1337" s="24">
        <v>601.05999999999995</v>
      </c>
      <c r="I1337" s="3">
        <v>46120</v>
      </c>
      <c r="J1337" s="161">
        <v>46132</v>
      </c>
      <c r="K1337" s="12">
        <v>46135</v>
      </c>
      <c r="L1337" s="1" t="s">
        <v>731</v>
      </c>
      <c r="M1337" s="36">
        <v>0</v>
      </c>
      <c r="N1337"/>
      <c r="O1337" t="s">
        <v>202</v>
      </c>
      <c r="P1337" t="s">
        <v>376</v>
      </c>
      <c r="Q1337" t="s">
        <v>203</v>
      </c>
    </row>
    <row r="1338" spans="1:17" x14ac:dyDescent="0.3">
      <c r="A1338" s="25">
        <v>1512</v>
      </c>
      <c r="B1338" t="s">
        <v>71</v>
      </c>
      <c r="C1338" t="s">
        <v>200</v>
      </c>
      <c r="D1338" t="s">
        <v>664</v>
      </c>
      <c r="E1338" s="118" t="s">
        <v>856</v>
      </c>
      <c r="F1338" s="13">
        <v>46109</v>
      </c>
      <c r="G1338" s="27">
        <v>8325.83</v>
      </c>
      <c r="H1338" s="24">
        <v>7813.79</v>
      </c>
      <c r="I1338" s="3">
        <v>46120</v>
      </c>
      <c r="J1338" s="161">
        <v>46132</v>
      </c>
      <c r="K1338" s="12">
        <v>46135</v>
      </c>
      <c r="L1338" s="1" t="s">
        <v>731</v>
      </c>
      <c r="M1338" s="36">
        <v>0</v>
      </c>
      <c r="N1338"/>
      <c r="O1338" t="s">
        <v>202</v>
      </c>
      <c r="P1338" t="s">
        <v>376</v>
      </c>
      <c r="Q1338" t="s">
        <v>203</v>
      </c>
    </row>
    <row r="1339" spans="1:17" x14ac:dyDescent="0.3">
      <c r="A1339" s="25">
        <v>1512</v>
      </c>
      <c r="B1339" t="s">
        <v>71</v>
      </c>
      <c r="C1339" t="s">
        <v>200</v>
      </c>
      <c r="D1339" t="s">
        <v>664</v>
      </c>
      <c r="E1339" s="118" t="s">
        <v>857</v>
      </c>
      <c r="F1339" s="13">
        <v>46109</v>
      </c>
      <c r="G1339" s="27">
        <v>37786.46</v>
      </c>
      <c r="H1339" s="24">
        <v>35462.589999999997</v>
      </c>
      <c r="I1339" s="3">
        <v>46120</v>
      </c>
      <c r="J1339" s="161">
        <v>46132</v>
      </c>
      <c r="K1339" s="12">
        <v>46135</v>
      </c>
      <c r="L1339" s="1" t="s">
        <v>731</v>
      </c>
      <c r="M1339" s="36">
        <v>0</v>
      </c>
      <c r="N1339"/>
      <c r="O1339" t="s">
        <v>202</v>
      </c>
      <c r="P1339" t="s">
        <v>376</v>
      </c>
      <c r="Q1339" t="s">
        <v>203</v>
      </c>
    </row>
    <row r="1340" spans="1:17" x14ac:dyDescent="0.3">
      <c r="A1340" s="25">
        <v>1512</v>
      </c>
      <c r="B1340" t="s">
        <v>71</v>
      </c>
      <c r="C1340" t="s">
        <v>200</v>
      </c>
      <c r="D1340" t="s">
        <v>664</v>
      </c>
      <c r="E1340" s="118" t="s">
        <v>858</v>
      </c>
      <c r="F1340" s="13">
        <v>46109</v>
      </c>
      <c r="G1340" s="27">
        <v>37786.46</v>
      </c>
      <c r="H1340" s="24">
        <v>35462.589999999997</v>
      </c>
      <c r="I1340" s="3">
        <v>46120</v>
      </c>
      <c r="J1340" s="161">
        <v>46132</v>
      </c>
      <c r="K1340" s="12">
        <v>46135</v>
      </c>
      <c r="L1340" s="1" t="s">
        <v>731</v>
      </c>
      <c r="M1340" s="36">
        <v>0</v>
      </c>
      <c r="N1340"/>
      <c r="O1340" t="s">
        <v>202</v>
      </c>
      <c r="P1340" t="s">
        <v>376</v>
      </c>
      <c r="Q1340" t="s">
        <v>203</v>
      </c>
    </row>
    <row r="1341" spans="1:17" x14ac:dyDescent="0.3">
      <c r="A1341" s="25">
        <v>1512</v>
      </c>
      <c r="B1341" t="s">
        <v>71</v>
      </c>
      <c r="C1341" t="s">
        <v>200</v>
      </c>
      <c r="D1341" t="s">
        <v>664</v>
      </c>
      <c r="E1341" s="118" t="s">
        <v>859</v>
      </c>
      <c r="F1341" s="13">
        <v>46109</v>
      </c>
      <c r="G1341" s="27">
        <v>17292.11</v>
      </c>
      <c r="H1341" s="24">
        <v>16228.65</v>
      </c>
      <c r="I1341" s="3">
        <v>46120</v>
      </c>
      <c r="J1341" s="161">
        <v>46132</v>
      </c>
      <c r="K1341" s="12">
        <v>46135</v>
      </c>
      <c r="L1341" s="1" t="s">
        <v>731</v>
      </c>
      <c r="M1341" s="36">
        <v>0</v>
      </c>
      <c r="N1341"/>
      <c r="O1341" t="s">
        <v>202</v>
      </c>
      <c r="P1341" t="s">
        <v>376</v>
      </c>
      <c r="Q1341" t="s">
        <v>203</v>
      </c>
    </row>
    <row r="1342" spans="1:17" x14ac:dyDescent="0.3">
      <c r="A1342" s="25">
        <v>1512</v>
      </c>
      <c r="B1342" t="s">
        <v>71</v>
      </c>
      <c r="C1342" t="s">
        <v>200</v>
      </c>
      <c r="D1342" t="s">
        <v>664</v>
      </c>
      <c r="E1342" s="118" t="s">
        <v>860</v>
      </c>
      <c r="F1342" s="13">
        <v>46109</v>
      </c>
      <c r="G1342" s="27">
        <v>640.45000000000005</v>
      </c>
      <c r="H1342" s="24">
        <v>601.05999999999995</v>
      </c>
      <c r="I1342" s="3">
        <v>46120</v>
      </c>
      <c r="J1342" s="161">
        <v>46132</v>
      </c>
      <c r="K1342" s="12">
        <v>46135</v>
      </c>
      <c r="L1342" s="1" t="s">
        <v>731</v>
      </c>
      <c r="M1342" s="36">
        <v>0</v>
      </c>
      <c r="N1342"/>
      <c r="O1342" t="s">
        <v>202</v>
      </c>
      <c r="P1342" t="s">
        <v>376</v>
      </c>
      <c r="Q1342" t="s">
        <v>203</v>
      </c>
    </row>
    <row r="1343" spans="1:17" x14ac:dyDescent="0.3">
      <c r="A1343" s="25">
        <v>1512</v>
      </c>
      <c r="B1343" t="s">
        <v>71</v>
      </c>
      <c r="C1343" t="s">
        <v>200</v>
      </c>
      <c r="D1343" t="s">
        <v>664</v>
      </c>
      <c r="E1343" s="118" t="s">
        <v>861</v>
      </c>
      <c r="F1343" s="13">
        <v>46109</v>
      </c>
      <c r="G1343" s="27">
        <v>8325.83</v>
      </c>
      <c r="H1343" s="24">
        <v>7813.79</v>
      </c>
      <c r="I1343" s="3">
        <v>46120</v>
      </c>
      <c r="J1343" s="161">
        <v>46132</v>
      </c>
      <c r="K1343" s="12">
        <v>46135</v>
      </c>
      <c r="L1343" s="1" t="s">
        <v>731</v>
      </c>
      <c r="M1343" s="36">
        <v>0</v>
      </c>
      <c r="N1343"/>
      <c r="O1343" t="s">
        <v>202</v>
      </c>
      <c r="P1343" t="s">
        <v>376</v>
      </c>
      <c r="Q1343" t="s">
        <v>203</v>
      </c>
    </row>
    <row r="1344" spans="1:17" x14ac:dyDescent="0.3">
      <c r="A1344" s="25">
        <v>1512</v>
      </c>
      <c r="B1344" t="s">
        <v>71</v>
      </c>
      <c r="C1344" t="s">
        <v>200</v>
      </c>
      <c r="D1344" t="s">
        <v>664</v>
      </c>
      <c r="E1344" s="118" t="s">
        <v>862</v>
      </c>
      <c r="F1344" s="13">
        <v>46109</v>
      </c>
      <c r="G1344" s="27">
        <v>17292.11</v>
      </c>
      <c r="H1344" s="24">
        <v>16228.65</v>
      </c>
      <c r="I1344" s="3">
        <v>46120</v>
      </c>
      <c r="J1344" s="161">
        <v>46132</v>
      </c>
      <c r="K1344" s="12">
        <v>46135</v>
      </c>
      <c r="L1344" s="1" t="s">
        <v>731</v>
      </c>
      <c r="M1344" s="36">
        <v>0</v>
      </c>
      <c r="N1344"/>
      <c r="O1344" t="s">
        <v>202</v>
      </c>
      <c r="P1344" t="s">
        <v>376</v>
      </c>
      <c r="Q1344" t="s">
        <v>203</v>
      </c>
    </row>
    <row r="1345" spans="1:17" x14ac:dyDescent="0.3">
      <c r="A1345" s="25">
        <v>1512</v>
      </c>
      <c r="B1345" t="s">
        <v>71</v>
      </c>
      <c r="C1345" t="s">
        <v>200</v>
      </c>
      <c r="D1345" t="s">
        <v>664</v>
      </c>
      <c r="E1345" s="118">
        <v>5141</v>
      </c>
      <c r="F1345" s="13">
        <v>46140</v>
      </c>
      <c r="G1345" s="24">
        <v>4550.55</v>
      </c>
      <c r="H1345" s="27">
        <v>4270.6899999999996</v>
      </c>
      <c r="I1345" s="3">
        <v>46155</v>
      </c>
      <c r="J1345" s="102">
        <v>46167</v>
      </c>
      <c r="K1345" s="12">
        <v>46170</v>
      </c>
      <c r="L1345" s="1" t="s">
        <v>731</v>
      </c>
      <c r="M1345" s="36">
        <v>0</v>
      </c>
      <c r="N1345"/>
      <c r="O1345" t="s">
        <v>202</v>
      </c>
      <c r="P1345" t="s">
        <v>376</v>
      </c>
      <c r="Q1345" t="s">
        <v>203</v>
      </c>
    </row>
    <row r="1346" spans="1:17" x14ac:dyDescent="0.3">
      <c r="A1346" s="25">
        <v>1512</v>
      </c>
      <c r="B1346" t="s">
        <v>71</v>
      </c>
      <c r="C1346" t="s">
        <v>200</v>
      </c>
      <c r="D1346" t="s">
        <v>664</v>
      </c>
      <c r="E1346" s="118">
        <v>5142</v>
      </c>
      <c r="F1346" s="13">
        <v>46140</v>
      </c>
      <c r="G1346" s="24">
        <v>168.54</v>
      </c>
      <c r="H1346" s="27">
        <v>158.16999999999999</v>
      </c>
      <c r="I1346" s="3">
        <v>46155</v>
      </c>
      <c r="J1346" s="102">
        <v>46167</v>
      </c>
      <c r="K1346" s="12">
        <v>46170</v>
      </c>
      <c r="L1346" s="1" t="s">
        <v>731</v>
      </c>
      <c r="M1346" s="36">
        <v>0</v>
      </c>
      <c r="N1346"/>
      <c r="O1346" t="s">
        <v>202</v>
      </c>
      <c r="P1346" t="s">
        <v>376</v>
      </c>
      <c r="Q1346" t="s">
        <v>203</v>
      </c>
    </row>
    <row r="1347" spans="1:17" x14ac:dyDescent="0.3">
      <c r="A1347" s="25">
        <v>1512</v>
      </c>
      <c r="B1347" t="s">
        <v>71</v>
      </c>
      <c r="C1347" t="s">
        <v>200</v>
      </c>
      <c r="D1347" t="s">
        <v>664</v>
      </c>
      <c r="E1347" s="118">
        <v>5143</v>
      </c>
      <c r="F1347" s="13">
        <v>46140</v>
      </c>
      <c r="G1347" s="24">
        <v>2191.0100000000002</v>
      </c>
      <c r="H1347" s="27">
        <v>2056.2600000000002</v>
      </c>
      <c r="I1347" s="3">
        <v>46155</v>
      </c>
      <c r="J1347" s="102">
        <v>46167</v>
      </c>
      <c r="K1347" s="12">
        <v>46170</v>
      </c>
      <c r="L1347" s="1" t="s">
        <v>731</v>
      </c>
      <c r="M1347" s="36">
        <v>0</v>
      </c>
      <c r="N1347"/>
      <c r="O1347" t="s">
        <v>202</v>
      </c>
      <c r="P1347" t="s">
        <v>376</v>
      </c>
      <c r="Q1347" t="s">
        <v>203</v>
      </c>
    </row>
    <row r="1348" spans="1:17" x14ac:dyDescent="0.3">
      <c r="A1348" s="25">
        <v>1512</v>
      </c>
      <c r="B1348" t="s">
        <v>71</v>
      </c>
      <c r="C1348" t="s">
        <v>200</v>
      </c>
      <c r="D1348" t="s">
        <v>664</v>
      </c>
      <c r="E1348" s="118">
        <v>5144</v>
      </c>
      <c r="F1348" s="13">
        <v>46140</v>
      </c>
      <c r="G1348" s="24">
        <v>9943.7900000000009</v>
      </c>
      <c r="H1348" s="27">
        <v>9332.24</v>
      </c>
      <c r="I1348" s="3">
        <v>46155</v>
      </c>
      <c r="J1348" s="102">
        <v>46167</v>
      </c>
      <c r="K1348" s="12">
        <v>46170</v>
      </c>
      <c r="L1348" s="1" t="s">
        <v>731</v>
      </c>
      <c r="M1348" s="36">
        <v>0</v>
      </c>
      <c r="N1348"/>
      <c r="O1348" t="s">
        <v>202</v>
      </c>
      <c r="P1348" t="s">
        <v>376</v>
      </c>
      <c r="Q1348" t="s">
        <v>203</v>
      </c>
    </row>
    <row r="1349" spans="1:17" x14ac:dyDescent="0.3">
      <c r="A1349" s="25">
        <v>1512</v>
      </c>
      <c r="B1349" t="s">
        <v>71</v>
      </c>
      <c r="C1349" t="s">
        <v>200</v>
      </c>
      <c r="D1349" t="s">
        <v>664</v>
      </c>
      <c r="E1349" s="118"/>
      <c r="F1349" s="13">
        <v>46170</v>
      </c>
      <c r="G1349" s="24">
        <v>64045</v>
      </c>
      <c r="H1349" s="27"/>
      <c r="I1349" s="3">
        <v>46174</v>
      </c>
      <c r="J1349" s="161">
        <v>46195</v>
      </c>
      <c r="K1349" s="12"/>
      <c r="L1349" s="1" t="s">
        <v>719</v>
      </c>
      <c r="M1349" s="36">
        <v>0</v>
      </c>
      <c r="N1349"/>
      <c r="O1349" t="s">
        <v>202</v>
      </c>
      <c r="P1349" t="s">
        <v>376</v>
      </c>
      <c r="Q1349" t="s">
        <v>203</v>
      </c>
    </row>
    <row r="1350" spans="1:17" x14ac:dyDescent="0.3">
      <c r="A1350" s="25">
        <v>1512</v>
      </c>
      <c r="B1350" t="s">
        <v>71</v>
      </c>
      <c r="C1350" t="s">
        <v>200</v>
      </c>
      <c r="D1350" t="s">
        <v>664</v>
      </c>
      <c r="E1350" s="118">
        <v>4958</v>
      </c>
      <c r="F1350" s="13">
        <v>46081</v>
      </c>
      <c r="G1350" s="24">
        <v>8325.83</v>
      </c>
      <c r="H1350" s="27">
        <v>7813.79</v>
      </c>
      <c r="I1350" s="3">
        <v>46097</v>
      </c>
      <c r="J1350" s="161">
        <v>46111</v>
      </c>
      <c r="K1350" s="12">
        <v>46112</v>
      </c>
      <c r="L1350" s="1" t="s">
        <v>731</v>
      </c>
      <c r="M1350" s="36">
        <v>0</v>
      </c>
      <c r="N1350"/>
      <c r="O1350" t="s">
        <v>202</v>
      </c>
      <c r="P1350" t="s">
        <v>376</v>
      </c>
      <c r="Q1350" t="s">
        <v>203</v>
      </c>
    </row>
    <row r="1351" spans="1:17" x14ac:dyDescent="0.3">
      <c r="A1351" s="25">
        <v>1512</v>
      </c>
      <c r="B1351" t="s">
        <v>71</v>
      </c>
      <c r="C1351" t="s">
        <v>200</v>
      </c>
      <c r="D1351" t="s">
        <v>664</v>
      </c>
      <c r="E1351" s="118">
        <v>4959</v>
      </c>
      <c r="F1351" s="13">
        <v>46081</v>
      </c>
      <c r="G1351" s="24">
        <v>640.45000000000005</v>
      </c>
      <c r="H1351" s="27">
        <v>601.05999999999995</v>
      </c>
      <c r="I1351" s="3">
        <v>46097</v>
      </c>
      <c r="J1351" s="161">
        <v>46111</v>
      </c>
      <c r="K1351" s="12">
        <v>46112</v>
      </c>
      <c r="L1351" s="1" t="s">
        <v>731</v>
      </c>
      <c r="M1351" s="36">
        <v>0</v>
      </c>
      <c r="N1351"/>
      <c r="O1351" t="s">
        <v>202</v>
      </c>
      <c r="P1351" t="s">
        <v>376</v>
      </c>
      <c r="Q1351" t="s">
        <v>203</v>
      </c>
    </row>
    <row r="1352" spans="1:17" x14ac:dyDescent="0.3">
      <c r="A1352" s="25">
        <v>1512</v>
      </c>
      <c r="B1352" t="s">
        <v>71</v>
      </c>
      <c r="C1352" t="s">
        <v>200</v>
      </c>
      <c r="D1352" t="s">
        <v>664</v>
      </c>
      <c r="E1352" s="118">
        <v>4960</v>
      </c>
      <c r="F1352" s="13">
        <v>46081</v>
      </c>
      <c r="G1352" s="24">
        <v>37786.46</v>
      </c>
      <c r="H1352" s="27">
        <v>35462.589999999997</v>
      </c>
      <c r="I1352" s="3">
        <v>46097</v>
      </c>
      <c r="J1352" s="161">
        <v>46111</v>
      </c>
      <c r="K1352" s="12">
        <v>46112</v>
      </c>
      <c r="L1352" s="1" t="s">
        <v>731</v>
      </c>
      <c r="M1352" s="36">
        <v>0</v>
      </c>
      <c r="N1352"/>
      <c r="O1352" t="s">
        <v>202</v>
      </c>
      <c r="P1352" t="s">
        <v>376</v>
      </c>
      <c r="Q1352" t="s">
        <v>203</v>
      </c>
    </row>
    <row r="1353" spans="1:17" x14ac:dyDescent="0.3">
      <c r="A1353" s="25">
        <v>1512</v>
      </c>
      <c r="B1353" t="s">
        <v>71</v>
      </c>
      <c r="C1353" t="s">
        <v>200</v>
      </c>
      <c r="D1353" t="s">
        <v>664</v>
      </c>
      <c r="E1353" s="118">
        <v>4961</v>
      </c>
      <c r="F1353" s="13">
        <v>46081</v>
      </c>
      <c r="G1353" s="24">
        <v>17292.11</v>
      </c>
      <c r="H1353" s="27">
        <v>16228.65</v>
      </c>
      <c r="I1353" s="3">
        <v>46097</v>
      </c>
      <c r="J1353" s="161">
        <v>46111</v>
      </c>
      <c r="K1353" s="12">
        <v>46112</v>
      </c>
      <c r="L1353" s="1" t="s">
        <v>731</v>
      </c>
      <c r="M1353" s="36">
        <v>0</v>
      </c>
      <c r="N1353"/>
      <c r="O1353" t="s">
        <v>202</v>
      </c>
      <c r="P1353" t="s">
        <v>376</v>
      </c>
      <c r="Q1353" t="s">
        <v>203</v>
      </c>
    </row>
    <row r="1354" spans="1:17" x14ac:dyDescent="0.3">
      <c r="A1354" s="25">
        <v>1507</v>
      </c>
      <c r="B1354" t="s">
        <v>71</v>
      </c>
      <c r="C1354" t="s">
        <v>200</v>
      </c>
      <c r="D1354" t="s">
        <v>657</v>
      </c>
      <c r="E1354" s="118">
        <v>4487</v>
      </c>
      <c r="F1354" s="13">
        <v>45958</v>
      </c>
      <c r="G1354" s="27">
        <v>48434.61</v>
      </c>
      <c r="H1354" s="27">
        <v>45455.88</v>
      </c>
      <c r="I1354" s="3">
        <v>45964</v>
      </c>
      <c r="J1354" s="161">
        <v>45978</v>
      </c>
      <c r="K1354" s="12">
        <v>45979</v>
      </c>
      <c r="L1354" s="1" t="s">
        <v>731</v>
      </c>
      <c r="M1354" s="36">
        <v>0</v>
      </c>
      <c r="N1354"/>
      <c r="O1354" t="s">
        <v>199</v>
      </c>
      <c r="P1354" t="s">
        <v>376</v>
      </c>
      <c r="Q1354" t="s">
        <v>203</v>
      </c>
    </row>
    <row r="1355" spans="1:17" x14ac:dyDescent="0.3">
      <c r="A1355" s="25">
        <v>1507</v>
      </c>
      <c r="B1355" t="s">
        <v>71</v>
      </c>
      <c r="C1355" t="s">
        <v>200</v>
      </c>
      <c r="D1355" t="s">
        <v>657</v>
      </c>
      <c r="E1355" s="118">
        <v>4488</v>
      </c>
      <c r="F1355" s="13">
        <v>45958</v>
      </c>
      <c r="G1355" s="27">
        <v>48434.61</v>
      </c>
      <c r="H1355" s="27">
        <v>45455.88</v>
      </c>
      <c r="I1355" s="3">
        <v>45964</v>
      </c>
      <c r="J1355" s="161">
        <v>45978</v>
      </c>
      <c r="K1355" s="12">
        <v>45979</v>
      </c>
      <c r="L1355" s="1" t="s">
        <v>731</v>
      </c>
      <c r="M1355" s="36">
        <v>0</v>
      </c>
      <c r="N1355"/>
      <c r="O1355" t="s">
        <v>199</v>
      </c>
      <c r="P1355" t="s">
        <v>376</v>
      </c>
      <c r="Q1355" t="s">
        <v>203</v>
      </c>
    </row>
    <row r="1356" spans="1:17" x14ac:dyDescent="0.3">
      <c r="A1356" s="25">
        <v>1292</v>
      </c>
      <c r="B1356" t="s">
        <v>71</v>
      </c>
      <c r="C1356" t="s">
        <v>200</v>
      </c>
      <c r="D1356" t="s">
        <v>411</v>
      </c>
      <c r="E1356" s="118">
        <v>4530</v>
      </c>
      <c r="F1356" s="13">
        <v>45958</v>
      </c>
      <c r="G1356" s="27">
        <v>119185.65</v>
      </c>
      <c r="H1356" s="27">
        <v>111855.74</v>
      </c>
      <c r="I1356" s="3">
        <v>45975</v>
      </c>
      <c r="J1356" s="161">
        <v>45992</v>
      </c>
      <c r="K1356" s="12">
        <v>45992</v>
      </c>
      <c r="L1356" s="1" t="s">
        <v>731</v>
      </c>
      <c r="M1356" s="36"/>
      <c r="N1356"/>
      <c r="O1356" t="s">
        <v>199</v>
      </c>
      <c r="P1356" t="s">
        <v>376</v>
      </c>
      <c r="Q1356" t="s">
        <v>203</v>
      </c>
    </row>
    <row r="1357" spans="1:17" x14ac:dyDescent="0.3">
      <c r="A1357" s="25">
        <v>1387</v>
      </c>
      <c r="B1357" t="s">
        <v>71</v>
      </c>
      <c r="C1357" t="s">
        <v>44</v>
      </c>
      <c r="D1357" t="s">
        <v>517</v>
      </c>
      <c r="E1357" s="118">
        <v>4601</v>
      </c>
      <c r="F1357" s="13">
        <v>45989</v>
      </c>
      <c r="G1357" s="24">
        <v>74751.360000000001</v>
      </c>
      <c r="H1357" s="24">
        <v>70154.16</v>
      </c>
      <c r="I1357" s="3">
        <v>45992</v>
      </c>
      <c r="J1357" s="161">
        <v>46006</v>
      </c>
      <c r="K1357" s="12">
        <v>46006</v>
      </c>
      <c r="L1357" s="19" t="s">
        <v>731</v>
      </c>
      <c r="M1357" s="36"/>
      <c r="N1357"/>
      <c r="O1357" t="s">
        <v>202</v>
      </c>
      <c r="P1357" t="s">
        <v>376</v>
      </c>
      <c r="Q1357" t="s">
        <v>203</v>
      </c>
    </row>
    <row r="1358" spans="1:17" x14ac:dyDescent="0.3">
      <c r="A1358" s="25">
        <v>1292</v>
      </c>
      <c r="B1358" t="s">
        <v>71</v>
      </c>
      <c r="C1358" t="s">
        <v>200</v>
      </c>
      <c r="D1358" t="s">
        <v>411</v>
      </c>
      <c r="E1358" s="118">
        <v>4536</v>
      </c>
      <c r="F1358" s="13">
        <v>45958</v>
      </c>
      <c r="G1358" s="27">
        <v>6137.45</v>
      </c>
      <c r="H1358" s="27">
        <v>5760</v>
      </c>
      <c r="I1358" s="3">
        <v>45979</v>
      </c>
      <c r="J1358" s="161">
        <v>45992</v>
      </c>
      <c r="K1358" s="12">
        <v>45994</v>
      </c>
      <c r="L1358" s="1" t="s">
        <v>731</v>
      </c>
      <c r="M1358" s="36"/>
      <c r="N1358"/>
      <c r="O1358" t="s">
        <v>199</v>
      </c>
      <c r="P1358" t="s">
        <v>376</v>
      </c>
      <c r="Q1358" t="s">
        <v>203</v>
      </c>
    </row>
    <row r="1359" spans="1:17" x14ac:dyDescent="0.3">
      <c r="A1359" s="25">
        <v>1292</v>
      </c>
      <c r="B1359" t="s">
        <v>71</v>
      </c>
      <c r="C1359" t="s">
        <v>200</v>
      </c>
      <c r="D1359" t="s">
        <v>411</v>
      </c>
      <c r="E1359" s="118">
        <v>4537</v>
      </c>
      <c r="F1359" s="13">
        <v>45958</v>
      </c>
      <c r="G1359" s="27">
        <v>6137.45</v>
      </c>
      <c r="H1359" s="27">
        <v>5760</v>
      </c>
      <c r="I1359" s="3">
        <v>45979</v>
      </c>
      <c r="J1359" s="161">
        <v>45992</v>
      </c>
      <c r="K1359" s="12">
        <v>45994</v>
      </c>
      <c r="L1359" s="1" t="s">
        <v>731</v>
      </c>
      <c r="M1359" s="36"/>
      <c r="N1359"/>
      <c r="O1359" t="s">
        <v>199</v>
      </c>
      <c r="P1359" t="s">
        <v>376</v>
      </c>
      <c r="Q1359" t="s">
        <v>203</v>
      </c>
    </row>
    <row r="1360" spans="1:17" x14ac:dyDescent="0.3">
      <c r="A1360" s="25">
        <v>1292</v>
      </c>
      <c r="B1360" t="s">
        <v>71</v>
      </c>
      <c r="C1360" t="s">
        <v>200</v>
      </c>
      <c r="D1360" t="s">
        <v>411</v>
      </c>
      <c r="E1360" s="118">
        <v>4538</v>
      </c>
      <c r="F1360" s="13">
        <v>45958</v>
      </c>
      <c r="G1360" s="27">
        <v>6137.45</v>
      </c>
      <c r="H1360" s="27">
        <v>5760</v>
      </c>
      <c r="I1360" s="3">
        <v>45979</v>
      </c>
      <c r="J1360" s="161">
        <v>45992</v>
      </c>
      <c r="K1360" s="12">
        <v>45994</v>
      </c>
      <c r="L1360" s="1" t="s">
        <v>731</v>
      </c>
      <c r="M1360" s="36"/>
      <c r="N1360"/>
      <c r="O1360" t="s">
        <v>199</v>
      </c>
      <c r="P1360" t="s">
        <v>376</v>
      </c>
      <c r="Q1360" t="s">
        <v>203</v>
      </c>
    </row>
    <row r="1361" spans="1:17" x14ac:dyDescent="0.3">
      <c r="A1361" s="25">
        <v>1292</v>
      </c>
      <c r="B1361" t="s">
        <v>71</v>
      </c>
      <c r="C1361" t="s">
        <v>200</v>
      </c>
      <c r="D1361" t="s">
        <v>411</v>
      </c>
      <c r="E1361" s="118">
        <v>4539</v>
      </c>
      <c r="F1361" s="13">
        <v>45958</v>
      </c>
      <c r="G1361" s="27">
        <v>6137.45</v>
      </c>
      <c r="H1361" s="27">
        <v>5760</v>
      </c>
      <c r="I1361" s="3">
        <v>45979</v>
      </c>
      <c r="J1361" s="161">
        <v>45992</v>
      </c>
      <c r="K1361" s="12">
        <v>45994</v>
      </c>
      <c r="L1361" s="1" t="s">
        <v>731</v>
      </c>
      <c r="M1361" s="36"/>
      <c r="N1361"/>
      <c r="O1361" t="s">
        <v>199</v>
      </c>
      <c r="P1361" t="s">
        <v>376</v>
      </c>
      <c r="Q1361" t="s">
        <v>203</v>
      </c>
    </row>
    <row r="1362" spans="1:17" x14ac:dyDescent="0.3">
      <c r="A1362" s="25">
        <v>1484</v>
      </c>
      <c r="B1362" t="s">
        <v>71</v>
      </c>
      <c r="C1362" t="s">
        <v>200</v>
      </c>
      <c r="D1362" t="s">
        <v>634</v>
      </c>
      <c r="E1362" s="118">
        <v>4534</v>
      </c>
      <c r="F1362" s="13">
        <v>45958</v>
      </c>
      <c r="G1362" s="27">
        <v>36601.06</v>
      </c>
      <c r="H1362" s="27">
        <v>34350.089999999997</v>
      </c>
      <c r="I1362" s="3">
        <v>45979</v>
      </c>
      <c r="J1362" s="161">
        <v>45992</v>
      </c>
      <c r="K1362" s="12">
        <v>45994</v>
      </c>
      <c r="L1362" s="1" t="s">
        <v>731</v>
      </c>
      <c r="M1362" s="36">
        <v>0</v>
      </c>
      <c r="N1362"/>
      <c r="O1362" t="s">
        <v>201</v>
      </c>
      <c r="P1362" t="s">
        <v>376</v>
      </c>
      <c r="Q1362" t="s">
        <v>203</v>
      </c>
    </row>
    <row r="1363" spans="1:17" x14ac:dyDescent="0.3">
      <c r="A1363" s="25">
        <v>1484</v>
      </c>
      <c r="B1363" t="s">
        <v>71</v>
      </c>
      <c r="C1363" t="s">
        <v>200</v>
      </c>
      <c r="D1363" t="s">
        <v>634</v>
      </c>
      <c r="E1363" s="118">
        <v>4535</v>
      </c>
      <c r="F1363" s="13">
        <v>45958</v>
      </c>
      <c r="G1363" s="27">
        <v>42265.08</v>
      </c>
      <c r="H1363" s="27">
        <v>39665.769999999997</v>
      </c>
      <c r="I1363" s="3">
        <v>45979</v>
      </c>
      <c r="J1363" s="161">
        <v>46006</v>
      </c>
      <c r="K1363" s="12">
        <v>46007</v>
      </c>
      <c r="L1363" s="1" t="s">
        <v>731</v>
      </c>
      <c r="M1363" s="36">
        <v>0</v>
      </c>
      <c r="N1363"/>
      <c r="O1363" t="s">
        <v>201</v>
      </c>
      <c r="P1363" t="s">
        <v>376</v>
      </c>
      <c r="Q1363" t="s">
        <v>203</v>
      </c>
    </row>
    <row r="1364" spans="1:17" x14ac:dyDescent="0.3">
      <c r="A1364" s="25">
        <v>1398</v>
      </c>
      <c r="B1364" t="s">
        <v>193</v>
      </c>
      <c r="C1364" t="s">
        <v>169</v>
      </c>
      <c r="D1364" t="s">
        <v>528</v>
      </c>
      <c r="E1364" s="118">
        <v>8559</v>
      </c>
      <c r="F1364" s="13">
        <v>45897</v>
      </c>
      <c r="G1364" s="27">
        <v>22241.65</v>
      </c>
      <c r="H1364" s="27">
        <v>20873.79</v>
      </c>
      <c r="I1364" s="3">
        <v>45943</v>
      </c>
      <c r="J1364" s="161">
        <v>46006</v>
      </c>
      <c r="K1364" s="12">
        <v>46006</v>
      </c>
      <c r="L1364" s="19" t="s">
        <v>731</v>
      </c>
      <c r="M1364" s="36">
        <v>0</v>
      </c>
      <c r="N1364"/>
      <c r="O1364" t="s">
        <v>202</v>
      </c>
      <c r="P1364" t="s">
        <v>328</v>
      </c>
      <c r="Q1364" t="s">
        <v>207</v>
      </c>
    </row>
    <row r="1365" spans="1:17" x14ac:dyDescent="0.3">
      <c r="A1365" s="25">
        <v>1398</v>
      </c>
      <c r="B1365" t="s">
        <v>193</v>
      </c>
      <c r="C1365" t="s">
        <v>169</v>
      </c>
      <c r="D1365" t="s">
        <v>528</v>
      </c>
      <c r="E1365" s="118">
        <v>8567</v>
      </c>
      <c r="F1365" s="13">
        <v>45928</v>
      </c>
      <c r="G1365" s="27">
        <v>22241.65</v>
      </c>
      <c r="H1365" s="27">
        <v>20873.79</v>
      </c>
      <c r="I1365" s="3">
        <v>45945</v>
      </c>
      <c r="J1365" s="161">
        <v>46006</v>
      </c>
      <c r="K1365" s="12">
        <v>46006</v>
      </c>
      <c r="L1365" s="19" t="s">
        <v>731</v>
      </c>
      <c r="M1365" s="36">
        <v>0</v>
      </c>
      <c r="N1365"/>
      <c r="O1365" t="s">
        <v>202</v>
      </c>
      <c r="P1365" t="s">
        <v>328</v>
      </c>
      <c r="Q1365" t="s">
        <v>207</v>
      </c>
    </row>
    <row r="1366" spans="1:17" x14ac:dyDescent="0.3">
      <c r="A1366" s="25">
        <v>1398</v>
      </c>
      <c r="B1366" t="s">
        <v>193</v>
      </c>
      <c r="C1366" t="s">
        <v>169</v>
      </c>
      <c r="D1366" t="s">
        <v>528</v>
      </c>
      <c r="E1366" s="118">
        <v>8573</v>
      </c>
      <c r="F1366" s="13">
        <v>45958</v>
      </c>
      <c r="G1366" s="27">
        <v>40000</v>
      </c>
      <c r="H1366" s="27">
        <v>37540</v>
      </c>
      <c r="I1366" s="3">
        <v>45950</v>
      </c>
      <c r="J1366" s="161">
        <v>45978</v>
      </c>
      <c r="K1366" s="12">
        <v>45980</v>
      </c>
      <c r="L1366" s="19" t="s">
        <v>731</v>
      </c>
      <c r="M1366" s="36">
        <v>0</v>
      </c>
      <c r="N1366"/>
      <c r="O1366" t="s">
        <v>202</v>
      </c>
      <c r="P1366" t="s">
        <v>328</v>
      </c>
      <c r="Q1366" t="s">
        <v>207</v>
      </c>
    </row>
    <row r="1367" spans="1:17" x14ac:dyDescent="0.3">
      <c r="A1367" s="25">
        <v>1398</v>
      </c>
      <c r="B1367" t="s">
        <v>193</v>
      </c>
      <c r="C1367" t="s">
        <v>169</v>
      </c>
      <c r="D1367" t="s">
        <v>528</v>
      </c>
      <c r="E1367" s="118">
        <v>8574</v>
      </c>
      <c r="F1367" s="13">
        <v>45958</v>
      </c>
      <c r="G1367" s="27">
        <v>38934</v>
      </c>
      <c r="H1367" s="27">
        <v>36539.56</v>
      </c>
      <c r="I1367" s="3">
        <v>45951</v>
      </c>
      <c r="J1367" s="161">
        <v>45978</v>
      </c>
      <c r="K1367" s="12">
        <v>45982</v>
      </c>
      <c r="L1367" s="19" t="s">
        <v>731</v>
      </c>
      <c r="M1367" s="36">
        <v>0</v>
      </c>
      <c r="N1367"/>
      <c r="O1367" t="s">
        <v>202</v>
      </c>
      <c r="P1367" t="s">
        <v>328</v>
      </c>
      <c r="Q1367" t="s">
        <v>207</v>
      </c>
    </row>
    <row r="1368" spans="1:17" x14ac:dyDescent="0.3">
      <c r="A1368" s="25">
        <v>1398</v>
      </c>
      <c r="B1368" t="s">
        <v>193</v>
      </c>
      <c r="C1368" t="s">
        <v>169</v>
      </c>
      <c r="D1368" t="s">
        <v>528</v>
      </c>
      <c r="E1368" s="118">
        <v>8605</v>
      </c>
      <c r="F1368" s="13">
        <v>45958</v>
      </c>
      <c r="G1368" s="27">
        <v>26093.54</v>
      </c>
      <c r="H1368" s="24">
        <v>24488.79</v>
      </c>
      <c r="I1368" s="3">
        <v>45974</v>
      </c>
      <c r="J1368" s="161">
        <v>46006</v>
      </c>
      <c r="K1368" s="12">
        <v>46006</v>
      </c>
      <c r="L1368" s="19" t="s">
        <v>731</v>
      </c>
      <c r="M1368" s="36">
        <v>0</v>
      </c>
      <c r="N1368"/>
      <c r="O1368" t="s">
        <v>202</v>
      </c>
      <c r="P1368" t="s">
        <v>328</v>
      </c>
      <c r="Q1368" t="s">
        <v>207</v>
      </c>
    </row>
    <row r="1369" spans="1:17" x14ac:dyDescent="0.3">
      <c r="A1369" s="25">
        <v>1398</v>
      </c>
      <c r="B1369" t="s">
        <v>193</v>
      </c>
      <c r="C1369" t="s">
        <v>169</v>
      </c>
      <c r="D1369" t="s">
        <v>528</v>
      </c>
      <c r="E1369" s="118">
        <v>8609</v>
      </c>
      <c r="F1369" s="13">
        <v>45989</v>
      </c>
      <c r="G1369" s="24">
        <v>25600</v>
      </c>
      <c r="H1369" s="27">
        <v>24025.599999999999</v>
      </c>
      <c r="I1369" s="3">
        <v>45978</v>
      </c>
      <c r="J1369" s="161">
        <v>46083</v>
      </c>
      <c r="K1369" s="12">
        <v>46087</v>
      </c>
      <c r="L1369" s="19" t="s">
        <v>731</v>
      </c>
      <c r="M1369" s="36">
        <v>0</v>
      </c>
      <c r="N1369"/>
      <c r="O1369" t="s">
        <v>202</v>
      </c>
      <c r="P1369" t="s">
        <v>328</v>
      </c>
      <c r="Q1369" t="s">
        <v>207</v>
      </c>
    </row>
    <row r="1370" spans="1:17" x14ac:dyDescent="0.3">
      <c r="A1370" s="25">
        <v>1398</v>
      </c>
      <c r="B1370" t="s">
        <v>193</v>
      </c>
      <c r="C1370" t="s">
        <v>169</v>
      </c>
      <c r="D1370" t="s">
        <v>528</v>
      </c>
      <c r="E1370" s="118">
        <v>8627</v>
      </c>
      <c r="F1370" s="13">
        <v>45989</v>
      </c>
      <c r="G1370" s="27">
        <v>13916.55</v>
      </c>
      <c r="H1370" s="27">
        <v>13060.68</v>
      </c>
      <c r="I1370" s="3">
        <v>45986</v>
      </c>
      <c r="J1370" s="161">
        <v>46013</v>
      </c>
      <c r="K1370" s="12">
        <v>46017</v>
      </c>
      <c r="L1370" s="19" t="s">
        <v>731</v>
      </c>
      <c r="M1370" s="36">
        <v>0</v>
      </c>
      <c r="N1370"/>
      <c r="O1370" t="s">
        <v>202</v>
      </c>
      <c r="P1370" t="s">
        <v>328</v>
      </c>
      <c r="Q1370" t="s">
        <v>207</v>
      </c>
    </row>
    <row r="1371" spans="1:17" x14ac:dyDescent="0.3">
      <c r="A1371" s="25">
        <v>1398</v>
      </c>
      <c r="B1371" t="s">
        <v>193</v>
      </c>
      <c r="C1371" t="s">
        <v>169</v>
      </c>
      <c r="D1371" t="s">
        <v>528</v>
      </c>
      <c r="E1371" s="118">
        <v>8682</v>
      </c>
      <c r="F1371" s="13">
        <v>45989</v>
      </c>
      <c r="G1371" s="24">
        <v>40490.559999999998</v>
      </c>
      <c r="H1371" s="24">
        <v>38000.39</v>
      </c>
      <c r="I1371" s="3">
        <v>46002</v>
      </c>
      <c r="J1371" s="161">
        <v>46062</v>
      </c>
      <c r="K1371" s="12">
        <v>46062</v>
      </c>
      <c r="L1371" s="19" t="s">
        <v>731</v>
      </c>
      <c r="M1371" s="36">
        <v>0</v>
      </c>
      <c r="N1371"/>
      <c r="O1371" t="s">
        <v>202</v>
      </c>
      <c r="P1371" t="s">
        <v>328</v>
      </c>
      <c r="Q1371" t="s">
        <v>207</v>
      </c>
    </row>
    <row r="1372" spans="1:17" x14ac:dyDescent="0.3">
      <c r="A1372" s="25">
        <v>1398</v>
      </c>
      <c r="B1372" t="s">
        <v>193</v>
      </c>
      <c r="C1372" t="s">
        <v>169</v>
      </c>
      <c r="D1372" t="s">
        <v>528</v>
      </c>
      <c r="E1372" s="118">
        <v>8683</v>
      </c>
      <c r="F1372" s="13">
        <v>45989</v>
      </c>
      <c r="G1372" s="24">
        <v>11862.21</v>
      </c>
      <c r="H1372" s="24">
        <v>11132.69</v>
      </c>
      <c r="I1372" s="3">
        <v>46002</v>
      </c>
      <c r="J1372" s="161">
        <v>46062</v>
      </c>
      <c r="K1372" s="12">
        <v>46062</v>
      </c>
      <c r="L1372" s="19" t="s">
        <v>731</v>
      </c>
      <c r="M1372" s="36">
        <v>0</v>
      </c>
      <c r="N1372"/>
      <c r="O1372" t="s">
        <v>202</v>
      </c>
      <c r="P1372" t="s">
        <v>328</v>
      </c>
      <c r="Q1372" t="s">
        <v>207</v>
      </c>
    </row>
    <row r="1373" spans="1:17" x14ac:dyDescent="0.3">
      <c r="A1373" s="9">
        <v>1391</v>
      </c>
      <c r="B1373" t="s">
        <v>71</v>
      </c>
      <c r="C1373" t="s">
        <v>196</v>
      </c>
      <c r="D1373" t="s">
        <v>520</v>
      </c>
      <c r="E1373" s="118">
        <v>4610</v>
      </c>
      <c r="F1373" s="13">
        <v>45989</v>
      </c>
      <c r="G1373" s="24">
        <v>105978.6</v>
      </c>
      <c r="H1373" s="24">
        <v>99460.92</v>
      </c>
      <c r="I1373" s="3">
        <v>45994</v>
      </c>
      <c r="J1373" s="161">
        <v>46006</v>
      </c>
      <c r="K1373" s="12">
        <v>46009</v>
      </c>
      <c r="L1373" s="1" t="s">
        <v>731</v>
      </c>
      <c r="M1373" s="36">
        <v>0</v>
      </c>
      <c r="N1373"/>
      <c r="O1373" t="s">
        <v>199</v>
      </c>
      <c r="P1373" t="s">
        <v>376</v>
      </c>
      <c r="Q1373" t="s">
        <v>203</v>
      </c>
    </row>
    <row r="1374" spans="1:17" x14ac:dyDescent="0.3">
      <c r="A1374" s="25">
        <v>1393</v>
      </c>
      <c r="B1374" t="s">
        <v>215</v>
      </c>
      <c r="C1374" t="s">
        <v>348</v>
      </c>
      <c r="D1374" t="s">
        <v>522</v>
      </c>
      <c r="E1374" s="118">
        <v>8603</v>
      </c>
      <c r="F1374" s="13">
        <v>45958</v>
      </c>
      <c r="G1374" s="24">
        <v>468378.53</v>
      </c>
      <c r="H1374" s="24">
        <v>420135.54</v>
      </c>
      <c r="I1374" s="3">
        <v>45973</v>
      </c>
      <c r="J1374" s="161">
        <v>45992</v>
      </c>
      <c r="K1374" s="29">
        <v>45994</v>
      </c>
      <c r="L1374" s="19" t="s">
        <v>731</v>
      </c>
      <c r="M1374" s="36">
        <v>0</v>
      </c>
      <c r="N1374" s="26"/>
      <c r="O1374" t="s">
        <v>202</v>
      </c>
      <c r="P1374" t="s">
        <v>340</v>
      </c>
      <c r="Q1374" t="s">
        <v>213</v>
      </c>
    </row>
    <row r="1375" spans="1:17" x14ac:dyDescent="0.3">
      <c r="A1375" s="9">
        <v>1476</v>
      </c>
      <c r="B1375" t="s">
        <v>215</v>
      </c>
      <c r="C1375" t="s">
        <v>46</v>
      </c>
      <c r="D1375" t="s">
        <v>626</v>
      </c>
      <c r="E1375" s="118">
        <v>8599</v>
      </c>
      <c r="F1375" s="13">
        <v>45958</v>
      </c>
      <c r="G1375" s="27">
        <v>3445.36</v>
      </c>
      <c r="H1375" s="27">
        <v>3090.48</v>
      </c>
      <c r="I1375" s="3">
        <v>45971</v>
      </c>
      <c r="J1375" s="161">
        <v>46006</v>
      </c>
      <c r="K1375" s="5">
        <v>46007</v>
      </c>
      <c r="L1375" s="22" t="s">
        <v>731</v>
      </c>
      <c r="M1375" s="35"/>
      <c r="N1375" s="15"/>
      <c r="O1375" t="s">
        <v>202</v>
      </c>
      <c r="P1375" t="s">
        <v>340</v>
      </c>
      <c r="Q1375" t="s">
        <v>213</v>
      </c>
    </row>
    <row r="1376" spans="1:17" x14ac:dyDescent="0.3">
      <c r="A1376" s="9">
        <v>1476</v>
      </c>
      <c r="B1376" t="s">
        <v>215</v>
      </c>
      <c r="C1376" t="s">
        <v>46</v>
      </c>
      <c r="D1376" t="s">
        <v>626</v>
      </c>
      <c r="E1376" s="118">
        <v>8600</v>
      </c>
      <c r="F1376" s="13">
        <v>45958</v>
      </c>
      <c r="G1376" s="27">
        <v>334117.52</v>
      </c>
      <c r="H1376" s="27">
        <v>299703.42</v>
      </c>
      <c r="I1376" s="3">
        <v>45971</v>
      </c>
      <c r="J1376" s="161">
        <v>45992</v>
      </c>
      <c r="K1376" s="5">
        <v>45994</v>
      </c>
      <c r="L1376" s="22" t="s">
        <v>731</v>
      </c>
      <c r="M1376" s="35"/>
      <c r="N1376" s="15"/>
      <c r="O1376" t="s">
        <v>202</v>
      </c>
      <c r="P1376" t="s">
        <v>340</v>
      </c>
      <c r="Q1376" t="s">
        <v>213</v>
      </c>
    </row>
    <row r="1377" spans="1:17" x14ac:dyDescent="0.3">
      <c r="A1377" s="25">
        <v>1296</v>
      </c>
      <c r="B1377" t="s">
        <v>84</v>
      </c>
      <c r="C1377" t="s">
        <v>34</v>
      </c>
      <c r="D1377" t="s">
        <v>416</v>
      </c>
      <c r="E1377" s="118">
        <v>1318</v>
      </c>
      <c r="F1377" s="13">
        <v>45958</v>
      </c>
      <c r="G1377" s="24">
        <v>894735.18</v>
      </c>
      <c r="H1377" s="27">
        <v>821814.26</v>
      </c>
      <c r="I1377" s="3">
        <v>46008</v>
      </c>
      <c r="J1377" s="161">
        <v>46013</v>
      </c>
      <c r="K1377" s="29">
        <v>46017</v>
      </c>
      <c r="L1377" s="19" t="s">
        <v>731</v>
      </c>
      <c r="M1377" s="58"/>
      <c r="N1377" s="26"/>
      <c r="O1377" t="s">
        <v>202</v>
      </c>
      <c r="P1377" t="s">
        <v>328</v>
      </c>
      <c r="Q1377" t="s">
        <v>207</v>
      </c>
    </row>
    <row r="1378" spans="1:17" x14ac:dyDescent="0.3">
      <c r="A1378" s="9">
        <v>1300</v>
      </c>
      <c r="B1378" t="s">
        <v>84</v>
      </c>
      <c r="C1378" t="s">
        <v>34</v>
      </c>
      <c r="D1378" t="s">
        <v>420</v>
      </c>
      <c r="E1378" s="118">
        <v>8598</v>
      </c>
      <c r="F1378" s="13">
        <v>45958</v>
      </c>
      <c r="G1378" s="24">
        <v>37210.160000000003</v>
      </c>
      <c r="H1378" s="27">
        <v>34177.53</v>
      </c>
      <c r="I1378" s="3">
        <v>45968</v>
      </c>
      <c r="J1378" s="161">
        <v>45999</v>
      </c>
      <c r="K1378" s="12">
        <v>46000</v>
      </c>
      <c r="L1378" s="37" t="s">
        <v>731</v>
      </c>
      <c r="M1378" s="38">
        <v>0</v>
      </c>
      <c r="N1378" s="15"/>
      <c r="O1378" t="s">
        <v>202</v>
      </c>
      <c r="P1378" t="s">
        <v>328</v>
      </c>
      <c r="Q1378" t="s">
        <v>207</v>
      </c>
    </row>
    <row r="1379" spans="1:17" x14ac:dyDescent="0.3">
      <c r="A1379" s="9">
        <v>1300</v>
      </c>
      <c r="B1379" t="s">
        <v>84</v>
      </c>
      <c r="C1379" t="s">
        <v>34</v>
      </c>
      <c r="D1379" t="s">
        <v>420</v>
      </c>
      <c r="E1379" s="118">
        <v>1311</v>
      </c>
      <c r="F1379" s="13">
        <v>45958</v>
      </c>
      <c r="G1379" s="24">
        <v>287717.94</v>
      </c>
      <c r="H1379" s="27">
        <v>264268.92</v>
      </c>
      <c r="I1379" s="3">
        <v>45975</v>
      </c>
      <c r="J1379" s="161">
        <v>46006</v>
      </c>
      <c r="K1379" s="5">
        <v>46007</v>
      </c>
      <c r="L1379" s="37" t="s">
        <v>731</v>
      </c>
      <c r="M1379" s="38">
        <v>0</v>
      </c>
      <c r="N1379" s="15"/>
      <c r="O1379" t="s">
        <v>202</v>
      </c>
      <c r="P1379" t="s">
        <v>328</v>
      </c>
      <c r="Q1379" t="s">
        <v>207</v>
      </c>
    </row>
    <row r="1380" spans="1:17" x14ac:dyDescent="0.3">
      <c r="A1380" s="25">
        <v>1290</v>
      </c>
      <c r="B1380" t="s">
        <v>215</v>
      </c>
      <c r="C1380" t="s">
        <v>40</v>
      </c>
      <c r="D1380" t="s">
        <v>409</v>
      </c>
      <c r="E1380" s="118">
        <v>8592</v>
      </c>
      <c r="F1380" s="53">
        <v>45958</v>
      </c>
      <c r="G1380" s="24">
        <v>10835.2</v>
      </c>
      <c r="H1380" s="27">
        <v>9572.9</v>
      </c>
      <c r="I1380" s="3">
        <v>45967</v>
      </c>
      <c r="J1380" s="161">
        <v>45999</v>
      </c>
      <c r="K1380" s="12">
        <v>46000</v>
      </c>
      <c r="L1380" s="22" t="s">
        <v>731</v>
      </c>
      <c r="M1380" s="36">
        <v>0</v>
      </c>
      <c r="N1380" s="26"/>
      <c r="O1380" t="s">
        <v>202</v>
      </c>
      <c r="P1380" t="s">
        <v>328</v>
      </c>
      <c r="Q1380" t="s">
        <v>213</v>
      </c>
    </row>
    <row r="1381" spans="1:17" x14ac:dyDescent="0.3">
      <c r="A1381" s="25">
        <v>1290</v>
      </c>
      <c r="B1381" t="s">
        <v>215</v>
      </c>
      <c r="C1381" t="s">
        <v>40</v>
      </c>
      <c r="D1381" t="s">
        <v>409</v>
      </c>
      <c r="E1381" s="118">
        <v>8593</v>
      </c>
      <c r="F1381" s="13">
        <v>45958</v>
      </c>
      <c r="G1381" s="24">
        <v>55929.99</v>
      </c>
      <c r="H1381" s="27">
        <v>49414.15</v>
      </c>
      <c r="I1381" s="3">
        <v>45967</v>
      </c>
      <c r="J1381" s="161">
        <v>45999</v>
      </c>
      <c r="K1381" s="12">
        <v>46000</v>
      </c>
      <c r="L1381" s="22" t="s">
        <v>731</v>
      </c>
      <c r="M1381" s="36">
        <v>0</v>
      </c>
      <c r="N1381" s="26"/>
      <c r="O1381" t="s">
        <v>202</v>
      </c>
      <c r="P1381" t="s">
        <v>328</v>
      </c>
      <c r="Q1381" t="s">
        <v>213</v>
      </c>
    </row>
    <row r="1382" spans="1:17" x14ac:dyDescent="0.3">
      <c r="A1382" s="25">
        <v>1490</v>
      </c>
      <c r="B1382" t="s">
        <v>215</v>
      </c>
      <c r="C1382" t="s">
        <v>40</v>
      </c>
      <c r="D1382" t="s">
        <v>640</v>
      </c>
      <c r="E1382" s="118">
        <v>8597</v>
      </c>
      <c r="F1382" s="13">
        <v>45958</v>
      </c>
      <c r="G1382" s="24">
        <v>2300</v>
      </c>
      <c r="H1382" s="27">
        <v>2032.05</v>
      </c>
      <c r="I1382" s="3">
        <v>45968</v>
      </c>
      <c r="J1382" s="161">
        <v>45999</v>
      </c>
      <c r="K1382" s="12">
        <v>46000</v>
      </c>
      <c r="L1382" s="22" t="s">
        <v>731</v>
      </c>
      <c r="M1382" s="36">
        <v>0</v>
      </c>
      <c r="N1382" s="26"/>
      <c r="O1382" t="s">
        <v>202</v>
      </c>
      <c r="P1382" t="s">
        <v>328</v>
      </c>
      <c r="Q1382" t="s">
        <v>213</v>
      </c>
    </row>
    <row r="1383" spans="1:17" x14ac:dyDescent="0.3">
      <c r="A1383" s="9">
        <v>1480</v>
      </c>
      <c r="B1383" t="s">
        <v>193</v>
      </c>
      <c r="C1383" t="s">
        <v>184</v>
      </c>
      <c r="D1383" t="s">
        <v>630</v>
      </c>
      <c r="E1383" s="118">
        <v>4516</v>
      </c>
      <c r="F1383" s="13">
        <v>45958</v>
      </c>
      <c r="G1383" s="24">
        <v>514141</v>
      </c>
      <c r="H1383" s="24">
        <v>482521.32</v>
      </c>
      <c r="I1383" s="3">
        <v>45972</v>
      </c>
      <c r="J1383" s="161">
        <v>45999</v>
      </c>
      <c r="K1383" s="5">
        <v>46000</v>
      </c>
      <c r="L1383" s="19" t="s">
        <v>731</v>
      </c>
      <c r="M1383" s="38"/>
      <c r="N1383" s="15"/>
      <c r="O1383" t="s">
        <v>199</v>
      </c>
      <c r="P1383" t="s">
        <v>376</v>
      </c>
      <c r="Q1383" t="s">
        <v>207</v>
      </c>
    </row>
    <row r="1384" spans="1:17" x14ac:dyDescent="0.3">
      <c r="A1384" s="25">
        <v>1475</v>
      </c>
      <c r="B1384" t="s">
        <v>204</v>
      </c>
      <c r="C1384" t="s">
        <v>95</v>
      </c>
      <c r="D1384" t="s">
        <v>625</v>
      </c>
      <c r="E1384" s="118">
        <v>8594</v>
      </c>
      <c r="F1384" s="13">
        <v>45958</v>
      </c>
      <c r="G1384" s="27">
        <v>86064.83</v>
      </c>
      <c r="H1384" s="27">
        <v>77200.149999999994</v>
      </c>
      <c r="I1384" s="3">
        <v>45968</v>
      </c>
      <c r="J1384" s="161">
        <v>45985</v>
      </c>
      <c r="K1384" s="12">
        <v>45987</v>
      </c>
      <c r="L1384" s="19" t="s">
        <v>731</v>
      </c>
      <c r="M1384" s="36">
        <v>0</v>
      </c>
      <c r="N1384"/>
      <c r="O1384" t="s">
        <v>199</v>
      </c>
      <c r="P1384" t="s">
        <v>340</v>
      </c>
      <c r="Q1384" t="s">
        <v>217</v>
      </c>
    </row>
    <row r="1385" spans="1:17" x14ac:dyDescent="0.3">
      <c r="A1385" s="25">
        <v>1472</v>
      </c>
      <c r="B1385" t="s">
        <v>71</v>
      </c>
      <c r="C1385" t="s">
        <v>41</v>
      </c>
      <c r="D1385" t="s">
        <v>622</v>
      </c>
      <c r="E1385" s="118">
        <v>4490</v>
      </c>
      <c r="F1385" s="13">
        <v>45958</v>
      </c>
      <c r="G1385" s="27">
        <v>60316.65</v>
      </c>
      <c r="H1385" s="27">
        <v>56607.17</v>
      </c>
      <c r="I1385" s="3">
        <v>45964</v>
      </c>
      <c r="J1385" s="161">
        <v>45971</v>
      </c>
      <c r="K1385" s="12">
        <v>45971</v>
      </c>
      <c r="L1385" s="19" t="s">
        <v>731</v>
      </c>
      <c r="M1385" s="42"/>
      <c r="N1385" s="26"/>
      <c r="O1385" t="s">
        <v>201</v>
      </c>
      <c r="P1385" t="s">
        <v>376</v>
      </c>
      <c r="Q1385" t="s">
        <v>203</v>
      </c>
    </row>
    <row r="1386" spans="1:17" x14ac:dyDescent="0.3">
      <c r="A1386" s="25">
        <v>1378</v>
      </c>
      <c r="B1386" t="s">
        <v>193</v>
      </c>
      <c r="C1386" t="s">
        <v>4</v>
      </c>
      <c r="D1386" t="s">
        <v>506</v>
      </c>
      <c r="E1386" s="118">
        <v>8625</v>
      </c>
      <c r="F1386" s="13">
        <v>45958</v>
      </c>
      <c r="G1386" s="24">
        <v>4281.29</v>
      </c>
      <c r="H1386" s="24">
        <v>4017.99</v>
      </c>
      <c r="I1386" s="3">
        <v>45986</v>
      </c>
      <c r="J1386" s="161">
        <v>46006</v>
      </c>
      <c r="K1386" s="29">
        <v>46007</v>
      </c>
      <c r="L1386" s="19" t="s">
        <v>731</v>
      </c>
      <c r="M1386" s="36">
        <v>0</v>
      </c>
      <c r="N1386"/>
      <c r="O1386" t="s">
        <v>201</v>
      </c>
      <c r="P1386" t="s">
        <v>376</v>
      </c>
      <c r="Q1386" t="s">
        <v>207</v>
      </c>
    </row>
    <row r="1387" spans="1:17" x14ac:dyDescent="0.3">
      <c r="A1387" s="25">
        <v>1247</v>
      </c>
      <c r="B1387" t="s">
        <v>215</v>
      </c>
      <c r="C1387" t="s">
        <v>21</v>
      </c>
      <c r="D1387" t="s">
        <v>359</v>
      </c>
      <c r="E1387" s="118">
        <v>8585</v>
      </c>
      <c r="F1387" s="13">
        <v>45958</v>
      </c>
      <c r="G1387" s="27">
        <v>38395.360000000001</v>
      </c>
      <c r="H1387" s="27">
        <v>34440.629999999997</v>
      </c>
      <c r="I1387" s="3">
        <v>45965</v>
      </c>
      <c r="J1387" s="161">
        <v>45978</v>
      </c>
      <c r="K1387" s="12">
        <v>45979</v>
      </c>
      <c r="L1387" s="19" t="s">
        <v>731</v>
      </c>
      <c r="M1387" s="36">
        <v>0</v>
      </c>
      <c r="N1387"/>
      <c r="O1387" t="s">
        <v>202</v>
      </c>
      <c r="P1387" t="s">
        <v>340</v>
      </c>
      <c r="Q1387" t="s">
        <v>213</v>
      </c>
    </row>
    <row r="1388" spans="1:17" x14ac:dyDescent="0.3">
      <c r="A1388" s="25">
        <v>1358</v>
      </c>
      <c r="B1388" t="s">
        <v>215</v>
      </c>
      <c r="C1388" t="s">
        <v>17</v>
      </c>
      <c r="D1388" t="s">
        <v>480</v>
      </c>
      <c r="E1388" s="118">
        <v>8604</v>
      </c>
      <c r="F1388" s="13">
        <v>45958</v>
      </c>
      <c r="G1388" s="27">
        <v>89150.64</v>
      </c>
      <c r="H1388" s="27">
        <v>79968.13</v>
      </c>
      <c r="I1388" s="3">
        <v>45974</v>
      </c>
      <c r="J1388" s="161">
        <v>45992</v>
      </c>
      <c r="K1388" s="12">
        <v>45995</v>
      </c>
      <c r="L1388" s="19" t="s">
        <v>731</v>
      </c>
      <c r="M1388" s="36"/>
      <c r="N1388"/>
      <c r="O1388" t="s">
        <v>202</v>
      </c>
      <c r="P1388" t="s">
        <v>340</v>
      </c>
      <c r="Q1388" t="s">
        <v>213</v>
      </c>
    </row>
    <row r="1389" spans="1:17" x14ac:dyDescent="0.3">
      <c r="A1389" s="25">
        <v>1358</v>
      </c>
      <c r="B1389" t="s">
        <v>215</v>
      </c>
      <c r="C1389" t="s">
        <v>17</v>
      </c>
      <c r="D1389" t="s">
        <v>480</v>
      </c>
      <c r="E1389" s="118">
        <v>8624</v>
      </c>
      <c r="F1389" s="13">
        <v>45958</v>
      </c>
      <c r="G1389" s="27">
        <v>7649.4</v>
      </c>
      <c r="H1389" s="27">
        <v>6861.51</v>
      </c>
      <c r="I1389" s="3">
        <v>45986</v>
      </c>
      <c r="J1389" s="161">
        <v>45999</v>
      </c>
      <c r="K1389" s="12">
        <v>45999</v>
      </c>
      <c r="L1389" s="19" t="s">
        <v>731</v>
      </c>
      <c r="M1389" s="36"/>
      <c r="N1389"/>
      <c r="O1389" t="s">
        <v>202</v>
      </c>
      <c r="P1389" t="s">
        <v>340</v>
      </c>
      <c r="Q1389" t="s">
        <v>213</v>
      </c>
    </row>
    <row r="1390" spans="1:17" x14ac:dyDescent="0.3">
      <c r="A1390" s="25">
        <v>1473</v>
      </c>
      <c r="B1390" t="s">
        <v>215</v>
      </c>
      <c r="C1390" t="s">
        <v>208</v>
      </c>
      <c r="D1390" t="s">
        <v>623</v>
      </c>
      <c r="E1390" s="118">
        <v>8663</v>
      </c>
      <c r="F1390" s="13">
        <v>45958</v>
      </c>
      <c r="G1390" s="11">
        <v>236280.79</v>
      </c>
      <c r="H1390" s="24">
        <v>220210.23</v>
      </c>
      <c r="I1390" s="3">
        <v>45996</v>
      </c>
      <c r="J1390" s="161">
        <v>46006</v>
      </c>
      <c r="K1390" s="12">
        <v>46010</v>
      </c>
      <c r="L1390" s="19" t="s">
        <v>731</v>
      </c>
      <c r="M1390" s="36">
        <v>0</v>
      </c>
      <c r="N1390"/>
      <c r="O1390" t="s">
        <v>202</v>
      </c>
      <c r="P1390" t="s">
        <v>340</v>
      </c>
      <c r="Q1390" t="s">
        <v>213</v>
      </c>
    </row>
    <row r="1391" spans="1:17" x14ac:dyDescent="0.3">
      <c r="A1391" s="25">
        <v>1462</v>
      </c>
      <c r="B1391" t="s">
        <v>212</v>
      </c>
      <c r="C1391" t="s">
        <v>169</v>
      </c>
      <c r="D1391" t="s">
        <v>610</v>
      </c>
      <c r="E1391" s="118">
        <v>8582</v>
      </c>
      <c r="F1391" s="13">
        <v>45958</v>
      </c>
      <c r="G1391" s="24">
        <v>800</v>
      </c>
      <c r="H1391" s="24">
        <v>750.8</v>
      </c>
      <c r="I1391" s="3">
        <v>45964</v>
      </c>
      <c r="J1391" s="161">
        <v>45964</v>
      </c>
      <c r="K1391" s="12">
        <v>45968</v>
      </c>
      <c r="L1391" s="19" t="s">
        <v>731</v>
      </c>
      <c r="M1391" s="36">
        <v>0</v>
      </c>
      <c r="N1391" s="26"/>
      <c r="O1391" t="s">
        <v>202</v>
      </c>
      <c r="P1391" t="s">
        <v>328</v>
      </c>
      <c r="Q1391" t="s">
        <v>207</v>
      </c>
    </row>
    <row r="1392" spans="1:17" x14ac:dyDescent="0.3">
      <c r="A1392" s="25">
        <v>1390</v>
      </c>
      <c r="B1392" t="s">
        <v>84</v>
      </c>
      <c r="C1392" t="s">
        <v>16</v>
      </c>
      <c r="D1392" t="s">
        <v>519</v>
      </c>
      <c r="E1392" s="118">
        <v>1314</v>
      </c>
      <c r="F1392" s="13">
        <v>45958</v>
      </c>
      <c r="G1392" s="24">
        <v>146995.45000000001</v>
      </c>
      <c r="H1392" s="24">
        <v>129870.48</v>
      </c>
      <c r="I1392" s="3">
        <v>45986</v>
      </c>
      <c r="J1392" s="161">
        <v>46083</v>
      </c>
      <c r="K1392" s="12">
        <v>46084</v>
      </c>
      <c r="L1392" s="19" t="s">
        <v>731</v>
      </c>
      <c r="M1392" s="36"/>
      <c r="N1392"/>
      <c r="O1392" t="s">
        <v>202</v>
      </c>
      <c r="P1392" t="s">
        <v>328</v>
      </c>
      <c r="Q1392" t="s">
        <v>207</v>
      </c>
    </row>
    <row r="1393" spans="1:17" x14ac:dyDescent="0.3">
      <c r="A1393" s="25">
        <v>1390</v>
      </c>
      <c r="B1393" t="s">
        <v>84</v>
      </c>
      <c r="C1393" t="s">
        <v>16</v>
      </c>
      <c r="D1393" t="s">
        <v>519</v>
      </c>
      <c r="E1393" s="118">
        <v>1326</v>
      </c>
      <c r="F1393" s="13">
        <v>45989</v>
      </c>
      <c r="G1393" s="24">
        <v>147014.88</v>
      </c>
      <c r="H1393" s="27">
        <v>129887.65</v>
      </c>
      <c r="I1393" s="3">
        <v>46015</v>
      </c>
      <c r="J1393" s="161">
        <v>46104</v>
      </c>
      <c r="K1393" s="12">
        <v>46106</v>
      </c>
      <c r="L1393" s="19" t="s">
        <v>731</v>
      </c>
      <c r="M1393" s="36"/>
      <c r="N1393"/>
      <c r="O1393" t="s">
        <v>202</v>
      </c>
      <c r="P1393" t="s">
        <v>328</v>
      </c>
      <c r="Q1393" t="s">
        <v>207</v>
      </c>
    </row>
    <row r="1394" spans="1:17" x14ac:dyDescent="0.3">
      <c r="A1394" s="25">
        <v>1390</v>
      </c>
      <c r="B1394" t="s">
        <v>84</v>
      </c>
      <c r="C1394" t="s">
        <v>16</v>
      </c>
      <c r="D1394" t="s">
        <v>519</v>
      </c>
      <c r="E1394" s="118">
        <v>1327</v>
      </c>
      <c r="F1394" s="13">
        <v>46019</v>
      </c>
      <c r="G1394" s="24">
        <v>120533.74</v>
      </c>
      <c r="H1394" s="27">
        <v>106491.56</v>
      </c>
      <c r="I1394" s="3">
        <v>46035</v>
      </c>
      <c r="J1394" s="161">
        <v>46104</v>
      </c>
      <c r="K1394" s="12">
        <v>46106</v>
      </c>
      <c r="L1394" s="19" t="s">
        <v>731</v>
      </c>
      <c r="M1394" s="36"/>
      <c r="N1394"/>
      <c r="O1394" t="s">
        <v>202</v>
      </c>
      <c r="P1394" t="s">
        <v>328</v>
      </c>
      <c r="Q1394" t="s">
        <v>207</v>
      </c>
    </row>
    <row r="1395" spans="1:17" x14ac:dyDescent="0.3">
      <c r="A1395" s="25">
        <v>1390</v>
      </c>
      <c r="B1395" t="s">
        <v>84</v>
      </c>
      <c r="C1395" t="s">
        <v>16</v>
      </c>
      <c r="D1395" t="s">
        <v>519</v>
      </c>
      <c r="E1395" s="118">
        <v>1332</v>
      </c>
      <c r="F1395" s="13">
        <v>46051</v>
      </c>
      <c r="G1395" s="24">
        <v>94052.6</v>
      </c>
      <c r="H1395" s="27">
        <v>83095.47</v>
      </c>
      <c r="I1395" s="3">
        <v>46072</v>
      </c>
      <c r="J1395" s="161">
        <v>46153</v>
      </c>
      <c r="K1395" s="12">
        <v>46155</v>
      </c>
      <c r="L1395" s="19" t="s">
        <v>731</v>
      </c>
      <c r="M1395" s="36"/>
      <c r="N1395"/>
      <c r="O1395" t="s">
        <v>202</v>
      </c>
      <c r="P1395" t="s">
        <v>328</v>
      </c>
      <c r="Q1395" t="s">
        <v>207</v>
      </c>
    </row>
    <row r="1396" spans="1:17" x14ac:dyDescent="0.3">
      <c r="A1396" s="25">
        <v>1390</v>
      </c>
      <c r="B1396" t="s">
        <v>84</v>
      </c>
      <c r="C1396" t="s">
        <v>16</v>
      </c>
      <c r="D1396" t="s">
        <v>519</v>
      </c>
      <c r="E1396" s="118">
        <v>1337</v>
      </c>
      <c r="F1396" s="13">
        <v>46081</v>
      </c>
      <c r="G1396" s="24">
        <v>94072.03</v>
      </c>
      <c r="H1396" s="27">
        <v>83112.639999999999</v>
      </c>
      <c r="I1396" s="3">
        <v>46090</v>
      </c>
      <c r="J1396" s="161">
        <v>46153</v>
      </c>
      <c r="K1396" s="12">
        <v>46155</v>
      </c>
      <c r="L1396" s="19" t="s">
        <v>731</v>
      </c>
      <c r="M1396" s="36"/>
      <c r="N1396"/>
      <c r="O1396" t="s">
        <v>202</v>
      </c>
      <c r="P1396" t="s">
        <v>328</v>
      </c>
      <c r="Q1396" t="s">
        <v>207</v>
      </c>
    </row>
    <row r="1397" spans="1:17" x14ac:dyDescent="0.3">
      <c r="A1397" s="25">
        <v>1390</v>
      </c>
      <c r="B1397" t="s">
        <v>84</v>
      </c>
      <c r="C1397" t="s">
        <v>16</v>
      </c>
      <c r="D1397" t="s">
        <v>519</v>
      </c>
      <c r="E1397" s="118">
        <v>1342</v>
      </c>
      <c r="F1397" s="13">
        <v>46109</v>
      </c>
      <c r="G1397" s="24">
        <v>94072.03</v>
      </c>
      <c r="H1397" s="24">
        <v>83112.639999999999</v>
      </c>
      <c r="I1397" s="3">
        <v>46121</v>
      </c>
      <c r="J1397" s="161">
        <v>46202</v>
      </c>
      <c r="K1397" s="12"/>
      <c r="L1397" s="19" t="s">
        <v>730</v>
      </c>
      <c r="M1397" s="36"/>
      <c r="N1397"/>
      <c r="O1397" t="s">
        <v>202</v>
      </c>
      <c r="P1397" t="s">
        <v>328</v>
      </c>
      <c r="Q1397" t="s">
        <v>207</v>
      </c>
    </row>
    <row r="1398" spans="1:17" x14ac:dyDescent="0.3">
      <c r="A1398" s="25">
        <v>1390</v>
      </c>
      <c r="B1398" t="s">
        <v>84</v>
      </c>
      <c r="C1398" t="s">
        <v>16</v>
      </c>
      <c r="D1398" t="s">
        <v>519</v>
      </c>
      <c r="E1398" s="118">
        <v>1349</v>
      </c>
      <c r="F1398" s="13">
        <v>46140</v>
      </c>
      <c r="G1398" s="24">
        <v>25620.82</v>
      </c>
      <c r="H1398" s="24">
        <v>22635.99</v>
      </c>
      <c r="I1398" s="3">
        <v>46161</v>
      </c>
      <c r="J1398" s="161">
        <v>46223</v>
      </c>
      <c r="K1398" s="12"/>
      <c r="L1398" s="19" t="s">
        <v>730</v>
      </c>
      <c r="M1398" s="36"/>
      <c r="N1398"/>
      <c r="O1398" t="s">
        <v>202</v>
      </c>
      <c r="P1398" t="s">
        <v>328</v>
      </c>
      <c r="Q1398" t="s">
        <v>207</v>
      </c>
    </row>
    <row r="1399" spans="1:17" x14ac:dyDescent="0.3">
      <c r="A1399" s="25">
        <v>1390</v>
      </c>
      <c r="B1399" t="s">
        <v>84</v>
      </c>
      <c r="C1399" t="s">
        <v>16</v>
      </c>
      <c r="D1399" t="s">
        <v>519</v>
      </c>
      <c r="E1399" s="118">
        <v>1350</v>
      </c>
      <c r="F1399" s="13">
        <v>46140</v>
      </c>
      <c r="G1399" s="24">
        <v>16000</v>
      </c>
      <c r="H1399" s="24">
        <v>14136</v>
      </c>
      <c r="I1399" s="3">
        <v>46161</v>
      </c>
      <c r="J1399" s="161">
        <v>46223</v>
      </c>
      <c r="K1399" s="12"/>
      <c r="L1399" s="19" t="s">
        <v>730</v>
      </c>
      <c r="M1399" s="36"/>
      <c r="N1399"/>
      <c r="O1399" t="s">
        <v>202</v>
      </c>
      <c r="P1399" t="s">
        <v>328</v>
      </c>
      <c r="Q1399" t="s">
        <v>207</v>
      </c>
    </row>
    <row r="1400" spans="1:17" x14ac:dyDescent="0.3">
      <c r="A1400" s="25">
        <v>1390</v>
      </c>
      <c r="B1400" t="s">
        <v>84</v>
      </c>
      <c r="C1400" t="s">
        <v>16</v>
      </c>
      <c r="D1400" t="s">
        <v>519</v>
      </c>
      <c r="E1400" s="118">
        <v>1352</v>
      </c>
      <c r="F1400" s="13">
        <v>46170</v>
      </c>
      <c r="G1400" s="24">
        <v>41640.25</v>
      </c>
      <c r="H1400" s="24">
        <v>36789.160000000003</v>
      </c>
      <c r="I1400" s="3">
        <v>46183</v>
      </c>
      <c r="J1400" s="102">
        <v>46223</v>
      </c>
      <c r="K1400" s="12"/>
      <c r="L1400" s="19" t="s">
        <v>730</v>
      </c>
      <c r="M1400" s="36"/>
      <c r="N1400"/>
      <c r="O1400" t="s">
        <v>202</v>
      </c>
      <c r="P1400" t="s">
        <v>328</v>
      </c>
      <c r="Q1400" t="s">
        <v>207</v>
      </c>
    </row>
    <row r="1401" spans="1:17" x14ac:dyDescent="0.3">
      <c r="A1401" s="14">
        <v>1260</v>
      </c>
      <c r="B1401" t="s">
        <v>193</v>
      </c>
      <c r="C1401" t="s">
        <v>121</v>
      </c>
      <c r="D1401" t="s">
        <v>372</v>
      </c>
      <c r="E1401" s="118">
        <v>4478</v>
      </c>
      <c r="F1401" s="13">
        <v>45958</v>
      </c>
      <c r="G1401" s="27">
        <v>10914</v>
      </c>
      <c r="H1401" s="27">
        <v>10242.790000000001</v>
      </c>
      <c r="I1401" s="3">
        <v>45964</v>
      </c>
      <c r="J1401" s="161">
        <v>45985</v>
      </c>
      <c r="K1401" s="12">
        <v>45987</v>
      </c>
      <c r="L1401" s="20" t="s">
        <v>731</v>
      </c>
      <c r="M1401" s="35">
        <v>0</v>
      </c>
      <c r="N1401"/>
      <c r="O1401" t="s">
        <v>199</v>
      </c>
      <c r="P1401" t="s">
        <v>373</v>
      </c>
      <c r="Q1401" t="s">
        <v>207</v>
      </c>
    </row>
    <row r="1402" spans="1:17" x14ac:dyDescent="0.3">
      <c r="A1402" s="25">
        <v>1482</v>
      </c>
      <c r="B1402" t="s">
        <v>84</v>
      </c>
      <c r="C1402" t="s">
        <v>34</v>
      </c>
      <c r="D1402" t="s">
        <v>632</v>
      </c>
      <c r="E1402" s="118">
        <v>8591</v>
      </c>
      <c r="F1402" s="13">
        <v>45958</v>
      </c>
      <c r="G1402" s="24">
        <v>39000</v>
      </c>
      <c r="H1402" s="27">
        <v>35236.5</v>
      </c>
      <c r="I1402" s="3">
        <v>45967</v>
      </c>
      <c r="J1402" s="161">
        <v>45992</v>
      </c>
      <c r="K1402" s="12">
        <v>45994</v>
      </c>
      <c r="L1402" s="37" t="s">
        <v>731</v>
      </c>
      <c r="M1402" s="48"/>
      <c r="N1402" s="26"/>
      <c r="O1402" t="s">
        <v>202</v>
      </c>
      <c r="P1402" t="s">
        <v>328</v>
      </c>
      <c r="Q1402" t="s">
        <v>207</v>
      </c>
    </row>
    <row r="1403" spans="1:17" x14ac:dyDescent="0.3">
      <c r="A1403" s="25">
        <v>1262</v>
      </c>
      <c r="B1403" t="s">
        <v>193</v>
      </c>
      <c r="C1403" t="s">
        <v>45</v>
      </c>
      <c r="D1403" t="s">
        <v>375</v>
      </c>
      <c r="E1403" s="118">
        <v>4541</v>
      </c>
      <c r="F1403" s="13">
        <v>45958</v>
      </c>
      <c r="G1403" s="27">
        <v>37838.49</v>
      </c>
      <c r="H1403" s="27">
        <v>35511.43</v>
      </c>
      <c r="I1403" s="3">
        <v>45980</v>
      </c>
      <c r="J1403" s="161">
        <v>45985</v>
      </c>
      <c r="K1403" s="12">
        <v>45989</v>
      </c>
      <c r="L1403" s="19" t="s">
        <v>731</v>
      </c>
      <c r="M1403" s="36">
        <v>0</v>
      </c>
      <c r="N1403" s="26"/>
      <c r="O1403" t="s">
        <v>199</v>
      </c>
      <c r="P1403" t="s">
        <v>376</v>
      </c>
      <c r="Q1403" t="s">
        <v>207</v>
      </c>
    </row>
    <row r="1404" spans="1:17" x14ac:dyDescent="0.3">
      <c r="A1404" s="25">
        <v>1262</v>
      </c>
      <c r="B1404" t="s">
        <v>193</v>
      </c>
      <c r="C1404" t="s">
        <v>45</v>
      </c>
      <c r="D1404" t="s">
        <v>375</v>
      </c>
      <c r="E1404" s="118">
        <v>4542</v>
      </c>
      <c r="F1404" s="13">
        <v>45958</v>
      </c>
      <c r="G1404" s="27">
        <v>22804.36</v>
      </c>
      <c r="H1404" s="27">
        <v>21401.89</v>
      </c>
      <c r="I1404" s="3">
        <v>45980</v>
      </c>
      <c r="J1404" s="161">
        <v>45985</v>
      </c>
      <c r="K1404" s="12">
        <v>45989</v>
      </c>
      <c r="L1404" s="19" t="s">
        <v>731</v>
      </c>
      <c r="M1404" s="36">
        <v>0</v>
      </c>
      <c r="N1404" s="26"/>
      <c r="O1404" t="s">
        <v>199</v>
      </c>
      <c r="P1404" t="s">
        <v>376</v>
      </c>
      <c r="Q1404" t="s">
        <v>207</v>
      </c>
    </row>
    <row r="1405" spans="1:17" x14ac:dyDescent="0.3">
      <c r="A1405" s="25">
        <v>1262</v>
      </c>
      <c r="B1405" t="s">
        <v>193</v>
      </c>
      <c r="C1405" t="s">
        <v>45</v>
      </c>
      <c r="D1405" t="s">
        <v>375</v>
      </c>
      <c r="E1405" s="118">
        <v>4543</v>
      </c>
      <c r="F1405" s="13">
        <v>45958</v>
      </c>
      <c r="G1405" s="27">
        <v>19097.88</v>
      </c>
      <c r="H1405" s="27">
        <v>17923.349999999999</v>
      </c>
      <c r="I1405" s="3">
        <v>45980</v>
      </c>
      <c r="J1405" s="161">
        <v>45985</v>
      </c>
      <c r="K1405" s="12">
        <v>45989</v>
      </c>
      <c r="L1405" s="19" t="s">
        <v>731</v>
      </c>
      <c r="M1405" s="36">
        <v>0</v>
      </c>
      <c r="N1405" s="26"/>
      <c r="O1405" t="s">
        <v>199</v>
      </c>
      <c r="P1405" t="s">
        <v>376</v>
      </c>
      <c r="Q1405" t="s">
        <v>207</v>
      </c>
    </row>
    <row r="1406" spans="1:17" x14ac:dyDescent="0.3">
      <c r="A1406" s="25">
        <v>1262</v>
      </c>
      <c r="B1406" t="s">
        <v>193</v>
      </c>
      <c r="C1406" t="s">
        <v>45</v>
      </c>
      <c r="D1406" t="s">
        <v>375</v>
      </c>
      <c r="E1406" s="118">
        <v>4544</v>
      </c>
      <c r="F1406" s="13">
        <v>45958</v>
      </c>
      <c r="G1406" s="27">
        <v>59313.83</v>
      </c>
      <c r="H1406" s="27">
        <v>55666.03</v>
      </c>
      <c r="I1406" s="3">
        <v>45980</v>
      </c>
      <c r="J1406" s="161">
        <v>45985</v>
      </c>
      <c r="K1406" s="12">
        <v>45989</v>
      </c>
      <c r="L1406" s="19" t="s">
        <v>731</v>
      </c>
      <c r="M1406" s="36">
        <v>0</v>
      </c>
      <c r="N1406" s="26"/>
      <c r="O1406" t="s">
        <v>199</v>
      </c>
      <c r="P1406" t="s">
        <v>376</v>
      </c>
      <c r="Q1406" t="s">
        <v>207</v>
      </c>
    </row>
    <row r="1407" spans="1:17" x14ac:dyDescent="0.3">
      <c r="A1407" s="25">
        <v>1262</v>
      </c>
      <c r="B1407" t="s">
        <v>193</v>
      </c>
      <c r="C1407" t="s">
        <v>45</v>
      </c>
      <c r="D1407" t="s">
        <v>375</v>
      </c>
      <c r="E1407" s="118">
        <v>4546</v>
      </c>
      <c r="F1407" s="13">
        <v>45958</v>
      </c>
      <c r="G1407" s="27">
        <v>8184.81</v>
      </c>
      <c r="H1407" s="27">
        <v>7681.45</v>
      </c>
      <c r="I1407" s="3">
        <v>45980</v>
      </c>
      <c r="J1407" s="161">
        <v>45985</v>
      </c>
      <c r="K1407" s="12">
        <v>45989</v>
      </c>
      <c r="L1407" s="19" t="s">
        <v>731</v>
      </c>
      <c r="M1407" s="36">
        <v>0</v>
      </c>
      <c r="N1407" s="26"/>
      <c r="O1407" t="s">
        <v>199</v>
      </c>
      <c r="P1407" t="s">
        <v>376</v>
      </c>
      <c r="Q1407" t="s">
        <v>207</v>
      </c>
    </row>
    <row r="1408" spans="1:17" x14ac:dyDescent="0.3">
      <c r="A1408" s="9">
        <v>1269</v>
      </c>
      <c r="B1408" t="s">
        <v>193</v>
      </c>
      <c r="C1408" t="s">
        <v>45</v>
      </c>
      <c r="D1408" t="s">
        <v>384</v>
      </c>
      <c r="E1408" s="118">
        <v>4545</v>
      </c>
      <c r="F1408" s="13">
        <v>45958</v>
      </c>
      <c r="G1408" s="27">
        <v>256578.23</v>
      </c>
      <c r="H1408" s="27">
        <v>240798.67</v>
      </c>
      <c r="I1408" s="3">
        <v>45980</v>
      </c>
      <c r="J1408" s="161">
        <v>45985</v>
      </c>
      <c r="K1408" s="12">
        <v>45989</v>
      </c>
      <c r="L1408" s="19" t="s">
        <v>731</v>
      </c>
      <c r="M1408" s="35">
        <v>0</v>
      </c>
      <c r="N1408" s="15"/>
      <c r="O1408" t="s">
        <v>202</v>
      </c>
      <c r="P1408" t="s">
        <v>376</v>
      </c>
      <c r="Q1408" t="s">
        <v>207</v>
      </c>
    </row>
    <row r="1409" spans="1:17" x14ac:dyDescent="0.3">
      <c r="A1409" s="9">
        <v>1269</v>
      </c>
      <c r="B1409" t="s">
        <v>193</v>
      </c>
      <c r="C1409" t="s">
        <v>45</v>
      </c>
      <c r="D1409" t="s">
        <v>384</v>
      </c>
      <c r="E1409" s="118">
        <v>4547</v>
      </c>
      <c r="F1409" s="13">
        <v>45958</v>
      </c>
      <c r="G1409" s="27">
        <v>10876.23</v>
      </c>
      <c r="H1409" s="27">
        <v>10207.34</v>
      </c>
      <c r="I1409" s="3">
        <v>45980</v>
      </c>
      <c r="J1409" s="161">
        <v>45985</v>
      </c>
      <c r="K1409" s="12">
        <v>45989</v>
      </c>
      <c r="L1409" s="19" t="s">
        <v>731</v>
      </c>
      <c r="M1409" s="35">
        <v>0</v>
      </c>
      <c r="N1409" s="15"/>
      <c r="O1409" t="s">
        <v>202</v>
      </c>
      <c r="P1409" t="s">
        <v>376</v>
      </c>
      <c r="Q1409" t="s">
        <v>207</v>
      </c>
    </row>
    <row r="1410" spans="1:17" x14ac:dyDescent="0.3">
      <c r="A1410" s="9">
        <v>1269</v>
      </c>
      <c r="B1410" t="s">
        <v>193</v>
      </c>
      <c r="C1410" t="s">
        <v>45</v>
      </c>
      <c r="D1410" t="s">
        <v>384</v>
      </c>
      <c r="E1410" s="118">
        <v>4548</v>
      </c>
      <c r="F1410" s="13">
        <v>45958</v>
      </c>
      <c r="G1410" s="27">
        <v>6655.99</v>
      </c>
      <c r="H1410" s="27">
        <v>6246.65</v>
      </c>
      <c r="I1410" s="3">
        <v>45980</v>
      </c>
      <c r="J1410" s="161">
        <v>45985</v>
      </c>
      <c r="K1410" s="12">
        <v>45989</v>
      </c>
      <c r="L1410" s="19" t="s">
        <v>731</v>
      </c>
      <c r="M1410" s="35">
        <v>0</v>
      </c>
      <c r="N1410" s="15"/>
      <c r="O1410" t="s">
        <v>202</v>
      </c>
      <c r="P1410" t="s">
        <v>376</v>
      </c>
      <c r="Q1410" t="s">
        <v>207</v>
      </c>
    </row>
    <row r="1411" spans="1:17" x14ac:dyDescent="0.3">
      <c r="A1411" s="9">
        <v>1269</v>
      </c>
      <c r="B1411" t="s">
        <v>193</v>
      </c>
      <c r="C1411" t="s">
        <v>45</v>
      </c>
      <c r="D1411" t="s">
        <v>384</v>
      </c>
      <c r="E1411" s="118">
        <v>4549</v>
      </c>
      <c r="F1411" s="13">
        <v>45958</v>
      </c>
      <c r="G1411" s="27">
        <v>30699.39</v>
      </c>
      <c r="H1411" s="27">
        <v>28811.38</v>
      </c>
      <c r="I1411" s="3">
        <v>45980</v>
      </c>
      <c r="J1411" s="161">
        <v>45985</v>
      </c>
      <c r="K1411" s="12">
        <v>45989</v>
      </c>
      <c r="L1411" s="19" t="s">
        <v>731</v>
      </c>
      <c r="M1411" s="35">
        <v>0</v>
      </c>
      <c r="N1411" s="15"/>
      <c r="O1411" t="s">
        <v>202</v>
      </c>
      <c r="P1411" t="s">
        <v>376</v>
      </c>
      <c r="Q1411" t="s">
        <v>207</v>
      </c>
    </row>
    <row r="1412" spans="1:17" x14ac:dyDescent="0.3">
      <c r="A1412" s="25">
        <v>1400</v>
      </c>
      <c r="B1412" t="s">
        <v>209</v>
      </c>
      <c r="C1412" t="s">
        <v>3</v>
      </c>
      <c r="D1412" t="s">
        <v>530</v>
      </c>
      <c r="E1412" s="118">
        <v>8619</v>
      </c>
      <c r="F1412" s="13">
        <v>45958</v>
      </c>
      <c r="G1412" s="27">
        <v>77751.44</v>
      </c>
      <c r="H1412" s="27">
        <v>70248.44</v>
      </c>
      <c r="I1412" s="3">
        <v>45980</v>
      </c>
      <c r="J1412" s="161">
        <v>45992</v>
      </c>
      <c r="K1412" s="12">
        <v>45995</v>
      </c>
      <c r="L1412" s="19" t="s">
        <v>731</v>
      </c>
      <c r="M1412" s="36"/>
      <c r="N1412"/>
      <c r="O1412" t="s">
        <v>199</v>
      </c>
      <c r="P1412" t="s">
        <v>328</v>
      </c>
      <c r="Q1412" t="s">
        <v>203</v>
      </c>
    </row>
    <row r="1413" spans="1:17" x14ac:dyDescent="0.3">
      <c r="A1413" s="25">
        <v>1400</v>
      </c>
      <c r="B1413" t="s">
        <v>209</v>
      </c>
      <c r="C1413" t="s">
        <v>3</v>
      </c>
      <c r="D1413" t="s">
        <v>530</v>
      </c>
      <c r="E1413" s="118">
        <v>8639</v>
      </c>
      <c r="F1413" s="13">
        <v>45958</v>
      </c>
      <c r="G1413" s="24">
        <v>578936.85</v>
      </c>
      <c r="H1413" s="27">
        <v>523069.44</v>
      </c>
      <c r="I1413" s="3">
        <v>45992</v>
      </c>
      <c r="J1413" s="161">
        <v>45992</v>
      </c>
      <c r="K1413" s="12">
        <v>45995</v>
      </c>
      <c r="L1413" s="19" t="s">
        <v>731</v>
      </c>
      <c r="M1413" s="36"/>
      <c r="N1413"/>
      <c r="O1413" t="s">
        <v>199</v>
      </c>
      <c r="P1413" t="s">
        <v>328</v>
      </c>
      <c r="Q1413" t="s">
        <v>203</v>
      </c>
    </row>
    <row r="1414" spans="1:17" x14ac:dyDescent="0.3">
      <c r="A1414" s="25">
        <v>1400</v>
      </c>
      <c r="B1414" t="s">
        <v>209</v>
      </c>
      <c r="C1414" t="s">
        <v>3</v>
      </c>
      <c r="D1414" t="s">
        <v>530</v>
      </c>
      <c r="E1414" s="118">
        <v>8664</v>
      </c>
      <c r="F1414" s="13">
        <v>45989</v>
      </c>
      <c r="G1414" s="24">
        <v>639761.97</v>
      </c>
      <c r="H1414" s="27">
        <v>578024.93999999994</v>
      </c>
      <c r="I1414" s="3">
        <v>45996</v>
      </c>
      <c r="J1414" s="161">
        <v>46006</v>
      </c>
      <c r="K1414" s="12">
        <v>46009</v>
      </c>
      <c r="L1414" s="19" t="s">
        <v>731</v>
      </c>
      <c r="M1414" s="36"/>
      <c r="N1414"/>
      <c r="O1414" t="s">
        <v>199</v>
      </c>
      <c r="P1414" t="s">
        <v>328</v>
      </c>
      <c r="Q1414" t="s">
        <v>203</v>
      </c>
    </row>
    <row r="1415" spans="1:17" x14ac:dyDescent="0.3">
      <c r="A1415" s="9">
        <v>1501</v>
      </c>
      <c r="B1415" t="s">
        <v>209</v>
      </c>
      <c r="C1415" t="s">
        <v>3</v>
      </c>
      <c r="D1415" t="s">
        <v>186</v>
      </c>
      <c r="E1415" s="118">
        <v>8618</v>
      </c>
      <c r="F1415" s="13">
        <v>45958</v>
      </c>
      <c r="G1415" s="11">
        <v>428275</v>
      </c>
      <c r="H1415" s="24">
        <v>386946.45</v>
      </c>
      <c r="I1415" s="3">
        <v>45980</v>
      </c>
      <c r="J1415" s="161">
        <v>45992</v>
      </c>
      <c r="K1415" s="12">
        <v>45995</v>
      </c>
      <c r="L1415" s="19" t="s">
        <v>731</v>
      </c>
      <c r="M1415" s="35">
        <v>0</v>
      </c>
      <c r="N1415"/>
      <c r="O1415" t="s">
        <v>202</v>
      </c>
      <c r="P1415" t="s">
        <v>328</v>
      </c>
      <c r="Q1415" t="s">
        <v>203</v>
      </c>
    </row>
    <row r="1416" spans="1:17" x14ac:dyDescent="0.3">
      <c r="A1416" s="9">
        <v>1501</v>
      </c>
      <c r="B1416" t="s">
        <v>209</v>
      </c>
      <c r="C1416" t="s">
        <v>3</v>
      </c>
      <c r="D1416" t="s">
        <v>186</v>
      </c>
      <c r="E1416" s="118">
        <v>8666</v>
      </c>
      <c r="F1416" s="13">
        <v>45989</v>
      </c>
      <c r="G1416" s="11">
        <v>620073.25</v>
      </c>
      <c r="H1416" s="24">
        <v>560236.18000000005</v>
      </c>
      <c r="I1416" s="3">
        <v>46000</v>
      </c>
      <c r="J1416" s="161">
        <v>46006</v>
      </c>
      <c r="K1416" s="12">
        <v>46009</v>
      </c>
      <c r="L1416" s="19" t="s">
        <v>731</v>
      </c>
      <c r="M1416" s="35"/>
      <c r="N1416"/>
      <c r="O1416" t="s">
        <v>202</v>
      </c>
      <c r="P1416" t="s">
        <v>328</v>
      </c>
      <c r="Q1416" t="s">
        <v>203</v>
      </c>
    </row>
    <row r="1417" spans="1:17" x14ac:dyDescent="0.3">
      <c r="A1417" s="9">
        <v>1501</v>
      </c>
      <c r="B1417" t="s">
        <v>209</v>
      </c>
      <c r="C1417" t="s">
        <v>3</v>
      </c>
      <c r="D1417" t="s">
        <v>186</v>
      </c>
      <c r="E1417" s="118">
        <v>8718</v>
      </c>
      <c r="F1417" s="13">
        <v>46019</v>
      </c>
      <c r="G1417" s="11">
        <v>446333.25</v>
      </c>
      <c r="H1417" s="24">
        <v>403262.09</v>
      </c>
      <c r="I1417" s="3">
        <v>46037</v>
      </c>
      <c r="J1417" s="161">
        <v>46055</v>
      </c>
      <c r="K1417" s="12">
        <v>46058</v>
      </c>
      <c r="L1417" s="19" t="s">
        <v>731</v>
      </c>
      <c r="M1417" s="35"/>
      <c r="N1417"/>
      <c r="O1417" t="s">
        <v>202</v>
      </c>
      <c r="P1417" t="s">
        <v>328</v>
      </c>
      <c r="Q1417" t="s">
        <v>203</v>
      </c>
    </row>
    <row r="1418" spans="1:17" x14ac:dyDescent="0.3">
      <c r="A1418" s="9">
        <v>1501</v>
      </c>
      <c r="B1418" t="s">
        <v>209</v>
      </c>
      <c r="C1418" t="s">
        <v>3</v>
      </c>
      <c r="D1418" t="s">
        <v>186</v>
      </c>
      <c r="E1418" s="118">
        <v>8766</v>
      </c>
      <c r="F1418" s="13">
        <v>46051</v>
      </c>
      <c r="G1418" s="11">
        <v>454812</v>
      </c>
      <c r="H1418" s="24">
        <v>410922.64</v>
      </c>
      <c r="I1418" s="3">
        <v>46072</v>
      </c>
      <c r="J1418" s="161">
        <v>46083</v>
      </c>
      <c r="K1418" s="12">
        <v>46086</v>
      </c>
      <c r="L1418" s="19" t="s">
        <v>731</v>
      </c>
      <c r="M1418" s="35"/>
      <c r="N1418"/>
      <c r="O1418" t="s">
        <v>202</v>
      </c>
      <c r="P1418" t="s">
        <v>328</v>
      </c>
      <c r="Q1418" t="s">
        <v>203</v>
      </c>
    </row>
    <row r="1419" spans="1:17" x14ac:dyDescent="0.3">
      <c r="A1419" s="9">
        <v>1501</v>
      </c>
      <c r="B1419" t="s">
        <v>209</v>
      </c>
      <c r="C1419" t="s">
        <v>3</v>
      </c>
      <c r="D1419" t="s">
        <v>186</v>
      </c>
      <c r="E1419" s="118">
        <v>8803</v>
      </c>
      <c r="F1419" s="13">
        <v>46081</v>
      </c>
      <c r="G1419" s="11">
        <v>464808</v>
      </c>
      <c r="H1419" s="24">
        <v>419954.02</v>
      </c>
      <c r="I1419" s="3">
        <v>46092</v>
      </c>
      <c r="J1419" s="161">
        <v>46104</v>
      </c>
      <c r="K1419" s="12">
        <v>46106</v>
      </c>
      <c r="L1419" s="19" t="s">
        <v>731</v>
      </c>
      <c r="M1419" s="35"/>
      <c r="N1419"/>
      <c r="O1419" t="s">
        <v>202</v>
      </c>
      <c r="P1419" t="s">
        <v>328</v>
      </c>
      <c r="Q1419" t="s">
        <v>203</v>
      </c>
    </row>
    <row r="1420" spans="1:17" x14ac:dyDescent="0.3">
      <c r="A1420" s="9">
        <v>1501</v>
      </c>
      <c r="B1420" t="s">
        <v>209</v>
      </c>
      <c r="C1420" t="s">
        <v>3</v>
      </c>
      <c r="D1420" t="s">
        <v>186</v>
      </c>
      <c r="E1420" s="118">
        <v>8911</v>
      </c>
      <c r="F1420" s="13">
        <v>46110</v>
      </c>
      <c r="G1420" s="11">
        <v>464808</v>
      </c>
      <c r="H1420" s="24">
        <v>419954.03</v>
      </c>
      <c r="I1420" s="3">
        <v>46146</v>
      </c>
      <c r="J1420" s="161">
        <v>46181</v>
      </c>
      <c r="K1420" s="12"/>
      <c r="L1420" s="19" t="s">
        <v>730</v>
      </c>
      <c r="M1420" s="35"/>
      <c r="N1420"/>
      <c r="O1420" t="s">
        <v>202</v>
      </c>
      <c r="P1420" t="s">
        <v>328</v>
      </c>
      <c r="Q1420" t="s">
        <v>203</v>
      </c>
    </row>
    <row r="1421" spans="1:17" x14ac:dyDescent="0.3">
      <c r="A1421" s="9">
        <v>1501</v>
      </c>
      <c r="B1421" t="s">
        <v>209</v>
      </c>
      <c r="C1421" t="s">
        <v>3</v>
      </c>
      <c r="D1421" t="s">
        <v>186</v>
      </c>
      <c r="E1421" s="118">
        <v>8937</v>
      </c>
      <c r="F1421" s="13">
        <v>46141</v>
      </c>
      <c r="G1421" s="11">
        <v>487656</v>
      </c>
      <c r="H1421" s="24">
        <v>440597.2</v>
      </c>
      <c r="I1421" s="3">
        <v>46154</v>
      </c>
      <c r="J1421" s="161">
        <v>46202</v>
      </c>
      <c r="K1421" s="12"/>
      <c r="L1421" s="19" t="s">
        <v>730</v>
      </c>
      <c r="M1421" s="35"/>
      <c r="N1421"/>
      <c r="O1421" t="s">
        <v>202</v>
      </c>
      <c r="P1421" t="s">
        <v>328</v>
      </c>
      <c r="Q1421" t="s">
        <v>203</v>
      </c>
    </row>
    <row r="1422" spans="1:17" x14ac:dyDescent="0.3">
      <c r="A1422" s="9">
        <v>1501</v>
      </c>
      <c r="B1422" t="s">
        <v>209</v>
      </c>
      <c r="C1422" t="s">
        <v>3</v>
      </c>
      <c r="D1422" t="s">
        <v>186</v>
      </c>
      <c r="E1422" s="118">
        <v>9006</v>
      </c>
      <c r="F1422" s="13">
        <v>46171</v>
      </c>
      <c r="G1422" s="11">
        <v>447672</v>
      </c>
      <c r="H1422" s="24">
        <v>404471.66</v>
      </c>
      <c r="I1422" s="3">
        <v>46183</v>
      </c>
      <c r="J1422" s="102">
        <v>46209</v>
      </c>
      <c r="K1422" s="12"/>
      <c r="L1422" s="19" t="s">
        <v>730</v>
      </c>
      <c r="M1422" s="35"/>
      <c r="N1422"/>
      <c r="O1422" t="s">
        <v>202</v>
      </c>
      <c r="P1422" t="s">
        <v>328</v>
      </c>
      <c r="Q1422" t="s">
        <v>203</v>
      </c>
    </row>
    <row r="1423" spans="1:17" x14ac:dyDescent="0.3">
      <c r="A1423" s="25">
        <v>1388</v>
      </c>
      <c r="B1423" t="s">
        <v>209</v>
      </c>
      <c r="C1423" t="s">
        <v>3</v>
      </c>
      <c r="D1423" t="s">
        <v>518</v>
      </c>
      <c r="E1423" s="118">
        <v>4552</v>
      </c>
      <c r="F1423" s="13">
        <v>45958</v>
      </c>
      <c r="G1423" s="27">
        <v>319606.86</v>
      </c>
      <c r="H1423" s="27">
        <v>288764.79999999999</v>
      </c>
      <c r="I1423" s="3">
        <v>45980</v>
      </c>
      <c r="J1423" s="161">
        <v>45992</v>
      </c>
      <c r="K1423" s="12">
        <v>45995</v>
      </c>
      <c r="L1423" s="19" t="s">
        <v>731</v>
      </c>
      <c r="M1423" s="36"/>
      <c r="N1423"/>
      <c r="O1423" t="s">
        <v>199</v>
      </c>
      <c r="P1423" t="s">
        <v>328</v>
      </c>
      <c r="Q1423" t="s">
        <v>203</v>
      </c>
    </row>
    <row r="1424" spans="1:17" x14ac:dyDescent="0.3">
      <c r="A1424" s="25">
        <v>1388</v>
      </c>
      <c r="B1424" t="s">
        <v>209</v>
      </c>
      <c r="C1424" t="s">
        <v>3</v>
      </c>
      <c r="D1424" t="s">
        <v>518</v>
      </c>
      <c r="E1424" s="118">
        <v>4670</v>
      </c>
      <c r="F1424" s="13">
        <v>45989</v>
      </c>
      <c r="G1424" s="27">
        <v>191527.36</v>
      </c>
      <c r="H1424" s="27">
        <v>173044.98</v>
      </c>
      <c r="I1424" s="3">
        <v>46000</v>
      </c>
      <c r="J1424" s="161">
        <v>46006</v>
      </c>
      <c r="K1424" s="12">
        <v>46009</v>
      </c>
      <c r="L1424" s="19" t="s">
        <v>731</v>
      </c>
      <c r="M1424" s="36"/>
      <c r="N1424"/>
      <c r="O1424" t="s">
        <v>199</v>
      </c>
      <c r="P1424" t="s">
        <v>328</v>
      </c>
      <c r="Q1424" t="s">
        <v>203</v>
      </c>
    </row>
    <row r="1425" spans="1:17" x14ac:dyDescent="0.3">
      <c r="A1425" s="25">
        <v>1360</v>
      </c>
      <c r="B1425" t="s">
        <v>71</v>
      </c>
      <c r="C1425" t="s">
        <v>44</v>
      </c>
      <c r="D1425" t="s">
        <v>483</v>
      </c>
      <c r="E1425" s="118">
        <v>5198</v>
      </c>
      <c r="F1425" s="13">
        <v>46170</v>
      </c>
      <c r="G1425" s="27">
        <v>52801.760000000002</v>
      </c>
      <c r="H1425" s="27">
        <v>49554.45</v>
      </c>
      <c r="I1425" s="3">
        <v>46174</v>
      </c>
      <c r="J1425" s="102">
        <v>46202</v>
      </c>
      <c r="K1425" s="12"/>
      <c r="L1425" s="19" t="s">
        <v>730</v>
      </c>
      <c r="M1425" s="35"/>
      <c r="N1425"/>
      <c r="O1425" t="s">
        <v>199</v>
      </c>
      <c r="P1425" t="s">
        <v>376</v>
      </c>
      <c r="Q1425" t="s">
        <v>203</v>
      </c>
    </row>
    <row r="1426" spans="1:17" x14ac:dyDescent="0.3">
      <c r="A1426" s="25">
        <v>1387</v>
      </c>
      <c r="B1426" t="s">
        <v>71</v>
      </c>
      <c r="C1426" t="s">
        <v>44</v>
      </c>
      <c r="D1426" t="s">
        <v>517</v>
      </c>
      <c r="E1426" s="118">
        <v>5199</v>
      </c>
      <c r="F1426" s="13">
        <v>46170</v>
      </c>
      <c r="G1426" s="27">
        <v>42427.199999999997</v>
      </c>
      <c r="H1426" s="27">
        <v>39817.93</v>
      </c>
      <c r="I1426" s="3">
        <v>46174</v>
      </c>
      <c r="J1426" s="102">
        <v>46202</v>
      </c>
      <c r="K1426" s="12"/>
      <c r="L1426" s="19" t="s">
        <v>730</v>
      </c>
      <c r="M1426" s="35"/>
      <c r="N1426"/>
      <c r="O1426" t="s">
        <v>202</v>
      </c>
      <c r="P1426" t="s">
        <v>376</v>
      </c>
      <c r="Q1426" t="s">
        <v>203</v>
      </c>
    </row>
    <row r="1427" spans="1:17" x14ac:dyDescent="0.3">
      <c r="A1427" s="25">
        <v>1388</v>
      </c>
      <c r="B1427" t="s">
        <v>209</v>
      </c>
      <c r="C1427" t="s">
        <v>3</v>
      </c>
      <c r="D1427" t="s">
        <v>518</v>
      </c>
      <c r="E1427" s="118">
        <v>5204</v>
      </c>
      <c r="F1427" s="13">
        <v>46020</v>
      </c>
      <c r="G1427" s="44">
        <v>221143.8</v>
      </c>
      <c r="H1427" s="24">
        <v>199803.42</v>
      </c>
      <c r="I1427" s="3">
        <v>46174</v>
      </c>
      <c r="J1427" s="161">
        <v>46181</v>
      </c>
      <c r="K1427" s="12"/>
      <c r="L1427" s="19" t="s">
        <v>730</v>
      </c>
      <c r="M1427" s="35"/>
      <c r="N1427"/>
      <c r="O1427" t="s">
        <v>199</v>
      </c>
      <c r="P1427" t="s">
        <v>328</v>
      </c>
      <c r="Q1427" t="s">
        <v>203</v>
      </c>
    </row>
    <row r="1428" spans="1:17" x14ac:dyDescent="0.3">
      <c r="A1428" s="25">
        <v>1388</v>
      </c>
      <c r="B1428" t="s">
        <v>209</v>
      </c>
      <c r="C1428" t="s">
        <v>3</v>
      </c>
      <c r="D1428" t="s">
        <v>518</v>
      </c>
      <c r="E1428" s="118">
        <v>5206</v>
      </c>
      <c r="F1428" s="13">
        <v>46051</v>
      </c>
      <c r="G1428" s="44">
        <v>209636.42</v>
      </c>
      <c r="H1428" s="24">
        <v>189406.5</v>
      </c>
      <c r="I1428" s="3">
        <v>46174</v>
      </c>
      <c r="J1428" s="161">
        <v>46181</v>
      </c>
      <c r="K1428" s="12"/>
      <c r="L1428" s="19" t="s">
        <v>730</v>
      </c>
      <c r="M1428" s="35"/>
      <c r="N1428"/>
      <c r="O1428" t="s">
        <v>199</v>
      </c>
      <c r="P1428" t="s">
        <v>328</v>
      </c>
      <c r="Q1428" t="s">
        <v>203</v>
      </c>
    </row>
    <row r="1429" spans="1:17" x14ac:dyDescent="0.3">
      <c r="A1429" s="25">
        <v>1388</v>
      </c>
      <c r="B1429" t="s">
        <v>209</v>
      </c>
      <c r="C1429" t="s">
        <v>3</v>
      </c>
      <c r="D1429" t="s">
        <v>518</v>
      </c>
      <c r="E1429" s="118">
        <v>5208</v>
      </c>
      <c r="F1429" s="13">
        <v>46081</v>
      </c>
      <c r="G1429" s="44">
        <v>216715.82</v>
      </c>
      <c r="H1429" s="24">
        <v>195802.74</v>
      </c>
      <c r="I1429" s="3">
        <v>46174</v>
      </c>
      <c r="J1429" s="161">
        <v>46181</v>
      </c>
      <c r="K1429" s="12"/>
      <c r="L1429" s="19" t="s">
        <v>730</v>
      </c>
      <c r="M1429" s="35"/>
      <c r="N1429"/>
      <c r="O1429" t="s">
        <v>199</v>
      </c>
      <c r="P1429" t="s">
        <v>328</v>
      </c>
      <c r="Q1429" t="s">
        <v>203</v>
      </c>
    </row>
    <row r="1430" spans="1:17" x14ac:dyDescent="0.3">
      <c r="A1430" s="9">
        <v>1298</v>
      </c>
      <c r="B1430" t="s">
        <v>84</v>
      </c>
      <c r="C1430" t="s">
        <v>36</v>
      </c>
      <c r="D1430" t="s">
        <v>418</v>
      </c>
      <c r="E1430" s="118">
        <v>1298</v>
      </c>
      <c r="F1430" s="68">
        <v>45958</v>
      </c>
      <c r="G1430" s="24">
        <v>64756.13</v>
      </c>
      <c r="H1430" s="27">
        <v>60773.64</v>
      </c>
      <c r="I1430" s="3">
        <v>45931</v>
      </c>
      <c r="J1430" s="161">
        <v>45957</v>
      </c>
      <c r="K1430" s="12">
        <v>45961</v>
      </c>
      <c r="L1430" s="19" t="s">
        <v>731</v>
      </c>
      <c r="M1430" s="35">
        <v>0</v>
      </c>
      <c r="N1430"/>
      <c r="O1430" t="s">
        <v>202</v>
      </c>
      <c r="P1430" t="s">
        <v>340</v>
      </c>
      <c r="Q1430" t="s">
        <v>207</v>
      </c>
    </row>
    <row r="1431" spans="1:17" x14ac:dyDescent="0.3">
      <c r="A1431" s="9">
        <v>1298</v>
      </c>
      <c r="B1431" t="s">
        <v>84</v>
      </c>
      <c r="C1431" t="s">
        <v>36</v>
      </c>
      <c r="D1431" t="s">
        <v>418</v>
      </c>
      <c r="E1431" s="118">
        <v>1299</v>
      </c>
      <c r="F1431" s="68">
        <v>45958</v>
      </c>
      <c r="G1431" s="24">
        <v>39057.21</v>
      </c>
      <c r="H1431" s="27">
        <v>36655.19</v>
      </c>
      <c r="I1431" s="3">
        <v>45931</v>
      </c>
      <c r="J1431" s="161">
        <v>45957</v>
      </c>
      <c r="K1431" s="12">
        <v>45961</v>
      </c>
      <c r="L1431" s="19" t="s">
        <v>731</v>
      </c>
      <c r="M1431" s="35">
        <v>0</v>
      </c>
      <c r="N1431"/>
      <c r="O1431" t="s">
        <v>202</v>
      </c>
      <c r="P1431" t="s">
        <v>340</v>
      </c>
      <c r="Q1431" t="s">
        <v>207</v>
      </c>
    </row>
    <row r="1432" spans="1:17" x14ac:dyDescent="0.3">
      <c r="A1432" s="9">
        <v>1298</v>
      </c>
      <c r="B1432" t="s">
        <v>84</v>
      </c>
      <c r="C1432" t="s">
        <v>36</v>
      </c>
      <c r="D1432" t="s">
        <v>418</v>
      </c>
      <c r="E1432" s="118">
        <v>1313</v>
      </c>
      <c r="F1432" s="13">
        <v>45958</v>
      </c>
      <c r="G1432" s="27">
        <v>294000.96000000002</v>
      </c>
      <c r="H1432" s="27">
        <v>275919.90000000002</v>
      </c>
      <c r="I1432" s="3">
        <v>45975</v>
      </c>
      <c r="J1432" s="161">
        <v>45985</v>
      </c>
      <c r="K1432" s="12">
        <v>45989</v>
      </c>
      <c r="L1432" s="19" t="s">
        <v>731</v>
      </c>
      <c r="M1432" s="35">
        <v>0</v>
      </c>
      <c r="N1432"/>
      <c r="O1432" t="s">
        <v>202</v>
      </c>
      <c r="P1432" t="s">
        <v>340</v>
      </c>
      <c r="Q1432" t="s">
        <v>207</v>
      </c>
    </row>
    <row r="1433" spans="1:17" x14ac:dyDescent="0.3">
      <c r="A1433" s="25">
        <v>1288</v>
      </c>
      <c r="B1433" t="s">
        <v>204</v>
      </c>
      <c r="C1433" t="s">
        <v>32</v>
      </c>
      <c r="D1433" t="s">
        <v>407</v>
      </c>
      <c r="E1433" s="118">
        <v>8689</v>
      </c>
      <c r="F1433" s="13">
        <v>45989</v>
      </c>
      <c r="G1433" s="24">
        <v>393506.36</v>
      </c>
      <c r="H1433" s="24">
        <v>366747.92</v>
      </c>
      <c r="I1433" s="3">
        <v>46007</v>
      </c>
      <c r="J1433" s="161">
        <v>46013</v>
      </c>
      <c r="K1433" s="12">
        <v>46015</v>
      </c>
      <c r="L1433" s="19" t="s">
        <v>731</v>
      </c>
      <c r="M1433" s="35"/>
      <c r="N1433"/>
      <c r="O1433" t="s">
        <v>199</v>
      </c>
      <c r="P1433" t="s">
        <v>340</v>
      </c>
      <c r="Q1433" t="s">
        <v>217</v>
      </c>
    </row>
    <row r="1434" spans="1:17" x14ac:dyDescent="0.3">
      <c r="A1434" s="9">
        <v>1393</v>
      </c>
      <c r="B1434" t="s">
        <v>215</v>
      </c>
      <c r="C1434" t="s">
        <v>348</v>
      </c>
      <c r="D1434" t="s">
        <v>522</v>
      </c>
      <c r="E1434" s="118">
        <v>8850</v>
      </c>
      <c r="F1434" s="13">
        <v>46109</v>
      </c>
      <c r="G1434" s="24">
        <v>466200.21</v>
      </c>
      <c r="H1434" s="24">
        <v>418181.59</v>
      </c>
      <c r="I1434" s="3">
        <v>46122</v>
      </c>
      <c r="J1434" s="161">
        <v>46160</v>
      </c>
      <c r="K1434" s="5">
        <v>46161</v>
      </c>
      <c r="L1434" s="19" t="s">
        <v>731</v>
      </c>
      <c r="M1434" s="35"/>
      <c r="N1434" s="15"/>
      <c r="O1434" t="s">
        <v>202</v>
      </c>
      <c r="P1434" t="s">
        <v>340</v>
      </c>
      <c r="Q1434" t="s">
        <v>213</v>
      </c>
    </row>
    <row r="1435" spans="1:17" x14ac:dyDescent="0.3">
      <c r="A1435" s="25">
        <v>1455</v>
      </c>
      <c r="B1435" t="s">
        <v>215</v>
      </c>
      <c r="C1435" t="s">
        <v>60</v>
      </c>
      <c r="D1435" t="s">
        <v>600</v>
      </c>
      <c r="E1435" s="118">
        <v>8971</v>
      </c>
      <c r="F1435" s="13">
        <v>46140</v>
      </c>
      <c r="G1435" s="27">
        <v>888.93</v>
      </c>
      <c r="H1435" s="24">
        <v>785.37</v>
      </c>
      <c r="I1435" s="3">
        <v>46164</v>
      </c>
      <c r="J1435" s="161">
        <v>46195</v>
      </c>
      <c r="K1435" s="12"/>
      <c r="L1435" s="22" t="s">
        <v>730</v>
      </c>
      <c r="M1435" s="35"/>
      <c r="N1435" s="26"/>
      <c r="O1435" t="s">
        <v>202</v>
      </c>
      <c r="P1435" t="s">
        <v>373</v>
      </c>
      <c r="Q1435" t="s">
        <v>213</v>
      </c>
    </row>
    <row r="1436" spans="1:17" x14ac:dyDescent="0.3">
      <c r="A1436" s="25">
        <v>1455</v>
      </c>
      <c r="B1436" t="s">
        <v>215</v>
      </c>
      <c r="C1436" t="s">
        <v>60</v>
      </c>
      <c r="D1436" t="s">
        <v>600</v>
      </c>
      <c r="E1436" s="118">
        <v>8912</v>
      </c>
      <c r="F1436" s="13">
        <v>46140</v>
      </c>
      <c r="G1436" s="44">
        <v>56875.77</v>
      </c>
      <c r="H1436" s="24">
        <v>50249.74</v>
      </c>
      <c r="I1436" s="3">
        <v>46146</v>
      </c>
      <c r="J1436" s="161">
        <v>46174</v>
      </c>
      <c r="K1436" s="12">
        <v>46174</v>
      </c>
      <c r="L1436" s="22" t="s">
        <v>731</v>
      </c>
      <c r="M1436" s="35"/>
      <c r="N1436" s="26"/>
      <c r="O1436" t="s">
        <v>202</v>
      </c>
      <c r="P1436" t="s">
        <v>373</v>
      </c>
      <c r="Q1436" t="s">
        <v>213</v>
      </c>
    </row>
    <row r="1437" spans="1:17" x14ac:dyDescent="0.3">
      <c r="A1437" s="9">
        <v>1393</v>
      </c>
      <c r="B1437" t="s">
        <v>215</v>
      </c>
      <c r="C1437" t="s">
        <v>348</v>
      </c>
      <c r="D1437" t="s">
        <v>522</v>
      </c>
      <c r="E1437" s="118">
        <v>9007</v>
      </c>
      <c r="F1437" s="13">
        <v>46172</v>
      </c>
      <c r="G1437" s="24">
        <v>486838.95</v>
      </c>
      <c r="H1437" s="24">
        <v>436694.54</v>
      </c>
      <c r="I1437" s="3">
        <v>46183</v>
      </c>
      <c r="J1437" s="161">
        <v>46195</v>
      </c>
      <c r="K1437" s="5"/>
      <c r="L1437" s="19" t="s">
        <v>730</v>
      </c>
      <c r="M1437" s="35">
        <v>486838.95</v>
      </c>
      <c r="N1437" s="15" t="s">
        <v>905</v>
      </c>
      <c r="O1437" t="s">
        <v>202</v>
      </c>
      <c r="P1437" t="s">
        <v>340</v>
      </c>
      <c r="Q1437" t="s">
        <v>213</v>
      </c>
    </row>
    <row r="1438" spans="1:17" x14ac:dyDescent="0.3">
      <c r="A1438" s="25">
        <v>1288</v>
      </c>
      <c r="B1438" t="s">
        <v>204</v>
      </c>
      <c r="C1438" t="s">
        <v>32</v>
      </c>
      <c r="D1438" t="s">
        <v>407</v>
      </c>
      <c r="E1438" s="118">
        <v>8763</v>
      </c>
      <c r="F1438" s="13">
        <v>46051</v>
      </c>
      <c r="G1438" s="24">
        <v>393510.19</v>
      </c>
      <c r="H1438" s="27">
        <v>366751.5</v>
      </c>
      <c r="I1438" s="3">
        <v>46072</v>
      </c>
      <c r="J1438" s="161">
        <v>46083</v>
      </c>
      <c r="K1438" s="12">
        <v>46087</v>
      </c>
      <c r="L1438" s="19" t="s">
        <v>731</v>
      </c>
      <c r="M1438" s="35"/>
      <c r="N1438"/>
      <c r="O1438" t="s">
        <v>199</v>
      </c>
      <c r="P1438" t="s">
        <v>340</v>
      </c>
      <c r="Q1438" t="s">
        <v>217</v>
      </c>
    </row>
    <row r="1439" spans="1:17" x14ac:dyDescent="0.3">
      <c r="A1439" s="25">
        <v>1288</v>
      </c>
      <c r="B1439" t="s">
        <v>204</v>
      </c>
      <c r="C1439" t="s">
        <v>32</v>
      </c>
      <c r="D1439" t="s">
        <v>407</v>
      </c>
      <c r="E1439" s="118">
        <v>8831</v>
      </c>
      <c r="F1439" s="13">
        <v>46081</v>
      </c>
      <c r="G1439" s="27">
        <v>393590.17</v>
      </c>
      <c r="H1439" s="27">
        <v>366826.04</v>
      </c>
      <c r="I1439" s="3">
        <v>46106</v>
      </c>
      <c r="J1439" s="161">
        <v>46113</v>
      </c>
      <c r="K1439" s="12">
        <v>46113</v>
      </c>
      <c r="L1439" s="19" t="s">
        <v>731</v>
      </c>
      <c r="M1439" s="35"/>
      <c r="N1439" s="24"/>
      <c r="O1439" t="s">
        <v>199</v>
      </c>
      <c r="P1439" t="s">
        <v>340</v>
      </c>
      <c r="Q1439" t="s">
        <v>217</v>
      </c>
    </row>
    <row r="1440" spans="1:17" x14ac:dyDescent="0.3">
      <c r="A1440" s="25">
        <v>1289</v>
      </c>
      <c r="B1440" t="s">
        <v>204</v>
      </c>
      <c r="C1440" t="s">
        <v>32</v>
      </c>
      <c r="D1440" t="s">
        <v>408</v>
      </c>
      <c r="E1440" s="118">
        <v>8622</v>
      </c>
      <c r="F1440" s="13">
        <v>45958</v>
      </c>
      <c r="G1440" s="24">
        <v>301917.75</v>
      </c>
      <c r="H1440" s="24">
        <v>281387.34000000003</v>
      </c>
      <c r="I1440" s="3">
        <v>45985</v>
      </c>
      <c r="J1440" s="161">
        <v>45992</v>
      </c>
      <c r="K1440" s="12">
        <v>45996</v>
      </c>
      <c r="L1440" s="19" t="s">
        <v>731</v>
      </c>
      <c r="M1440" s="35"/>
      <c r="N1440" s="26"/>
      <c r="O1440" t="s">
        <v>202</v>
      </c>
      <c r="P1440" t="s">
        <v>340</v>
      </c>
      <c r="Q1440" t="s">
        <v>217</v>
      </c>
    </row>
    <row r="1441" spans="1:17" x14ac:dyDescent="0.3">
      <c r="A1441" s="25">
        <v>1289</v>
      </c>
      <c r="B1441" t="s">
        <v>204</v>
      </c>
      <c r="C1441" t="s">
        <v>32</v>
      </c>
      <c r="D1441" t="s">
        <v>408</v>
      </c>
      <c r="E1441" s="118">
        <v>8675</v>
      </c>
      <c r="F1441" s="13">
        <v>45989</v>
      </c>
      <c r="G1441" s="24">
        <v>301917.75</v>
      </c>
      <c r="H1441" s="24">
        <v>281387.34000000003</v>
      </c>
      <c r="I1441" s="3">
        <v>46002</v>
      </c>
      <c r="J1441" s="161">
        <v>46006</v>
      </c>
      <c r="K1441" s="12">
        <v>46009</v>
      </c>
      <c r="L1441" s="19" t="s">
        <v>731</v>
      </c>
      <c r="M1441" s="35"/>
      <c r="N1441"/>
      <c r="O1441" t="s">
        <v>202</v>
      </c>
      <c r="P1441" t="s">
        <v>340</v>
      </c>
      <c r="Q1441" t="s">
        <v>217</v>
      </c>
    </row>
    <row r="1442" spans="1:17" x14ac:dyDescent="0.3">
      <c r="A1442" s="25">
        <v>1289</v>
      </c>
      <c r="B1442" t="s">
        <v>204</v>
      </c>
      <c r="C1442" t="s">
        <v>32</v>
      </c>
      <c r="D1442" t="s">
        <v>408</v>
      </c>
      <c r="E1442" s="118">
        <v>8798</v>
      </c>
      <c r="F1442" s="13">
        <v>46019</v>
      </c>
      <c r="G1442" s="24">
        <v>301917.75</v>
      </c>
      <c r="H1442" s="24">
        <v>281387.34000000003</v>
      </c>
      <c r="I1442" s="3">
        <v>46087</v>
      </c>
      <c r="J1442" s="161">
        <v>46097</v>
      </c>
      <c r="K1442" s="12">
        <v>46100</v>
      </c>
      <c r="L1442" s="19" t="s">
        <v>731</v>
      </c>
      <c r="M1442" s="35"/>
      <c r="N1442"/>
      <c r="O1442" t="s">
        <v>202</v>
      </c>
      <c r="P1442" t="s">
        <v>340</v>
      </c>
      <c r="Q1442" t="s">
        <v>217</v>
      </c>
    </row>
    <row r="1443" spans="1:17" x14ac:dyDescent="0.3">
      <c r="A1443" s="25">
        <v>1289</v>
      </c>
      <c r="B1443" t="s">
        <v>204</v>
      </c>
      <c r="C1443" t="s">
        <v>32</v>
      </c>
      <c r="D1443" t="s">
        <v>408</v>
      </c>
      <c r="E1443" s="118">
        <v>8764</v>
      </c>
      <c r="F1443" s="13">
        <v>46051</v>
      </c>
      <c r="G1443" s="24">
        <v>301917.75</v>
      </c>
      <c r="H1443" s="24">
        <v>281387.34000000003</v>
      </c>
      <c r="I1443" s="3">
        <v>46072</v>
      </c>
      <c r="J1443" s="161">
        <v>46090</v>
      </c>
      <c r="K1443" s="12">
        <v>46094</v>
      </c>
      <c r="L1443" s="19" t="s">
        <v>731</v>
      </c>
      <c r="M1443" s="35"/>
      <c r="N1443"/>
      <c r="O1443" t="s">
        <v>202</v>
      </c>
      <c r="P1443" t="s">
        <v>340</v>
      </c>
      <c r="Q1443" t="s">
        <v>217</v>
      </c>
    </row>
    <row r="1444" spans="1:17" x14ac:dyDescent="0.3">
      <c r="A1444" s="25">
        <v>1289</v>
      </c>
      <c r="B1444" t="s">
        <v>204</v>
      </c>
      <c r="C1444" t="s">
        <v>32</v>
      </c>
      <c r="D1444" t="s">
        <v>408</v>
      </c>
      <c r="E1444" s="118">
        <v>8833</v>
      </c>
      <c r="F1444" s="13">
        <v>46081</v>
      </c>
      <c r="G1444" s="27">
        <v>301917.75</v>
      </c>
      <c r="H1444" s="24">
        <v>281387.34000000003</v>
      </c>
      <c r="I1444" s="3">
        <v>46106</v>
      </c>
      <c r="J1444" s="161">
        <v>46118</v>
      </c>
      <c r="K1444" s="12">
        <v>46118</v>
      </c>
      <c r="L1444" s="19" t="s">
        <v>731</v>
      </c>
      <c r="M1444" s="35"/>
      <c r="N1444"/>
      <c r="O1444" t="s">
        <v>202</v>
      </c>
      <c r="P1444" t="s">
        <v>340</v>
      </c>
      <c r="Q1444" t="s">
        <v>217</v>
      </c>
    </row>
    <row r="1445" spans="1:17" x14ac:dyDescent="0.3">
      <c r="A1445" s="9">
        <v>1476</v>
      </c>
      <c r="B1445" t="s">
        <v>215</v>
      </c>
      <c r="C1445" t="s">
        <v>46</v>
      </c>
      <c r="D1445" t="s">
        <v>626</v>
      </c>
      <c r="E1445" s="118">
        <v>9005</v>
      </c>
      <c r="F1445" s="13">
        <v>46170</v>
      </c>
      <c r="G1445" s="24">
        <v>376608.23</v>
      </c>
      <c r="H1445" s="24">
        <v>337817.59999999998</v>
      </c>
      <c r="I1445" s="3">
        <v>46183</v>
      </c>
      <c r="J1445" s="161">
        <v>46195</v>
      </c>
      <c r="K1445" s="5"/>
      <c r="L1445" s="22" t="s">
        <v>730</v>
      </c>
      <c r="M1445" s="35"/>
      <c r="N1445" s="15"/>
      <c r="O1445" t="s">
        <v>202</v>
      </c>
      <c r="P1445" t="s">
        <v>340</v>
      </c>
      <c r="Q1445" t="s">
        <v>213</v>
      </c>
    </row>
    <row r="1446" spans="1:17" x14ac:dyDescent="0.3">
      <c r="A1446" s="9">
        <v>1525</v>
      </c>
      <c r="B1446" t="s">
        <v>215</v>
      </c>
      <c r="C1446" t="s">
        <v>21</v>
      </c>
      <c r="D1446" t="s">
        <v>867</v>
      </c>
      <c r="E1446" s="118">
        <v>8925</v>
      </c>
      <c r="F1446" s="13">
        <v>46140</v>
      </c>
      <c r="G1446" s="170">
        <v>1308.6150490730652</v>
      </c>
      <c r="H1446" s="27">
        <v>1200</v>
      </c>
      <c r="I1446" s="3">
        <v>46150</v>
      </c>
      <c r="J1446" s="102"/>
      <c r="K1446" s="12"/>
      <c r="L1446" s="19" t="s">
        <v>730</v>
      </c>
      <c r="M1446" s="35">
        <v>0</v>
      </c>
      <c r="N1446"/>
      <c r="O1446" t="s">
        <v>202</v>
      </c>
      <c r="P1446" t="s">
        <v>340</v>
      </c>
      <c r="Q1446" t="s">
        <v>213</v>
      </c>
    </row>
    <row r="1447" spans="1:17" x14ac:dyDescent="0.3">
      <c r="A1447" s="9">
        <v>1394</v>
      </c>
      <c r="B1447" t="s">
        <v>210</v>
      </c>
      <c r="C1447" t="s">
        <v>38</v>
      </c>
      <c r="D1447" t="s">
        <v>523</v>
      </c>
      <c r="E1447" s="118">
        <v>8606</v>
      </c>
      <c r="F1447" s="13">
        <v>45958</v>
      </c>
      <c r="G1447" s="27">
        <v>66511.77</v>
      </c>
      <c r="H1447" s="27">
        <v>61988.959999999999</v>
      </c>
      <c r="I1447" s="3">
        <v>45975</v>
      </c>
      <c r="J1447" s="102">
        <v>45985</v>
      </c>
      <c r="K1447" s="5">
        <v>45987</v>
      </c>
      <c r="L1447" s="22" t="s">
        <v>731</v>
      </c>
      <c r="M1447" s="35">
        <v>0</v>
      </c>
      <c r="N1447" s="15"/>
      <c r="O1447" t="s">
        <v>202</v>
      </c>
      <c r="P1447" t="s">
        <v>340</v>
      </c>
      <c r="Q1447" t="s">
        <v>213</v>
      </c>
    </row>
    <row r="1448" spans="1:17" x14ac:dyDescent="0.3">
      <c r="A1448" s="9">
        <v>1394</v>
      </c>
      <c r="B1448" t="s">
        <v>210</v>
      </c>
      <c r="C1448" t="s">
        <v>38</v>
      </c>
      <c r="D1448" t="s">
        <v>523</v>
      </c>
      <c r="E1448" s="118">
        <v>8607</v>
      </c>
      <c r="F1448" s="13">
        <v>45958</v>
      </c>
      <c r="G1448" s="27">
        <v>117291.83</v>
      </c>
      <c r="H1448" s="27">
        <v>109315.98</v>
      </c>
      <c r="I1448" s="3">
        <v>45975</v>
      </c>
      <c r="J1448" s="102">
        <v>45985</v>
      </c>
      <c r="K1448" s="5">
        <v>45987</v>
      </c>
      <c r="L1448" s="22" t="s">
        <v>731</v>
      </c>
      <c r="M1448" s="35">
        <v>0</v>
      </c>
      <c r="N1448" s="15"/>
      <c r="O1448" t="s">
        <v>202</v>
      </c>
      <c r="P1448" t="s">
        <v>340</v>
      </c>
      <c r="Q1448" t="s">
        <v>213</v>
      </c>
    </row>
    <row r="1449" spans="1:17" x14ac:dyDescent="0.3">
      <c r="A1449" s="9">
        <v>1394</v>
      </c>
      <c r="B1449" t="s">
        <v>210</v>
      </c>
      <c r="C1449" t="s">
        <v>38</v>
      </c>
      <c r="D1449" t="s">
        <v>523</v>
      </c>
      <c r="E1449" s="118">
        <v>8610</v>
      </c>
      <c r="F1449" s="13">
        <v>45958</v>
      </c>
      <c r="G1449" s="27">
        <v>8722.56</v>
      </c>
      <c r="H1449" s="27">
        <v>8129.43</v>
      </c>
      <c r="I1449" s="3">
        <v>45978</v>
      </c>
      <c r="J1449" s="102">
        <v>45985</v>
      </c>
      <c r="K1449" s="12">
        <v>45989</v>
      </c>
      <c r="L1449" s="1" t="s">
        <v>731</v>
      </c>
      <c r="M1449" s="35"/>
      <c r="N1449" s="15"/>
      <c r="O1449" t="s">
        <v>202</v>
      </c>
      <c r="P1449" t="s">
        <v>340</v>
      </c>
      <c r="Q1449" t="s">
        <v>213</v>
      </c>
    </row>
    <row r="1450" spans="1:17" x14ac:dyDescent="0.3">
      <c r="A1450" s="25">
        <v>1394</v>
      </c>
      <c r="B1450" t="s">
        <v>210</v>
      </c>
      <c r="C1450" t="s">
        <v>38</v>
      </c>
      <c r="D1450" t="s">
        <v>523</v>
      </c>
      <c r="E1450" s="118">
        <v>8611</v>
      </c>
      <c r="F1450" s="13">
        <v>45928</v>
      </c>
      <c r="G1450" s="27">
        <v>233745.96</v>
      </c>
      <c r="H1450" s="27">
        <v>217851.23</v>
      </c>
      <c r="I1450" s="3">
        <v>45979</v>
      </c>
      <c r="J1450" s="102">
        <v>45985</v>
      </c>
      <c r="K1450" s="12">
        <v>45989</v>
      </c>
      <c r="L1450" s="1" t="s">
        <v>731</v>
      </c>
      <c r="M1450" s="35"/>
      <c r="N1450" s="26"/>
      <c r="O1450" t="s">
        <v>202</v>
      </c>
      <c r="P1450" t="s">
        <v>340</v>
      </c>
      <c r="Q1450" t="s">
        <v>213</v>
      </c>
    </row>
    <row r="1451" spans="1:17" x14ac:dyDescent="0.3">
      <c r="A1451" s="9">
        <v>1394</v>
      </c>
      <c r="B1451" t="s">
        <v>210</v>
      </c>
      <c r="C1451" t="s">
        <v>38</v>
      </c>
      <c r="D1451" t="s">
        <v>523</v>
      </c>
      <c r="E1451" s="118">
        <v>8613</v>
      </c>
      <c r="F1451" s="13">
        <v>45958</v>
      </c>
      <c r="G1451" s="24">
        <v>94087.62</v>
      </c>
      <c r="H1451" s="24">
        <v>87689.66</v>
      </c>
      <c r="I1451" s="3">
        <v>45980</v>
      </c>
      <c r="J1451" s="102">
        <v>45992</v>
      </c>
      <c r="K1451" s="5">
        <v>45992</v>
      </c>
      <c r="L1451" s="22" t="s">
        <v>731</v>
      </c>
      <c r="M1451" s="35"/>
      <c r="N1451" s="15"/>
      <c r="O1451" t="s">
        <v>202</v>
      </c>
      <c r="P1451" t="s">
        <v>340</v>
      </c>
      <c r="Q1451" t="s">
        <v>213</v>
      </c>
    </row>
    <row r="1452" spans="1:17" x14ac:dyDescent="0.3">
      <c r="A1452" s="9">
        <v>1394</v>
      </c>
      <c r="B1452" t="s">
        <v>210</v>
      </c>
      <c r="C1452" t="s">
        <v>38</v>
      </c>
      <c r="D1452" t="s">
        <v>523</v>
      </c>
      <c r="E1452" s="118">
        <v>8614</v>
      </c>
      <c r="F1452" s="13">
        <v>45958</v>
      </c>
      <c r="G1452" s="24">
        <v>194679.83</v>
      </c>
      <c r="H1452" s="24">
        <v>181441.6</v>
      </c>
      <c r="I1452" s="3">
        <v>45980</v>
      </c>
      <c r="J1452" s="102">
        <v>45992</v>
      </c>
      <c r="K1452" s="5">
        <v>45994</v>
      </c>
      <c r="L1452" s="22" t="s">
        <v>731</v>
      </c>
      <c r="M1452" s="35"/>
      <c r="N1452" s="15"/>
      <c r="O1452" t="s">
        <v>202</v>
      </c>
      <c r="P1452" t="s">
        <v>340</v>
      </c>
      <c r="Q1452" t="s">
        <v>213</v>
      </c>
    </row>
    <row r="1453" spans="1:17" x14ac:dyDescent="0.3">
      <c r="A1453" s="9">
        <v>1394</v>
      </c>
      <c r="B1453" t="s">
        <v>210</v>
      </c>
      <c r="C1453" t="s">
        <v>38</v>
      </c>
      <c r="D1453" t="s">
        <v>523</v>
      </c>
      <c r="E1453" s="118">
        <v>8620</v>
      </c>
      <c r="F1453" s="13">
        <v>45958</v>
      </c>
      <c r="G1453" s="24">
        <v>140971.81</v>
      </c>
      <c r="H1453" s="24">
        <v>131385.72</v>
      </c>
      <c r="I1453" s="3">
        <v>45982</v>
      </c>
      <c r="J1453" s="102">
        <v>45992</v>
      </c>
      <c r="K1453" s="5">
        <v>45993</v>
      </c>
      <c r="L1453" s="22" t="s">
        <v>731</v>
      </c>
      <c r="M1453" s="35"/>
      <c r="N1453" s="15"/>
      <c r="O1453" t="s">
        <v>202</v>
      </c>
      <c r="P1453" t="s">
        <v>340</v>
      </c>
      <c r="Q1453" t="s">
        <v>213</v>
      </c>
    </row>
    <row r="1454" spans="1:17" x14ac:dyDescent="0.3">
      <c r="A1454" s="9">
        <v>1394</v>
      </c>
      <c r="B1454" t="s">
        <v>210</v>
      </c>
      <c r="C1454" t="s">
        <v>38</v>
      </c>
      <c r="D1454" t="s">
        <v>523</v>
      </c>
      <c r="E1454" s="118">
        <v>8621</v>
      </c>
      <c r="F1454" s="13">
        <v>45958</v>
      </c>
      <c r="G1454" s="24">
        <v>313649.51</v>
      </c>
      <c r="H1454" s="24">
        <v>292321.34000000003</v>
      </c>
      <c r="I1454" s="3">
        <v>45985</v>
      </c>
      <c r="J1454" s="102">
        <v>45992</v>
      </c>
      <c r="K1454" s="5">
        <v>45995</v>
      </c>
      <c r="L1454" s="22" t="s">
        <v>731</v>
      </c>
      <c r="M1454" s="35"/>
      <c r="N1454" s="15"/>
      <c r="O1454" t="s">
        <v>202</v>
      </c>
      <c r="P1454" t="s">
        <v>340</v>
      </c>
      <c r="Q1454" t="s">
        <v>213</v>
      </c>
    </row>
    <row r="1455" spans="1:17" x14ac:dyDescent="0.3">
      <c r="A1455" s="25">
        <v>1500</v>
      </c>
      <c r="B1455" t="s">
        <v>71</v>
      </c>
      <c r="C1455" t="s">
        <v>44</v>
      </c>
      <c r="D1455" t="s">
        <v>651</v>
      </c>
      <c r="E1455" s="118">
        <v>4469</v>
      </c>
      <c r="F1455" s="13">
        <v>45958</v>
      </c>
      <c r="G1455" s="24">
        <v>17786.88</v>
      </c>
      <c r="H1455" s="27">
        <v>16692.990000000002</v>
      </c>
      <c r="I1455" s="3">
        <v>45954</v>
      </c>
      <c r="J1455" s="102">
        <v>45985</v>
      </c>
      <c r="K1455" s="12">
        <v>45987</v>
      </c>
      <c r="L1455" s="19" t="s">
        <v>731</v>
      </c>
      <c r="M1455" s="35"/>
      <c r="N1455"/>
      <c r="O1455" t="s">
        <v>201</v>
      </c>
      <c r="P1455" t="s">
        <v>376</v>
      </c>
      <c r="Q1455" t="s">
        <v>203</v>
      </c>
    </row>
    <row r="1456" spans="1:17" x14ac:dyDescent="0.3">
      <c r="A1456" s="25">
        <v>1360</v>
      </c>
      <c r="B1456" t="s">
        <v>71</v>
      </c>
      <c r="C1456" t="s">
        <v>44</v>
      </c>
      <c r="D1456" t="s">
        <v>483</v>
      </c>
      <c r="E1456" s="118">
        <v>4396</v>
      </c>
      <c r="F1456" s="13">
        <v>45958</v>
      </c>
      <c r="G1456" s="24">
        <v>27029.599999999999</v>
      </c>
      <c r="H1456" s="27">
        <v>25367.279999999999</v>
      </c>
      <c r="I1456" s="3">
        <v>45936</v>
      </c>
      <c r="J1456" s="102">
        <v>45985</v>
      </c>
      <c r="K1456" s="12">
        <v>45987</v>
      </c>
      <c r="L1456" s="19" t="s">
        <v>731</v>
      </c>
      <c r="M1456" s="35"/>
      <c r="N1456"/>
      <c r="O1456" t="s">
        <v>199</v>
      </c>
      <c r="P1456" t="s">
        <v>376</v>
      </c>
      <c r="Q1456" t="s">
        <v>203</v>
      </c>
    </row>
    <row r="1457" spans="1:17" x14ac:dyDescent="0.3">
      <c r="A1457" s="25">
        <v>1360</v>
      </c>
      <c r="B1457" t="s">
        <v>71</v>
      </c>
      <c r="C1457" t="s">
        <v>44</v>
      </c>
      <c r="D1457" t="s">
        <v>483</v>
      </c>
      <c r="E1457" s="118">
        <v>4397</v>
      </c>
      <c r="F1457" s="13">
        <v>45958</v>
      </c>
      <c r="G1457" s="24">
        <v>160817.84</v>
      </c>
      <c r="H1457" s="27">
        <v>150927.53</v>
      </c>
      <c r="I1457" s="3">
        <v>45936</v>
      </c>
      <c r="J1457" s="102">
        <v>45985</v>
      </c>
      <c r="K1457" s="12">
        <v>45987</v>
      </c>
      <c r="L1457" s="19" t="s">
        <v>731</v>
      </c>
      <c r="M1457" s="35"/>
      <c r="N1457"/>
      <c r="O1457" t="s">
        <v>199</v>
      </c>
      <c r="P1457" t="s">
        <v>376</v>
      </c>
      <c r="Q1457" t="s">
        <v>203</v>
      </c>
    </row>
    <row r="1458" spans="1:17" x14ac:dyDescent="0.3">
      <c r="A1458" s="25">
        <v>1360</v>
      </c>
      <c r="B1458" t="s">
        <v>71</v>
      </c>
      <c r="C1458" t="s">
        <v>44</v>
      </c>
      <c r="D1458" t="s">
        <v>483</v>
      </c>
      <c r="E1458" s="118">
        <v>4447</v>
      </c>
      <c r="F1458" s="13">
        <v>45958</v>
      </c>
      <c r="G1458" s="24">
        <v>44693.599999999999</v>
      </c>
      <c r="H1458" s="27">
        <v>41944.94</v>
      </c>
      <c r="I1458" s="3">
        <v>45952</v>
      </c>
      <c r="J1458" s="102">
        <v>45985</v>
      </c>
      <c r="K1458" s="12">
        <v>45987</v>
      </c>
      <c r="L1458" s="19" t="s">
        <v>731</v>
      </c>
      <c r="M1458" s="35"/>
      <c r="N1458"/>
      <c r="O1458" t="s">
        <v>199</v>
      </c>
      <c r="P1458" t="s">
        <v>376</v>
      </c>
      <c r="Q1458" t="s">
        <v>203</v>
      </c>
    </row>
    <row r="1459" spans="1:17" x14ac:dyDescent="0.3">
      <c r="A1459" s="25">
        <v>1360</v>
      </c>
      <c r="B1459" t="s">
        <v>71</v>
      </c>
      <c r="C1459" t="s">
        <v>44</v>
      </c>
      <c r="D1459" t="s">
        <v>483</v>
      </c>
      <c r="E1459" s="118">
        <v>4448</v>
      </c>
      <c r="F1459" s="13">
        <v>45958</v>
      </c>
      <c r="G1459" s="24">
        <v>204269.12</v>
      </c>
      <c r="H1459" s="27">
        <v>191706.57</v>
      </c>
      <c r="I1459" s="3">
        <v>45952</v>
      </c>
      <c r="J1459" s="102">
        <v>45985</v>
      </c>
      <c r="K1459" s="12">
        <v>45987</v>
      </c>
      <c r="L1459" s="19" t="s">
        <v>731</v>
      </c>
      <c r="M1459" s="35"/>
      <c r="N1459"/>
      <c r="O1459" t="s">
        <v>199</v>
      </c>
      <c r="P1459" t="s">
        <v>376</v>
      </c>
      <c r="Q1459" t="s">
        <v>203</v>
      </c>
    </row>
    <row r="1460" spans="1:17" x14ac:dyDescent="0.3">
      <c r="A1460" s="25">
        <v>1360</v>
      </c>
      <c r="B1460" t="s">
        <v>71</v>
      </c>
      <c r="C1460" t="s">
        <v>44</v>
      </c>
      <c r="D1460" t="s">
        <v>483</v>
      </c>
      <c r="E1460" s="118">
        <v>4449</v>
      </c>
      <c r="F1460" s="13">
        <v>45958</v>
      </c>
      <c r="G1460" s="24">
        <v>58910.720000000001</v>
      </c>
      <c r="H1460" s="27">
        <v>55287.71</v>
      </c>
      <c r="I1460" s="3">
        <v>45952</v>
      </c>
      <c r="J1460" s="102">
        <v>45985</v>
      </c>
      <c r="K1460" s="12">
        <v>45987</v>
      </c>
      <c r="L1460" s="19" t="s">
        <v>731</v>
      </c>
      <c r="M1460" s="35"/>
      <c r="N1460"/>
      <c r="O1460" t="s">
        <v>199</v>
      </c>
      <c r="P1460" t="s">
        <v>376</v>
      </c>
      <c r="Q1460" t="s">
        <v>203</v>
      </c>
    </row>
    <row r="1461" spans="1:17" x14ac:dyDescent="0.3">
      <c r="A1461" s="25">
        <v>1360</v>
      </c>
      <c r="B1461" t="s">
        <v>71</v>
      </c>
      <c r="C1461" t="s">
        <v>44</v>
      </c>
      <c r="D1461" t="s">
        <v>483</v>
      </c>
      <c r="E1461" s="118">
        <v>4450</v>
      </c>
      <c r="F1461" s="13">
        <v>45958</v>
      </c>
      <c r="G1461" s="24">
        <v>24360</v>
      </c>
      <c r="H1461" s="27">
        <v>22861.86</v>
      </c>
      <c r="I1461" s="3">
        <v>45952</v>
      </c>
      <c r="J1461" s="102">
        <v>45999</v>
      </c>
      <c r="K1461" s="12">
        <v>46001</v>
      </c>
      <c r="L1461" s="19" t="s">
        <v>731</v>
      </c>
      <c r="M1461" s="35"/>
      <c r="N1461"/>
      <c r="O1461" t="s">
        <v>199</v>
      </c>
      <c r="P1461" t="s">
        <v>376</v>
      </c>
      <c r="Q1461" t="s">
        <v>203</v>
      </c>
    </row>
    <row r="1462" spans="1:17" x14ac:dyDescent="0.3">
      <c r="A1462" s="25">
        <v>1360</v>
      </c>
      <c r="B1462" t="s">
        <v>71</v>
      </c>
      <c r="C1462" t="s">
        <v>44</v>
      </c>
      <c r="D1462" t="s">
        <v>483</v>
      </c>
      <c r="E1462" s="118">
        <v>4452</v>
      </c>
      <c r="F1462" s="13">
        <v>45958</v>
      </c>
      <c r="G1462" s="24">
        <v>26224</v>
      </c>
      <c r="H1462" s="27">
        <v>24611.22</v>
      </c>
      <c r="I1462" s="3">
        <v>45952</v>
      </c>
      <c r="J1462" s="102">
        <v>45985</v>
      </c>
      <c r="K1462" s="12">
        <v>45987</v>
      </c>
      <c r="L1462" s="19" t="s">
        <v>731</v>
      </c>
      <c r="M1462" s="35"/>
      <c r="N1462"/>
      <c r="O1462" t="s">
        <v>199</v>
      </c>
      <c r="P1462" t="s">
        <v>376</v>
      </c>
      <c r="Q1462" t="s">
        <v>203</v>
      </c>
    </row>
    <row r="1463" spans="1:17" x14ac:dyDescent="0.3">
      <c r="A1463" s="25">
        <v>1360</v>
      </c>
      <c r="B1463" t="s">
        <v>71</v>
      </c>
      <c r="C1463" t="s">
        <v>44</v>
      </c>
      <c r="D1463" t="s">
        <v>483</v>
      </c>
      <c r="E1463" s="118">
        <v>4453</v>
      </c>
      <c r="F1463" s="13">
        <v>45958</v>
      </c>
      <c r="G1463" s="24">
        <v>87403.66</v>
      </c>
      <c r="H1463" s="27">
        <v>82028.34</v>
      </c>
      <c r="I1463" s="3">
        <v>45952</v>
      </c>
      <c r="J1463" s="102">
        <v>45985</v>
      </c>
      <c r="K1463" s="12">
        <v>45987</v>
      </c>
      <c r="L1463" s="19" t="s">
        <v>731</v>
      </c>
      <c r="M1463" s="35"/>
      <c r="N1463"/>
      <c r="O1463" t="s">
        <v>199</v>
      </c>
      <c r="P1463" t="s">
        <v>376</v>
      </c>
      <c r="Q1463" t="s">
        <v>203</v>
      </c>
    </row>
    <row r="1464" spans="1:17" x14ac:dyDescent="0.3">
      <c r="A1464" s="25">
        <v>1360</v>
      </c>
      <c r="B1464" t="s">
        <v>71</v>
      </c>
      <c r="C1464" t="s">
        <v>44</v>
      </c>
      <c r="D1464" t="s">
        <v>483</v>
      </c>
      <c r="E1464" s="118">
        <v>4454</v>
      </c>
      <c r="F1464" s="13">
        <v>45958</v>
      </c>
      <c r="G1464" s="24">
        <v>67040.399999999994</v>
      </c>
      <c r="H1464" s="27">
        <v>62917.42</v>
      </c>
      <c r="I1464" s="3">
        <v>45952</v>
      </c>
      <c r="J1464" s="102">
        <v>45985</v>
      </c>
      <c r="K1464" s="12">
        <v>45987</v>
      </c>
      <c r="L1464" s="19" t="s">
        <v>731</v>
      </c>
      <c r="M1464" s="35"/>
      <c r="N1464"/>
      <c r="O1464" t="s">
        <v>199</v>
      </c>
      <c r="P1464" t="s">
        <v>376</v>
      </c>
      <c r="Q1464" t="s">
        <v>203</v>
      </c>
    </row>
    <row r="1465" spans="1:17" x14ac:dyDescent="0.3">
      <c r="A1465" s="25">
        <v>1360</v>
      </c>
      <c r="B1465" t="s">
        <v>71</v>
      </c>
      <c r="C1465" t="s">
        <v>44</v>
      </c>
      <c r="D1465" t="s">
        <v>483</v>
      </c>
      <c r="E1465" s="118">
        <v>4457</v>
      </c>
      <c r="F1465" s="13">
        <v>45958</v>
      </c>
      <c r="G1465" s="24">
        <v>75559.600000000006</v>
      </c>
      <c r="H1465" s="27">
        <v>70912.679999999993</v>
      </c>
      <c r="I1465" s="3">
        <v>45952</v>
      </c>
      <c r="J1465" s="102">
        <v>45985</v>
      </c>
      <c r="K1465" s="12">
        <v>45987</v>
      </c>
      <c r="L1465" s="19" t="s">
        <v>731</v>
      </c>
      <c r="M1465" s="35"/>
      <c r="N1465"/>
      <c r="O1465" t="s">
        <v>199</v>
      </c>
      <c r="P1465" t="s">
        <v>376</v>
      </c>
      <c r="Q1465" t="s">
        <v>203</v>
      </c>
    </row>
    <row r="1466" spans="1:17" x14ac:dyDescent="0.3">
      <c r="A1466" s="25">
        <v>1360</v>
      </c>
      <c r="B1466" t="s">
        <v>71</v>
      </c>
      <c r="C1466" t="s">
        <v>44</v>
      </c>
      <c r="D1466" t="s">
        <v>483</v>
      </c>
      <c r="E1466" s="118">
        <v>4459</v>
      </c>
      <c r="F1466" s="13">
        <v>45958</v>
      </c>
      <c r="G1466" s="24">
        <v>30157.599999999999</v>
      </c>
      <c r="H1466" s="27">
        <v>28302.91</v>
      </c>
      <c r="I1466" s="3">
        <v>45952</v>
      </c>
      <c r="J1466" s="102">
        <v>45985</v>
      </c>
      <c r="K1466" s="12">
        <v>45987</v>
      </c>
      <c r="L1466" s="19" t="s">
        <v>731</v>
      </c>
      <c r="M1466" s="35"/>
      <c r="N1466"/>
      <c r="O1466" t="s">
        <v>199</v>
      </c>
      <c r="P1466" t="s">
        <v>376</v>
      </c>
      <c r="Q1466" t="s">
        <v>203</v>
      </c>
    </row>
    <row r="1467" spans="1:17" x14ac:dyDescent="0.3">
      <c r="A1467" s="25">
        <v>1360</v>
      </c>
      <c r="B1467" t="s">
        <v>71</v>
      </c>
      <c r="C1467" t="s">
        <v>44</v>
      </c>
      <c r="D1467" t="s">
        <v>483</v>
      </c>
      <c r="E1467" s="118">
        <v>4460</v>
      </c>
      <c r="F1467" s="13">
        <v>45958</v>
      </c>
      <c r="G1467" s="24">
        <v>29703.119999999999</v>
      </c>
      <c r="H1467" s="27">
        <v>27876.38</v>
      </c>
      <c r="I1467" s="3">
        <v>45952</v>
      </c>
      <c r="J1467" s="102">
        <v>45985</v>
      </c>
      <c r="K1467" s="12">
        <v>45987</v>
      </c>
      <c r="L1467" s="19" t="s">
        <v>731</v>
      </c>
      <c r="M1467" s="35"/>
      <c r="N1467"/>
      <c r="O1467" t="s">
        <v>199</v>
      </c>
      <c r="P1467" t="s">
        <v>376</v>
      </c>
      <c r="Q1467" t="s">
        <v>203</v>
      </c>
    </row>
    <row r="1468" spans="1:17" x14ac:dyDescent="0.3">
      <c r="A1468" s="25">
        <v>1360</v>
      </c>
      <c r="B1468" t="s">
        <v>71</v>
      </c>
      <c r="C1468" t="s">
        <v>44</v>
      </c>
      <c r="D1468" t="s">
        <v>483</v>
      </c>
      <c r="E1468" s="118">
        <v>4461</v>
      </c>
      <c r="F1468" s="13">
        <v>45958</v>
      </c>
      <c r="G1468" s="24">
        <v>21264</v>
      </c>
      <c r="H1468" s="27">
        <v>19956.259999999998</v>
      </c>
      <c r="I1468" s="3">
        <v>45952</v>
      </c>
      <c r="J1468" s="102">
        <v>45985</v>
      </c>
      <c r="K1468" s="12">
        <v>45987</v>
      </c>
      <c r="L1468" s="19" t="s">
        <v>731</v>
      </c>
      <c r="M1468" s="35"/>
      <c r="N1468"/>
      <c r="O1468" t="s">
        <v>199</v>
      </c>
      <c r="P1468" t="s">
        <v>376</v>
      </c>
      <c r="Q1468" t="s">
        <v>203</v>
      </c>
    </row>
    <row r="1469" spans="1:17" x14ac:dyDescent="0.3">
      <c r="A1469" s="25">
        <v>1360</v>
      </c>
      <c r="B1469" t="s">
        <v>71</v>
      </c>
      <c r="C1469" t="s">
        <v>44</v>
      </c>
      <c r="D1469" t="s">
        <v>483</v>
      </c>
      <c r="E1469" s="118">
        <v>4462</v>
      </c>
      <c r="F1469" s="13">
        <v>45958</v>
      </c>
      <c r="G1469" s="24">
        <v>72500</v>
      </c>
      <c r="H1469" s="27">
        <v>68041.25</v>
      </c>
      <c r="I1469" s="3">
        <v>45952</v>
      </c>
      <c r="J1469" s="102">
        <v>45985</v>
      </c>
      <c r="K1469" s="12">
        <v>45987</v>
      </c>
      <c r="L1469" s="19" t="s">
        <v>731</v>
      </c>
      <c r="M1469" s="35"/>
      <c r="N1469"/>
      <c r="O1469" t="s">
        <v>199</v>
      </c>
      <c r="P1469" t="s">
        <v>376</v>
      </c>
      <c r="Q1469" t="s">
        <v>203</v>
      </c>
    </row>
    <row r="1470" spans="1:17" x14ac:dyDescent="0.3">
      <c r="A1470" s="25">
        <v>1360</v>
      </c>
      <c r="B1470" t="s">
        <v>71</v>
      </c>
      <c r="C1470" t="s">
        <v>44</v>
      </c>
      <c r="D1470" t="s">
        <v>483</v>
      </c>
      <c r="E1470" s="118">
        <v>4463</v>
      </c>
      <c r="F1470" s="13">
        <v>45958</v>
      </c>
      <c r="G1470" s="24">
        <v>157629.12</v>
      </c>
      <c r="H1470" s="27">
        <v>147934.93</v>
      </c>
      <c r="I1470" s="3">
        <v>45953</v>
      </c>
      <c r="J1470" s="102">
        <v>45985</v>
      </c>
      <c r="K1470" s="12">
        <v>45987</v>
      </c>
      <c r="L1470" s="19" t="s">
        <v>731</v>
      </c>
      <c r="M1470" s="35"/>
      <c r="N1470"/>
      <c r="O1470" t="s">
        <v>199</v>
      </c>
      <c r="P1470" t="s">
        <v>376</v>
      </c>
      <c r="Q1470" t="s">
        <v>203</v>
      </c>
    </row>
    <row r="1471" spans="1:17" x14ac:dyDescent="0.3">
      <c r="A1471" s="25">
        <v>1360</v>
      </c>
      <c r="B1471" t="s">
        <v>71</v>
      </c>
      <c r="C1471" t="s">
        <v>44</v>
      </c>
      <c r="D1471" t="s">
        <v>483</v>
      </c>
      <c r="E1471" s="118">
        <v>4464</v>
      </c>
      <c r="F1471" s="13">
        <v>45958</v>
      </c>
      <c r="G1471" s="24">
        <v>35512</v>
      </c>
      <c r="H1471" s="27">
        <v>33328.01</v>
      </c>
      <c r="I1471" s="3">
        <v>45954</v>
      </c>
      <c r="J1471" s="102">
        <v>45985</v>
      </c>
      <c r="K1471" s="12">
        <v>45987</v>
      </c>
      <c r="L1471" s="19" t="s">
        <v>731</v>
      </c>
      <c r="M1471" s="35"/>
      <c r="N1471"/>
      <c r="O1471" t="s">
        <v>199</v>
      </c>
      <c r="P1471" t="s">
        <v>376</v>
      </c>
      <c r="Q1471" t="s">
        <v>203</v>
      </c>
    </row>
    <row r="1472" spans="1:17" x14ac:dyDescent="0.3">
      <c r="A1472" s="25">
        <v>1360</v>
      </c>
      <c r="B1472" t="s">
        <v>71</v>
      </c>
      <c r="C1472" t="s">
        <v>44</v>
      </c>
      <c r="D1472" t="s">
        <v>483</v>
      </c>
      <c r="E1472" s="118">
        <v>4465</v>
      </c>
      <c r="F1472" s="13">
        <v>45958</v>
      </c>
      <c r="G1472" s="24">
        <v>35512</v>
      </c>
      <c r="H1472" s="27">
        <v>33328.01</v>
      </c>
      <c r="I1472" s="3">
        <v>45954</v>
      </c>
      <c r="J1472" s="102">
        <v>45985</v>
      </c>
      <c r="K1472" s="12">
        <v>45987</v>
      </c>
      <c r="L1472" s="19" t="s">
        <v>731</v>
      </c>
      <c r="M1472" s="35"/>
      <c r="N1472"/>
      <c r="O1472" t="s">
        <v>199</v>
      </c>
      <c r="P1472" t="s">
        <v>376</v>
      </c>
      <c r="Q1472" t="s">
        <v>203</v>
      </c>
    </row>
    <row r="1473" spans="1:17" x14ac:dyDescent="0.3">
      <c r="A1473" s="25">
        <v>1360</v>
      </c>
      <c r="B1473" t="s">
        <v>71</v>
      </c>
      <c r="C1473" t="s">
        <v>44</v>
      </c>
      <c r="D1473" t="s">
        <v>483</v>
      </c>
      <c r="E1473" s="118">
        <v>4466</v>
      </c>
      <c r="F1473" s="13">
        <v>45958</v>
      </c>
      <c r="G1473" s="24">
        <v>42975.040000000001</v>
      </c>
      <c r="H1473" s="27">
        <v>40332.07</v>
      </c>
      <c r="I1473" s="3">
        <v>45954</v>
      </c>
      <c r="J1473" s="102">
        <v>45985</v>
      </c>
      <c r="K1473" s="12">
        <v>45987</v>
      </c>
      <c r="L1473" s="19" t="s">
        <v>731</v>
      </c>
      <c r="M1473" s="35"/>
      <c r="N1473"/>
      <c r="O1473" t="s">
        <v>199</v>
      </c>
      <c r="P1473" t="s">
        <v>376</v>
      </c>
      <c r="Q1473" t="s">
        <v>203</v>
      </c>
    </row>
    <row r="1474" spans="1:17" x14ac:dyDescent="0.3">
      <c r="A1474" s="25">
        <v>1360</v>
      </c>
      <c r="B1474" t="s">
        <v>71</v>
      </c>
      <c r="C1474" t="s">
        <v>44</v>
      </c>
      <c r="D1474" t="s">
        <v>483</v>
      </c>
      <c r="E1474" s="118">
        <v>4468</v>
      </c>
      <c r="F1474" s="13">
        <v>45958</v>
      </c>
      <c r="G1474" s="24">
        <v>127486.24</v>
      </c>
      <c r="H1474" s="27">
        <v>119645.84</v>
      </c>
      <c r="I1474" s="3">
        <v>45954</v>
      </c>
      <c r="J1474" s="102">
        <v>45985</v>
      </c>
      <c r="K1474" s="12">
        <v>45987</v>
      </c>
      <c r="L1474" s="19" t="s">
        <v>731</v>
      </c>
      <c r="M1474" s="35"/>
      <c r="N1474"/>
      <c r="O1474" t="s">
        <v>199</v>
      </c>
      <c r="P1474" t="s">
        <v>376</v>
      </c>
      <c r="Q1474" t="s">
        <v>203</v>
      </c>
    </row>
    <row r="1475" spans="1:17" x14ac:dyDescent="0.3">
      <c r="A1475" s="25">
        <v>1360</v>
      </c>
      <c r="B1475" t="s">
        <v>71</v>
      </c>
      <c r="C1475" t="s">
        <v>44</v>
      </c>
      <c r="D1475" t="s">
        <v>483</v>
      </c>
      <c r="E1475" s="118">
        <v>4470</v>
      </c>
      <c r="F1475" s="13">
        <v>45958</v>
      </c>
      <c r="G1475" s="24">
        <v>13896</v>
      </c>
      <c r="H1475" s="27">
        <v>13041.4</v>
      </c>
      <c r="I1475" s="3">
        <v>45954</v>
      </c>
      <c r="J1475" s="102">
        <v>45985</v>
      </c>
      <c r="K1475" s="12">
        <v>45987</v>
      </c>
      <c r="L1475" s="19" t="s">
        <v>731</v>
      </c>
      <c r="M1475" s="35"/>
      <c r="N1475"/>
      <c r="O1475" t="s">
        <v>199</v>
      </c>
      <c r="P1475" t="s">
        <v>376</v>
      </c>
      <c r="Q1475" t="s">
        <v>203</v>
      </c>
    </row>
    <row r="1476" spans="1:17" x14ac:dyDescent="0.3">
      <c r="A1476" s="25">
        <v>1360</v>
      </c>
      <c r="B1476" t="s">
        <v>71</v>
      </c>
      <c r="C1476" t="s">
        <v>44</v>
      </c>
      <c r="D1476" t="s">
        <v>483</v>
      </c>
      <c r="E1476" s="118">
        <v>4473</v>
      </c>
      <c r="F1476" s="13">
        <v>45958</v>
      </c>
      <c r="G1476" s="24">
        <v>37986.800000000003</v>
      </c>
      <c r="H1476" s="24">
        <v>35650.620000000003</v>
      </c>
      <c r="I1476" s="3">
        <v>45958</v>
      </c>
      <c r="J1476" s="102">
        <v>45985</v>
      </c>
      <c r="K1476" s="12">
        <v>45988</v>
      </c>
      <c r="L1476" s="19" t="s">
        <v>731</v>
      </c>
      <c r="M1476" s="35"/>
      <c r="N1476"/>
      <c r="O1476" t="s">
        <v>199</v>
      </c>
      <c r="P1476" t="s">
        <v>376</v>
      </c>
      <c r="Q1476" t="s">
        <v>203</v>
      </c>
    </row>
    <row r="1477" spans="1:17" x14ac:dyDescent="0.3">
      <c r="A1477" s="25">
        <v>1360</v>
      </c>
      <c r="B1477" t="s">
        <v>71</v>
      </c>
      <c r="C1477" t="s">
        <v>44</v>
      </c>
      <c r="D1477" t="s">
        <v>483</v>
      </c>
      <c r="E1477" s="118">
        <v>4474</v>
      </c>
      <c r="F1477" s="13">
        <v>45958</v>
      </c>
      <c r="G1477" s="24">
        <v>30157.599999999999</v>
      </c>
      <c r="H1477" s="24">
        <v>28302.91</v>
      </c>
      <c r="I1477" s="3">
        <v>45958</v>
      </c>
      <c r="J1477" s="102">
        <v>45985</v>
      </c>
      <c r="K1477" s="12">
        <v>45988</v>
      </c>
      <c r="L1477" s="19" t="s">
        <v>731</v>
      </c>
      <c r="M1477" s="35"/>
      <c r="N1477"/>
      <c r="O1477" t="s">
        <v>199</v>
      </c>
      <c r="P1477" t="s">
        <v>376</v>
      </c>
      <c r="Q1477" t="s">
        <v>203</v>
      </c>
    </row>
    <row r="1478" spans="1:17" x14ac:dyDescent="0.3">
      <c r="A1478" s="25">
        <v>1360</v>
      </c>
      <c r="B1478" t="s">
        <v>71</v>
      </c>
      <c r="C1478" t="s">
        <v>44</v>
      </c>
      <c r="D1478" t="s">
        <v>483</v>
      </c>
      <c r="E1478" s="118">
        <v>4475</v>
      </c>
      <c r="F1478" s="13">
        <v>45958</v>
      </c>
      <c r="G1478" s="24">
        <v>15640</v>
      </c>
      <c r="H1478" s="24">
        <v>14678.14</v>
      </c>
      <c r="I1478" s="3">
        <v>45958</v>
      </c>
      <c r="J1478" s="102">
        <v>45985</v>
      </c>
      <c r="K1478" s="12">
        <v>45988</v>
      </c>
      <c r="L1478" s="19" t="s">
        <v>731</v>
      </c>
      <c r="M1478" s="35"/>
      <c r="N1478"/>
      <c r="O1478" t="s">
        <v>199</v>
      </c>
      <c r="P1478" t="s">
        <v>376</v>
      </c>
      <c r="Q1478" t="s">
        <v>203</v>
      </c>
    </row>
    <row r="1479" spans="1:17" x14ac:dyDescent="0.3">
      <c r="A1479" s="25">
        <v>1360</v>
      </c>
      <c r="B1479" t="s">
        <v>71</v>
      </c>
      <c r="C1479" t="s">
        <v>44</v>
      </c>
      <c r="D1479" t="s">
        <v>483</v>
      </c>
      <c r="E1479" s="118">
        <v>4476</v>
      </c>
      <c r="F1479" s="13">
        <v>45958</v>
      </c>
      <c r="G1479" s="24">
        <v>44980.639999999999</v>
      </c>
      <c r="H1479" s="27">
        <v>42214.33</v>
      </c>
      <c r="I1479" s="3">
        <v>45959</v>
      </c>
      <c r="J1479" s="102">
        <v>45985</v>
      </c>
      <c r="K1479" s="12">
        <v>45989</v>
      </c>
      <c r="L1479" s="19" t="s">
        <v>731</v>
      </c>
      <c r="M1479" s="35"/>
      <c r="N1479"/>
      <c r="O1479" t="s">
        <v>199</v>
      </c>
      <c r="P1479" t="s">
        <v>376</v>
      </c>
      <c r="Q1479" t="s">
        <v>203</v>
      </c>
    </row>
    <row r="1480" spans="1:17" x14ac:dyDescent="0.3">
      <c r="A1480" s="25">
        <v>1360</v>
      </c>
      <c r="B1480" t="s">
        <v>71</v>
      </c>
      <c r="C1480" t="s">
        <v>44</v>
      </c>
      <c r="D1480" t="s">
        <v>483</v>
      </c>
      <c r="E1480" s="118">
        <v>4477</v>
      </c>
      <c r="F1480" s="13">
        <v>45958</v>
      </c>
      <c r="G1480" s="24">
        <v>14829.12</v>
      </c>
      <c r="H1480" s="27">
        <v>13917.13</v>
      </c>
      <c r="I1480" s="3">
        <v>45959</v>
      </c>
      <c r="J1480" s="102">
        <v>45985</v>
      </c>
      <c r="K1480" s="12">
        <v>45989</v>
      </c>
      <c r="L1480" s="19" t="s">
        <v>731</v>
      </c>
      <c r="M1480" s="35"/>
      <c r="N1480"/>
      <c r="O1480" t="s">
        <v>199</v>
      </c>
      <c r="P1480" t="s">
        <v>376</v>
      </c>
      <c r="Q1480" t="s">
        <v>203</v>
      </c>
    </row>
    <row r="1481" spans="1:17" x14ac:dyDescent="0.3">
      <c r="A1481" s="25">
        <v>1360</v>
      </c>
      <c r="B1481" t="s">
        <v>71</v>
      </c>
      <c r="C1481" t="s">
        <v>44</v>
      </c>
      <c r="D1481" t="s">
        <v>483</v>
      </c>
      <c r="E1481" s="118">
        <v>4495</v>
      </c>
      <c r="F1481" s="13">
        <v>45958</v>
      </c>
      <c r="G1481" s="24">
        <v>38428.400000000001</v>
      </c>
      <c r="H1481" s="27">
        <v>36065.06</v>
      </c>
      <c r="I1481" s="3">
        <v>45966</v>
      </c>
      <c r="J1481" s="102">
        <v>46006</v>
      </c>
      <c r="K1481" s="12">
        <v>46006</v>
      </c>
      <c r="L1481" s="19" t="s">
        <v>731</v>
      </c>
      <c r="M1481" s="35"/>
      <c r="N1481"/>
      <c r="O1481" t="s">
        <v>199</v>
      </c>
      <c r="P1481" t="s">
        <v>376</v>
      </c>
      <c r="Q1481" t="s">
        <v>203</v>
      </c>
    </row>
    <row r="1482" spans="1:17" x14ac:dyDescent="0.3">
      <c r="A1482" s="25">
        <v>1360</v>
      </c>
      <c r="B1482" t="s">
        <v>71</v>
      </c>
      <c r="C1482" t="s">
        <v>44</v>
      </c>
      <c r="D1482" t="s">
        <v>483</v>
      </c>
      <c r="E1482" s="118">
        <v>4553</v>
      </c>
      <c r="F1482" s="13">
        <v>45989</v>
      </c>
      <c r="G1482" s="24">
        <v>30074.400000000001</v>
      </c>
      <c r="H1482" s="27">
        <v>28224.83</v>
      </c>
      <c r="I1482" s="3">
        <v>45985</v>
      </c>
      <c r="J1482" s="102">
        <v>46006</v>
      </c>
      <c r="K1482" s="12">
        <v>46006</v>
      </c>
      <c r="L1482" s="19" t="s">
        <v>731</v>
      </c>
      <c r="M1482" s="35"/>
      <c r="N1482"/>
      <c r="O1482" t="s">
        <v>199</v>
      </c>
      <c r="P1482" t="s">
        <v>376</v>
      </c>
      <c r="Q1482" t="s">
        <v>203</v>
      </c>
    </row>
    <row r="1483" spans="1:17" x14ac:dyDescent="0.3">
      <c r="A1483" s="25">
        <v>1360</v>
      </c>
      <c r="B1483" t="s">
        <v>71</v>
      </c>
      <c r="C1483" t="s">
        <v>44</v>
      </c>
      <c r="D1483" t="s">
        <v>483</v>
      </c>
      <c r="E1483" s="118">
        <v>4555</v>
      </c>
      <c r="F1483" s="13">
        <v>45989</v>
      </c>
      <c r="G1483" s="24">
        <v>153352.32000000001</v>
      </c>
      <c r="H1483" s="27">
        <v>143921.16</v>
      </c>
      <c r="I1483" s="3">
        <v>45985</v>
      </c>
      <c r="J1483" s="102">
        <v>46006</v>
      </c>
      <c r="K1483" s="12">
        <v>46006</v>
      </c>
      <c r="L1483" s="19" t="s">
        <v>731</v>
      </c>
      <c r="M1483" s="35"/>
      <c r="N1483"/>
      <c r="O1483" t="s">
        <v>199</v>
      </c>
      <c r="P1483" t="s">
        <v>376</v>
      </c>
      <c r="Q1483" t="s">
        <v>203</v>
      </c>
    </row>
    <row r="1484" spans="1:17" x14ac:dyDescent="0.3">
      <c r="A1484" s="25">
        <v>1360</v>
      </c>
      <c r="B1484" t="s">
        <v>71</v>
      </c>
      <c r="C1484" t="s">
        <v>44</v>
      </c>
      <c r="D1484" t="s">
        <v>483</v>
      </c>
      <c r="E1484" s="118">
        <v>4557</v>
      </c>
      <c r="F1484" s="13">
        <v>45989</v>
      </c>
      <c r="G1484" s="24">
        <v>24912.799999999999</v>
      </c>
      <c r="H1484" s="27">
        <v>23380.67</v>
      </c>
      <c r="I1484" s="3">
        <v>45985</v>
      </c>
      <c r="J1484" s="102">
        <v>46006</v>
      </c>
      <c r="K1484" s="12">
        <v>46006</v>
      </c>
      <c r="L1484" s="19" t="s">
        <v>731</v>
      </c>
      <c r="M1484" s="35"/>
      <c r="N1484"/>
      <c r="O1484" t="s">
        <v>199</v>
      </c>
      <c r="P1484" t="s">
        <v>376</v>
      </c>
      <c r="Q1484" t="s">
        <v>203</v>
      </c>
    </row>
    <row r="1485" spans="1:17" x14ac:dyDescent="0.3">
      <c r="A1485" s="25">
        <v>1360</v>
      </c>
      <c r="B1485" t="s">
        <v>71</v>
      </c>
      <c r="C1485" t="s">
        <v>44</v>
      </c>
      <c r="D1485" t="s">
        <v>483</v>
      </c>
      <c r="E1485" s="118">
        <v>4558</v>
      </c>
      <c r="F1485" s="13">
        <v>45989</v>
      </c>
      <c r="G1485" s="24">
        <v>24912.799999999999</v>
      </c>
      <c r="H1485" s="27">
        <v>23380.67</v>
      </c>
      <c r="I1485" s="3">
        <v>45985</v>
      </c>
      <c r="J1485" s="102">
        <v>46006</v>
      </c>
      <c r="K1485" s="12">
        <v>46006</v>
      </c>
      <c r="L1485" s="19" t="s">
        <v>731</v>
      </c>
      <c r="M1485" s="35"/>
      <c r="N1485"/>
      <c r="O1485" t="s">
        <v>199</v>
      </c>
      <c r="P1485" t="s">
        <v>376</v>
      </c>
      <c r="Q1485" t="s">
        <v>203</v>
      </c>
    </row>
    <row r="1486" spans="1:17" x14ac:dyDescent="0.3">
      <c r="A1486" s="25">
        <v>1360</v>
      </c>
      <c r="B1486" t="s">
        <v>71</v>
      </c>
      <c r="C1486" t="s">
        <v>44</v>
      </c>
      <c r="D1486" t="s">
        <v>483</v>
      </c>
      <c r="E1486" s="118">
        <v>4560</v>
      </c>
      <c r="F1486" s="13">
        <v>45989</v>
      </c>
      <c r="G1486" s="24">
        <v>23245.919999999998</v>
      </c>
      <c r="H1486" s="27">
        <v>21816.29</v>
      </c>
      <c r="I1486" s="3">
        <v>45985</v>
      </c>
      <c r="J1486" s="102">
        <v>46006</v>
      </c>
      <c r="K1486" s="12">
        <v>46006</v>
      </c>
      <c r="L1486" s="19" t="s">
        <v>731</v>
      </c>
      <c r="M1486" s="35"/>
      <c r="N1486"/>
      <c r="O1486" t="s">
        <v>199</v>
      </c>
      <c r="P1486" t="s">
        <v>376</v>
      </c>
      <c r="Q1486" t="s">
        <v>203</v>
      </c>
    </row>
    <row r="1487" spans="1:17" x14ac:dyDescent="0.3">
      <c r="A1487" s="25">
        <v>1360</v>
      </c>
      <c r="B1487" t="s">
        <v>71</v>
      </c>
      <c r="C1487" t="s">
        <v>44</v>
      </c>
      <c r="D1487" t="s">
        <v>483</v>
      </c>
      <c r="E1487" s="118">
        <v>4561</v>
      </c>
      <c r="F1487" s="13">
        <v>45989</v>
      </c>
      <c r="G1487" s="24">
        <v>23601.599999999999</v>
      </c>
      <c r="H1487" s="27">
        <v>22150.1</v>
      </c>
      <c r="I1487" s="3">
        <v>45985</v>
      </c>
      <c r="J1487" s="102">
        <v>46006</v>
      </c>
      <c r="K1487" s="12">
        <v>46006</v>
      </c>
      <c r="L1487" s="19" t="s">
        <v>731</v>
      </c>
      <c r="M1487" s="35"/>
      <c r="N1487"/>
      <c r="O1487" t="s">
        <v>199</v>
      </c>
      <c r="P1487" t="s">
        <v>376</v>
      </c>
      <c r="Q1487" t="s">
        <v>203</v>
      </c>
    </row>
    <row r="1488" spans="1:17" x14ac:dyDescent="0.3">
      <c r="A1488" s="25">
        <v>1360</v>
      </c>
      <c r="B1488" t="s">
        <v>71</v>
      </c>
      <c r="C1488" t="s">
        <v>44</v>
      </c>
      <c r="D1488" t="s">
        <v>483</v>
      </c>
      <c r="E1488" s="118">
        <v>4562</v>
      </c>
      <c r="F1488" s="13">
        <v>45989</v>
      </c>
      <c r="G1488" s="24">
        <v>80843.199999999997</v>
      </c>
      <c r="H1488" s="27">
        <v>75871.34</v>
      </c>
      <c r="I1488" s="3">
        <v>45985</v>
      </c>
      <c r="J1488" s="102">
        <v>46006</v>
      </c>
      <c r="K1488" s="12">
        <v>46006</v>
      </c>
      <c r="L1488" s="19" t="s">
        <v>731</v>
      </c>
      <c r="M1488" s="35"/>
      <c r="N1488"/>
      <c r="O1488" t="s">
        <v>199</v>
      </c>
      <c r="P1488" t="s">
        <v>376</v>
      </c>
      <c r="Q1488" t="s">
        <v>203</v>
      </c>
    </row>
    <row r="1489" spans="1:17" x14ac:dyDescent="0.3">
      <c r="A1489" s="25">
        <v>1360</v>
      </c>
      <c r="B1489" t="s">
        <v>71</v>
      </c>
      <c r="C1489" t="s">
        <v>44</v>
      </c>
      <c r="D1489" t="s">
        <v>483</v>
      </c>
      <c r="E1489" s="118">
        <v>4563</v>
      </c>
      <c r="F1489" s="13">
        <v>45989</v>
      </c>
      <c r="G1489" s="24">
        <v>125857.44</v>
      </c>
      <c r="H1489" s="27">
        <v>118117.22</v>
      </c>
      <c r="I1489" s="3">
        <v>45985</v>
      </c>
      <c r="J1489" s="102">
        <v>46006</v>
      </c>
      <c r="K1489" s="12">
        <v>46006</v>
      </c>
      <c r="L1489" s="19" t="s">
        <v>731</v>
      </c>
      <c r="M1489" s="35"/>
      <c r="N1489"/>
      <c r="O1489" t="s">
        <v>199</v>
      </c>
      <c r="P1489" t="s">
        <v>376</v>
      </c>
      <c r="Q1489" t="s">
        <v>203</v>
      </c>
    </row>
    <row r="1490" spans="1:17" x14ac:dyDescent="0.3">
      <c r="A1490" s="25">
        <v>1360</v>
      </c>
      <c r="B1490" t="s">
        <v>71</v>
      </c>
      <c r="C1490" t="s">
        <v>44</v>
      </c>
      <c r="D1490" t="s">
        <v>483</v>
      </c>
      <c r="E1490" s="118">
        <v>4564</v>
      </c>
      <c r="F1490" s="13">
        <v>45989</v>
      </c>
      <c r="G1490" s="24">
        <v>35463.4</v>
      </c>
      <c r="H1490" s="27">
        <v>33282.410000000003</v>
      </c>
      <c r="I1490" s="3">
        <v>45985</v>
      </c>
      <c r="J1490" s="102">
        <v>46006</v>
      </c>
      <c r="K1490" s="12">
        <v>46006</v>
      </c>
      <c r="L1490" s="19" t="s">
        <v>731</v>
      </c>
      <c r="M1490" s="35"/>
      <c r="N1490"/>
      <c r="O1490" t="s">
        <v>199</v>
      </c>
      <c r="P1490" t="s">
        <v>376</v>
      </c>
      <c r="Q1490" t="s">
        <v>203</v>
      </c>
    </row>
    <row r="1491" spans="1:17" x14ac:dyDescent="0.3">
      <c r="A1491" s="25">
        <v>1360</v>
      </c>
      <c r="B1491" t="s">
        <v>71</v>
      </c>
      <c r="C1491" t="s">
        <v>44</v>
      </c>
      <c r="D1491" t="s">
        <v>483</v>
      </c>
      <c r="E1491" s="118">
        <v>4565</v>
      </c>
      <c r="F1491" s="13">
        <v>45989</v>
      </c>
      <c r="G1491" s="24">
        <v>30395.52</v>
      </c>
      <c r="H1491" s="27">
        <v>28526.19</v>
      </c>
      <c r="I1491" s="3">
        <v>45985</v>
      </c>
      <c r="J1491" s="102">
        <v>46006</v>
      </c>
      <c r="K1491" s="12">
        <v>46006</v>
      </c>
      <c r="L1491" s="19" t="s">
        <v>731</v>
      </c>
      <c r="M1491" s="35"/>
      <c r="N1491"/>
      <c r="O1491" t="s">
        <v>199</v>
      </c>
      <c r="P1491" t="s">
        <v>376</v>
      </c>
      <c r="Q1491" t="s">
        <v>203</v>
      </c>
    </row>
    <row r="1492" spans="1:17" x14ac:dyDescent="0.3">
      <c r="A1492" s="25">
        <v>1360</v>
      </c>
      <c r="B1492" t="s">
        <v>71</v>
      </c>
      <c r="C1492" t="s">
        <v>44</v>
      </c>
      <c r="D1492" t="s">
        <v>483</v>
      </c>
      <c r="E1492" s="118">
        <v>4566</v>
      </c>
      <c r="F1492" s="13">
        <v>45989</v>
      </c>
      <c r="G1492" s="24">
        <v>72500</v>
      </c>
      <c r="H1492" s="27">
        <v>68041.25</v>
      </c>
      <c r="I1492" s="3">
        <v>45985</v>
      </c>
      <c r="J1492" s="102">
        <v>46006</v>
      </c>
      <c r="K1492" s="12">
        <v>46006</v>
      </c>
      <c r="L1492" s="19" t="s">
        <v>731</v>
      </c>
      <c r="M1492" s="35"/>
      <c r="N1492"/>
      <c r="O1492" t="s">
        <v>199</v>
      </c>
      <c r="P1492" t="s">
        <v>376</v>
      </c>
      <c r="Q1492" t="s">
        <v>203</v>
      </c>
    </row>
    <row r="1493" spans="1:17" x14ac:dyDescent="0.3">
      <c r="A1493" s="25">
        <v>1360</v>
      </c>
      <c r="B1493" t="s">
        <v>71</v>
      </c>
      <c r="C1493" t="s">
        <v>44</v>
      </c>
      <c r="D1493" t="s">
        <v>483</v>
      </c>
      <c r="E1493" s="118">
        <v>4567</v>
      </c>
      <c r="F1493" s="13">
        <v>45989</v>
      </c>
      <c r="G1493" s="24">
        <v>61222.1</v>
      </c>
      <c r="H1493" s="27">
        <v>57456.95</v>
      </c>
      <c r="I1493" s="3">
        <v>45985</v>
      </c>
      <c r="J1493" s="102">
        <v>46006</v>
      </c>
      <c r="K1493" s="12">
        <v>46006</v>
      </c>
      <c r="L1493" s="19" t="s">
        <v>731</v>
      </c>
      <c r="M1493" s="35"/>
      <c r="N1493"/>
      <c r="O1493" t="s">
        <v>199</v>
      </c>
      <c r="P1493" t="s">
        <v>376</v>
      </c>
      <c r="Q1493" t="s">
        <v>203</v>
      </c>
    </row>
    <row r="1494" spans="1:17" x14ac:dyDescent="0.3">
      <c r="A1494" s="25">
        <v>1360</v>
      </c>
      <c r="B1494" t="s">
        <v>71</v>
      </c>
      <c r="C1494" t="s">
        <v>44</v>
      </c>
      <c r="D1494" t="s">
        <v>483</v>
      </c>
      <c r="E1494" s="118">
        <v>4569</v>
      </c>
      <c r="F1494" s="13">
        <v>45989</v>
      </c>
      <c r="G1494" s="24">
        <v>33632.639999999999</v>
      </c>
      <c r="H1494" s="27">
        <v>31564.23</v>
      </c>
      <c r="I1494" s="3">
        <v>45986</v>
      </c>
      <c r="J1494" s="102">
        <v>46006</v>
      </c>
      <c r="K1494" s="12">
        <v>46006</v>
      </c>
      <c r="L1494" s="19" t="s">
        <v>731</v>
      </c>
      <c r="M1494" s="35"/>
      <c r="N1494"/>
      <c r="O1494" t="s">
        <v>199</v>
      </c>
      <c r="P1494" t="s">
        <v>376</v>
      </c>
      <c r="Q1494" t="s">
        <v>203</v>
      </c>
    </row>
    <row r="1495" spans="1:17" x14ac:dyDescent="0.3">
      <c r="A1495" s="25">
        <v>1360</v>
      </c>
      <c r="B1495" t="s">
        <v>71</v>
      </c>
      <c r="C1495" t="s">
        <v>44</v>
      </c>
      <c r="D1495" t="s">
        <v>483</v>
      </c>
      <c r="E1495" s="118">
        <v>4570</v>
      </c>
      <c r="F1495" s="13">
        <v>45989</v>
      </c>
      <c r="G1495" s="24">
        <v>27792</v>
      </c>
      <c r="H1495" s="27">
        <v>26082.79</v>
      </c>
      <c r="I1495" s="3">
        <v>45987</v>
      </c>
      <c r="J1495" s="102">
        <v>46006</v>
      </c>
      <c r="K1495" s="12">
        <v>46006</v>
      </c>
      <c r="L1495" s="19" t="s">
        <v>731</v>
      </c>
      <c r="M1495" s="35"/>
      <c r="N1495"/>
      <c r="O1495" t="s">
        <v>199</v>
      </c>
      <c r="P1495" t="s">
        <v>376</v>
      </c>
      <c r="Q1495" t="s">
        <v>203</v>
      </c>
    </row>
    <row r="1496" spans="1:17" x14ac:dyDescent="0.3">
      <c r="A1496" s="25">
        <v>1360</v>
      </c>
      <c r="B1496" t="s">
        <v>71</v>
      </c>
      <c r="C1496" t="s">
        <v>44</v>
      </c>
      <c r="D1496" t="s">
        <v>483</v>
      </c>
      <c r="E1496" s="118">
        <v>4571</v>
      </c>
      <c r="F1496" s="13">
        <v>45989</v>
      </c>
      <c r="G1496" s="24">
        <v>69955.199999999997</v>
      </c>
      <c r="H1496" s="27">
        <v>65652.95</v>
      </c>
      <c r="I1496" s="3">
        <v>45987</v>
      </c>
      <c r="J1496" s="102">
        <v>46006</v>
      </c>
      <c r="K1496" s="12">
        <v>46006</v>
      </c>
      <c r="L1496" s="19" t="s">
        <v>731</v>
      </c>
      <c r="M1496" s="35"/>
      <c r="N1496"/>
      <c r="O1496" t="s">
        <v>199</v>
      </c>
      <c r="P1496" t="s">
        <v>376</v>
      </c>
      <c r="Q1496" t="s">
        <v>203</v>
      </c>
    </row>
    <row r="1497" spans="1:17" x14ac:dyDescent="0.3">
      <c r="A1497" s="25">
        <v>1360</v>
      </c>
      <c r="B1497" t="s">
        <v>71</v>
      </c>
      <c r="C1497" t="s">
        <v>44</v>
      </c>
      <c r="D1497" t="s">
        <v>483</v>
      </c>
      <c r="E1497" s="118">
        <v>4573</v>
      </c>
      <c r="F1497" s="13">
        <v>45989</v>
      </c>
      <c r="G1497" s="24">
        <v>170508.96</v>
      </c>
      <c r="H1497" s="27">
        <v>160022.66</v>
      </c>
      <c r="I1497" s="3">
        <v>45988</v>
      </c>
      <c r="J1497" s="102">
        <v>46006</v>
      </c>
      <c r="K1497" s="12">
        <v>46006</v>
      </c>
      <c r="L1497" s="19" t="s">
        <v>731</v>
      </c>
      <c r="M1497" s="35"/>
      <c r="N1497"/>
      <c r="O1497" t="s">
        <v>199</v>
      </c>
      <c r="P1497" t="s">
        <v>376</v>
      </c>
      <c r="Q1497" t="s">
        <v>203</v>
      </c>
    </row>
    <row r="1498" spans="1:17" x14ac:dyDescent="0.3">
      <c r="A1498" s="25">
        <v>1360</v>
      </c>
      <c r="B1498" t="s">
        <v>71</v>
      </c>
      <c r="C1498" t="s">
        <v>44</v>
      </c>
      <c r="D1498" t="s">
        <v>483</v>
      </c>
      <c r="E1498" s="118">
        <v>4575</v>
      </c>
      <c r="F1498" s="13">
        <v>45989</v>
      </c>
      <c r="G1498" s="24">
        <v>60900</v>
      </c>
      <c r="H1498" s="27">
        <v>57154.65</v>
      </c>
      <c r="I1498" s="3">
        <v>45988</v>
      </c>
      <c r="J1498" s="102">
        <v>46006</v>
      </c>
      <c r="K1498" s="12">
        <v>46006</v>
      </c>
      <c r="L1498" s="19" t="s">
        <v>731</v>
      </c>
      <c r="M1498" s="35"/>
      <c r="N1498"/>
      <c r="O1498" t="s">
        <v>199</v>
      </c>
      <c r="P1498" t="s">
        <v>376</v>
      </c>
      <c r="Q1498" t="s">
        <v>203</v>
      </c>
    </row>
    <row r="1499" spans="1:17" x14ac:dyDescent="0.3">
      <c r="A1499" s="25">
        <v>1360</v>
      </c>
      <c r="B1499" t="s">
        <v>71</v>
      </c>
      <c r="C1499" t="s">
        <v>44</v>
      </c>
      <c r="D1499" t="s">
        <v>483</v>
      </c>
      <c r="E1499" s="118">
        <v>4602</v>
      </c>
      <c r="F1499" s="13">
        <v>45989</v>
      </c>
      <c r="G1499" s="24">
        <v>40611.199999999997</v>
      </c>
      <c r="H1499" s="27">
        <v>38113.61</v>
      </c>
      <c r="I1499" s="3">
        <v>45992</v>
      </c>
      <c r="J1499" s="102">
        <v>46006</v>
      </c>
      <c r="K1499" s="12">
        <v>46006</v>
      </c>
      <c r="L1499" s="19" t="s">
        <v>731</v>
      </c>
      <c r="M1499" s="35"/>
      <c r="N1499"/>
      <c r="O1499" t="s">
        <v>199</v>
      </c>
      <c r="P1499" t="s">
        <v>376</v>
      </c>
      <c r="Q1499" t="s">
        <v>203</v>
      </c>
    </row>
    <row r="1500" spans="1:17" x14ac:dyDescent="0.3">
      <c r="A1500" s="25">
        <v>1360</v>
      </c>
      <c r="B1500" t="s">
        <v>71</v>
      </c>
      <c r="C1500" t="s">
        <v>44</v>
      </c>
      <c r="D1500" t="s">
        <v>483</v>
      </c>
      <c r="E1500" s="118">
        <v>4603</v>
      </c>
      <c r="F1500" s="13">
        <v>45989</v>
      </c>
      <c r="G1500" s="24">
        <v>12240</v>
      </c>
      <c r="H1500" s="27">
        <v>11487.24</v>
      </c>
      <c r="I1500" s="3">
        <v>45992</v>
      </c>
      <c r="J1500" s="102">
        <v>46006</v>
      </c>
      <c r="K1500" s="12">
        <v>46006</v>
      </c>
      <c r="L1500" s="19" t="s">
        <v>731</v>
      </c>
      <c r="M1500" s="35"/>
      <c r="N1500"/>
      <c r="O1500" t="s">
        <v>199</v>
      </c>
      <c r="P1500" t="s">
        <v>376</v>
      </c>
      <c r="Q1500" t="s">
        <v>203</v>
      </c>
    </row>
    <row r="1501" spans="1:17" x14ac:dyDescent="0.3">
      <c r="A1501" s="25">
        <v>1360</v>
      </c>
      <c r="B1501" t="s">
        <v>71</v>
      </c>
      <c r="C1501" t="s">
        <v>44</v>
      </c>
      <c r="D1501" t="s">
        <v>483</v>
      </c>
      <c r="E1501" s="118">
        <v>4604</v>
      </c>
      <c r="F1501" s="13">
        <v>45989</v>
      </c>
      <c r="G1501" s="24">
        <v>162622.72</v>
      </c>
      <c r="H1501" s="27">
        <v>152621.42000000001</v>
      </c>
      <c r="I1501" s="3">
        <v>45992</v>
      </c>
      <c r="J1501" s="102">
        <v>46006</v>
      </c>
      <c r="K1501" s="12">
        <v>46006</v>
      </c>
      <c r="L1501" s="19" t="s">
        <v>731</v>
      </c>
      <c r="M1501" s="35"/>
      <c r="N1501"/>
      <c r="O1501" t="s">
        <v>199</v>
      </c>
      <c r="P1501" t="s">
        <v>376</v>
      </c>
      <c r="Q1501" t="s">
        <v>203</v>
      </c>
    </row>
    <row r="1502" spans="1:17" x14ac:dyDescent="0.3">
      <c r="A1502" s="25">
        <v>1387</v>
      </c>
      <c r="B1502" t="s">
        <v>71</v>
      </c>
      <c r="C1502" t="s">
        <v>44</v>
      </c>
      <c r="D1502" t="s">
        <v>517</v>
      </c>
      <c r="E1502" s="118">
        <v>4556</v>
      </c>
      <c r="F1502" s="13">
        <v>45989</v>
      </c>
      <c r="G1502" s="24">
        <v>26362.44</v>
      </c>
      <c r="H1502" s="24">
        <v>24741.15</v>
      </c>
      <c r="I1502" s="3">
        <v>45985</v>
      </c>
      <c r="J1502" s="102">
        <v>46006</v>
      </c>
      <c r="K1502" s="12">
        <v>46006</v>
      </c>
      <c r="L1502" s="19" t="s">
        <v>731</v>
      </c>
      <c r="M1502" s="35"/>
      <c r="N1502"/>
      <c r="O1502" t="s">
        <v>202</v>
      </c>
      <c r="P1502" t="s">
        <v>376</v>
      </c>
      <c r="Q1502" t="s">
        <v>203</v>
      </c>
    </row>
    <row r="1503" spans="1:17" x14ac:dyDescent="0.3">
      <c r="A1503" s="25">
        <v>1387</v>
      </c>
      <c r="B1503" t="s">
        <v>71</v>
      </c>
      <c r="C1503" t="s">
        <v>44</v>
      </c>
      <c r="D1503" t="s">
        <v>517</v>
      </c>
      <c r="E1503" s="118">
        <v>4568</v>
      </c>
      <c r="F1503" s="13">
        <v>45958</v>
      </c>
      <c r="G1503" s="24">
        <v>46690</v>
      </c>
      <c r="H1503" s="24">
        <v>43818.559999999998</v>
      </c>
      <c r="I1503" s="3">
        <v>45986</v>
      </c>
      <c r="J1503" s="102">
        <v>46006</v>
      </c>
      <c r="K1503" s="12">
        <v>46006</v>
      </c>
      <c r="L1503" s="19" t="s">
        <v>731</v>
      </c>
      <c r="M1503" s="35"/>
      <c r="N1503"/>
      <c r="O1503" t="s">
        <v>202</v>
      </c>
      <c r="P1503" t="s">
        <v>376</v>
      </c>
      <c r="Q1503" t="s">
        <v>203</v>
      </c>
    </row>
    <row r="1504" spans="1:17" x14ac:dyDescent="0.3">
      <c r="A1504" s="25">
        <v>1360</v>
      </c>
      <c r="B1504" t="s">
        <v>71</v>
      </c>
      <c r="C1504" t="s">
        <v>44</v>
      </c>
      <c r="D1504" t="s">
        <v>483</v>
      </c>
      <c r="E1504" s="118">
        <v>4611</v>
      </c>
      <c r="F1504" s="13">
        <v>46019</v>
      </c>
      <c r="G1504" s="24">
        <v>77317.600000000006</v>
      </c>
      <c r="H1504" s="27">
        <v>72562.570000000007</v>
      </c>
      <c r="I1504" s="3">
        <v>45994</v>
      </c>
      <c r="J1504" s="102">
        <v>46006</v>
      </c>
      <c r="K1504" s="12">
        <v>46009</v>
      </c>
      <c r="L1504" s="19" t="s">
        <v>731</v>
      </c>
      <c r="M1504" s="35"/>
      <c r="N1504"/>
      <c r="O1504" t="s">
        <v>199</v>
      </c>
      <c r="P1504" t="s">
        <v>376</v>
      </c>
      <c r="Q1504" t="s">
        <v>203</v>
      </c>
    </row>
    <row r="1505" spans="1:17" x14ac:dyDescent="0.3">
      <c r="A1505" s="25">
        <v>1360</v>
      </c>
      <c r="B1505" t="s">
        <v>71</v>
      </c>
      <c r="C1505" t="s">
        <v>44</v>
      </c>
      <c r="D1505" t="s">
        <v>483</v>
      </c>
      <c r="E1505" s="118">
        <v>4613</v>
      </c>
      <c r="F1505" s="13">
        <v>46019</v>
      </c>
      <c r="G1505" s="24">
        <v>104251.92</v>
      </c>
      <c r="H1505" s="27">
        <v>97840.42</v>
      </c>
      <c r="I1505" s="3">
        <v>45994</v>
      </c>
      <c r="J1505" s="102">
        <v>46006</v>
      </c>
      <c r="K1505" s="12">
        <v>46009</v>
      </c>
      <c r="L1505" s="19" t="s">
        <v>731</v>
      </c>
      <c r="M1505" s="35"/>
      <c r="N1505"/>
      <c r="O1505" t="s">
        <v>199</v>
      </c>
      <c r="P1505" t="s">
        <v>376</v>
      </c>
      <c r="Q1505" t="s">
        <v>203</v>
      </c>
    </row>
    <row r="1506" spans="1:17" x14ac:dyDescent="0.3">
      <c r="A1506" s="25">
        <v>1360</v>
      </c>
      <c r="B1506" t="s">
        <v>71</v>
      </c>
      <c r="C1506" t="s">
        <v>44</v>
      </c>
      <c r="D1506" t="s">
        <v>483</v>
      </c>
      <c r="E1506" s="118">
        <v>4633</v>
      </c>
      <c r="F1506" s="13">
        <v>46019</v>
      </c>
      <c r="G1506" s="24">
        <v>29148</v>
      </c>
      <c r="H1506" s="27">
        <v>27355.4</v>
      </c>
      <c r="I1506" s="3">
        <v>45995</v>
      </c>
      <c r="J1506" s="102">
        <v>46006</v>
      </c>
      <c r="K1506" s="12">
        <v>46009</v>
      </c>
      <c r="L1506" s="19" t="s">
        <v>731</v>
      </c>
      <c r="M1506" s="35"/>
      <c r="N1506"/>
      <c r="O1506" t="s">
        <v>199</v>
      </c>
      <c r="P1506" t="s">
        <v>376</v>
      </c>
      <c r="Q1506" t="s">
        <v>203</v>
      </c>
    </row>
    <row r="1507" spans="1:17" x14ac:dyDescent="0.3">
      <c r="A1507" s="25">
        <v>1360</v>
      </c>
      <c r="B1507" t="s">
        <v>71</v>
      </c>
      <c r="C1507" t="s">
        <v>44</v>
      </c>
      <c r="D1507" t="s">
        <v>483</v>
      </c>
      <c r="E1507" s="118">
        <v>4617</v>
      </c>
      <c r="F1507" s="13">
        <v>46019</v>
      </c>
      <c r="G1507" s="24">
        <v>99771.839999999997</v>
      </c>
      <c r="H1507" s="27">
        <v>93635.86</v>
      </c>
      <c r="I1507" s="3">
        <v>45995</v>
      </c>
      <c r="J1507" s="102">
        <v>46006</v>
      </c>
      <c r="K1507" s="12">
        <v>46009</v>
      </c>
      <c r="L1507" s="19" t="s">
        <v>731</v>
      </c>
      <c r="M1507" s="35"/>
      <c r="N1507"/>
      <c r="O1507" t="s">
        <v>199</v>
      </c>
      <c r="P1507" t="s">
        <v>376</v>
      </c>
      <c r="Q1507" t="s">
        <v>203</v>
      </c>
    </row>
    <row r="1508" spans="1:17" x14ac:dyDescent="0.3">
      <c r="A1508" s="25">
        <v>1360</v>
      </c>
      <c r="B1508" t="s">
        <v>71</v>
      </c>
      <c r="C1508" t="s">
        <v>44</v>
      </c>
      <c r="D1508" t="s">
        <v>483</v>
      </c>
      <c r="E1508" s="118">
        <v>4629</v>
      </c>
      <c r="F1508" s="13">
        <v>46019</v>
      </c>
      <c r="G1508" s="24">
        <v>58296</v>
      </c>
      <c r="H1508" s="27">
        <v>54710.8</v>
      </c>
      <c r="I1508" s="3">
        <v>45995</v>
      </c>
      <c r="J1508" s="102">
        <v>46006</v>
      </c>
      <c r="K1508" s="12">
        <v>46009</v>
      </c>
      <c r="L1508" s="19" t="s">
        <v>731</v>
      </c>
      <c r="M1508" s="35"/>
      <c r="N1508"/>
      <c r="O1508" t="s">
        <v>199</v>
      </c>
      <c r="P1508" t="s">
        <v>376</v>
      </c>
      <c r="Q1508" t="s">
        <v>203</v>
      </c>
    </row>
    <row r="1509" spans="1:17" x14ac:dyDescent="0.3">
      <c r="A1509" s="25">
        <v>1360</v>
      </c>
      <c r="B1509" t="s">
        <v>71</v>
      </c>
      <c r="C1509" t="s">
        <v>44</v>
      </c>
      <c r="D1509" t="s">
        <v>483</v>
      </c>
      <c r="E1509" s="118">
        <v>4630</v>
      </c>
      <c r="F1509" s="13">
        <v>46019</v>
      </c>
      <c r="G1509" s="24">
        <v>97497.600000000006</v>
      </c>
      <c r="H1509" s="27">
        <v>91501.5</v>
      </c>
      <c r="I1509" s="3">
        <v>45995</v>
      </c>
      <c r="J1509" s="102">
        <v>46006</v>
      </c>
      <c r="K1509" s="12">
        <v>46009</v>
      </c>
      <c r="L1509" s="19" t="s">
        <v>731</v>
      </c>
      <c r="M1509" s="35"/>
      <c r="N1509"/>
      <c r="O1509" t="s">
        <v>199</v>
      </c>
      <c r="P1509" t="s">
        <v>376</v>
      </c>
      <c r="Q1509" t="s">
        <v>203</v>
      </c>
    </row>
    <row r="1510" spans="1:17" x14ac:dyDescent="0.3">
      <c r="A1510" s="25">
        <v>1360</v>
      </c>
      <c r="B1510" t="s">
        <v>71</v>
      </c>
      <c r="C1510" t="s">
        <v>44</v>
      </c>
      <c r="D1510" t="s">
        <v>483</v>
      </c>
      <c r="E1510" s="118" t="s">
        <v>767</v>
      </c>
      <c r="F1510" s="13">
        <v>46019</v>
      </c>
      <c r="G1510" s="24">
        <v>39348</v>
      </c>
      <c r="H1510" s="27">
        <v>36928.1</v>
      </c>
      <c r="I1510" s="3">
        <v>45995</v>
      </c>
      <c r="J1510" s="102">
        <v>46006</v>
      </c>
      <c r="K1510" s="12">
        <v>46009</v>
      </c>
      <c r="L1510" s="19" t="s">
        <v>731</v>
      </c>
      <c r="M1510" s="35"/>
      <c r="N1510"/>
      <c r="O1510" t="s">
        <v>199</v>
      </c>
      <c r="P1510" t="s">
        <v>376</v>
      </c>
      <c r="Q1510" t="s">
        <v>203</v>
      </c>
    </row>
    <row r="1511" spans="1:17" x14ac:dyDescent="0.3">
      <c r="A1511" s="25">
        <v>1360</v>
      </c>
      <c r="B1511" t="s">
        <v>71</v>
      </c>
      <c r="C1511" t="s">
        <v>44</v>
      </c>
      <c r="D1511" t="s">
        <v>483</v>
      </c>
      <c r="E1511" s="118" t="s">
        <v>768</v>
      </c>
      <c r="F1511" s="13">
        <v>46019</v>
      </c>
      <c r="G1511" s="24">
        <v>5287.2</v>
      </c>
      <c r="H1511" s="27">
        <v>4962.03</v>
      </c>
      <c r="I1511" s="3">
        <v>45996</v>
      </c>
      <c r="J1511" s="102">
        <v>46006</v>
      </c>
      <c r="K1511" s="12">
        <v>46009</v>
      </c>
      <c r="L1511" s="19" t="s">
        <v>731</v>
      </c>
      <c r="M1511" s="35"/>
      <c r="N1511"/>
      <c r="O1511" t="s">
        <v>199</v>
      </c>
      <c r="P1511" t="s">
        <v>376</v>
      </c>
      <c r="Q1511" t="s">
        <v>203</v>
      </c>
    </row>
    <row r="1512" spans="1:17" x14ac:dyDescent="0.3">
      <c r="A1512" s="25">
        <v>1360</v>
      </c>
      <c r="B1512" t="s">
        <v>71</v>
      </c>
      <c r="C1512" t="s">
        <v>44</v>
      </c>
      <c r="D1512" t="s">
        <v>483</v>
      </c>
      <c r="E1512" s="118" t="s">
        <v>769</v>
      </c>
      <c r="F1512" s="13">
        <v>46019</v>
      </c>
      <c r="G1512" s="24">
        <v>7159.2</v>
      </c>
      <c r="H1512" s="27">
        <v>6718.91</v>
      </c>
      <c r="I1512" s="3">
        <v>45996</v>
      </c>
      <c r="J1512" s="102">
        <v>46006</v>
      </c>
      <c r="K1512" s="12">
        <v>46009</v>
      </c>
      <c r="L1512" s="19" t="s">
        <v>731</v>
      </c>
      <c r="M1512" s="35"/>
      <c r="N1512"/>
      <c r="O1512" t="s">
        <v>199</v>
      </c>
      <c r="P1512" t="s">
        <v>376</v>
      </c>
      <c r="Q1512" t="s">
        <v>203</v>
      </c>
    </row>
    <row r="1513" spans="1:17" x14ac:dyDescent="0.3">
      <c r="A1513" s="25">
        <v>1360</v>
      </c>
      <c r="B1513" t="s">
        <v>71</v>
      </c>
      <c r="C1513" t="s">
        <v>44</v>
      </c>
      <c r="D1513" t="s">
        <v>483</v>
      </c>
      <c r="E1513" s="118" t="s">
        <v>770</v>
      </c>
      <c r="F1513" s="13">
        <v>46019</v>
      </c>
      <c r="G1513" s="24">
        <v>22224</v>
      </c>
      <c r="H1513" s="27">
        <v>20857.23</v>
      </c>
      <c r="I1513" s="3">
        <v>46000</v>
      </c>
      <c r="J1513" s="102">
        <v>46006</v>
      </c>
      <c r="K1513" s="12">
        <v>46010</v>
      </c>
      <c r="L1513" s="19" t="s">
        <v>731</v>
      </c>
      <c r="M1513" s="35"/>
      <c r="N1513"/>
      <c r="O1513" t="s">
        <v>199</v>
      </c>
      <c r="P1513" t="s">
        <v>376</v>
      </c>
      <c r="Q1513" t="s">
        <v>203</v>
      </c>
    </row>
    <row r="1514" spans="1:17" x14ac:dyDescent="0.3">
      <c r="A1514" s="25">
        <v>1360</v>
      </c>
      <c r="B1514" t="s">
        <v>71</v>
      </c>
      <c r="C1514" t="s">
        <v>44</v>
      </c>
      <c r="D1514" t="s">
        <v>483</v>
      </c>
      <c r="E1514" s="118" t="s">
        <v>771</v>
      </c>
      <c r="F1514" s="13">
        <v>46019</v>
      </c>
      <c r="G1514" s="24">
        <v>59302.8</v>
      </c>
      <c r="H1514" s="27">
        <v>55655.68</v>
      </c>
      <c r="I1514" s="3">
        <v>46000</v>
      </c>
      <c r="J1514" s="102">
        <v>46006</v>
      </c>
      <c r="K1514" s="12">
        <v>46009</v>
      </c>
      <c r="L1514" s="19" t="s">
        <v>731</v>
      </c>
      <c r="M1514" s="35"/>
      <c r="N1514"/>
      <c r="O1514" t="s">
        <v>199</v>
      </c>
      <c r="P1514" t="s">
        <v>376</v>
      </c>
      <c r="Q1514" t="s">
        <v>203</v>
      </c>
    </row>
    <row r="1515" spans="1:17" x14ac:dyDescent="0.3">
      <c r="A1515" s="25">
        <v>1360</v>
      </c>
      <c r="B1515" t="s">
        <v>71</v>
      </c>
      <c r="C1515" t="s">
        <v>44</v>
      </c>
      <c r="D1515" t="s">
        <v>483</v>
      </c>
      <c r="E1515" s="118" t="s">
        <v>772</v>
      </c>
      <c r="F1515" s="13">
        <v>46019</v>
      </c>
      <c r="G1515" s="24">
        <v>33959.519999999997</v>
      </c>
      <c r="H1515" s="27">
        <v>31871</v>
      </c>
      <c r="I1515" s="3">
        <v>46000</v>
      </c>
      <c r="J1515" s="102">
        <v>46006</v>
      </c>
      <c r="K1515" s="12">
        <v>46010</v>
      </c>
      <c r="L1515" s="19" t="s">
        <v>731</v>
      </c>
      <c r="M1515" s="35"/>
      <c r="N1515"/>
      <c r="O1515" t="s">
        <v>199</v>
      </c>
      <c r="P1515" t="s">
        <v>376</v>
      </c>
      <c r="Q1515" t="s">
        <v>203</v>
      </c>
    </row>
    <row r="1516" spans="1:17" x14ac:dyDescent="0.3">
      <c r="A1516" s="25">
        <v>1360</v>
      </c>
      <c r="B1516" t="s">
        <v>71</v>
      </c>
      <c r="C1516" t="s">
        <v>44</v>
      </c>
      <c r="D1516" t="s">
        <v>483</v>
      </c>
      <c r="E1516" s="118" t="s">
        <v>773</v>
      </c>
      <c r="F1516" s="13">
        <v>46019</v>
      </c>
      <c r="G1516" s="24">
        <v>25062</v>
      </c>
      <c r="H1516" s="27">
        <v>23520.69</v>
      </c>
      <c r="I1516" s="3">
        <v>46002</v>
      </c>
      <c r="J1516" s="102">
        <v>46006</v>
      </c>
      <c r="K1516" s="12">
        <v>46009</v>
      </c>
      <c r="L1516" s="19" t="s">
        <v>731</v>
      </c>
      <c r="M1516" s="35"/>
      <c r="N1516"/>
      <c r="O1516" t="s">
        <v>199</v>
      </c>
      <c r="P1516" t="s">
        <v>376</v>
      </c>
      <c r="Q1516" t="s">
        <v>203</v>
      </c>
    </row>
    <row r="1517" spans="1:17" x14ac:dyDescent="0.3">
      <c r="A1517" s="25">
        <v>1360</v>
      </c>
      <c r="B1517" t="s">
        <v>71</v>
      </c>
      <c r="C1517" t="s">
        <v>44</v>
      </c>
      <c r="D1517" t="s">
        <v>483</v>
      </c>
      <c r="E1517" s="118" t="s">
        <v>774</v>
      </c>
      <c r="F1517" s="13">
        <v>46019</v>
      </c>
      <c r="G1517" s="24">
        <v>140402.88</v>
      </c>
      <c r="H1517" s="27">
        <v>131768.1</v>
      </c>
      <c r="I1517" s="3">
        <v>46000</v>
      </c>
      <c r="J1517" s="102">
        <v>46006</v>
      </c>
      <c r="K1517" s="12">
        <v>46009</v>
      </c>
      <c r="L1517" s="19" t="s">
        <v>731</v>
      </c>
      <c r="M1517" s="35"/>
      <c r="N1517"/>
      <c r="O1517" t="s">
        <v>199</v>
      </c>
      <c r="P1517" t="s">
        <v>376</v>
      </c>
      <c r="Q1517" t="s">
        <v>203</v>
      </c>
    </row>
    <row r="1518" spans="1:17" x14ac:dyDescent="0.3">
      <c r="A1518" s="25">
        <v>1360</v>
      </c>
      <c r="B1518" t="s">
        <v>71</v>
      </c>
      <c r="C1518" t="s">
        <v>44</v>
      </c>
      <c r="D1518" t="s">
        <v>483</v>
      </c>
      <c r="E1518" s="118">
        <v>4615</v>
      </c>
      <c r="F1518" s="13">
        <v>46019</v>
      </c>
      <c r="G1518" s="24">
        <v>19668</v>
      </c>
      <c r="H1518" s="24">
        <v>18458.419999999998</v>
      </c>
      <c r="I1518" s="3">
        <v>45994</v>
      </c>
      <c r="J1518" s="102">
        <v>46006</v>
      </c>
      <c r="K1518" s="12">
        <v>46009</v>
      </c>
      <c r="L1518" s="19" t="s">
        <v>731</v>
      </c>
      <c r="M1518" s="35"/>
      <c r="N1518"/>
      <c r="O1518" t="s">
        <v>199</v>
      </c>
      <c r="P1518" t="s">
        <v>376</v>
      </c>
      <c r="Q1518" t="s">
        <v>203</v>
      </c>
    </row>
    <row r="1519" spans="1:17" x14ac:dyDescent="0.3">
      <c r="A1519" s="25">
        <v>1360</v>
      </c>
      <c r="B1519" t="s">
        <v>71</v>
      </c>
      <c r="C1519" t="s">
        <v>44</v>
      </c>
      <c r="D1519" t="s">
        <v>483</v>
      </c>
      <c r="E1519" s="118" t="s">
        <v>775</v>
      </c>
      <c r="F1519" s="13">
        <v>46019</v>
      </c>
      <c r="G1519" s="24">
        <v>10200</v>
      </c>
      <c r="H1519" s="24">
        <v>9572.7000000000007</v>
      </c>
      <c r="I1519" s="3">
        <v>45995</v>
      </c>
      <c r="J1519" s="102">
        <v>46006</v>
      </c>
      <c r="K1519" s="12">
        <v>46009</v>
      </c>
      <c r="L1519" s="19" t="s">
        <v>731</v>
      </c>
      <c r="M1519" s="35"/>
      <c r="N1519"/>
      <c r="O1519" t="s">
        <v>199</v>
      </c>
      <c r="P1519" t="s">
        <v>376</v>
      </c>
      <c r="Q1519" t="s">
        <v>203</v>
      </c>
    </row>
    <row r="1520" spans="1:17" x14ac:dyDescent="0.3">
      <c r="A1520" s="25">
        <v>1360</v>
      </c>
      <c r="B1520" t="s">
        <v>71</v>
      </c>
      <c r="C1520" t="s">
        <v>44</v>
      </c>
      <c r="D1520" t="s">
        <v>483</v>
      </c>
      <c r="E1520" s="118" t="s">
        <v>776</v>
      </c>
      <c r="F1520" s="13">
        <v>46019</v>
      </c>
      <c r="G1520" s="24">
        <v>11600.64</v>
      </c>
      <c r="H1520" s="24">
        <v>10887.2</v>
      </c>
      <c r="I1520" s="3">
        <v>46000</v>
      </c>
      <c r="J1520" s="102">
        <v>46006</v>
      </c>
      <c r="K1520" s="12">
        <v>46009</v>
      </c>
      <c r="L1520" s="19" t="s">
        <v>731</v>
      </c>
      <c r="M1520" s="35"/>
      <c r="N1520"/>
      <c r="O1520" t="s">
        <v>199</v>
      </c>
      <c r="P1520" t="s">
        <v>376</v>
      </c>
      <c r="Q1520" t="s">
        <v>203</v>
      </c>
    </row>
    <row r="1521" spans="1:17" x14ac:dyDescent="0.3">
      <c r="A1521" s="25">
        <v>1360</v>
      </c>
      <c r="B1521" t="s">
        <v>71</v>
      </c>
      <c r="C1521" t="s">
        <v>44</v>
      </c>
      <c r="D1521" t="s">
        <v>483</v>
      </c>
      <c r="E1521" s="118" t="s">
        <v>777</v>
      </c>
      <c r="F1521" s="13">
        <v>46019</v>
      </c>
      <c r="G1521" s="24">
        <v>23160</v>
      </c>
      <c r="H1521" s="27">
        <v>21735.66</v>
      </c>
      <c r="I1521" s="3">
        <v>46000</v>
      </c>
      <c r="J1521" s="102">
        <v>46006</v>
      </c>
      <c r="K1521" s="12">
        <v>46010</v>
      </c>
      <c r="L1521" s="19" t="s">
        <v>731</v>
      </c>
      <c r="M1521" s="35"/>
      <c r="N1521"/>
      <c r="O1521" t="s">
        <v>199</v>
      </c>
      <c r="P1521" t="s">
        <v>376</v>
      </c>
      <c r="Q1521" t="s">
        <v>203</v>
      </c>
    </row>
    <row r="1522" spans="1:17" x14ac:dyDescent="0.3">
      <c r="A1522" s="25">
        <v>1360</v>
      </c>
      <c r="B1522" t="s">
        <v>71</v>
      </c>
      <c r="C1522" t="s">
        <v>44</v>
      </c>
      <c r="D1522" t="s">
        <v>483</v>
      </c>
      <c r="E1522" s="118" t="s">
        <v>778</v>
      </c>
      <c r="F1522" s="13">
        <v>46019</v>
      </c>
      <c r="G1522" s="24">
        <v>27535.200000000001</v>
      </c>
      <c r="H1522" s="24">
        <v>25841.78</v>
      </c>
      <c r="I1522" s="3">
        <v>45996</v>
      </c>
      <c r="J1522" s="102">
        <v>46006</v>
      </c>
      <c r="K1522" s="12">
        <v>46009</v>
      </c>
      <c r="L1522" s="19" t="s">
        <v>731</v>
      </c>
      <c r="M1522" s="35"/>
      <c r="N1522"/>
      <c r="O1522" t="s">
        <v>199</v>
      </c>
      <c r="P1522" t="s">
        <v>376</v>
      </c>
      <c r="Q1522" t="s">
        <v>203</v>
      </c>
    </row>
    <row r="1523" spans="1:17" x14ac:dyDescent="0.3">
      <c r="A1523" s="25">
        <v>1360</v>
      </c>
      <c r="B1523" t="s">
        <v>71</v>
      </c>
      <c r="C1523" t="s">
        <v>44</v>
      </c>
      <c r="D1523" t="s">
        <v>483</v>
      </c>
      <c r="E1523" s="118" t="s">
        <v>779</v>
      </c>
      <c r="F1523" s="13">
        <v>46019</v>
      </c>
      <c r="G1523" s="24">
        <v>19371.599999999999</v>
      </c>
      <c r="H1523" s="24">
        <v>18180.240000000002</v>
      </c>
      <c r="I1523" s="3">
        <v>45996</v>
      </c>
      <c r="J1523" s="102">
        <v>46006</v>
      </c>
      <c r="K1523" s="12">
        <v>46009</v>
      </c>
      <c r="L1523" s="19" t="s">
        <v>731</v>
      </c>
      <c r="M1523" s="35"/>
      <c r="N1523"/>
      <c r="O1523" t="s">
        <v>199</v>
      </c>
      <c r="P1523" t="s">
        <v>376</v>
      </c>
      <c r="Q1523" t="s">
        <v>203</v>
      </c>
    </row>
    <row r="1524" spans="1:17" x14ac:dyDescent="0.3">
      <c r="A1524" s="25">
        <v>1360</v>
      </c>
      <c r="B1524" t="s">
        <v>71</v>
      </c>
      <c r="C1524" t="s">
        <v>44</v>
      </c>
      <c r="D1524" t="s">
        <v>483</v>
      </c>
      <c r="E1524" s="118" t="s">
        <v>780</v>
      </c>
      <c r="F1524" s="13">
        <v>46019</v>
      </c>
      <c r="G1524" s="24">
        <v>9667.2000000000007</v>
      </c>
      <c r="H1524" s="24">
        <v>9072.66</v>
      </c>
      <c r="I1524" s="3">
        <v>46000</v>
      </c>
      <c r="J1524" s="102">
        <v>46020</v>
      </c>
      <c r="K1524" s="12">
        <v>46021</v>
      </c>
      <c r="L1524" s="19" t="s">
        <v>731</v>
      </c>
      <c r="M1524" s="35"/>
      <c r="N1524"/>
      <c r="O1524" t="s">
        <v>199</v>
      </c>
      <c r="P1524" t="s">
        <v>376</v>
      </c>
      <c r="Q1524" t="s">
        <v>203</v>
      </c>
    </row>
    <row r="1525" spans="1:17" x14ac:dyDescent="0.3">
      <c r="A1525" s="25">
        <v>1360</v>
      </c>
      <c r="B1525" t="s">
        <v>71</v>
      </c>
      <c r="C1525" t="s">
        <v>44</v>
      </c>
      <c r="D1525" t="s">
        <v>483</v>
      </c>
      <c r="E1525" s="118" t="s">
        <v>781</v>
      </c>
      <c r="F1525" s="13">
        <v>46019</v>
      </c>
      <c r="G1525" s="24">
        <v>28027.200000000001</v>
      </c>
      <c r="H1525" s="24">
        <v>26303.52</v>
      </c>
      <c r="I1525" s="3">
        <v>46000</v>
      </c>
      <c r="J1525" s="102">
        <v>46006</v>
      </c>
      <c r="K1525" s="12">
        <v>46009</v>
      </c>
      <c r="L1525" s="19" t="s">
        <v>731</v>
      </c>
      <c r="M1525" s="35"/>
      <c r="N1525"/>
      <c r="O1525" t="s">
        <v>199</v>
      </c>
      <c r="P1525" t="s">
        <v>376</v>
      </c>
      <c r="Q1525" t="s">
        <v>203</v>
      </c>
    </row>
    <row r="1526" spans="1:17" x14ac:dyDescent="0.3">
      <c r="A1526" s="25">
        <v>1360</v>
      </c>
      <c r="B1526" t="s">
        <v>71</v>
      </c>
      <c r="C1526" t="s">
        <v>44</v>
      </c>
      <c r="D1526" t="s">
        <v>483</v>
      </c>
      <c r="E1526" s="118" t="s">
        <v>782</v>
      </c>
      <c r="F1526" s="13">
        <v>46019</v>
      </c>
      <c r="G1526" s="24">
        <v>12600</v>
      </c>
      <c r="H1526" s="24">
        <v>11825.1</v>
      </c>
      <c r="I1526" s="3">
        <v>46000</v>
      </c>
      <c r="J1526" s="102">
        <v>46006</v>
      </c>
      <c r="K1526" s="12">
        <v>46009</v>
      </c>
      <c r="L1526" s="19" t="s">
        <v>731</v>
      </c>
      <c r="M1526" s="35"/>
      <c r="N1526"/>
      <c r="O1526" t="s">
        <v>199</v>
      </c>
      <c r="P1526" t="s">
        <v>376</v>
      </c>
      <c r="Q1526" t="s">
        <v>203</v>
      </c>
    </row>
    <row r="1527" spans="1:17" x14ac:dyDescent="0.3">
      <c r="A1527" s="25">
        <v>1360</v>
      </c>
      <c r="B1527" t="s">
        <v>71</v>
      </c>
      <c r="C1527" t="s">
        <v>44</v>
      </c>
      <c r="D1527" t="s">
        <v>483</v>
      </c>
      <c r="E1527" s="118" t="s">
        <v>783</v>
      </c>
      <c r="F1527" s="13">
        <v>46051</v>
      </c>
      <c r="G1527" s="24">
        <v>166420.79999999999</v>
      </c>
      <c r="H1527" s="24">
        <v>156185.92000000001</v>
      </c>
      <c r="I1527" s="3">
        <v>46002</v>
      </c>
      <c r="J1527" s="102">
        <v>46006</v>
      </c>
      <c r="K1527" s="12">
        <v>46009</v>
      </c>
      <c r="L1527" s="19" t="s">
        <v>731</v>
      </c>
      <c r="M1527" s="35"/>
      <c r="N1527"/>
      <c r="O1527" t="s">
        <v>199</v>
      </c>
      <c r="P1527" t="s">
        <v>376</v>
      </c>
      <c r="Q1527" t="s">
        <v>203</v>
      </c>
    </row>
    <row r="1528" spans="1:17" x14ac:dyDescent="0.3">
      <c r="A1528" s="25">
        <v>1360</v>
      </c>
      <c r="B1528" t="s">
        <v>71</v>
      </c>
      <c r="C1528" t="s">
        <v>44</v>
      </c>
      <c r="D1528" t="s">
        <v>483</v>
      </c>
      <c r="E1528" s="118" t="s">
        <v>784</v>
      </c>
      <c r="F1528" s="13">
        <v>46051</v>
      </c>
      <c r="G1528" s="24">
        <v>18265.599999999999</v>
      </c>
      <c r="H1528" s="24">
        <v>17142.259999999998</v>
      </c>
      <c r="I1528" s="3">
        <v>46002</v>
      </c>
      <c r="J1528" s="102">
        <v>46006</v>
      </c>
      <c r="K1528" s="12">
        <v>46009</v>
      </c>
      <c r="L1528" s="19" t="s">
        <v>731</v>
      </c>
      <c r="M1528" s="35"/>
      <c r="N1528"/>
      <c r="O1528" t="s">
        <v>199</v>
      </c>
      <c r="P1528" t="s">
        <v>376</v>
      </c>
      <c r="Q1528" t="s">
        <v>203</v>
      </c>
    </row>
    <row r="1529" spans="1:17" x14ac:dyDescent="0.3">
      <c r="A1529" s="25">
        <v>1360</v>
      </c>
      <c r="B1529" t="s">
        <v>71</v>
      </c>
      <c r="C1529" t="s">
        <v>44</v>
      </c>
      <c r="D1529" t="s">
        <v>483</v>
      </c>
      <c r="E1529" s="118">
        <v>4683</v>
      </c>
      <c r="F1529" s="13">
        <v>46019</v>
      </c>
      <c r="G1529" s="24">
        <v>23160</v>
      </c>
      <c r="H1529" s="24">
        <v>21735.66</v>
      </c>
      <c r="I1529" s="3">
        <v>46002</v>
      </c>
      <c r="J1529" s="102">
        <v>46006</v>
      </c>
      <c r="K1529" s="12">
        <v>46009</v>
      </c>
      <c r="L1529" s="19" t="s">
        <v>731</v>
      </c>
      <c r="M1529" s="35"/>
      <c r="N1529"/>
      <c r="O1529" t="s">
        <v>199</v>
      </c>
      <c r="P1529" t="s">
        <v>376</v>
      </c>
      <c r="Q1529" t="s">
        <v>203</v>
      </c>
    </row>
    <row r="1530" spans="1:17" x14ac:dyDescent="0.3">
      <c r="A1530" s="25">
        <v>1360</v>
      </c>
      <c r="B1530" t="s">
        <v>71</v>
      </c>
      <c r="C1530" t="s">
        <v>44</v>
      </c>
      <c r="D1530" t="s">
        <v>483</v>
      </c>
      <c r="E1530" s="118">
        <v>4684</v>
      </c>
      <c r="F1530" s="13">
        <v>45989</v>
      </c>
      <c r="G1530" s="24">
        <v>27792</v>
      </c>
      <c r="H1530" s="24">
        <v>26082.79</v>
      </c>
      <c r="I1530" s="3">
        <v>46002</v>
      </c>
      <c r="J1530" s="102">
        <v>46006</v>
      </c>
      <c r="K1530" s="12">
        <v>46009</v>
      </c>
      <c r="L1530" s="19" t="s">
        <v>731</v>
      </c>
      <c r="M1530" s="35"/>
      <c r="N1530"/>
      <c r="O1530" t="s">
        <v>199</v>
      </c>
      <c r="P1530" t="s">
        <v>376</v>
      </c>
      <c r="Q1530" t="s">
        <v>203</v>
      </c>
    </row>
    <row r="1531" spans="1:17" x14ac:dyDescent="0.3">
      <c r="A1531" s="25">
        <v>1360</v>
      </c>
      <c r="B1531" t="s">
        <v>71</v>
      </c>
      <c r="C1531" t="s">
        <v>44</v>
      </c>
      <c r="D1531" t="s">
        <v>483</v>
      </c>
      <c r="E1531" s="118" t="s">
        <v>785</v>
      </c>
      <c r="F1531" s="13">
        <v>46051</v>
      </c>
      <c r="G1531" s="24">
        <v>38864</v>
      </c>
      <c r="H1531" s="24">
        <v>36473.86</v>
      </c>
      <c r="I1531" s="3">
        <v>46003</v>
      </c>
      <c r="J1531" s="102">
        <v>46020</v>
      </c>
      <c r="K1531" s="12">
        <v>46021</v>
      </c>
      <c r="L1531" s="19" t="s">
        <v>731</v>
      </c>
      <c r="M1531" s="35"/>
      <c r="N1531"/>
      <c r="O1531" t="s">
        <v>199</v>
      </c>
      <c r="P1531" t="s">
        <v>376</v>
      </c>
      <c r="Q1531" t="s">
        <v>203</v>
      </c>
    </row>
    <row r="1532" spans="1:17" x14ac:dyDescent="0.3">
      <c r="A1532" s="25">
        <v>1360</v>
      </c>
      <c r="B1532" t="s">
        <v>71</v>
      </c>
      <c r="C1532" t="s">
        <v>44</v>
      </c>
      <c r="D1532" t="s">
        <v>483</v>
      </c>
      <c r="E1532" s="118" t="s">
        <v>786</v>
      </c>
      <c r="F1532" s="13">
        <v>46051</v>
      </c>
      <c r="G1532" s="24">
        <v>129919.2</v>
      </c>
      <c r="H1532" s="27">
        <v>121929.17</v>
      </c>
      <c r="I1532" s="3">
        <v>46003</v>
      </c>
      <c r="J1532" s="102">
        <v>46006</v>
      </c>
      <c r="K1532" s="12">
        <v>46010</v>
      </c>
      <c r="L1532" s="19" t="s">
        <v>731</v>
      </c>
      <c r="M1532" s="35"/>
      <c r="N1532"/>
      <c r="O1532" t="s">
        <v>199</v>
      </c>
      <c r="P1532" t="s">
        <v>376</v>
      </c>
      <c r="Q1532" t="s">
        <v>203</v>
      </c>
    </row>
    <row r="1533" spans="1:17" x14ac:dyDescent="0.3">
      <c r="A1533" s="25">
        <v>1360</v>
      </c>
      <c r="B1533" t="s">
        <v>71</v>
      </c>
      <c r="C1533" t="s">
        <v>44</v>
      </c>
      <c r="D1533" t="s">
        <v>483</v>
      </c>
      <c r="E1533" s="118" t="s">
        <v>787</v>
      </c>
      <c r="F1533" s="13">
        <v>46051</v>
      </c>
      <c r="G1533" s="24">
        <v>18240</v>
      </c>
      <c r="H1533" s="27">
        <v>17118.240000000002</v>
      </c>
      <c r="I1533" s="3">
        <v>46003</v>
      </c>
      <c r="J1533" s="102">
        <v>46006</v>
      </c>
      <c r="K1533" s="12">
        <v>46010</v>
      </c>
      <c r="L1533" s="19" t="s">
        <v>731</v>
      </c>
      <c r="M1533" s="35"/>
      <c r="N1533"/>
      <c r="O1533" t="s">
        <v>199</v>
      </c>
      <c r="P1533" t="s">
        <v>376</v>
      </c>
      <c r="Q1533" t="s">
        <v>203</v>
      </c>
    </row>
    <row r="1534" spans="1:17" x14ac:dyDescent="0.3">
      <c r="A1534" s="25">
        <v>1360</v>
      </c>
      <c r="B1534" t="s">
        <v>71</v>
      </c>
      <c r="C1534" t="s">
        <v>44</v>
      </c>
      <c r="D1534" t="s">
        <v>483</v>
      </c>
      <c r="E1534" s="118" t="s">
        <v>788</v>
      </c>
      <c r="F1534" s="13">
        <v>46019</v>
      </c>
      <c r="G1534" s="24">
        <v>59959.199999999997</v>
      </c>
      <c r="H1534" s="24">
        <v>56271.71</v>
      </c>
      <c r="I1534" s="3">
        <v>46003</v>
      </c>
      <c r="J1534" s="102">
        <v>46041</v>
      </c>
      <c r="K1534" s="12">
        <v>46045</v>
      </c>
      <c r="L1534" s="19" t="s">
        <v>731</v>
      </c>
      <c r="M1534" s="35"/>
      <c r="N1534"/>
      <c r="O1534" t="s">
        <v>199</v>
      </c>
      <c r="P1534" t="s">
        <v>376</v>
      </c>
      <c r="Q1534" t="s">
        <v>203</v>
      </c>
    </row>
    <row r="1535" spans="1:17" x14ac:dyDescent="0.3">
      <c r="A1535" s="25">
        <v>1360</v>
      </c>
      <c r="B1535" t="s">
        <v>71</v>
      </c>
      <c r="C1535" t="s">
        <v>44</v>
      </c>
      <c r="D1535" t="s">
        <v>483</v>
      </c>
      <c r="E1535" s="118" t="s">
        <v>789</v>
      </c>
      <c r="F1535" s="13">
        <v>45989</v>
      </c>
      <c r="G1535" s="24">
        <v>35892</v>
      </c>
      <c r="H1535" s="24">
        <v>33684.639999999999</v>
      </c>
      <c r="I1535" s="3">
        <v>46003</v>
      </c>
      <c r="J1535" s="102">
        <v>46041</v>
      </c>
      <c r="K1535" s="12">
        <v>46045</v>
      </c>
      <c r="L1535" s="19" t="s">
        <v>731</v>
      </c>
      <c r="M1535" s="35"/>
      <c r="N1535"/>
      <c r="O1535" t="s">
        <v>199</v>
      </c>
      <c r="P1535" t="s">
        <v>376</v>
      </c>
      <c r="Q1535" t="s">
        <v>203</v>
      </c>
    </row>
    <row r="1536" spans="1:17" x14ac:dyDescent="0.3">
      <c r="A1536" s="25">
        <v>1360</v>
      </c>
      <c r="B1536" t="s">
        <v>71</v>
      </c>
      <c r="C1536" t="s">
        <v>44</v>
      </c>
      <c r="D1536" t="s">
        <v>483</v>
      </c>
      <c r="E1536" s="118" t="s">
        <v>790</v>
      </c>
      <c r="F1536" s="13">
        <v>46019</v>
      </c>
      <c r="G1536" s="27">
        <v>25329.599999999999</v>
      </c>
      <c r="H1536" s="24">
        <v>23771.84</v>
      </c>
      <c r="I1536" s="3">
        <v>46037</v>
      </c>
      <c r="J1536" s="102">
        <v>46076</v>
      </c>
      <c r="K1536" s="12">
        <v>46080</v>
      </c>
      <c r="L1536" s="19" t="s">
        <v>731</v>
      </c>
      <c r="M1536" s="35"/>
      <c r="N1536"/>
      <c r="O1536" t="s">
        <v>199</v>
      </c>
      <c r="P1536" t="s">
        <v>376</v>
      </c>
      <c r="Q1536" t="s">
        <v>203</v>
      </c>
    </row>
    <row r="1537" spans="1:17" x14ac:dyDescent="0.3">
      <c r="A1537" s="25">
        <v>1360</v>
      </c>
      <c r="B1537" t="s">
        <v>71</v>
      </c>
      <c r="C1537" t="s">
        <v>44</v>
      </c>
      <c r="D1537" t="s">
        <v>483</v>
      </c>
      <c r="E1537" s="118" t="s">
        <v>791</v>
      </c>
      <c r="F1537" s="13">
        <v>46019</v>
      </c>
      <c r="G1537" s="27">
        <v>91010.4</v>
      </c>
      <c r="H1537" s="24">
        <v>85413.27</v>
      </c>
      <c r="I1537" s="3">
        <v>46037</v>
      </c>
      <c r="J1537" s="102">
        <v>46076</v>
      </c>
      <c r="K1537" s="12">
        <v>46080</v>
      </c>
      <c r="L1537" s="19" t="s">
        <v>731</v>
      </c>
      <c r="M1537" s="35"/>
      <c r="N1537"/>
      <c r="O1537" t="s">
        <v>199</v>
      </c>
      <c r="P1537" t="s">
        <v>376</v>
      </c>
      <c r="Q1537" t="s">
        <v>203</v>
      </c>
    </row>
    <row r="1538" spans="1:17" x14ac:dyDescent="0.3">
      <c r="A1538" s="25">
        <v>1360</v>
      </c>
      <c r="B1538" t="s">
        <v>71</v>
      </c>
      <c r="C1538" t="s">
        <v>44</v>
      </c>
      <c r="D1538" t="s">
        <v>483</v>
      </c>
      <c r="E1538" s="118" t="s">
        <v>792</v>
      </c>
      <c r="F1538" s="13">
        <v>46051</v>
      </c>
      <c r="G1538" s="27">
        <v>53273.599999999999</v>
      </c>
      <c r="H1538" s="24">
        <v>49997.27</v>
      </c>
      <c r="I1538" s="3">
        <v>46037</v>
      </c>
      <c r="J1538" s="102">
        <v>46076</v>
      </c>
      <c r="K1538" s="12">
        <v>46080</v>
      </c>
      <c r="L1538" s="19" t="s">
        <v>731</v>
      </c>
      <c r="M1538" s="35"/>
      <c r="N1538"/>
      <c r="O1538" t="s">
        <v>199</v>
      </c>
      <c r="P1538" t="s">
        <v>376</v>
      </c>
      <c r="Q1538" t="s">
        <v>203</v>
      </c>
    </row>
    <row r="1539" spans="1:17" x14ac:dyDescent="0.3">
      <c r="A1539" s="25">
        <v>1360</v>
      </c>
      <c r="B1539" t="s">
        <v>71</v>
      </c>
      <c r="C1539" t="s">
        <v>44</v>
      </c>
      <c r="D1539" t="s">
        <v>483</v>
      </c>
      <c r="E1539" s="118" t="s">
        <v>793</v>
      </c>
      <c r="F1539" s="13">
        <v>46051</v>
      </c>
      <c r="G1539" s="27">
        <v>96169.52</v>
      </c>
      <c r="H1539" s="24">
        <v>90255.09</v>
      </c>
      <c r="I1539" s="3">
        <v>46037</v>
      </c>
      <c r="J1539" s="102">
        <v>46076</v>
      </c>
      <c r="K1539" s="12">
        <v>46080</v>
      </c>
      <c r="L1539" s="19" t="s">
        <v>731</v>
      </c>
      <c r="M1539" s="35"/>
      <c r="N1539"/>
      <c r="O1539" t="s">
        <v>199</v>
      </c>
      <c r="P1539" t="s">
        <v>376</v>
      </c>
      <c r="Q1539" t="s">
        <v>203</v>
      </c>
    </row>
    <row r="1540" spans="1:17" x14ac:dyDescent="0.3">
      <c r="A1540" s="25">
        <v>1360</v>
      </c>
      <c r="B1540" t="s">
        <v>71</v>
      </c>
      <c r="C1540" t="s">
        <v>44</v>
      </c>
      <c r="D1540" t="s">
        <v>483</v>
      </c>
      <c r="E1540" s="118">
        <v>4751</v>
      </c>
      <c r="F1540" s="13">
        <v>46051</v>
      </c>
      <c r="G1540" s="27">
        <v>90000</v>
      </c>
      <c r="H1540" s="24">
        <v>84465</v>
      </c>
      <c r="I1540" s="3">
        <v>46042</v>
      </c>
      <c r="J1540" s="102">
        <v>46076</v>
      </c>
      <c r="K1540" s="12">
        <v>46080</v>
      </c>
      <c r="L1540" s="19" t="s">
        <v>731</v>
      </c>
      <c r="M1540" s="35"/>
      <c r="N1540"/>
      <c r="O1540" t="s">
        <v>199</v>
      </c>
      <c r="P1540" t="s">
        <v>376</v>
      </c>
      <c r="Q1540" t="s">
        <v>203</v>
      </c>
    </row>
    <row r="1541" spans="1:17" x14ac:dyDescent="0.3">
      <c r="A1541" s="25">
        <v>1360</v>
      </c>
      <c r="B1541" t="s">
        <v>71</v>
      </c>
      <c r="C1541" t="s">
        <v>44</v>
      </c>
      <c r="D1541" t="s">
        <v>483</v>
      </c>
      <c r="E1541" s="118">
        <v>4752</v>
      </c>
      <c r="F1541" s="13">
        <v>46051</v>
      </c>
      <c r="G1541" s="27">
        <v>17640</v>
      </c>
      <c r="H1541" s="24">
        <v>16555.14</v>
      </c>
      <c r="I1541" s="3">
        <v>46042</v>
      </c>
      <c r="J1541" s="102">
        <v>46076</v>
      </c>
      <c r="K1541" s="12">
        <v>46080</v>
      </c>
      <c r="L1541" s="19" t="s">
        <v>731</v>
      </c>
      <c r="M1541" s="35"/>
      <c r="N1541"/>
      <c r="O1541" t="s">
        <v>199</v>
      </c>
      <c r="P1541" t="s">
        <v>376</v>
      </c>
      <c r="Q1541" t="s">
        <v>203</v>
      </c>
    </row>
    <row r="1542" spans="1:17" x14ac:dyDescent="0.3">
      <c r="A1542" s="25">
        <v>1360</v>
      </c>
      <c r="B1542" t="s">
        <v>71</v>
      </c>
      <c r="C1542" t="s">
        <v>44</v>
      </c>
      <c r="D1542" t="s">
        <v>483</v>
      </c>
      <c r="E1542" s="118">
        <v>4756</v>
      </c>
      <c r="F1542" s="13">
        <v>46051</v>
      </c>
      <c r="G1542" s="27">
        <v>77728</v>
      </c>
      <c r="H1542" s="24">
        <v>72947.73</v>
      </c>
      <c r="I1542" s="3">
        <v>46043</v>
      </c>
      <c r="J1542" s="102">
        <v>46076</v>
      </c>
      <c r="K1542" s="12">
        <v>46080</v>
      </c>
      <c r="L1542" s="19" t="s">
        <v>731</v>
      </c>
      <c r="M1542" s="35"/>
      <c r="N1542"/>
      <c r="O1542" t="s">
        <v>199</v>
      </c>
      <c r="P1542" t="s">
        <v>376</v>
      </c>
      <c r="Q1542" t="s">
        <v>203</v>
      </c>
    </row>
    <row r="1543" spans="1:17" x14ac:dyDescent="0.3">
      <c r="A1543" s="25">
        <v>1360</v>
      </c>
      <c r="B1543" t="s">
        <v>71</v>
      </c>
      <c r="C1543" t="s">
        <v>44</v>
      </c>
      <c r="D1543" t="s">
        <v>483</v>
      </c>
      <c r="E1543" s="118" t="s">
        <v>794</v>
      </c>
      <c r="F1543" s="13">
        <v>46051</v>
      </c>
      <c r="G1543" s="27">
        <v>27535.200000000001</v>
      </c>
      <c r="H1543" s="24">
        <v>25841.78</v>
      </c>
      <c r="I1543" s="3">
        <v>46044</v>
      </c>
      <c r="J1543" s="102">
        <v>46076</v>
      </c>
      <c r="K1543" s="12">
        <v>46080</v>
      </c>
      <c r="L1543" s="19" t="s">
        <v>731</v>
      </c>
      <c r="M1543" s="35"/>
      <c r="N1543"/>
      <c r="O1543" t="s">
        <v>199</v>
      </c>
      <c r="P1543" t="s">
        <v>376</v>
      </c>
      <c r="Q1543" t="s">
        <v>203</v>
      </c>
    </row>
    <row r="1544" spans="1:17" x14ac:dyDescent="0.3">
      <c r="A1544" s="25">
        <v>1360</v>
      </c>
      <c r="B1544" t="s">
        <v>71</v>
      </c>
      <c r="C1544" t="s">
        <v>44</v>
      </c>
      <c r="D1544" t="s">
        <v>483</v>
      </c>
      <c r="E1544" s="118" t="s">
        <v>795</v>
      </c>
      <c r="F1544" s="13">
        <v>46051</v>
      </c>
      <c r="G1544" s="27">
        <v>59959.199999999997</v>
      </c>
      <c r="H1544" s="24">
        <v>56271.71</v>
      </c>
      <c r="I1544" s="3">
        <v>46044</v>
      </c>
      <c r="J1544" s="102">
        <v>46076</v>
      </c>
      <c r="K1544" s="12">
        <v>46080</v>
      </c>
      <c r="L1544" s="19" t="s">
        <v>731</v>
      </c>
      <c r="M1544" s="35"/>
      <c r="N1544"/>
      <c r="O1544" t="s">
        <v>199</v>
      </c>
      <c r="P1544" t="s">
        <v>376</v>
      </c>
      <c r="Q1544" t="s">
        <v>203</v>
      </c>
    </row>
    <row r="1545" spans="1:17" x14ac:dyDescent="0.3">
      <c r="A1545" s="25">
        <v>1360</v>
      </c>
      <c r="B1545" t="s">
        <v>71</v>
      </c>
      <c r="C1545" t="s">
        <v>44</v>
      </c>
      <c r="D1545" t="s">
        <v>483</v>
      </c>
      <c r="E1545" s="118" t="s">
        <v>796</v>
      </c>
      <c r="F1545" s="13">
        <v>46051</v>
      </c>
      <c r="G1545" s="27">
        <v>26224</v>
      </c>
      <c r="H1545" s="24">
        <v>24611.22</v>
      </c>
      <c r="I1545" s="3">
        <v>46044</v>
      </c>
      <c r="J1545" s="102">
        <v>46076</v>
      </c>
      <c r="K1545" s="12">
        <v>46080</v>
      </c>
      <c r="L1545" s="19" t="s">
        <v>731</v>
      </c>
      <c r="M1545" s="35"/>
      <c r="N1545"/>
      <c r="O1545" t="s">
        <v>199</v>
      </c>
      <c r="P1545" t="s">
        <v>376</v>
      </c>
      <c r="Q1545" t="s">
        <v>203</v>
      </c>
    </row>
    <row r="1546" spans="1:17" x14ac:dyDescent="0.3">
      <c r="A1546" s="25">
        <v>1360</v>
      </c>
      <c r="B1546" t="s">
        <v>71</v>
      </c>
      <c r="C1546" t="s">
        <v>44</v>
      </c>
      <c r="D1546" t="s">
        <v>483</v>
      </c>
      <c r="E1546" s="118" t="s">
        <v>797</v>
      </c>
      <c r="F1546" s="13">
        <v>46051</v>
      </c>
      <c r="G1546" s="27">
        <v>27535.200000000001</v>
      </c>
      <c r="H1546" s="24">
        <v>25841.78</v>
      </c>
      <c r="I1546" s="3">
        <v>46044</v>
      </c>
      <c r="J1546" s="102">
        <v>46076</v>
      </c>
      <c r="K1546" s="12">
        <v>46080</v>
      </c>
      <c r="L1546" s="19" t="s">
        <v>731</v>
      </c>
      <c r="M1546" s="35"/>
      <c r="N1546"/>
      <c r="O1546" t="s">
        <v>199</v>
      </c>
      <c r="P1546" t="s">
        <v>376</v>
      </c>
      <c r="Q1546" t="s">
        <v>203</v>
      </c>
    </row>
    <row r="1547" spans="1:17" x14ac:dyDescent="0.3">
      <c r="A1547" s="25">
        <v>1360</v>
      </c>
      <c r="B1547" t="s">
        <v>71</v>
      </c>
      <c r="C1547" t="s">
        <v>44</v>
      </c>
      <c r="D1547" t="s">
        <v>483</v>
      </c>
      <c r="E1547" s="118" t="s">
        <v>798</v>
      </c>
      <c r="F1547" s="13">
        <v>46051</v>
      </c>
      <c r="G1547" s="27">
        <v>38523.599999999999</v>
      </c>
      <c r="H1547" s="24">
        <v>36154.400000000001</v>
      </c>
      <c r="I1547" s="3">
        <v>46044</v>
      </c>
      <c r="J1547" s="102">
        <v>46076</v>
      </c>
      <c r="K1547" s="12">
        <v>46080</v>
      </c>
      <c r="L1547" s="19" t="s">
        <v>731</v>
      </c>
      <c r="M1547" s="35"/>
      <c r="N1547"/>
      <c r="O1547" t="s">
        <v>199</v>
      </c>
      <c r="P1547" t="s">
        <v>376</v>
      </c>
      <c r="Q1547" t="s">
        <v>203</v>
      </c>
    </row>
    <row r="1548" spans="1:17" x14ac:dyDescent="0.3">
      <c r="A1548" s="25">
        <v>1360</v>
      </c>
      <c r="B1548" t="s">
        <v>71</v>
      </c>
      <c r="C1548" t="s">
        <v>44</v>
      </c>
      <c r="D1548" t="s">
        <v>483</v>
      </c>
      <c r="E1548" s="118" t="s">
        <v>799</v>
      </c>
      <c r="F1548" s="13">
        <v>46051</v>
      </c>
      <c r="G1548" s="27">
        <v>15734.4</v>
      </c>
      <c r="H1548" s="24">
        <v>14766.74</v>
      </c>
      <c r="I1548" s="3">
        <v>46044</v>
      </c>
      <c r="J1548" s="102">
        <v>46076</v>
      </c>
      <c r="K1548" s="12">
        <v>46080</v>
      </c>
      <c r="L1548" s="19" t="s">
        <v>731</v>
      </c>
      <c r="M1548" s="35"/>
      <c r="N1548"/>
      <c r="O1548" t="s">
        <v>199</v>
      </c>
      <c r="P1548" t="s">
        <v>376</v>
      </c>
      <c r="Q1548" t="s">
        <v>203</v>
      </c>
    </row>
    <row r="1549" spans="1:17" x14ac:dyDescent="0.3">
      <c r="A1549" s="25">
        <v>1360</v>
      </c>
      <c r="B1549" t="s">
        <v>71</v>
      </c>
      <c r="C1549" t="s">
        <v>44</v>
      </c>
      <c r="D1549" t="s">
        <v>483</v>
      </c>
      <c r="E1549" s="118" t="s">
        <v>800</v>
      </c>
      <c r="F1549" s="13">
        <v>46051</v>
      </c>
      <c r="G1549" s="27">
        <v>32342.400000000001</v>
      </c>
      <c r="H1549" s="24">
        <v>30353.34</v>
      </c>
      <c r="I1549" s="3">
        <v>46045</v>
      </c>
      <c r="J1549" s="102">
        <v>46076</v>
      </c>
      <c r="K1549" s="12">
        <v>46080</v>
      </c>
      <c r="L1549" s="19" t="s">
        <v>731</v>
      </c>
      <c r="M1549" s="35"/>
      <c r="N1549"/>
      <c r="O1549" t="s">
        <v>199</v>
      </c>
      <c r="P1549" t="s">
        <v>376</v>
      </c>
      <c r="Q1549" t="s">
        <v>203</v>
      </c>
    </row>
    <row r="1550" spans="1:17" x14ac:dyDescent="0.3">
      <c r="A1550" s="25">
        <v>1360</v>
      </c>
      <c r="B1550" t="s">
        <v>71</v>
      </c>
      <c r="C1550" t="s">
        <v>44</v>
      </c>
      <c r="D1550" t="s">
        <v>483</v>
      </c>
      <c r="E1550" s="118" t="s">
        <v>801</v>
      </c>
      <c r="F1550" s="13">
        <v>46051</v>
      </c>
      <c r="G1550" s="27">
        <v>30880</v>
      </c>
      <c r="H1550" s="24">
        <v>28980.880000000001</v>
      </c>
      <c r="I1550" s="3">
        <v>46045</v>
      </c>
      <c r="J1550" s="102">
        <v>46076</v>
      </c>
      <c r="K1550" s="12">
        <v>46080</v>
      </c>
      <c r="L1550" s="19" t="s">
        <v>731</v>
      </c>
      <c r="M1550" s="35"/>
      <c r="N1550"/>
      <c r="O1550" t="s">
        <v>199</v>
      </c>
      <c r="P1550" t="s">
        <v>376</v>
      </c>
      <c r="Q1550" t="s">
        <v>203</v>
      </c>
    </row>
    <row r="1551" spans="1:17" x14ac:dyDescent="0.3">
      <c r="A1551" s="25">
        <v>1360</v>
      </c>
      <c r="B1551" t="s">
        <v>71</v>
      </c>
      <c r="C1551" t="s">
        <v>44</v>
      </c>
      <c r="D1551" t="s">
        <v>483</v>
      </c>
      <c r="E1551" s="118" t="s">
        <v>802</v>
      </c>
      <c r="F1551" s="13">
        <v>46051</v>
      </c>
      <c r="G1551" s="27">
        <v>30880</v>
      </c>
      <c r="H1551" s="24">
        <v>28980.880000000001</v>
      </c>
      <c r="I1551" s="3">
        <v>46045</v>
      </c>
      <c r="J1551" s="102">
        <v>46076</v>
      </c>
      <c r="K1551" s="12">
        <v>46080</v>
      </c>
      <c r="L1551" s="19" t="s">
        <v>731</v>
      </c>
      <c r="M1551" s="35"/>
      <c r="N1551"/>
      <c r="O1551" t="s">
        <v>199</v>
      </c>
      <c r="P1551" t="s">
        <v>376</v>
      </c>
      <c r="Q1551" t="s">
        <v>203</v>
      </c>
    </row>
    <row r="1552" spans="1:17" x14ac:dyDescent="0.3">
      <c r="A1552" s="25">
        <v>1360</v>
      </c>
      <c r="B1552" t="s">
        <v>71</v>
      </c>
      <c r="C1552" t="s">
        <v>44</v>
      </c>
      <c r="D1552" t="s">
        <v>483</v>
      </c>
      <c r="E1552" s="118" t="s">
        <v>803</v>
      </c>
      <c r="F1552" s="13">
        <v>46051</v>
      </c>
      <c r="G1552" s="27">
        <v>18080.16</v>
      </c>
      <c r="H1552" s="24">
        <v>16968.240000000002</v>
      </c>
      <c r="I1552" s="3">
        <v>46045</v>
      </c>
      <c r="J1552" s="102">
        <v>46076</v>
      </c>
      <c r="K1552" s="12">
        <v>46080</v>
      </c>
      <c r="L1552" s="19" t="s">
        <v>731</v>
      </c>
      <c r="M1552" s="35"/>
      <c r="N1552"/>
      <c r="O1552" t="s">
        <v>199</v>
      </c>
      <c r="P1552" t="s">
        <v>376</v>
      </c>
      <c r="Q1552" t="s">
        <v>203</v>
      </c>
    </row>
    <row r="1553" spans="1:17" x14ac:dyDescent="0.3">
      <c r="A1553" s="25">
        <v>1360</v>
      </c>
      <c r="B1553" t="s">
        <v>71</v>
      </c>
      <c r="C1553" t="s">
        <v>44</v>
      </c>
      <c r="D1553" t="s">
        <v>483</v>
      </c>
      <c r="E1553" s="118" t="s">
        <v>804</v>
      </c>
      <c r="F1553" s="13">
        <v>46051</v>
      </c>
      <c r="G1553" s="27">
        <v>7748.64</v>
      </c>
      <c r="H1553" s="24">
        <v>7272.09</v>
      </c>
      <c r="I1553" s="3">
        <v>46045</v>
      </c>
      <c r="J1553" s="102">
        <v>46076</v>
      </c>
      <c r="K1553" s="12">
        <v>46080</v>
      </c>
      <c r="L1553" s="19" t="s">
        <v>731</v>
      </c>
      <c r="M1553" s="35"/>
      <c r="N1553"/>
      <c r="O1553" t="s">
        <v>199</v>
      </c>
      <c r="P1553" t="s">
        <v>376</v>
      </c>
      <c r="Q1553" t="s">
        <v>203</v>
      </c>
    </row>
    <row r="1554" spans="1:17" x14ac:dyDescent="0.3">
      <c r="A1554" s="25">
        <v>1360</v>
      </c>
      <c r="B1554" t="s">
        <v>71</v>
      </c>
      <c r="C1554" t="s">
        <v>44</v>
      </c>
      <c r="D1554" t="s">
        <v>483</v>
      </c>
      <c r="E1554" s="118" t="s">
        <v>805</v>
      </c>
      <c r="F1554" s="13">
        <v>46051</v>
      </c>
      <c r="G1554" s="27">
        <v>97708</v>
      </c>
      <c r="H1554" s="24">
        <v>91698.96</v>
      </c>
      <c r="I1554" s="3">
        <v>46045</v>
      </c>
      <c r="J1554" s="102">
        <v>46076</v>
      </c>
      <c r="K1554" s="12">
        <v>46080</v>
      </c>
      <c r="L1554" s="19" t="s">
        <v>731</v>
      </c>
      <c r="M1554" s="35"/>
      <c r="N1554"/>
      <c r="O1554" t="s">
        <v>199</v>
      </c>
      <c r="P1554" t="s">
        <v>376</v>
      </c>
      <c r="Q1554" t="s">
        <v>203</v>
      </c>
    </row>
    <row r="1555" spans="1:17" x14ac:dyDescent="0.3">
      <c r="A1555" s="25">
        <v>1360</v>
      </c>
      <c r="B1555" t="s">
        <v>71</v>
      </c>
      <c r="C1555" t="s">
        <v>44</v>
      </c>
      <c r="D1555" t="s">
        <v>483</v>
      </c>
      <c r="E1555" s="118">
        <v>4779</v>
      </c>
      <c r="F1555" s="13">
        <v>46051</v>
      </c>
      <c r="G1555" s="27">
        <v>42312.800000000003</v>
      </c>
      <c r="H1555" s="24">
        <v>39710.57</v>
      </c>
      <c r="I1555" s="3">
        <v>46048</v>
      </c>
      <c r="J1555" s="102">
        <v>46076</v>
      </c>
      <c r="K1555" s="12">
        <v>46080</v>
      </c>
      <c r="L1555" s="19" t="s">
        <v>731</v>
      </c>
      <c r="M1555" s="35"/>
      <c r="N1555"/>
      <c r="O1555" t="s">
        <v>199</v>
      </c>
      <c r="P1555" t="s">
        <v>376</v>
      </c>
      <c r="Q1555" t="s">
        <v>203</v>
      </c>
    </row>
    <row r="1556" spans="1:17" x14ac:dyDescent="0.3">
      <c r="A1556" s="25">
        <v>1360</v>
      </c>
      <c r="B1556" t="s">
        <v>71</v>
      </c>
      <c r="C1556" t="s">
        <v>44</v>
      </c>
      <c r="D1556" t="s">
        <v>483</v>
      </c>
      <c r="E1556" s="118">
        <v>4780</v>
      </c>
      <c r="F1556" s="13">
        <v>46051</v>
      </c>
      <c r="G1556" s="27">
        <v>175433.60000000001</v>
      </c>
      <c r="H1556" s="24">
        <v>164644.43</v>
      </c>
      <c r="I1556" s="3">
        <v>46048</v>
      </c>
      <c r="J1556" s="102">
        <v>46076</v>
      </c>
      <c r="K1556" s="12">
        <v>46080</v>
      </c>
      <c r="L1556" s="19" t="s">
        <v>731</v>
      </c>
      <c r="M1556" s="35"/>
      <c r="N1556"/>
      <c r="O1556" t="s">
        <v>199</v>
      </c>
      <c r="P1556" t="s">
        <v>376</v>
      </c>
      <c r="Q1556" t="s">
        <v>203</v>
      </c>
    </row>
    <row r="1557" spans="1:17" x14ac:dyDescent="0.3">
      <c r="A1557" s="25">
        <v>1360</v>
      </c>
      <c r="B1557" t="s">
        <v>71</v>
      </c>
      <c r="C1557" t="s">
        <v>44</v>
      </c>
      <c r="D1557" t="s">
        <v>483</v>
      </c>
      <c r="E1557" s="118">
        <v>4781</v>
      </c>
      <c r="F1557" s="13">
        <v>46051</v>
      </c>
      <c r="G1557" s="27">
        <v>33416</v>
      </c>
      <c r="H1557" s="24">
        <v>31360.92</v>
      </c>
      <c r="I1557" s="3">
        <v>46049</v>
      </c>
      <c r="J1557" s="102">
        <v>46076</v>
      </c>
      <c r="K1557" s="12">
        <v>46080</v>
      </c>
      <c r="L1557" s="19" t="s">
        <v>731</v>
      </c>
      <c r="M1557" s="35"/>
      <c r="N1557"/>
      <c r="O1557" t="s">
        <v>199</v>
      </c>
      <c r="P1557" t="s">
        <v>376</v>
      </c>
      <c r="Q1557" t="s">
        <v>203</v>
      </c>
    </row>
    <row r="1558" spans="1:17" x14ac:dyDescent="0.3">
      <c r="A1558" s="25">
        <v>1360</v>
      </c>
      <c r="B1558" t="s">
        <v>71</v>
      </c>
      <c r="C1558" t="s">
        <v>44</v>
      </c>
      <c r="D1558" t="s">
        <v>483</v>
      </c>
      <c r="E1558" s="118">
        <v>4782</v>
      </c>
      <c r="F1558" s="13">
        <v>46051</v>
      </c>
      <c r="G1558" s="27">
        <v>37369.599999999999</v>
      </c>
      <c r="H1558" s="24">
        <v>35071.370000000003</v>
      </c>
      <c r="I1558" s="3">
        <v>46049</v>
      </c>
      <c r="J1558" s="102">
        <v>46076</v>
      </c>
      <c r="K1558" s="12">
        <v>46080</v>
      </c>
      <c r="L1558" s="19" t="s">
        <v>731</v>
      </c>
      <c r="M1558" s="35"/>
      <c r="N1558"/>
      <c r="O1558" t="s">
        <v>199</v>
      </c>
      <c r="P1558" t="s">
        <v>376</v>
      </c>
      <c r="Q1558" t="s">
        <v>203</v>
      </c>
    </row>
    <row r="1559" spans="1:17" x14ac:dyDescent="0.3">
      <c r="A1559" s="25">
        <v>1360</v>
      </c>
      <c r="B1559" t="s">
        <v>71</v>
      </c>
      <c r="C1559" t="s">
        <v>44</v>
      </c>
      <c r="D1559" t="s">
        <v>483</v>
      </c>
      <c r="E1559" s="118">
        <v>4783</v>
      </c>
      <c r="F1559" s="13">
        <v>46051</v>
      </c>
      <c r="G1559" s="27">
        <v>49108.800000000003</v>
      </c>
      <c r="H1559" s="24">
        <v>46088.61</v>
      </c>
      <c r="I1559" s="3">
        <v>46049</v>
      </c>
      <c r="J1559" s="102">
        <v>46076</v>
      </c>
      <c r="K1559" s="12">
        <v>46080</v>
      </c>
      <c r="L1559" s="19" t="s">
        <v>731</v>
      </c>
      <c r="M1559" s="35"/>
      <c r="N1559"/>
      <c r="O1559" t="s">
        <v>199</v>
      </c>
      <c r="P1559" t="s">
        <v>376</v>
      </c>
      <c r="Q1559" t="s">
        <v>203</v>
      </c>
    </row>
    <row r="1560" spans="1:17" x14ac:dyDescent="0.3">
      <c r="A1560" s="25">
        <v>1360</v>
      </c>
      <c r="B1560" t="s">
        <v>71</v>
      </c>
      <c r="C1560" t="s">
        <v>44</v>
      </c>
      <c r="D1560" t="s">
        <v>483</v>
      </c>
      <c r="E1560" s="118">
        <v>4843</v>
      </c>
      <c r="F1560" s="13">
        <v>46051</v>
      </c>
      <c r="G1560" s="27">
        <v>114957.44</v>
      </c>
      <c r="H1560" s="27">
        <v>107887.57</v>
      </c>
      <c r="I1560" s="3">
        <v>46064</v>
      </c>
      <c r="J1560" s="102">
        <v>46111</v>
      </c>
      <c r="K1560" s="12">
        <v>46112</v>
      </c>
      <c r="L1560" s="19" t="s">
        <v>731</v>
      </c>
      <c r="M1560" s="35"/>
      <c r="N1560"/>
      <c r="O1560" t="s">
        <v>199</v>
      </c>
      <c r="P1560" t="s">
        <v>376</v>
      </c>
      <c r="Q1560" t="s">
        <v>203</v>
      </c>
    </row>
    <row r="1561" spans="1:17" x14ac:dyDescent="0.3">
      <c r="A1561" s="25">
        <v>1360</v>
      </c>
      <c r="B1561" t="s">
        <v>71</v>
      </c>
      <c r="C1561" t="s">
        <v>44</v>
      </c>
      <c r="D1561" t="s">
        <v>483</v>
      </c>
      <c r="E1561" s="118">
        <v>4869</v>
      </c>
      <c r="F1561" s="13">
        <v>46081</v>
      </c>
      <c r="G1561" s="27">
        <v>52098.400000000001</v>
      </c>
      <c r="H1561" s="27">
        <v>48894.35</v>
      </c>
      <c r="I1561" s="3">
        <v>46072</v>
      </c>
      <c r="J1561" s="102">
        <v>46111</v>
      </c>
      <c r="K1561" s="12">
        <v>46112</v>
      </c>
      <c r="L1561" s="19" t="s">
        <v>731</v>
      </c>
      <c r="M1561" s="35"/>
      <c r="N1561"/>
      <c r="O1561" t="s">
        <v>199</v>
      </c>
      <c r="P1561" t="s">
        <v>376</v>
      </c>
      <c r="Q1561" t="s">
        <v>203</v>
      </c>
    </row>
    <row r="1562" spans="1:17" x14ac:dyDescent="0.3">
      <c r="A1562" s="25">
        <v>1360</v>
      </c>
      <c r="B1562" t="s">
        <v>71</v>
      </c>
      <c r="C1562" t="s">
        <v>44</v>
      </c>
      <c r="D1562" t="s">
        <v>483</v>
      </c>
      <c r="E1562" s="118">
        <v>4870</v>
      </c>
      <c r="F1562" s="13">
        <v>46081</v>
      </c>
      <c r="G1562" s="27">
        <v>88090.08</v>
      </c>
      <c r="H1562" s="27">
        <v>82672.539999999994</v>
      </c>
      <c r="I1562" s="3">
        <v>46072</v>
      </c>
      <c r="J1562" s="102">
        <v>46111</v>
      </c>
      <c r="K1562" s="12">
        <v>46112</v>
      </c>
      <c r="L1562" s="19" t="s">
        <v>731</v>
      </c>
      <c r="M1562" s="35"/>
      <c r="N1562"/>
      <c r="O1562" t="s">
        <v>199</v>
      </c>
      <c r="P1562" t="s">
        <v>376</v>
      </c>
      <c r="Q1562" t="s">
        <v>203</v>
      </c>
    </row>
    <row r="1563" spans="1:17" x14ac:dyDescent="0.3">
      <c r="A1563" s="25">
        <v>1360</v>
      </c>
      <c r="B1563" t="s">
        <v>71</v>
      </c>
      <c r="C1563" t="s">
        <v>44</v>
      </c>
      <c r="D1563" t="s">
        <v>483</v>
      </c>
      <c r="E1563" s="118" t="s">
        <v>806</v>
      </c>
      <c r="F1563" s="13">
        <v>46081</v>
      </c>
      <c r="G1563" s="27">
        <v>40998.720000000001</v>
      </c>
      <c r="H1563" s="27">
        <v>38477.300000000003</v>
      </c>
      <c r="I1563" s="3">
        <v>46076</v>
      </c>
      <c r="J1563" s="102">
        <v>46111</v>
      </c>
      <c r="K1563" s="12">
        <v>46112</v>
      </c>
      <c r="L1563" s="19" t="s">
        <v>731</v>
      </c>
      <c r="M1563" s="35"/>
      <c r="N1563"/>
      <c r="O1563" t="s">
        <v>199</v>
      </c>
      <c r="P1563" t="s">
        <v>376</v>
      </c>
      <c r="Q1563" t="s">
        <v>203</v>
      </c>
    </row>
    <row r="1564" spans="1:17" x14ac:dyDescent="0.3">
      <c r="A1564" s="25">
        <v>1360</v>
      </c>
      <c r="B1564" t="s">
        <v>71</v>
      </c>
      <c r="C1564" t="s">
        <v>44</v>
      </c>
      <c r="D1564" t="s">
        <v>483</v>
      </c>
      <c r="E1564" s="118" t="s">
        <v>807</v>
      </c>
      <c r="F1564" s="13">
        <v>46051</v>
      </c>
      <c r="G1564" s="27">
        <v>32780</v>
      </c>
      <c r="H1564" s="27">
        <v>30764.03</v>
      </c>
      <c r="I1564" s="3">
        <v>46076</v>
      </c>
      <c r="J1564" s="102">
        <v>46111</v>
      </c>
      <c r="K1564" s="12">
        <v>46112</v>
      </c>
      <c r="L1564" s="19" t="s">
        <v>731</v>
      </c>
      <c r="M1564" s="35"/>
      <c r="N1564"/>
      <c r="O1564" t="s">
        <v>199</v>
      </c>
      <c r="P1564" t="s">
        <v>376</v>
      </c>
      <c r="Q1564" t="s">
        <v>203</v>
      </c>
    </row>
    <row r="1565" spans="1:17" x14ac:dyDescent="0.3">
      <c r="A1565" s="25">
        <v>1360</v>
      </c>
      <c r="B1565" t="s">
        <v>71</v>
      </c>
      <c r="C1565" t="s">
        <v>44</v>
      </c>
      <c r="D1565" t="s">
        <v>483</v>
      </c>
      <c r="E1565" s="118" t="s">
        <v>808</v>
      </c>
      <c r="F1565" s="13">
        <v>46081</v>
      </c>
      <c r="G1565" s="27">
        <v>73841.600000000006</v>
      </c>
      <c r="H1565" s="27">
        <v>69300.34</v>
      </c>
      <c r="I1565" s="3">
        <v>46076</v>
      </c>
      <c r="J1565" s="102">
        <v>46111</v>
      </c>
      <c r="K1565" s="12">
        <v>46112</v>
      </c>
      <c r="L1565" s="19" t="s">
        <v>731</v>
      </c>
      <c r="M1565" s="35"/>
      <c r="N1565"/>
      <c r="O1565" t="s">
        <v>199</v>
      </c>
      <c r="P1565" t="s">
        <v>376</v>
      </c>
      <c r="Q1565" t="s">
        <v>203</v>
      </c>
    </row>
    <row r="1566" spans="1:17" x14ac:dyDescent="0.3">
      <c r="A1566" s="25">
        <v>1360</v>
      </c>
      <c r="B1566" t="s">
        <v>71</v>
      </c>
      <c r="C1566" t="s">
        <v>44</v>
      </c>
      <c r="D1566" t="s">
        <v>483</v>
      </c>
      <c r="E1566" s="118" t="s">
        <v>809</v>
      </c>
      <c r="F1566" s="13">
        <v>46081</v>
      </c>
      <c r="G1566" s="27">
        <v>54248.800000000003</v>
      </c>
      <c r="H1566" s="27">
        <v>50912.5</v>
      </c>
      <c r="I1566" s="3">
        <v>46076</v>
      </c>
      <c r="J1566" s="102">
        <v>46111</v>
      </c>
      <c r="K1566" s="12">
        <v>46112</v>
      </c>
      <c r="L1566" s="19" t="s">
        <v>731</v>
      </c>
      <c r="M1566" s="35"/>
      <c r="N1566"/>
      <c r="O1566" t="s">
        <v>199</v>
      </c>
      <c r="P1566" t="s">
        <v>376</v>
      </c>
      <c r="Q1566" t="s">
        <v>203</v>
      </c>
    </row>
    <row r="1567" spans="1:17" ht="13.95" customHeight="1" x14ac:dyDescent="0.3">
      <c r="A1567" s="25">
        <v>1360</v>
      </c>
      <c r="B1567" t="s">
        <v>71</v>
      </c>
      <c r="C1567" t="s">
        <v>44</v>
      </c>
      <c r="D1567" t="s">
        <v>483</v>
      </c>
      <c r="E1567" s="118" t="s">
        <v>810</v>
      </c>
      <c r="F1567" s="13">
        <v>46081</v>
      </c>
      <c r="G1567" s="27">
        <v>24912.799999999999</v>
      </c>
      <c r="H1567" s="27">
        <v>23380.67</v>
      </c>
      <c r="I1567" s="3">
        <v>46076</v>
      </c>
      <c r="J1567" s="102">
        <v>46111</v>
      </c>
      <c r="K1567" s="12">
        <v>46112</v>
      </c>
      <c r="L1567" s="19" t="s">
        <v>731</v>
      </c>
      <c r="M1567" s="35"/>
      <c r="N1567"/>
      <c r="O1567" t="s">
        <v>199</v>
      </c>
      <c r="P1567" t="s">
        <v>376</v>
      </c>
      <c r="Q1567" t="s">
        <v>203</v>
      </c>
    </row>
    <row r="1568" spans="1:17" x14ac:dyDescent="0.3">
      <c r="A1568" s="25">
        <v>1360</v>
      </c>
      <c r="B1568" t="s">
        <v>71</v>
      </c>
      <c r="C1568" t="s">
        <v>44</v>
      </c>
      <c r="D1568" t="s">
        <v>483</v>
      </c>
      <c r="E1568" s="118" t="s">
        <v>811</v>
      </c>
      <c r="F1568" s="13">
        <v>46081</v>
      </c>
      <c r="G1568" s="27">
        <v>33577.440000000002</v>
      </c>
      <c r="H1568" s="27">
        <v>31512.44</v>
      </c>
      <c r="I1568" s="3">
        <v>46076</v>
      </c>
      <c r="J1568" s="102">
        <v>46111</v>
      </c>
      <c r="K1568" s="12">
        <v>46112</v>
      </c>
      <c r="L1568" s="19" t="s">
        <v>731</v>
      </c>
      <c r="M1568" s="35"/>
      <c r="N1568"/>
      <c r="O1568" t="s">
        <v>199</v>
      </c>
      <c r="P1568" t="s">
        <v>376</v>
      </c>
      <c r="Q1568" t="s">
        <v>203</v>
      </c>
    </row>
    <row r="1569" spans="1:17" x14ac:dyDescent="0.3">
      <c r="A1569" s="25">
        <v>1360</v>
      </c>
      <c r="B1569" t="s">
        <v>71</v>
      </c>
      <c r="C1569" t="s">
        <v>44</v>
      </c>
      <c r="D1569" t="s">
        <v>483</v>
      </c>
      <c r="E1569" s="118" t="s">
        <v>812</v>
      </c>
      <c r="F1569" s="13">
        <v>46081</v>
      </c>
      <c r="G1569" s="27">
        <v>24912.799999999999</v>
      </c>
      <c r="H1569" s="27">
        <v>23380.67</v>
      </c>
      <c r="I1569" s="3">
        <v>46076</v>
      </c>
      <c r="J1569" s="102">
        <v>46111</v>
      </c>
      <c r="K1569" s="12">
        <v>46112</v>
      </c>
      <c r="L1569" s="19" t="s">
        <v>731</v>
      </c>
      <c r="M1569" s="35"/>
      <c r="N1569"/>
      <c r="O1569" t="s">
        <v>199</v>
      </c>
      <c r="P1569" t="s">
        <v>376</v>
      </c>
      <c r="Q1569" t="s">
        <v>203</v>
      </c>
    </row>
    <row r="1570" spans="1:17" x14ac:dyDescent="0.3">
      <c r="A1570" s="25">
        <v>1360</v>
      </c>
      <c r="B1570" t="s">
        <v>71</v>
      </c>
      <c r="C1570" t="s">
        <v>44</v>
      </c>
      <c r="D1570" t="s">
        <v>483</v>
      </c>
      <c r="E1570" s="118">
        <v>4881</v>
      </c>
      <c r="F1570" s="13">
        <v>46081</v>
      </c>
      <c r="G1570" s="27">
        <v>34977.599999999999</v>
      </c>
      <c r="H1570" s="27">
        <v>32826.480000000003</v>
      </c>
      <c r="I1570" s="3">
        <v>46077</v>
      </c>
      <c r="J1570" s="102">
        <v>46111</v>
      </c>
      <c r="K1570" s="12">
        <v>46112</v>
      </c>
      <c r="L1570" s="19" t="s">
        <v>731</v>
      </c>
      <c r="M1570" s="35"/>
      <c r="N1570"/>
      <c r="O1570" t="s">
        <v>199</v>
      </c>
      <c r="P1570" t="s">
        <v>376</v>
      </c>
      <c r="Q1570" t="s">
        <v>203</v>
      </c>
    </row>
    <row r="1571" spans="1:17" x14ac:dyDescent="0.3">
      <c r="A1571" s="25">
        <v>1360</v>
      </c>
      <c r="B1571" t="s">
        <v>71</v>
      </c>
      <c r="C1571" t="s">
        <v>44</v>
      </c>
      <c r="D1571" t="s">
        <v>483</v>
      </c>
      <c r="E1571" s="118">
        <v>4882</v>
      </c>
      <c r="F1571" s="13">
        <v>46081</v>
      </c>
      <c r="G1571" s="27">
        <v>16416</v>
      </c>
      <c r="H1571" s="27">
        <v>15406.42</v>
      </c>
      <c r="I1571" s="3">
        <v>46077</v>
      </c>
      <c r="J1571" s="102">
        <v>46111</v>
      </c>
      <c r="K1571" s="12">
        <v>46112</v>
      </c>
      <c r="L1571" s="19" t="s">
        <v>731</v>
      </c>
      <c r="M1571" s="35"/>
      <c r="N1571"/>
      <c r="O1571" t="s">
        <v>199</v>
      </c>
      <c r="P1571" t="s">
        <v>376</v>
      </c>
      <c r="Q1571" t="s">
        <v>203</v>
      </c>
    </row>
    <row r="1572" spans="1:17" x14ac:dyDescent="0.3">
      <c r="A1572" s="25">
        <v>1360</v>
      </c>
      <c r="B1572" t="s">
        <v>71</v>
      </c>
      <c r="C1572" t="s">
        <v>44</v>
      </c>
      <c r="D1572" t="s">
        <v>483</v>
      </c>
      <c r="E1572" s="118">
        <v>4884</v>
      </c>
      <c r="F1572" s="13">
        <v>46081</v>
      </c>
      <c r="G1572" s="27">
        <v>47217.599999999999</v>
      </c>
      <c r="H1572" s="27">
        <v>44313.72</v>
      </c>
      <c r="I1572" s="3">
        <v>46077</v>
      </c>
      <c r="J1572" s="102">
        <v>46111</v>
      </c>
      <c r="K1572" s="12">
        <v>46112</v>
      </c>
      <c r="L1572" s="19" t="s">
        <v>731</v>
      </c>
      <c r="M1572" s="35"/>
      <c r="N1572"/>
      <c r="O1572" t="s">
        <v>199</v>
      </c>
      <c r="P1572" t="s">
        <v>376</v>
      </c>
      <c r="Q1572" t="s">
        <v>203</v>
      </c>
    </row>
    <row r="1573" spans="1:17" x14ac:dyDescent="0.3">
      <c r="A1573" s="25">
        <v>1360</v>
      </c>
      <c r="B1573" t="s">
        <v>71</v>
      </c>
      <c r="C1573" t="s">
        <v>44</v>
      </c>
      <c r="D1573" t="s">
        <v>483</v>
      </c>
      <c r="E1573" s="118" t="s">
        <v>813</v>
      </c>
      <c r="F1573" s="13">
        <v>46081</v>
      </c>
      <c r="G1573" s="27">
        <v>83413.039999999994</v>
      </c>
      <c r="H1573" s="27">
        <v>78283.14</v>
      </c>
      <c r="I1573" s="3">
        <v>46078</v>
      </c>
      <c r="J1573" s="102">
        <v>46111</v>
      </c>
      <c r="K1573" s="12">
        <v>46112</v>
      </c>
      <c r="L1573" s="19" t="s">
        <v>731</v>
      </c>
      <c r="M1573" s="35"/>
      <c r="N1573"/>
      <c r="O1573" t="s">
        <v>199</v>
      </c>
      <c r="P1573" t="s">
        <v>376</v>
      </c>
      <c r="Q1573" t="s">
        <v>203</v>
      </c>
    </row>
    <row r="1574" spans="1:17" x14ac:dyDescent="0.3">
      <c r="A1574" s="25">
        <v>1360</v>
      </c>
      <c r="B1574" t="s">
        <v>71</v>
      </c>
      <c r="C1574" t="s">
        <v>44</v>
      </c>
      <c r="D1574" t="s">
        <v>483</v>
      </c>
      <c r="E1574" s="118" t="s">
        <v>814</v>
      </c>
      <c r="F1574" s="13">
        <v>46081</v>
      </c>
      <c r="G1574" s="27">
        <v>29108.16</v>
      </c>
      <c r="H1574" s="27">
        <v>27318.02</v>
      </c>
      <c r="I1574" s="3">
        <v>46078</v>
      </c>
      <c r="J1574" s="102">
        <v>46111</v>
      </c>
      <c r="K1574" s="12">
        <v>46112</v>
      </c>
      <c r="L1574" s="19" t="s">
        <v>731</v>
      </c>
      <c r="M1574" s="35"/>
      <c r="N1574"/>
      <c r="O1574" t="s">
        <v>199</v>
      </c>
      <c r="P1574" t="s">
        <v>376</v>
      </c>
      <c r="Q1574" t="s">
        <v>203</v>
      </c>
    </row>
    <row r="1575" spans="1:17" x14ac:dyDescent="0.3">
      <c r="A1575" s="25">
        <v>1360</v>
      </c>
      <c r="B1575" t="s">
        <v>71</v>
      </c>
      <c r="C1575" t="s">
        <v>44</v>
      </c>
      <c r="D1575" t="s">
        <v>483</v>
      </c>
      <c r="E1575" s="118" t="s">
        <v>815</v>
      </c>
      <c r="F1575" s="13">
        <v>46081</v>
      </c>
      <c r="G1575" s="27">
        <v>59133.599999999999</v>
      </c>
      <c r="H1575" s="27">
        <v>55496.88</v>
      </c>
      <c r="I1575" s="3">
        <v>46078</v>
      </c>
      <c r="J1575" s="102">
        <v>46111</v>
      </c>
      <c r="K1575" s="12">
        <v>46112</v>
      </c>
      <c r="L1575" s="19" t="s">
        <v>731</v>
      </c>
      <c r="M1575" s="35"/>
      <c r="N1575"/>
      <c r="O1575" t="s">
        <v>199</v>
      </c>
      <c r="P1575" t="s">
        <v>376</v>
      </c>
      <c r="Q1575" t="s">
        <v>203</v>
      </c>
    </row>
    <row r="1576" spans="1:17" x14ac:dyDescent="0.3">
      <c r="A1576" s="25">
        <v>1360</v>
      </c>
      <c r="B1576" t="s">
        <v>71</v>
      </c>
      <c r="C1576" t="s">
        <v>44</v>
      </c>
      <c r="D1576" t="s">
        <v>483</v>
      </c>
      <c r="E1576" s="118" t="s">
        <v>816</v>
      </c>
      <c r="F1576" s="13">
        <v>46081</v>
      </c>
      <c r="G1576" s="27">
        <v>15960</v>
      </c>
      <c r="H1576" s="27">
        <v>14978.46</v>
      </c>
      <c r="I1576" s="3">
        <v>46078</v>
      </c>
      <c r="J1576" s="102">
        <v>46111</v>
      </c>
      <c r="K1576" s="12">
        <v>46112</v>
      </c>
      <c r="L1576" s="19" t="s">
        <v>731</v>
      </c>
      <c r="M1576" s="35"/>
      <c r="N1576"/>
      <c r="O1576" t="s">
        <v>199</v>
      </c>
      <c r="P1576" t="s">
        <v>376</v>
      </c>
      <c r="Q1576" t="s">
        <v>203</v>
      </c>
    </row>
    <row r="1577" spans="1:17" x14ac:dyDescent="0.3">
      <c r="A1577" s="25">
        <v>1360</v>
      </c>
      <c r="B1577" t="s">
        <v>71</v>
      </c>
      <c r="C1577" t="s">
        <v>44</v>
      </c>
      <c r="D1577" t="s">
        <v>483</v>
      </c>
      <c r="E1577" s="118" t="s">
        <v>817</v>
      </c>
      <c r="F1577" s="13">
        <v>46081</v>
      </c>
      <c r="G1577" s="27">
        <v>23601.599999999999</v>
      </c>
      <c r="H1577" s="27">
        <v>22150.1</v>
      </c>
      <c r="I1577" s="3">
        <v>46078</v>
      </c>
      <c r="J1577" s="102">
        <v>46111</v>
      </c>
      <c r="K1577" s="12">
        <v>46112</v>
      </c>
      <c r="L1577" s="19" t="s">
        <v>731</v>
      </c>
      <c r="M1577" s="35"/>
      <c r="N1577"/>
      <c r="O1577" t="s">
        <v>199</v>
      </c>
      <c r="P1577" t="s">
        <v>376</v>
      </c>
      <c r="Q1577" t="s">
        <v>203</v>
      </c>
    </row>
    <row r="1578" spans="1:17" x14ac:dyDescent="0.3">
      <c r="A1578" s="25">
        <v>1360</v>
      </c>
      <c r="B1578" t="s">
        <v>71</v>
      </c>
      <c r="C1578" t="s">
        <v>44</v>
      </c>
      <c r="D1578" t="s">
        <v>483</v>
      </c>
      <c r="E1578" s="118" t="s">
        <v>818</v>
      </c>
      <c r="F1578" s="13">
        <v>46081</v>
      </c>
      <c r="G1578" s="27">
        <v>52776</v>
      </c>
      <c r="H1578" s="27">
        <v>49530.28</v>
      </c>
      <c r="I1578" s="3">
        <v>46078</v>
      </c>
      <c r="J1578" s="102">
        <v>46111</v>
      </c>
      <c r="K1578" s="12">
        <v>46112</v>
      </c>
      <c r="L1578" s="19" t="s">
        <v>731</v>
      </c>
      <c r="M1578" s="35"/>
      <c r="N1578"/>
      <c r="O1578" t="s">
        <v>199</v>
      </c>
      <c r="P1578" t="s">
        <v>376</v>
      </c>
      <c r="Q1578" t="s">
        <v>203</v>
      </c>
    </row>
    <row r="1579" spans="1:17" x14ac:dyDescent="0.3">
      <c r="A1579" s="25">
        <v>1360</v>
      </c>
      <c r="B1579" t="s">
        <v>71</v>
      </c>
      <c r="C1579" t="s">
        <v>44</v>
      </c>
      <c r="D1579" t="s">
        <v>483</v>
      </c>
      <c r="E1579" s="118">
        <v>4893</v>
      </c>
      <c r="F1579" s="13">
        <v>46081</v>
      </c>
      <c r="G1579" s="27">
        <v>29686.48</v>
      </c>
      <c r="H1579" s="27">
        <v>27860.77</v>
      </c>
      <c r="I1579" s="3">
        <v>46079</v>
      </c>
      <c r="J1579" s="102">
        <v>46111</v>
      </c>
      <c r="K1579" s="12">
        <v>46112</v>
      </c>
      <c r="L1579" s="19" t="s">
        <v>731</v>
      </c>
      <c r="M1579" s="35"/>
      <c r="N1579"/>
      <c r="O1579" t="s">
        <v>199</v>
      </c>
      <c r="P1579" t="s">
        <v>376</v>
      </c>
      <c r="Q1579" t="s">
        <v>203</v>
      </c>
    </row>
    <row r="1580" spans="1:17" x14ac:dyDescent="0.3">
      <c r="A1580" s="25">
        <v>1360</v>
      </c>
      <c r="B1580" t="s">
        <v>71</v>
      </c>
      <c r="C1580" t="s">
        <v>44</v>
      </c>
      <c r="D1580" t="s">
        <v>483</v>
      </c>
      <c r="E1580" s="118">
        <v>4894</v>
      </c>
      <c r="F1580" s="13">
        <v>46081</v>
      </c>
      <c r="G1580" s="27">
        <v>33632.639999999999</v>
      </c>
      <c r="H1580" s="27">
        <v>31564.23</v>
      </c>
      <c r="I1580" s="3">
        <v>46079</v>
      </c>
      <c r="J1580" s="102">
        <v>46111</v>
      </c>
      <c r="K1580" s="12">
        <v>46112</v>
      </c>
      <c r="L1580" s="19" t="s">
        <v>731</v>
      </c>
      <c r="M1580" s="35"/>
      <c r="N1580"/>
      <c r="O1580" t="s">
        <v>199</v>
      </c>
      <c r="P1580" t="s">
        <v>376</v>
      </c>
      <c r="Q1580" t="s">
        <v>203</v>
      </c>
    </row>
    <row r="1581" spans="1:17" x14ac:dyDescent="0.3">
      <c r="A1581" s="25">
        <v>1360</v>
      </c>
      <c r="B1581" t="s">
        <v>71</v>
      </c>
      <c r="C1581" t="s">
        <v>44</v>
      </c>
      <c r="D1581" t="s">
        <v>483</v>
      </c>
      <c r="E1581" s="118" t="s">
        <v>819</v>
      </c>
      <c r="F1581" s="13">
        <v>46081</v>
      </c>
      <c r="G1581" s="27">
        <v>145618.20000000001</v>
      </c>
      <c r="H1581" s="27">
        <v>136662.68</v>
      </c>
      <c r="I1581" s="3">
        <v>46080</v>
      </c>
      <c r="J1581" s="102">
        <v>46111</v>
      </c>
      <c r="K1581" s="12">
        <v>46112</v>
      </c>
      <c r="L1581" s="19" t="s">
        <v>731</v>
      </c>
      <c r="M1581" s="35"/>
      <c r="N1581"/>
      <c r="O1581" t="s">
        <v>199</v>
      </c>
      <c r="P1581" t="s">
        <v>376</v>
      </c>
      <c r="Q1581" t="s">
        <v>203</v>
      </c>
    </row>
    <row r="1582" spans="1:17" x14ac:dyDescent="0.3">
      <c r="A1582" s="25">
        <v>1360</v>
      </c>
      <c r="B1582" t="s">
        <v>71</v>
      </c>
      <c r="C1582" t="s">
        <v>44</v>
      </c>
      <c r="D1582" t="s">
        <v>483</v>
      </c>
      <c r="E1582" s="118" t="s">
        <v>820</v>
      </c>
      <c r="F1582" s="13">
        <v>46081</v>
      </c>
      <c r="G1582" s="27">
        <v>15982.4</v>
      </c>
      <c r="H1582" s="27">
        <v>14999.48</v>
      </c>
      <c r="I1582" s="3">
        <v>46080</v>
      </c>
      <c r="J1582" s="102">
        <v>46111</v>
      </c>
      <c r="K1582" s="12">
        <v>46112</v>
      </c>
      <c r="L1582" s="19" t="s">
        <v>731</v>
      </c>
      <c r="M1582" s="35"/>
      <c r="N1582"/>
      <c r="O1582" t="s">
        <v>199</v>
      </c>
      <c r="P1582" t="s">
        <v>376</v>
      </c>
      <c r="Q1582" t="s">
        <v>203</v>
      </c>
    </row>
    <row r="1583" spans="1:17" x14ac:dyDescent="0.3">
      <c r="A1583" s="25">
        <v>1360</v>
      </c>
      <c r="B1583" t="s">
        <v>71</v>
      </c>
      <c r="C1583" t="s">
        <v>44</v>
      </c>
      <c r="D1583" t="s">
        <v>483</v>
      </c>
      <c r="E1583" s="118" t="s">
        <v>821</v>
      </c>
      <c r="F1583" s="13">
        <v>46081</v>
      </c>
      <c r="G1583" s="27">
        <v>14574</v>
      </c>
      <c r="H1583" s="27">
        <v>13677.7</v>
      </c>
      <c r="I1583" s="3">
        <v>46080</v>
      </c>
      <c r="J1583" s="102">
        <v>46113</v>
      </c>
      <c r="K1583" s="12">
        <v>46113</v>
      </c>
      <c r="L1583" s="19" t="s">
        <v>731</v>
      </c>
      <c r="M1583" s="35"/>
      <c r="N1583"/>
      <c r="O1583" t="s">
        <v>199</v>
      </c>
      <c r="P1583" t="s">
        <v>376</v>
      </c>
      <c r="Q1583" t="s">
        <v>203</v>
      </c>
    </row>
    <row r="1584" spans="1:17" x14ac:dyDescent="0.3">
      <c r="A1584" s="25">
        <v>1360</v>
      </c>
      <c r="B1584" t="s">
        <v>71</v>
      </c>
      <c r="C1584" t="s">
        <v>44</v>
      </c>
      <c r="D1584" t="s">
        <v>483</v>
      </c>
      <c r="E1584" s="118" t="s">
        <v>822</v>
      </c>
      <c r="F1584" s="13">
        <v>46081</v>
      </c>
      <c r="G1584" s="27">
        <v>53759.199999999997</v>
      </c>
      <c r="H1584" s="27">
        <v>50453.01</v>
      </c>
      <c r="I1584" s="3">
        <v>46080</v>
      </c>
      <c r="J1584" s="102">
        <v>46111</v>
      </c>
      <c r="K1584" s="12">
        <v>46112</v>
      </c>
      <c r="L1584" s="19" t="s">
        <v>731</v>
      </c>
      <c r="M1584" s="35"/>
      <c r="N1584"/>
      <c r="O1584" t="s">
        <v>199</v>
      </c>
      <c r="P1584" t="s">
        <v>376</v>
      </c>
      <c r="Q1584" t="s">
        <v>203</v>
      </c>
    </row>
    <row r="1585" spans="1:17" x14ac:dyDescent="0.3">
      <c r="A1585" s="25">
        <v>1360</v>
      </c>
      <c r="B1585" t="s">
        <v>71</v>
      </c>
      <c r="C1585" t="s">
        <v>44</v>
      </c>
      <c r="D1585" t="s">
        <v>483</v>
      </c>
      <c r="E1585" s="118" t="s">
        <v>823</v>
      </c>
      <c r="F1585" s="13">
        <v>46081</v>
      </c>
      <c r="G1585" s="27">
        <v>27792</v>
      </c>
      <c r="H1585" s="27">
        <v>26082.79</v>
      </c>
      <c r="I1585" s="3">
        <v>46080</v>
      </c>
      <c r="J1585" s="102">
        <v>46111</v>
      </c>
      <c r="K1585" s="12">
        <v>46112</v>
      </c>
      <c r="L1585" s="19" t="s">
        <v>731</v>
      </c>
      <c r="M1585" s="35"/>
      <c r="N1585"/>
      <c r="O1585" t="s">
        <v>199</v>
      </c>
      <c r="P1585" t="s">
        <v>376</v>
      </c>
      <c r="Q1585" t="s">
        <v>203</v>
      </c>
    </row>
    <row r="1586" spans="1:17" x14ac:dyDescent="0.3">
      <c r="A1586" s="25">
        <v>1360</v>
      </c>
      <c r="B1586" t="s">
        <v>71</v>
      </c>
      <c r="C1586" t="s">
        <v>44</v>
      </c>
      <c r="D1586" t="s">
        <v>483</v>
      </c>
      <c r="E1586" s="118" t="s">
        <v>824</v>
      </c>
      <c r="F1586" s="13">
        <v>46081</v>
      </c>
      <c r="G1586" s="27">
        <v>27792</v>
      </c>
      <c r="H1586" s="27">
        <v>26082.79</v>
      </c>
      <c r="I1586" s="3">
        <v>46080</v>
      </c>
      <c r="J1586" s="102">
        <v>46111</v>
      </c>
      <c r="K1586" s="12">
        <v>46112</v>
      </c>
      <c r="L1586" s="19" t="s">
        <v>731</v>
      </c>
      <c r="M1586" s="35"/>
      <c r="N1586"/>
      <c r="O1586" t="s">
        <v>199</v>
      </c>
      <c r="P1586" t="s">
        <v>376</v>
      </c>
      <c r="Q1586" t="s">
        <v>203</v>
      </c>
    </row>
    <row r="1587" spans="1:17" x14ac:dyDescent="0.3">
      <c r="A1587" s="25">
        <v>1360</v>
      </c>
      <c r="B1587" t="s">
        <v>71</v>
      </c>
      <c r="C1587" t="s">
        <v>44</v>
      </c>
      <c r="D1587" t="s">
        <v>483</v>
      </c>
      <c r="E1587" s="118">
        <v>4906</v>
      </c>
      <c r="F1587" s="13">
        <v>46081</v>
      </c>
      <c r="G1587" s="27">
        <v>30074.400000000001</v>
      </c>
      <c r="H1587" s="24">
        <v>28224.82</v>
      </c>
      <c r="I1587" s="3">
        <v>46083</v>
      </c>
      <c r="J1587" s="102">
        <v>46139</v>
      </c>
      <c r="K1587" s="12">
        <v>46140</v>
      </c>
      <c r="L1587" s="19" t="s">
        <v>731</v>
      </c>
      <c r="M1587" s="35"/>
      <c r="N1587"/>
      <c r="O1587" t="s">
        <v>199</v>
      </c>
      <c r="P1587" t="s">
        <v>376</v>
      </c>
      <c r="Q1587" t="s">
        <v>203</v>
      </c>
    </row>
    <row r="1588" spans="1:17" x14ac:dyDescent="0.3">
      <c r="A1588" s="25">
        <v>1387</v>
      </c>
      <c r="B1588" t="s">
        <v>71</v>
      </c>
      <c r="C1588" t="s">
        <v>44</v>
      </c>
      <c r="D1588" t="s">
        <v>517</v>
      </c>
      <c r="E1588" s="118" t="s">
        <v>825</v>
      </c>
      <c r="F1588" s="13">
        <v>46019</v>
      </c>
      <c r="G1588" s="27">
        <v>30450</v>
      </c>
      <c r="H1588" s="24">
        <v>28577.32</v>
      </c>
      <c r="I1588" s="3">
        <v>46037</v>
      </c>
      <c r="J1588" s="102">
        <v>46076</v>
      </c>
      <c r="K1588" s="12">
        <v>46080</v>
      </c>
      <c r="L1588" s="19" t="s">
        <v>731</v>
      </c>
      <c r="M1588" s="35"/>
      <c r="N1588"/>
      <c r="O1588" t="s">
        <v>202</v>
      </c>
      <c r="P1588" t="s">
        <v>376</v>
      </c>
      <c r="Q1588" t="s">
        <v>203</v>
      </c>
    </row>
    <row r="1589" spans="1:17" x14ac:dyDescent="0.3">
      <c r="A1589" s="25">
        <v>1387</v>
      </c>
      <c r="B1589" t="s">
        <v>71</v>
      </c>
      <c r="C1589" t="s">
        <v>44</v>
      </c>
      <c r="D1589" t="s">
        <v>517</v>
      </c>
      <c r="E1589" s="118" t="s">
        <v>826</v>
      </c>
      <c r="F1589" s="13">
        <v>46051</v>
      </c>
      <c r="G1589" s="27">
        <v>29920</v>
      </c>
      <c r="H1589" s="24">
        <v>28079.919999999998</v>
      </c>
      <c r="I1589" s="3">
        <v>46037</v>
      </c>
      <c r="J1589" s="102">
        <v>46076</v>
      </c>
      <c r="K1589" s="12">
        <v>46080</v>
      </c>
      <c r="L1589" s="19" t="s">
        <v>731</v>
      </c>
      <c r="M1589" s="35"/>
      <c r="N1589"/>
      <c r="O1589" t="s">
        <v>202</v>
      </c>
      <c r="P1589" t="s">
        <v>376</v>
      </c>
      <c r="Q1589" t="s">
        <v>203</v>
      </c>
    </row>
    <row r="1590" spans="1:17" x14ac:dyDescent="0.3">
      <c r="A1590" s="25">
        <v>1387</v>
      </c>
      <c r="B1590" t="s">
        <v>71</v>
      </c>
      <c r="C1590" t="s">
        <v>44</v>
      </c>
      <c r="D1590" t="s">
        <v>517</v>
      </c>
      <c r="E1590" s="118" t="s">
        <v>827</v>
      </c>
      <c r="F1590" s="13">
        <v>46019</v>
      </c>
      <c r="G1590" s="27">
        <v>48432</v>
      </c>
      <c r="H1590" s="24">
        <v>45453.43</v>
      </c>
      <c r="I1590" s="3">
        <v>46037</v>
      </c>
      <c r="J1590" s="102">
        <v>46076</v>
      </c>
      <c r="K1590" s="12">
        <v>46080</v>
      </c>
      <c r="L1590" s="19" t="s">
        <v>731</v>
      </c>
      <c r="M1590" s="35"/>
      <c r="N1590"/>
      <c r="O1590" t="s">
        <v>202</v>
      </c>
      <c r="P1590" t="s">
        <v>376</v>
      </c>
      <c r="Q1590" t="s">
        <v>203</v>
      </c>
    </row>
    <row r="1591" spans="1:17" x14ac:dyDescent="0.3">
      <c r="A1591" s="25">
        <v>1387</v>
      </c>
      <c r="B1591" t="s">
        <v>71</v>
      </c>
      <c r="C1591" t="s">
        <v>44</v>
      </c>
      <c r="D1591" t="s">
        <v>517</v>
      </c>
      <c r="E1591" s="118">
        <v>4754</v>
      </c>
      <c r="F1591" s="13">
        <v>46051</v>
      </c>
      <c r="G1591" s="27">
        <v>57692.800000000003</v>
      </c>
      <c r="H1591" s="24">
        <v>54144.7</v>
      </c>
      <c r="I1591" s="3">
        <v>46043</v>
      </c>
      <c r="J1591" s="102">
        <v>46076</v>
      </c>
      <c r="K1591" s="12">
        <v>46080</v>
      </c>
      <c r="L1591" s="19" t="s">
        <v>731</v>
      </c>
      <c r="M1591" s="35"/>
      <c r="N1591"/>
      <c r="O1591" t="s">
        <v>202</v>
      </c>
      <c r="P1591" t="s">
        <v>376</v>
      </c>
      <c r="Q1591" t="s">
        <v>203</v>
      </c>
    </row>
    <row r="1592" spans="1:17" x14ac:dyDescent="0.3">
      <c r="A1592" s="25">
        <v>1387</v>
      </c>
      <c r="B1592" t="s">
        <v>71</v>
      </c>
      <c r="C1592" t="s">
        <v>44</v>
      </c>
      <c r="D1592" t="s">
        <v>517</v>
      </c>
      <c r="E1592" s="118">
        <v>4755</v>
      </c>
      <c r="F1592" s="13">
        <v>46051</v>
      </c>
      <c r="G1592" s="27">
        <v>40600</v>
      </c>
      <c r="H1592" s="24">
        <v>38103.1</v>
      </c>
      <c r="I1592" s="3">
        <v>46043</v>
      </c>
      <c r="J1592" s="102">
        <v>46076</v>
      </c>
      <c r="K1592" s="12">
        <v>46080</v>
      </c>
      <c r="L1592" s="19" t="s">
        <v>731</v>
      </c>
      <c r="M1592" s="35"/>
      <c r="N1592"/>
      <c r="O1592" t="s">
        <v>202</v>
      </c>
      <c r="P1592" t="s">
        <v>376</v>
      </c>
      <c r="Q1592" t="s">
        <v>203</v>
      </c>
    </row>
    <row r="1593" spans="1:17" x14ac:dyDescent="0.3">
      <c r="A1593" s="25">
        <v>1387</v>
      </c>
      <c r="B1593" t="s">
        <v>71</v>
      </c>
      <c r="C1593" t="s">
        <v>44</v>
      </c>
      <c r="D1593" t="s">
        <v>517</v>
      </c>
      <c r="E1593" s="118">
        <v>4777</v>
      </c>
      <c r="F1593" s="13">
        <v>46019</v>
      </c>
      <c r="G1593" s="27">
        <v>81200</v>
      </c>
      <c r="H1593" s="27">
        <v>76206.2</v>
      </c>
      <c r="I1593" s="3">
        <v>46045</v>
      </c>
      <c r="J1593" s="102">
        <v>46076</v>
      </c>
      <c r="K1593" s="12">
        <v>46080</v>
      </c>
      <c r="L1593" s="19" t="s">
        <v>731</v>
      </c>
      <c r="M1593" s="35"/>
      <c r="N1593"/>
      <c r="O1593" t="s">
        <v>202</v>
      </c>
      <c r="P1593" t="s">
        <v>376</v>
      </c>
      <c r="Q1593" t="s">
        <v>203</v>
      </c>
    </row>
    <row r="1594" spans="1:17" x14ac:dyDescent="0.3">
      <c r="A1594" s="25">
        <v>1387</v>
      </c>
      <c r="B1594" t="s">
        <v>71</v>
      </c>
      <c r="C1594" t="s">
        <v>44</v>
      </c>
      <c r="D1594" t="s">
        <v>517</v>
      </c>
      <c r="E1594" s="118">
        <v>4784</v>
      </c>
      <c r="F1594" s="13">
        <v>46051</v>
      </c>
      <c r="G1594" s="27">
        <v>44660</v>
      </c>
      <c r="H1594" s="24">
        <v>41913.410000000003</v>
      </c>
      <c r="I1594" s="3">
        <v>46049</v>
      </c>
      <c r="J1594" s="102">
        <v>46076</v>
      </c>
      <c r="K1594" s="12">
        <v>46080</v>
      </c>
      <c r="L1594" s="19" t="s">
        <v>731</v>
      </c>
      <c r="M1594" s="35"/>
      <c r="N1594"/>
      <c r="O1594" t="s">
        <v>202</v>
      </c>
      <c r="P1594" t="s">
        <v>376</v>
      </c>
      <c r="Q1594" t="s">
        <v>203</v>
      </c>
    </row>
    <row r="1595" spans="1:17" x14ac:dyDescent="0.3">
      <c r="A1595" s="25">
        <v>1387</v>
      </c>
      <c r="B1595" t="s">
        <v>71</v>
      </c>
      <c r="C1595" t="s">
        <v>44</v>
      </c>
      <c r="D1595" t="s">
        <v>517</v>
      </c>
      <c r="E1595" s="118">
        <v>4868</v>
      </c>
      <c r="F1595" s="13">
        <v>46081</v>
      </c>
      <c r="G1595" s="27">
        <v>29920</v>
      </c>
      <c r="H1595" s="27">
        <v>28079.919999999998</v>
      </c>
      <c r="I1595" s="3">
        <v>46072</v>
      </c>
      <c r="J1595" s="102">
        <v>46111</v>
      </c>
      <c r="K1595" s="12">
        <v>46112</v>
      </c>
      <c r="L1595" s="19" t="s">
        <v>731</v>
      </c>
      <c r="M1595" s="35"/>
      <c r="N1595"/>
      <c r="O1595" t="s">
        <v>202</v>
      </c>
      <c r="P1595" t="s">
        <v>376</v>
      </c>
      <c r="Q1595" t="s">
        <v>203</v>
      </c>
    </row>
    <row r="1596" spans="1:17" x14ac:dyDescent="0.3">
      <c r="A1596" s="25">
        <v>1387</v>
      </c>
      <c r="B1596" t="s">
        <v>71</v>
      </c>
      <c r="C1596" t="s">
        <v>44</v>
      </c>
      <c r="D1596" t="s">
        <v>517</v>
      </c>
      <c r="E1596" s="118">
        <v>4871</v>
      </c>
      <c r="F1596" s="13">
        <v>46051</v>
      </c>
      <c r="G1596" s="27">
        <v>32288</v>
      </c>
      <c r="H1596" s="27">
        <v>30302.29</v>
      </c>
      <c r="I1596" s="3">
        <v>46076</v>
      </c>
      <c r="J1596" s="102">
        <v>46111</v>
      </c>
      <c r="K1596" s="12">
        <v>46112</v>
      </c>
      <c r="L1596" s="19" t="s">
        <v>731</v>
      </c>
      <c r="M1596" s="35"/>
      <c r="N1596"/>
      <c r="O1596" t="s">
        <v>202</v>
      </c>
      <c r="P1596" t="s">
        <v>376</v>
      </c>
      <c r="Q1596" t="s">
        <v>203</v>
      </c>
    </row>
    <row r="1597" spans="1:17" x14ac:dyDescent="0.3">
      <c r="A1597" s="25">
        <v>1387</v>
      </c>
      <c r="B1597" t="s">
        <v>71</v>
      </c>
      <c r="C1597" t="s">
        <v>44</v>
      </c>
      <c r="D1597" t="s">
        <v>517</v>
      </c>
      <c r="E1597" s="118">
        <v>4873</v>
      </c>
      <c r="F1597" s="13">
        <v>46081</v>
      </c>
      <c r="G1597" s="27">
        <v>38745.599999999999</v>
      </c>
      <c r="H1597" s="27">
        <v>36362.74</v>
      </c>
      <c r="I1597" s="3">
        <v>46076</v>
      </c>
      <c r="J1597" s="102">
        <v>46111</v>
      </c>
      <c r="K1597" s="12">
        <v>46112</v>
      </c>
      <c r="L1597" s="19" t="s">
        <v>731</v>
      </c>
      <c r="M1597" s="35"/>
      <c r="N1597"/>
      <c r="O1597" t="s">
        <v>202</v>
      </c>
      <c r="P1597" t="s">
        <v>376</v>
      </c>
      <c r="Q1597" t="s">
        <v>203</v>
      </c>
    </row>
    <row r="1598" spans="1:17" x14ac:dyDescent="0.3">
      <c r="A1598" s="25">
        <v>1387</v>
      </c>
      <c r="B1598" t="s">
        <v>71</v>
      </c>
      <c r="C1598" t="s">
        <v>44</v>
      </c>
      <c r="D1598" t="s">
        <v>517</v>
      </c>
      <c r="E1598" s="118">
        <v>4880</v>
      </c>
      <c r="F1598" s="13">
        <v>46081</v>
      </c>
      <c r="G1598" s="27">
        <v>74751.360000000001</v>
      </c>
      <c r="H1598" s="27">
        <v>70154.16</v>
      </c>
      <c r="I1598" s="3">
        <v>46077</v>
      </c>
      <c r="J1598" s="102">
        <v>46111</v>
      </c>
      <c r="K1598" s="12">
        <v>46112</v>
      </c>
      <c r="L1598" s="19" t="s">
        <v>731</v>
      </c>
      <c r="M1598" s="35"/>
      <c r="N1598"/>
      <c r="O1598" t="s">
        <v>202</v>
      </c>
      <c r="P1598" t="s">
        <v>376</v>
      </c>
      <c r="Q1598" t="s">
        <v>203</v>
      </c>
    </row>
    <row r="1599" spans="1:17" x14ac:dyDescent="0.3">
      <c r="A1599" s="25">
        <v>1387</v>
      </c>
      <c r="B1599" t="s">
        <v>71</v>
      </c>
      <c r="C1599" t="s">
        <v>44</v>
      </c>
      <c r="D1599" t="s">
        <v>517</v>
      </c>
      <c r="E1599" s="118">
        <v>4883</v>
      </c>
      <c r="F1599" s="13">
        <v>46081</v>
      </c>
      <c r="G1599" s="27">
        <v>73080</v>
      </c>
      <c r="H1599" s="27">
        <v>68585.58</v>
      </c>
      <c r="I1599" s="3">
        <v>46077</v>
      </c>
      <c r="J1599" s="102">
        <v>46111</v>
      </c>
      <c r="K1599" s="12">
        <v>46112</v>
      </c>
      <c r="L1599" s="19" t="s">
        <v>731</v>
      </c>
      <c r="M1599" s="35"/>
      <c r="N1599"/>
      <c r="O1599" t="s">
        <v>202</v>
      </c>
      <c r="P1599" t="s">
        <v>376</v>
      </c>
      <c r="Q1599" t="s">
        <v>203</v>
      </c>
    </row>
    <row r="1600" spans="1:17" x14ac:dyDescent="0.3">
      <c r="A1600" s="25">
        <v>1387</v>
      </c>
      <c r="B1600" t="s">
        <v>71</v>
      </c>
      <c r="C1600" t="s">
        <v>44</v>
      </c>
      <c r="D1600" t="s">
        <v>517</v>
      </c>
      <c r="E1600" s="118">
        <v>4890</v>
      </c>
      <c r="F1600" s="13">
        <v>46081</v>
      </c>
      <c r="G1600" s="27">
        <v>39336</v>
      </c>
      <c r="H1600" s="27">
        <v>36916.839999999997</v>
      </c>
      <c r="I1600" s="3">
        <v>46078</v>
      </c>
      <c r="J1600" s="102">
        <v>46111</v>
      </c>
      <c r="K1600" s="12">
        <v>46112</v>
      </c>
      <c r="L1600" s="19" t="s">
        <v>731</v>
      </c>
      <c r="M1600" s="35"/>
      <c r="N1600"/>
      <c r="O1600" t="s">
        <v>202</v>
      </c>
      <c r="P1600" t="s">
        <v>376</v>
      </c>
      <c r="Q1600" t="s">
        <v>203</v>
      </c>
    </row>
    <row r="1601" spans="1:17" x14ac:dyDescent="0.3">
      <c r="A1601" s="25">
        <v>1387</v>
      </c>
      <c r="B1601" t="s">
        <v>71</v>
      </c>
      <c r="C1601" t="s">
        <v>44</v>
      </c>
      <c r="D1601" t="s">
        <v>517</v>
      </c>
      <c r="E1601" s="118">
        <v>4897</v>
      </c>
      <c r="F1601" s="13">
        <v>46081</v>
      </c>
      <c r="G1601" s="27">
        <v>23658.6</v>
      </c>
      <c r="H1601" s="27">
        <v>22203.55</v>
      </c>
      <c r="I1601" s="3">
        <v>46080</v>
      </c>
      <c r="J1601" s="102">
        <v>46111</v>
      </c>
      <c r="K1601" s="12">
        <v>46112</v>
      </c>
      <c r="L1601" s="19" t="s">
        <v>731</v>
      </c>
      <c r="M1601" s="35"/>
      <c r="N1601"/>
      <c r="O1601" t="s">
        <v>202</v>
      </c>
      <c r="P1601" t="s">
        <v>376</v>
      </c>
      <c r="Q1601" t="s">
        <v>203</v>
      </c>
    </row>
    <row r="1602" spans="1:17" x14ac:dyDescent="0.3">
      <c r="A1602" s="25">
        <v>1387</v>
      </c>
      <c r="B1602" t="s">
        <v>71</v>
      </c>
      <c r="C1602" t="s">
        <v>44</v>
      </c>
      <c r="D1602" t="s">
        <v>517</v>
      </c>
      <c r="E1602" s="118">
        <v>4923</v>
      </c>
      <c r="F1602" s="13">
        <v>46081</v>
      </c>
      <c r="G1602" s="27">
        <v>36540</v>
      </c>
      <c r="H1602" s="24">
        <v>34292.78</v>
      </c>
      <c r="I1602" s="3">
        <v>46091</v>
      </c>
      <c r="J1602" s="102">
        <v>46139</v>
      </c>
      <c r="K1602" s="12">
        <v>46140</v>
      </c>
      <c r="L1602" s="19" t="s">
        <v>731</v>
      </c>
      <c r="M1602" s="35"/>
      <c r="N1602"/>
      <c r="O1602" t="s">
        <v>202</v>
      </c>
      <c r="P1602" t="s">
        <v>376</v>
      </c>
      <c r="Q1602" t="s">
        <v>203</v>
      </c>
    </row>
    <row r="1603" spans="1:17" x14ac:dyDescent="0.3">
      <c r="A1603" s="25">
        <v>1387</v>
      </c>
      <c r="B1603" t="s">
        <v>71</v>
      </c>
      <c r="C1603" t="s">
        <v>44</v>
      </c>
      <c r="D1603" t="s">
        <v>517</v>
      </c>
      <c r="E1603" s="118">
        <v>4975</v>
      </c>
      <c r="F1603" s="13">
        <v>46109</v>
      </c>
      <c r="G1603" s="27">
        <v>44660</v>
      </c>
      <c r="H1603" s="24">
        <v>41913.4</v>
      </c>
      <c r="I1603" s="3">
        <v>46100</v>
      </c>
      <c r="J1603" s="102">
        <v>46139</v>
      </c>
      <c r="K1603" s="12">
        <v>46140</v>
      </c>
      <c r="L1603" s="19" t="s">
        <v>731</v>
      </c>
      <c r="M1603" s="35"/>
      <c r="N1603"/>
      <c r="O1603" t="s">
        <v>202</v>
      </c>
      <c r="P1603" t="s">
        <v>376</v>
      </c>
      <c r="Q1603" t="s">
        <v>203</v>
      </c>
    </row>
    <row r="1604" spans="1:17" x14ac:dyDescent="0.3">
      <c r="A1604" s="25">
        <v>1387</v>
      </c>
      <c r="B1604" t="s">
        <v>71</v>
      </c>
      <c r="C1604" t="s">
        <v>44</v>
      </c>
      <c r="D1604" t="s">
        <v>517</v>
      </c>
      <c r="E1604" s="118">
        <v>4983</v>
      </c>
      <c r="F1604" s="13">
        <v>46109</v>
      </c>
      <c r="G1604" s="27">
        <v>35516.800000000003</v>
      </c>
      <c r="H1604" s="24">
        <v>33332.519999999997</v>
      </c>
      <c r="I1604" s="3">
        <v>46101</v>
      </c>
      <c r="J1604" s="102">
        <v>46139</v>
      </c>
      <c r="K1604" s="12">
        <v>46140</v>
      </c>
      <c r="L1604" s="19" t="s">
        <v>731</v>
      </c>
      <c r="M1604" s="35"/>
      <c r="N1604"/>
      <c r="O1604" t="s">
        <v>202</v>
      </c>
      <c r="P1604" t="s">
        <v>376</v>
      </c>
      <c r="Q1604" t="s">
        <v>203</v>
      </c>
    </row>
    <row r="1605" spans="1:17" x14ac:dyDescent="0.3">
      <c r="A1605" s="25">
        <v>1387</v>
      </c>
      <c r="B1605" t="s">
        <v>71</v>
      </c>
      <c r="C1605" t="s">
        <v>44</v>
      </c>
      <c r="D1605" t="s">
        <v>517</v>
      </c>
      <c r="E1605" s="118">
        <v>4987</v>
      </c>
      <c r="F1605" s="13">
        <v>46109</v>
      </c>
      <c r="G1605" s="27">
        <v>28846.400000000001</v>
      </c>
      <c r="H1605" s="24">
        <v>27072.35</v>
      </c>
      <c r="I1605" s="3">
        <v>46101</v>
      </c>
      <c r="J1605" s="102">
        <v>46139</v>
      </c>
      <c r="K1605" s="12">
        <v>46140</v>
      </c>
      <c r="L1605" s="19" t="s">
        <v>731</v>
      </c>
      <c r="M1605" s="35"/>
      <c r="N1605"/>
      <c r="O1605" t="s">
        <v>202</v>
      </c>
      <c r="P1605" t="s">
        <v>376</v>
      </c>
      <c r="Q1605" t="s">
        <v>203</v>
      </c>
    </row>
    <row r="1606" spans="1:17" x14ac:dyDescent="0.3">
      <c r="A1606" s="25">
        <v>1387</v>
      </c>
      <c r="B1606" t="s">
        <v>71</v>
      </c>
      <c r="C1606" t="s">
        <v>44</v>
      </c>
      <c r="D1606" t="s">
        <v>517</v>
      </c>
      <c r="E1606" s="118">
        <v>4988</v>
      </c>
      <c r="F1606" s="13">
        <v>46109</v>
      </c>
      <c r="G1606" s="27">
        <v>89320</v>
      </c>
      <c r="H1606" s="24">
        <v>83826.820000000007</v>
      </c>
      <c r="I1606" s="3">
        <v>46101</v>
      </c>
      <c r="J1606" s="102">
        <v>46139</v>
      </c>
      <c r="K1606" s="12">
        <v>46140</v>
      </c>
      <c r="L1606" s="19" t="s">
        <v>731</v>
      </c>
      <c r="M1606" s="35"/>
      <c r="N1606"/>
      <c r="O1606" t="s">
        <v>202</v>
      </c>
      <c r="P1606" t="s">
        <v>376</v>
      </c>
      <c r="Q1606" t="s">
        <v>203</v>
      </c>
    </row>
    <row r="1607" spans="1:17" x14ac:dyDescent="0.3">
      <c r="A1607" s="25">
        <v>1387</v>
      </c>
      <c r="B1607" t="s">
        <v>71</v>
      </c>
      <c r="C1607" t="s">
        <v>44</v>
      </c>
      <c r="D1607" t="s">
        <v>517</v>
      </c>
      <c r="E1607" s="118">
        <v>4998</v>
      </c>
      <c r="F1607" s="13">
        <v>46109</v>
      </c>
      <c r="G1607" s="27">
        <v>29742.240000000002</v>
      </c>
      <c r="H1607" s="24">
        <v>27913.1</v>
      </c>
      <c r="I1607" s="3">
        <v>46104</v>
      </c>
      <c r="J1607" s="102">
        <v>46139</v>
      </c>
      <c r="K1607" s="12">
        <v>46140</v>
      </c>
      <c r="L1607" s="19" t="s">
        <v>731</v>
      </c>
      <c r="M1607" s="35"/>
      <c r="N1607"/>
      <c r="O1607" t="s">
        <v>202</v>
      </c>
      <c r="P1607" t="s">
        <v>376</v>
      </c>
      <c r="Q1607" t="s">
        <v>203</v>
      </c>
    </row>
    <row r="1608" spans="1:17" x14ac:dyDescent="0.3">
      <c r="A1608" s="25">
        <v>1387</v>
      </c>
      <c r="B1608" t="s">
        <v>71</v>
      </c>
      <c r="C1608" t="s">
        <v>44</v>
      </c>
      <c r="D1608" t="s">
        <v>517</v>
      </c>
      <c r="E1608" s="118">
        <v>4999</v>
      </c>
      <c r="F1608" s="13">
        <v>46109</v>
      </c>
      <c r="G1608" s="27">
        <v>86615.6</v>
      </c>
      <c r="H1608" s="24">
        <v>81288.740000000005</v>
      </c>
      <c r="I1608" s="3">
        <v>46104</v>
      </c>
      <c r="J1608" s="102">
        <v>46139</v>
      </c>
      <c r="K1608" s="12">
        <v>46140</v>
      </c>
      <c r="L1608" s="19" t="s">
        <v>731</v>
      </c>
      <c r="M1608" s="35"/>
      <c r="N1608"/>
      <c r="O1608" t="s">
        <v>202</v>
      </c>
      <c r="P1608" t="s">
        <v>376</v>
      </c>
      <c r="Q1608" t="s">
        <v>203</v>
      </c>
    </row>
    <row r="1609" spans="1:17" x14ac:dyDescent="0.3">
      <c r="A1609" s="25">
        <v>1360</v>
      </c>
      <c r="B1609" t="s">
        <v>71</v>
      </c>
      <c r="C1609" t="s">
        <v>44</v>
      </c>
      <c r="D1609" t="s">
        <v>483</v>
      </c>
      <c r="E1609" s="118">
        <v>5095</v>
      </c>
      <c r="F1609" s="13">
        <v>46140</v>
      </c>
      <c r="G1609" s="24">
        <v>42777</v>
      </c>
      <c r="H1609" s="27">
        <v>40146.214203676936</v>
      </c>
      <c r="I1609" s="3">
        <v>46134</v>
      </c>
      <c r="J1609" s="102">
        <v>46167</v>
      </c>
      <c r="K1609" s="12">
        <v>46169</v>
      </c>
      <c r="L1609" s="19" t="s">
        <v>731</v>
      </c>
      <c r="M1609" s="35"/>
      <c r="N1609"/>
      <c r="O1609" t="s">
        <v>199</v>
      </c>
      <c r="P1609" t="s">
        <v>376</v>
      </c>
      <c r="Q1609" t="s">
        <v>203</v>
      </c>
    </row>
    <row r="1610" spans="1:17" x14ac:dyDescent="0.3">
      <c r="A1610" s="25">
        <v>1360</v>
      </c>
      <c r="B1610" t="s">
        <v>71</v>
      </c>
      <c r="C1610" t="s">
        <v>44</v>
      </c>
      <c r="D1610" t="s">
        <v>483</v>
      </c>
      <c r="E1610" s="118">
        <v>5094</v>
      </c>
      <c r="F1610" s="13">
        <v>46140</v>
      </c>
      <c r="G1610" s="24">
        <v>151504.35</v>
      </c>
      <c r="H1610" s="27">
        <v>142186.83142550534</v>
      </c>
      <c r="I1610" s="3">
        <v>46134</v>
      </c>
      <c r="J1610" s="102">
        <v>46167</v>
      </c>
      <c r="K1610" s="12">
        <v>46169</v>
      </c>
      <c r="L1610" s="19" t="s">
        <v>731</v>
      </c>
      <c r="M1610" s="35"/>
      <c r="N1610"/>
      <c r="O1610" t="s">
        <v>199</v>
      </c>
      <c r="P1610" t="s">
        <v>376</v>
      </c>
      <c r="Q1610" t="s">
        <v>203</v>
      </c>
    </row>
    <row r="1611" spans="1:17" x14ac:dyDescent="0.3">
      <c r="A1611" s="25">
        <v>1387</v>
      </c>
      <c r="B1611" t="s">
        <v>71</v>
      </c>
      <c r="C1611" t="s">
        <v>44</v>
      </c>
      <c r="D1611" t="s">
        <v>517</v>
      </c>
      <c r="E1611" s="118">
        <v>5096</v>
      </c>
      <c r="F1611" s="13">
        <v>46140</v>
      </c>
      <c r="G1611" s="24">
        <v>30144.49</v>
      </c>
      <c r="H1611" s="27">
        <v>28290.603656184339</v>
      </c>
      <c r="I1611" s="3">
        <v>46134</v>
      </c>
      <c r="J1611" s="102">
        <v>46167</v>
      </c>
      <c r="K1611" s="12">
        <v>46169</v>
      </c>
      <c r="L1611" s="19" t="s">
        <v>731</v>
      </c>
      <c r="M1611" s="35"/>
      <c r="N1611"/>
      <c r="O1611" t="s">
        <v>202</v>
      </c>
      <c r="P1611" t="s">
        <v>376</v>
      </c>
      <c r="Q1611" t="s">
        <v>203</v>
      </c>
    </row>
    <row r="1612" spans="1:17" x14ac:dyDescent="0.3">
      <c r="A1612" s="25">
        <v>1387</v>
      </c>
      <c r="B1612" t="s">
        <v>71</v>
      </c>
      <c r="C1612" t="s">
        <v>44</v>
      </c>
      <c r="D1612" t="s">
        <v>517</v>
      </c>
      <c r="E1612" s="118">
        <v>5099</v>
      </c>
      <c r="F1612" s="13">
        <v>46140</v>
      </c>
      <c r="G1612" s="24">
        <v>18557.439999999999</v>
      </c>
      <c r="H1612" s="27">
        <v>17416.157311449671</v>
      </c>
      <c r="I1612" s="3">
        <v>46134</v>
      </c>
      <c r="J1612" s="102">
        <v>46167</v>
      </c>
      <c r="K1612" s="12">
        <v>46169</v>
      </c>
      <c r="L1612" s="19" t="s">
        <v>731</v>
      </c>
      <c r="M1612" s="35"/>
      <c r="N1612"/>
      <c r="O1612" t="s">
        <v>202</v>
      </c>
      <c r="P1612" t="s">
        <v>376</v>
      </c>
      <c r="Q1612" t="s">
        <v>203</v>
      </c>
    </row>
    <row r="1613" spans="1:17" x14ac:dyDescent="0.3">
      <c r="A1613" s="25">
        <v>1387</v>
      </c>
      <c r="B1613" t="s">
        <v>71</v>
      </c>
      <c r="C1613" t="s">
        <v>44</v>
      </c>
      <c r="D1613" t="s">
        <v>517</v>
      </c>
      <c r="E1613" s="118">
        <v>5103</v>
      </c>
      <c r="F1613" s="13">
        <v>46140</v>
      </c>
      <c r="G1613" s="24">
        <v>14976</v>
      </c>
      <c r="H1613" s="27">
        <v>14054.975896258875</v>
      </c>
      <c r="I1613" s="3">
        <v>46139</v>
      </c>
      <c r="J1613" s="102">
        <v>46167</v>
      </c>
      <c r="K1613" s="12">
        <v>46169</v>
      </c>
      <c r="L1613" s="19" t="s">
        <v>731</v>
      </c>
      <c r="M1613" s="35"/>
      <c r="N1613"/>
      <c r="O1613" t="s">
        <v>202</v>
      </c>
      <c r="P1613" t="s">
        <v>376</v>
      </c>
      <c r="Q1613" t="s">
        <v>203</v>
      </c>
    </row>
    <row r="1614" spans="1:17" x14ac:dyDescent="0.3">
      <c r="A1614" s="25">
        <v>1387</v>
      </c>
      <c r="B1614" t="s">
        <v>71</v>
      </c>
      <c r="C1614" t="s">
        <v>44</v>
      </c>
      <c r="D1614" t="s">
        <v>517</v>
      </c>
      <c r="E1614" s="118">
        <v>5110</v>
      </c>
      <c r="F1614" s="13">
        <v>46140</v>
      </c>
      <c r="G1614" s="24">
        <v>42427.199999999997</v>
      </c>
      <c r="H1614" s="27">
        <v>39817.93</v>
      </c>
      <c r="I1614" s="3">
        <v>46141</v>
      </c>
      <c r="J1614" s="102">
        <v>46167</v>
      </c>
      <c r="K1614" s="12">
        <v>46171</v>
      </c>
      <c r="L1614" s="19" t="s">
        <v>731</v>
      </c>
      <c r="M1614" s="35"/>
      <c r="N1614"/>
      <c r="O1614" t="s">
        <v>202</v>
      </c>
      <c r="P1614" t="s">
        <v>376</v>
      </c>
      <c r="Q1614" t="s">
        <v>203</v>
      </c>
    </row>
    <row r="1615" spans="1:17" x14ac:dyDescent="0.3">
      <c r="A1615" s="25">
        <v>1387</v>
      </c>
      <c r="B1615" t="s">
        <v>71</v>
      </c>
      <c r="C1615" t="s">
        <v>44</v>
      </c>
      <c r="D1615" t="s">
        <v>517</v>
      </c>
      <c r="E1615" s="118">
        <v>5130</v>
      </c>
      <c r="F1615" s="13">
        <v>46140</v>
      </c>
      <c r="G1615" s="27">
        <v>74583.64</v>
      </c>
      <c r="H1615" s="27">
        <v>69996.75</v>
      </c>
      <c r="I1615" s="3">
        <v>46153</v>
      </c>
      <c r="J1615" s="102">
        <v>46195</v>
      </c>
      <c r="K1615" s="12"/>
      <c r="L1615" s="19" t="s">
        <v>730</v>
      </c>
      <c r="M1615" s="35"/>
      <c r="N1615"/>
      <c r="O1615" t="s">
        <v>202</v>
      </c>
      <c r="P1615" t="s">
        <v>376</v>
      </c>
      <c r="Q1615" t="s">
        <v>203</v>
      </c>
    </row>
    <row r="1616" spans="1:17" x14ac:dyDescent="0.3">
      <c r="A1616" s="25">
        <v>1387</v>
      </c>
      <c r="B1616" t="s">
        <v>71</v>
      </c>
      <c r="C1616" t="s">
        <v>44</v>
      </c>
      <c r="D1616" t="s">
        <v>517</v>
      </c>
      <c r="E1616" s="118">
        <v>5171</v>
      </c>
      <c r="F1616" s="13">
        <v>46170</v>
      </c>
      <c r="G1616" s="27">
        <v>30145.279999999999</v>
      </c>
      <c r="H1616" s="27">
        <v>28291.35</v>
      </c>
      <c r="I1616" s="3">
        <v>46162</v>
      </c>
      <c r="J1616" s="102">
        <v>46195</v>
      </c>
      <c r="K1616" s="12"/>
      <c r="L1616" s="19" t="s">
        <v>730</v>
      </c>
      <c r="M1616" s="35"/>
      <c r="N1616"/>
      <c r="O1616" t="s">
        <v>202</v>
      </c>
      <c r="P1616" t="s">
        <v>376</v>
      </c>
      <c r="Q1616" t="s">
        <v>203</v>
      </c>
    </row>
    <row r="1617" spans="1:17" x14ac:dyDescent="0.3">
      <c r="A1617" s="25">
        <v>1387</v>
      </c>
      <c r="B1617" t="s">
        <v>71</v>
      </c>
      <c r="C1617" t="s">
        <v>44</v>
      </c>
      <c r="D1617" t="s">
        <v>517</v>
      </c>
      <c r="E1617" s="118">
        <v>5170</v>
      </c>
      <c r="F1617" s="13">
        <v>46170</v>
      </c>
      <c r="G1617" s="27">
        <v>31449.599999999999</v>
      </c>
      <c r="H1617" s="27">
        <v>29515.45</v>
      </c>
      <c r="I1617" s="3">
        <v>46162</v>
      </c>
      <c r="J1617" s="102">
        <v>46195</v>
      </c>
      <c r="K1617" s="12"/>
      <c r="L1617" s="19" t="s">
        <v>730</v>
      </c>
      <c r="M1617" s="35"/>
      <c r="N1617"/>
      <c r="O1617" t="s">
        <v>202</v>
      </c>
      <c r="P1617" t="s">
        <v>376</v>
      </c>
      <c r="Q1617" t="s">
        <v>203</v>
      </c>
    </row>
    <row r="1618" spans="1:17" x14ac:dyDescent="0.3">
      <c r="A1618" s="25">
        <v>1387</v>
      </c>
      <c r="B1618" t="s">
        <v>71</v>
      </c>
      <c r="C1618" t="s">
        <v>44</v>
      </c>
      <c r="D1618" t="s">
        <v>517</v>
      </c>
      <c r="E1618" s="118">
        <v>5177</v>
      </c>
      <c r="F1618" s="13">
        <v>46170</v>
      </c>
      <c r="G1618" s="27">
        <v>74857.600000000006</v>
      </c>
      <c r="H1618" s="27">
        <v>70253.86</v>
      </c>
      <c r="I1618" s="3">
        <v>46163</v>
      </c>
      <c r="J1618" s="102">
        <v>46195</v>
      </c>
      <c r="K1618" s="12"/>
      <c r="L1618" s="19" t="s">
        <v>730</v>
      </c>
      <c r="M1618" s="35"/>
      <c r="N1618"/>
      <c r="O1618" t="s">
        <v>202</v>
      </c>
      <c r="P1618" t="s">
        <v>376</v>
      </c>
      <c r="Q1618" t="s">
        <v>203</v>
      </c>
    </row>
    <row r="1619" spans="1:17" x14ac:dyDescent="0.3">
      <c r="A1619" s="25">
        <v>1387</v>
      </c>
      <c r="B1619" t="s">
        <v>71</v>
      </c>
      <c r="C1619" t="s">
        <v>44</v>
      </c>
      <c r="D1619" t="s">
        <v>517</v>
      </c>
      <c r="E1619" s="118">
        <v>5173</v>
      </c>
      <c r="F1619" s="13">
        <v>46170</v>
      </c>
      <c r="G1619" s="27">
        <v>33740.800000000003</v>
      </c>
      <c r="H1619" s="27">
        <v>31665.74</v>
      </c>
      <c r="I1619" s="3">
        <v>46163</v>
      </c>
      <c r="J1619" s="102">
        <v>46195</v>
      </c>
      <c r="K1619" s="12"/>
      <c r="L1619" s="19" t="s">
        <v>730</v>
      </c>
      <c r="M1619" s="35"/>
      <c r="N1619"/>
      <c r="O1619" t="s">
        <v>202</v>
      </c>
      <c r="P1619" t="s">
        <v>376</v>
      </c>
      <c r="Q1619" t="s">
        <v>203</v>
      </c>
    </row>
    <row r="1620" spans="1:17" x14ac:dyDescent="0.3">
      <c r="A1620" s="25">
        <v>1387</v>
      </c>
      <c r="B1620" t="s">
        <v>71</v>
      </c>
      <c r="C1620" t="s">
        <v>44</v>
      </c>
      <c r="D1620" t="s">
        <v>517</v>
      </c>
      <c r="E1620" s="118">
        <v>5185</v>
      </c>
      <c r="F1620" s="13">
        <v>46170</v>
      </c>
      <c r="G1620" s="27">
        <v>30240</v>
      </c>
      <c r="H1620" s="27">
        <v>28380.240000000002</v>
      </c>
      <c r="I1620" s="3">
        <v>46171</v>
      </c>
      <c r="J1620" s="102">
        <v>46202</v>
      </c>
      <c r="K1620" s="12"/>
      <c r="L1620" s="19" t="s">
        <v>730</v>
      </c>
      <c r="M1620" s="35"/>
      <c r="N1620"/>
      <c r="O1620" t="s">
        <v>202</v>
      </c>
      <c r="P1620" t="s">
        <v>376</v>
      </c>
      <c r="Q1620" t="s">
        <v>203</v>
      </c>
    </row>
    <row r="1621" spans="1:17" x14ac:dyDescent="0.3">
      <c r="A1621" s="25">
        <v>1387</v>
      </c>
      <c r="B1621" t="s">
        <v>71</v>
      </c>
      <c r="C1621" t="s">
        <v>44</v>
      </c>
      <c r="D1621" t="s">
        <v>517</v>
      </c>
      <c r="E1621" s="118">
        <v>5187</v>
      </c>
      <c r="F1621" s="13">
        <v>46140</v>
      </c>
      <c r="G1621" s="27">
        <v>28728</v>
      </c>
      <c r="H1621" s="27">
        <v>26961.23</v>
      </c>
      <c r="I1621" s="3">
        <v>46171</v>
      </c>
      <c r="J1621" s="102">
        <v>46202</v>
      </c>
      <c r="K1621" s="12"/>
      <c r="L1621" s="19" t="s">
        <v>730</v>
      </c>
      <c r="M1621" s="35"/>
      <c r="N1621"/>
      <c r="O1621" t="s">
        <v>202</v>
      </c>
      <c r="P1621" t="s">
        <v>376</v>
      </c>
      <c r="Q1621" t="s">
        <v>203</v>
      </c>
    </row>
    <row r="1622" spans="1:17" x14ac:dyDescent="0.3">
      <c r="A1622" s="25">
        <v>1388</v>
      </c>
      <c r="B1622" t="s">
        <v>209</v>
      </c>
      <c r="C1622" t="s">
        <v>3</v>
      </c>
      <c r="D1622" t="s">
        <v>518</v>
      </c>
      <c r="E1622" s="118">
        <v>5205</v>
      </c>
      <c r="F1622" s="13">
        <v>46110</v>
      </c>
      <c r="G1622" s="24">
        <v>217767.72</v>
      </c>
      <c r="H1622" s="24">
        <v>196753.13</v>
      </c>
      <c r="I1622" s="3">
        <v>46174</v>
      </c>
      <c r="J1622" s="161">
        <v>46181</v>
      </c>
      <c r="K1622" s="12"/>
      <c r="L1622" s="19" t="s">
        <v>730</v>
      </c>
      <c r="M1622" s="35"/>
      <c r="N1622"/>
      <c r="O1622" t="s">
        <v>199</v>
      </c>
      <c r="P1622" t="s">
        <v>328</v>
      </c>
      <c r="Q1622" t="s">
        <v>203</v>
      </c>
    </row>
    <row r="1623" spans="1:17" x14ac:dyDescent="0.3">
      <c r="A1623" s="25">
        <v>1387</v>
      </c>
      <c r="B1623" t="s">
        <v>71</v>
      </c>
      <c r="C1623" t="s">
        <v>44</v>
      </c>
      <c r="D1623" t="s">
        <v>517</v>
      </c>
      <c r="E1623" s="118">
        <v>5225</v>
      </c>
      <c r="F1623" s="13">
        <v>46201</v>
      </c>
      <c r="G1623" s="27">
        <v>32198.400000000001</v>
      </c>
      <c r="H1623" s="27">
        <v>30218.19</v>
      </c>
      <c r="I1623" s="3">
        <v>46181</v>
      </c>
      <c r="J1623" s="102">
        <v>46202</v>
      </c>
      <c r="K1623" s="12"/>
      <c r="L1623" s="19" t="s">
        <v>730</v>
      </c>
      <c r="M1623" s="35"/>
      <c r="N1623"/>
      <c r="O1623" t="s">
        <v>202</v>
      </c>
      <c r="P1623" t="s">
        <v>376</v>
      </c>
      <c r="Q1623" t="s">
        <v>203</v>
      </c>
    </row>
    <row r="1624" spans="1:17" x14ac:dyDescent="0.3">
      <c r="A1624" s="25">
        <v>1387</v>
      </c>
      <c r="B1624" t="s">
        <v>71</v>
      </c>
      <c r="C1624" t="s">
        <v>44</v>
      </c>
      <c r="D1624" t="s">
        <v>517</v>
      </c>
      <c r="E1624" s="118">
        <v>5224</v>
      </c>
      <c r="F1624" s="13">
        <v>46140</v>
      </c>
      <c r="G1624" s="27">
        <v>16442.88</v>
      </c>
      <c r="H1624" s="27">
        <v>15431.64</v>
      </c>
      <c r="I1624" s="3">
        <v>46181</v>
      </c>
      <c r="J1624" s="102">
        <v>46202</v>
      </c>
      <c r="K1624" s="12"/>
      <c r="L1624" s="19" t="s">
        <v>730</v>
      </c>
      <c r="M1624" s="35"/>
      <c r="N1624"/>
      <c r="O1624" t="s">
        <v>202</v>
      </c>
      <c r="P1624" t="s">
        <v>376</v>
      </c>
      <c r="Q1624" t="s">
        <v>203</v>
      </c>
    </row>
    <row r="1625" spans="1:17" x14ac:dyDescent="0.3">
      <c r="A1625" s="25">
        <v>1387</v>
      </c>
      <c r="B1625" t="s">
        <v>71</v>
      </c>
      <c r="C1625" t="s">
        <v>44</v>
      </c>
      <c r="D1625" t="s">
        <v>517</v>
      </c>
      <c r="E1625" s="118">
        <v>5233</v>
      </c>
      <c r="F1625" s="13">
        <v>46201</v>
      </c>
      <c r="G1625" s="27">
        <v>30240</v>
      </c>
      <c r="H1625" s="27">
        <v>28380.240000000002</v>
      </c>
      <c r="I1625" s="3">
        <v>46181</v>
      </c>
      <c r="J1625" s="102">
        <v>46202</v>
      </c>
      <c r="K1625" s="12"/>
      <c r="L1625" s="19" t="s">
        <v>730</v>
      </c>
      <c r="M1625" s="35"/>
      <c r="N1625"/>
      <c r="O1625" t="s">
        <v>202</v>
      </c>
      <c r="P1625" t="s">
        <v>376</v>
      </c>
      <c r="Q1625" t="s">
        <v>203</v>
      </c>
    </row>
    <row r="1626" spans="1:17" x14ac:dyDescent="0.3">
      <c r="A1626" s="25">
        <v>1387</v>
      </c>
      <c r="B1626" t="s">
        <v>71</v>
      </c>
      <c r="C1626" t="s">
        <v>44</v>
      </c>
      <c r="D1626" t="s">
        <v>517</v>
      </c>
      <c r="E1626" s="118">
        <v>5256</v>
      </c>
      <c r="F1626" s="13">
        <v>46201</v>
      </c>
      <c r="G1626" s="27">
        <v>46603.199999999997</v>
      </c>
      <c r="H1626" s="27">
        <v>43737.1</v>
      </c>
      <c r="I1626" s="3">
        <v>46183</v>
      </c>
      <c r="J1626" s="102">
        <v>46202</v>
      </c>
      <c r="K1626" s="12"/>
      <c r="L1626" s="19" t="s">
        <v>730</v>
      </c>
      <c r="M1626" s="35"/>
      <c r="N1626"/>
      <c r="O1626" t="s">
        <v>202</v>
      </c>
      <c r="P1626" t="s">
        <v>376</v>
      </c>
      <c r="Q1626" t="s">
        <v>203</v>
      </c>
    </row>
    <row r="1627" spans="1:17" x14ac:dyDescent="0.3">
      <c r="A1627" s="25">
        <v>1387</v>
      </c>
      <c r="B1627" t="s">
        <v>71</v>
      </c>
      <c r="C1627" t="s">
        <v>44</v>
      </c>
      <c r="D1627" t="s">
        <v>517</v>
      </c>
      <c r="E1627" s="118"/>
      <c r="F1627" s="13">
        <v>46170</v>
      </c>
      <c r="G1627" s="24">
        <v>103343.40000000002</v>
      </c>
      <c r="H1627" s="24"/>
      <c r="I1627" s="3">
        <v>46174</v>
      </c>
      <c r="J1627" s="102">
        <v>46195</v>
      </c>
      <c r="K1627" s="12"/>
      <c r="L1627" s="19" t="s">
        <v>719</v>
      </c>
      <c r="M1627" s="35"/>
      <c r="N1627"/>
      <c r="O1627" t="s">
        <v>202</v>
      </c>
      <c r="P1627" t="s">
        <v>376</v>
      </c>
      <c r="Q1627" t="s">
        <v>203</v>
      </c>
    </row>
    <row r="1628" spans="1:17" x14ac:dyDescent="0.3">
      <c r="A1628" s="25">
        <v>1360</v>
      </c>
      <c r="B1628" t="s">
        <v>71</v>
      </c>
      <c r="C1628" t="s">
        <v>44</v>
      </c>
      <c r="D1628" t="s">
        <v>483</v>
      </c>
      <c r="E1628" s="118">
        <v>4952</v>
      </c>
      <c r="F1628" s="13">
        <v>46081</v>
      </c>
      <c r="G1628" s="27">
        <v>157890.23999999999</v>
      </c>
      <c r="H1628" s="24">
        <v>148179.99</v>
      </c>
      <c r="I1628" s="3">
        <v>46094</v>
      </c>
      <c r="J1628" s="102">
        <v>46139</v>
      </c>
      <c r="K1628" s="12">
        <v>46140</v>
      </c>
      <c r="L1628" s="19" t="s">
        <v>731</v>
      </c>
      <c r="M1628" s="35"/>
      <c r="N1628"/>
      <c r="O1628" t="s">
        <v>199</v>
      </c>
      <c r="P1628" t="s">
        <v>376</v>
      </c>
      <c r="Q1628" t="s">
        <v>203</v>
      </c>
    </row>
    <row r="1629" spans="1:17" x14ac:dyDescent="0.3">
      <c r="A1629" s="25">
        <v>1360</v>
      </c>
      <c r="B1629" t="s">
        <v>71</v>
      </c>
      <c r="C1629" t="s">
        <v>44</v>
      </c>
      <c r="D1629" t="s">
        <v>483</v>
      </c>
      <c r="E1629" s="118">
        <v>4974</v>
      </c>
      <c r="F1629" s="13">
        <v>46109</v>
      </c>
      <c r="G1629" s="27">
        <v>173605.36</v>
      </c>
      <c r="H1629" s="24">
        <v>162928.64000000001</v>
      </c>
      <c r="I1629" s="3">
        <v>46100</v>
      </c>
      <c r="J1629" s="102">
        <v>46139</v>
      </c>
      <c r="K1629" s="12">
        <v>46140</v>
      </c>
      <c r="L1629" s="19" t="s">
        <v>731</v>
      </c>
      <c r="M1629" s="35"/>
      <c r="N1629"/>
      <c r="O1629" t="s">
        <v>199</v>
      </c>
      <c r="P1629" t="s">
        <v>376</v>
      </c>
      <c r="Q1629" t="s">
        <v>203</v>
      </c>
    </row>
    <row r="1630" spans="1:17" x14ac:dyDescent="0.3">
      <c r="A1630" s="25">
        <v>1360</v>
      </c>
      <c r="B1630" t="s">
        <v>71</v>
      </c>
      <c r="C1630" t="s">
        <v>44</v>
      </c>
      <c r="D1630" t="s">
        <v>483</v>
      </c>
      <c r="E1630" s="118">
        <v>4976</v>
      </c>
      <c r="F1630" s="13">
        <v>46109</v>
      </c>
      <c r="G1630" s="27">
        <v>101999.03999999999</v>
      </c>
      <c r="H1630" s="24">
        <v>95726.1</v>
      </c>
      <c r="I1630" s="3">
        <v>46100</v>
      </c>
      <c r="J1630" s="102">
        <v>46139</v>
      </c>
      <c r="K1630" s="12">
        <v>46140</v>
      </c>
      <c r="L1630" s="19" t="s">
        <v>731</v>
      </c>
      <c r="M1630" s="35"/>
      <c r="N1630"/>
      <c r="O1630" t="s">
        <v>199</v>
      </c>
      <c r="P1630" t="s">
        <v>376</v>
      </c>
      <c r="Q1630" t="s">
        <v>203</v>
      </c>
    </row>
    <row r="1631" spans="1:17" x14ac:dyDescent="0.3">
      <c r="A1631" s="25">
        <v>1360</v>
      </c>
      <c r="B1631" t="s">
        <v>71</v>
      </c>
      <c r="C1631" t="s">
        <v>44</v>
      </c>
      <c r="D1631" t="s">
        <v>483</v>
      </c>
      <c r="E1631" s="118">
        <v>4977</v>
      </c>
      <c r="F1631" s="13">
        <v>46109</v>
      </c>
      <c r="G1631" s="27">
        <v>55624</v>
      </c>
      <c r="H1631" s="24">
        <v>52203.12</v>
      </c>
      <c r="I1631" s="3">
        <v>46100</v>
      </c>
      <c r="J1631" s="102">
        <v>46139</v>
      </c>
      <c r="K1631" s="12">
        <v>46140</v>
      </c>
      <c r="L1631" s="19" t="s">
        <v>731</v>
      </c>
      <c r="M1631" s="35"/>
      <c r="N1631"/>
      <c r="O1631" t="s">
        <v>199</v>
      </c>
      <c r="P1631" t="s">
        <v>376</v>
      </c>
      <c r="Q1631" t="s">
        <v>203</v>
      </c>
    </row>
    <row r="1632" spans="1:17" x14ac:dyDescent="0.3">
      <c r="A1632" s="25">
        <v>1360</v>
      </c>
      <c r="B1632" t="s">
        <v>71</v>
      </c>
      <c r="C1632" t="s">
        <v>44</v>
      </c>
      <c r="D1632" t="s">
        <v>483</v>
      </c>
      <c r="E1632" s="118" t="s">
        <v>828</v>
      </c>
      <c r="F1632" s="13">
        <v>46109</v>
      </c>
      <c r="G1632" s="27">
        <v>57546.93</v>
      </c>
      <c r="H1632" s="24">
        <v>54007.79</v>
      </c>
      <c r="I1632" s="3">
        <v>46101</v>
      </c>
      <c r="J1632" s="102">
        <v>46139</v>
      </c>
      <c r="K1632" s="12">
        <v>46140</v>
      </c>
      <c r="L1632" s="19" t="s">
        <v>731</v>
      </c>
      <c r="M1632" s="35"/>
      <c r="N1632"/>
      <c r="O1632" t="s">
        <v>199</v>
      </c>
      <c r="P1632" t="s">
        <v>376</v>
      </c>
      <c r="Q1632" t="s">
        <v>203</v>
      </c>
    </row>
    <row r="1633" spans="1:17" x14ac:dyDescent="0.3">
      <c r="A1633" s="25">
        <v>1360</v>
      </c>
      <c r="B1633" t="s">
        <v>71</v>
      </c>
      <c r="C1633" t="s">
        <v>44</v>
      </c>
      <c r="D1633" t="s">
        <v>483</v>
      </c>
      <c r="E1633" s="118" t="s">
        <v>829</v>
      </c>
      <c r="F1633" s="13">
        <v>46109</v>
      </c>
      <c r="G1633" s="27">
        <v>65626.81</v>
      </c>
      <c r="H1633" s="24">
        <v>61590.77</v>
      </c>
      <c r="I1633" s="3">
        <v>46101</v>
      </c>
      <c r="J1633" s="102">
        <v>46139</v>
      </c>
      <c r="K1633" s="12">
        <v>46140</v>
      </c>
      <c r="L1633" s="19" t="s">
        <v>731</v>
      </c>
      <c r="M1633" s="35"/>
      <c r="N1633"/>
      <c r="O1633" t="s">
        <v>199</v>
      </c>
      <c r="P1633" t="s">
        <v>376</v>
      </c>
      <c r="Q1633" t="s">
        <v>203</v>
      </c>
    </row>
    <row r="1634" spans="1:17" x14ac:dyDescent="0.3">
      <c r="A1634" s="25">
        <v>1360</v>
      </c>
      <c r="B1634" t="s">
        <v>71</v>
      </c>
      <c r="C1634" t="s">
        <v>44</v>
      </c>
      <c r="D1634" t="s">
        <v>483</v>
      </c>
      <c r="E1634" s="118" t="s">
        <v>830</v>
      </c>
      <c r="F1634" s="13">
        <v>46109</v>
      </c>
      <c r="G1634" s="27">
        <v>45557.64</v>
      </c>
      <c r="H1634" s="24">
        <v>42755.85</v>
      </c>
      <c r="I1634" s="3">
        <v>46101</v>
      </c>
      <c r="J1634" s="102">
        <v>46139</v>
      </c>
      <c r="K1634" s="12">
        <v>46140</v>
      </c>
      <c r="L1634" s="19" t="s">
        <v>731</v>
      </c>
      <c r="M1634" s="35"/>
      <c r="N1634"/>
      <c r="O1634" t="s">
        <v>199</v>
      </c>
      <c r="P1634" t="s">
        <v>376</v>
      </c>
      <c r="Q1634" t="s">
        <v>203</v>
      </c>
    </row>
    <row r="1635" spans="1:17" x14ac:dyDescent="0.3">
      <c r="A1635" s="25">
        <v>1360</v>
      </c>
      <c r="B1635" t="s">
        <v>71</v>
      </c>
      <c r="C1635" t="s">
        <v>44</v>
      </c>
      <c r="D1635" t="s">
        <v>483</v>
      </c>
      <c r="E1635" s="118" t="s">
        <v>831</v>
      </c>
      <c r="F1635" s="13">
        <v>46109</v>
      </c>
      <c r="G1635" s="27">
        <v>58053.599999999999</v>
      </c>
      <c r="H1635" s="24">
        <v>54483.3</v>
      </c>
      <c r="I1635" s="3">
        <v>46101</v>
      </c>
      <c r="J1635" s="102">
        <v>46139</v>
      </c>
      <c r="K1635" s="12">
        <v>46140</v>
      </c>
      <c r="L1635" s="19" t="s">
        <v>731</v>
      </c>
      <c r="M1635" s="35"/>
      <c r="N1635"/>
      <c r="O1635" t="s">
        <v>199</v>
      </c>
      <c r="P1635" t="s">
        <v>376</v>
      </c>
      <c r="Q1635" t="s">
        <v>203</v>
      </c>
    </row>
    <row r="1636" spans="1:17" x14ac:dyDescent="0.3">
      <c r="A1636" s="25">
        <v>1360</v>
      </c>
      <c r="B1636" t="s">
        <v>71</v>
      </c>
      <c r="C1636" t="s">
        <v>44</v>
      </c>
      <c r="D1636" t="s">
        <v>483</v>
      </c>
      <c r="E1636" s="118" t="s">
        <v>832</v>
      </c>
      <c r="F1636" s="13">
        <v>46109</v>
      </c>
      <c r="G1636" s="27">
        <v>90331.199999999997</v>
      </c>
      <c r="H1636" s="24">
        <v>84775.83</v>
      </c>
      <c r="I1636" s="3">
        <v>46101</v>
      </c>
      <c r="J1636" s="102">
        <v>46139</v>
      </c>
      <c r="K1636" s="12">
        <v>46140</v>
      </c>
      <c r="L1636" s="19" t="s">
        <v>731</v>
      </c>
      <c r="M1636" s="35"/>
      <c r="N1636"/>
      <c r="O1636" t="s">
        <v>199</v>
      </c>
      <c r="P1636" t="s">
        <v>376</v>
      </c>
      <c r="Q1636" t="s">
        <v>203</v>
      </c>
    </row>
    <row r="1637" spans="1:17" x14ac:dyDescent="0.3">
      <c r="A1637" s="25">
        <v>1360</v>
      </c>
      <c r="B1637" t="s">
        <v>71</v>
      </c>
      <c r="C1637" t="s">
        <v>44</v>
      </c>
      <c r="D1637" t="s">
        <v>483</v>
      </c>
      <c r="E1637" s="118" t="s">
        <v>833</v>
      </c>
      <c r="F1637" s="13">
        <v>46109</v>
      </c>
      <c r="G1637" s="27">
        <v>61989.599999999999</v>
      </c>
      <c r="H1637" s="24">
        <v>58177.24</v>
      </c>
      <c r="I1637" s="3">
        <v>46101</v>
      </c>
      <c r="J1637" s="102">
        <v>46139</v>
      </c>
      <c r="K1637" s="12">
        <v>46140</v>
      </c>
      <c r="L1637" s="19" t="s">
        <v>731</v>
      </c>
      <c r="M1637" s="35"/>
      <c r="N1637"/>
      <c r="O1637" t="s">
        <v>199</v>
      </c>
      <c r="P1637" t="s">
        <v>376</v>
      </c>
      <c r="Q1637" t="s">
        <v>203</v>
      </c>
    </row>
    <row r="1638" spans="1:17" x14ac:dyDescent="0.3">
      <c r="A1638" s="25">
        <v>1360</v>
      </c>
      <c r="B1638" t="s">
        <v>71</v>
      </c>
      <c r="C1638" t="s">
        <v>44</v>
      </c>
      <c r="D1638" t="s">
        <v>483</v>
      </c>
      <c r="E1638" s="118" t="s">
        <v>834</v>
      </c>
      <c r="F1638" s="13">
        <v>46109</v>
      </c>
      <c r="G1638" s="27">
        <v>51657.599999999999</v>
      </c>
      <c r="H1638" s="24">
        <v>48480.66</v>
      </c>
      <c r="I1638" s="3">
        <v>46101</v>
      </c>
      <c r="J1638" s="102">
        <v>46139</v>
      </c>
      <c r="K1638" s="12">
        <v>46140</v>
      </c>
      <c r="L1638" s="19" t="s">
        <v>731</v>
      </c>
      <c r="M1638" s="35"/>
      <c r="N1638"/>
      <c r="O1638" t="s">
        <v>199</v>
      </c>
      <c r="P1638" t="s">
        <v>376</v>
      </c>
      <c r="Q1638" t="s">
        <v>203</v>
      </c>
    </row>
    <row r="1639" spans="1:17" x14ac:dyDescent="0.3">
      <c r="A1639" s="25">
        <v>1360</v>
      </c>
      <c r="B1639" t="s">
        <v>71</v>
      </c>
      <c r="C1639" t="s">
        <v>44</v>
      </c>
      <c r="D1639" t="s">
        <v>483</v>
      </c>
      <c r="E1639" s="118" t="s">
        <v>835</v>
      </c>
      <c r="F1639" s="13">
        <v>46109</v>
      </c>
      <c r="G1639" s="27">
        <v>78699.600000000006</v>
      </c>
      <c r="H1639" s="24">
        <v>73859.570000000007</v>
      </c>
      <c r="I1639" s="3">
        <v>46101</v>
      </c>
      <c r="J1639" s="102">
        <v>46139</v>
      </c>
      <c r="K1639" s="12">
        <v>46140</v>
      </c>
      <c r="L1639" s="19" t="s">
        <v>731</v>
      </c>
      <c r="M1639" s="35"/>
      <c r="N1639"/>
      <c r="O1639" t="s">
        <v>199</v>
      </c>
      <c r="P1639" t="s">
        <v>376</v>
      </c>
      <c r="Q1639" t="s">
        <v>203</v>
      </c>
    </row>
    <row r="1640" spans="1:17" x14ac:dyDescent="0.3">
      <c r="A1640" s="25">
        <v>1360</v>
      </c>
      <c r="B1640" t="s">
        <v>71</v>
      </c>
      <c r="C1640" t="s">
        <v>44</v>
      </c>
      <c r="D1640" t="s">
        <v>483</v>
      </c>
      <c r="E1640" s="118" t="s">
        <v>836</v>
      </c>
      <c r="F1640" s="13">
        <v>46109</v>
      </c>
      <c r="G1640" s="27">
        <v>49786.879999999997</v>
      </c>
      <c r="H1640" s="24">
        <v>46724.99</v>
      </c>
      <c r="I1640" s="3">
        <v>46101</v>
      </c>
      <c r="J1640" s="102">
        <v>46139</v>
      </c>
      <c r="K1640" s="12">
        <v>46140</v>
      </c>
      <c r="L1640" s="19" t="s">
        <v>731</v>
      </c>
      <c r="M1640" s="35"/>
      <c r="N1640"/>
      <c r="O1640" t="s">
        <v>199</v>
      </c>
      <c r="P1640" t="s">
        <v>376</v>
      </c>
      <c r="Q1640" t="s">
        <v>203</v>
      </c>
    </row>
    <row r="1641" spans="1:17" x14ac:dyDescent="0.3">
      <c r="A1641" s="25">
        <v>1360</v>
      </c>
      <c r="B1641" t="s">
        <v>71</v>
      </c>
      <c r="C1641" t="s">
        <v>44</v>
      </c>
      <c r="D1641" t="s">
        <v>483</v>
      </c>
      <c r="E1641" s="118" t="s">
        <v>837</v>
      </c>
      <c r="F1641" s="13">
        <v>46109</v>
      </c>
      <c r="G1641" s="27">
        <v>36248.959999999999</v>
      </c>
      <c r="H1641" s="24">
        <v>34019.65</v>
      </c>
      <c r="I1641" s="3">
        <v>46104</v>
      </c>
      <c r="J1641" s="102">
        <v>46139</v>
      </c>
      <c r="K1641" s="12">
        <v>46140</v>
      </c>
      <c r="L1641" s="19" t="s">
        <v>731</v>
      </c>
      <c r="M1641" s="35"/>
      <c r="N1641"/>
      <c r="O1641" t="s">
        <v>199</v>
      </c>
      <c r="P1641" t="s">
        <v>376</v>
      </c>
      <c r="Q1641" t="s">
        <v>203</v>
      </c>
    </row>
    <row r="1642" spans="1:17" x14ac:dyDescent="0.3">
      <c r="A1642" s="25">
        <v>1360</v>
      </c>
      <c r="B1642" t="s">
        <v>71</v>
      </c>
      <c r="C1642" t="s">
        <v>44</v>
      </c>
      <c r="D1642" t="s">
        <v>483</v>
      </c>
      <c r="E1642" s="118" t="s">
        <v>838</v>
      </c>
      <c r="F1642" s="13">
        <v>46109</v>
      </c>
      <c r="G1642" s="27">
        <v>42750.400000000001</v>
      </c>
      <c r="H1642" s="24">
        <v>40121.25</v>
      </c>
      <c r="I1642" s="3">
        <v>46104</v>
      </c>
      <c r="J1642" s="102">
        <v>46139</v>
      </c>
      <c r="K1642" s="12">
        <v>46140</v>
      </c>
      <c r="L1642" s="19" t="s">
        <v>731</v>
      </c>
      <c r="M1642" s="35"/>
      <c r="N1642"/>
      <c r="O1642" t="s">
        <v>199</v>
      </c>
      <c r="P1642" t="s">
        <v>376</v>
      </c>
      <c r="Q1642" t="s">
        <v>203</v>
      </c>
    </row>
    <row r="1643" spans="1:17" x14ac:dyDescent="0.3">
      <c r="A1643" s="25">
        <v>1360</v>
      </c>
      <c r="B1643" t="s">
        <v>71</v>
      </c>
      <c r="C1643" t="s">
        <v>44</v>
      </c>
      <c r="D1643" t="s">
        <v>483</v>
      </c>
      <c r="E1643" s="118" t="s">
        <v>839</v>
      </c>
      <c r="F1643" s="13">
        <v>46109</v>
      </c>
      <c r="G1643" s="27">
        <v>36757.599999999999</v>
      </c>
      <c r="H1643" s="24">
        <v>34497.01</v>
      </c>
      <c r="I1643" s="3">
        <v>46104</v>
      </c>
      <c r="J1643" s="102">
        <v>46139</v>
      </c>
      <c r="K1643" s="12">
        <v>46140</v>
      </c>
      <c r="L1643" s="19" t="s">
        <v>731</v>
      </c>
      <c r="M1643" s="35"/>
      <c r="N1643"/>
      <c r="O1643" t="s">
        <v>199</v>
      </c>
      <c r="P1643" t="s">
        <v>376</v>
      </c>
      <c r="Q1643" t="s">
        <v>203</v>
      </c>
    </row>
    <row r="1644" spans="1:17" x14ac:dyDescent="0.3">
      <c r="A1644" s="25">
        <v>1360</v>
      </c>
      <c r="B1644" t="s">
        <v>71</v>
      </c>
      <c r="C1644" t="s">
        <v>44</v>
      </c>
      <c r="D1644" t="s">
        <v>483</v>
      </c>
      <c r="E1644" s="118" t="s">
        <v>840</v>
      </c>
      <c r="F1644" s="13">
        <v>46109</v>
      </c>
      <c r="G1644" s="27">
        <v>20092.16</v>
      </c>
      <c r="H1644" s="24">
        <v>18856.5</v>
      </c>
      <c r="I1644" s="3">
        <v>46104</v>
      </c>
      <c r="J1644" s="102">
        <v>46139</v>
      </c>
      <c r="K1644" s="12">
        <v>46140</v>
      </c>
      <c r="L1644" s="19" t="s">
        <v>731</v>
      </c>
      <c r="M1644" s="35"/>
      <c r="N1644"/>
      <c r="O1644" t="s">
        <v>199</v>
      </c>
      <c r="P1644" t="s">
        <v>376</v>
      </c>
      <c r="Q1644" t="s">
        <v>203</v>
      </c>
    </row>
    <row r="1645" spans="1:17" x14ac:dyDescent="0.3">
      <c r="A1645" s="25">
        <v>1360</v>
      </c>
      <c r="B1645" t="s">
        <v>71</v>
      </c>
      <c r="C1645" t="s">
        <v>44</v>
      </c>
      <c r="D1645" t="s">
        <v>483</v>
      </c>
      <c r="E1645" s="118" t="s">
        <v>841</v>
      </c>
      <c r="F1645" s="13">
        <v>46109</v>
      </c>
      <c r="G1645" s="27">
        <v>183062.88</v>
      </c>
      <c r="H1645" s="24">
        <v>171804.51</v>
      </c>
      <c r="I1645" s="3">
        <v>46104</v>
      </c>
      <c r="J1645" s="102">
        <v>46139</v>
      </c>
      <c r="K1645" s="12">
        <v>46140</v>
      </c>
      <c r="L1645" s="19" t="s">
        <v>731</v>
      </c>
      <c r="M1645" s="35"/>
      <c r="N1645"/>
      <c r="O1645" t="s">
        <v>199</v>
      </c>
      <c r="P1645" t="s">
        <v>376</v>
      </c>
      <c r="Q1645" t="s">
        <v>203</v>
      </c>
    </row>
    <row r="1646" spans="1:17" x14ac:dyDescent="0.3">
      <c r="A1646" s="25">
        <v>1360</v>
      </c>
      <c r="B1646" t="s">
        <v>71</v>
      </c>
      <c r="C1646" t="s">
        <v>44</v>
      </c>
      <c r="D1646" t="s">
        <v>483</v>
      </c>
      <c r="E1646" s="118" t="s">
        <v>842</v>
      </c>
      <c r="F1646" s="13">
        <v>46109</v>
      </c>
      <c r="G1646" s="27">
        <v>57710</v>
      </c>
      <c r="H1646" s="24">
        <v>54160.83</v>
      </c>
      <c r="I1646" s="3">
        <v>46104</v>
      </c>
      <c r="J1646" s="102">
        <v>46139</v>
      </c>
      <c r="K1646" s="12">
        <v>46140</v>
      </c>
      <c r="L1646" s="19" t="s">
        <v>731</v>
      </c>
      <c r="M1646" s="35"/>
      <c r="N1646"/>
      <c r="O1646" t="s">
        <v>199</v>
      </c>
      <c r="P1646" t="s">
        <v>376</v>
      </c>
      <c r="Q1646" t="s">
        <v>203</v>
      </c>
    </row>
    <row r="1647" spans="1:17" x14ac:dyDescent="0.3">
      <c r="A1647" s="25">
        <v>1360</v>
      </c>
      <c r="B1647" t="s">
        <v>71</v>
      </c>
      <c r="C1647" t="s">
        <v>44</v>
      </c>
      <c r="D1647" t="s">
        <v>483</v>
      </c>
      <c r="E1647" s="118" t="s">
        <v>843</v>
      </c>
      <c r="F1647" s="13">
        <v>46109</v>
      </c>
      <c r="G1647" s="27">
        <v>28846.400000000001</v>
      </c>
      <c r="H1647" s="24">
        <v>27072.35</v>
      </c>
      <c r="I1647" s="3">
        <v>46104</v>
      </c>
      <c r="J1647" s="102">
        <v>46139</v>
      </c>
      <c r="K1647" s="12">
        <v>46140</v>
      </c>
      <c r="L1647" s="19" t="s">
        <v>731</v>
      </c>
      <c r="M1647" s="35"/>
      <c r="N1647"/>
      <c r="O1647" t="s">
        <v>199</v>
      </c>
      <c r="P1647" t="s">
        <v>376</v>
      </c>
      <c r="Q1647" t="s">
        <v>203</v>
      </c>
    </row>
    <row r="1648" spans="1:17" x14ac:dyDescent="0.3">
      <c r="A1648" s="25">
        <v>1360</v>
      </c>
      <c r="B1648" t="s">
        <v>71</v>
      </c>
      <c r="C1648" t="s">
        <v>44</v>
      </c>
      <c r="D1648" t="s">
        <v>483</v>
      </c>
      <c r="E1648" s="118" t="s">
        <v>844</v>
      </c>
      <c r="F1648" s="13">
        <v>46109</v>
      </c>
      <c r="G1648" s="27">
        <v>35576.639999999999</v>
      </c>
      <c r="H1648" s="24">
        <v>33388.67</v>
      </c>
      <c r="I1648" s="3">
        <v>46104</v>
      </c>
      <c r="J1648" s="102">
        <v>46139</v>
      </c>
      <c r="K1648" s="12">
        <v>46140</v>
      </c>
      <c r="L1648" s="19" t="s">
        <v>731</v>
      </c>
      <c r="M1648" s="35"/>
      <c r="N1648"/>
      <c r="O1648" t="s">
        <v>199</v>
      </c>
      <c r="P1648" t="s">
        <v>376</v>
      </c>
      <c r="Q1648" t="s">
        <v>203</v>
      </c>
    </row>
    <row r="1649" spans="1:17" x14ac:dyDescent="0.3">
      <c r="A1649" s="25">
        <v>1360</v>
      </c>
      <c r="B1649" t="s">
        <v>71</v>
      </c>
      <c r="C1649" t="s">
        <v>44</v>
      </c>
      <c r="D1649" t="s">
        <v>483</v>
      </c>
      <c r="E1649" s="118" t="s">
        <v>845</v>
      </c>
      <c r="F1649" s="13">
        <v>46109</v>
      </c>
      <c r="G1649" s="27">
        <v>19291.12</v>
      </c>
      <c r="H1649" s="24">
        <v>18104.72</v>
      </c>
      <c r="I1649" s="3">
        <v>46104</v>
      </c>
      <c r="J1649" s="102">
        <v>46139</v>
      </c>
      <c r="K1649" s="12">
        <v>46140</v>
      </c>
      <c r="L1649" s="19" t="s">
        <v>731</v>
      </c>
      <c r="M1649" s="35"/>
      <c r="N1649"/>
      <c r="O1649" t="s">
        <v>199</v>
      </c>
      <c r="P1649" t="s">
        <v>376</v>
      </c>
      <c r="Q1649" t="s">
        <v>203</v>
      </c>
    </row>
    <row r="1650" spans="1:17" x14ac:dyDescent="0.3">
      <c r="A1650" s="25">
        <v>1360</v>
      </c>
      <c r="B1650" t="s">
        <v>71</v>
      </c>
      <c r="C1650" t="s">
        <v>44</v>
      </c>
      <c r="D1650" t="s">
        <v>483</v>
      </c>
      <c r="E1650" s="118" t="s">
        <v>846</v>
      </c>
      <c r="F1650" s="13">
        <v>46109</v>
      </c>
      <c r="G1650" s="27">
        <v>72274.399999999994</v>
      </c>
      <c r="H1650" s="24">
        <v>67829.53</v>
      </c>
      <c r="I1650" s="3">
        <v>46104</v>
      </c>
      <c r="J1650" s="102">
        <v>46139</v>
      </c>
      <c r="K1650" s="12">
        <v>46140</v>
      </c>
      <c r="L1650" s="19" t="s">
        <v>731</v>
      </c>
      <c r="M1650" s="35"/>
      <c r="N1650"/>
      <c r="O1650" t="s">
        <v>199</v>
      </c>
      <c r="P1650" t="s">
        <v>376</v>
      </c>
      <c r="Q1650" t="s">
        <v>203</v>
      </c>
    </row>
    <row r="1651" spans="1:17" x14ac:dyDescent="0.3">
      <c r="A1651" s="25">
        <v>1360</v>
      </c>
      <c r="B1651" t="s">
        <v>71</v>
      </c>
      <c r="C1651" t="s">
        <v>44</v>
      </c>
      <c r="D1651" t="s">
        <v>483</v>
      </c>
      <c r="E1651" s="118" t="s">
        <v>847</v>
      </c>
      <c r="F1651" s="13">
        <v>46109</v>
      </c>
      <c r="G1651" s="27">
        <v>57692.800000000003</v>
      </c>
      <c r="H1651" s="24">
        <v>54144.7</v>
      </c>
      <c r="I1651" s="3">
        <v>46104</v>
      </c>
      <c r="J1651" s="102">
        <v>46139</v>
      </c>
      <c r="K1651" s="12">
        <v>46140</v>
      </c>
      <c r="L1651" s="19" t="s">
        <v>731</v>
      </c>
      <c r="M1651" s="35"/>
      <c r="N1651"/>
      <c r="O1651" t="s">
        <v>199</v>
      </c>
      <c r="P1651" t="s">
        <v>376</v>
      </c>
      <c r="Q1651" t="s">
        <v>203</v>
      </c>
    </row>
    <row r="1652" spans="1:17" x14ac:dyDescent="0.3">
      <c r="A1652" s="25">
        <v>1360</v>
      </c>
      <c r="B1652" t="s">
        <v>71</v>
      </c>
      <c r="C1652" t="s">
        <v>44</v>
      </c>
      <c r="D1652" t="s">
        <v>483</v>
      </c>
      <c r="E1652" s="118" t="s">
        <v>848</v>
      </c>
      <c r="F1652" s="13">
        <v>46109</v>
      </c>
      <c r="G1652" s="27">
        <v>28834.400000000001</v>
      </c>
      <c r="H1652" s="24">
        <v>27061.09</v>
      </c>
      <c r="I1652" s="3">
        <v>46104</v>
      </c>
      <c r="J1652" s="102">
        <v>46139</v>
      </c>
      <c r="K1652" s="12">
        <v>46140</v>
      </c>
      <c r="L1652" s="19" t="s">
        <v>731</v>
      </c>
      <c r="M1652" s="35"/>
      <c r="N1652"/>
      <c r="O1652" t="s">
        <v>199</v>
      </c>
      <c r="P1652" t="s">
        <v>376</v>
      </c>
      <c r="Q1652" t="s">
        <v>203</v>
      </c>
    </row>
    <row r="1653" spans="1:17" x14ac:dyDescent="0.3">
      <c r="A1653" s="25">
        <v>1360</v>
      </c>
      <c r="B1653" t="s">
        <v>71</v>
      </c>
      <c r="C1653" t="s">
        <v>44</v>
      </c>
      <c r="D1653" t="s">
        <v>483</v>
      </c>
      <c r="E1653" s="118" t="s">
        <v>849</v>
      </c>
      <c r="F1653" s="13">
        <v>46081</v>
      </c>
      <c r="G1653" s="27">
        <v>58983.24</v>
      </c>
      <c r="H1653" s="24">
        <v>55355.77</v>
      </c>
      <c r="I1653" s="3">
        <v>46104</v>
      </c>
      <c r="J1653" s="102">
        <v>46139</v>
      </c>
      <c r="K1653" s="12">
        <v>46140</v>
      </c>
      <c r="L1653" s="19" t="s">
        <v>731</v>
      </c>
      <c r="M1653" s="35"/>
      <c r="N1653"/>
      <c r="O1653" t="s">
        <v>199</v>
      </c>
      <c r="P1653" t="s">
        <v>376</v>
      </c>
      <c r="Q1653" t="s">
        <v>203</v>
      </c>
    </row>
    <row r="1654" spans="1:17" x14ac:dyDescent="0.3">
      <c r="A1654" s="25">
        <v>1360</v>
      </c>
      <c r="B1654" t="s">
        <v>71</v>
      </c>
      <c r="C1654" t="s">
        <v>44</v>
      </c>
      <c r="D1654" t="s">
        <v>483</v>
      </c>
      <c r="E1654" s="118" t="s">
        <v>850</v>
      </c>
      <c r="F1654" s="13">
        <v>46109</v>
      </c>
      <c r="G1654" s="27">
        <v>54019.68</v>
      </c>
      <c r="H1654" s="24">
        <v>50697.46</v>
      </c>
      <c r="I1654" s="3">
        <v>46104</v>
      </c>
      <c r="J1654" s="102">
        <v>46139</v>
      </c>
      <c r="K1654" s="12">
        <v>46140</v>
      </c>
      <c r="L1654" s="19" t="s">
        <v>731</v>
      </c>
      <c r="M1654" s="35"/>
      <c r="N1654"/>
      <c r="O1654" t="s">
        <v>199</v>
      </c>
      <c r="P1654" t="s">
        <v>376</v>
      </c>
      <c r="Q1654" t="s">
        <v>203</v>
      </c>
    </row>
    <row r="1655" spans="1:17" x14ac:dyDescent="0.3">
      <c r="A1655" s="25">
        <v>1360</v>
      </c>
      <c r="B1655" t="s">
        <v>71</v>
      </c>
      <c r="C1655" t="s">
        <v>44</v>
      </c>
      <c r="D1655" t="s">
        <v>483</v>
      </c>
      <c r="E1655" s="118">
        <v>5006</v>
      </c>
      <c r="F1655" s="13">
        <v>46109</v>
      </c>
      <c r="G1655" s="27">
        <v>18480</v>
      </c>
      <c r="H1655" s="24">
        <v>17343.48</v>
      </c>
      <c r="I1655" s="3">
        <v>46105</v>
      </c>
      <c r="J1655" s="102">
        <v>46139</v>
      </c>
      <c r="K1655" s="12">
        <v>46140</v>
      </c>
      <c r="L1655" s="19" t="s">
        <v>731</v>
      </c>
      <c r="M1655" s="35"/>
      <c r="N1655"/>
      <c r="O1655" t="s">
        <v>199</v>
      </c>
      <c r="P1655" t="s">
        <v>376</v>
      </c>
      <c r="Q1655" t="s">
        <v>203</v>
      </c>
    </row>
    <row r="1656" spans="1:17" x14ac:dyDescent="0.3">
      <c r="A1656" s="25">
        <v>1360</v>
      </c>
      <c r="B1656" t="s">
        <v>71</v>
      </c>
      <c r="C1656" t="s">
        <v>44</v>
      </c>
      <c r="D1656" t="s">
        <v>483</v>
      </c>
      <c r="E1656" s="118">
        <v>5007</v>
      </c>
      <c r="F1656" s="13">
        <v>46109</v>
      </c>
      <c r="G1656" s="27">
        <v>33968</v>
      </c>
      <c r="H1656" s="24">
        <v>31878.97</v>
      </c>
      <c r="I1656" s="3">
        <v>46105</v>
      </c>
      <c r="J1656" s="102">
        <v>46139</v>
      </c>
      <c r="K1656" s="12">
        <v>46140</v>
      </c>
      <c r="L1656" s="19" t="s">
        <v>731</v>
      </c>
      <c r="M1656" s="35"/>
      <c r="N1656"/>
      <c r="O1656" t="s">
        <v>199</v>
      </c>
      <c r="P1656" t="s">
        <v>376</v>
      </c>
      <c r="Q1656" t="s">
        <v>203</v>
      </c>
    </row>
    <row r="1657" spans="1:17" x14ac:dyDescent="0.3">
      <c r="A1657" s="25">
        <v>1360</v>
      </c>
      <c r="B1657" t="s">
        <v>71</v>
      </c>
      <c r="C1657" t="s">
        <v>44</v>
      </c>
      <c r="D1657" t="s">
        <v>483</v>
      </c>
      <c r="E1657" s="118">
        <v>5008</v>
      </c>
      <c r="F1657" s="13">
        <v>46109</v>
      </c>
      <c r="G1657" s="27">
        <v>33968</v>
      </c>
      <c r="H1657" s="24">
        <v>31878.97</v>
      </c>
      <c r="I1657" s="3">
        <v>46105</v>
      </c>
      <c r="J1657" s="102">
        <v>46139</v>
      </c>
      <c r="K1657" s="12">
        <v>46140</v>
      </c>
      <c r="L1657" s="19" t="s">
        <v>731</v>
      </c>
      <c r="M1657" s="35"/>
      <c r="N1657"/>
      <c r="O1657" t="s">
        <v>199</v>
      </c>
      <c r="P1657" t="s">
        <v>376</v>
      </c>
      <c r="Q1657" t="s">
        <v>203</v>
      </c>
    </row>
    <row r="1658" spans="1:17" x14ac:dyDescent="0.3">
      <c r="A1658" s="25">
        <v>1360</v>
      </c>
      <c r="B1658" t="s">
        <v>71</v>
      </c>
      <c r="C1658" t="s">
        <v>44</v>
      </c>
      <c r="D1658" t="s">
        <v>483</v>
      </c>
      <c r="E1658" s="118">
        <v>5009</v>
      </c>
      <c r="F1658" s="13">
        <v>46109</v>
      </c>
      <c r="G1658" s="27">
        <v>197711.2</v>
      </c>
      <c r="H1658" s="24">
        <v>185551.96</v>
      </c>
      <c r="I1658" s="3">
        <v>46105</v>
      </c>
      <c r="J1658" s="102">
        <v>46139</v>
      </c>
      <c r="K1658" s="12">
        <v>46140</v>
      </c>
      <c r="L1658" s="19" t="s">
        <v>731</v>
      </c>
      <c r="M1658" s="35"/>
      <c r="N1658"/>
      <c r="O1658" t="s">
        <v>199</v>
      </c>
      <c r="P1658" t="s">
        <v>376</v>
      </c>
      <c r="Q1658" t="s">
        <v>203</v>
      </c>
    </row>
    <row r="1659" spans="1:17" x14ac:dyDescent="0.3">
      <c r="A1659" s="25">
        <v>1360</v>
      </c>
      <c r="B1659" t="s">
        <v>71</v>
      </c>
      <c r="C1659" t="s">
        <v>44</v>
      </c>
      <c r="D1659" t="s">
        <v>483</v>
      </c>
      <c r="E1659" s="118">
        <v>5019</v>
      </c>
      <c r="F1659" s="13">
        <v>46109</v>
      </c>
      <c r="G1659" s="24">
        <v>41106.559999999998</v>
      </c>
      <c r="H1659" s="27">
        <v>38578.506559999994</v>
      </c>
      <c r="I1659" s="3">
        <v>46113</v>
      </c>
      <c r="J1659" s="102">
        <v>46167</v>
      </c>
      <c r="K1659" s="12">
        <v>46169</v>
      </c>
      <c r="L1659" s="19" t="s">
        <v>731</v>
      </c>
      <c r="M1659" s="35"/>
      <c r="N1659"/>
      <c r="O1659" t="s">
        <v>199</v>
      </c>
      <c r="P1659" t="s">
        <v>376</v>
      </c>
      <c r="Q1659" t="s">
        <v>203</v>
      </c>
    </row>
    <row r="1660" spans="1:17" x14ac:dyDescent="0.3">
      <c r="A1660" s="25">
        <v>1360</v>
      </c>
      <c r="B1660" t="s">
        <v>71</v>
      </c>
      <c r="C1660" t="s">
        <v>44</v>
      </c>
      <c r="D1660" t="s">
        <v>483</v>
      </c>
      <c r="E1660" s="118">
        <v>5100</v>
      </c>
      <c r="F1660" s="13">
        <v>46140</v>
      </c>
      <c r="G1660" s="24">
        <v>47297.54</v>
      </c>
      <c r="H1660" s="27">
        <v>44388.740962362441</v>
      </c>
      <c r="I1660" s="3">
        <v>46136</v>
      </c>
      <c r="J1660" s="102">
        <v>46167</v>
      </c>
      <c r="K1660" s="12">
        <v>46169</v>
      </c>
      <c r="L1660" s="19" t="s">
        <v>731</v>
      </c>
      <c r="M1660" s="35"/>
      <c r="N1660"/>
      <c r="O1660" t="s">
        <v>199</v>
      </c>
      <c r="P1660" t="s">
        <v>376</v>
      </c>
      <c r="Q1660" t="s">
        <v>203</v>
      </c>
    </row>
    <row r="1661" spans="1:17" x14ac:dyDescent="0.3">
      <c r="A1661" s="25">
        <v>1360</v>
      </c>
      <c r="B1661" t="s">
        <v>71</v>
      </c>
      <c r="C1661" t="s">
        <v>44</v>
      </c>
      <c r="D1661" t="s">
        <v>483</v>
      </c>
      <c r="E1661" s="118">
        <v>5101</v>
      </c>
      <c r="F1661" s="13">
        <v>46140</v>
      </c>
      <c r="G1661" s="24">
        <v>27404.080000000002</v>
      </c>
      <c r="H1661" s="27">
        <v>25718.728890167597</v>
      </c>
      <c r="I1661" s="3">
        <v>46136</v>
      </c>
      <c r="J1661" s="102">
        <v>46167</v>
      </c>
      <c r="K1661" s="12">
        <v>46169</v>
      </c>
      <c r="L1661" s="19" t="s">
        <v>731</v>
      </c>
      <c r="M1661" s="35"/>
      <c r="N1661"/>
      <c r="O1661" t="s">
        <v>199</v>
      </c>
      <c r="P1661" t="s">
        <v>376</v>
      </c>
      <c r="Q1661" t="s">
        <v>203</v>
      </c>
    </row>
    <row r="1662" spans="1:17" x14ac:dyDescent="0.3">
      <c r="A1662" s="25">
        <v>1360</v>
      </c>
      <c r="B1662" t="s">
        <v>71</v>
      </c>
      <c r="C1662" t="s">
        <v>44</v>
      </c>
      <c r="D1662" t="s">
        <v>483</v>
      </c>
      <c r="E1662" s="118">
        <v>5102</v>
      </c>
      <c r="F1662" s="13">
        <v>46140</v>
      </c>
      <c r="G1662" s="24">
        <v>90331.199999999997</v>
      </c>
      <c r="H1662" s="27">
        <v>84775.830574261461</v>
      </c>
      <c r="I1662" s="3">
        <v>46136</v>
      </c>
      <c r="J1662" s="102">
        <v>46167</v>
      </c>
      <c r="K1662" s="12">
        <v>46169</v>
      </c>
      <c r="L1662" s="19" t="s">
        <v>731</v>
      </c>
      <c r="M1662" s="35"/>
      <c r="N1662"/>
      <c r="O1662" t="s">
        <v>199</v>
      </c>
      <c r="P1662" t="s">
        <v>376</v>
      </c>
      <c r="Q1662" t="s">
        <v>203</v>
      </c>
    </row>
    <row r="1663" spans="1:17" x14ac:dyDescent="0.3">
      <c r="A1663" s="25">
        <v>1360</v>
      </c>
      <c r="B1663" t="s">
        <v>71</v>
      </c>
      <c r="C1663" t="s">
        <v>44</v>
      </c>
      <c r="D1663" t="s">
        <v>483</v>
      </c>
      <c r="E1663" s="118">
        <v>5104</v>
      </c>
      <c r="F1663" s="13">
        <v>46140</v>
      </c>
      <c r="G1663" s="24">
        <v>68660.800000000003</v>
      </c>
      <c r="H1663" s="27">
        <v>64438.17</v>
      </c>
      <c r="I1663" s="3">
        <v>46139</v>
      </c>
      <c r="J1663" s="102">
        <v>46167</v>
      </c>
      <c r="K1663" s="12">
        <v>46169</v>
      </c>
      <c r="L1663" s="19" t="s">
        <v>731</v>
      </c>
      <c r="M1663" s="35"/>
      <c r="N1663"/>
      <c r="O1663" t="s">
        <v>199</v>
      </c>
      <c r="P1663" t="s">
        <v>376</v>
      </c>
      <c r="Q1663" t="s">
        <v>203</v>
      </c>
    </row>
    <row r="1664" spans="1:17" x14ac:dyDescent="0.3">
      <c r="A1664" s="25">
        <v>1360</v>
      </c>
      <c r="B1664" t="s">
        <v>71</v>
      </c>
      <c r="C1664" t="s">
        <v>44</v>
      </c>
      <c r="D1664" t="s">
        <v>483</v>
      </c>
      <c r="E1664" s="118">
        <v>5106</v>
      </c>
      <c r="F1664" s="13">
        <v>46140</v>
      </c>
      <c r="G1664" s="24">
        <v>65998.399999999994</v>
      </c>
      <c r="H1664" s="27">
        <v>61939.51</v>
      </c>
      <c r="I1664" s="3">
        <v>46139</v>
      </c>
      <c r="J1664" s="102">
        <v>46167</v>
      </c>
      <c r="K1664" s="12">
        <v>46169</v>
      </c>
      <c r="L1664" s="19" t="s">
        <v>731</v>
      </c>
      <c r="M1664" s="35"/>
      <c r="N1664"/>
      <c r="O1664" t="s">
        <v>199</v>
      </c>
      <c r="P1664" t="s">
        <v>376</v>
      </c>
      <c r="Q1664" t="s">
        <v>203</v>
      </c>
    </row>
    <row r="1665" spans="1:17" x14ac:dyDescent="0.3">
      <c r="A1665" s="25">
        <v>1360</v>
      </c>
      <c r="B1665" t="s">
        <v>71</v>
      </c>
      <c r="C1665" t="s">
        <v>44</v>
      </c>
      <c r="D1665" t="s">
        <v>483</v>
      </c>
      <c r="E1665" s="118">
        <v>5107</v>
      </c>
      <c r="F1665" s="13">
        <v>46140</v>
      </c>
      <c r="G1665" s="24">
        <v>87080</v>
      </c>
      <c r="H1665" s="24">
        <v>81724.58</v>
      </c>
      <c r="I1665" s="3">
        <v>46140</v>
      </c>
      <c r="J1665" s="102">
        <v>46167</v>
      </c>
      <c r="K1665" s="12">
        <v>46170</v>
      </c>
      <c r="L1665" s="19" t="s">
        <v>731</v>
      </c>
      <c r="M1665" s="35"/>
      <c r="N1665"/>
      <c r="O1665" t="s">
        <v>199</v>
      </c>
      <c r="P1665" t="s">
        <v>376</v>
      </c>
      <c r="Q1665" t="s">
        <v>203</v>
      </c>
    </row>
    <row r="1666" spans="1:17" x14ac:dyDescent="0.3">
      <c r="A1666" s="25">
        <v>1360</v>
      </c>
      <c r="B1666" t="s">
        <v>71</v>
      </c>
      <c r="C1666" t="s">
        <v>44</v>
      </c>
      <c r="D1666" t="s">
        <v>483</v>
      </c>
      <c r="E1666" s="118">
        <v>5111</v>
      </c>
      <c r="F1666" s="13">
        <v>46140</v>
      </c>
      <c r="G1666" s="24">
        <v>61571.199999999997</v>
      </c>
      <c r="H1666" s="24">
        <v>57784.57</v>
      </c>
      <c r="I1666" s="3">
        <v>46141</v>
      </c>
      <c r="J1666" s="102">
        <v>46167</v>
      </c>
      <c r="K1666" s="12">
        <v>46171</v>
      </c>
      <c r="L1666" s="19" t="s">
        <v>731</v>
      </c>
      <c r="M1666" s="35"/>
      <c r="N1666"/>
      <c r="O1666" t="s">
        <v>199</v>
      </c>
      <c r="P1666" t="s">
        <v>376</v>
      </c>
      <c r="Q1666" t="s">
        <v>203</v>
      </c>
    </row>
    <row r="1667" spans="1:17" x14ac:dyDescent="0.3">
      <c r="A1667" s="25">
        <v>1360</v>
      </c>
      <c r="B1667" t="s">
        <v>71</v>
      </c>
      <c r="C1667" t="s">
        <v>44</v>
      </c>
      <c r="D1667" t="s">
        <v>483</v>
      </c>
      <c r="E1667" s="118">
        <v>5112</v>
      </c>
      <c r="F1667" s="13">
        <v>46140</v>
      </c>
      <c r="G1667" s="24">
        <v>59897.31</v>
      </c>
      <c r="H1667" s="24">
        <v>56213.63</v>
      </c>
      <c r="I1667" s="3">
        <v>46141</v>
      </c>
      <c r="J1667" s="102">
        <v>46167</v>
      </c>
      <c r="K1667" s="12">
        <v>46171</v>
      </c>
      <c r="L1667" s="19" t="s">
        <v>731</v>
      </c>
      <c r="M1667" s="35"/>
      <c r="N1667"/>
      <c r="O1667" t="s">
        <v>199</v>
      </c>
      <c r="P1667" t="s">
        <v>376</v>
      </c>
      <c r="Q1667" t="s">
        <v>203</v>
      </c>
    </row>
    <row r="1668" spans="1:17" x14ac:dyDescent="0.3">
      <c r="A1668" s="25">
        <v>1360</v>
      </c>
      <c r="B1668" t="s">
        <v>71</v>
      </c>
      <c r="C1668" t="s">
        <v>44</v>
      </c>
      <c r="D1668" t="s">
        <v>483</v>
      </c>
      <c r="E1668" s="118">
        <v>5129</v>
      </c>
      <c r="F1668" s="13">
        <v>46140</v>
      </c>
      <c r="G1668" s="27">
        <v>141773.44</v>
      </c>
      <c r="H1668" s="27">
        <v>133054.38</v>
      </c>
      <c r="I1668" s="3">
        <v>46153</v>
      </c>
      <c r="J1668" s="102">
        <v>46195</v>
      </c>
      <c r="K1668" s="12"/>
      <c r="L1668" s="19" t="s">
        <v>730</v>
      </c>
      <c r="M1668" s="35"/>
      <c r="N1668"/>
      <c r="O1668" t="s">
        <v>199</v>
      </c>
      <c r="P1668" t="s">
        <v>376</v>
      </c>
      <c r="Q1668" t="s">
        <v>203</v>
      </c>
    </row>
    <row r="1669" spans="1:17" x14ac:dyDescent="0.3">
      <c r="A1669" s="25">
        <v>1360</v>
      </c>
      <c r="B1669" t="s">
        <v>71</v>
      </c>
      <c r="C1669" t="s">
        <v>44</v>
      </c>
      <c r="D1669" t="s">
        <v>483</v>
      </c>
      <c r="E1669" s="118">
        <v>5172</v>
      </c>
      <c r="F1669" s="13">
        <v>46170</v>
      </c>
      <c r="G1669" s="27">
        <v>27540.6</v>
      </c>
      <c r="H1669" s="27">
        <v>25846.85</v>
      </c>
      <c r="I1669" s="3">
        <v>46162</v>
      </c>
      <c r="J1669" s="102">
        <v>46195</v>
      </c>
      <c r="K1669" s="12"/>
      <c r="L1669" s="19" t="s">
        <v>730</v>
      </c>
      <c r="M1669" s="35"/>
      <c r="N1669"/>
      <c r="O1669" t="s">
        <v>199</v>
      </c>
      <c r="P1669" t="s">
        <v>376</v>
      </c>
      <c r="Q1669" t="s">
        <v>203</v>
      </c>
    </row>
    <row r="1670" spans="1:17" x14ac:dyDescent="0.3">
      <c r="A1670" s="25">
        <v>1360</v>
      </c>
      <c r="B1670" t="s">
        <v>71</v>
      </c>
      <c r="C1670" t="s">
        <v>44</v>
      </c>
      <c r="D1670" t="s">
        <v>483</v>
      </c>
      <c r="E1670" s="118">
        <v>5169</v>
      </c>
      <c r="F1670" s="13">
        <v>46170</v>
      </c>
      <c r="G1670" s="27">
        <v>68107.199999999997</v>
      </c>
      <c r="H1670" s="27">
        <v>63918.61</v>
      </c>
      <c r="I1670" s="3">
        <v>46162</v>
      </c>
      <c r="J1670" s="102">
        <v>46195</v>
      </c>
      <c r="K1670" s="12"/>
      <c r="L1670" s="19" t="s">
        <v>730</v>
      </c>
      <c r="M1670" s="35"/>
      <c r="N1670"/>
      <c r="O1670" t="s">
        <v>199</v>
      </c>
      <c r="P1670" t="s">
        <v>376</v>
      </c>
      <c r="Q1670" t="s">
        <v>203</v>
      </c>
    </row>
    <row r="1671" spans="1:17" x14ac:dyDescent="0.3">
      <c r="A1671" s="25">
        <v>1360</v>
      </c>
      <c r="B1671" t="s">
        <v>71</v>
      </c>
      <c r="C1671" t="s">
        <v>44</v>
      </c>
      <c r="D1671" t="s">
        <v>483</v>
      </c>
      <c r="E1671" s="118">
        <v>5168</v>
      </c>
      <c r="F1671" s="13">
        <v>46170</v>
      </c>
      <c r="G1671" s="27">
        <v>34920</v>
      </c>
      <c r="H1671" s="27">
        <v>32772.42</v>
      </c>
      <c r="I1671" s="3">
        <v>46162</v>
      </c>
      <c r="J1671" s="102">
        <v>46195</v>
      </c>
      <c r="K1671" s="12"/>
      <c r="L1671" s="19" t="s">
        <v>730</v>
      </c>
      <c r="M1671" s="35"/>
      <c r="N1671"/>
      <c r="O1671" t="s">
        <v>199</v>
      </c>
      <c r="P1671" t="s">
        <v>376</v>
      </c>
      <c r="Q1671" t="s">
        <v>203</v>
      </c>
    </row>
    <row r="1672" spans="1:17" x14ac:dyDescent="0.3">
      <c r="A1672" s="25">
        <v>1360</v>
      </c>
      <c r="B1672" t="s">
        <v>71</v>
      </c>
      <c r="C1672" t="s">
        <v>44</v>
      </c>
      <c r="D1672" t="s">
        <v>483</v>
      </c>
      <c r="E1672" s="118">
        <v>5167</v>
      </c>
      <c r="F1672" s="13">
        <v>46170</v>
      </c>
      <c r="G1672" s="27">
        <v>113988.6</v>
      </c>
      <c r="H1672" s="27">
        <v>106978.3</v>
      </c>
      <c r="I1672" s="3">
        <v>46162</v>
      </c>
      <c r="J1672" s="102">
        <v>46195</v>
      </c>
      <c r="K1672" s="12"/>
      <c r="L1672" s="19" t="s">
        <v>730</v>
      </c>
      <c r="M1672" s="35"/>
      <c r="N1672"/>
      <c r="O1672" t="s">
        <v>199</v>
      </c>
      <c r="P1672" t="s">
        <v>376</v>
      </c>
      <c r="Q1672" t="s">
        <v>203</v>
      </c>
    </row>
    <row r="1673" spans="1:17" x14ac:dyDescent="0.3">
      <c r="A1673" s="25">
        <v>1360</v>
      </c>
      <c r="B1673" t="s">
        <v>71</v>
      </c>
      <c r="C1673" t="s">
        <v>44</v>
      </c>
      <c r="D1673" t="s">
        <v>483</v>
      </c>
      <c r="E1673" s="118">
        <v>5176</v>
      </c>
      <c r="F1673" s="13">
        <v>46170</v>
      </c>
      <c r="G1673" s="27">
        <v>119166.39999999999</v>
      </c>
      <c r="H1673" s="27">
        <v>111837.67</v>
      </c>
      <c r="I1673" s="3">
        <v>46163</v>
      </c>
      <c r="J1673" s="102">
        <v>46195</v>
      </c>
      <c r="K1673" s="12"/>
      <c r="L1673" s="19" t="s">
        <v>730</v>
      </c>
      <c r="M1673" s="35"/>
      <c r="N1673"/>
      <c r="O1673" t="s">
        <v>199</v>
      </c>
      <c r="P1673" t="s">
        <v>376</v>
      </c>
      <c r="Q1673" t="s">
        <v>203</v>
      </c>
    </row>
    <row r="1674" spans="1:17" x14ac:dyDescent="0.3">
      <c r="A1674" s="25">
        <v>1360</v>
      </c>
      <c r="B1674" t="s">
        <v>71</v>
      </c>
      <c r="C1674" t="s">
        <v>44</v>
      </c>
      <c r="D1674" t="s">
        <v>483</v>
      </c>
      <c r="E1674" s="118">
        <v>5175</v>
      </c>
      <c r="F1674" s="13">
        <v>46170</v>
      </c>
      <c r="G1674" s="27">
        <v>27404.080000000002</v>
      </c>
      <c r="H1674" s="27">
        <v>25718.73</v>
      </c>
      <c r="I1674" s="3">
        <v>46163</v>
      </c>
      <c r="J1674" s="102">
        <v>46195</v>
      </c>
      <c r="K1674" s="12"/>
      <c r="L1674" s="19" t="s">
        <v>730</v>
      </c>
      <c r="M1674" s="35"/>
      <c r="N1674"/>
      <c r="O1674" t="s">
        <v>199</v>
      </c>
      <c r="P1674" t="s">
        <v>376</v>
      </c>
      <c r="Q1674" t="s">
        <v>203</v>
      </c>
    </row>
    <row r="1675" spans="1:17" x14ac:dyDescent="0.3">
      <c r="A1675" s="25">
        <v>1360</v>
      </c>
      <c r="B1675" t="s">
        <v>71</v>
      </c>
      <c r="C1675" t="s">
        <v>44</v>
      </c>
      <c r="D1675" t="s">
        <v>483</v>
      </c>
      <c r="E1675" s="118">
        <v>5174</v>
      </c>
      <c r="F1675" s="13">
        <v>46170</v>
      </c>
      <c r="G1675" s="27">
        <v>59456.73</v>
      </c>
      <c r="H1675" s="27">
        <v>55800.140531237339</v>
      </c>
      <c r="I1675" s="3">
        <v>46163</v>
      </c>
      <c r="J1675" s="102">
        <v>46195</v>
      </c>
      <c r="K1675" s="12"/>
      <c r="L1675" s="19" t="s">
        <v>730</v>
      </c>
      <c r="M1675" s="35"/>
      <c r="N1675"/>
      <c r="O1675" t="s">
        <v>199</v>
      </c>
      <c r="P1675" t="s">
        <v>376</v>
      </c>
      <c r="Q1675" t="s">
        <v>203</v>
      </c>
    </row>
    <row r="1676" spans="1:17" x14ac:dyDescent="0.3">
      <c r="A1676" s="25">
        <v>1360</v>
      </c>
      <c r="B1676" t="s">
        <v>71</v>
      </c>
      <c r="C1676" t="s">
        <v>44</v>
      </c>
      <c r="D1676" t="s">
        <v>483</v>
      </c>
      <c r="E1676" s="118">
        <v>5178</v>
      </c>
      <c r="F1676" s="13">
        <v>46170</v>
      </c>
      <c r="G1676" s="27">
        <v>68660.800000000003</v>
      </c>
      <c r="H1676" s="27">
        <v>64438.160137417253</v>
      </c>
      <c r="I1676" s="3">
        <v>46164</v>
      </c>
      <c r="J1676" s="102">
        <v>46195</v>
      </c>
      <c r="K1676" s="12"/>
      <c r="L1676" s="19" t="s">
        <v>730</v>
      </c>
      <c r="M1676" s="35"/>
      <c r="N1676"/>
      <c r="O1676" t="s">
        <v>199</v>
      </c>
      <c r="P1676" t="s">
        <v>376</v>
      </c>
      <c r="Q1676" t="s">
        <v>203</v>
      </c>
    </row>
    <row r="1677" spans="1:17" x14ac:dyDescent="0.3">
      <c r="A1677" s="25">
        <v>1360</v>
      </c>
      <c r="B1677" t="s">
        <v>71</v>
      </c>
      <c r="C1677" t="s">
        <v>44</v>
      </c>
      <c r="D1677" t="s">
        <v>483</v>
      </c>
      <c r="E1677" s="118">
        <v>5179</v>
      </c>
      <c r="F1677" s="13">
        <v>46170</v>
      </c>
      <c r="G1677" s="27">
        <v>87080</v>
      </c>
      <c r="H1677" s="27">
        <v>81724.58</v>
      </c>
      <c r="I1677" s="3">
        <v>46167</v>
      </c>
      <c r="J1677" s="102">
        <v>46195</v>
      </c>
      <c r="K1677" s="12"/>
      <c r="L1677" s="19" t="s">
        <v>730</v>
      </c>
      <c r="M1677" s="35"/>
      <c r="N1677"/>
      <c r="O1677" t="s">
        <v>199</v>
      </c>
      <c r="P1677" t="s">
        <v>376</v>
      </c>
      <c r="Q1677" t="s">
        <v>203</v>
      </c>
    </row>
    <row r="1678" spans="1:17" x14ac:dyDescent="0.3">
      <c r="A1678" s="25">
        <v>1360</v>
      </c>
      <c r="B1678" t="s">
        <v>71</v>
      </c>
      <c r="C1678" t="s">
        <v>44</v>
      </c>
      <c r="D1678" t="s">
        <v>483</v>
      </c>
      <c r="E1678" s="118">
        <v>5182</v>
      </c>
      <c r="F1678" s="13">
        <v>46170</v>
      </c>
      <c r="G1678" s="27">
        <v>26990.400000000001</v>
      </c>
      <c r="H1678" s="27">
        <v>25330.49</v>
      </c>
      <c r="I1678" s="3">
        <v>46167</v>
      </c>
      <c r="J1678" s="102">
        <v>46195</v>
      </c>
      <c r="K1678" s="12"/>
      <c r="L1678" s="19" t="s">
        <v>730</v>
      </c>
      <c r="M1678" s="35"/>
      <c r="N1678"/>
      <c r="O1678" t="s">
        <v>199</v>
      </c>
      <c r="P1678" t="s">
        <v>376</v>
      </c>
      <c r="Q1678" t="s">
        <v>203</v>
      </c>
    </row>
    <row r="1679" spans="1:17" x14ac:dyDescent="0.3">
      <c r="A1679" s="25">
        <v>1360</v>
      </c>
      <c r="B1679" t="s">
        <v>71</v>
      </c>
      <c r="C1679" t="s">
        <v>44</v>
      </c>
      <c r="D1679" t="s">
        <v>483</v>
      </c>
      <c r="E1679" s="118">
        <v>5183</v>
      </c>
      <c r="F1679" s="13">
        <v>46170</v>
      </c>
      <c r="G1679" s="27">
        <v>17543.759999999998</v>
      </c>
      <c r="H1679" s="27">
        <v>16464.82</v>
      </c>
      <c r="I1679" s="3">
        <v>46167</v>
      </c>
      <c r="J1679" s="102">
        <v>46195</v>
      </c>
      <c r="K1679" s="12"/>
      <c r="L1679" s="19" t="s">
        <v>730</v>
      </c>
      <c r="M1679" s="35"/>
      <c r="N1679"/>
      <c r="O1679" t="s">
        <v>199</v>
      </c>
      <c r="P1679" t="s">
        <v>376</v>
      </c>
      <c r="Q1679" t="s">
        <v>203</v>
      </c>
    </row>
    <row r="1680" spans="1:17" x14ac:dyDescent="0.3">
      <c r="A1680" s="25">
        <v>1360</v>
      </c>
      <c r="B1680" t="s">
        <v>71</v>
      </c>
      <c r="C1680" t="s">
        <v>44</v>
      </c>
      <c r="D1680" t="s">
        <v>483</v>
      </c>
      <c r="E1680" s="118" t="s">
        <v>899</v>
      </c>
      <c r="F1680" s="13">
        <v>46140</v>
      </c>
      <c r="G1680" s="27">
        <v>180986.32</v>
      </c>
      <c r="H1680" s="27">
        <v>169855.67</v>
      </c>
      <c r="I1680" s="3">
        <v>46171</v>
      </c>
      <c r="J1680" s="102">
        <v>46202</v>
      </c>
      <c r="K1680" s="12"/>
      <c r="L1680" s="19" t="s">
        <v>730</v>
      </c>
      <c r="M1680" s="35"/>
      <c r="N1680"/>
      <c r="O1680" t="s">
        <v>199</v>
      </c>
      <c r="P1680" t="s">
        <v>376</v>
      </c>
      <c r="Q1680" t="s">
        <v>203</v>
      </c>
    </row>
    <row r="1681" spans="1:17" x14ac:dyDescent="0.3">
      <c r="A1681" s="25">
        <v>1360</v>
      </c>
      <c r="B1681" t="s">
        <v>71</v>
      </c>
      <c r="C1681" t="s">
        <v>44</v>
      </c>
      <c r="D1681" t="s">
        <v>483</v>
      </c>
      <c r="E1681" s="118" t="s">
        <v>900</v>
      </c>
      <c r="F1681" s="13">
        <v>46170</v>
      </c>
      <c r="G1681" s="27">
        <v>803507.04</v>
      </c>
      <c r="H1681" s="27">
        <v>754091.35</v>
      </c>
      <c r="I1681" s="3">
        <v>46171</v>
      </c>
      <c r="J1681" s="102">
        <v>46202</v>
      </c>
      <c r="K1681" s="12"/>
      <c r="L1681" s="19" t="s">
        <v>730</v>
      </c>
      <c r="M1681" s="35"/>
      <c r="N1681"/>
      <c r="O1681" t="s">
        <v>199</v>
      </c>
      <c r="P1681" t="s">
        <v>376</v>
      </c>
      <c r="Q1681" t="s">
        <v>203</v>
      </c>
    </row>
    <row r="1682" spans="1:17" x14ac:dyDescent="0.3">
      <c r="A1682" s="25">
        <v>1360</v>
      </c>
      <c r="B1682" t="s">
        <v>71</v>
      </c>
      <c r="C1682" t="s">
        <v>44</v>
      </c>
      <c r="D1682" t="s">
        <v>483</v>
      </c>
      <c r="E1682" s="118" t="s">
        <v>901</v>
      </c>
      <c r="F1682" s="13">
        <v>46170</v>
      </c>
      <c r="G1682" s="27">
        <v>18265.599999999999</v>
      </c>
      <c r="H1682" s="27">
        <v>17142.259999999998</v>
      </c>
      <c r="I1682" s="3">
        <v>46171</v>
      </c>
      <c r="J1682" s="102">
        <v>46202</v>
      </c>
      <c r="K1682" s="12"/>
      <c r="L1682" s="19" t="s">
        <v>730</v>
      </c>
      <c r="M1682" s="35"/>
      <c r="N1682"/>
      <c r="O1682" t="s">
        <v>199</v>
      </c>
      <c r="P1682" t="s">
        <v>376</v>
      </c>
      <c r="Q1682" t="s">
        <v>203</v>
      </c>
    </row>
    <row r="1683" spans="1:17" x14ac:dyDescent="0.3">
      <c r="A1683" s="25">
        <v>1360</v>
      </c>
      <c r="B1683" t="s">
        <v>71</v>
      </c>
      <c r="C1683" t="s">
        <v>44</v>
      </c>
      <c r="D1683" t="s">
        <v>483</v>
      </c>
      <c r="E1683" s="118" t="s">
        <v>902</v>
      </c>
      <c r="F1683" s="13">
        <v>46170</v>
      </c>
      <c r="G1683" s="27">
        <v>160636.79999999999</v>
      </c>
      <c r="H1683" s="27">
        <v>150757.64000000001</v>
      </c>
      <c r="I1683" s="3">
        <v>46171</v>
      </c>
      <c r="J1683" s="102">
        <v>46202</v>
      </c>
      <c r="K1683" s="12"/>
      <c r="L1683" s="19" t="s">
        <v>730</v>
      </c>
      <c r="M1683" s="35"/>
      <c r="N1683"/>
      <c r="O1683" t="s">
        <v>199</v>
      </c>
      <c r="P1683" t="s">
        <v>376</v>
      </c>
      <c r="Q1683" t="s">
        <v>203</v>
      </c>
    </row>
    <row r="1684" spans="1:17" x14ac:dyDescent="0.3">
      <c r="A1684" s="25">
        <v>1360</v>
      </c>
      <c r="B1684" t="s">
        <v>71</v>
      </c>
      <c r="C1684" t="s">
        <v>44</v>
      </c>
      <c r="D1684" t="s">
        <v>483</v>
      </c>
      <c r="E1684" s="118" t="s">
        <v>903</v>
      </c>
      <c r="F1684" s="13">
        <v>46140</v>
      </c>
      <c r="G1684" s="27">
        <v>18133.599999999999</v>
      </c>
      <c r="H1684" s="27">
        <v>17018.38</v>
      </c>
      <c r="I1684" s="3">
        <v>46171</v>
      </c>
      <c r="J1684" s="102">
        <v>46202</v>
      </c>
      <c r="K1684" s="12"/>
      <c r="L1684" s="19" t="s">
        <v>730</v>
      </c>
      <c r="M1684" s="35"/>
      <c r="N1684"/>
      <c r="O1684" t="s">
        <v>199</v>
      </c>
      <c r="P1684" t="s">
        <v>376</v>
      </c>
      <c r="Q1684" t="s">
        <v>203</v>
      </c>
    </row>
    <row r="1685" spans="1:17" x14ac:dyDescent="0.3">
      <c r="A1685" s="25">
        <v>1360</v>
      </c>
      <c r="B1685" t="s">
        <v>71</v>
      </c>
      <c r="C1685" t="s">
        <v>44</v>
      </c>
      <c r="D1685" t="s">
        <v>483</v>
      </c>
      <c r="E1685" s="118" t="s">
        <v>904</v>
      </c>
      <c r="F1685" s="13">
        <v>46170</v>
      </c>
      <c r="G1685" s="27">
        <v>60921.599999999999</v>
      </c>
      <c r="H1685" s="27">
        <v>57174.92</v>
      </c>
      <c r="I1685" s="3">
        <v>46171</v>
      </c>
      <c r="J1685" s="102">
        <v>46202</v>
      </c>
      <c r="K1685" s="12"/>
      <c r="L1685" s="19" t="s">
        <v>730</v>
      </c>
      <c r="M1685" s="35"/>
      <c r="N1685"/>
      <c r="O1685" t="s">
        <v>199</v>
      </c>
      <c r="P1685" t="s">
        <v>376</v>
      </c>
      <c r="Q1685" t="s">
        <v>203</v>
      </c>
    </row>
    <row r="1686" spans="1:17" x14ac:dyDescent="0.3">
      <c r="A1686" s="25">
        <v>1388</v>
      </c>
      <c r="B1686" t="s">
        <v>209</v>
      </c>
      <c r="C1686" t="s">
        <v>3</v>
      </c>
      <c r="D1686" t="s">
        <v>518</v>
      </c>
      <c r="E1686" s="118">
        <v>5207</v>
      </c>
      <c r="F1686" s="13">
        <v>46141</v>
      </c>
      <c r="G1686" s="24">
        <v>235726.87</v>
      </c>
      <c r="H1686" s="24">
        <v>212979.22</v>
      </c>
      <c r="I1686" s="3">
        <v>46174</v>
      </c>
      <c r="J1686" s="161">
        <v>46181</v>
      </c>
      <c r="K1686" s="12"/>
      <c r="L1686" s="19" t="s">
        <v>730</v>
      </c>
      <c r="M1686" s="35"/>
      <c r="N1686"/>
      <c r="O1686" t="s">
        <v>199</v>
      </c>
      <c r="P1686" t="s">
        <v>328</v>
      </c>
      <c r="Q1686" t="s">
        <v>203</v>
      </c>
    </row>
    <row r="1687" spans="1:17" x14ac:dyDescent="0.3">
      <c r="A1687" s="25">
        <v>1388</v>
      </c>
      <c r="B1687" t="s">
        <v>209</v>
      </c>
      <c r="C1687" t="s">
        <v>3</v>
      </c>
      <c r="D1687" t="s">
        <v>518</v>
      </c>
      <c r="E1687" s="118"/>
      <c r="F1687" s="13">
        <v>46171</v>
      </c>
      <c r="G1687" s="24">
        <v>200000</v>
      </c>
      <c r="H1687" s="24">
        <v>212979.22</v>
      </c>
      <c r="I1687" s="3">
        <v>46174</v>
      </c>
      <c r="J1687" s="102">
        <v>46202</v>
      </c>
      <c r="K1687" s="12"/>
      <c r="L1687" s="19" t="s">
        <v>719</v>
      </c>
      <c r="M1687" s="35">
        <v>220000</v>
      </c>
      <c r="N1687" t="s">
        <v>882</v>
      </c>
      <c r="O1687" t="s">
        <v>199</v>
      </c>
      <c r="P1687" t="s">
        <v>328</v>
      </c>
      <c r="Q1687" t="s">
        <v>203</v>
      </c>
    </row>
    <row r="1688" spans="1:17" x14ac:dyDescent="0.3">
      <c r="A1688" s="25">
        <v>1360</v>
      </c>
      <c r="B1688" t="s">
        <v>71</v>
      </c>
      <c r="C1688" t="s">
        <v>44</v>
      </c>
      <c r="D1688" t="s">
        <v>483</v>
      </c>
      <c r="E1688" s="118">
        <v>5211</v>
      </c>
      <c r="F1688" s="13">
        <v>46201</v>
      </c>
      <c r="G1688" s="27">
        <v>91434</v>
      </c>
      <c r="H1688" s="27">
        <v>85810.79</v>
      </c>
      <c r="I1688" s="3">
        <v>46176</v>
      </c>
      <c r="J1688" s="102">
        <v>46202</v>
      </c>
      <c r="K1688" s="12"/>
      <c r="L1688" s="19" t="s">
        <v>730</v>
      </c>
      <c r="M1688" s="35"/>
      <c r="N1688"/>
      <c r="O1688" t="s">
        <v>199</v>
      </c>
      <c r="P1688" t="s">
        <v>376</v>
      </c>
      <c r="Q1688" t="s">
        <v>203</v>
      </c>
    </row>
    <row r="1689" spans="1:17" x14ac:dyDescent="0.3">
      <c r="A1689" s="25">
        <v>1360</v>
      </c>
      <c r="B1689" t="s">
        <v>71</v>
      </c>
      <c r="C1689" t="s">
        <v>44</v>
      </c>
      <c r="D1689" t="s">
        <v>483</v>
      </c>
      <c r="E1689" s="118">
        <v>5212</v>
      </c>
      <c r="F1689" s="13">
        <v>46201</v>
      </c>
      <c r="G1689" s="27">
        <v>57909.599999999999</v>
      </c>
      <c r="H1689" s="27">
        <v>54348.15</v>
      </c>
      <c r="I1689" s="3">
        <v>46176</v>
      </c>
      <c r="J1689" s="102">
        <v>46202</v>
      </c>
      <c r="K1689" s="12"/>
      <c r="L1689" s="19" t="s">
        <v>730</v>
      </c>
      <c r="M1689" s="35"/>
      <c r="N1689"/>
      <c r="O1689" t="s">
        <v>199</v>
      </c>
      <c r="P1689" t="s">
        <v>376</v>
      </c>
      <c r="Q1689" t="s">
        <v>203</v>
      </c>
    </row>
    <row r="1690" spans="1:17" x14ac:dyDescent="0.3">
      <c r="A1690" s="25">
        <v>1360</v>
      </c>
      <c r="B1690" t="s">
        <v>71</v>
      </c>
      <c r="C1690" t="s">
        <v>44</v>
      </c>
      <c r="D1690" t="s">
        <v>483</v>
      </c>
      <c r="E1690" s="118">
        <v>5214</v>
      </c>
      <c r="F1690" s="13">
        <v>46201</v>
      </c>
      <c r="G1690" s="27">
        <v>28339.919999999998</v>
      </c>
      <c r="H1690" s="27">
        <v>26597.01</v>
      </c>
      <c r="I1690" s="3">
        <v>46176</v>
      </c>
      <c r="J1690" s="102">
        <v>46202</v>
      </c>
      <c r="K1690" s="12"/>
      <c r="L1690" s="19" t="s">
        <v>730</v>
      </c>
      <c r="M1690" s="35"/>
      <c r="N1690"/>
      <c r="O1690" t="s">
        <v>199</v>
      </c>
      <c r="P1690" t="s">
        <v>376</v>
      </c>
      <c r="Q1690" t="s">
        <v>203</v>
      </c>
    </row>
    <row r="1691" spans="1:17" x14ac:dyDescent="0.3">
      <c r="A1691" s="25">
        <v>1360</v>
      </c>
      <c r="B1691" t="s">
        <v>71</v>
      </c>
      <c r="C1691" t="s">
        <v>44</v>
      </c>
      <c r="D1691" t="s">
        <v>483</v>
      </c>
      <c r="E1691" s="118">
        <v>5216</v>
      </c>
      <c r="F1691" s="13">
        <v>46170</v>
      </c>
      <c r="G1691" s="27">
        <v>41449.599999999999</v>
      </c>
      <c r="H1691" s="27">
        <v>38900.44</v>
      </c>
      <c r="I1691" s="3">
        <v>46176</v>
      </c>
      <c r="J1691" s="102">
        <v>46202</v>
      </c>
      <c r="K1691" s="12"/>
      <c r="L1691" s="19" t="s">
        <v>730</v>
      </c>
      <c r="M1691" s="35"/>
      <c r="N1691"/>
      <c r="O1691" t="s">
        <v>199</v>
      </c>
      <c r="P1691" t="s">
        <v>376</v>
      </c>
      <c r="Q1691" t="s">
        <v>203</v>
      </c>
    </row>
    <row r="1692" spans="1:17" x14ac:dyDescent="0.3">
      <c r="A1692" s="25">
        <v>1360</v>
      </c>
      <c r="B1692" t="s">
        <v>71</v>
      </c>
      <c r="C1692" t="s">
        <v>44</v>
      </c>
      <c r="D1692" t="s">
        <v>483</v>
      </c>
      <c r="E1692" s="118">
        <v>5217</v>
      </c>
      <c r="F1692" s="13">
        <v>46140</v>
      </c>
      <c r="G1692" s="27">
        <v>49671.040000000001</v>
      </c>
      <c r="H1692" s="27">
        <v>46616.26</v>
      </c>
      <c r="I1692" s="3">
        <v>46176</v>
      </c>
      <c r="J1692" s="102">
        <v>46202</v>
      </c>
      <c r="K1692" s="12"/>
      <c r="L1692" s="19" t="s">
        <v>730</v>
      </c>
      <c r="M1692" s="35"/>
      <c r="N1692"/>
      <c r="O1692" t="s">
        <v>199</v>
      </c>
      <c r="P1692" t="s">
        <v>376</v>
      </c>
      <c r="Q1692" t="s">
        <v>203</v>
      </c>
    </row>
    <row r="1693" spans="1:17" x14ac:dyDescent="0.3">
      <c r="A1693" s="25">
        <v>1360</v>
      </c>
      <c r="B1693" t="s">
        <v>71</v>
      </c>
      <c r="C1693" t="s">
        <v>44</v>
      </c>
      <c r="D1693" t="s">
        <v>483</v>
      </c>
      <c r="E1693" s="118">
        <v>5213</v>
      </c>
      <c r="F1693" s="13">
        <v>46201</v>
      </c>
      <c r="G1693" s="27">
        <v>36666</v>
      </c>
      <c r="H1693" s="27">
        <v>34411.040000000001</v>
      </c>
      <c r="I1693" s="3">
        <v>46176</v>
      </c>
      <c r="J1693" s="102">
        <v>46202</v>
      </c>
      <c r="K1693" s="12"/>
      <c r="L1693" s="19" t="s">
        <v>730</v>
      </c>
      <c r="M1693" s="35"/>
      <c r="N1693"/>
      <c r="O1693" t="s">
        <v>199</v>
      </c>
      <c r="P1693" t="s">
        <v>376</v>
      </c>
      <c r="Q1693" t="s">
        <v>203</v>
      </c>
    </row>
    <row r="1694" spans="1:17" x14ac:dyDescent="0.3">
      <c r="A1694" s="25">
        <v>1360</v>
      </c>
      <c r="B1694" t="s">
        <v>71</v>
      </c>
      <c r="C1694" t="s">
        <v>44</v>
      </c>
      <c r="D1694" t="s">
        <v>483</v>
      </c>
      <c r="E1694" s="118">
        <v>5220</v>
      </c>
      <c r="F1694" s="13">
        <v>46201</v>
      </c>
      <c r="G1694" s="27">
        <v>28774.28</v>
      </c>
      <c r="H1694" s="27">
        <v>27004.66</v>
      </c>
      <c r="I1694" s="3">
        <v>46181</v>
      </c>
      <c r="J1694" s="102">
        <v>46202</v>
      </c>
      <c r="K1694" s="12"/>
      <c r="L1694" s="19" t="s">
        <v>730</v>
      </c>
      <c r="M1694" s="35"/>
      <c r="N1694"/>
      <c r="O1694" t="s">
        <v>199</v>
      </c>
      <c r="P1694" t="s">
        <v>376</v>
      </c>
      <c r="Q1694" t="s">
        <v>203</v>
      </c>
    </row>
    <row r="1695" spans="1:17" x14ac:dyDescent="0.3">
      <c r="A1695" s="25">
        <v>1360</v>
      </c>
      <c r="B1695" t="s">
        <v>71</v>
      </c>
      <c r="C1695" t="s">
        <v>44</v>
      </c>
      <c r="D1695" t="s">
        <v>483</v>
      </c>
      <c r="E1695" s="118">
        <v>5227</v>
      </c>
      <c r="F1695" s="13">
        <v>46201</v>
      </c>
      <c r="G1695" s="27">
        <v>54809.599999999999</v>
      </c>
      <c r="H1695" s="27">
        <v>51438.8</v>
      </c>
      <c r="I1695" s="3">
        <v>46181</v>
      </c>
      <c r="J1695" s="102">
        <v>46202</v>
      </c>
      <c r="K1695" s="12"/>
      <c r="L1695" s="19" t="s">
        <v>730</v>
      </c>
      <c r="M1695" s="35"/>
      <c r="N1695"/>
      <c r="O1695" t="s">
        <v>199</v>
      </c>
      <c r="P1695" t="s">
        <v>376</v>
      </c>
      <c r="Q1695" t="s">
        <v>203</v>
      </c>
    </row>
    <row r="1696" spans="1:17" x14ac:dyDescent="0.3">
      <c r="A1696" s="25">
        <v>1360</v>
      </c>
      <c r="B1696" t="s">
        <v>71</v>
      </c>
      <c r="C1696" t="s">
        <v>44</v>
      </c>
      <c r="D1696" t="s">
        <v>483</v>
      </c>
      <c r="E1696" s="118">
        <v>5219</v>
      </c>
      <c r="F1696" s="13">
        <v>46170</v>
      </c>
      <c r="G1696" s="27">
        <v>54809.599999999999</v>
      </c>
      <c r="H1696" s="27">
        <v>51438.8</v>
      </c>
      <c r="I1696" s="3">
        <v>46181</v>
      </c>
      <c r="J1696" s="102">
        <v>46202</v>
      </c>
      <c r="K1696" s="12"/>
      <c r="L1696" s="19" t="s">
        <v>730</v>
      </c>
      <c r="M1696" s="35"/>
      <c r="N1696"/>
      <c r="O1696" t="s">
        <v>199</v>
      </c>
      <c r="P1696" t="s">
        <v>376</v>
      </c>
      <c r="Q1696" t="s">
        <v>203</v>
      </c>
    </row>
    <row r="1697" spans="1:17" x14ac:dyDescent="0.3">
      <c r="A1697" s="25">
        <v>1360</v>
      </c>
      <c r="B1697" t="s">
        <v>71</v>
      </c>
      <c r="C1697" t="s">
        <v>44</v>
      </c>
      <c r="D1697" t="s">
        <v>483</v>
      </c>
      <c r="E1697" s="118">
        <v>5226</v>
      </c>
      <c r="F1697" s="13">
        <v>46140</v>
      </c>
      <c r="G1697" s="27">
        <v>54809.599999999999</v>
      </c>
      <c r="H1697" s="27">
        <v>51438.8</v>
      </c>
      <c r="I1697" s="3">
        <v>46181</v>
      </c>
      <c r="J1697" s="102">
        <v>46202</v>
      </c>
      <c r="K1697" s="12"/>
      <c r="L1697" s="19" t="s">
        <v>730</v>
      </c>
      <c r="M1697" s="35"/>
      <c r="N1697"/>
      <c r="O1697" t="s">
        <v>199</v>
      </c>
      <c r="P1697" t="s">
        <v>376</v>
      </c>
      <c r="Q1697" t="s">
        <v>203</v>
      </c>
    </row>
    <row r="1698" spans="1:17" x14ac:dyDescent="0.3">
      <c r="A1698" s="25">
        <v>1360</v>
      </c>
      <c r="B1698" t="s">
        <v>71</v>
      </c>
      <c r="C1698" t="s">
        <v>44</v>
      </c>
      <c r="D1698" t="s">
        <v>483</v>
      </c>
      <c r="E1698" s="118">
        <v>5232</v>
      </c>
      <c r="F1698" s="13">
        <v>46140</v>
      </c>
      <c r="G1698" s="27">
        <v>83818.86</v>
      </c>
      <c r="H1698" s="27">
        <v>78663.990000000005</v>
      </c>
      <c r="I1698" s="3">
        <v>46181</v>
      </c>
      <c r="J1698" s="102">
        <v>46202</v>
      </c>
      <c r="K1698" s="12"/>
      <c r="L1698" s="19" t="s">
        <v>730</v>
      </c>
      <c r="M1698" s="35"/>
      <c r="N1698"/>
      <c r="O1698" t="s">
        <v>199</v>
      </c>
      <c r="P1698" t="s">
        <v>376</v>
      </c>
      <c r="Q1698" t="s">
        <v>203</v>
      </c>
    </row>
    <row r="1699" spans="1:17" x14ac:dyDescent="0.3">
      <c r="A1699" s="25">
        <v>1360</v>
      </c>
      <c r="B1699" t="s">
        <v>71</v>
      </c>
      <c r="C1699" t="s">
        <v>44</v>
      </c>
      <c r="D1699" t="s">
        <v>483</v>
      </c>
      <c r="E1699" s="118">
        <v>5230</v>
      </c>
      <c r="F1699" s="13">
        <v>46201</v>
      </c>
      <c r="G1699" s="27">
        <v>58669.440000000002</v>
      </c>
      <c r="H1699" s="27">
        <v>55061.26</v>
      </c>
      <c r="I1699" s="3">
        <v>46181</v>
      </c>
      <c r="J1699" s="102">
        <v>46202</v>
      </c>
      <c r="K1699" s="12"/>
      <c r="L1699" s="19" t="s">
        <v>730</v>
      </c>
      <c r="M1699" s="35"/>
      <c r="N1699"/>
      <c r="O1699" t="s">
        <v>199</v>
      </c>
      <c r="P1699" t="s">
        <v>376</v>
      </c>
      <c r="Q1699" t="s">
        <v>203</v>
      </c>
    </row>
    <row r="1700" spans="1:17" x14ac:dyDescent="0.3">
      <c r="A1700" s="25">
        <v>1360</v>
      </c>
      <c r="B1700" t="s">
        <v>71</v>
      </c>
      <c r="C1700" t="s">
        <v>44</v>
      </c>
      <c r="D1700" t="s">
        <v>483</v>
      </c>
      <c r="E1700" s="118">
        <v>5231</v>
      </c>
      <c r="F1700" s="13">
        <v>46170</v>
      </c>
      <c r="G1700" s="27">
        <v>86665.600000000006</v>
      </c>
      <c r="H1700" s="27">
        <v>81335.649999999994</v>
      </c>
      <c r="I1700" s="3">
        <v>46181</v>
      </c>
      <c r="J1700" s="102">
        <v>46202</v>
      </c>
      <c r="K1700" s="12"/>
      <c r="L1700" s="19" t="s">
        <v>730</v>
      </c>
      <c r="M1700" s="35"/>
      <c r="N1700"/>
      <c r="O1700" t="s">
        <v>199</v>
      </c>
      <c r="P1700" t="s">
        <v>376</v>
      </c>
      <c r="Q1700" t="s">
        <v>203</v>
      </c>
    </row>
    <row r="1701" spans="1:17" x14ac:dyDescent="0.3">
      <c r="A1701" s="25">
        <v>1360</v>
      </c>
      <c r="B1701" t="s">
        <v>71</v>
      </c>
      <c r="C1701" t="s">
        <v>44</v>
      </c>
      <c r="D1701" t="s">
        <v>483</v>
      </c>
      <c r="E1701" s="118">
        <v>5235</v>
      </c>
      <c r="F1701" s="13">
        <v>46201</v>
      </c>
      <c r="G1701" s="27">
        <v>18265.599999999999</v>
      </c>
      <c r="H1701" s="27">
        <v>17142.259999999998</v>
      </c>
      <c r="I1701" s="3">
        <v>46181</v>
      </c>
      <c r="J1701" s="102">
        <v>46202</v>
      </c>
      <c r="K1701" s="12"/>
      <c r="L1701" s="19" t="s">
        <v>730</v>
      </c>
      <c r="M1701" s="35"/>
      <c r="N1701"/>
      <c r="O1701" t="s">
        <v>199</v>
      </c>
      <c r="P1701" t="s">
        <v>376</v>
      </c>
      <c r="Q1701" t="s">
        <v>203</v>
      </c>
    </row>
    <row r="1702" spans="1:17" x14ac:dyDescent="0.3">
      <c r="A1702" s="25">
        <v>1360</v>
      </c>
      <c r="B1702" t="s">
        <v>71</v>
      </c>
      <c r="C1702" t="s">
        <v>44</v>
      </c>
      <c r="D1702" t="s">
        <v>483</v>
      </c>
      <c r="E1702" s="118">
        <v>5236</v>
      </c>
      <c r="F1702" s="13">
        <v>46201</v>
      </c>
      <c r="G1702" s="27">
        <v>53535.6</v>
      </c>
      <c r="H1702" s="27">
        <v>50243.15</v>
      </c>
      <c r="I1702" s="3">
        <v>46181</v>
      </c>
      <c r="J1702" s="102">
        <v>46202</v>
      </c>
      <c r="K1702" s="12"/>
      <c r="L1702" s="19" t="s">
        <v>730</v>
      </c>
      <c r="M1702" s="35"/>
      <c r="N1702"/>
      <c r="O1702" t="s">
        <v>199</v>
      </c>
      <c r="P1702" t="s">
        <v>376</v>
      </c>
      <c r="Q1702" t="s">
        <v>203</v>
      </c>
    </row>
    <row r="1703" spans="1:17" x14ac:dyDescent="0.3">
      <c r="A1703" s="25">
        <v>1360</v>
      </c>
      <c r="B1703" t="s">
        <v>71</v>
      </c>
      <c r="C1703" t="s">
        <v>44</v>
      </c>
      <c r="D1703" t="s">
        <v>483</v>
      </c>
      <c r="E1703" s="118">
        <v>5234</v>
      </c>
      <c r="F1703" s="13">
        <v>46201</v>
      </c>
      <c r="G1703" s="27">
        <v>149680.79999999999</v>
      </c>
      <c r="H1703" s="27">
        <v>140475.41</v>
      </c>
      <c r="I1703" s="3">
        <v>46181</v>
      </c>
      <c r="J1703" s="102">
        <v>46202</v>
      </c>
      <c r="K1703" s="12"/>
      <c r="L1703" s="19" t="s">
        <v>730</v>
      </c>
      <c r="M1703" s="35"/>
      <c r="N1703"/>
      <c r="O1703" t="s">
        <v>199</v>
      </c>
      <c r="P1703" t="s">
        <v>376</v>
      </c>
      <c r="Q1703" t="s">
        <v>203</v>
      </c>
    </row>
    <row r="1704" spans="1:17" x14ac:dyDescent="0.3">
      <c r="A1704" s="25">
        <v>1360</v>
      </c>
      <c r="B1704" t="s">
        <v>71</v>
      </c>
      <c r="C1704" t="s">
        <v>44</v>
      </c>
      <c r="D1704" t="s">
        <v>483</v>
      </c>
      <c r="E1704" s="118">
        <v>5238</v>
      </c>
      <c r="F1704" s="13">
        <v>46201</v>
      </c>
      <c r="G1704" s="27">
        <v>64649.760000000002</v>
      </c>
      <c r="H1704" s="27">
        <v>60673.79</v>
      </c>
      <c r="I1704" s="3">
        <v>46181</v>
      </c>
      <c r="J1704" s="102">
        <v>46202</v>
      </c>
      <c r="K1704" s="12"/>
      <c r="L1704" s="19" t="s">
        <v>730</v>
      </c>
      <c r="M1704" s="35"/>
      <c r="N1704"/>
      <c r="O1704" t="s">
        <v>199</v>
      </c>
      <c r="P1704" t="s">
        <v>376</v>
      </c>
      <c r="Q1704" t="s">
        <v>203</v>
      </c>
    </row>
    <row r="1705" spans="1:17" x14ac:dyDescent="0.3">
      <c r="A1705" s="25">
        <v>1360</v>
      </c>
      <c r="B1705" t="s">
        <v>71</v>
      </c>
      <c r="C1705" t="s">
        <v>44</v>
      </c>
      <c r="D1705" t="s">
        <v>483</v>
      </c>
      <c r="E1705" s="118">
        <v>5247</v>
      </c>
      <c r="F1705" s="13">
        <v>46201</v>
      </c>
      <c r="G1705" s="27">
        <v>55765.440000000002</v>
      </c>
      <c r="H1705" s="27">
        <v>60673.79</v>
      </c>
      <c r="I1705" s="3">
        <v>46182</v>
      </c>
      <c r="J1705" s="102">
        <v>46202</v>
      </c>
      <c r="K1705" s="12"/>
      <c r="L1705" s="19" t="s">
        <v>730</v>
      </c>
      <c r="M1705" s="35"/>
      <c r="N1705"/>
      <c r="O1705" t="s">
        <v>199</v>
      </c>
      <c r="P1705" t="s">
        <v>376</v>
      </c>
      <c r="Q1705" t="s">
        <v>203</v>
      </c>
    </row>
    <row r="1706" spans="1:17" x14ac:dyDescent="0.3">
      <c r="A1706" s="25">
        <v>1360</v>
      </c>
      <c r="B1706" t="s">
        <v>71</v>
      </c>
      <c r="C1706" t="s">
        <v>44</v>
      </c>
      <c r="D1706" t="s">
        <v>483</v>
      </c>
      <c r="E1706" s="118">
        <v>5248</v>
      </c>
      <c r="F1706" s="13">
        <v>46201</v>
      </c>
      <c r="G1706" s="27">
        <v>72093.84</v>
      </c>
      <c r="H1706" s="27">
        <v>60673.79</v>
      </c>
      <c r="I1706" s="3">
        <v>46182</v>
      </c>
      <c r="J1706" s="102">
        <v>46202</v>
      </c>
      <c r="K1706" s="12"/>
      <c r="L1706" s="19" t="s">
        <v>730</v>
      </c>
      <c r="M1706" s="35"/>
      <c r="N1706"/>
      <c r="O1706" t="s">
        <v>199</v>
      </c>
      <c r="P1706" t="s">
        <v>376</v>
      </c>
      <c r="Q1706" t="s">
        <v>203</v>
      </c>
    </row>
    <row r="1707" spans="1:17" x14ac:dyDescent="0.3">
      <c r="A1707" s="25">
        <v>1360</v>
      </c>
      <c r="B1707" t="s">
        <v>71</v>
      </c>
      <c r="C1707" t="s">
        <v>44</v>
      </c>
      <c r="D1707" t="s">
        <v>483</v>
      </c>
      <c r="E1707" s="118">
        <v>5255</v>
      </c>
      <c r="F1707" s="13">
        <v>46201</v>
      </c>
      <c r="G1707" s="27">
        <v>102421.2</v>
      </c>
      <c r="H1707" s="27">
        <v>96122.28</v>
      </c>
      <c r="I1707" s="3">
        <v>46183</v>
      </c>
      <c r="J1707" s="102">
        <v>46202</v>
      </c>
      <c r="K1707" s="12"/>
      <c r="L1707" s="19" t="s">
        <v>730</v>
      </c>
      <c r="M1707" s="35"/>
      <c r="N1707"/>
      <c r="O1707" t="s">
        <v>199</v>
      </c>
      <c r="P1707" t="s">
        <v>376</v>
      </c>
      <c r="Q1707" t="s">
        <v>203</v>
      </c>
    </row>
    <row r="1708" spans="1:17" x14ac:dyDescent="0.3">
      <c r="A1708" s="25">
        <v>1360</v>
      </c>
      <c r="B1708" t="s">
        <v>71</v>
      </c>
      <c r="C1708" t="s">
        <v>44</v>
      </c>
      <c r="D1708" t="s">
        <v>483</v>
      </c>
      <c r="E1708" s="118">
        <v>5257</v>
      </c>
      <c r="F1708" s="13">
        <v>46201</v>
      </c>
      <c r="G1708" s="27">
        <v>108386.88</v>
      </c>
      <c r="H1708" s="27">
        <v>101721.07</v>
      </c>
      <c r="I1708" s="3">
        <v>46183</v>
      </c>
      <c r="J1708" s="102">
        <v>46202</v>
      </c>
      <c r="K1708" s="12"/>
      <c r="L1708" s="19" t="s">
        <v>730</v>
      </c>
      <c r="M1708" s="35"/>
      <c r="N1708"/>
      <c r="O1708" t="s">
        <v>199</v>
      </c>
      <c r="P1708" t="s">
        <v>376</v>
      </c>
      <c r="Q1708" t="s">
        <v>203</v>
      </c>
    </row>
    <row r="1709" spans="1:17" x14ac:dyDescent="0.3">
      <c r="A1709" s="25">
        <v>1360</v>
      </c>
      <c r="B1709" t="s">
        <v>71</v>
      </c>
      <c r="C1709" t="s">
        <v>44</v>
      </c>
      <c r="D1709" t="s">
        <v>483</v>
      </c>
      <c r="E1709" s="118">
        <v>5258</v>
      </c>
      <c r="F1709" s="13">
        <v>46201</v>
      </c>
      <c r="G1709" s="27">
        <v>28860.6</v>
      </c>
      <c r="H1709" s="27">
        <v>27085.67</v>
      </c>
      <c r="I1709" s="3">
        <v>46183</v>
      </c>
      <c r="J1709" s="102">
        <v>46202</v>
      </c>
      <c r="K1709" s="12"/>
      <c r="L1709" s="19" t="s">
        <v>730</v>
      </c>
      <c r="M1709" s="35"/>
      <c r="N1709"/>
      <c r="O1709" t="s">
        <v>199</v>
      </c>
      <c r="P1709" t="s">
        <v>376</v>
      </c>
      <c r="Q1709" t="s">
        <v>203</v>
      </c>
    </row>
    <row r="1710" spans="1:17" x14ac:dyDescent="0.3">
      <c r="A1710" s="25">
        <v>1360</v>
      </c>
      <c r="B1710" t="s">
        <v>71</v>
      </c>
      <c r="C1710" t="s">
        <v>44</v>
      </c>
      <c r="D1710" t="s">
        <v>483</v>
      </c>
      <c r="E1710" s="118">
        <v>5259</v>
      </c>
      <c r="F1710" s="13">
        <v>46201</v>
      </c>
      <c r="G1710" s="27">
        <v>75136.639999999999</v>
      </c>
      <c r="H1710" s="27">
        <v>70515.72</v>
      </c>
      <c r="I1710" s="3">
        <v>46183</v>
      </c>
      <c r="J1710" s="102">
        <v>46202</v>
      </c>
      <c r="K1710" s="12"/>
      <c r="L1710" s="19" t="s">
        <v>730</v>
      </c>
      <c r="M1710" s="35"/>
      <c r="N1710"/>
      <c r="O1710" t="s">
        <v>199</v>
      </c>
      <c r="P1710" t="s">
        <v>376</v>
      </c>
      <c r="Q1710" t="s">
        <v>203</v>
      </c>
    </row>
    <row r="1711" spans="1:17" x14ac:dyDescent="0.3">
      <c r="A1711" s="25">
        <v>1360</v>
      </c>
      <c r="B1711" t="s">
        <v>71</v>
      </c>
      <c r="C1711" t="s">
        <v>44</v>
      </c>
      <c r="D1711" t="s">
        <v>483</v>
      </c>
      <c r="E1711" s="118"/>
      <c r="F1711" s="13">
        <v>46170</v>
      </c>
      <c r="G1711" s="24">
        <v>520491.77</v>
      </c>
      <c r="H1711" s="24"/>
      <c r="I1711" s="3">
        <v>46113</v>
      </c>
      <c r="J1711" s="102">
        <v>46202</v>
      </c>
      <c r="K1711" s="12"/>
      <c r="L1711" s="19" t="s">
        <v>719</v>
      </c>
      <c r="M1711" s="35"/>
      <c r="N1711"/>
      <c r="O1711" t="s">
        <v>199</v>
      </c>
      <c r="P1711" t="s">
        <v>376</v>
      </c>
      <c r="Q1711" t="s">
        <v>203</v>
      </c>
    </row>
    <row r="1712" spans="1:17" x14ac:dyDescent="0.3">
      <c r="A1712" s="25">
        <v>1360</v>
      </c>
      <c r="B1712" t="s">
        <v>71</v>
      </c>
      <c r="C1712" t="s">
        <v>44</v>
      </c>
      <c r="D1712" t="s">
        <v>483</v>
      </c>
      <c r="E1712" s="118">
        <v>4691</v>
      </c>
      <c r="F1712" s="13">
        <v>46019</v>
      </c>
      <c r="G1712" s="24">
        <v>27535.200000000001</v>
      </c>
      <c r="H1712" s="27">
        <v>25841.78</v>
      </c>
      <c r="I1712" s="3">
        <v>46003</v>
      </c>
      <c r="J1712" s="102">
        <v>46006</v>
      </c>
      <c r="K1712" s="12">
        <v>46010</v>
      </c>
      <c r="L1712" s="19" t="s">
        <v>731</v>
      </c>
      <c r="M1712" s="35"/>
      <c r="N1712"/>
      <c r="O1712" t="s">
        <v>199</v>
      </c>
      <c r="P1712" t="s">
        <v>376</v>
      </c>
      <c r="Q1712" t="s">
        <v>203</v>
      </c>
    </row>
    <row r="1713" spans="1:17" x14ac:dyDescent="0.3">
      <c r="A1713" s="25">
        <v>1387</v>
      </c>
      <c r="B1713" t="s">
        <v>71</v>
      </c>
      <c r="C1713" t="s">
        <v>44</v>
      </c>
      <c r="D1713" t="s">
        <v>517</v>
      </c>
      <c r="E1713" s="118">
        <v>4398</v>
      </c>
      <c r="F1713" s="13">
        <v>45958</v>
      </c>
      <c r="G1713" s="24">
        <v>29920</v>
      </c>
      <c r="H1713" s="24">
        <v>28079.919999999998</v>
      </c>
      <c r="I1713" s="3">
        <v>45936</v>
      </c>
      <c r="J1713" s="102">
        <v>45985</v>
      </c>
      <c r="K1713" s="12">
        <v>45987</v>
      </c>
      <c r="L1713" s="19" t="s">
        <v>731</v>
      </c>
      <c r="M1713" s="35"/>
      <c r="N1713"/>
      <c r="O1713" t="s">
        <v>202</v>
      </c>
      <c r="P1713" t="s">
        <v>376</v>
      </c>
      <c r="Q1713" t="s">
        <v>203</v>
      </c>
    </row>
    <row r="1714" spans="1:17" x14ac:dyDescent="0.3">
      <c r="A1714" s="25">
        <v>1387</v>
      </c>
      <c r="B1714" t="s">
        <v>71</v>
      </c>
      <c r="C1714" t="s">
        <v>44</v>
      </c>
      <c r="D1714" t="s">
        <v>517</v>
      </c>
      <c r="E1714" s="118">
        <v>4458</v>
      </c>
      <c r="F1714" s="13">
        <v>45958</v>
      </c>
      <c r="G1714" s="24">
        <v>31094.16</v>
      </c>
      <c r="H1714" s="24">
        <v>29181.88</v>
      </c>
      <c r="I1714" s="3">
        <v>45952</v>
      </c>
      <c r="J1714" s="102">
        <v>45985</v>
      </c>
      <c r="K1714" s="12">
        <v>45987</v>
      </c>
      <c r="L1714" s="19" t="s">
        <v>731</v>
      </c>
      <c r="M1714" s="35"/>
      <c r="N1714"/>
      <c r="O1714" t="s">
        <v>202</v>
      </c>
      <c r="P1714" t="s">
        <v>376</v>
      </c>
      <c r="Q1714" t="s">
        <v>203</v>
      </c>
    </row>
    <row r="1715" spans="1:17" x14ac:dyDescent="0.3">
      <c r="A1715" s="25">
        <v>1387</v>
      </c>
      <c r="B1715" t="s">
        <v>71</v>
      </c>
      <c r="C1715" t="s">
        <v>44</v>
      </c>
      <c r="D1715" t="s">
        <v>517</v>
      </c>
      <c r="E1715" s="118">
        <v>4467</v>
      </c>
      <c r="F1715" s="13">
        <v>45958</v>
      </c>
      <c r="G1715" s="24">
        <v>74262.399999999994</v>
      </c>
      <c r="H1715" s="24">
        <v>69695.27</v>
      </c>
      <c r="I1715" s="3">
        <v>45954</v>
      </c>
      <c r="J1715" s="102">
        <v>45985</v>
      </c>
      <c r="K1715" s="12">
        <v>45987</v>
      </c>
      <c r="L1715" s="19" t="s">
        <v>731</v>
      </c>
      <c r="M1715" s="35"/>
      <c r="N1715"/>
      <c r="O1715" t="s">
        <v>202</v>
      </c>
      <c r="P1715" t="s">
        <v>376</v>
      </c>
      <c r="Q1715" t="s">
        <v>203</v>
      </c>
    </row>
    <row r="1716" spans="1:17" x14ac:dyDescent="0.3">
      <c r="A1716" s="25">
        <v>1387</v>
      </c>
      <c r="B1716" t="s">
        <v>71</v>
      </c>
      <c r="C1716" t="s">
        <v>44</v>
      </c>
      <c r="D1716" t="s">
        <v>517</v>
      </c>
      <c r="E1716" s="118">
        <v>4472</v>
      </c>
      <c r="F1716" s="13">
        <v>45958</v>
      </c>
      <c r="G1716" s="24">
        <v>86312.56</v>
      </c>
      <c r="H1716" s="24">
        <v>81004.33</v>
      </c>
      <c r="I1716" s="3">
        <v>45958</v>
      </c>
      <c r="J1716" s="102">
        <v>45985</v>
      </c>
      <c r="K1716" s="12">
        <v>45988</v>
      </c>
      <c r="L1716" s="19" t="s">
        <v>731</v>
      </c>
      <c r="M1716" s="35"/>
      <c r="N1716"/>
      <c r="O1716" t="s">
        <v>202</v>
      </c>
      <c r="P1716" t="s">
        <v>376</v>
      </c>
      <c r="Q1716" t="s">
        <v>203</v>
      </c>
    </row>
    <row r="1717" spans="1:17" x14ac:dyDescent="0.3">
      <c r="A1717" s="25">
        <v>1389</v>
      </c>
      <c r="B1717" t="s">
        <v>212</v>
      </c>
      <c r="C1717" t="s">
        <v>304</v>
      </c>
      <c r="D1717" t="s">
        <v>214</v>
      </c>
      <c r="E1717" s="118">
        <v>4435</v>
      </c>
      <c r="F1717" s="13">
        <v>45958</v>
      </c>
      <c r="G1717" s="24">
        <v>2757.37</v>
      </c>
      <c r="H1717" s="24">
        <v>2587.8000000000002</v>
      </c>
      <c r="I1717" s="3">
        <v>45944</v>
      </c>
      <c r="J1717" s="102">
        <v>45950</v>
      </c>
      <c r="K1717" s="12">
        <v>45951</v>
      </c>
      <c r="L1717" s="19" t="s">
        <v>731</v>
      </c>
      <c r="M1717" s="35">
        <v>0</v>
      </c>
      <c r="N1717" s="26"/>
      <c r="O1717" t="s">
        <v>202</v>
      </c>
      <c r="P1717" t="s">
        <v>233</v>
      </c>
      <c r="Q1717" t="s">
        <v>216</v>
      </c>
    </row>
    <row r="1718" spans="1:17" x14ac:dyDescent="0.3">
      <c r="A1718" s="25">
        <v>1389</v>
      </c>
      <c r="B1718" t="s">
        <v>212</v>
      </c>
      <c r="C1718" t="s">
        <v>214</v>
      </c>
      <c r="D1718" t="s">
        <v>214</v>
      </c>
      <c r="E1718" s="118">
        <v>4785</v>
      </c>
      <c r="F1718" s="13">
        <v>46019</v>
      </c>
      <c r="G1718" s="27">
        <v>11157.81</v>
      </c>
      <c r="H1718" s="24">
        <v>10471.6</v>
      </c>
      <c r="I1718" s="3">
        <v>46049</v>
      </c>
      <c r="J1718" s="102">
        <v>46048</v>
      </c>
      <c r="K1718" s="12">
        <v>46049</v>
      </c>
      <c r="L1718" s="19" t="s">
        <v>731</v>
      </c>
      <c r="M1718" s="35">
        <v>0</v>
      </c>
      <c r="N1718" s="26"/>
      <c r="O1718" t="s">
        <v>202</v>
      </c>
      <c r="P1718" t="s">
        <v>233</v>
      </c>
      <c r="Q1718"/>
    </row>
    <row r="1719" spans="1:17" x14ac:dyDescent="0.3">
      <c r="A1719" s="25">
        <v>1470</v>
      </c>
      <c r="B1719" t="s">
        <v>215</v>
      </c>
      <c r="C1719" t="s">
        <v>175</v>
      </c>
      <c r="D1719" t="s">
        <v>620</v>
      </c>
      <c r="E1719" s="118">
        <v>8578</v>
      </c>
      <c r="F1719" s="13">
        <v>45958</v>
      </c>
      <c r="G1719" s="24">
        <v>36700</v>
      </c>
      <c r="H1719" s="24">
        <v>33708.949999999997</v>
      </c>
      <c r="I1719" s="3">
        <v>45964</v>
      </c>
      <c r="J1719" s="102">
        <v>45978</v>
      </c>
      <c r="K1719" s="12">
        <v>45978</v>
      </c>
      <c r="L1719" s="19" t="s">
        <v>731</v>
      </c>
      <c r="M1719" s="35">
        <v>0</v>
      </c>
      <c r="N1719" s="26"/>
      <c r="O1719" t="s">
        <v>202</v>
      </c>
      <c r="P1719" t="s">
        <v>373</v>
      </c>
      <c r="Q1719" t="s">
        <v>213</v>
      </c>
    </row>
    <row r="1720" spans="1:17" x14ac:dyDescent="0.3">
      <c r="A1720" s="25">
        <v>1273</v>
      </c>
      <c r="B1720" t="s">
        <v>204</v>
      </c>
      <c r="C1720" t="s">
        <v>39</v>
      </c>
      <c r="D1720" t="s">
        <v>389</v>
      </c>
      <c r="E1720" s="118">
        <v>1312</v>
      </c>
      <c r="F1720" s="13">
        <v>45958</v>
      </c>
      <c r="G1720" s="24">
        <v>604355.81999999995</v>
      </c>
      <c r="H1720" s="24">
        <v>542107.17000000004</v>
      </c>
      <c r="I1720" s="3">
        <v>45975</v>
      </c>
      <c r="J1720" s="102">
        <v>45992</v>
      </c>
      <c r="K1720" s="12">
        <v>45995</v>
      </c>
      <c r="L1720" s="19" t="s">
        <v>731</v>
      </c>
      <c r="M1720" s="35">
        <v>0</v>
      </c>
      <c r="N1720"/>
      <c r="O1720" t="s">
        <v>202</v>
      </c>
      <c r="P1720" t="s">
        <v>340</v>
      </c>
      <c r="Q1720" t="s">
        <v>217</v>
      </c>
    </row>
    <row r="1721" spans="1:17" x14ac:dyDescent="0.3">
      <c r="A1721" s="9">
        <v>1277</v>
      </c>
      <c r="B1721" t="s">
        <v>204</v>
      </c>
      <c r="C1721" t="s">
        <v>39</v>
      </c>
      <c r="D1721" t="s">
        <v>393</v>
      </c>
      <c r="E1721" s="118">
        <v>8652</v>
      </c>
      <c r="F1721" s="13">
        <v>45958</v>
      </c>
      <c r="G1721" s="24">
        <v>162394.43</v>
      </c>
      <c r="H1721" s="24">
        <v>145667.79999999999</v>
      </c>
      <c r="I1721" s="3">
        <v>45994</v>
      </c>
      <c r="J1721" s="102">
        <v>46006</v>
      </c>
      <c r="K1721" s="12">
        <v>46009</v>
      </c>
      <c r="L1721" s="19" t="s">
        <v>731</v>
      </c>
      <c r="M1721" s="35"/>
      <c r="N1721"/>
      <c r="O1721" t="s">
        <v>202</v>
      </c>
      <c r="P1721" t="s">
        <v>340</v>
      </c>
      <c r="Q1721" t="s">
        <v>217</v>
      </c>
    </row>
    <row r="1722" spans="1:17" x14ac:dyDescent="0.3">
      <c r="A1722" s="9">
        <v>1277</v>
      </c>
      <c r="B1722" t="s">
        <v>204</v>
      </c>
      <c r="C1722" t="s">
        <v>39</v>
      </c>
      <c r="D1722" t="s">
        <v>393</v>
      </c>
      <c r="E1722" s="118">
        <v>8654</v>
      </c>
      <c r="F1722" s="13">
        <v>45989</v>
      </c>
      <c r="G1722" s="24">
        <v>162394.43</v>
      </c>
      <c r="H1722" s="24">
        <v>145667.79999999999</v>
      </c>
      <c r="I1722" s="3">
        <v>45995</v>
      </c>
      <c r="J1722" s="102">
        <v>46006</v>
      </c>
      <c r="K1722" s="12">
        <v>46007</v>
      </c>
      <c r="L1722" s="19" t="s">
        <v>731</v>
      </c>
      <c r="M1722" s="35"/>
      <c r="N1722"/>
      <c r="O1722" t="s">
        <v>202</v>
      </c>
      <c r="P1722" t="s">
        <v>340</v>
      </c>
      <c r="Q1722" t="s">
        <v>217</v>
      </c>
    </row>
    <row r="1723" spans="1:17" x14ac:dyDescent="0.3">
      <c r="A1723" s="9">
        <v>1277</v>
      </c>
      <c r="B1723" t="s">
        <v>204</v>
      </c>
      <c r="C1723" t="s">
        <v>39</v>
      </c>
      <c r="D1723" t="s">
        <v>393</v>
      </c>
      <c r="E1723" s="118">
        <v>8780</v>
      </c>
      <c r="F1723" s="13">
        <v>46019</v>
      </c>
      <c r="G1723" s="24">
        <v>162394.43</v>
      </c>
      <c r="H1723" s="27">
        <v>145667.79999999999</v>
      </c>
      <c r="I1723" s="3">
        <v>46083</v>
      </c>
      <c r="J1723" s="102">
        <v>46090</v>
      </c>
      <c r="K1723" s="12">
        <v>46094</v>
      </c>
      <c r="L1723" s="19" t="s">
        <v>731</v>
      </c>
      <c r="M1723" s="35"/>
      <c r="N1723"/>
      <c r="O1723" t="s">
        <v>202</v>
      </c>
      <c r="P1723" t="s">
        <v>340</v>
      </c>
      <c r="Q1723" t="s">
        <v>217</v>
      </c>
    </row>
    <row r="1724" spans="1:17" x14ac:dyDescent="0.3">
      <c r="A1724" s="9">
        <v>1277</v>
      </c>
      <c r="B1724" t="s">
        <v>204</v>
      </c>
      <c r="C1724" t="s">
        <v>39</v>
      </c>
      <c r="D1724" t="s">
        <v>393</v>
      </c>
      <c r="E1724" s="118"/>
      <c r="F1724" s="13">
        <v>46019</v>
      </c>
      <c r="G1724" s="24">
        <v>33762</v>
      </c>
      <c r="H1724" s="24"/>
      <c r="I1724" s="3">
        <v>46082</v>
      </c>
      <c r="J1724" s="102"/>
      <c r="K1724" s="12"/>
      <c r="L1724" s="19" t="s">
        <v>719</v>
      </c>
      <c r="M1724" s="35"/>
      <c r="N1724"/>
      <c r="O1724" t="s">
        <v>202</v>
      </c>
      <c r="P1724" t="s">
        <v>340</v>
      </c>
      <c r="Q1724" t="s">
        <v>217</v>
      </c>
    </row>
    <row r="1725" spans="1:17" x14ac:dyDescent="0.3">
      <c r="A1725" s="9">
        <v>1277</v>
      </c>
      <c r="B1725" t="s">
        <v>204</v>
      </c>
      <c r="C1725" t="s">
        <v>39</v>
      </c>
      <c r="D1725" t="s">
        <v>393</v>
      </c>
      <c r="E1725" s="118">
        <v>8783</v>
      </c>
      <c r="F1725" s="13">
        <v>46051</v>
      </c>
      <c r="G1725" s="24">
        <v>162394.43</v>
      </c>
      <c r="H1725" s="27">
        <v>145667.79999999999</v>
      </c>
      <c r="I1725" s="3">
        <v>46083</v>
      </c>
      <c r="J1725" s="102">
        <v>46090</v>
      </c>
      <c r="K1725" s="12">
        <v>46094</v>
      </c>
      <c r="L1725" s="19" t="s">
        <v>731</v>
      </c>
      <c r="M1725" s="35"/>
      <c r="N1725"/>
      <c r="O1725" t="s">
        <v>202</v>
      </c>
      <c r="P1725" t="s">
        <v>340</v>
      </c>
      <c r="Q1725" t="s">
        <v>217</v>
      </c>
    </row>
    <row r="1726" spans="1:17" x14ac:dyDescent="0.3">
      <c r="A1726" s="9">
        <v>1277</v>
      </c>
      <c r="B1726" t="s">
        <v>204</v>
      </c>
      <c r="C1726" t="s">
        <v>39</v>
      </c>
      <c r="D1726" t="s">
        <v>393</v>
      </c>
      <c r="E1726" s="118">
        <v>8816</v>
      </c>
      <c r="F1726" s="13">
        <v>46081</v>
      </c>
      <c r="G1726" s="27">
        <v>160737.79</v>
      </c>
      <c r="H1726" s="27">
        <v>144181.79999999999</v>
      </c>
      <c r="I1726" s="3">
        <v>46097</v>
      </c>
      <c r="J1726" s="102">
        <v>46113</v>
      </c>
      <c r="K1726" s="12">
        <v>46113</v>
      </c>
      <c r="L1726" s="19" t="s">
        <v>731</v>
      </c>
      <c r="M1726" s="35"/>
      <c r="N1726"/>
      <c r="O1726" t="s">
        <v>202</v>
      </c>
      <c r="P1726" t="s">
        <v>340</v>
      </c>
      <c r="Q1726" t="s">
        <v>217</v>
      </c>
    </row>
    <row r="1727" spans="1:17" x14ac:dyDescent="0.3">
      <c r="A1727" s="25">
        <v>1490</v>
      </c>
      <c r="B1727" t="s">
        <v>215</v>
      </c>
      <c r="C1727" t="s">
        <v>40</v>
      </c>
      <c r="D1727" t="s">
        <v>640</v>
      </c>
      <c r="E1727" s="118">
        <v>8931</v>
      </c>
      <c r="F1727" s="13">
        <v>46140</v>
      </c>
      <c r="G1727" s="24">
        <v>2396.09</v>
      </c>
      <c r="H1727" s="24">
        <v>2116.9499999999998</v>
      </c>
      <c r="I1727" s="3">
        <v>46153</v>
      </c>
      <c r="J1727" s="102">
        <v>46181</v>
      </c>
      <c r="K1727" s="12">
        <v>46183</v>
      </c>
      <c r="L1727" s="22" t="s">
        <v>731</v>
      </c>
      <c r="M1727" s="35">
        <v>0</v>
      </c>
      <c r="N1727" s="26"/>
      <c r="O1727" t="s">
        <v>202</v>
      </c>
      <c r="P1727" t="s">
        <v>328</v>
      </c>
      <c r="Q1727" t="s">
        <v>213</v>
      </c>
    </row>
    <row r="1728" spans="1:17" x14ac:dyDescent="0.3">
      <c r="A1728" s="25">
        <v>1290</v>
      </c>
      <c r="B1728" t="s">
        <v>215</v>
      </c>
      <c r="C1728" t="s">
        <v>40</v>
      </c>
      <c r="D1728" t="s">
        <v>409</v>
      </c>
      <c r="E1728" s="118">
        <v>8843</v>
      </c>
      <c r="F1728" s="13">
        <v>46109</v>
      </c>
      <c r="G1728" s="24">
        <v>55929.99</v>
      </c>
      <c r="H1728" s="24">
        <v>49414.15</v>
      </c>
      <c r="I1728" s="3">
        <v>46119</v>
      </c>
      <c r="J1728" s="102">
        <v>46146</v>
      </c>
      <c r="K1728" s="12">
        <v>46149</v>
      </c>
      <c r="L1728" s="22" t="s">
        <v>731</v>
      </c>
      <c r="M1728" s="35">
        <v>0</v>
      </c>
      <c r="N1728" s="26"/>
      <c r="O1728" t="s">
        <v>202</v>
      </c>
      <c r="P1728" t="s">
        <v>328</v>
      </c>
      <c r="Q1728" t="s">
        <v>213</v>
      </c>
    </row>
    <row r="1729" spans="1:17" x14ac:dyDescent="0.3">
      <c r="A1729" s="25">
        <v>1268</v>
      </c>
      <c r="B1729" t="s">
        <v>193</v>
      </c>
      <c r="C1729" t="s">
        <v>141</v>
      </c>
      <c r="D1729" t="s">
        <v>383</v>
      </c>
      <c r="E1729" s="118">
        <v>4388</v>
      </c>
      <c r="F1729" s="13">
        <v>45958</v>
      </c>
      <c r="G1729" s="24">
        <v>41368</v>
      </c>
      <c r="H1729" s="24">
        <v>38823.870000000003</v>
      </c>
      <c r="I1729" s="3">
        <v>45932</v>
      </c>
      <c r="J1729" s="102">
        <v>45957</v>
      </c>
      <c r="K1729" s="12">
        <v>45957</v>
      </c>
      <c r="L1729" s="19" t="s">
        <v>731</v>
      </c>
      <c r="M1729" s="35">
        <v>0</v>
      </c>
      <c r="N1729"/>
      <c r="O1729" t="s">
        <v>199</v>
      </c>
      <c r="P1729" t="s">
        <v>376</v>
      </c>
      <c r="Q1729" t="s">
        <v>207</v>
      </c>
    </row>
    <row r="1730" spans="1:17" x14ac:dyDescent="0.3">
      <c r="A1730" s="25">
        <v>1268</v>
      </c>
      <c r="B1730" t="s">
        <v>193</v>
      </c>
      <c r="C1730" t="s">
        <v>141</v>
      </c>
      <c r="D1730" t="s">
        <v>383</v>
      </c>
      <c r="E1730" s="118">
        <v>4494</v>
      </c>
      <c r="F1730" s="13">
        <v>45958</v>
      </c>
      <c r="G1730" s="24">
        <v>41368</v>
      </c>
      <c r="H1730" s="24">
        <v>38823.870000000003</v>
      </c>
      <c r="I1730" s="3">
        <v>45965</v>
      </c>
      <c r="J1730" s="102">
        <v>45985</v>
      </c>
      <c r="K1730" s="12">
        <v>45989</v>
      </c>
      <c r="L1730" s="19" t="s">
        <v>731</v>
      </c>
      <c r="M1730" s="35">
        <v>0</v>
      </c>
      <c r="N1730"/>
      <c r="O1730" t="s">
        <v>199</v>
      </c>
      <c r="P1730" t="s">
        <v>376</v>
      </c>
      <c r="Q1730" t="s">
        <v>207</v>
      </c>
    </row>
    <row r="1731" spans="1:17" x14ac:dyDescent="0.3">
      <c r="A1731" s="25">
        <v>1268</v>
      </c>
      <c r="B1731" t="s">
        <v>193</v>
      </c>
      <c r="C1731" t="s">
        <v>141</v>
      </c>
      <c r="D1731" t="s">
        <v>383</v>
      </c>
      <c r="E1731" s="118">
        <v>4496</v>
      </c>
      <c r="F1731" s="13">
        <v>45958</v>
      </c>
      <c r="G1731" s="24">
        <v>165717.72</v>
      </c>
      <c r="H1731" s="24">
        <v>155526.07999999999</v>
      </c>
      <c r="I1731" s="3">
        <v>45966</v>
      </c>
      <c r="J1731" s="102">
        <v>45992</v>
      </c>
      <c r="K1731" s="12">
        <v>45992</v>
      </c>
      <c r="L1731" s="19" t="s">
        <v>731</v>
      </c>
      <c r="M1731" s="35">
        <v>0</v>
      </c>
      <c r="N1731"/>
      <c r="O1731" t="s">
        <v>199</v>
      </c>
      <c r="P1731" t="s">
        <v>376</v>
      </c>
      <c r="Q1731" t="s">
        <v>207</v>
      </c>
    </row>
    <row r="1732" spans="1:17" x14ac:dyDescent="0.3">
      <c r="A1732" s="25">
        <v>1268</v>
      </c>
      <c r="B1732" t="s">
        <v>193</v>
      </c>
      <c r="C1732" t="s">
        <v>141</v>
      </c>
      <c r="D1732" t="s">
        <v>383</v>
      </c>
      <c r="E1732" s="118">
        <v>4503</v>
      </c>
      <c r="F1732" s="13">
        <v>45958</v>
      </c>
      <c r="G1732" s="24">
        <v>784755.72</v>
      </c>
      <c r="H1732" s="24">
        <v>736493.25</v>
      </c>
      <c r="I1732" s="3">
        <v>45967</v>
      </c>
      <c r="J1732" s="102">
        <v>45992</v>
      </c>
      <c r="K1732" s="12">
        <v>45992</v>
      </c>
      <c r="L1732" s="19" t="s">
        <v>731</v>
      </c>
      <c r="M1732" s="35">
        <v>0</v>
      </c>
      <c r="N1732"/>
      <c r="O1732" t="s">
        <v>199</v>
      </c>
      <c r="P1732" t="s">
        <v>376</v>
      </c>
      <c r="Q1732" t="s">
        <v>207</v>
      </c>
    </row>
    <row r="1733" spans="1:17" ht="13.95" customHeight="1" x14ac:dyDescent="0.3">
      <c r="A1733" s="25">
        <v>1268</v>
      </c>
      <c r="B1733" t="s">
        <v>193</v>
      </c>
      <c r="C1733" t="s">
        <v>141</v>
      </c>
      <c r="D1733" t="s">
        <v>383</v>
      </c>
      <c r="E1733" s="118">
        <v>4524</v>
      </c>
      <c r="F1733" s="13">
        <v>45958</v>
      </c>
      <c r="G1733" s="24">
        <v>36951.599999999999</v>
      </c>
      <c r="H1733" s="24">
        <v>34679.089999999997</v>
      </c>
      <c r="I1733" s="3">
        <v>45974</v>
      </c>
      <c r="J1733" s="102">
        <v>45992</v>
      </c>
      <c r="K1733" s="12">
        <v>45993</v>
      </c>
      <c r="L1733" s="19" t="s">
        <v>731</v>
      </c>
      <c r="M1733" s="35">
        <v>0</v>
      </c>
      <c r="N1733"/>
      <c r="O1733" t="s">
        <v>199</v>
      </c>
      <c r="P1733" t="s">
        <v>376</v>
      </c>
      <c r="Q1733" t="s">
        <v>207</v>
      </c>
    </row>
    <row r="1734" spans="1:17" x14ac:dyDescent="0.3">
      <c r="A1734" s="25">
        <v>1268</v>
      </c>
      <c r="B1734" t="s">
        <v>193</v>
      </c>
      <c r="C1734" t="s">
        <v>141</v>
      </c>
      <c r="D1734" t="s">
        <v>383</v>
      </c>
      <c r="E1734" s="118">
        <v>4525</v>
      </c>
      <c r="F1734" s="13">
        <v>45958</v>
      </c>
      <c r="G1734" s="24">
        <v>24364.51</v>
      </c>
      <c r="H1734" s="24">
        <v>22866.11</v>
      </c>
      <c r="I1734" s="3">
        <v>45974</v>
      </c>
      <c r="J1734" s="102">
        <v>45992</v>
      </c>
      <c r="K1734" s="12">
        <v>45993</v>
      </c>
      <c r="L1734" s="19" t="s">
        <v>731</v>
      </c>
      <c r="M1734" s="35">
        <v>0</v>
      </c>
      <c r="N1734"/>
      <c r="O1734" t="s">
        <v>199</v>
      </c>
      <c r="P1734" t="s">
        <v>376</v>
      </c>
      <c r="Q1734" t="s">
        <v>207</v>
      </c>
    </row>
    <row r="1735" spans="1:17" x14ac:dyDescent="0.3">
      <c r="A1735" s="25">
        <v>1268</v>
      </c>
      <c r="B1735" t="s">
        <v>193</v>
      </c>
      <c r="C1735" t="s">
        <v>141</v>
      </c>
      <c r="D1735" t="s">
        <v>383</v>
      </c>
      <c r="E1735" s="118">
        <v>4526</v>
      </c>
      <c r="F1735" s="13">
        <v>45958</v>
      </c>
      <c r="G1735" s="24">
        <v>123342.16</v>
      </c>
      <c r="H1735" s="24">
        <v>115756.62</v>
      </c>
      <c r="I1735" s="3">
        <v>45974</v>
      </c>
      <c r="J1735" s="102">
        <v>45992</v>
      </c>
      <c r="K1735" s="12">
        <v>45995</v>
      </c>
      <c r="L1735" s="19" t="s">
        <v>731</v>
      </c>
      <c r="M1735" s="35">
        <v>0</v>
      </c>
      <c r="N1735"/>
      <c r="O1735" t="s">
        <v>199</v>
      </c>
      <c r="P1735" t="s">
        <v>376</v>
      </c>
      <c r="Q1735" t="s">
        <v>207</v>
      </c>
    </row>
    <row r="1736" spans="1:17" x14ac:dyDescent="0.3">
      <c r="A1736" s="25">
        <v>1268</v>
      </c>
      <c r="B1736" t="s">
        <v>193</v>
      </c>
      <c r="C1736" t="s">
        <v>141</v>
      </c>
      <c r="D1736" t="s">
        <v>383</v>
      </c>
      <c r="E1736" s="118">
        <v>4527</v>
      </c>
      <c r="F1736" s="13">
        <v>45958</v>
      </c>
      <c r="G1736" s="24">
        <v>978220.74</v>
      </c>
      <c r="H1736" s="24">
        <v>918060.17</v>
      </c>
      <c r="I1736" s="3">
        <v>45974</v>
      </c>
      <c r="J1736" s="102">
        <v>45985</v>
      </c>
      <c r="K1736" s="12">
        <v>45989</v>
      </c>
      <c r="L1736" s="19" t="s">
        <v>731</v>
      </c>
      <c r="M1736" s="35">
        <v>0</v>
      </c>
      <c r="N1736"/>
      <c r="O1736" t="s">
        <v>199</v>
      </c>
      <c r="P1736" t="s">
        <v>376</v>
      </c>
      <c r="Q1736" t="s">
        <v>207</v>
      </c>
    </row>
    <row r="1737" spans="1:17" x14ac:dyDescent="0.3">
      <c r="A1737" s="25">
        <v>1268</v>
      </c>
      <c r="B1737" t="s">
        <v>193</v>
      </c>
      <c r="C1737" t="s">
        <v>141</v>
      </c>
      <c r="D1737" t="s">
        <v>383</v>
      </c>
      <c r="E1737" s="118">
        <v>4528</v>
      </c>
      <c r="F1737" s="13">
        <v>45958</v>
      </c>
      <c r="G1737" s="24">
        <v>850795.6</v>
      </c>
      <c r="H1737" s="24">
        <v>798471.68000000005</v>
      </c>
      <c r="I1737" s="3">
        <v>45974</v>
      </c>
      <c r="J1737" s="102">
        <v>45992</v>
      </c>
      <c r="K1737" s="12">
        <v>45992</v>
      </c>
      <c r="L1737" s="19" t="s">
        <v>731</v>
      </c>
      <c r="M1737" s="35">
        <v>0</v>
      </c>
      <c r="N1737"/>
      <c r="O1737" t="s">
        <v>199</v>
      </c>
      <c r="P1737" t="s">
        <v>376</v>
      </c>
      <c r="Q1737" t="s">
        <v>207</v>
      </c>
    </row>
    <row r="1738" spans="1:17" x14ac:dyDescent="0.3">
      <c r="A1738" s="25">
        <v>1483</v>
      </c>
      <c r="B1738" t="s">
        <v>193</v>
      </c>
      <c r="C1738" t="s">
        <v>178</v>
      </c>
      <c r="D1738" t="s">
        <v>633</v>
      </c>
      <c r="E1738" s="118">
        <v>8580</v>
      </c>
      <c r="F1738" s="13">
        <v>45958</v>
      </c>
      <c r="G1738" s="24">
        <v>53591.199999999997</v>
      </c>
      <c r="H1738" s="24">
        <v>50295.34</v>
      </c>
      <c r="I1738" s="3">
        <v>45964</v>
      </c>
      <c r="J1738" s="102">
        <v>45992</v>
      </c>
      <c r="K1738" s="12">
        <v>45994</v>
      </c>
      <c r="L1738" s="19" t="s">
        <v>731</v>
      </c>
      <c r="M1738" s="35">
        <v>0</v>
      </c>
      <c r="N1738" s="26"/>
      <c r="O1738" t="s">
        <v>202</v>
      </c>
      <c r="P1738" t="s">
        <v>373</v>
      </c>
      <c r="Q1738" t="s">
        <v>207</v>
      </c>
    </row>
    <row r="1739" spans="1:17" x14ac:dyDescent="0.3">
      <c r="A1739" s="25">
        <v>1483</v>
      </c>
      <c r="B1739" t="s">
        <v>193</v>
      </c>
      <c r="C1739" t="s">
        <v>178</v>
      </c>
      <c r="D1739" t="s">
        <v>633</v>
      </c>
      <c r="E1739" s="118">
        <v>8581</v>
      </c>
      <c r="F1739" s="13">
        <v>45958</v>
      </c>
      <c r="G1739" s="24">
        <v>28856.799999999999</v>
      </c>
      <c r="H1739" s="24">
        <v>25042.11</v>
      </c>
      <c r="I1739" s="3">
        <v>45964</v>
      </c>
      <c r="J1739" s="102">
        <v>45992</v>
      </c>
      <c r="K1739" s="12">
        <v>45994</v>
      </c>
      <c r="L1739" s="19" t="s">
        <v>731</v>
      </c>
      <c r="M1739" s="35">
        <v>0</v>
      </c>
      <c r="N1739" s="26"/>
      <c r="O1739" t="s">
        <v>202</v>
      </c>
      <c r="P1739" t="s">
        <v>373</v>
      </c>
      <c r="Q1739" t="s">
        <v>207</v>
      </c>
    </row>
    <row r="1740" spans="1:17" x14ac:dyDescent="0.3">
      <c r="A1740" s="25">
        <v>1483</v>
      </c>
      <c r="B1740" t="s">
        <v>193</v>
      </c>
      <c r="C1740" t="s">
        <v>178</v>
      </c>
      <c r="D1740" t="s">
        <v>633</v>
      </c>
      <c r="E1740" s="118">
        <v>8648</v>
      </c>
      <c r="F1740" s="13">
        <v>45989</v>
      </c>
      <c r="G1740" s="24">
        <v>53591.199999999997</v>
      </c>
      <c r="H1740" s="24">
        <v>48758.82</v>
      </c>
      <c r="I1740" s="3">
        <v>45994</v>
      </c>
      <c r="J1740" s="102">
        <v>46027</v>
      </c>
      <c r="K1740" s="12">
        <v>46029</v>
      </c>
      <c r="L1740" s="19" t="s">
        <v>731</v>
      </c>
      <c r="M1740" s="35">
        <v>0</v>
      </c>
      <c r="N1740" s="26"/>
      <c r="O1740" t="s">
        <v>202</v>
      </c>
      <c r="P1740" t="s">
        <v>373</v>
      </c>
      <c r="Q1740" t="s">
        <v>207</v>
      </c>
    </row>
    <row r="1741" spans="1:17" x14ac:dyDescent="0.3">
      <c r="A1741" s="25">
        <v>1483</v>
      </c>
      <c r="B1741" t="s">
        <v>193</v>
      </c>
      <c r="C1741" t="s">
        <v>178</v>
      </c>
      <c r="D1741" t="s">
        <v>633</v>
      </c>
      <c r="E1741" s="118">
        <v>8649</v>
      </c>
      <c r="F1741" s="13">
        <v>45989</v>
      </c>
      <c r="G1741" s="24">
        <v>28856.799999999999</v>
      </c>
      <c r="H1741" s="24">
        <v>26062.11</v>
      </c>
      <c r="I1741" s="3">
        <v>45994</v>
      </c>
      <c r="J1741" s="102">
        <v>46034</v>
      </c>
      <c r="K1741" s="12">
        <v>46036</v>
      </c>
      <c r="L1741" s="19" t="s">
        <v>731</v>
      </c>
      <c r="M1741" s="35">
        <v>0</v>
      </c>
      <c r="N1741" s="26"/>
      <c r="O1741" t="s">
        <v>202</v>
      </c>
      <c r="P1741" t="s">
        <v>373</v>
      </c>
      <c r="Q1741" t="s">
        <v>207</v>
      </c>
    </row>
    <row r="1742" spans="1:17" x14ac:dyDescent="0.3">
      <c r="A1742" s="25">
        <v>1483</v>
      </c>
      <c r="B1742" t="s">
        <v>193</v>
      </c>
      <c r="C1742" t="s">
        <v>178</v>
      </c>
      <c r="D1742" t="s">
        <v>633</v>
      </c>
      <c r="E1742" s="118">
        <v>8712</v>
      </c>
      <c r="F1742" s="13">
        <v>46019</v>
      </c>
      <c r="G1742" s="24">
        <v>28856.799999999999</v>
      </c>
      <c r="H1742" s="24">
        <v>26062.11</v>
      </c>
      <c r="I1742" s="3">
        <v>46034</v>
      </c>
      <c r="J1742" s="102">
        <v>46062</v>
      </c>
      <c r="K1742" s="12">
        <v>46064</v>
      </c>
      <c r="L1742" s="19" t="s">
        <v>731</v>
      </c>
      <c r="M1742" s="35">
        <v>0</v>
      </c>
      <c r="N1742" s="26"/>
      <c r="O1742" t="s">
        <v>202</v>
      </c>
      <c r="P1742" t="s">
        <v>373</v>
      </c>
      <c r="Q1742" t="s">
        <v>207</v>
      </c>
    </row>
    <row r="1743" spans="1:17" x14ac:dyDescent="0.3">
      <c r="A1743" s="25">
        <v>1483</v>
      </c>
      <c r="B1743" t="s">
        <v>193</v>
      </c>
      <c r="C1743" t="s">
        <v>178</v>
      </c>
      <c r="D1743" t="s">
        <v>633</v>
      </c>
      <c r="E1743" s="118">
        <v>8713</v>
      </c>
      <c r="F1743" s="13">
        <v>46019</v>
      </c>
      <c r="G1743" s="24">
        <v>53591.199999999997</v>
      </c>
      <c r="H1743" s="24">
        <v>49527.08</v>
      </c>
      <c r="I1743" s="3">
        <v>46034</v>
      </c>
      <c r="J1743" s="102">
        <v>46062</v>
      </c>
      <c r="K1743" s="12">
        <v>46064</v>
      </c>
      <c r="L1743" s="19" t="s">
        <v>731</v>
      </c>
      <c r="M1743" s="35">
        <v>0</v>
      </c>
      <c r="N1743" s="26"/>
      <c r="O1743" t="s">
        <v>202</v>
      </c>
      <c r="P1743" t="s">
        <v>373</v>
      </c>
      <c r="Q1743" t="s">
        <v>207</v>
      </c>
    </row>
    <row r="1744" spans="1:17" x14ac:dyDescent="0.3">
      <c r="A1744" s="25">
        <v>1483</v>
      </c>
      <c r="B1744" t="s">
        <v>193</v>
      </c>
      <c r="C1744" t="s">
        <v>178</v>
      </c>
      <c r="D1744" t="s">
        <v>633</v>
      </c>
      <c r="E1744" s="118">
        <v>8767</v>
      </c>
      <c r="F1744" s="13">
        <v>46051</v>
      </c>
      <c r="G1744" s="24">
        <v>53591.199999999997</v>
      </c>
      <c r="H1744" s="24">
        <v>49527.08</v>
      </c>
      <c r="I1744" s="3">
        <v>46073</v>
      </c>
      <c r="J1744" s="102">
        <v>46090</v>
      </c>
      <c r="K1744" s="12">
        <v>46092</v>
      </c>
      <c r="L1744" s="19" t="s">
        <v>731</v>
      </c>
      <c r="M1744" s="35">
        <v>0</v>
      </c>
      <c r="N1744" s="26"/>
      <c r="O1744" t="s">
        <v>202</v>
      </c>
      <c r="P1744" t="s">
        <v>373</v>
      </c>
      <c r="Q1744" t="s">
        <v>207</v>
      </c>
    </row>
    <row r="1745" spans="1:17" x14ac:dyDescent="0.3">
      <c r="A1745" s="25">
        <v>1483</v>
      </c>
      <c r="B1745" t="s">
        <v>193</v>
      </c>
      <c r="C1745" t="s">
        <v>178</v>
      </c>
      <c r="D1745" t="s">
        <v>633</v>
      </c>
      <c r="E1745" s="118">
        <v>8768</v>
      </c>
      <c r="F1745" s="13">
        <v>46051</v>
      </c>
      <c r="G1745" s="27">
        <v>28856.799999999999</v>
      </c>
      <c r="H1745" s="24">
        <v>26062.11</v>
      </c>
      <c r="I1745" s="3">
        <v>46073</v>
      </c>
      <c r="J1745" s="102">
        <v>46139</v>
      </c>
      <c r="K1745" s="12">
        <v>46141</v>
      </c>
      <c r="L1745" s="19" t="s">
        <v>731</v>
      </c>
      <c r="M1745" s="35">
        <v>0</v>
      </c>
      <c r="N1745" s="26"/>
      <c r="O1745" t="s">
        <v>202</v>
      </c>
      <c r="P1745" t="s">
        <v>373</v>
      </c>
      <c r="Q1745" t="s">
        <v>207</v>
      </c>
    </row>
    <row r="1746" spans="1:17" x14ac:dyDescent="0.3">
      <c r="A1746" s="25">
        <v>1483</v>
      </c>
      <c r="B1746" t="s">
        <v>193</v>
      </c>
      <c r="C1746" t="s">
        <v>178</v>
      </c>
      <c r="D1746" t="s">
        <v>633</v>
      </c>
      <c r="E1746" s="118">
        <v>8822</v>
      </c>
      <c r="F1746" s="13">
        <v>46081</v>
      </c>
      <c r="G1746" s="27">
        <v>53591.199999999997</v>
      </c>
      <c r="H1746" s="24">
        <v>49527.08</v>
      </c>
      <c r="I1746" s="3">
        <v>46101</v>
      </c>
      <c r="J1746" s="102">
        <v>46125</v>
      </c>
      <c r="K1746" s="12">
        <v>46127</v>
      </c>
      <c r="L1746" s="19" t="s">
        <v>731</v>
      </c>
      <c r="M1746" s="35">
        <v>0</v>
      </c>
      <c r="N1746" s="26"/>
      <c r="O1746" t="s">
        <v>202</v>
      </c>
      <c r="P1746" t="s">
        <v>373</v>
      </c>
      <c r="Q1746" t="s">
        <v>207</v>
      </c>
    </row>
    <row r="1747" spans="1:17" x14ac:dyDescent="0.3">
      <c r="A1747" s="25">
        <v>1483</v>
      </c>
      <c r="B1747" t="s">
        <v>193</v>
      </c>
      <c r="C1747" t="s">
        <v>178</v>
      </c>
      <c r="D1747" t="s">
        <v>633</v>
      </c>
      <c r="E1747" s="118">
        <v>8823</v>
      </c>
      <c r="F1747" s="13">
        <v>46081</v>
      </c>
      <c r="G1747" s="27">
        <v>28856.799999999999</v>
      </c>
      <c r="H1747" s="24">
        <v>27082.11</v>
      </c>
      <c r="I1747" s="3">
        <v>46101</v>
      </c>
      <c r="J1747" s="102">
        <v>46139</v>
      </c>
      <c r="K1747" s="12">
        <v>46141</v>
      </c>
      <c r="L1747" s="19" t="s">
        <v>731</v>
      </c>
      <c r="M1747" s="35">
        <v>0</v>
      </c>
      <c r="N1747" s="26"/>
      <c r="O1747" t="s">
        <v>202</v>
      </c>
      <c r="P1747" t="s">
        <v>373</v>
      </c>
      <c r="Q1747" t="s">
        <v>207</v>
      </c>
    </row>
    <row r="1748" spans="1:17" x14ac:dyDescent="0.3">
      <c r="A1748" s="25">
        <v>1483</v>
      </c>
      <c r="B1748" t="s">
        <v>193</v>
      </c>
      <c r="C1748" t="s">
        <v>178</v>
      </c>
      <c r="D1748" t="s">
        <v>633</v>
      </c>
      <c r="E1748" s="118">
        <v>8884</v>
      </c>
      <c r="F1748" s="13">
        <v>46109</v>
      </c>
      <c r="G1748" s="24">
        <v>4148</v>
      </c>
      <c r="H1748" s="27">
        <v>3892.9</v>
      </c>
      <c r="I1748" s="3">
        <v>46136</v>
      </c>
      <c r="J1748" s="161">
        <v>46160</v>
      </c>
      <c r="K1748" s="12">
        <v>46162</v>
      </c>
      <c r="L1748" s="19" t="s">
        <v>731</v>
      </c>
      <c r="M1748" s="35">
        <v>0</v>
      </c>
      <c r="N1748" s="26"/>
      <c r="O1748" t="s">
        <v>202</v>
      </c>
      <c r="P1748" t="s">
        <v>373</v>
      </c>
      <c r="Q1748" t="s">
        <v>207</v>
      </c>
    </row>
    <row r="1749" spans="1:17" x14ac:dyDescent="0.3">
      <c r="A1749" s="25">
        <v>1483</v>
      </c>
      <c r="B1749" t="s">
        <v>193</v>
      </c>
      <c r="C1749" t="s">
        <v>178</v>
      </c>
      <c r="D1749" t="s">
        <v>633</v>
      </c>
      <c r="E1749" s="118">
        <v>8885</v>
      </c>
      <c r="F1749" s="13">
        <v>46109</v>
      </c>
      <c r="G1749" s="24">
        <v>55065.96</v>
      </c>
      <c r="H1749" s="24">
        <v>50911.14</v>
      </c>
      <c r="I1749" s="3">
        <v>46136</v>
      </c>
      <c r="J1749" s="102">
        <v>46160</v>
      </c>
      <c r="K1749" s="12">
        <v>46162</v>
      </c>
      <c r="L1749" s="19" t="s">
        <v>731</v>
      </c>
      <c r="M1749" s="35">
        <v>0</v>
      </c>
      <c r="N1749" s="26"/>
      <c r="O1749" t="s">
        <v>202</v>
      </c>
      <c r="P1749" t="s">
        <v>373</v>
      </c>
      <c r="Q1749" t="s">
        <v>207</v>
      </c>
    </row>
    <row r="1750" spans="1:17" x14ac:dyDescent="0.3">
      <c r="A1750" s="25">
        <v>1483</v>
      </c>
      <c r="B1750" t="s">
        <v>193</v>
      </c>
      <c r="C1750" t="s">
        <v>178</v>
      </c>
      <c r="D1750" t="s">
        <v>633</v>
      </c>
      <c r="E1750" s="118">
        <v>8890</v>
      </c>
      <c r="F1750" s="13">
        <v>46109</v>
      </c>
      <c r="G1750" s="44">
        <v>14189.48</v>
      </c>
      <c r="H1750" s="24">
        <v>14189.48</v>
      </c>
      <c r="I1750" s="3">
        <v>46140</v>
      </c>
      <c r="J1750" s="161">
        <v>46174</v>
      </c>
      <c r="K1750" s="12">
        <v>46176</v>
      </c>
      <c r="L1750" s="19" t="s">
        <v>731</v>
      </c>
      <c r="M1750" s="35">
        <v>0</v>
      </c>
      <c r="N1750" s="26"/>
      <c r="O1750" t="s">
        <v>202</v>
      </c>
      <c r="P1750" t="s">
        <v>373</v>
      </c>
      <c r="Q1750" t="s">
        <v>207</v>
      </c>
    </row>
    <row r="1751" spans="1:17" x14ac:dyDescent="0.3">
      <c r="A1751" s="25">
        <v>1483</v>
      </c>
      <c r="B1751" t="s">
        <v>193</v>
      </c>
      <c r="C1751" t="s">
        <v>178</v>
      </c>
      <c r="D1751" t="s">
        <v>633</v>
      </c>
      <c r="E1751" s="118">
        <v>8887</v>
      </c>
      <c r="F1751" s="13">
        <v>46109</v>
      </c>
      <c r="G1751" s="24">
        <v>37291.39</v>
      </c>
      <c r="H1751" s="27">
        <v>34997.980000000003</v>
      </c>
      <c r="I1751" s="3">
        <v>46136</v>
      </c>
      <c r="J1751" s="102">
        <v>46160</v>
      </c>
      <c r="K1751" s="12">
        <v>46162</v>
      </c>
      <c r="L1751" s="19" t="s">
        <v>731</v>
      </c>
      <c r="M1751" s="35">
        <v>0</v>
      </c>
      <c r="N1751" s="26"/>
      <c r="O1751" t="s">
        <v>202</v>
      </c>
      <c r="P1751" t="s">
        <v>373</v>
      </c>
      <c r="Q1751" t="s">
        <v>207</v>
      </c>
    </row>
    <row r="1752" spans="1:17" x14ac:dyDescent="0.3">
      <c r="A1752" s="25">
        <v>1533</v>
      </c>
      <c r="B1752" t="s">
        <v>193</v>
      </c>
      <c r="C1752" t="s">
        <v>178</v>
      </c>
      <c r="D1752" t="s">
        <v>863</v>
      </c>
      <c r="E1752" s="118">
        <v>8916</v>
      </c>
      <c r="F1752" s="13">
        <v>46140</v>
      </c>
      <c r="G1752" s="44">
        <v>36028.83</v>
      </c>
      <c r="H1752" s="24">
        <v>33813.06</v>
      </c>
      <c r="I1752" s="3">
        <v>46147</v>
      </c>
      <c r="J1752" s="161">
        <v>46174</v>
      </c>
      <c r="K1752" s="12">
        <v>46176</v>
      </c>
      <c r="L1752" s="19" t="s">
        <v>731</v>
      </c>
      <c r="M1752" s="35">
        <v>0</v>
      </c>
      <c r="N1752" s="26"/>
      <c r="O1752" t="s">
        <v>202</v>
      </c>
      <c r="P1752" t="s">
        <v>373</v>
      </c>
      <c r="Q1752" t="s">
        <v>207</v>
      </c>
    </row>
    <row r="1753" spans="1:17" x14ac:dyDescent="0.3">
      <c r="A1753" s="25">
        <v>1533</v>
      </c>
      <c r="B1753" t="s">
        <v>193</v>
      </c>
      <c r="C1753" t="s">
        <v>178</v>
      </c>
      <c r="D1753" t="s">
        <v>863</v>
      </c>
      <c r="E1753" s="118">
        <v>8917</v>
      </c>
      <c r="F1753" s="13">
        <v>46140</v>
      </c>
      <c r="G1753" s="24">
        <v>69910.69</v>
      </c>
      <c r="H1753" s="24">
        <v>65611.179999999993</v>
      </c>
      <c r="I1753" s="3">
        <v>46147</v>
      </c>
      <c r="J1753" s="161">
        <v>46174</v>
      </c>
      <c r="K1753" s="12">
        <v>46176</v>
      </c>
      <c r="L1753" s="19" t="s">
        <v>731</v>
      </c>
      <c r="M1753" s="35">
        <v>0</v>
      </c>
      <c r="N1753" s="26"/>
      <c r="O1753" t="s">
        <v>202</v>
      </c>
      <c r="P1753" t="s">
        <v>373</v>
      </c>
      <c r="Q1753" t="s">
        <v>207</v>
      </c>
    </row>
    <row r="1754" spans="1:17" x14ac:dyDescent="0.3">
      <c r="A1754" s="25">
        <v>1533</v>
      </c>
      <c r="B1754" t="s">
        <v>193</v>
      </c>
      <c r="C1754" t="s">
        <v>178</v>
      </c>
      <c r="D1754" t="s">
        <v>863</v>
      </c>
      <c r="E1754" s="118">
        <v>8939</v>
      </c>
      <c r="F1754" s="13">
        <v>46140</v>
      </c>
      <c r="G1754" s="24">
        <v>8847.7999999999993</v>
      </c>
      <c r="H1754" s="24">
        <v>8847.7999999999993</v>
      </c>
      <c r="I1754" s="3">
        <v>46155</v>
      </c>
      <c r="J1754" s="161">
        <v>46181</v>
      </c>
      <c r="K1754" s="12">
        <v>46183</v>
      </c>
      <c r="L1754" s="19" t="s">
        <v>731</v>
      </c>
      <c r="M1754" s="35">
        <v>0</v>
      </c>
      <c r="N1754" s="26"/>
      <c r="O1754" t="s">
        <v>202</v>
      </c>
      <c r="P1754" t="s">
        <v>373</v>
      </c>
      <c r="Q1754" t="s">
        <v>207</v>
      </c>
    </row>
    <row r="1755" spans="1:17" x14ac:dyDescent="0.3">
      <c r="A1755" s="25">
        <v>1533</v>
      </c>
      <c r="B1755" t="s">
        <v>193</v>
      </c>
      <c r="C1755" t="s">
        <v>178</v>
      </c>
      <c r="D1755" t="s">
        <v>863</v>
      </c>
      <c r="E1755" s="118">
        <v>8941</v>
      </c>
      <c r="F1755" s="13">
        <v>46140</v>
      </c>
      <c r="G1755" s="24">
        <v>4764.2</v>
      </c>
      <c r="H1755" s="24">
        <v>4764.2</v>
      </c>
      <c r="I1755" s="3">
        <v>46155</v>
      </c>
      <c r="J1755" s="161">
        <v>46181</v>
      </c>
      <c r="K1755" s="12">
        <v>46183</v>
      </c>
      <c r="L1755" s="19" t="s">
        <v>731</v>
      </c>
      <c r="M1755" s="35">
        <v>0</v>
      </c>
      <c r="N1755" s="26"/>
      <c r="O1755" t="s">
        <v>202</v>
      </c>
      <c r="P1755" t="s">
        <v>373</v>
      </c>
      <c r="Q1755" t="s">
        <v>207</v>
      </c>
    </row>
    <row r="1756" spans="1:17" ht="13.95" customHeight="1" x14ac:dyDescent="0.3">
      <c r="A1756" s="25">
        <v>1400</v>
      </c>
      <c r="B1756" t="s">
        <v>209</v>
      </c>
      <c r="C1756" t="s">
        <v>3</v>
      </c>
      <c r="D1756" t="s">
        <v>530</v>
      </c>
      <c r="E1756" s="118">
        <v>8989</v>
      </c>
      <c r="F1756" s="13">
        <v>46110</v>
      </c>
      <c r="G1756" s="44">
        <v>677917.33</v>
      </c>
      <c r="H1756" s="27">
        <v>612498.31000000006</v>
      </c>
      <c r="I1756" s="3">
        <v>46174</v>
      </c>
      <c r="J1756" s="102">
        <v>46195</v>
      </c>
      <c r="K1756" s="12"/>
      <c r="L1756" s="19" t="s">
        <v>730</v>
      </c>
      <c r="M1756" s="35"/>
      <c r="N1756"/>
      <c r="O1756" t="s">
        <v>199</v>
      </c>
      <c r="P1756" t="s">
        <v>328</v>
      </c>
      <c r="Q1756" t="s">
        <v>203</v>
      </c>
    </row>
    <row r="1757" spans="1:17" ht="13.95" customHeight="1" x14ac:dyDescent="0.3">
      <c r="A1757" s="25">
        <v>1400</v>
      </c>
      <c r="B1757" t="s">
        <v>209</v>
      </c>
      <c r="C1757" t="s">
        <v>3</v>
      </c>
      <c r="D1757" t="s">
        <v>530</v>
      </c>
      <c r="E1757" s="118">
        <v>8990</v>
      </c>
      <c r="F1757" s="13">
        <v>46141</v>
      </c>
      <c r="G1757" s="24">
        <v>471011.55</v>
      </c>
      <c r="H1757" s="27">
        <v>425558.93</v>
      </c>
      <c r="I1757" s="3">
        <v>46174</v>
      </c>
      <c r="J1757" s="102">
        <v>46195</v>
      </c>
      <c r="K1757" s="12"/>
      <c r="L1757" s="19" t="s">
        <v>730</v>
      </c>
      <c r="M1757" s="36"/>
      <c r="N1757"/>
      <c r="O1757" t="s">
        <v>199</v>
      </c>
      <c r="P1757" t="s">
        <v>328</v>
      </c>
      <c r="Q1757" t="s">
        <v>203</v>
      </c>
    </row>
    <row r="1758" spans="1:17" ht="13.95" customHeight="1" x14ac:dyDescent="0.3">
      <c r="A1758" s="25">
        <v>1275</v>
      </c>
      <c r="B1758" t="s">
        <v>193</v>
      </c>
      <c r="C1758" t="s">
        <v>165</v>
      </c>
      <c r="D1758" t="s">
        <v>391</v>
      </c>
      <c r="E1758" s="118">
        <v>4491</v>
      </c>
      <c r="F1758" s="13">
        <v>45958</v>
      </c>
      <c r="G1758" s="24">
        <v>16767.240000000002</v>
      </c>
      <c r="H1758" s="24">
        <v>15736.05</v>
      </c>
      <c r="I1758" s="3">
        <v>45964</v>
      </c>
      <c r="J1758" s="161">
        <v>45985</v>
      </c>
      <c r="K1758" s="12">
        <v>45989</v>
      </c>
      <c r="L1758" s="19" t="s">
        <v>731</v>
      </c>
      <c r="M1758" s="35">
        <v>0</v>
      </c>
      <c r="N1758" s="26"/>
      <c r="O1758" t="s">
        <v>199</v>
      </c>
      <c r="P1758" t="s">
        <v>376</v>
      </c>
      <c r="Q1758" t="s">
        <v>207</v>
      </c>
    </row>
    <row r="1759" spans="1:17" ht="13.95" customHeight="1" x14ac:dyDescent="0.3">
      <c r="A1759" s="25">
        <v>1479</v>
      </c>
      <c r="B1759" t="s">
        <v>193</v>
      </c>
      <c r="C1759" t="s">
        <v>165</v>
      </c>
      <c r="D1759" t="s">
        <v>629</v>
      </c>
      <c r="E1759" s="118">
        <v>4493</v>
      </c>
      <c r="F1759" s="13">
        <v>45958</v>
      </c>
      <c r="G1759" s="24">
        <v>26040</v>
      </c>
      <c r="H1759" s="24">
        <v>24438.54</v>
      </c>
      <c r="I1759" s="3">
        <v>45965</v>
      </c>
      <c r="J1759" s="161">
        <v>45985</v>
      </c>
      <c r="K1759" s="12">
        <v>45989</v>
      </c>
      <c r="L1759" s="19" t="s">
        <v>731</v>
      </c>
      <c r="M1759" s="35">
        <v>0</v>
      </c>
      <c r="N1759" s="26"/>
      <c r="O1759" t="s">
        <v>201</v>
      </c>
      <c r="P1759" t="s">
        <v>376</v>
      </c>
      <c r="Q1759" t="s">
        <v>207</v>
      </c>
    </row>
    <row r="1760" spans="1:17" ht="13.95" customHeight="1" x14ac:dyDescent="0.3">
      <c r="A1760" s="25">
        <v>1455</v>
      </c>
      <c r="B1760" t="s">
        <v>215</v>
      </c>
      <c r="C1760" t="s">
        <v>60</v>
      </c>
      <c r="D1760" t="s">
        <v>600</v>
      </c>
      <c r="E1760" s="118">
        <v>8642</v>
      </c>
      <c r="F1760" s="13">
        <v>45989</v>
      </c>
      <c r="G1760" s="24">
        <v>56875.77</v>
      </c>
      <c r="H1760" s="24">
        <v>50249.74</v>
      </c>
      <c r="I1760" s="3">
        <v>45992</v>
      </c>
      <c r="J1760" s="161">
        <v>46020</v>
      </c>
      <c r="K1760" s="12">
        <v>46021</v>
      </c>
      <c r="L1760" s="22" t="s">
        <v>731</v>
      </c>
      <c r="M1760" s="35"/>
      <c r="N1760" s="26"/>
      <c r="O1760" t="s">
        <v>202</v>
      </c>
      <c r="P1760" t="s">
        <v>373</v>
      </c>
      <c r="Q1760" t="s">
        <v>213</v>
      </c>
    </row>
    <row r="1761" spans="1:17" ht="13.95" customHeight="1" x14ac:dyDescent="0.3">
      <c r="A1761" s="25">
        <v>1455</v>
      </c>
      <c r="B1761" t="s">
        <v>215</v>
      </c>
      <c r="C1761" t="s">
        <v>60</v>
      </c>
      <c r="D1761" t="s">
        <v>600</v>
      </c>
      <c r="E1761" s="118">
        <v>8699</v>
      </c>
      <c r="F1761" s="13">
        <v>46019</v>
      </c>
      <c r="G1761" s="24">
        <v>56875.77</v>
      </c>
      <c r="H1761" s="24">
        <v>50249.74</v>
      </c>
      <c r="I1761" s="3">
        <v>46024</v>
      </c>
      <c r="J1761" s="161">
        <v>46048</v>
      </c>
      <c r="K1761" s="12">
        <v>46052</v>
      </c>
      <c r="L1761" s="22" t="s">
        <v>731</v>
      </c>
      <c r="M1761" s="35"/>
      <c r="N1761" s="26"/>
      <c r="O1761" t="s">
        <v>202</v>
      </c>
      <c r="P1761" t="s">
        <v>373</v>
      </c>
      <c r="Q1761" t="s">
        <v>213</v>
      </c>
    </row>
    <row r="1762" spans="1:17" ht="13.95" customHeight="1" x14ac:dyDescent="0.3">
      <c r="A1762" s="25">
        <v>1455</v>
      </c>
      <c r="B1762" t="s">
        <v>215</v>
      </c>
      <c r="C1762" t="s">
        <v>60</v>
      </c>
      <c r="D1762" t="s">
        <v>600</v>
      </c>
      <c r="E1762" s="118">
        <v>8730</v>
      </c>
      <c r="F1762" s="13">
        <v>46051</v>
      </c>
      <c r="G1762" s="24">
        <v>56875.77</v>
      </c>
      <c r="H1762" s="24">
        <v>50704.74</v>
      </c>
      <c r="I1762" s="3">
        <v>46055</v>
      </c>
      <c r="J1762" s="161">
        <v>46083</v>
      </c>
      <c r="K1762" s="12">
        <v>46083</v>
      </c>
      <c r="L1762" s="22" t="s">
        <v>731</v>
      </c>
      <c r="M1762" s="35"/>
      <c r="N1762" s="26"/>
      <c r="O1762" t="s">
        <v>202</v>
      </c>
      <c r="P1762" t="s">
        <v>373</v>
      </c>
      <c r="Q1762" t="s">
        <v>213</v>
      </c>
    </row>
    <row r="1763" spans="1:17" x14ac:dyDescent="0.3">
      <c r="A1763" s="25">
        <v>1455</v>
      </c>
      <c r="B1763" t="s">
        <v>215</v>
      </c>
      <c r="C1763" t="s">
        <v>60</v>
      </c>
      <c r="D1763" t="s">
        <v>600</v>
      </c>
      <c r="E1763" s="118">
        <v>8785</v>
      </c>
      <c r="F1763" s="13">
        <v>46081</v>
      </c>
      <c r="G1763" s="24">
        <v>56875.77</v>
      </c>
      <c r="H1763" s="24">
        <v>50249.74</v>
      </c>
      <c r="I1763" s="3">
        <v>46083</v>
      </c>
      <c r="J1763" s="161">
        <v>46111</v>
      </c>
      <c r="K1763" s="12">
        <v>46111</v>
      </c>
      <c r="L1763" s="22" t="s">
        <v>731</v>
      </c>
      <c r="M1763" s="35"/>
      <c r="N1763" s="26"/>
      <c r="O1763" t="s">
        <v>202</v>
      </c>
      <c r="P1763" t="s">
        <v>373</v>
      </c>
      <c r="Q1763" t="s">
        <v>213</v>
      </c>
    </row>
    <row r="1764" spans="1:17" x14ac:dyDescent="0.3">
      <c r="A1764" s="25">
        <v>1455</v>
      </c>
      <c r="B1764" t="s">
        <v>215</v>
      </c>
      <c r="C1764" t="s">
        <v>60</v>
      </c>
      <c r="D1764" t="s">
        <v>600</v>
      </c>
      <c r="E1764" s="118">
        <v>8838</v>
      </c>
      <c r="F1764" s="13">
        <v>46109</v>
      </c>
      <c r="G1764" s="24">
        <v>56875.77</v>
      </c>
      <c r="H1764" s="24">
        <v>50249.74</v>
      </c>
      <c r="I1764" s="3">
        <v>46113</v>
      </c>
      <c r="J1764" s="161">
        <v>46139</v>
      </c>
      <c r="K1764" s="12">
        <v>46142</v>
      </c>
      <c r="L1764" s="22" t="s">
        <v>731</v>
      </c>
      <c r="M1764" s="35"/>
      <c r="N1764" s="26"/>
      <c r="O1764" t="s">
        <v>202</v>
      </c>
      <c r="P1764" t="s">
        <v>373</v>
      </c>
      <c r="Q1764" t="s">
        <v>213</v>
      </c>
    </row>
    <row r="1765" spans="1:17" x14ac:dyDescent="0.3">
      <c r="A1765" s="9">
        <v>1476</v>
      </c>
      <c r="B1765" t="s">
        <v>215</v>
      </c>
      <c r="C1765" t="s">
        <v>46</v>
      </c>
      <c r="D1765" t="s">
        <v>626</v>
      </c>
      <c r="E1765" s="118">
        <v>8945</v>
      </c>
      <c r="F1765" s="13">
        <v>46109</v>
      </c>
      <c r="G1765" s="170">
        <v>5442.31</v>
      </c>
      <c r="H1765" s="27">
        <v>4881.75</v>
      </c>
      <c r="I1765" s="3">
        <v>46157</v>
      </c>
      <c r="J1765" s="161">
        <v>46174</v>
      </c>
      <c r="K1765" s="5">
        <v>46174</v>
      </c>
      <c r="L1765" s="22" t="s">
        <v>731</v>
      </c>
      <c r="M1765" s="35"/>
      <c r="N1765" s="15"/>
      <c r="O1765" t="s">
        <v>202</v>
      </c>
      <c r="P1765" t="s">
        <v>340</v>
      </c>
      <c r="Q1765" t="s">
        <v>213</v>
      </c>
    </row>
    <row r="1766" spans="1:17" x14ac:dyDescent="0.3">
      <c r="A1766" s="9">
        <v>1358</v>
      </c>
      <c r="B1766" t="s">
        <v>215</v>
      </c>
      <c r="C1766" t="s">
        <v>17</v>
      </c>
      <c r="D1766" t="s">
        <v>480</v>
      </c>
      <c r="E1766" s="118">
        <v>8971</v>
      </c>
      <c r="F1766" s="13">
        <v>46140</v>
      </c>
      <c r="G1766" s="24">
        <v>7649.4</v>
      </c>
      <c r="H1766" s="24">
        <v>6861.51</v>
      </c>
      <c r="I1766" s="3">
        <v>46164</v>
      </c>
      <c r="J1766" s="161">
        <v>46209</v>
      </c>
      <c r="K1766" s="12"/>
      <c r="L1766" s="19" t="s">
        <v>730</v>
      </c>
      <c r="M1766" s="35"/>
      <c r="N1766"/>
      <c r="O1766" t="s">
        <v>202</v>
      </c>
      <c r="P1766" t="s">
        <v>340</v>
      </c>
      <c r="Q1766" t="s">
        <v>213</v>
      </c>
    </row>
    <row r="1767" spans="1:17" x14ac:dyDescent="0.3">
      <c r="A1767" s="25">
        <v>1455</v>
      </c>
      <c r="B1767" t="s">
        <v>215</v>
      </c>
      <c r="C1767" t="s">
        <v>60</v>
      </c>
      <c r="D1767" t="s">
        <v>600</v>
      </c>
      <c r="E1767" s="118">
        <v>9002</v>
      </c>
      <c r="F1767" s="13">
        <v>46170</v>
      </c>
      <c r="G1767" s="24">
        <v>56875.77</v>
      </c>
      <c r="H1767" s="24">
        <v>50249.760000000002</v>
      </c>
      <c r="I1767" s="3">
        <v>46181</v>
      </c>
      <c r="J1767" s="161">
        <v>46181</v>
      </c>
      <c r="K1767" s="12"/>
      <c r="L1767" s="22" t="s">
        <v>730</v>
      </c>
      <c r="M1767" s="35"/>
      <c r="N1767" s="26"/>
      <c r="O1767" t="s">
        <v>202</v>
      </c>
      <c r="P1767" t="s">
        <v>373</v>
      </c>
      <c r="Q1767" t="s">
        <v>213</v>
      </c>
    </row>
    <row r="1768" spans="1:17" x14ac:dyDescent="0.3">
      <c r="A1768" s="25">
        <v>1478</v>
      </c>
      <c r="B1768" t="s">
        <v>71</v>
      </c>
      <c r="C1768" t="s">
        <v>198</v>
      </c>
      <c r="D1768" t="s">
        <v>628</v>
      </c>
      <c r="E1768" s="118">
        <v>8643</v>
      </c>
      <c r="F1768" s="13">
        <v>45989</v>
      </c>
      <c r="G1768" s="24">
        <v>13993.56</v>
      </c>
      <c r="H1768" s="27">
        <v>13132.95</v>
      </c>
      <c r="I1768" s="3">
        <v>45994</v>
      </c>
      <c r="J1768" s="161">
        <v>46006</v>
      </c>
      <c r="K1768" s="12">
        <v>46010</v>
      </c>
      <c r="L1768" s="19" t="s">
        <v>731</v>
      </c>
      <c r="M1768" s="35"/>
      <c r="N1768"/>
      <c r="O1768" t="s">
        <v>199</v>
      </c>
      <c r="P1768" t="s">
        <v>376</v>
      </c>
      <c r="Q1768" t="s">
        <v>203</v>
      </c>
    </row>
    <row r="1769" spans="1:17" x14ac:dyDescent="0.3">
      <c r="A1769" s="25">
        <v>1478</v>
      </c>
      <c r="B1769" t="s">
        <v>71</v>
      </c>
      <c r="C1769" t="s">
        <v>198</v>
      </c>
      <c r="D1769" t="s">
        <v>628</v>
      </c>
      <c r="E1769" s="118">
        <v>8644</v>
      </c>
      <c r="F1769" s="13">
        <v>45989</v>
      </c>
      <c r="G1769" s="24">
        <v>29087.69</v>
      </c>
      <c r="H1769" s="24">
        <v>27298.79</v>
      </c>
      <c r="I1769" s="3">
        <v>45994</v>
      </c>
      <c r="J1769" s="161">
        <v>46013</v>
      </c>
      <c r="K1769" s="12">
        <v>46015</v>
      </c>
      <c r="L1769" s="19" t="s">
        <v>731</v>
      </c>
      <c r="M1769" s="35"/>
      <c r="N1769"/>
      <c r="O1769" t="s">
        <v>199</v>
      </c>
      <c r="P1769" t="s">
        <v>376</v>
      </c>
      <c r="Q1769" t="s">
        <v>203</v>
      </c>
    </row>
    <row r="1770" spans="1:17" x14ac:dyDescent="0.3">
      <c r="A1770" s="25">
        <v>1478</v>
      </c>
      <c r="B1770" t="s">
        <v>71</v>
      </c>
      <c r="C1770" t="s">
        <v>198</v>
      </c>
      <c r="D1770" t="s">
        <v>628</v>
      </c>
      <c r="E1770" s="118">
        <v>8645</v>
      </c>
      <c r="F1770" s="13">
        <v>45989</v>
      </c>
      <c r="G1770" s="24">
        <v>25155.96</v>
      </c>
      <c r="H1770" s="24">
        <v>23608.87</v>
      </c>
      <c r="I1770" s="3">
        <v>45994</v>
      </c>
      <c r="J1770" s="161">
        <v>46013</v>
      </c>
      <c r="K1770" s="12">
        <v>46014</v>
      </c>
      <c r="L1770" s="19" t="s">
        <v>731</v>
      </c>
      <c r="M1770" s="35"/>
      <c r="N1770"/>
      <c r="O1770" t="s">
        <v>199</v>
      </c>
      <c r="P1770" t="s">
        <v>376</v>
      </c>
      <c r="Q1770" t="s">
        <v>203</v>
      </c>
    </row>
    <row r="1771" spans="1:17" x14ac:dyDescent="0.3">
      <c r="A1771" s="25">
        <v>1478</v>
      </c>
      <c r="B1771" t="s">
        <v>71</v>
      </c>
      <c r="C1771" t="s">
        <v>198</v>
      </c>
      <c r="D1771" t="s">
        <v>628</v>
      </c>
      <c r="E1771" s="118">
        <v>8646</v>
      </c>
      <c r="F1771" s="13">
        <v>45989</v>
      </c>
      <c r="G1771" s="24">
        <v>20754.55</v>
      </c>
      <c r="H1771" s="27">
        <v>19478.14</v>
      </c>
      <c r="I1771" s="3">
        <v>45994</v>
      </c>
      <c r="J1771" s="161">
        <v>46006</v>
      </c>
      <c r="K1771" s="12">
        <v>46010</v>
      </c>
      <c r="L1771" s="19" t="s">
        <v>731</v>
      </c>
      <c r="M1771" s="35"/>
      <c r="N1771"/>
      <c r="O1771" t="s">
        <v>199</v>
      </c>
      <c r="P1771" t="s">
        <v>376</v>
      </c>
      <c r="Q1771" t="s">
        <v>203</v>
      </c>
    </row>
    <row r="1772" spans="1:17" x14ac:dyDescent="0.3">
      <c r="A1772" s="25">
        <v>1478</v>
      </c>
      <c r="B1772" t="s">
        <v>71</v>
      </c>
      <c r="C1772" t="s">
        <v>198</v>
      </c>
      <c r="D1772" t="s">
        <v>628</v>
      </c>
      <c r="E1772" s="118">
        <v>8700</v>
      </c>
      <c r="F1772" s="13">
        <v>46019</v>
      </c>
      <c r="G1772" s="27">
        <v>13993.56</v>
      </c>
      <c r="H1772" s="27">
        <v>13132.95</v>
      </c>
      <c r="I1772" s="3">
        <v>46024</v>
      </c>
      <c r="J1772" s="161">
        <v>46041</v>
      </c>
      <c r="K1772" s="12">
        <v>46042</v>
      </c>
      <c r="L1772" s="19" t="s">
        <v>731</v>
      </c>
      <c r="M1772" s="35"/>
      <c r="N1772"/>
      <c r="O1772" t="s">
        <v>199</v>
      </c>
      <c r="P1772" t="s">
        <v>376</v>
      </c>
      <c r="Q1772" t="s">
        <v>203</v>
      </c>
    </row>
    <row r="1773" spans="1:17" x14ac:dyDescent="0.3">
      <c r="A1773" s="25">
        <v>1478</v>
      </c>
      <c r="B1773" t="s">
        <v>71</v>
      </c>
      <c r="C1773" t="s">
        <v>198</v>
      </c>
      <c r="D1773" t="s">
        <v>628</v>
      </c>
      <c r="E1773" s="118">
        <v>8701</v>
      </c>
      <c r="F1773" s="13">
        <v>46019</v>
      </c>
      <c r="G1773" s="27">
        <v>26413.8</v>
      </c>
      <c r="H1773" s="27">
        <v>24789.35</v>
      </c>
      <c r="I1773" s="3">
        <v>46024</v>
      </c>
      <c r="J1773" s="161">
        <v>46041</v>
      </c>
      <c r="K1773" s="12">
        <v>46042</v>
      </c>
      <c r="L1773" s="19" t="s">
        <v>731</v>
      </c>
      <c r="M1773" s="35"/>
      <c r="N1773"/>
      <c r="O1773" t="s">
        <v>199</v>
      </c>
      <c r="P1773" t="s">
        <v>376</v>
      </c>
      <c r="Q1773" t="s">
        <v>203</v>
      </c>
    </row>
    <row r="1774" spans="1:17" x14ac:dyDescent="0.3">
      <c r="A1774" s="25">
        <v>1478</v>
      </c>
      <c r="B1774" t="s">
        <v>71</v>
      </c>
      <c r="C1774" t="s">
        <v>198</v>
      </c>
      <c r="D1774" t="s">
        <v>628</v>
      </c>
      <c r="E1774" s="118">
        <v>8702</v>
      </c>
      <c r="F1774" s="13">
        <v>46019</v>
      </c>
      <c r="G1774" s="27">
        <v>29087.69</v>
      </c>
      <c r="H1774" s="27">
        <v>27298.79</v>
      </c>
      <c r="I1774" s="3">
        <v>46024</v>
      </c>
      <c r="J1774" s="161">
        <v>46041</v>
      </c>
      <c r="K1774" s="12">
        <v>46042</v>
      </c>
      <c r="L1774" s="19" t="s">
        <v>731</v>
      </c>
      <c r="M1774" s="35"/>
      <c r="N1774"/>
      <c r="O1774" t="s">
        <v>199</v>
      </c>
      <c r="P1774" t="s">
        <v>376</v>
      </c>
      <c r="Q1774" t="s">
        <v>203</v>
      </c>
    </row>
    <row r="1775" spans="1:17" x14ac:dyDescent="0.3">
      <c r="A1775" s="25">
        <v>1478</v>
      </c>
      <c r="B1775" t="s">
        <v>71</v>
      </c>
      <c r="C1775" t="s">
        <v>198</v>
      </c>
      <c r="D1775" t="s">
        <v>628</v>
      </c>
      <c r="E1775" s="118">
        <v>8703</v>
      </c>
      <c r="F1775" s="13">
        <v>46019</v>
      </c>
      <c r="G1775" s="27">
        <v>20754.55</v>
      </c>
      <c r="H1775" s="27">
        <v>19478.14</v>
      </c>
      <c r="I1775" s="3">
        <v>46024</v>
      </c>
      <c r="J1775" s="161">
        <v>46041</v>
      </c>
      <c r="K1775" s="12">
        <v>46042</v>
      </c>
      <c r="L1775" s="19" t="s">
        <v>731</v>
      </c>
      <c r="M1775" s="35"/>
      <c r="N1775"/>
      <c r="O1775" t="s">
        <v>199</v>
      </c>
      <c r="P1775" t="s">
        <v>376</v>
      </c>
      <c r="Q1775" t="s">
        <v>203</v>
      </c>
    </row>
    <row r="1776" spans="1:17" x14ac:dyDescent="0.3">
      <c r="A1776" s="9">
        <v>1499</v>
      </c>
      <c r="B1776" t="s">
        <v>71</v>
      </c>
      <c r="C1776" t="s">
        <v>109</v>
      </c>
      <c r="D1776" t="s">
        <v>650</v>
      </c>
      <c r="E1776" s="118">
        <v>8671</v>
      </c>
      <c r="F1776" s="13">
        <v>45989</v>
      </c>
      <c r="G1776" s="24">
        <v>52900</v>
      </c>
      <c r="H1776" s="24">
        <v>49646.65</v>
      </c>
      <c r="I1776" s="3">
        <v>46001</v>
      </c>
      <c r="J1776" s="102">
        <v>46020</v>
      </c>
      <c r="K1776" s="12">
        <v>46021</v>
      </c>
      <c r="L1776" s="19" t="s">
        <v>731</v>
      </c>
      <c r="M1776" s="35">
        <v>0</v>
      </c>
      <c r="N1776"/>
      <c r="O1776" t="s">
        <v>199</v>
      </c>
      <c r="P1776" t="s">
        <v>373</v>
      </c>
      <c r="Q1776" t="s">
        <v>203</v>
      </c>
    </row>
    <row r="1777" spans="1:17" x14ac:dyDescent="0.3">
      <c r="A1777" s="9">
        <v>1499</v>
      </c>
      <c r="B1777" t="s">
        <v>71</v>
      </c>
      <c r="C1777" t="s">
        <v>109</v>
      </c>
      <c r="D1777" t="s">
        <v>650</v>
      </c>
      <c r="E1777" s="118">
        <v>8760</v>
      </c>
      <c r="F1777" s="13">
        <v>46019</v>
      </c>
      <c r="G1777" s="24">
        <v>52900</v>
      </c>
      <c r="H1777" s="24">
        <v>49646.65</v>
      </c>
      <c r="I1777" s="3">
        <v>46071</v>
      </c>
      <c r="J1777" s="102">
        <v>46090</v>
      </c>
      <c r="K1777" s="12">
        <v>46091</v>
      </c>
      <c r="L1777" s="19" t="s">
        <v>731</v>
      </c>
      <c r="M1777" s="35">
        <v>0</v>
      </c>
      <c r="N1777"/>
      <c r="O1777" t="s">
        <v>199</v>
      </c>
      <c r="P1777" t="s">
        <v>373</v>
      </c>
      <c r="Q1777" t="s">
        <v>203</v>
      </c>
    </row>
    <row r="1778" spans="1:17" x14ac:dyDescent="0.3">
      <c r="A1778" s="9">
        <v>1499</v>
      </c>
      <c r="B1778" t="s">
        <v>71</v>
      </c>
      <c r="C1778" t="s">
        <v>109</v>
      </c>
      <c r="D1778" t="s">
        <v>650</v>
      </c>
      <c r="E1778" s="118">
        <v>8761</v>
      </c>
      <c r="F1778" s="13">
        <v>46051</v>
      </c>
      <c r="G1778" s="24">
        <v>52900</v>
      </c>
      <c r="H1778" s="24">
        <v>49646.65</v>
      </c>
      <c r="I1778" s="3">
        <v>46071</v>
      </c>
      <c r="J1778" s="102">
        <v>46090</v>
      </c>
      <c r="K1778" s="12">
        <v>46091</v>
      </c>
      <c r="L1778" s="19" t="s">
        <v>731</v>
      </c>
      <c r="M1778" s="35">
        <v>0</v>
      </c>
      <c r="N1778"/>
      <c r="O1778" t="s">
        <v>199</v>
      </c>
      <c r="P1778" t="s">
        <v>373</v>
      </c>
      <c r="Q1778" t="s">
        <v>203</v>
      </c>
    </row>
    <row r="1779" spans="1:17" x14ac:dyDescent="0.3">
      <c r="A1779" s="9">
        <v>1499</v>
      </c>
      <c r="B1779" t="s">
        <v>71</v>
      </c>
      <c r="C1779" t="s">
        <v>109</v>
      </c>
      <c r="D1779" t="s">
        <v>650</v>
      </c>
      <c r="E1779" s="118">
        <v>8721</v>
      </c>
      <c r="F1779" s="13">
        <v>45958</v>
      </c>
      <c r="G1779" s="24">
        <v>35144.81</v>
      </c>
      <c r="H1779" s="24">
        <v>32983.410000000003</v>
      </c>
      <c r="I1779" s="3">
        <v>46041</v>
      </c>
      <c r="J1779" s="102">
        <v>46097</v>
      </c>
      <c r="K1779" s="12">
        <v>46101</v>
      </c>
      <c r="L1779" s="19" t="s">
        <v>731</v>
      </c>
      <c r="M1779" s="35">
        <v>0</v>
      </c>
      <c r="N1779"/>
      <c r="O1779" t="s">
        <v>199</v>
      </c>
      <c r="P1779" t="s">
        <v>373</v>
      </c>
      <c r="Q1779" t="s">
        <v>203</v>
      </c>
    </row>
    <row r="1780" spans="1:17" x14ac:dyDescent="0.3">
      <c r="A1780" s="9">
        <v>1499</v>
      </c>
      <c r="B1780" t="s">
        <v>71</v>
      </c>
      <c r="C1780" t="s">
        <v>109</v>
      </c>
      <c r="D1780" t="s">
        <v>650</v>
      </c>
      <c r="E1780" s="118">
        <v>8722</v>
      </c>
      <c r="F1780" s="13">
        <v>45989</v>
      </c>
      <c r="G1780" s="24">
        <v>35144.81</v>
      </c>
      <c r="H1780" s="24">
        <v>32983.410000000003</v>
      </c>
      <c r="I1780" s="3">
        <v>46041</v>
      </c>
      <c r="J1780" s="102">
        <v>46097</v>
      </c>
      <c r="K1780" s="12">
        <v>46101</v>
      </c>
      <c r="L1780" s="19" t="s">
        <v>731</v>
      </c>
      <c r="M1780" s="35">
        <v>0</v>
      </c>
      <c r="N1780"/>
      <c r="O1780" t="s">
        <v>199</v>
      </c>
      <c r="P1780" t="s">
        <v>373</v>
      </c>
      <c r="Q1780" t="s">
        <v>203</v>
      </c>
    </row>
    <row r="1781" spans="1:17" x14ac:dyDescent="0.3">
      <c r="A1781" s="9">
        <v>1499</v>
      </c>
      <c r="B1781" t="s">
        <v>71</v>
      </c>
      <c r="C1781" t="s">
        <v>109</v>
      </c>
      <c r="D1781" t="s">
        <v>650</v>
      </c>
      <c r="E1781" s="118">
        <v>8723</v>
      </c>
      <c r="F1781" s="13">
        <v>46019</v>
      </c>
      <c r="G1781" s="24">
        <v>49042.76</v>
      </c>
      <c r="H1781" s="24">
        <v>46026.63</v>
      </c>
      <c r="I1781" s="3">
        <v>46041</v>
      </c>
      <c r="J1781" s="102">
        <v>46097</v>
      </c>
      <c r="K1781" s="12">
        <v>46101</v>
      </c>
      <c r="L1781" s="19" t="s">
        <v>731</v>
      </c>
      <c r="M1781" s="35">
        <v>0</v>
      </c>
      <c r="N1781"/>
      <c r="O1781" t="s">
        <v>199</v>
      </c>
      <c r="P1781" t="s">
        <v>373</v>
      </c>
      <c r="Q1781" t="s">
        <v>203</v>
      </c>
    </row>
    <row r="1782" spans="1:17" x14ac:dyDescent="0.3">
      <c r="A1782" s="9">
        <v>1499</v>
      </c>
      <c r="B1782" t="s">
        <v>71</v>
      </c>
      <c r="C1782" t="s">
        <v>109</v>
      </c>
      <c r="D1782" t="s">
        <v>650</v>
      </c>
      <c r="E1782" s="118">
        <v>8807</v>
      </c>
      <c r="F1782" s="13">
        <v>46081</v>
      </c>
      <c r="G1782" s="27">
        <v>49992.1</v>
      </c>
      <c r="H1782" s="27">
        <v>46917.59</v>
      </c>
      <c r="I1782" s="3">
        <v>46092</v>
      </c>
      <c r="J1782" s="102">
        <v>46153</v>
      </c>
      <c r="K1782" s="12">
        <v>46153</v>
      </c>
      <c r="L1782" s="19" t="s">
        <v>731</v>
      </c>
      <c r="M1782" s="35">
        <v>0</v>
      </c>
      <c r="N1782"/>
      <c r="O1782" t="s">
        <v>199</v>
      </c>
      <c r="P1782" t="s">
        <v>373</v>
      </c>
      <c r="Q1782" t="s">
        <v>203</v>
      </c>
    </row>
    <row r="1783" spans="1:17" x14ac:dyDescent="0.3">
      <c r="A1783" s="9">
        <v>1499</v>
      </c>
      <c r="B1783" t="s">
        <v>71</v>
      </c>
      <c r="C1783" t="s">
        <v>109</v>
      </c>
      <c r="D1783" t="s">
        <v>650</v>
      </c>
      <c r="E1783" s="118">
        <v>8756</v>
      </c>
      <c r="F1783" s="13">
        <v>46051</v>
      </c>
      <c r="G1783" s="27">
        <v>49992.1</v>
      </c>
      <c r="H1783" s="24">
        <v>46917.59</v>
      </c>
      <c r="I1783" s="3">
        <v>46065</v>
      </c>
      <c r="J1783" s="102">
        <v>46125</v>
      </c>
      <c r="K1783" s="12">
        <v>46125</v>
      </c>
      <c r="L1783" s="19" t="s">
        <v>731</v>
      </c>
      <c r="M1783" s="35">
        <v>0</v>
      </c>
      <c r="N1783"/>
      <c r="O1783" t="s">
        <v>199</v>
      </c>
      <c r="P1783" t="s">
        <v>373</v>
      </c>
      <c r="Q1783" t="s">
        <v>203</v>
      </c>
    </row>
    <row r="1784" spans="1:17" x14ac:dyDescent="0.3">
      <c r="A1784" s="25">
        <v>1499</v>
      </c>
      <c r="B1784" t="s">
        <v>71</v>
      </c>
      <c r="C1784" t="s">
        <v>109</v>
      </c>
      <c r="D1784" t="s">
        <v>650</v>
      </c>
      <c r="E1784" s="118">
        <v>8773</v>
      </c>
      <c r="F1784" s="13">
        <v>46081</v>
      </c>
      <c r="G1784" s="24">
        <v>66625.119999999995</v>
      </c>
      <c r="H1784" s="27">
        <v>62527.67</v>
      </c>
      <c r="I1784" s="3">
        <v>46078</v>
      </c>
      <c r="J1784" s="102">
        <v>46104</v>
      </c>
      <c r="K1784" s="12">
        <v>46108</v>
      </c>
      <c r="L1784" s="19" t="s">
        <v>731</v>
      </c>
      <c r="M1784" s="35">
        <v>0</v>
      </c>
      <c r="N1784"/>
      <c r="O1784" t="s">
        <v>199</v>
      </c>
      <c r="P1784" t="s">
        <v>373</v>
      </c>
      <c r="Q1784" t="s">
        <v>203</v>
      </c>
    </row>
    <row r="1785" spans="1:17" x14ac:dyDescent="0.3">
      <c r="A1785" s="9">
        <v>1499</v>
      </c>
      <c r="B1785" t="s">
        <v>71</v>
      </c>
      <c r="C1785" t="s">
        <v>109</v>
      </c>
      <c r="D1785" t="s">
        <v>650</v>
      </c>
      <c r="E1785" s="118">
        <v>8819</v>
      </c>
      <c r="F1785" s="13">
        <v>46109</v>
      </c>
      <c r="G1785" s="24">
        <v>107024.08</v>
      </c>
      <c r="H1785" s="24">
        <v>100442.1</v>
      </c>
      <c r="I1785" s="3">
        <v>46098</v>
      </c>
      <c r="J1785" s="102">
        <v>46167</v>
      </c>
      <c r="K1785" s="12">
        <v>46169</v>
      </c>
      <c r="L1785" s="19" t="s">
        <v>731</v>
      </c>
      <c r="M1785" s="35">
        <v>0</v>
      </c>
      <c r="N1785"/>
      <c r="O1785" t="s">
        <v>199</v>
      </c>
      <c r="P1785" t="s">
        <v>373</v>
      </c>
      <c r="Q1785" t="s">
        <v>203</v>
      </c>
    </row>
    <row r="1786" spans="1:17" x14ac:dyDescent="0.3">
      <c r="A1786" s="9">
        <v>1499</v>
      </c>
      <c r="B1786" t="s">
        <v>71</v>
      </c>
      <c r="C1786" t="s">
        <v>109</v>
      </c>
      <c r="D1786" t="s">
        <v>650</v>
      </c>
      <c r="E1786" s="118">
        <v>8853</v>
      </c>
      <c r="F1786" s="13">
        <v>46109</v>
      </c>
      <c r="G1786" s="24">
        <v>52900</v>
      </c>
      <c r="H1786" s="24">
        <v>49646.65</v>
      </c>
      <c r="I1786" s="3">
        <v>46125</v>
      </c>
      <c r="J1786" s="102">
        <v>46146</v>
      </c>
      <c r="K1786" s="12">
        <v>46146</v>
      </c>
      <c r="L1786" s="19" t="s">
        <v>731</v>
      </c>
      <c r="M1786" s="35">
        <v>0</v>
      </c>
      <c r="N1786"/>
      <c r="O1786" t="s">
        <v>199</v>
      </c>
      <c r="P1786" t="s">
        <v>373</v>
      </c>
      <c r="Q1786" t="s">
        <v>203</v>
      </c>
    </row>
    <row r="1787" spans="1:17" x14ac:dyDescent="0.3">
      <c r="A1787" s="9">
        <v>1499</v>
      </c>
      <c r="B1787" t="s">
        <v>71</v>
      </c>
      <c r="C1787" t="s">
        <v>109</v>
      </c>
      <c r="D1787" t="s">
        <v>650</v>
      </c>
      <c r="E1787" s="118">
        <v>8861</v>
      </c>
      <c r="F1787" s="13">
        <v>46109</v>
      </c>
      <c r="G1787" s="24">
        <v>49992.1</v>
      </c>
      <c r="H1787" s="24">
        <v>46917.59</v>
      </c>
      <c r="I1787" s="3">
        <v>46126</v>
      </c>
      <c r="J1787" s="161">
        <v>46181</v>
      </c>
      <c r="K1787" s="12"/>
      <c r="L1787" s="19" t="s">
        <v>730</v>
      </c>
      <c r="M1787" s="35">
        <v>0</v>
      </c>
      <c r="N1787"/>
      <c r="O1787" t="s">
        <v>199</v>
      </c>
      <c r="P1787" t="s">
        <v>373</v>
      </c>
      <c r="Q1787" t="s">
        <v>203</v>
      </c>
    </row>
    <row r="1788" spans="1:17" x14ac:dyDescent="0.3">
      <c r="A1788" s="9">
        <v>1499</v>
      </c>
      <c r="B1788" t="s">
        <v>71</v>
      </c>
      <c r="C1788" t="s">
        <v>109</v>
      </c>
      <c r="D1788" t="s">
        <v>650</v>
      </c>
      <c r="E1788" s="118">
        <v>8863</v>
      </c>
      <c r="F1788" s="13">
        <v>46109</v>
      </c>
      <c r="G1788" s="24">
        <v>85657.26</v>
      </c>
      <c r="H1788" s="24">
        <v>80389.34</v>
      </c>
      <c r="I1788" s="3">
        <v>46128</v>
      </c>
      <c r="J1788" s="102">
        <v>46160</v>
      </c>
      <c r="K1788" s="12">
        <v>46160</v>
      </c>
      <c r="L1788" s="19" t="s">
        <v>731</v>
      </c>
      <c r="M1788" s="35">
        <v>0</v>
      </c>
      <c r="N1788"/>
      <c r="O1788" t="s">
        <v>199</v>
      </c>
      <c r="P1788" t="s">
        <v>373</v>
      </c>
      <c r="Q1788" t="s">
        <v>203</v>
      </c>
    </row>
    <row r="1789" spans="1:17" x14ac:dyDescent="0.3">
      <c r="A1789" s="9">
        <v>1499</v>
      </c>
      <c r="B1789" t="s">
        <v>71</v>
      </c>
      <c r="C1789" t="s">
        <v>109</v>
      </c>
      <c r="D1789" t="s">
        <v>650</v>
      </c>
      <c r="E1789" s="118">
        <v>8932</v>
      </c>
      <c r="F1789" s="13">
        <v>46140</v>
      </c>
      <c r="G1789" s="24">
        <v>52900</v>
      </c>
      <c r="H1789" s="24">
        <v>49646.65</v>
      </c>
      <c r="I1789" s="3">
        <v>46153</v>
      </c>
      <c r="J1789" s="161">
        <v>46174</v>
      </c>
      <c r="K1789" s="12">
        <v>46174</v>
      </c>
      <c r="L1789" s="19" t="s">
        <v>731</v>
      </c>
      <c r="M1789" s="35">
        <v>0</v>
      </c>
      <c r="N1789"/>
      <c r="O1789" t="s">
        <v>199</v>
      </c>
      <c r="P1789" t="s">
        <v>373</v>
      </c>
      <c r="Q1789" t="s">
        <v>203</v>
      </c>
    </row>
    <row r="1790" spans="1:17" x14ac:dyDescent="0.3">
      <c r="A1790" s="9">
        <v>1499</v>
      </c>
      <c r="B1790" t="s">
        <v>71</v>
      </c>
      <c r="C1790" t="s">
        <v>109</v>
      </c>
      <c r="D1790" t="s">
        <v>650</v>
      </c>
      <c r="E1790" s="118">
        <v>8951</v>
      </c>
      <c r="F1790" s="13">
        <v>46140</v>
      </c>
      <c r="G1790" s="24">
        <v>49992.1</v>
      </c>
      <c r="H1790" s="24">
        <v>46917.59</v>
      </c>
      <c r="I1790" s="3">
        <v>46161</v>
      </c>
      <c r="J1790" s="161">
        <v>46195</v>
      </c>
      <c r="K1790" s="12"/>
      <c r="L1790" s="19" t="s">
        <v>730</v>
      </c>
      <c r="M1790" s="35">
        <v>0</v>
      </c>
      <c r="N1790"/>
      <c r="O1790" t="s">
        <v>199</v>
      </c>
      <c r="P1790" t="s">
        <v>373</v>
      </c>
      <c r="Q1790" t="s">
        <v>203</v>
      </c>
    </row>
    <row r="1791" spans="1:17" x14ac:dyDescent="0.3">
      <c r="A1791" s="9">
        <v>1499</v>
      </c>
      <c r="B1791" t="s">
        <v>71</v>
      </c>
      <c r="C1791" t="s">
        <v>109</v>
      </c>
      <c r="D1791" t="s">
        <v>650</v>
      </c>
      <c r="E1791" s="118">
        <v>8994</v>
      </c>
      <c r="F1791" s="13">
        <v>46170</v>
      </c>
      <c r="G1791" s="24">
        <v>30645.48</v>
      </c>
      <c r="H1791" s="24">
        <v>28760.799999999999</v>
      </c>
      <c r="I1791" s="3">
        <v>46178</v>
      </c>
      <c r="J1791" s="102">
        <v>46202</v>
      </c>
      <c r="K1791" s="12"/>
      <c r="L1791" s="19" t="s">
        <v>730</v>
      </c>
      <c r="M1791" s="35">
        <v>0</v>
      </c>
      <c r="N1791"/>
      <c r="O1791" t="s">
        <v>199</v>
      </c>
      <c r="P1791" t="s">
        <v>373</v>
      </c>
      <c r="Q1791" t="s">
        <v>203</v>
      </c>
    </row>
    <row r="1792" spans="1:17" x14ac:dyDescent="0.3">
      <c r="A1792" s="9">
        <v>1499</v>
      </c>
      <c r="B1792" t="s">
        <v>71</v>
      </c>
      <c r="C1792" t="s">
        <v>109</v>
      </c>
      <c r="D1792" t="s">
        <v>650</v>
      </c>
      <c r="E1792" s="118">
        <v>9000</v>
      </c>
      <c r="F1792" s="13">
        <v>46170</v>
      </c>
      <c r="G1792" s="24">
        <v>105800</v>
      </c>
      <c r="H1792" s="24">
        <v>100721.60000000001</v>
      </c>
      <c r="I1792" s="3">
        <v>46181</v>
      </c>
      <c r="J1792" s="102">
        <v>46209</v>
      </c>
      <c r="K1792" s="12"/>
      <c r="L1792" s="19" t="s">
        <v>730</v>
      </c>
      <c r="M1792" s="35">
        <v>0</v>
      </c>
      <c r="N1792"/>
      <c r="O1792" t="s">
        <v>199</v>
      </c>
      <c r="P1792" t="s">
        <v>373</v>
      </c>
      <c r="Q1792" t="s">
        <v>203</v>
      </c>
    </row>
    <row r="1793" spans="1:17" x14ac:dyDescent="0.3">
      <c r="A1793" s="9">
        <v>1499</v>
      </c>
      <c r="B1793" t="s">
        <v>71</v>
      </c>
      <c r="C1793" t="s">
        <v>109</v>
      </c>
      <c r="D1793" t="s">
        <v>650</v>
      </c>
      <c r="E1793" s="118">
        <v>8830</v>
      </c>
      <c r="F1793" s="13">
        <v>46081</v>
      </c>
      <c r="G1793" s="24">
        <v>52900</v>
      </c>
      <c r="H1793" s="24">
        <v>49646.65</v>
      </c>
      <c r="I1793" s="3">
        <v>46104</v>
      </c>
      <c r="J1793" s="102">
        <v>46125</v>
      </c>
      <c r="K1793" s="12">
        <v>46125</v>
      </c>
      <c r="L1793" s="19" t="s">
        <v>731</v>
      </c>
      <c r="M1793" s="35">
        <v>0</v>
      </c>
      <c r="N1793"/>
      <c r="O1793" t="s">
        <v>199</v>
      </c>
      <c r="P1793" t="s">
        <v>373</v>
      </c>
      <c r="Q1793" t="s">
        <v>203</v>
      </c>
    </row>
    <row r="1794" spans="1:17" x14ac:dyDescent="0.3">
      <c r="A1794" s="25">
        <v>1483</v>
      </c>
      <c r="B1794" t="s">
        <v>212</v>
      </c>
      <c r="C1794" t="s">
        <v>178</v>
      </c>
      <c r="D1794" t="s">
        <v>633</v>
      </c>
      <c r="E1794" s="118">
        <v>8199</v>
      </c>
      <c r="F1794" s="13">
        <v>45686</v>
      </c>
      <c r="G1794" s="24">
        <v>28856.799999999999</v>
      </c>
      <c r="H1794" s="24">
        <v>26572.11</v>
      </c>
      <c r="I1794" s="3">
        <v>45691</v>
      </c>
      <c r="J1794" s="161">
        <v>45733</v>
      </c>
      <c r="K1794" s="12">
        <v>45735</v>
      </c>
      <c r="L1794" s="19" t="s">
        <v>731</v>
      </c>
      <c r="M1794" s="35">
        <v>0</v>
      </c>
      <c r="N1794" s="26"/>
      <c r="O1794" t="s">
        <v>202</v>
      </c>
      <c r="P1794" t="s">
        <v>328</v>
      </c>
      <c r="Q1794" t="s">
        <v>207</v>
      </c>
    </row>
    <row r="1795" spans="1:17" x14ac:dyDescent="0.3">
      <c r="A1795" s="9">
        <v>1391</v>
      </c>
      <c r="B1795" t="s">
        <v>71</v>
      </c>
      <c r="C1795" t="s">
        <v>196</v>
      </c>
      <c r="D1795" t="s">
        <v>520</v>
      </c>
      <c r="E1795" s="118">
        <v>4619</v>
      </c>
      <c r="F1795" s="13">
        <v>45989</v>
      </c>
      <c r="G1795" s="24">
        <v>132577.06</v>
      </c>
      <c r="H1795" s="27">
        <v>124423.57</v>
      </c>
      <c r="I1795" s="3">
        <v>45995</v>
      </c>
      <c r="J1795" s="161">
        <v>46006</v>
      </c>
      <c r="K1795" s="12">
        <v>46010</v>
      </c>
      <c r="L1795" s="1" t="s">
        <v>731</v>
      </c>
      <c r="M1795" s="35">
        <v>0</v>
      </c>
      <c r="N1795"/>
      <c r="O1795" t="s">
        <v>199</v>
      </c>
      <c r="P1795" t="s">
        <v>376</v>
      </c>
      <c r="Q1795" t="s">
        <v>203</v>
      </c>
    </row>
    <row r="1796" spans="1:17" x14ac:dyDescent="0.3">
      <c r="A1796" s="9">
        <v>1391</v>
      </c>
      <c r="B1796" t="s">
        <v>71</v>
      </c>
      <c r="C1796" t="s">
        <v>196</v>
      </c>
      <c r="D1796" t="s">
        <v>520</v>
      </c>
      <c r="E1796" s="118">
        <v>4620</v>
      </c>
      <c r="F1796" s="13">
        <v>45989</v>
      </c>
      <c r="G1796" s="24">
        <v>76428.240000000005</v>
      </c>
      <c r="H1796" s="27">
        <v>71727.91</v>
      </c>
      <c r="I1796" s="3">
        <v>45995</v>
      </c>
      <c r="J1796" s="161">
        <v>46006</v>
      </c>
      <c r="K1796" s="12">
        <v>46010</v>
      </c>
      <c r="L1796" s="1" t="s">
        <v>731</v>
      </c>
      <c r="M1796" s="35">
        <v>0</v>
      </c>
      <c r="N1796"/>
      <c r="O1796" t="s">
        <v>199</v>
      </c>
      <c r="P1796" t="s">
        <v>376</v>
      </c>
      <c r="Q1796" t="s">
        <v>203</v>
      </c>
    </row>
    <row r="1797" spans="1:17" x14ac:dyDescent="0.3">
      <c r="A1797" s="9">
        <v>1391</v>
      </c>
      <c r="B1797" t="s">
        <v>71</v>
      </c>
      <c r="C1797" t="s">
        <v>196</v>
      </c>
      <c r="D1797" t="s">
        <v>520</v>
      </c>
      <c r="E1797" s="118">
        <v>4621</v>
      </c>
      <c r="F1797" s="13">
        <v>45989</v>
      </c>
      <c r="G1797" s="24">
        <v>55883.1</v>
      </c>
      <c r="H1797" s="27">
        <v>52446.29</v>
      </c>
      <c r="I1797" s="3">
        <v>45995</v>
      </c>
      <c r="J1797" s="161">
        <v>46006</v>
      </c>
      <c r="K1797" s="12">
        <v>46010</v>
      </c>
      <c r="L1797" s="1" t="s">
        <v>731</v>
      </c>
      <c r="M1797" s="35">
        <v>0</v>
      </c>
      <c r="N1797"/>
      <c r="O1797" t="s">
        <v>199</v>
      </c>
      <c r="P1797" t="s">
        <v>376</v>
      </c>
      <c r="Q1797" t="s">
        <v>203</v>
      </c>
    </row>
    <row r="1798" spans="1:17" x14ac:dyDescent="0.3">
      <c r="A1798" s="9">
        <v>1391</v>
      </c>
      <c r="B1798" t="s">
        <v>71</v>
      </c>
      <c r="C1798" t="s">
        <v>196</v>
      </c>
      <c r="D1798" t="s">
        <v>520</v>
      </c>
      <c r="E1798" s="118">
        <v>4626</v>
      </c>
      <c r="F1798" s="13">
        <v>45989</v>
      </c>
      <c r="G1798" s="24">
        <v>740789.29</v>
      </c>
      <c r="H1798" s="27">
        <v>695230.75</v>
      </c>
      <c r="I1798" s="3">
        <v>45995</v>
      </c>
      <c r="J1798" s="161">
        <v>46006</v>
      </c>
      <c r="K1798" s="12">
        <v>46010</v>
      </c>
      <c r="L1798" s="1" t="s">
        <v>731</v>
      </c>
      <c r="M1798" s="35">
        <v>0</v>
      </c>
      <c r="N1798"/>
      <c r="O1798" t="s">
        <v>199</v>
      </c>
      <c r="P1798" t="s">
        <v>376</v>
      </c>
      <c r="Q1798" t="s">
        <v>203</v>
      </c>
    </row>
    <row r="1799" spans="1:17" x14ac:dyDescent="0.3">
      <c r="A1799" s="9">
        <v>1391</v>
      </c>
      <c r="B1799" t="s">
        <v>71</v>
      </c>
      <c r="C1799" t="s">
        <v>196</v>
      </c>
      <c r="D1799" t="s">
        <v>520</v>
      </c>
      <c r="E1799" s="118">
        <v>4638</v>
      </c>
      <c r="F1799" s="13">
        <v>45989</v>
      </c>
      <c r="G1799" s="24">
        <v>160699.5</v>
      </c>
      <c r="H1799" s="24">
        <v>150816.48000000001</v>
      </c>
      <c r="I1799" s="3">
        <v>45996</v>
      </c>
      <c r="J1799" s="161">
        <v>46013</v>
      </c>
      <c r="K1799" s="12">
        <v>46013</v>
      </c>
      <c r="L1799" s="1" t="s">
        <v>731</v>
      </c>
      <c r="M1799" s="35">
        <v>0</v>
      </c>
      <c r="N1799"/>
      <c r="O1799" t="s">
        <v>199</v>
      </c>
      <c r="P1799" t="s">
        <v>376</v>
      </c>
      <c r="Q1799" t="s">
        <v>203</v>
      </c>
    </row>
    <row r="1800" spans="1:17" x14ac:dyDescent="0.3">
      <c r="A1800" s="9">
        <v>1391</v>
      </c>
      <c r="B1800" t="s">
        <v>71</v>
      </c>
      <c r="C1800" t="s">
        <v>196</v>
      </c>
      <c r="D1800" t="s">
        <v>520</v>
      </c>
      <c r="E1800" s="118">
        <v>4640</v>
      </c>
      <c r="F1800" s="13">
        <v>45989</v>
      </c>
      <c r="G1800" s="24">
        <v>105276.27</v>
      </c>
      <c r="H1800" s="24">
        <v>98801.78</v>
      </c>
      <c r="I1800" s="3">
        <v>45996</v>
      </c>
      <c r="J1800" s="161">
        <v>46013</v>
      </c>
      <c r="K1800" s="12">
        <v>46013</v>
      </c>
      <c r="L1800" s="1" t="s">
        <v>731</v>
      </c>
      <c r="M1800" s="35">
        <v>0</v>
      </c>
      <c r="N1800"/>
      <c r="O1800" t="s">
        <v>199</v>
      </c>
      <c r="P1800" t="s">
        <v>376</v>
      </c>
      <c r="Q1800" t="s">
        <v>203</v>
      </c>
    </row>
    <row r="1801" spans="1:17" x14ac:dyDescent="0.3">
      <c r="A1801" s="9">
        <v>1391</v>
      </c>
      <c r="B1801" t="s">
        <v>71</v>
      </c>
      <c r="C1801" t="s">
        <v>196</v>
      </c>
      <c r="D1801" t="s">
        <v>520</v>
      </c>
      <c r="E1801" s="118">
        <v>4646</v>
      </c>
      <c r="F1801" s="13">
        <v>45989</v>
      </c>
      <c r="G1801" s="24">
        <v>117708.05</v>
      </c>
      <c r="H1801" s="24">
        <v>110469.01</v>
      </c>
      <c r="I1801" s="3">
        <v>45996</v>
      </c>
      <c r="J1801" s="161">
        <v>46013</v>
      </c>
      <c r="K1801" s="12">
        <v>46013</v>
      </c>
      <c r="L1801" s="1" t="s">
        <v>731</v>
      </c>
      <c r="M1801" s="35">
        <v>0</v>
      </c>
      <c r="N1801"/>
      <c r="O1801" t="s">
        <v>199</v>
      </c>
      <c r="P1801" t="s">
        <v>376</v>
      </c>
      <c r="Q1801" t="s">
        <v>203</v>
      </c>
    </row>
    <row r="1802" spans="1:17" x14ac:dyDescent="0.3">
      <c r="A1802" s="9">
        <v>1391</v>
      </c>
      <c r="B1802" t="s">
        <v>71</v>
      </c>
      <c r="C1802" t="s">
        <v>196</v>
      </c>
      <c r="D1802" t="s">
        <v>520</v>
      </c>
      <c r="E1802" s="118">
        <v>4647</v>
      </c>
      <c r="F1802" s="13">
        <v>45989</v>
      </c>
      <c r="G1802" s="24">
        <v>126870.48</v>
      </c>
      <c r="H1802" s="24">
        <v>119067.94</v>
      </c>
      <c r="I1802" s="3">
        <v>45996</v>
      </c>
      <c r="J1802" s="161">
        <v>46013</v>
      </c>
      <c r="K1802" s="12">
        <v>46013</v>
      </c>
      <c r="L1802" s="1" t="s">
        <v>731</v>
      </c>
      <c r="M1802" s="35">
        <v>0</v>
      </c>
      <c r="N1802"/>
      <c r="O1802" t="s">
        <v>199</v>
      </c>
      <c r="P1802" t="s">
        <v>376</v>
      </c>
      <c r="Q1802" t="s">
        <v>203</v>
      </c>
    </row>
    <row r="1803" spans="1:17" x14ac:dyDescent="0.3">
      <c r="A1803" s="9">
        <v>1391</v>
      </c>
      <c r="B1803" t="s">
        <v>71</v>
      </c>
      <c r="C1803" t="s">
        <v>196</v>
      </c>
      <c r="D1803" t="s">
        <v>520</v>
      </c>
      <c r="E1803" s="118">
        <v>4662</v>
      </c>
      <c r="F1803" s="13">
        <v>45989</v>
      </c>
      <c r="G1803" s="24">
        <v>27847.919999999998</v>
      </c>
      <c r="H1803" s="24">
        <v>26135.27</v>
      </c>
      <c r="I1803" s="3">
        <v>46000</v>
      </c>
      <c r="J1803" s="161">
        <v>46013</v>
      </c>
      <c r="K1803" s="12">
        <v>46015</v>
      </c>
      <c r="L1803" s="1" t="s">
        <v>731</v>
      </c>
      <c r="M1803" s="35">
        <v>0</v>
      </c>
      <c r="N1803"/>
      <c r="O1803" t="s">
        <v>199</v>
      </c>
      <c r="P1803" t="s">
        <v>376</v>
      </c>
      <c r="Q1803" t="s">
        <v>203</v>
      </c>
    </row>
    <row r="1804" spans="1:17" x14ac:dyDescent="0.3">
      <c r="A1804" s="9">
        <v>1391</v>
      </c>
      <c r="B1804" t="s">
        <v>71</v>
      </c>
      <c r="C1804" t="s">
        <v>196</v>
      </c>
      <c r="D1804" t="s">
        <v>520</v>
      </c>
      <c r="E1804" s="118">
        <v>4682</v>
      </c>
      <c r="F1804" s="13">
        <v>45989</v>
      </c>
      <c r="G1804" s="24">
        <v>90752.1</v>
      </c>
      <c r="H1804" s="24">
        <v>85170.85</v>
      </c>
      <c r="I1804" s="3">
        <v>46002</v>
      </c>
      <c r="J1804" s="161">
        <v>46013</v>
      </c>
      <c r="K1804" s="12">
        <v>46017</v>
      </c>
      <c r="L1804" s="1" t="s">
        <v>731</v>
      </c>
      <c r="M1804" s="35">
        <v>0</v>
      </c>
      <c r="N1804"/>
      <c r="O1804" t="s">
        <v>199</v>
      </c>
      <c r="P1804" t="s">
        <v>376</v>
      </c>
      <c r="Q1804" t="s">
        <v>203</v>
      </c>
    </row>
    <row r="1805" spans="1:17" x14ac:dyDescent="0.3">
      <c r="A1805" s="9">
        <v>1391</v>
      </c>
      <c r="B1805" t="s">
        <v>71</v>
      </c>
      <c r="C1805" t="s">
        <v>196</v>
      </c>
      <c r="D1805" t="s">
        <v>520</v>
      </c>
      <c r="E1805" s="118">
        <v>4696</v>
      </c>
      <c r="F1805" s="13">
        <v>46019</v>
      </c>
      <c r="G1805" s="24">
        <v>44326.85</v>
      </c>
      <c r="H1805" s="24">
        <v>41600.75</v>
      </c>
      <c r="I1805" s="3">
        <v>46003</v>
      </c>
      <c r="J1805" s="161">
        <v>46020</v>
      </c>
      <c r="K1805" s="12">
        <v>46020</v>
      </c>
      <c r="L1805" s="1" t="s">
        <v>731</v>
      </c>
      <c r="M1805" s="35">
        <v>0</v>
      </c>
      <c r="N1805"/>
      <c r="O1805" t="s">
        <v>199</v>
      </c>
      <c r="P1805" t="s">
        <v>376</v>
      </c>
      <c r="Q1805" t="s">
        <v>203</v>
      </c>
    </row>
    <row r="1806" spans="1:17" x14ac:dyDescent="0.3">
      <c r="A1806" s="9">
        <v>1391</v>
      </c>
      <c r="B1806" t="s">
        <v>71</v>
      </c>
      <c r="C1806" t="s">
        <v>196</v>
      </c>
      <c r="D1806" t="s">
        <v>520</v>
      </c>
      <c r="E1806" s="118">
        <v>4693</v>
      </c>
      <c r="F1806" s="13">
        <v>46019</v>
      </c>
      <c r="G1806" s="24">
        <v>38563.199999999997</v>
      </c>
      <c r="H1806" s="24">
        <v>36191.56</v>
      </c>
      <c r="I1806" s="3">
        <v>46003</v>
      </c>
      <c r="J1806" s="161">
        <v>46020</v>
      </c>
      <c r="K1806" s="12">
        <v>46020</v>
      </c>
      <c r="L1806" s="1" t="s">
        <v>731</v>
      </c>
      <c r="M1806" s="35">
        <v>0</v>
      </c>
      <c r="N1806"/>
      <c r="O1806" t="s">
        <v>199</v>
      </c>
      <c r="P1806" t="s">
        <v>376</v>
      </c>
      <c r="Q1806" t="s">
        <v>203</v>
      </c>
    </row>
    <row r="1807" spans="1:17" x14ac:dyDescent="0.3">
      <c r="A1807" s="9">
        <v>1391</v>
      </c>
      <c r="B1807" t="s">
        <v>71</v>
      </c>
      <c r="C1807" t="s">
        <v>196</v>
      </c>
      <c r="D1807" t="s">
        <v>520</v>
      </c>
      <c r="E1807" s="118">
        <v>4695</v>
      </c>
      <c r="F1807" s="13">
        <v>46019</v>
      </c>
      <c r="G1807" s="24">
        <v>31516.799999999999</v>
      </c>
      <c r="H1807" s="24">
        <v>29578.52</v>
      </c>
      <c r="I1807" s="3">
        <v>46003</v>
      </c>
      <c r="J1807" s="161">
        <v>46020</v>
      </c>
      <c r="K1807" s="12">
        <v>46020</v>
      </c>
      <c r="L1807" s="1" t="s">
        <v>731</v>
      </c>
      <c r="M1807" s="35">
        <v>0</v>
      </c>
      <c r="N1807"/>
      <c r="O1807" t="s">
        <v>199</v>
      </c>
      <c r="P1807" t="s">
        <v>376</v>
      </c>
      <c r="Q1807" t="s">
        <v>203</v>
      </c>
    </row>
    <row r="1808" spans="1:17" x14ac:dyDescent="0.3">
      <c r="A1808" s="9">
        <v>1391</v>
      </c>
      <c r="B1808" t="s">
        <v>71</v>
      </c>
      <c r="C1808" t="s">
        <v>196</v>
      </c>
      <c r="D1808" t="s">
        <v>520</v>
      </c>
      <c r="E1808" s="118">
        <v>4692</v>
      </c>
      <c r="F1808" s="13">
        <v>46019</v>
      </c>
      <c r="G1808" s="24">
        <v>62712</v>
      </c>
      <c r="H1808" s="24">
        <v>58855.21</v>
      </c>
      <c r="I1808" s="3">
        <v>46003</v>
      </c>
      <c r="J1808" s="161">
        <v>46020</v>
      </c>
      <c r="K1808" s="12">
        <v>46020</v>
      </c>
      <c r="L1808" s="1" t="s">
        <v>731</v>
      </c>
      <c r="M1808" s="35">
        <v>0</v>
      </c>
      <c r="N1808"/>
      <c r="O1808" t="s">
        <v>199</v>
      </c>
      <c r="P1808" t="s">
        <v>376</v>
      </c>
      <c r="Q1808" t="s">
        <v>203</v>
      </c>
    </row>
    <row r="1809" spans="1:17" x14ac:dyDescent="0.3">
      <c r="A1809" s="9">
        <v>1391</v>
      </c>
      <c r="B1809" t="s">
        <v>71</v>
      </c>
      <c r="C1809" t="s">
        <v>196</v>
      </c>
      <c r="D1809" t="s">
        <v>520</v>
      </c>
      <c r="E1809" s="118">
        <v>4698</v>
      </c>
      <c r="F1809" s="13">
        <v>46019</v>
      </c>
      <c r="G1809" s="24">
        <v>39557.699999999997</v>
      </c>
      <c r="H1809" s="24">
        <v>37124.9</v>
      </c>
      <c r="I1809" s="3">
        <v>46006</v>
      </c>
      <c r="J1809" s="161">
        <v>46020</v>
      </c>
      <c r="K1809" s="12">
        <v>46021</v>
      </c>
      <c r="L1809" s="1" t="s">
        <v>731</v>
      </c>
      <c r="M1809" s="35">
        <v>0</v>
      </c>
      <c r="N1809"/>
      <c r="O1809" t="s">
        <v>199</v>
      </c>
      <c r="P1809" t="s">
        <v>376</v>
      </c>
      <c r="Q1809" t="s">
        <v>203</v>
      </c>
    </row>
    <row r="1810" spans="1:17" x14ac:dyDescent="0.3">
      <c r="A1810" s="9">
        <v>1391</v>
      </c>
      <c r="B1810" t="s">
        <v>71</v>
      </c>
      <c r="C1810" t="s">
        <v>196</v>
      </c>
      <c r="D1810" t="s">
        <v>520</v>
      </c>
      <c r="E1810" s="118">
        <v>4699</v>
      </c>
      <c r="F1810" s="13">
        <v>46019</v>
      </c>
      <c r="G1810" s="24">
        <v>11725.44</v>
      </c>
      <c r="H1810" s="24">
        <v>11004.33</v>
      </c>
      <c r="I1810" s="3">
        <v>46006</v>
      </c>
      <c r="J1810" s="161">
        <v>46020</v>
      </c>
      <c r="K1810" s="12">
        <v>46021</v>
      </c>
      <c r="L1810" s="1" t="s">
        <v>731</v>
      </c>
      <c r="M1810" s="35">
        <v>0</v>
      </c>
      <c r="N1810"/>
      <c r="O1810" t="s">
        <v>199</v>
      </c>
      <c r="P1810" t="s">
        <v>376</v>
      </c>
      <c r="Q1810" t="s">
        <v>203</v>
      </c>
    </row>
    <row r="1811" spans="1:17" x14ac:dyDescent="0.3">
      <c r="A1811" s="9">
        <v>1391</v>
      </c>
      <c r="B1811" t="s">
        <v>71</v>
      </c>
      <c r="C1811" t="s">
        <v>196</v>
      </c>
      <c r="D1811" t="s">
        <v>520</v>
      </c>
      <c r="E1811" s="118">
        <v>4702</v>
      </c>
      <c r="F1811" s="13">
        <v>46019</v>
      </c>
      <c r="G1811" s="24">
        <v>22315.81</v>
      </c>
      <c r="H1811" s="24">
        <v>20943.38</v>
      </c>
      <c r="I1811" s="3">
        <v>46006</v>
      </c>
      <c r="J1811" s="161">
        <v>46020</v>
      </c>
      <c r="K1811" s="12">
        <v>46021</v>
      </c>
      <c r="L1811" s="1" t="s">
        <v>731</v>
      </c>
      <c r="M1811" s="35">
        <v>0</v>
      </c>
      <c r="N1811"/>
      <c r="O1811" t="s">
        <v>199</v>
      </c>
      <c r="P1811" t="s">
        <v>376</v>
      </c>
      <c r="Q1811" t="s">
        <v>203</v>
      </c>
    </row>
    <row r="1812" spans="1:17" x14ac:dyDescent="0.3">
      <c r="A1812" s="9">
        <v>1391</v>
      </c>
      <c r="B1812" t="s">
        <v>71</v>
      </c>
      <c r="C1812" t="s">
        <v>196</v>
      </c>
      <c r="D1812" t="s">
        <v>520</v>
      </c>
      <c r="E1812" s="118">
        <v>4722</v>
      </c>
      <c r="F1812" s="13">
        <v>46019</v>
      </c>
      <c r="G1812" s="27">
        <v>4763.46</v>
      </c>
      <c r="H1812" s="24">
        <v>4470.51</v>
      </c>
      <c r="I1812" s="3">
        <v>46030</v>
      </c>
      <c r="J1812" s="161">
        <v>46041</v>
      </c>
      <c r="K1812" s="12">
        <v>46045</v>
      </c>
      <c r="L1812" s="1" t="s">
        <v>731</v>
      </c>
      <c r="M1812" s="35">
        <v>0</v>
      </c>
      <c r="N1812"/>
      <c r="O1812" t="s">
        <v>199</v>
      </c>
      <c r="P1812" t="s">
        <v>376</v>
      </c>
      <c r="Q1812" t="s">
        <v>203</v>
      </c>
    </row>
    <row r="1813" spans="1:17" x14ac:dyDescent="0.3">
      <c r="A1813" s="9">
        <v>1391</v>
      </c>
      <c r="B1813" t="s">
        <v>71</v>
      </c>
      <c r="C1813" t="s">
        <v>196</v>
      </c>
      <c r="D1813" t="s">
        <v>520</v>
      </c>
      <c r="E1813" s="118">
        <v>4725</v>
      </c>
      <c r="F1813" s="13">
        <v>46019</v>
      </c>
      <c r="G1813" s="27">
        <v>70843.8</v>
      </c>
      <c r="H1813" s="27">
        <v>66486.899999999994</v>
      </c>
      <c r="I1813" s="3">
        <v>46031</v>
      </c>
      <c r="J1813" s="161">
        <v>46048</v>
      </c>
      <c r="K1813" s="12">
        <v>46048</v>
      </c>
      <c r="L1813" s="1" t="s">
        <v>731</v>
      </c>
      <c r="M1813" s="35">
        <v>0</v>
      </c>
      <c r="N1813"/>
      <c r="O1813" t="s">
        <v>199</v>
      </c>
      <c r="P1813" t="s">
        <v>376</v>
      </c>
      <c r="Q1813" t="s">
        <v>203</v>
      </c>
    </row>
    <row r="1814" spans="1:17" x14ac:dyDescent="0.3">
      <c r="A1814" s="9">
        <v>1391</v>
      </c>
      <c r="B1814" t="s">
        <v>71</v>
      </c>
      <c r="C1814" t="s">
        <v>196</v>
      </c>
      <c r="D1814" t="s">
        <v>520</v>
      </c>
      <c r="E1814" s="118">
        <v>4726</v>
      </c>
      <c r="F1814" s="13">
        <v>46019</v>
      </c>
      <c r="G1814" s="27">
        <v>52002.720000000001</v>
      </c>
      <c r="H1814" s="27">
        <v>48804.55</v>
      </c>
      <c r="I1814" s="3">
        <v>46031</v>
      </c>
      <c r="J1814" s="161">
        <v>46048</v>
      </c>
      <c r="K1814" s="12">
        <v>46048</v>
      </c>
      <c r="L1814" s="1" t="s">
        <v>731</v>
      </c>
      <c r="M1814" s="35">
        <v>0</v>
      </c>
      <c r="N1814"/>
      <c r="O1814" t="s">
        <v>199</v>
      </c>
      <c r="P1814" t="s">
        <v>376</v>
      </c>
      <c r="Q1814" t="s">
        <v>203</v>
      </c>
    </row>
    <row r="1815" spans="1:17" x14ac:dyDescent="0.3">
      <c r="A1815" s="9">
        <v>1391</v>
      </c>
      <c r="B1815" t="s">
        <v>71</v>
      </c>
      <c r="C1815" t="s">
        <v>196</v>
      </c>
      <c r="D1815" t="s">
        <v>520</v>
      </c>
      <c r="E1815" s="118">
        <v>4727</v>
      </c>
      <c r="F1815" s="13">
        <v>46019</v>
      </c>
      <c r="G1815" s="27">
        <v>62665.2</v>
      </c>
      <c r="H1815" s="27">
        <v>58811.29</v>
      </c>
      <c r="I1815" s="3">
        <v>46031</v>
      </c>
      <c r="J1815" s="161">
        <v>46048</v>
      </c>
      <c r="K1815" s="12">
        <v>46048</v>
      </c>
      <c r="L1815" s="1" t="s">
        <v>731</v>
      </c>
      <c r="M1815" s="35">
        <v>0</v>
      </c>
      <c r="N1815"/>
      <c r="O1815" t="s">
        <v>199</v>
      </c>
      <c r="P1815" t="s">
        <v>376</v>
      </c>
      <c r="Q1815" t="s">
        <v>203</v>
      </c>
    </row>
    <row r="1816" spans="1:17" x14ac:dyDescent="0.3">
      <c r="A1816" s="9">
        <v>1391</v>
      </c>
      <c r="B1816" t="s">
        <v>71</v>
      </c>
      <c r="C1816" t="s">
        <v>196</v>
      </c>
      <c r="D1816" t="s">
        <v>520</v>
      </c>
      <c r="E1816" s="118">
        <v>4728</v>
      </c>
      <c r="F1816" s="13">
        <v>46019</v>
      </c>
      <c r="G1816" s="27">
        <v>94068</v>
      </c>
      <c r="H1816" s="27">
        <v>88282.82</v>
      </c>
      <c r="I1816" s="3">
        <v>46031</v>
      </c>
      <c r="J1816" s="161">
        <v>46048</v>
      </c>
      <c r="K1816" s="12">
        <v>46048</v>
      </c>
      <c r="L1816" s="1" t="s">
        <v>731</v>
      </c>
      <c r="M1816" s="35">
        <v>0</v>
      </c>
      <c r="N1816"/>
      <c r="O1816" t="s">
        <v>199</v>
      </c>
      <c r="P1816" t="s">
        <v>376</v>
      </c>
      <c r="Q1816" t="s">
        <v>203</v>
      </c>
    </row>
    <row r="1817" spans="1:17" x14ac:dyDescent="0.3">
      <c r="A1817" s="9">
        <v>1391</v>
      </c>
      <c r="B1817" t="s">
        <v>71</v>
      </c>
      <c r="C1817" t="s">
        <v>196</v>
      </c>
      <c r="D1817" t="s">
        <v>520</v>
      </c>
      <c r="E1817" s="118">
        <v>4729</v>
      </c>
      <c r="F1817" s="13">
        <v>46019</v>
      </c>
      <c r="G1817" s="27">
        <v>66714.38</v>
      </c>
      <c r="H1817" s="27">
        <v>62611.44</v>
      </c>
      <c r="I1817" s="3">
        <v>46031</v>
      </c>
      <c r="J1817" s="161">
        <v>46048</v>
      </c>
      <c r="K1817" s="12">
        <v>46048</v>
      </c>
      <c r="L1817" s="1" t="s">
        <v>731</v>
      </c>
      <c r="M1817" s="35">
        <v>0</v>
      </c>
      <c r="N1817"/>
      <c r="O1817" t="s">
        <v>199</v>
      </c>
      <c r="P1817" t="s">
        <v>376</v>
      </c>
      <c r="Q1817" t="s">
        <v>203</v>
      </c>
    </row>
    <row r="1818" spans="1:17" x14ac:dyDescent="0.3">
      <c r="A1818" s="9">
        <v>1391</v>
      </c>
      <c r="B1818" t="s">
        <v>71</v>
      </c>
      <c r="C1818" t="s">
        <v>196</v>
      </c>
      <c r="D1818" t="s">
        <v>520</v>
      </c>
      <c r="E1818" s="118">
        <v>4730</v>
      </c>
      <c r="F1818" s="13">
        <v>46019</v>
      </c>
      <c r="G1818" s="27">
        <v>147085.57999999999</v>
      </c>
      <c r="H1818" s="27">
        <v>138039.82</v>
      </c>
      <c r="I1818" s="3">
        <v>46031</v>
      </c>
      <c r="J1818" s="161">
        <v>46048</v>
      </c>
      <c r="K1818" s="12">
        <v>46048</v>
      </c>
      <c r="L1818" s="1" t="s">
        <v>731</v>
      </c>
      <c r="M1818" s="35">
        <v>0</v>
      </c>
      <c r="N1818"/>
      <c r="O1818" t="s">
        <v>199</v>
      </c>
      <c r="P1818" t="s">
        <v>376</v>
      </c>
      <c r="Q1818" t="s">
        <v>203</v>
      </c>
    </row>
    <row r="1819" spans="1:17" x14ac:dyDescent="0.3">
      <c r="A1819" s="9">
        <v>1391</v>
      </c>
      <c r="B1819" t="s">
        <v>71</v>
      </c>
      <c r="C1819" t="s">
        <v>196</v>
      </c>
      <c r="D1819" t="s">
        <v>520</v>
      </c>
      <c r="E1819" s="118">
        <v>4731</v>
      </c>
      <c r="F1819" s="13">
        <v>46019</v>
      </c>
      <c r="G1819" s="27">
        <v>13419.9</v>
      </c>
      <c r="H1819" s="24">
        <v>12594.57</v>
      </c>
      <c r="I1819" s="3">
        <v>46034</v>
      </c>
      <c r="J1819" s="161">
        <v>46048</v>
      </c>
      <c r="K1819" s="12">
        <v>46049</v>
      </c>
      <c r="L1819" s="1" t="s">
        <v>731</v>
      </c>
      <c r="M1819" s="35">
        <v>0</v>
      </c>
      <c r="N1819"/>
      <c r="O1819" t="s">
        <v>199</v>
      </c>
      <c r="P1819" t="s">
        <v>376</v>
      </c>
      <c r="Q1819" t="s">
        <v>203</v>
      </c>
    </row>
    <row r="1820" spans="1:17" x14ac:dyDescent="0.3">
      <c r="A1820" s="25">
        <v>1391</v>
      </c>
      <c r="B1820" t="s">
        <v>71</v>
      </c>
      <c r="C1820" t="s">
        <v>196</v>
      </c>
      <c r="D1820" t="s">
        <v>520</v>
      </c>
      <c r="E1820" s="118">
        <v>4735</v>
      </c>
      <c r="F1820" s="13">
        <v>46019</v>
      </c>
      <c r="G1820" s="27">
        <v>737764.07</v>
      </c>
      <c r="H1820" s="27">
        <v>692391.58</v>
      </c>
      <c r="I1820" s="3">
        <v>46035</v>
      </c>
      <c r="J1820" s="161">
        <v>46048</v>
      </c>
      <c r="K1820" s="12">
        <v>46050</v>
      </c>
      <c r="L1820" s="1" t="s">
        <v>731</v>
      </c>
      <c r="M1820" s="35">
        <v>0</v>
      </c>
      <c r="N1820"/>
      <c r="O1820" t="s">
        <v>199</v>
      </c>
      <c r="P1820" t="s">
        <v>376</v>
      </c>
      <c r="Q1820" t="s">
        <v>203</v>
      </c>
    </row>
    <row r="1821" spans="1:17" x14ac:dyDescent="0.3">
      <c r="A1821" s="25">
        <v>1391</v>
      </c>
      <c r="B1821" t="s">
        <v>71</v>
      </c>
      <c r="C1821" t="s">
        <v>196</v>
      </c>
      <c r="D1821" t="s">
        <v>520</v>
      </c>
      <c r="E1821" s="118">
        <v>4742</v>
      </c>
      <c r="F1821" s="13">
        <v>46019</v>
      </c>
      <c r="G1821" s="27">
        <v>54637.83</v>
      </c>
      <c r="H1821" s="27">
        <v>51277.599999999999</v>
      </c>
      <c r="I1821" s="3">
        <v>46037</v>
      </c>
      <c r="J1821" s="161">
        <v>46048</v>
      </c>
      <c r="K1821" s="12">
        <v>46052</v>
      </c>
      <c r="L1821" s="1" t="s">
        <v>731</v>
      </c>
      <c r="M1821" s="35">
        <v>0</v>
      </c>
      <c r="N1821"/>
      <c r="O1821" t="s">
        <v>199</v>
      </c>
      <c r="P1821" t="s">
        <v>376</v>
      </c>
      <c r="Q1821" t="s">
        <v>203</v>
      </c>
    </row>
    <row r="1822" spans="1:17" x14ac:dyDescent="0.3">
      <c r="A1822" s="9">
        <v>1391</v>
      </c>
      <c r="B1822" t="s">
        <v>71</v>
      </c>
      <c r="C1822" t="s">
        <v>196</v>
      </c>
      <c r="D1822" t="s">
        <v>520</v>
      </c>
      <c r="E1822" s="118">
        <v>4821</v>
      </c>
      <c r="F1822" s="13">
        <v>46051</v>
      </c>
      <c r="G1822" s="27">
        <v>111608.67</v>
      </c>
      <c r="H1822" s="24">
        <v>104744.74</v>
      </c>
      <c r="I1822" s="3">
        <v>46059</v>
      </c>
      <c r="J1822" s="161">
        <v>46076</v>
      </c>
      <c r="K1822" s="12">
        <v>46076</v>
      </c>
      <c r="L1822" s="1" t="s">
        <v>731</v>
      </c>
      <c r="M1822" s="35">
        <v>0</v>
      </c>
      <c r="N1822"/>
      <c r="O1822" t="s">
        <v>199</v>
      </c>
      <c r="P1822" t="s">
        <v>376</v>
      </c>
      <c r="Q1822" t="s">
        <v>203</v>
      </c>
    </row>
    <row r="1823" spans="1:17" x14ac:dyDescent="0.3">
      <c r="A1823" s="9">
        <v>1391</v>
      </c>
      <c r="B1823" t="s">
        <v>71</v>
      </c>
      <c r="C1823" t="s">
        <v>196</v>
      </c>
      <c r="D1823" t="s">
        <v>520</v>
      </c>
      <c r="E1823" s="118">
        <v>4822</v>
      </c>
      <c r="F1823" s="13">
        <v>46051</v>
      </c>
      <c r="G1823" s="27">
        <v>104824.68</v>
      </c>
      <c r="H1823" s="24">
        <v>98377.96</v>
      </c>
      <c r="I1823" s="3">
        <v>46059</v>
      </c>
      <c r="J1823" s="161">
        <v>46076</v>
      </c>
      <c r="K1823" s="12">
        <v>46076</v>
      </c>
      <c r="L1823" s="1" t="s">
        <v>731</v>
      </c>
      <c r="M1823" s="35">
        <v>0</v>
      </c>
      <c r="N1823"/>
      <c r="O1823" t="s">
        <v>199</v>
      </c>
      <c r="P1823" t="s">
        <v>376</v>
      </c>
      <c r="Q1823" t="s">
        <v>203</v>
      </c>
    </row>
    <row r="1824" spans="1:17" x14ac:dyDescent="0.3">
      <c r="A1824" s="9">
        <v>1391</v>
      </c>
      <c r="B1824" t="s">
        <v>71</v>
      </c>
      <c r="C1824" t="s">
        <v>196</v>
      </c>
      <c r="D1824" t="s">
        <v>520</v>
      </c>
      <c r="E1824" s="118">
        <v>4824</v>
      </c>
      <c r="F1824" s="13">
        <v>46051</v>
      </c>
      <c r="G1824" s="27">
        <v>103446.52</v>
      </c>
      <c r="H1824" s="27">
        <v>97084.56</v>
      </c>
      <c r="I1824" s="3">
        <v>46062</v>
      </c>
      <c r="J1824" s="161">
        <v>46076</v>
      </c>
      <c r="K1824" s="12">
        <v>46077</v>
      </c>
      <c r="L1824" s="1" t="s">
        <v>731</v>
      </c>
      <c r="M1824" s="35">
        <v>0</v>
      </c>
      <c r="N1824"/>
      <c r="O1824" t="s">
        <v>199</v>
      </c>
      <c r="P1824" t="s">
        <v>376</v>
      </c>
      <c r="Q1824" t="s">
        <v>203</v>
      </c>
    </row>
    <row r="1825" spans="1:17" x14ac:dyDescent="0.3">
      <c r="A1825" s="9">
        <v>1391</v>
      </c>
      <c r="B1825" t="s">
        <v>71</v>
      </c>
      <c r="C1825" t="s">
        <v>196</v>
      </c>
      <c r="D1825" t="s">
        <v>520</v>
      </c>
      <c r="E1825" s="118">
        <v>4825</v>
      </c>
      <c r="F1825" s="13">
        <v>46051</v>
      </c>
      <c r="G1825" s="27">
        <v>127775.7</v>
      </c>
      <c r="H1825" s="27">
        <v>119917.49</v>
      </c>
      <c r="I1825" s="3">
        <v>46062</v>
      </c>
      <c r="J1825" s="161">
        <v>46076</v>
      </c>
      <c r="K1825" s="12">
        <v>46077</v>
      </c>
      <c r="L1825" s="1" t="s">
        <v>731</v>
      </c>
      <c r="M1825" s="35">
        <v>0</v>
      </c>
      <c r="N1825"/>
      <c r="O1825" t="s">
        <v>199</v>
      </c>
      <c r="P1825" t="s">
        <v>376</v>
      </c>
      <c r="Q1825" t="s">
        <v>203</v>
      </c>
    </row>
    <row r="1826" spans="1:17" x14ac:dyDescent="0.3">
      <c r="A1826" s="9">
        <v>1391</v>
      </c>
      <c r="B1826" t="s">
        <v>71</v>
      </c>
      <c r="C1826" t="s">
        <v>196</v>
      </c>
      <c r="D1826" t="s">
        <v>520</v>
      </c>
      <c r="E1826" s="118">
        <v>4838</v>
      </c>
      <c r="F1826" s="13">
        <v>46051</v>
      </c>
      <c r="G1826" s="24">
        <v>88641</v>
      </c>
      <c r="H1826" s="27">
        <v>83189.570000000007</v>
      </c>
      <c r="I1826" s="3">
        <v>46064</v>
      </c>
      <c r="J1826" s="161">
        <v>46076</v>
      </c>
      <c r="K1826" s="12">
        <v>46079</v>
      </c>
      <c r="L1826" s="1" t="s">
        <v>731</v>
      </c>
      <c r="M1826" s="35">
        <v>0</v>
      </c>
      <c r="N1826"/>
      <c r="O1826" t="s">
        <v>199</v>
      </c>
      <c r="P1826" t="s">
        <v>376</v>
      </c>
      <c r="Q1826" t="s">
        <v>203</v>
      </c>
    </row>
    <row r="1827" spans="1:17" x14ac:dyDescent="0.3">
      <c r="A1827" s="9">
        <v>1391</v>
      </c>
      <c r="B1827" t="s">
        <v>71</v>
      </c>
      <c r="C1827" t="s">
        <v>196</v>
      </c>
      <c r="D1827" t="s">
        <v>520</v>
      </c>
      <c r="E1827" s="118">
        <v>4839</v>
      </c>
      <c r="F1827" s="13">
        <v>46051</v>
      </c>
      <c r="G1827" s="24">
        <v>30466.799999999999</v>
      </c>
      <c r="H1827" s="27">
        <v>28593.09</v>
      </c>
      <c r="I1827" s="3">
        <v>46064</v>
      </c>
      <c r="J1827" s="161">
        <v>46076</v>
      </c>
      <c r="K1827" s="12">
        <v>46079</v>
      </c>
      <c r="L1827" s="1" t="s">
        <v>731</v>
      </c>
      <c r="M1827" s="35">
        <v>0</v>
      </c>
      <c r="N1827"/>
      <c r="O1827" t="s">
        <v>199</v>
      </c>
      <c r="P1827" t="s">
        <v>376</v>
      </c>
      <c r="Q1827" t="s">
        <v>203</v>
      </c>
    </row>
    <row r="1828" spans="1:17" x14ac:dyDescent="0.3">
      <c r="A1828" s="9">
        <v>1391</v>
      </c>
      <c r="B1828" t="s">
        <v>71</v>
      </c>
      <c r="C1828" t="s">
        <v>196</v>
      </c>
      <c r="D1828" t="s">
        <v>520</v>
      </c>
      <c r="E1828" s="118">
        <v>4840</v>
      </c>
      <c r="F1828" s="13">
        <v>46051</v>
      </c>
      <c r="G1828" s="24">
        <v>99941.4</v>
      </c>
      <c r="H1828" s="27">
        <v>93795</v>
      </c>
      <c r="I1828" s="3">
        <v>46064</v>
      </c>
      <c r="J1828" s="161">
        <v>46076</v>
      </c>
      <c r="K1828" s="12">
        <v>46079</v>
      </c>
      <c r="L1828" s="1" t="s">
        <v>731</v>
      </c>
      <c r="M1828" s="35">
        <v>0</v>
      </c>
      <c r="N1828"/>
      <c r="O1828" t="s">
        <v>199</v>
      </c>
      <c r="P1828" t="s">
        <v>376</v>
      </c>
      <c r="Q1828" t="s">
        <v>203</v>
      </c>
    </row>
    <row r="1829" spans="1:17" x14ac:dyDescent="0.3">
      <c r="A1829" s="9">
        <v>1391</v>
      </c>
      <c r="B1829" t="s">
        <v>71</v>
      </c>
      <c r="C1829" t="s">
        <v>196</v>
      </c>
      <c r="D1829" t="s">
        <v>520</v>
      </c>
      <c r="E1829" s="118">
        <v>4847</v>
      </c>
      <c r="F1829" s="13">
        <v>46051</v>
      </c>
      <c r="G1829" s="24">
        <v>127039.23</v>
      </c>
      <c r="H1829" s="24">
        <v>119226.32</v>
      </c>
      <c r="I1829" s="3">
        <v>46065</v>
      </c>
      <c r="J1829" s="161">
        <v>46076</v>
      </c>
      <c r="K1829" s="12">
        <v>46080</v>
      </c>
      <c r="L1829" s="1" t="s">
        <v>731</v>
      </c>
      <c r="M1829" s="35">
        <v>0</v>
      </c>
      <c r="N1829"/>
      <c r="O1829" t="s">
        <v>199</v>
      </c>
      <c r="P1829" t="s">
        <v>376</v>
      </c>
      <c r="Q1829" t="s">
        <v>203</v>
      </c>
    </row>
    <row r="1830" spans="1:17" x14ac:dyDescent="0.3">
      <c r="A1830" s="9">
        <v>1391</v>
      </c>
      <c r="B1830" t="s">
        <v>71</v>
      </c>
      <c r="C1830" t="s">
        <v>196</v>
      </c>
      <c r="D1830" t="s">
        <v>520</v>
      </c>
      <c r="E1830" s="118">
        <v>4848</v>
      </c>
      <c r="F1830" s="13">
        <v>46051</v>
      </c>
      <c r="G1830" s="24">
        <v>117708.05</v>
      </c>
      <c r="H1830" s="24">
        <v>110469.01</v>
      </c>
      <c r="I1830" s="3">
        <v>46065</v>
      </c>
      <c r="J1830" s="161">
        <v>46076</v>
      </c>
      <c r="K1830" s="12">
        <v>46080</v>
      </c>
      <c r="L1830" s="1" t="s">
        <v>731</v>
      </c>
      <c r="M1830" s="35">
        <v>0</v>
      </c>
      <c r="N1830"/>
      <c r="O1830" t="s">
        <v>199</v>
      </c>
      <c r="P1830" t="s">
        <v>376</v>
      </c>
      <c r="Q1830" t="s">
        <v>203</v>
      </c>
    </row>
    <row r="1831" spans="1:17" x14ac:dyDescent="0.3">
      <c r="A1831" s="9">
        <v>1391</v>
      </c>
      <c r="B1831" t="s">
        <v>71</v>
      </c>
      <c r="C1831" t="s">
        <v>196</v>
      </c>
      <c r="D1831" t="s">
        <v>520</v>
      </c>
      <c r="E1831" s="118">
        <v>4913</v>
      </c>
      <c r="F1831" s="13">
        <v>46081</v>
      </c>
      <c r="G1831" s="27">
        <v>70352.100000000006</v>
      </c>
      <c r="H1831" s="27">
        <v>66025.45</v>
      </c>
      <c r="I1831" s="3">
        <v>46090</v>
      </c>
      <c r="J1831" s="161">
        <v>46104</v>
      </c>
      <c r="K1831" s="12">
        <v>46105</v>
      </c>
      <c r="L1831" s="1" t="s">
        <v>731</v>
      </c>
      <c r="M1831" s="35">
        <v>0</v>
      </c>
      <c r="N1831"/>
      <c r="O1831" t="s">
        <v>199</v>
      </c>
      <c r="P1831" t="s">
        <v>376</v>
      </c>
      <c r="Q1831" t="s">
        <v>203</v>
      </c>
    </row>
    <row r="1832" spans="1:17" x14ac:dyDescent="0.3">
      <c r="A1832" s="9">
        <v>1391</v>
      </c>
      <c r="B1832" t="s">
        <v>71</v>
      </c>
      <c r="C1832" t="s">
        <v>196</v>
      </c>
      <c r="D1832" t="s">
        <v>520</v>
      </c>
      <c r="E1832" s="118">
        <v>4914</v>
      </c>
      <c r="F1832" s="13">
        <v>46081</v>
      </c>
      <c r="G1832" s="27">
        <v>121700.48</v>
      </c>
      <c r="H1832" s="27">
        <v>114215.9</v>
      </c>
      <c r="I1832" s="3">
        <v>46090</v>
      </c>
      <c r="J1832" s="161">
        <v>46104</v>
      </c>
      <c r="K1832" s="12">
        <v>46105</v>
      </c>
      <c r="L1832" s="1" t="s">
        <v>731</v>
      </c>
      <c r="M1832" s="35">
        <v>0</v>
      </c>
      <c r="N1832"/>
      <c r="O1832" t="s">
        <v>199</v>
      </c>
      <c r="P1832" t="s">
        <v>376</v>
      </c>
      <c r="Q1832" t="s">
        <v>203</v>
      </c>
    </row>
    <row r="1833" spans="1:17" x14ac:dyDescent="0.3">
      <c r="A1833" s="9">
        <v>1391</v>
      </c>
      <c r="B1833" t="s">
        <v>71</v>
      </c>
      <c r="C1833" t="s">
        <v>196</v>
      </c>
      <c r="D1833" t="s">
        <v>520</v>
      </c>
      <c r="E1833" s="118">
        <v>4915</v>
      </c>
      <c r="F1833" s="13">
        <v>46081</v>
      </c>
      <c r="G1833" s="27">
        <v>25751.7</v>
      </c>
      <c r="H1833" s="27">
        <v>24167.97</v>
      </c>
      <c r="I1833" s="3">
        <v>46090</v>
      </c>
      <c r="J1833" s="161">
        <v>46104</v>
      </c>
      <c r="K1833" s="12">
        <v>46105</v>
      </c>
      <c r="L1833" s="1" t="s">
        <v>731</v>
      </c>
      <c r="M1833" s="35">
        <v>0</v>
      </c>
      <c r="N1833"/>
      <c r="O1833" t="s">
        <v>199</v>
      </c>
      <c r="P1833" t="s">
        <v>376</v>
      </c>
      <c r="Q1833" t="s">
        <v>203</v>
      </c>
    </row>
    <row r="1834" spans="1:17" x14ac:dyDescent="0.3">
      <c r="A1834" s="9">
        <v>1391</v>
      </c>
      <c r="B1834" t="s">
        <v>71</v>
      </c>
      <c r="C1834" t="s">
        <v>196</v>
      </c>
      <c r="D1834" t="s">
        <v>520</v>
      </c>
      <c r="E1834" s="118">
        <v>4916</v>
      </c>
      <c r="F1834" s="13">
        <v>46081</v>
      </c>
      <c r="G1834" s="27">
        <v>104702.32</v>
      </c>
      <c r="H1834" s="27">
        <v>98263.13</v>
      </c>
      <c r="I1834" s="3">
        <v>46090</v>
      </c>
      <c r="J1834" s="161">
        <v>46104</v>
      </c>
      <c r="K1834" s="12">
        <v>46105</v>
      </c>
      <c r="L1834" s="1" t="s">
        <v>731</v>
      </c>
      <c r="M1834" s="35">
        <v>0</v>
      </c>
      <c r="N1834"/>
      <c r="O1834" t="s">
        <v>199</v>
      </c>
      <c r="P1834" t="s">
        <v>376</v>
      </c>
      <c r="Q1834" t="s">
        <v>203</v>
      </c>
    </row>
    <row r="1835" spans="1:17" x14ac:dyDescent="0.3">
      <c r="A1835" s="9">
        <v>1391</v>
      </c>
      <c r="B1835" t="s">
        <v>71</v>
      </c>
      <c r="C1835" t="s">
        <v>196</v>
      </c>
      <c r="D1835" t="s">
        <v>520</v>
      </c>
      <c r="E1835" s="118">
        <v>4917</v>
      </c>
      <c r="F1835" s="13">
        <v>46081</v>
      </c>
      <c r="G1835" s="27">
        <v>86277.24</v>
      </c>
      <c r="H1835" s="27">
        <v>80971.19</v>
      </c>
      <c r="I1835" s="3">
        <v>46090</v>
      </c>
      <c r="J1835" s="161">
        <v>46104</v>
      </c>
      <c r="K1835" s="12">
        <v>46105</v>
      </c>
      <c r="L1835" s="1" t="s">
        <v>731</v>
      </c>
      <c r="M1835" s="35">
        <v>0</v>
      </c>
      <c r="N1835"/>
      <c r="O1835" t="s">
        <v>199</v>
      </c>
      <c r="P1835" t="s">
        <v>376</v>
      </c>
      <c r="Q1835" t="s">
        <v>203</v>
      </c>
    </row>
    <row r="1836" spans="1:17" x14ac:dyDescent="0.3">
      <c r="A1836" s="9">
        <v>1391</v>
      </c>
      <c r="B1836" t="s">
        <v>71</v>
      </c>
      <c r="C1836" t="s">
        <v>196</v>
      </c>
      <c r="D1836" t="s">
        <v>520</v>
      </c>
      <c r="E1836" s="118">
        <v>4918</v>
      </c>
      <c r="F1836" s="13">
        <v>46081</v>
      </c>
      <c r="G1836" s="27">
        <v>95777.66</v>
      </c>
      <c r="H1836" s="27">
        <v>89887.34</v>
      </c>
      <c r="I1836" s="3">
        <v>46090</v>
      </c>
      <c r="J1836" s="161">
        <v>46104</v>
      </c>
      <c r="K1836" s="12">
        <v>46105</v>
      </c>
      <c r="L1836" s="1" t="s">
        <v>731</v>
      </c>
      <c r="M1836" s="35">
        <v>0</v>
      </c>
      <c r="N1836"/>
      <c r="O1836" t="s">
        <v>199</v>
      </c>
      <c r="P1836" t="s">
        <v>376</v>
      </c>
      <c r="Q1836" t="s">
        <v>203</v>
      </c>
    </row>
    <row r="1837" spans="1:17" x14ac:dyDescent="0.3">
      <c r="A1837" s="9">
        <v>1391</v>
      </c>
      <c r="B1837" t="s">
        <v>71</v>
      </c>
      <c r="C1837" t="s">
        <v>196</v>
      </c>
      <c r="D1837" t="s">
        <v>520</v>
      </c>
      <c r="E1837" s="118">
        <v>4919</v>
      </c>
      <c r="F1837" s="13">
        <v>46081</v>
      </c>
      <c r="G1837" s="27">
        <v>72631.929999999993</v>
      </c>
      <c r="H1837" s="27">
        <v>68165.070000000007</v>
      </c>
      <c r="I1837" s="3">
        <v>46090</v>
      </c>
      <c r="J1837" s="161">
        <v>46104</v>
      </c>
      <c r="K1837" s="12">
        <v>46105</v>
      </c>
      <c r="L1837" s="1" t="s">
        <v>731</v>
      </c>
      <c r="M1837" s="35">
        <v>0</v>
      </c>
      <c r="N1837"/>
      <c r="O1837" t="s">
        <v>199</v>
      </c>
      <c r="P1837" t="s">
        <v>376</v>
      </c>
      <c r="Q1837" t="s">
        <v>203</v>
      </c>
    </row>
    <row r="1838" spans="1:17" x14ac:dyDescent="0.3">
      <c r="A1838" s="9">
        <v>1391</v>
      </c>
      <c r="B1838" t="s">
        <v>71</v>
      </c>
      <c r="C1838" t="s">
        <v>196</v>
      </c>
      <c r="D1838" t="s">
        <v>520</v>
      </c>
      <c r="E1838" s="118">
        <v>4943</v>
      </c>
      <c r="F1838" s="127">
        <v>46019</v>
      </c>
      <c r="G1838" s="24">
        <v>737764.07</v>
      </c>
      <c r="H1838" s="27">
        <v>692391.58</v>
      </c>
      <c r="I1838" s="3">
        <v>46093</v>
      </c>
      <c r="J1838" s="161">
        <v>46104</v>
      </c>
      <c r="K1838" s="12">
        <v>46108</v>
      </c>
      <c r="L1838" s="1" t="s">
        <v>731</v>
      </c>
      <c r="M1838" s="35">
        <v>0</v>
      </c>
      <c r="N1838"/>
      <c r="O1838" t="s">
        <v>199</v>
      </c>
      <c r="P1838" t="s">
        <v>376</v>
      </c>
      <c r="Q1838" t="s">
        <v>203</v>
      </c>
    </row>
    <row r="1839" spans="1:17" x14ac:dyDescent="0.3">
      <c r="A1839" s="9">
        <v>1391</v>
      </c>
      <c r="B1839" t="s">
        <v>71</v>
      </c>
      <c r="C1839" t="s">
        <v>196</v>
      </c>
      <c r="D1839" t="s">
        <v>520</v>
      </c>
      <c r="E1839" s="118">
        <v>5027</v>
      </c>
      <c r="F1839" s="127">
        <v>46019</v>
      </c>
      <c r="G1839" s="27">
        <v>1175.02</v>
      </c>
      <c r="H1839" s="27">
        <v>1102.75</v>
      </c>
      <c r="I1839" s="3">
        <v>46119</v>
      </c>
      <c r="J1839" s="161">
        <v>46139</v>
      </c>
      <c r="K1839" s="12">
        <v>46141</v>
      </c>
      <c r="L1839" s="1" t="s">
        <v>731</v>
      </c>
      <c r="M1839" s="35">
        <v>0</v>
      </c>
      <c r="N1839"/>
      <c r="O1839" t="s">
        <v>199</v>
      </c>
      <c r="P1839" t="s">
        <v>376</v>
      </c>
      <c r="Q1839" t="s">
        <v>203</v>
      </c>
    </row>
    <row r="1840" spans="1:17" x14ac:dyDescent="0.3">
      <c r="A1840" s="9">
        <v>1391</v>
      </c>
      <c r="B1840" t="s">
        <v>71</v>
      </c>
      <c r="C1840" t="s">
        <v>196</v>
      </c>
      <c r="D1840" t="s">
        <v>520</v>
      </c>
      <c r="E1840" s="118">
        <v>5066</v>
      </c>
      <c r="F1840" s="13">
        <v>46109</v>
      </c>
      <c r="G1840" s="27">
        <v>31917.599999999999</v>
      </c>
      <c r="H1840" s="24">
        <v>29954.67</v>
      </c>
      <c r="I1840" s="3">
        <v>46122</v>
      </c>
      <c r="J1840" s="161">
        <v>46139</v>
      </c>
      <c r="K1840" s="12">
        <v>46139</v>
      </c>
      <c r="L1840" s="1" t="s">
        <v>731</v>
      </c>
      <c r="M1840" s="35">
        <v>0</v>
      </c>
      <c r="N1840"/>
      <c r="O1840" t="s">
        <v>199</v>
      </c>
      <c r="P1840" t="s">
        <v>376</v>
      </c>
      <c r="Q1840" t="s">
        <v>203</v>
      </c>
    </row>
    <row r="1841" spans="1:17" x14ac:dyDescent="0.3">
      <c r="A1841" s="9">
        <v>1391</v>
      </c>
      <c r="B1841" t="s">
        <v>71</v>
      </c>
      <c r="C1841" t="s">
        <v>196</v>
      </c>
      <c r="D1841" t="s">
        <v>520</v>
      </c>
      <c r="E1841" s="118">
        <v>5074</v>
      </c>
      <c r="F1841" s="13">
        <v>46109</v>
      </c>
      <c r="G1841" s="27">
        <v>81195.520000000004</v>
      </c>
      <c r="H1841" s="24">
        <v>76202</v>
      </c>
      <c r="I1841" s="3">
        <v>46125</v>
      </c>
      <c r="J1841" s="161">
        <v>46139</v>
      </c>
      <c r="K1841" s="12">
        <v>46139</v>
      </c>
      <c r="L1841" s="1" t="s">
        <v>731</v>
      </c>
      <c r="M1841" s="35">
        <v>0</v>
      </c>
      <c r="N1841"/>
      <c r="O1841" t="s">
        <v>199</v>
      </c>
      <c r="P1841" t="s">
        <v>376</v>
      </c>
      <c r="Q1841" t="s">
        <v>203</v>
      </c>
    </row>
    <row r="1842" spans="1:17" x14ac:dyDescent="0.3">
      <c r="A1842" s="9">
        <v>1391</v>
      </c>
      <c r="B1842" t="s">
        <v>71</v>
      </c>
      <c r="C1842" t="s">
        <v>196</v>
      </c>
      <c r="D1842" t="s">
        <v>520</v>
      </c>
      <c r="E1842" s="118">
        <v>5079</v>
      </c>
      <c r="F1842" s="13">
        <v>46109</v>
      </c>
      <c r="G1842" s="27">
        <v>82882.8</v>
      </c>
      <c r="H1842" s="24">
        <v>77785.509999999995</v>
      </c>
      <c r="I1842" s="3">
        <v>46125</v>
      </c>
      <c r="J1842" s="161">
        <v>46139</v>
      </c>
      <c r="K1842" s="12">
        <v>46139</v>
      </c>
      <c r="L1842" s="1" t="s">
        <v>731</v>
      </c>
      <c r="M1842" s="35">
        <v>0</v>
      </c>
      <c r="N1842"/>
      <c r="O1842" t="s">
        <v>199</v>
      </c>
      <c r="P1842" t="s">
        <v>376</v>
      </c>
      <c r="Q1842" t="s">
        <v>203</v>
      </c>
    </row>
    <row r="1843" spans="1:17" x14ac:dyDescent="0.3">
      <c r="A1843" s="9">
        <v>1391</v>
      </c>
      <c r="B1843" t="s">
        <v>71</v>
      </c>
      <c r="C1843" t="s">
        <v>196</v>
      </c>
      <c r="D1843" t="s">
        <v>520</v>
      </c>
      <c r="E1843" s="118">
        <v>5078</v>
      </c>
      <c r="F1843" s="13">
        <v>46109</v>
      </c>
      <c r="G1843" s="27">
        <v>76362</v>
      </c>
      <c r="H1843" s="24">
        <v>71665.740000000005</v>
      </c>
      <c r="I1843" s="3">
        <v>46125</v>
      </c>
      <c r="J1843" s="161">
        <v>46139</v>
      </c>
      <c r="K1843" s="12">
        <v>46139</v>
      </c>
      <c r="L1843" s="1" t="s">
        <v>731</v>
      </c>
      <c r="M1843" s="35">
        <v>0</v>
      </c>
      <c r="N1843"/>
      <c r="O1843" t="s">
        <v>199</v>
      </c>
      <c r="P1843" t="s">
        <v>376</v>
      </c>
      <c r="Q1843" t="s">
        <v>203</v>
      </c>
    </row>
    <row r="1844" spans="1:17" x14ac:dyDescent="0.3">
      <c r="A1844" s="9">
        <v>1391</v>
      </c>
      <c r="B1844" t="s">
        <v>71</v>
      </c>
      <c r="C1844" t="s">
        <v>196</v>
      </c>
      <c r="D1844" t="s">
        <v>520</v>
      </c>
      <c r="E1844" s="118">
        <v>5070</v>
      </c>
      <c r="F1844" s="13">
        <v>46109</v>
      </c>
      <c r="G1844" s="27">
        <v>108535.98</v>
      </c>
      <c r="H1844" s="24">
        <v>101861.02</v>
      </c>
      <c r="I1844" s="3">
        <v>46125</v>
      </c>
      <c r="J1844" s="161">
        <v>46139</v>
      </c>
      <c r="K1844" s="12">
        <v>46139</v>
      </c>
      <c r="L1844" s="1" t="s">
        <v>731</v>
      </c>
      <c r="M1844" s="35">
        <v>0</v>
      </c>
      <c r="N1844"/>
      <c r="O1844" t="s">
        <v>199</v>
      </c>
      <c r="P1844" t="s">
        <v>376</v>
      </c>
      <c r="Q1844" t="s">
        <v>203</v>
      </c>
    </row>
    <row r="1845" spans="1:17" x14ac:dyDescent="0.3">
      <c r="A1845" s="9">
        <v>1391</v>
      </c>
      <c r="B1845" t="s">
        <v>71</v>
      </c>
      <c r="C1845" t="s">
        <v>196</v>
      </c>
      <c r="D1845" t="s">
        <v>520</v>
      </c>
      <c r="E1845" s="118">
        <v>5082</v>
      </c>
      <c r="F1845" s="13">
        <v>46109</v>
      </c>
      <c r="G1845" s="27">
        <v>135026.76999999999</v>
      </c>
      <c r="H1845" s="24">
        <v>126722.63</v>
      </c>
      <c r="I1845" s="3">
        <v>46127</v>
      </c>
      <c r="J1845" s="161">
        <v>46139</v>
      </c>
      <c r="K1845" s="12">
        <v>46142</v>
      </c>
      <c r="L1845" s="1" t="s">
        <v>731</v>
      </c>
      <c r="M1845" s="35">
        <v>0</v>
      </c>
      <c r="N1845"/>
      <c r="O1845" t="s">
        <v>199</v>
      </c>
      <c r="P1845" t="s">
        <v>376</v>
      </c>
      <c r="Q1845" t="s">
        <v>203</v>
      </c>
    </row>
    <row r="1846" spans="1:17" x14ac:dyDescent="0.3">
      <c r="A1846" s="9">
        <v>1391</v>
      </c>
      <c r="B1846" t="s">
        <v>71</v>
      </c>
      <c r="C1846" t="s">
        <v>196</v>
      </c>
      <c r="D1846" t="s">
        <v>520</v>
      </c>
      <c r="E1846" s="118">
        <v>5084</v>
      </c>
      <c r="F1846" s="13">
        <v>46109</v>
      </c>
      <c r="G1846" s="27">
        <v>117708.05</v>
      </c>
      <c r="H1846" s="24">
        <v>110469.01</v>
      </c>
      <c r="I1846" s="3">
        <v>46127</v>
      </c>
      <c r="J1846" s="161">
        <v>46139</v>
      </c>
      <c r="K1846" s="12">
        <v>46142</v>
      </c>
      <c r="L1846" s="1" t="s">
        <v>731</v>
      </c>
      <c r="M1846" s="35">
        <v>0</v>
      </c>
      <c r="N1846"/>
      <c r="O1846" t="s">
        <v>199</v>
      </c>
      <c r="P1846" t="s">
        <v>376</v>
      </c>
      <c r="Q1846" t="s">
        <v>203</v>
      </c>
    </row>
    <row r="1847" spans="1:17" x14ac:dyDescent="0.3">
      <c r="A1847" s="9">
        <v>1391</v>
      </c>
      <c r="B1847" t="s">
        <v>71</v>
      </c>
      <c r="C1847" t="s">
        <v>196</v>
      </c>
      <c r="D1847" t="s">
        <v>520</v>
      </c>
      <c r="E1847" s="118">
        <v>5109</v>
      </c>
      <c r="F1847" s="13">
        <v>46109</v>
      </c>
      <c r="G1847" s="24">
        <v>126215.56</v>
      </c>
      <c r="H1847" s="24">
        <v>118453.31</v>
      </c>
      <c r="I1847" s="3">
        <v>46140</v>
      </c>
      <c r="J1847" s="102">
        <v>46153</v>
      </c>
      <c r="K1847" s="12">
        <v>46155</v>
      </c>
      <c r="L1847" s="1" t="s">
        <v>731</v>
      </c>
      <c r="M1847" s="35">
        <v>0</v>
      </c>
      <c r="N1847"/>
      <c r="O1847" t="s">
        <v>199</v>
      </c>
      <c r="P1847" t="s">
        <v>376</v>
      </c>
      <c r="Q1847" t="s">
        <v>203</v>
      </c>
    </row>
    <row r="1848" spans="1:17" x14ac:dyDescent="0.3">
      <c r="A1848" s="9">
        <v>1391</v>
      </c>
      <c r="B1848" t="s">
        <v>71</v>
      </c>
      <c r="C1848" t="s">
        <v>196</v>
      </c>
      <c r="D1848" t="s">
        <v>520</v>
      </c>
      <c r="E1848" s="118">
        <v>5098</v>
      </c>
      <c r="F1848" s="13">
        <v>46109</v>
      </c>
      <c r="G1848" s="24">
        <v>28562.1</v>
      </c>
      <c r="H1848" s="24">
        <v>26805.53</v>
      </c>
      <c r="I1848" s="3">
        <v>46136</v>
      </c>
      <c r="J1848" s="102">
        <v>46146</v>
      </c>
      <c r="K1848" s="12">
        <v>46150</v>
      </c>
      <c r="L1848" s="1" t="s">
        <v>731</v>
      </c>
      <c r="M1848" s="35">
        <v>0</v>
      </c>
      <c r="N1848"/>
      <c r="O1848" t="s">
        <v>199</v>
      </c>
      <c r="P1848" t="s">
        <v>376</v>
      </c>
      <c r="Q1848" t="s">
        <v>203</v>
      </c>
    </row>
    <row r="1849" spans="1:17" x14ac:dyDescent="0.3">
      <c r="A1849" s="9">
        <v>1391</v>
      </c>
      <c r="B1849" t="s">
        <v>71</v>
      </c>
      <c r="C1849" t="s">
        <v>196</v>
      </c>
      <c r="D1849" t="s">
        <v>520</v>
      </c>
      <c r="E1849" s="118">
        <v>5123</v>
      </c>
      <c r="F1849" s="13">
        <v>46140</v>
      </c>
      <c r="G1849" s="24">
        <v>65052</v>
      </c>
      <c r="H1849" s="24">
        <v>61051.3</v>
      </c>
      <c r="I1849" s="3">
        <v>46153</v>
      </c>
      <c r="J1849" s="102">
        <v>46167</v>
      </c>
      <c r="K1849" s="12">
        <v>46168</v>
      </c>
      <c r="L1849" s="1" t="s">
        <v>731</v>
      </c>
      <c r="M1849" s="35">
        <v>0</v>
      </c>
      <c r="N1849"/>
      <c r="O1849" t="s">
        <v>199</v>
      </c>
      <c r="P1849" t="s">
        <v>376</v>
      </c>
      <c r="Q1849" t="s">
        <v>203</v>
      </c>
    </row>
    <row r="1850" spans="1:17" x14ac:dyDescent="0.3">
      <c r="A1850" s="9">
        <v>1391</v>
      </c>
      <c r="B1850" t="s">
        <v>71</v>
      </c>
      <c r="C1850" t="s">
        <v>196</v>
      </c>
      <c r="D1850" t="s">
        <v>520</v>
      </c>
      <c r="E1850" s="118">
        <v>5139</v>
      </c>
      <c r="F1850" s="13">
        <v>46140</v>
      </c>
      <c r="G1850" s="24">
        <v>346091.85</v>
      </c>
      <c r="H1850" s="27">
        <v>324807.2</v>
      </c>
      <c r="I1850" s="3">
        <v>46155</v>
      </c>
      <c r="J1850" s="102">
        <v>46167</v>
      </c>
      <c r="K1850" s="12">
        <v>46170</v>
      </c>
      <c r="L1850" s="1" t="s">
        <v>731</v>
      </c>
      <c r="M1850" s="35">
        <v>0</v>
      </c>
      <c r="N1850"/>
      <c r="O1850" t="s">
        <v>199</v>
      </c>
      <c r="P1850" t="s">
        <v>376</v>
      </c>
      <c r="Q1850" t="s">
        <v>203</v>
      </c>
    </row>
    <row r="1851" spans="1:17" x14ac:dyDescent="0.3">
      <c r="A1851" s="9">
        <v>1391</v>
      </c>
      <c r="B1851" t="s">
        <v>71</v>
      </c>
      <c r="C1851" t="s">
        <v>196</v>
      </c>
      <c r="D1851" t="s">
        <v>520</v>
      </c>
      <c r="E1851" s="118">
        <v>5145</v>
      </c>
      <c r="F1851" s="13">
        <v>46140</v>
      </c>
      <c r="G1851" s="24">
        <v>21762</v>
      </c>
      <c r="H1851" s="24">
        <v>20423.64</v>
      </c>
      <c r="I1851" s="3">
        <v>46156</v>
      </c>
      <c r="J1851" s="102">
        <v>46167</v>
      </c>
      <c r="K1851" s="12">
        <v>46171</v>
      </c>
      <c r="L1851" s="1" t="s">
        <v>731</v>
      </c>
      <c r="M1851" s="35">
        <v>0</v>
      </c>
      <c r="N1851"/>
      <c r="O1851" t="s">
        <v>199</v>
      </c>
      <c r="P1851" t="s">
        <v>376</v>
      </c>
      <c r="Q1851" t="s">
        <v>203</v>
      </c>
    </row>
    <row r="1852" spans="1:17" x14ac:dyDescent="0.3">
      <c r="A1852" s="9">
        <v>1391</v>
      </c>
      <c r="B1852" t="s">
        <v>71</v>
      </c>
      <c r="C1852" t="s">
        <v>196</v>
      </c>
      <c r="D1852" t="s">
        <v>520</v>
      </c>
      <c r="E1852" s="118">
        <v>5147</v>
      </c>
      <c r="F1852" s="13">
        <v>46140</v>
      </c>
      <c r="G1852" s="24">
        <v>68508.72</v>
      </c>
      <c r="H1852" s="24">
        <v>64295.43</v>
      </c>
      <c r="I1852" s="3">
        <v>46156</v>
      </c>
      <c r="J1852" s="102">
        <v>46167</v>
      </c>
      <c r="K1852" s="12">
        <v>46171</v>
      </c>
      <c r="L1852" s="1" t="s">
        <v>731</v>
      </c>
      <c r="M1852" s="35">
        <v>0</v>
      </c>
      <c r="N1852"/>
      <c r="O1852" t="s">
        <v>199</v>
      </c>
      <c r="P1852" t="s">
        <v>376</v>
      </c>
      <c r="Q1852" t="s">
        <v>203</v>
      </c>
    </row>
    <row r="1853" spans="1:17" x14ac:dyDescent="0.3">
      <c r="A1853" s="9">
        <v>1391</v>
      </c>
      <c r="B1853" t="s">
        <v>71</v>
      </c>
      <c r="C1853" t="s">
        <v>196</v>
      </c>
      <c r="D1853" t="s">
        <v>520</v>
      </c>
      <c r="E1853" s="118">
        <v>5148</v>
      </c>
      <c r="F1853" s="13">
        <v>46140</v>
      </c>
      <c r="G1853" s="24">
        <v>67116.91</v>
      </c>
      <c r="H1853" s="24">
        <v>62989.22</v>
      </c>
      <c r="I1853" s="3">
        <v>46156</v>
      </c>
      <c r="J1853" s="102">
        <v>46167</v>
      </c>
      <c r="K1853" s="12">
        <v>46171</v>
      </c>
      <c r="L1853" s="1" t="s">
        <v>731</v>
      </c>
      <c r="M1853" s="35">
        <v>0</v>
      </c>
      <c r="N1853"/>
      <c r="O1853" t="s">
        <v>199</v>
      </c>
      <c r="P1853" t="s">
        <v>376</v>
      </c>
      <c r="Q1853" t="s">
        <v>203</v>
      </c>
    </row>
    <row r="1854" spans="1:17" x14ac:dyDescent="0.3">
      <c r="A1854" s="9">
        <v>1391</v>
      </c>
      <c r="B1854" t="s">
        <v>71</v>
      </c>
      <c r="C1854" t="s">
        <v>196</v>
      </c>
      <c r="D1854" t="s">
        <v>520</v>
      </c>
      <c r="E1854" s="118"/>
      <c r="F1854" s="13">
        <v>46170</v>
      </c>
      <c r="G1854" s="24">
        <v>1345000</v>
      </c>
      <c r="H1854" s="24"/>
      <c r="I1854" s="3">
        <v>46174</v>
      </c>
      <c r="J1854" s="102">
        <v>46202</v>
      </c>
      <c r="K1854" s="12"/>
      <c r="L1854" s="1" t="s">
        <v>719</v>
      </c>
      <c r="M1854" s="35">
        <v>0</v>
      </c>
      <c r="N1854"/>
      <c r="O1854" t="s">
        <v>199</v>
      </c>
      <c r="P1854" t="s">
        <v>376</v>
      </c>
      <c r="Q1854" t="s">
        <v>203</v>
      </c>
    </row>
    <row r="1855" spans="1:17" x14ac:dyDescent="0.3">
      <c r="A1855" s="25">
        <v>1294</v>
      </c>
      <c r="B1855" t="s">
        <v>71</v>
      </c>
      <c r="C1855" t="s">
        <v>196</v>
      </c>
      <c r="D1855" t="s">
        <v>413</v>
      </c>
      <c r="E1855" s="118">
        <v>4550</v>
      </c>
      <c r="F1855" s="13">
        <v>45958</v>
      </c>
      <c r="G1855" s="24">
        <v>86759.91</v>
      </c>
      <c r="H1855" s="24">
        <v>81424.17</v>
      </c>
      <c r="I1855" s="3">
        <v>45980</v>
      </c>
      <c r="J1855" s="161">
        <v>45992</v>
      </c>
      <c r="K1855" s="12">
        <v>45995</v>
      </c>
      <c r="L1855" s="1" t="s">
        <v>731</v>
      </c>
      <c r="M1855" s="35">
        <v>0</v>
      </c>
      <c r="N1855"/>
      <c r="O1855" t="s">
        <v>199</v>
      </c>
      <c r="P1855" t="s">
        <v>376</v>
      </c>
      <c r="Q1855" t="s">
        <v>203</v>
      </c>
    </row>
    <row r="1856" spans="1:17" x14ac:dyDescent="0.3">
      <c r="A1856" s="25">
        <v>1294</v>
      </c>
      <c r="B1856" t="s">
        <v>71</v>
      </c>
      <c r="C1856" t="s">
        <v>196</v>
      </c>
      <c r="D1856" t="s">
        <v>413</v>
      </c>
      <c r="E1856" s="118">
        <v>4551</v>
      </c>
      <c r="F1856" s="13">
        <v>45958</v>
      </c>
      <c r="G1856" s="24">
        <v>221904</v>
      </c>
      <c r="H1856" s="24">
        <v>208256.9</v>
      </c>
      <c r="I1856" s="3">
        <v>45980</v>
      </c>
      <c r="J1856" s="161">
        <v>45992</v>
      </c>
      <c r="K1856" s="12">
        <v>45995</v>
      </c>
      <c r="L1856" s="1" t="s">
        <v>731</v>
      </c>
      <c r="M1856" s="35">
        <v>0</v>
      </c>
      <c r="N1856"/>
      <c r="O1856" t="s">
        <v>199</v>
      </c>
      <c r="P1856" t="s">
        <v>376</v>
      </c>
      <c r="Q1856" t="s">
        <v>203</v>
      </c>
    </row>
    <row r="1857" spans="1:17" x14ac:dyDescent="0.3">
      <c r="A1857" s="25">
        <v>1294</v>
      </c>
      <c r="B1857" t="s">
        <v>71</v>
      </c>
      <c r="C1857" t="s">
        <v>196</v>
      </c>
      <c r="D1857" t="s">
        <v>413</v>
      </c>
      <c r="E1857" s="118">
        <v>4584</v>
      </c>
      <c r="F1857" s="13">
        <v>45958</v>
      </c>
      <c r="G1857" s="24">
        <v>13192.46</v>
      </c>
      <c r="H1857" s="24">
        <v>12381.12</v>
      </c>
      <c r="I1857" s="3">
        <v>45992</v>
      </c>
      <c r="J1857" s="161">
        <v>46006</v>
      </c>
      <c r="K1857" s="12">
        <v>46007</v>
      </c>
      <c r="L1857" s="1" t="s">
        <v>731</v>
      </c>
      <c r="M1857" s="35">
        <v>0</v>
      </c>
      <c r="N1857"/>
      <c r="O1857" t="s">
        <v>199</v>
      </c>
      <c r="P1857" t="s">
        <v>376</v>
      </c>
      <c r="Q1857" t="s">
        <v>203</v>
      </c>
    </row>
    <row r="1858" spans="1:17" x14ac:dyDescent="0.3">
      <c r="A1858" s="25">
        <v>1294</v>
      </c>
      <c r="B1858" t="s">
        <v>71</v>
      </c>
      <c r="C1858" t="s">
        <v>196</v>
      </c>
      <c r="D1858" t="s">
        <v>413</v>
      </c>
      <c r="E1858" s="118">
        <v>4609</v>
      </c>
      <c r="F1858" s="13">
        <v>45958</v>
      </c>
      <c r="G1858" s="24">
        <v>172751.46</v>
      </c>
      <c r="H1858" s="24">
        <v>162127.25</v>
      </c>
      <c r="I1858" s="3">
        <v>45994</v>
      </c>
      <c r="J1858" s="161">
        <v>46006</v>
      </c>
      <c r="K1858" s="12">
        <v>46009</v>
      </c>
      <c r="L1858" s="1" t="s">
        <v>731</v>
      </c>
      <c r="M1858" s="35">
        <v>0</v>
      </c>
      <c r="N1858"/>
      <c r="O1858" t="s">
        <v>199</v>
      </c>
      <c r="P1858" t="s">
        <v>376</v>
      </c>
      <c r="Q1858" t="s">
        <v>203</v>
      </c>
    </row>
    <row r="1859" spans="1:17" x14ac:dyDescent="0.3">
      <c r="A1859" s="25">
        <v>1294</v>
      </c>
      <c r="B1859" t="s">
        <v>71</v>
      </c>
      <c r="C1859" t="s">
        <v>196</v>
      </c>
      <c r="D1859" t="s">
        <v>413</v>
      </c>
      <c r="E1859" s="118">
        <v>4618</v>
      </c>
      <c r="F1859" s="13">
        <v>45989</v>
      </c>
      <c r="G1859" s="131">
        <v>183312</v>
      </c>
      <c r="H1859" s="27">
        <v>172038.31</v>
      </c>
      <c r="I1859" s="3">
        <v>45995</v>
      </c>
      <c r="J1859" s="161">
        <v>46006</v>
      </c>
      <c r="K1859" s="12">
        <v>46010</v>
      </c>
      <c r="L1859" s="1" t="s">
        <v>731</v>
      </c>
      <c r="M1859" s="35">
        <v>0</v>
      </c>
      <c r="N1859"/>
      <c r="O1859" t="s">
        <v>199</v>
      </c>
      <c r="P1859" t="s">
        <v>376</v>
      </c>
      <c r="Q1859" t="s">
        <v>203</v>
      </c>
    </row>
    <row r="1860" spans="1:17" x14ac:dyDescent="0.3">
      <c r="A1860" s="25">
        <v>1294</v>
      </c>
      <c r="B1860" t="s">
        <v>71</v>
      </c>
      <c r="C1860" t="s">
        <v>196</v>
      </c>
      <c r="D1860" t="s">
        <v>413</v>
      </c>
      <c r="E1860" s="118">
        <v>4639</v>
      </c>
      <c r="F1860" s="13">
        <v>45989</v>
      </c>
      <c r="G1860" s="24">
        <v>47720.4</v>
      </c>
      <c r="H1860" s="24">
        <v>44785.59</v>
      </c>
      <c r="I1860" s="3">
        <v>45996</v>
      </c>
      <c r="J1860" s="161">
        <v>46013</v>
      </c>
      <c r="K1860" s="12">
        <v>46013</v>
      </c>
      <c r="L1860" s="1" t="s">
        <v>731</v>
      </c>
      <c r="M1860" s="35">
        <v>0</v>
      </c>
      <c r="N1860"/>
      <c r="O1860" t="s">
        <v>199</v>
      </c>
      <c r="P1860" t="s">
        <v>376</v>
      </c>
      <c r="Q1860" t="s">
        <v>203</v>
      </c>
    </row>
    <row r="1861" spans="1:17" x14ac:dyDescent="0.3">
      <c r="A1861" s="25">
        <v>1294</v>
      </c>
      <c r="B1861" t="s">
        <v>71</v>
      </c>
      <c r="C1861" t="s">
        <v>196</v>
      </c>
      <c r="D1861" t="s">
        <v>413</v>
      </c>
      <c r="E1861" s="118">
        <v>4661</v>
      </c>
      <c r="F1861" s="13">
        <v>45989</v>
      </c>
      <c r="G1861" s="24">
        <v>247341.23</v>
      </c>
      <c r="H1861" s="24">
        <v>232129.74</v>
      </c>
      <c r="I1861" s="3">
        <v>46000</v>
      </c>
      <c r="J1861" s="161">
        <v>46013</v>
      </c>
      <c r="K1861" s="12">
        <v>46015</v>
      </c>
      <c r="L1861" s="1" t="s">
        <v>731</v>
      </c>
      <c r="M1861" s="35">
        <v>0</v>
      </c>
      <c r="N1861"/>
      <c r="O1861" t="s">
        <v>199</v>
      </c>
      <c r="P1861" t="s">
        <v>376</v>
      </c>
      <c r="Q1861" t="s">
        <v>203</v>
      </c>
    </row>
    <row r="1862" spans="1:17" x14ac:dyDescent="0.3">
      <c r="A1862" s="25">
        <v>1294</v>
      </c>
      <c r="B1862" t="s">
        <v>71</v>
      </c>
      <c r="C1862" t="s">
        <v>196</v>
      </c>
      <c r="D1862" t="s">
        <v>413</v>
      </c>
      <c r="E1862" s="118">
        <v>4671</v>
      </c>
      <c r="F1862" s="13">
        <v>45989</v>
      </c>
      <c r="G1862" s="24">
        <v>53988.63</v>
      </c>
      <c r="H1862" s="24">
        <v>50668.33</v>
      </c>
      <c r="I1862" s="3">
        <v>46000</v>
      </c>
      <c r="J1862" s="161">
        <v>46013</v>
      </c>
      <c r="K1862" s="12">
        <v>46015</v>
      </c>
      <c r="L1862" s="1" t="s">
        <v>731</v>
      </c>
      <c r="M1862" s="35">
        <v>0</v>
      </c>
      <c r="N1862"/>
      <c r="O1862" t="s">
        <v>199</v>
      </c>
      <c r="P1862" t="s">
        <v>376</v>
      </c>
      <c r="Q1862" t="s">
        <v>203</v>
      </c>
    </row>
    <row r="1863" spans="1:17" x14ac:dyDescent="0.3">
      <c r="A1863" s="25">
        <v>1294</v>
      </c>
      <c r="B1863" t="s">
        <v>71</v>
      </c>
      <c r="C1863" t="s">
        <v>196</v>
      </c>
      <c r="D1863" t="s">
        <v>413</v>
      </c>
      <c r="E1863" s="118">
        <v>4672</v>
      </c>
      <c r="F1863" s="13">
        <v>45989</v>
      </c>
      <c r="G1863" s="24">
        <v>146659.41</v>
      </c>
      <c r="H1863" s="24">
        <v>137639.85999999999</v>
      </c>
      <c r="I1863" s="3">
        <v>46000</v>
      </c>
      <c r="J1863" s="161">
        <v>46013</v>
      </c>
      <c r="K1863" s="12">
        <v>46015</v>
      </c>
      <c r="L1863" s="1" t="s">
        <v>731</v>
      </c>
      <c r="M1863" s="35">
        <v>0</v>
      </c>
      <c r="N1863"/>
      <c r="O1863" t="s">
        <v>199</v>
      </c>
      <c r="P1863" t="s">
        <v>376</v>
      </c>
      <c r="Q1863" t="s">
        <v>203</v>
      </c>
    </row>
    <row r="1864" spans="1:17" x14ac:dyDescent="0.3">
      <c r="A1864" s="25">
        <v>1294</v>
      </c>
      <c r="B1864" t="s">
        <v>71</v>
      </c>
      <c r="C1864" t="s">
        <v>196</v>
      </c>
      <c r="D1864" t="s">
        <v>413</v>
      </c>
      <c r="E1864" s="118">
        <v>4685</v>
      </c>
      <c r="F1864" s="13">
        <v>46019</v>
      </c>
      <c r="G1864" s="24">
        <v>77184</v>
      </c>
      <c r="H1864" s="24">
        <v>72437.179999999993</v>
      </c>
      <c r="I1864" s="3">
        <v>46003</v>
      </c>
      <c r="J1864" s="161">
        <v>46020</v>
      </c>
      <c r="K1864" s="12">
        <v>46020</v>
      </c>
      <c r="L1864" s="1" t="s">
        <v>731</v>
      </c>
      <c r="M1864" s="35">
        <v>0</v>
      </c>
      <c r="N1864"/>
      <c r="O1864" t="s">
        <v>199</v>
      </c>
      <c r="P1864" t="s">
        <v>376</v>
      </c>
      <c r="Q1864" t="s">
        <v>203</v>
      </c>
    </row>
    <row r="1865" spans="1:17" x14ac:dyDescent="0.3">
      <c r="A1865" s="25">
        <v>1294</v>
      </c>
      <c r="B1865" t="s">
        <v>71</v>
      </c>
      <c r="C1865" t="s">
        <v>196</v>
      </c>
      <c r="D1865" t="s">
        <v>413</v>
      </c>
      <c r="E1865" s="118">
        <v>4694</v>
      </c>
      <c r="F1865" s="13">
        <v>46019</v>
      </c>
      <c r="G1865" s="24">
        <v>66973.2</v>
      </c>
      <c r="H1865" s="24">
        <v>62854.35</v>
      </c>
      <c r="I1865" s="3">
        <v>46003</v>
      </c>
      <c r="J1865" s="161">
        <v>46020</v>
      </c>
      <c r="K1865" s="12">
        <v>46020</v>
      </c>
      <c r="L1865" s="1" t="s">
        <v>731</v>
      </c>
      <c r="M1865" s="35">
        <v>0</v>
      </c>
      <c r="N1865"/>
      <c r="O1865" t="s">
        <v>199</v>
      </c>
      <c r="P1865" t="s">
        <v>376</v>
      </c>
      <c r="Q1865" t="s">
        <v>203</v>
      </c>
    </row>
    <row r="1866" spans="1:17" x14ac:dyDescent="0.3">
      <c r="A1866" s="25">
        <v>1294</v>
      </c>
      <c r="B1866" t="s">
        <v>71</v>
      </c>
      <c r="C1866" t="s">
        <v>196</v>
      </c>
      <c r="D1866" t="s">
        <v>413</v>
      </c>
      <c r="E1866" s="118">
        <v>4704</v>
      </c>
      <c r="F1866" s="13">
        <v>46019</v>
      </c>
      <c r="G1866" s="24">
        <v>10046.4</v>
      </c>
      <c r="H1866" s="24">
        <v>9428.5400000000009</v>
      </c>
      <c r="I1866" s="3">
        <v>46007</v>
      </c>
      <c r="J1866" s="161">
        <v>46020</v>
      </c>
      <c r="K1866" s="12">
        <v>46021</v>
      </c>
      <c r="L1866" s="1" t="s">
        <v>731</v>
      </c>
      <c r="M1866" s="35">
        <v>0</v>
      </c>
      <c r="N1866"/>
      <c r="O1866" t="s">
        <v>199</v>
      </c>
      <c r="P1866" t="s">
        <v>376</v>
      </c>
      <c r="Q1866" t="s">
        <v>203</v>
      </c>
    </row>
    <row r="1867" spans="1:17" x14ac:dyDescent="0.3">
      <c r="A1867" s="25">
        <v>1294</v>
      </c>
      <c r="B1867" t="s">
        <v>71</v>
      </c>
      <c r="C1867" t="s">
        <v>196</v>
      </c>
      <c r="D1867" t="s">
        <v>413</v>
      </c>
      <c r="E1867" s="118">
        <v>4703</v>
      </c>
      <c r="F1867" s="13">
        <v>46019</v>
      </c>
      <c r="G1867" s="24">
        <v>69016.19</v>
      </c>
      <c r="H1867" s="24">
        <v>64771.7</v>
      </c>
      <c r="I1867" s="3">
        <v>46007</v>
      </c>
      <c r="J1867" s="161">
        <v>46020</v>
      </c>
      <c r="K1867" s="12">
        <v>46021</v>
      </c>
      <c r="L1867" s="1" t="s">
        <v>731</v>
      </c>
      <c r="M1867" s="35">
        <v>0</v>
      </c>
      <c r="N1867"/>
      <c r="O1867" t="s">
        <v>199</v>
      </c>
      <c r="P1867" t="s">
        <v>376</v>
      </c>
      <c r="Q1867" t="s">
        <v>203</v>
      </c>
    </row>
    <row r="1868" spans="1:17" x14ac:dyDescent="0.3">
      <c r="A1868" s="25">
        <v>1294</v>
      </c>
      <c r="B1868" t="s">
        <v>71</v>
      </c>
      <c r="C1868" t="s">
        <v>196</v>
      </c>
      <c r="D1868" t="s">
        <v>413</v>
      </c>
      <c r="E1868" s="118">
        <v>4721</v>
      </c>
      <c r="F1868" s="13">
        <v>46019</v>
      </c>
      <c r="G1868" s="27">
        <v>122915.52</v>
      </c>
      <c r="H1868" s="24">
        <v>115356.22</v>
      </c>
      <c r="I1868" s="3">
        <v>46029</v>
      </c>
      <c r="J1868" s="161">
        <v>46041</v>
      </c>
      <c r="K1868" s="12">
        <v>46044</v>
      </c>
      <c r="L1868" s="1" t="s">
        <v>731</v>
      </c>
      <c r="M1868" s="35">
        <v>0</v>
      </c>
      <c r="N1868"/>
      <c r="O1868" t="s">
        <v>199</v>
      </c>
      <c r="P1868" t="s">
        <v>376</v>
      </c>
      <c r="Q1868" t="s">
        <v>203</v>
      </c>
    </row>
    <row r="1869" spans="1:17" x14ac:dyDescent="0.3">
      <c r="A1869" s="25">
        <v>1294</v>
      </c>
      <c r="B1869" t="s">
        <v>71</v>
      </c>
      <c r="C1869" t="s">
        <v>196</v>
      </c>
      <c r="D1869" t="s">
        <v>413</v>
      </c>
      <c r="E1869" s="118">
        <v>4723</v>
      </c>
      <c r="F1869" s="13">
        <v>46019</v>
      </c>
      <c r="G1869" s="27">
        <v>16325.4</v>
      </c>
      <c r="H1869" s="24">
        <v>15321.39</v>
      </c>
      <c r="I1869" s="3">
        <v>46030</v>
      </c>
      <c r="J1869" s="161">
        <v>46041</v>
      </c>
      <c r="K1869" s="12">
        <v>46045</v>
      </c>
      <c r="L1869" s="1" t="s">
        <v>731</v>
      </c>
      <c r="M1869" s="35">
        <v>0</v>
      </c>
      <c r="N1869"/>
      <c r="O1869" t="s">
        <v>199</v>
      </c>
      <c r="P1869" t="s">
        <v>376</v>
      </c>
      <c r="Q1869" t="s">
        <v>203</v>
      </c>
    </row>
    <row r="1870" spans="1:17" x14ac:dyDescent="0.3">
      <c r="A1870" s="25">
        <v>1294</v>
      </c>
      <c r="B1870" t="s">
        <v>71</v>
      </c>
      <c r="C1870" t="s">
        <v>196</v>
      </c>
      <c r="D1870" t="s">
        <v>413</v>
      </c>
      <c r="E1870" s="118">
        <v>4734</v>
      </c>
      <c r="F1870" s="13">
        <v>46019</v>
      </c>
      <c r="G1870" s="27">
        <v>13192.46</v>
      </c>
      <c r="H1870" s="27">
        <v>12381.12</v>
      </c>
      <c r="I1870" s="3">
        <v>46035</v>
      </c>
      <c r="J1870" s="161">
        <v>46048</v>
      </c>
      <c r="K1870" s="12">
        <v>46050</v>
      </c>
      <c r="L1870" s="1" t="s">
        <v>731</v>
      </c>
      <c r="M1870" s="35">
        <v>0</v>
      </c>
      <c r="N1870"/>
      <c r="O1870" t="s">
        <v>199</v>
      </c>
      <c r="P1870" t="s">
        <v>376</v>
      </c>
      <c r="Q1870" t="s">
        <v>203</v>
      </c>
    </row>
    <row r="1871" spans="1:17" x14ac:dyDescent="0.3">
      <c r="A1871" s="25">
        <v>1294</v>
      </c>
      <c r="B1871" t="s">
        <v>71</v>
      </c>
      <c r="C1871" t="s">
        <v>196</v>
      </c>
      <c r="D1871" t="s">
        <v>413</v>
      </c>
      <c r="E1871" s="118">
        <v>4736</v>
      </c>
      <c r="F1871" s="13">
        <v>46019</v>
      </c>
      <c r="G1871" s="27">
        <v>123816</v>
      </c>
      <c r="H1871" s="24">
        <v>116201.32</v>
      </c>
      <c r="I1871" s="3">
        <v>46036</v>
      </c>
      <c r="J1871" s="161">
        <v>46048</v>
      </c>
      <c r="K1871" s="12">
        <v>46051</v>
      </c>
      <c r="L1871" s="1" t="s">
        <v>731</v>
      </c>
      <c r="M1871" s="35">
        <v>0</v>
      </c>
      <c r="N1871"/>
      <c r="O1871" t="s">
        <v>199</v>
      </c>
      <c r="P1871" t="s">
        <v>376</v>
      </c>
      <c r="Q1871" t="s">
        <v>203</v>
      </c>
    </row>
    <row r="1872" spans="1:17" x14ac:dyDescent="0.3">
      <c r="A1872" s="25">
        <v>1294</v>
      </c>
      <c r="B1872" t="s">
        <v>71</v>
      </c>
      <c r="C1872" t="s">
        <v>196</v>
      </c>
      <c r="D1872" t="s">
        <v>413</v>
      </c>
      <c r="E1872" s="118">
        <v>4737</v>
      </c>
      <c r="F1872" s="13">
        <v>46019</v>
      </c>
      <c r="G1872" s="131">
        <v>181182.06</v>
      </c>
      <c r="H1872" s="24">
        <v>170039.36</v>
      </c>
      <c r="I1872" s="3">
        <v>46036</v>
      </c>
      <c r="J1872" s="161">
        <v>46048</v>
      </c>
      <c r="K1872" s="12">
        <v>46051</v>
      </c>
      <c r="L1872" s="1" t="s">
        <v>731</v>
      </c>
      <c r="M1872" s="35">
        <v>0</v>
      </c>
      <c r="N1872"/>
      <c r="O1872" t="s">
        <v>199</v>
      </c>
      <c r="P1872" t="s">
        <v>376</v>
      </c>
      <c r="Q1872" t="s">
        <v>203</v>
      </c>
    </row>
    <row r="1873" spans="1:17" x14ac:dyDescent="0.3">
      <c r="A1873" s="25">
        <v>1294</v>
      </c>
      <c r="B1873" t="s">
        <v>71</v>
      </c>
      <c r="C1873" t="s">
        <v>196</v>
      </c>
      <c r="D1873" t="s">
        <v>413</v>
      </c>
      <c r="E1873" s="118">
        <v>4738</v>
      </c>
      <c r="F1873" s="13">
        <v>46019</v>
      </c>
      <c r="G1873" s="27">
        <v>247341.23</v>
      </c>
      <c r="H1873" s="24">
        <v>232129.74</v>
      </c>
      <c r="I1873" s="3">
        <v>46036</v>
      </c>
      <c r="J1873" s="161">
        <v>46048</v>
      </c>
      <c r="K1873" s="12">
        <v>46051</v>
      </c>
      <c r="L1873" s="1" t="s">
        <v>731</v>
      </c>
      <c r="M1873" s="35">
        <v>0</v>
      </c>
      <c r="N1873"/>
      <c r="O1873" t="s">
        <v>199</v>
      </c>
      <c r="P1873" t="s">
        <v>376</v>
      </c>
      <c r="Q1873" t="s">
        <v>203</v>
      </c>
    </row>
    <row r="1874" spans="1:17" x14ac:dyDescent="0.3">
      <c r="A1874" s="25">
        <v>1294</v>
      </c>
      <c r="B1874" t="s">
        <v>71</v>
      </c>
      <c r="C1874" t="s">
        <v>196</v>
      </c>
      <c r="D1874" t="s">
        <v>413</v>
      </c>
      <c r="E1874" s="118">
        <v>4741</v>
      </c>
      <c r="F1874" s="13">
        <v>46019</v>
      </c>
      <c r="G1874" s="27">
        <v>86759.91</v>
      </c>
      <c r="H1874" s="27">
        <v>81424.17</v>
      </c>
      <c r="I1874" s="3">
        <v>46037</v>
      </c>
      <c r="J1874" s="161">
        <v>46048</v>
      </c>
      <c r="K1874" s="12">
        <v>46052</v>
      </c>
      <c r="L1874" s="1" t="s">
        <v>731</v>
      </c>
      <c r="M1874" s="35">
        <v>0</v>
      </c>
      <c r="N1874"/>
      <c r="O1874" t="s">
        <v>199</v>
      </c>
      <c r="P1874" t="s">
        <v>376</v>
      </c>
      <c r="Q1874" t="s">
        <v>203</v>
      </c>
    </row>
    <row r="1875" spans="1:17" x14ac:dyDescent="0.3">
      <c r="A1875" s="25">
        <v>1294</v>
      </c>
      <c r="B1875" t="s">
        <v>71</v>
      </c>
      <c r="C1875" t="s">
        <v>196</v>
      </c>
      <c r="D1875" t="s">
        <v>413</v>
      </c>
      <c r="E1875" s="118">
        <v>4792</v>
      </c>
      <c r="F1875" s="13">
        <v>46051</v>
      </c>
      <c r="G1875" s="27">
        <v>86759.91</v>
      </c>
      <c r="H1875" s="27">
        <v>81424.17</v>
      </c>
      <c r="I1875" s="3">
        <v>46055</v>
      </c>
      <c r="J1875" s="161">
        <v>46069</v>
      </c>
      <c r="K1875" s="12">
        <v>46071</v>
      </c>
      <c r="L1875" s="1" t="s">
        <v>731</v>
      </c>
      <c r="M1875" s="35">
        <v>0</v>
      </c>
      <c r="N1875"/>
      <c r="O1875" t="s">
        <v>199</v>
      </c>
      <c r="P1875" t="s">
        <v>376</v>
      </c>
      <c r="Q1875" t="s">
        <v>203</v>
      </c>
    </row>
    <row r="1876" spans="1:17" x14ac:dyDescent="0.3">
      <c r="A1876" s="25">
        <v>1294</v>
      </c>
      <c r="B1876" t="s">
        <v>71</v>
      </c>
      <c r="C1876" t="s">
        <v>196</v>
      </c>
      <c r="D1876" t="s">
        <v>413</v>
      </c>
      <c r="E1876" s="118">
        <v>4791</v>
      </c>
      <c r="F1876" s="13">
        <v>46019</v>
      </c>
      <c r="G1876" s="27">
        <v>53988.63</v>
      </c>
      <c r="H1876" s="27">
        <v>50668.33</v>
      </c>
      <c r="I1876" s="3">
        <v>46055</v>
      </c>
      <c r="J1876" s="161">
        <v>46069</v>
      </c>
      <c r="K1876" s="12">
        <v>46071</v>
      </c>
      <c r="L1876" s="1" t="s">
        <v>731</v>
      </c>
      <c r="M1876" s="35">
        <v>0</v>
      </c>
      <c r="N1876"/>
      <c r="O1876" t="s">
        <v>199</v>
      </c>
      <c r="P1876" t="s">
        <v>376</v>
      </c>
      <c r="Q1876" t="s">
        <v>203</v>
      </c>
    </row>
    <row r="1877" spans="1:17" x14ac:dyDescent="0.3">
      <c r="A1877" s="25">
        <v>1294</v>
      </c>
      <c r="B1877" t="s">
        <v>71</v>
      </c>
      <c r="C1877" t="s">
        <v>196</v>
      </c>
      <c r="D1877" t="s">
        <v>413</v>
      </c>
      <c r="E1877" s="118">
        <v>4819</v>
      </c>
      <c r="F1877" s="13">
        <v>46051</v>
      </c>
      <c r="G1877" s="27">
        <v>1569.75</v>
      </c>
      <c r="H1877" s="24">
        <v>1473.21</v>
      </c>
      <c r="I1877" s="3">
        <v>46059</v>
      </c>
      <c r="J1877" s="161">
        <v>46076</v>
      </c>
      <c r="K1877" s="12">
        <v>46076</v>
      </c>
      <c r="L1877" s="1" t="s">
        <v>731</v>
      </c>
      <c r="M1877" s="35">
        <v>0</v>
      </c>
      <c r="N1877"/>
      <c r="O1877" t="s">
        <v>199</v>
      </c>
      <c r="P1877" t="s">
        <v>376</v>
      </c>
      <c r="Q1877" t="s">
        <v>203</v>
      </c>
    </row>
    <row r="1878" spans="1:17" x14ac:dyDescent="0.3">
      <c r="A1878" s="25">
        <v>1294</v>
      </c>
      <c r="B1878" t="s">
        <v>71</v>
      </c>
      <c r="C1878" t="s">
        <v>196</v>
      </c>
      <c r="D1878" t="s">
        <v>413</v>
      </c>
      <c r="E1878" s="118">
        <v>4826</v>
      </c>
      <c r="F1878" s="13">
        <v>46051</v>
      </c>
      <c r="G1878" s="27">
        <v>23517</v>
      </c>
      <c r="H1878" s="27">
        <v>22070.7</v>
      </c>
      <c r="I1878" s="3">
        <v>46062</v>
      </c>
      <c r="J1878" s="161">
        <v>46076</v>
      </c>
      <c r="K1878" s="12">
        <v>46077</v>
      </c>
      <c r="L1878" s="1" t="s">
        <v>731</v>
      </c>
      <c r="M1878" s="35">
        <v>0</v>
      </c>
      <c r="N1878"/>
      <c r="O1878" t="s">
        <v>199</v>
      </c>
      <c r="P1878" t="s">
        <v>376</v>
      </c>
      <c r="Q1878" t="s">
        <v>203</v>
      </c>
    </row>
    <row r="1879" spans="1:17" x14ac:dyDescent="0.3">
      <c r="A1879" s="25">
        <v>1294</v>
      </c>
      <c r="B1879" t="s">
        <v>71</v>
      </c>
      <c r="C1879" t="s">
        <v>196</v>
      </c>
      <c r="D1879" t="s">
        <v>413</v>
      </c>
      <c r="E1879" s="118">
        <v>4827</v>
      </c>
      <c r="F1879" s="13">
        <v>46051</v>
      </c>
      <c r="G1879" s="27">
        <v>131695.20000000001</v>
      </c>
      <c r="H1879" s="27">
        <v>123595.94</v>
      </c>
      <c r="I1879" s="3">
        <v>46062</v>
      </c>
      <c r="J1879" s="161">
        <v>46076</v>
      </c>
      <c r="K1879" s="12">
        <v>46077</v>
      </c>
      <c r="L1879" s="1" t="s">
        <v>731</v>
      </c>
      <c r="M1879" s="35">
        <v>0</v>
      </c>
      <c r="N1879"/>
      <c r="O1879" t="s">
        <v>199</v>
      </c>
      <c r="P1879" t="s">
        <v>376</v>
      </c>
      <c r="Q1879" t="s">
        <v>203</v>
      </c>
    </row>
    <row r="1880" spans="1:17" x14ac:dyDescent="0.3">
      <c r="A1880" s="25">
        <v>1294</v>
      </c>
      <c r="B1880" t="s">
        <v>71</v>
      </c>
      <c r="C1880" t="s">
        <v>196</v>
      </c>
      <c r="D1880" t="s">
        <v>413</v>
      </c>
      <c r="E1880" s="118">
        <v>4829</v>
      </c>
      <c r="F1880" s="13">
        <v>46051</v>
      </c>
      <c r="G1880" s="24">
        <v>110965.1</v>
      </c>
      <c r="H1880" s="24">
        <v>104140.74</v>
      </c>
      <c r="I1880" s="3">
        <v>46063</v>
      </c>
      <c r="J1880" s="161">
        <v>46076</v>
      </c>
      <c r="K1880" s="12">
        <v>46078</v>
      </c>
      <c r="L1880" s="1" t="s">
        <v>731</v>
      </c>
      <c r="M1880" s="35">
        <v>0</v>
      </c>
      <c r="N1880"/>
      <c r="O1880" t="s">
        <v>199</v>
      </c>
      <c r="P1880" t="s">
        <v>376</v>
      </c>
      <c r="Q1880" t="s">
        <v>203</v>
      </c>
    </row>
    <row r="1881" spans="1:17" x14ac:dyDescent="0.3">
      <c r="A1881" s="25">
        <v>1294</v>
      </c>
      <c r="B1881" t="s">
        <v>71</v>
      </c>
      <c r="C1881" t="s">
        <v>196</v>
      </c>
      <c r="D1881" t="s">
        <v>413</v>
      </c>
      <c r="E1881" s="118">
        <v>4844</v>
      </c>
      <c r="F1881" s="13">
        <v>46051</v>
      </c>
      <c r="G1881" s="27">
        <v>247341.23</v>
      </c>
      <c r="H1881" s="27">
        <v>232129.74</v>
      </c>
      <c r="I1881" s="3">
        <v>46065</v>
      </c>
      <c r="J1881" s="161">
        <v>46076</v>
      </c>
      <c r="K1881" s="12">
        <v>46080</v>
      </c>
      <c r="L1881" s="1" t="s">
        <v>731</v>
      </c>
      <c r="M1881" s="35">
        <v>0</v>
      </c>
      <c r="N1881"/>
      <c r="O1881" t="s">
        <v>199</v>
      </c>
      <c r="P1881" t="s">
        <v>376</v>
      </c>
      <c r="Q1881" t="s">
        <v>203</v>
      </c>
    </row>
    <row r="1882" spans="1:17" x14ac:dyDescent="0.3">
      <c r="A1882" s="25">
        <v>1294</v>
      </c>
      <c r="B1882" t="s">
        <v>71</v>
      </c>
      <c r="C1882" t="s">
        <v>196</v>
      </c>
      <c r="D1882" t="s">
        <v>413</v>
      </c>
      <c r="E1882" s="118">
        <v>4845</v>
      </c>
      <c r="F1882" s="13">
        <v>46051</v>
      </c>
      <c r="G1882" s="131">
        <v>180997.18</v>
      </c>
      <c r="H1882" s="24">
        <v>169865.85</v>
      </c>
      <c r="I1882" s="3">
        <v>46065</v>
      </c>
      <c r="J1882" s="161">
        <v>46076</v>
      </c>
      <c r="K1882" s="12">
        <v>46080</v>
      </c>
      <c r="L1882" s="1" t="s">
        <v>731</v>
      </c>
      <c r="M1882" s="35">
        <v>0</v>
      </c>
      <c r="N1882"/>
      <c r="O1882" t="s">
        <v>199</v>
      </c>
      <c r="P1882" t="s">
        <v>376</v>
      </c>
      <c r="Q1882" t="s">
        <v>203</v>
      </c>
    </row>
    <row r="1883" spans="1:17" x14ac:dyDescent="0.3">
      <c r="A1883" s="25">
        <v>1294</v>
      </c>
      <c r="B1883" t="s">
        <v>71</v>
      </c>
      <c r="C1883" t="s">
        <v>196</v>
      </c>
      <c r="D1883" t="s">
        <v>413</v>
      </c>
      <c r="E1883" s="118">
        <v>4849</v>
      </c>
      <c r="F1883" s="13">
        <v>46051</v>
      </c>
      <c r="G1883" s="24">
        <v>53988.63</v>
      </c>
      <c r="H1883" s="24">
        <v>50668.33</v>
      </c>
      <c r="I1883" s="3">
        <v>46066</v>
      </c>
      <c r="J1883" s="161">
        <v>46083</v>
      </c>
      <c r="K1883" s="12">
        <v>46083</v>
      </c>
      <c r="L1883" s="1" t="s">
        <v>731</v>
      </c>
      <c r="M1883" s="35">
        <v>0</v>
      </c>
      <c r="N1883"/>
      <c r="O1883" t="s">
        <v>199</v>
      </c>
      <c r="P1883" t="s">
        <v>376</v>
      </c>
      <c r="Q1883" t="s">
        <v>203</v>
      </c>
    </row>
    <row r="1884" spans="1:17" x14ac:dyDescent="0.3">
      <c r="A1884" s="25">
        <v>1294</v>
      </c>
      <c r="B1884" t="s">
        <v>71</v>
      </c>
      <c r="C1884" t="s">
        <v>196</v>
      </c>
      <c r="D1884" t="s">
        <v>413</v>
      </c>
      <c r="E1884" s="118">
        <v>4865</v>
      </c>
      <c r="F1884" s="13">
        <v>46051</v>
      </c>
      <c r="G1884" s="24">
        <v>19968.05</v>
      </c>
      <c r="H1884" s="27">
        <v>18740.02</v>
      </c>
      <c r="I1884" s="3">
        <v>46072</v>
      </c>
      <c r="J1884" s="161">
        <v>46083</v>
      </c>
      <c r="K1884" s="12">
        <v>46087</v>
      </c>
      <c r="L1884" s="1" t="s">
        <v>731</v>
      </c>
      <c r="M1884" s="35">
        <v>0</v>
      </c>
      <c r="N1884"/>
      <c r="O1884" t="s">
        <v>199</v>
      </c>
      <c r="P1884" t="s">
        <v>376</v>
      </c>
      <c r="Q1884" t="s">
        <v>203</v>
      </c>
    </row>
    <row r="1885" spans="1:17" x14ac:dyDescent="0.3">
      <c r="A1885" s="25">
        <v>1294</v>
      </c>
      <c r="B1885" t="s">
        <v>71</v>
      </c>
      <c r="C1885" t="s">
        <v>196</v>
      </c>
      <c r="D1885" t="s">
        <v>413</v>
      </c>
      <c r="E1885" s="118">
        <v>4866</v>
      </c>
      <c r="F1885" s="13">
        <v>46051</v>
      </c>
      <c r="G1885" s="24">
        <v>19968.05</v>
      </c>
      <c r="H1885" s="27">
        <v>18740.02</v>
      </c>
      <c r="I1885" s="3">
        <v>46072</v>
      </c>
      <c r="J1885" s="161">
        <v>46083</v>
      </c>
      <c r="K1885" s="12">
        <v>46087</v>
      </c>
      <c r="L1885" s="1" t="s">
        <v>731</v>
      </c>
      <c r="M1885" s="35">
        <v>0</v>
      </c>
      <c r="N1885"/>
      <c r="O1885" t="s">
        <v>199</v>
      </c>
      <c r="P1885" t="s">
        <v>376</v>
      </c>
      <c r="Q1885" t="s">
        <v>203</v>
      </c>
    </row>
    <row r="1886" spans="1:17" x14ac:dyDescent="0.3">
      <c r="A1886" s="25">
        <v>1294</v>
      </c>
      <c r="B1886" t="s">
        <v>71</v>
      </c>
      <c r="C1886" t="s">
        <v>196</v>
      </c>
      <c r="D1886" t="s">
        <v>413</v>
      </c>
      <c r="E1886" s="118">
        <v>4867</v>
      </c>
      <c r="F1886" s="13">
        <v>46051</v>
      </c>
      <c r="G1886" s="24">
        <v>19968.05</v>
      </c>
      <c r="H1886" s="27">
        <v>18740.02</v>
      </c>
      <c r="I1886" s="3">
        <v>46072</v>
      </c>
      <c r="J1886" s="161">
        <v>46083</v>
      </c>
      <c r="K1886" s="12">
        <v>46087</v>
      </c>
      <c r="L1886" s="1" t="s">
        <v>731</v>
      </c>
      <c r="M1886" s="35">
        <v>0</v>
      </c>
      <c r="N1886"/>
      <c r="O1886" t="s">
        <v>199</v>
      </c>
      <c r="P1886" t="s">
        <v>376</v>
      </c>
      <c r="Q1886" t="s">
        <v>203</v>
      </c>
    </row>
    <row r="1887" spans="1:17" x14ac:dyDescent="0.3">
      <c r="A1887" s="25">
        <v>1294</v>
      </c>
      <c r="B1887" t="s">
        <v>71</v>
      </c>
      <c r="C1887" t="s">
        <v>196</v>
      </c>
      <c r="D1887" t="s">
        <v>413</v>
      </c>
      <c r="E1887" s="118">
        <v>4903</v>
      </c>
      <c r="F1887" s="13">
        <v>46081</v>
      </c>
      <c r="G1887" s="27">
        <v>86871.51</v>
      </c>
      <c r="H1887" s="24">
        <v>81528.91</v>
      </c>
      <c r="I1887" s="3">
        <v>46083</v>
      </c>
      <c r="J1887" s="161">
        <v>46097</v>
      </c>
      <c r="K1887" s="12">
        <v>46098</v>
      </c>
      <c r="L1887" s="1" t="s">
        <v>731</v>
      </c>
      <c r="M1887" s="35">
        <v>0</v>
      </c>
      <c r="N1887"/>
      <c r="O1887" t="s">
        <v>199</v>
      </c>
      <c r="P1887" t="s">
        <v>376</v>
      </c>
      <c r="Q1887" t="s">
        <v>203</v>
      </c>
    </row>
    <row r="1888" spans="1:17" x14ac:dyDescent="0.3">
      <c r="A1888" s="25">
        <v>1294</v>
      </c>
      <c r="B1888" t="s">
        <v>71</v>
      </c>
      <c r="C1888" t="s">
        <v>196</v>
      </c>
      <c r="D1888" t="s">
        <v>413</v>
      </c>
      <c r="E1888" s="118">
        <v>4925</v>
      </c>
      <c r="F1888" s="127">
        <v>46019</v>
      </c>
      <c r="G1888" s="27">
        <v>247660.38</v>
      </c>
      <c r="H1888" s="24">
        <v>232429.26</v>
      </c>
      <c r="I1888" s="3">
        <v>46091</v>
      </c>
      <c r="J1888" s="161">
        <v>46104</v>
      </c>
      <c r="K1888" s="12">
        <v>46106</v>
      </c>
      <c r="L1888" s="1" t="s">
        <v>731</v>
      </c>
      <c r="M1888" s="35">
        <v>0</v>
      </c>
      <c r="N1888"/>
      <c r="O1888" t="s">
        <v>199</v>
      </c>
      <c r="P1888" t="s">
        <v>376</v>
      </c>
      <c r="Q1888" t="s">
        <v>203</v>
      </c>
    </row>
    <row r="1889" spans="1:17" x14ac:dyDescent="0.3">
      <c r="A1889" s="25">
        <v>1294</v>
      </c>
      <c r="B1889" t="s">
        <v>71</v>
      </c>
      <c r="C1889" t="s">
        <v>196</v>
      </c>
      <c r="D1889" t="s">
        <v>413</v>
      </c>
      <c r="E1889" s="118">
        <v>4926</v>
      </c>
      <c r="F1889" s="13">
        <v>46081</v>
      </c>
      <c r="G1889" s="27">
        <v>124017</v>
      </c>
      <c r="H1889" s="27">
        <v>116389.95</v>
      </c>
      <c r="I1889" s="3">
        <v>46092</v>
      </c>
      <c r="J1889" s="161">
        <v>46104</v>
      </c>
      <c r="K1889" s="12">
        <v>46107</v>
      </c>
      <c r="L1889" s="1" t="s">
        <v>731</v>
      </c>
      <c r="M1889" s="35">
        <v>0</v>
      </c>
      <c r="N1889"/>
      <c r="O1889" t="s">
        <v>199</v>
      </c>
      <c r="P1889" t="s">
        <v>376</v>
      </c>
      <c r="Q1889" t="s">
        <v>203</v>
      </c>
    </row>
    <row r="1890" spans="1:17" x14ac:dyDescent="0.3">
      <c r="A1890" s="25">
        <v>1294</v>
      </c>
      <c r="B1890" t="s">
        <v>71</v>
      </c>
      <c r="C1890" t="s">
        <v>196</v>
      </c>
      <c r="D1890" t="s">
        <v>413</v>
      </c>
      <c r="E1890" s="118">
        <v>4927</v>
      </c>
      <c r="F1890" s="13">
        <v>46081</v>
      </c>
      <c r="G1890" s="27">
        <v>27828.45</v>
      </c>
      <c r="H1890" s="27">
        <v>26117</v>
      </c>
      <c r="I1890" s="3">
        <v>46092</v>
      </c>
      <c r="J1890" s="161">
        <v>46104</v>
      </c>
      <c r="K1890" s="12">
        <v>46107</v>
      </c>
      <c r="L1890" s="1" t="s">
        <v>731</v>
      </c>
      <c r="M1890" s="35">
        <v>0</v>
      </c>
      <c r="N1890"/>
      <c r="O1890" t="s">
        <v>199</v>
      </c>
      <c r="P1890" t="s">
        <v>376</v>
      </c>
      <c r="Q1890" t="s">
        <v>203</v>
      </c>
    </row>
    <row r="1891" spans="1:17" x14ac:dyDescent="0.3">
      <c r="A1891" s="25">
        <v>1294</v>
      </c>
      <c r="B1891" t="s">
        <v>71</v>
      </c>
      <c r="C1891" t="s">
        <v>196</v>
      </c>
      <c r="D1891" t="s">
        <v>413</v>
      </c>
      <c r="E1891" s="118">
        <v>4928</v>
      </c>
      <c r="F1891" s="13">
        <v>46081</v>
      </c>
      <c r="G1891" s="27">
        <v>111313.8</v>
      </c>
      <c r="H1891" s="27">
        <v>104468</v>
      </c>
      <c r="I1891" s="3">
        <v>46092</v>
      </c>
      <c r="J1891" s="161">
        <v>46104</v>
      </c>
      <c r="K1891" s="12">
        <v>46107</v>
      </c>
      <c r="L1891" s="1" t="s">
        <v>731</v>
      </c>
      <c r="M1891" s="35">
        <v>0</v>
      </c>
      <c r="N1891"/>
      <c r="O1891" t="s">
        <v>199</v>
      </c>
      <c r="P1891" t="s">
        <v>376</v>
      </c>
      <c r="Q1891" t="s">
        <v>203</v>
      </c>
    </row>
    <row r="1892" spans="1:17" x14ac:dyDescent="0.3">
      <c r="A1892" s="25">
        <v>1294</v>
      </c>
      <c r="B1892" t="s">
        <v>71</v>
      </c>
      <c r="C1892" t="s">
        <v>196</v>
      </c>
      <c r="D1892" t="s">
        <v>413</v>
      </c>
      <c r="E1892" s="118">
        <v>4935</v>
      </c>
      <c r="F1892" s="13">
        <v>46081</v>
      </c>
      <c r="G1892" s="24">
        <v>167314.19</v>
      </c>
      <c r="H1892" s="27">
        <v>157024.37</v>
      </c>
      <c r="I1892" s="3">
        <v>46093</v>
      </c>
      <c r="J1892" s="161">
        <v>46104</v>
      </c>
      <c r="K1892" s="12">
        <v>46108</v>
      </c>
      <c r="L1892" s="1" t="s">
        <v>731</v>
      </c>
      <c r="M1892" s="35">
        <v>0</v>
      </c>
      <c r="N1892"/>
      <c r="O1892" t="s">
        <v>199</v>
      </c>
      <c r="P1892" t="s">
        <v>376</v>
      </c>
      <c r="Q1892" t="s">
        <v>203</v>
      </c>
    </row>
    <row r="1893" spans="1:17" x14ac:dyDescent="0.3">
      <c r="A1893" s="25">
        <v>1294</v>
      </c>
      <c r="B1893" t="s">
        <v>71</v>
      </c>
      <c r="C1893" t="s">
        <v>196</v>
      </c>
      <c r="D1893" t="s">
        <v>413</v>
      </c>
      <c r="E1893" s="118">
        <v>4936</v>
      </c>
      <c r="F1893" s="13">
        <v>46081</v>
      </c>
      <c r="G1893" s="24">
        <v>3471.69</v>
      </c>
      <c r="H1893" s="27">
        <v>3258.18</v>
      </c>
      <c r="I1893" s="3">
        <v>46093</v>
      </c>
      <c r="J1893" s="161">
        <v>46104</v>
      </c>
      <c r="K1893" s="12">
        <v>46108</v>
      </c>
      <c r="L1893" s="1" t="s">
        <v>731</v>
      </c>
      <c r="M1893" s="35">
        <v>0</v>
      </c>
      <c r="N1893"/>
      <c r="O1893" t="s">
        <v>199</v>
      </c>
      <c r="P1893" t="s">
        <v>376</v>
      </c>
      <c r="Q1893" t="s">
        <v>203</v>
      </c>
    </row>
    <row r="1894" spans="1:17" x14ac:dyDescent="0.3">
      <c r="A1894" s="25">
        <v>1294</v>
      </c>
      <c r="B1894" t="s">
        <v>71</v>
      </c>
      <c r="C1894" t="s">
        <v>196</v>
      </c>
      <c r="D1894" t="s">
        <v>413</v>
      </c>
      <c r="E1894" s="118">
        <v>4966</v>
      </c>
      <c r="F1894" s="13">
        <v>46081</v>
      </c>
      <c r="G1894" s="24">
        <v>131270.63</v>
      </c>
      <c r="H1894" s="27">
        <v>123197.49</v>
      </c>
      <c r="I1894" s="3">
        <v>46097</v>
      </c>
      <c r="J1894" s="161">
        <v>46111</v>
      </c>
      <c r="K1894" s="12">
        <v>46112</v>
      </c>
      <c r="L1894" s="1" t="s">
        <v>731</v>
      </c>
      <c r="M1894" s="35">
        <v>0</v>
      </c>
      <c r="N1894"/>
      <c r="O1894" t="s">
        <v>199</v>
      </c>
      <c r="P1894" t="s">
        <v>376</v>
      </c>
      <c r="Q1894" t="s">
        <v>203</v>
      </c>
    </row>
    <row r="1895" spans="1:17" x14ac:dyDescent="0.3">
      <c r="A1895" s="25">
        <v>1294</v>
      </c>
      <c r="B1895" t="s">
        <v>71</v>
      </c>
      <c r="C1895" t="s">
        <v>196</v>
      </c>
      <c r="D1895" t="s">
        <v>413</v>
      </c>
      <c r="E1895" s="118">
        <v>4957</v>
      </c>
      <c r="F1895" s="127">
        <v>46019</v>
      </c>
      <c r="G1895" s="27">
        <v>185528.51</v>
      </c>
      <c r="H1895" s="27">
        <v>174118.5</v>
      </c>
      <c r="I1895" s="3">
        <v>46094</v>
      </c>
      <c r="J1895" s="161">
        <v>46111</v>
      </c>
      <c r="K1895" s="12">
        <v>46111</v>
      </c>
      <c r="L1895" s="1" t="s">
        <v>731</v>
      </c>
      <c r="M1895" s="35">
        <v>0</v>
      </c>
      <c r="N1895"/>
      <c r="O1895" t="s">
        <v>199</v>
      </c>
      <c r="P1895" t="s">
        <v>376</v>
      </c>
      <c r="Q1895" t="s">
        <v>203</v>
      </c>
    </row>
    <row r="1896" spans="1:17" x14ac:dyDescent="0.3">
      <c r="A1896" s="25">
        <v>1294</v>
      </c>
      <c r="B1896" t="s">
        <v>71</v>
      </c>
      <c r="C1896" t="s">
        <v>196</v>
      </c>
      <c r="D1896" t="s">
        <v>413</v>
      </c>
      <c r="E1896" s="118">
        <v>4942</v>
      </c>
      <c r="F1896" s="127">
        <v>46019</v>
      </c>
      <c r="G1896" s="24">
        <v>166765.92000000001</v>
      </c>
      <c r="H1896" s="27">
        <v>156509.81</v>
      </c>
      <c r="I1896" s="3">
        <v>46093</v>
      </c>
      <c r="J1896" s="161">
        <v>46104</v>
      </c>
      <c r="K1896" s="12">
        <v>46108</v>
      </c>
      <c r="L1896" s="1" t="s">
        <v>731</v>
      </c>
      <c r="M1896" s="35">
        <v>0</v>
      </c>
      <c r="N1896"/>
      <c r="O1896" t="s">
        <v>199</v>
      </c>
      <c r="P1896" t="s">
        <v>376</v>
      </c>
      <c r="Q1896" t="s">
        <v>203</v>
      </c>
    </row>
    <row r="1897" spans="1:17" x14ac:dyDescent="0.3">
      <c r="A1897" s="25">
        <v>1294</v>
      </c>
      <c r="B1897" t="s">
        <v>71</v>
      </c>
      <c r="C1897" t="s">
        <v>196</v>
      </c>
      <c r="D1897" t="s">
        <v>413</v>
      </c>
      <c r="E1897" s="118">
        <v>5054</v>
      </c>
      <c r="F1897" s="127">
        <v>46019</v>
      </c>
      <c r="G1897" s="27">
        <v>131270.63</v>
      </c>
      <c r="H1897" s="27">
        <v>123197.49</v>
      </c>
      <c r="I1897" s="3">
        <v>46120</v>
      </c>
      <c r="J1897" s="161">
        <v>46139</v>
      </c>
      <c r="K1897" s="12">
        <v>46141</v>
      </c>
      <c r="L1897" s="1" t="s">
        <v>731</v>
      </c>
      <c r="M1897" s="35">
        <v>0</v>
      </c>
      <c r="N1897"/>
      <c r="O1897" t="s">
        <v>199</v>
      </c>
      <c r="P1897" t="s">
        <v>376</v>
      </c>
      <c r="Q1897" t="s">
        <v>203</v>
      </c>
    </row>
    <row r="1898" spans="1:17" x14ac:dyDescent="0.3">
      <c r="A1898" s="25">
        <v>1294</v>
      </c>
      <c r="B1898" t="s">
        <v>71</v>
      </c>
      <c r="C1898" t="s">
        <v>196</v>
      </c>
      <c r="D1898" t="s">
        <v>413</v>
      </c>
      <c r="E1898" s="118">
        <v>5061</v>
      </c>
      <c r="F1898" s="127">
        <v>46019</v>
      </c>
      <c r="G1898" s="27">
        <v>166765.92000000001</v>
      </c>
      <c r="H1898" s="27">
        <v>156509.81</v>
      </c>
      <c r="I1898" s="3">
        <v>46122</v>
      </c>
      <c r="J1898" s="161">
        <v>46139</v>
      </c>
      <c r="K1898" s="12">
        <v>46141</v>
      </c>
      <c r="L1898" s="1" t="s">
        <v>731</v>
      </c>
      <c r="M1898" s="35">
        <v>0</v>
      </c>
      <c r="N1898"/>
      <c r="O1898" t="s">
        <v>199</v>
      </c>
      <c r="P1898" t="s">
        <v>376</v>
      </c>
      <c r="Q1898" t="s">
        <v>203</v>
      </c>
    </row>
    <row r="1899" spans="1:17" x14ac:dyDescent="0.3">
      <c r="A1899" s="25">
        <v>1294</v>
      </c>
      <c r="B1899" t="s">
        <v>71</v>
      </c>
      <c r="C1899" t="s">
        <v>196</v>
      </c>
      <c r="D1899" t="s">
        <v>413</v>
      </c>
      <c r="E1899" s="118">
        <v>5067</v>
      </c>
      <c r="F1899" s="13">
        <v>46109</v>
      </c>
      <c r="G1899" s="27">
        <v>135522.23999999999</v>
      </c>
      <c r="H1899" s="24">
        <v>127187.63</v>
      </c>
      <c r="I1899" s="3">
        <v>46122</v>
      </c>
      <c r="J1899" s="161">
        <v>46139</v>
      </c>
      <c r="K1899" s="12">
        <v>46139</v>
      </c>
      <c r="L1899" s="1" t="s">
        <v>731</v>
      </c>
      <c r="M1899" s="35">
        <v>0</v>
      </c>
      <c r="N1899"/>
      <c r="O1899" t="s">
        <v>199</v>
      </c>
      <c r="P1899" t="s">
        <v>376</v>
      </c>
      <c r="Q1899" t="s">
        <v>203</v>
      </c>
    </row>
    <row r="1900" spans="1:17" x14ac:dyDescent="0.3">
      <c r="A1900" s="25">
        <v>1294</v>
      </c>
      <c r="B1900" t="s">
        <v>71</v>
      </c>
      <c r="C1900" t="s">
        <v>196</v>
      </c>
      <c r="D1900" t="s">
        <v>413</v>
      </c>
      <c r="E1900" s="118">
        <v>5068</v>
      </c>
      <c r="F1900" s="127">
        <v>46019</v>
      </c>
      <c r="G1900" s="27">
        <v>53988.63</v>
      </c>
      <c r="H1900" s="24">
        <v>50668.33</v>
      </c>
      <c r="I1900" s="3">
        <v>46122</v>
      </c>
      <c r="J1900" s="161">
        <v>46139</v>
      </c>
      <c r="K1900" s="12">
        <v>46141</v>
      </c>
      <c r="L1900" s="1" t="s">
        <v>731</v>
      </c>
      <c r="M1900" s="35">
        <v>0</v>
      </c>
      <c r="N1900"/>
      <c r="O1900" t="s">
        <v>199</v>
      </c>
      <c r="P1900" t="s">
        <v>376</v>
      </c>
      <c r="Q1900" t="s">
        <v>203</v>
      </c>
    </row>
    <row r="1901" spans="1:17" x14ac:dyDescent="0.3">
      <c r="A1901" s="25">
        <v>1294</v>
      </c>
      <c r="B1901" t="s">
        <v>71</v>
      </c>
      <c r="C1901" t="s">
        <v>196</v>
      </c>
      <c r="D1901" t="s">
        <v>413</v>
      </c>
      <c r="E1901" s="118">
        <v>5085</v>
      </c>
      <c r="F1901" s="13">
        <v>46109</v>
      </c>
      <c r="G1901" s="27">
        <v>1959.75</v>
      </c>
      <c r="H1901" s="24">
        <v>1839.22</v>
      </c>
      <c r="I1901" s="3">
        <v>46128</v>
      </c>
      <c r="J1901" s="161">
        <v>46139</v>
      </c>
      <c r="K1901" s="12">
        <v>46142</v>
      </c>
      <c r="L1901" s="1" t="s">
        <v>731</v>
      </c>
      <c r="M1901" s="35">
        <v>0</v>
      </c>
      <c r="N1901"/>
      <c r="O1901" t="s">
        <v>199</v>
      </c>
      <c r="P1901" t="s">
        <v>376</v>
      </c>
      <c r="Q1901" t="s">
        <v>203</v>
      </c>
    </row>
    <row r="1902" spans="1:17" x14ac:dyDescent="0.3">
      <c r="A1902" s="25">
        <v>1294</v>
      </c>
      <c r="B1902" t="s">
        <v>71</v>
      </c>
      <c r="C1902" t="s">
        <v>196</v>
      </c>
      <c r="D1902" t="s">
        <v>413</v>
      </c>
      <c r="E1902" s="118">
        <v>5140</v>
      </c>
      <c r="F1902" s="13">
        <v>46140</v>
      </c>
      <c r="G1902" s="24">
        <v>126067.2</v>
      </c>
      <c r="H1902" s="27">
        <v>118314.07</v>
      </c>
      <c r="I1902" s="3">
        <v>46155</v>
      </c>
      <c r="J1902" s="102">
        <v>46167</v>
      </c>
      <c r="K1902" s="12">
        <v>46170</v>
      </c>
      <c r="L1902" s="1" t="s">
        <v>731</v>
      </c>
      <c r="M1902" s="35">
        <v>0</v>
      </c>
      <c r="N1902"/>
      <c r="O1902" t="s">
        <v>199</v>
      </c>
      <c r="P1902" t="s">
        <v>376</v>
      </c>
      <c r="Q1902" t="s">
        <v>203</v>
      </c>
    </row>
    <row r="1903" spans="1:17" x14ac:dyDescent="0.3">
      <c r="A1903" s="25">
        <v>1294</v>
      </c>
      <c r="B1903" t="s">
        <v>71</v>
      </c>
      <c r="C1903" t="s">
        <v>196</v>
      </c>
      <c r="D1903" t="s">
        <v>413</v>
      </c>
      <c r="E1903" s="118">
        <v>5158</v>
      </c>
      <c r="F1903" s="13">
        <v>46140</v>
      </c>
      <c r="G1903" s="44">
        <v>131270.63</v>
      </c>
      <c r="H1903" s="24">
        <v>123197.48</v>
      </c>
      <c r="I1903" s="3">
        <v>46157</v>
      </c>
      <c r="J1903" s="161">
        <v>46181</v>
      </c>
      <c r="K1903" s="12"/>
      <c r="L1903" s="1" t="s">
        <v>730</v>
      </c>
      <c r="M1903" s="35">
        <v>0</v>
      </c>
      <c r="N1903"/>
      <c r="O1903" t="s">
        <v>199</v>
      </c>
      <c r="P1903" t="s">
        <v>376</v>
      </c>
      <c r="Q1903" t="s">
        <v>203</v>
      </c>
    </row>
    <row r="1904" spans="1:17" x14ac:dyDescent="0.3">
      <c r="A1904" s="25">
        <v>1294</v>
      </c>
      <c r="B1904" t="s">
        <v>71</v>
      </c>
      <c r="C1904" t="s">
        <v>196</v>
      </c>
      <c r="D1904" t="s">
        <v>413</v>
      </c>
      <c r="E1904" s="118">
        <v>5254</v>
      </c>
      <c r="F1904" s="13">
        <v>46170</v>
      </c>
      <c r="G1904" s="24">
        <v>166966.10999999999</v>
      </c>
      <c r="H1904" s="24">
        <v>177907.45</v>
      </c>
      <c r="I1904" s="3">
        <v>46183</v>
      </c>
      <c r="J1904" s="102">
        <v>46181</v>
      </c>
      <c r="K1904" s="12"/>
      <c r="L1904" s="1" t="s">
        <v>730</v>
      </c>
      <c r="M1904" s="35">
        <v>0</v>
      </c>
      <c r="N1904"/>
      <c r="O1904" t="s">
        <v>199</v>
      </c>
      <c r="P1904" t="s">
        <v>376</v>
      </c>
      <c r="Q1904" t="s">
        <v>203</v>
      </c>
    </row>
    <row r="1905" spans="1:17" x14ac:dyDescent="0.3">
      <c r="A1905" s="25">
        <v>1294</v>
      </c>
      <c r="B1905" t="s">
        <v>71</v>
      </c>
      <c r="C1905" t="s">
        <v>196</v>
      </c>
      <c r="D1905" t="s">
        <v>413</v>
      </c>
      <c r="E1905" s="118"/>
      <c r="F1905" s="13">
        <v>46170</v>
      </c>
      <c r="G1905" s="24">
        <v>251763.26</v>
      </c>
      <c r="H1905" s="24"/>
      <c r="I1905" s="3">
        <v>46174</v>
      </c>
      <c r="J1905" s="102">
        <v>46202</v>
      </c>
      <c r="K1905" s="12"/>
      <c r="L1905" s="1" t="s">
        <v>719</v>
      </c>
      <c r="M1905" s="35">
        <v>0</v>
      </c>
      <c r="N1905"/>
      <c r="O1905" t="s">
        <v>199</v>
      </c>
      <c r="P1905" t="s">
        <v>376</v>
      </c>
      <c r="Q1905" t="s">
        <v>203</v>
      </c>
    </row>
    <row r="1906" spans="1:17" x14ac:dyDescent="0.3">
      <c r="A1906" s="25">
        <v>1285</v>
      </c>
      <c r="B1906" t="s">
        <v>71</v>
      </c>
      <c r="C1906" t="s">
        <v>196</v>
      </c>
      <c r="D1906" t="s">
        <v>404</v>
      </c>
      <c r="E1906" s="118">
        <v>4574</v>
      </c>
      <c r="F1906" s="13">
        <v>45989</v>
      </c>
      <c r="G1906" s="24">
        <v>25534.32</v>
      </c>
      <c r="H1906" s="24">
        <v>23963.96</v>
      </c>
      <c r="I1906" s="3">
        <v>45988</v>
      </c>
      <c r="J1906" s="102">
        <v>46020</v>
      </c>
      <c r="K1906" s="12">
        <v>46020</v>
      </c>
      <c r="L1906" s="1" t="s">
        <v>731</v>
      </c>
      <c r="M1906" s="35">
        <v>0</v>
      </c>
      <c r="N1906" s="26"/>
      <c r="O1906" t="s">
        <v>199</v>
      </c>
      <c r="P1906" t="s">
        <v>376</v>
      </c>
      <c r="Q1906" t="s">
        <v>203</v>
      </c>
    </row>
    <row r="1907" spans="1:17" x14ac:dyDescent="0.3">
      <c r="A1907" s="25">
        <v>1285</v>
      </c>
      <c r="B1907" t="s">
        <v>71</v>
      </c>
      <c r="C1907" t="s">
        <v>196</v>
      </c>
      <c r="D1907" t="s">
        <v>404</v>
      </c>
      <c r="E1907" s="118">
        <v>4733</v>
      </c>
      <c r="F1907" s="13">
        <v>46019</v>
      </c>
      <c r="G1907" s="27">
        <v>15806.96</v>
      </c>
      <c r="H1907" s="24">
        <v>14834.84</v>
      </c>
      <c r="I1907" s="3">
        <v>46035</v>
      </c>
      <c r="J1907" s="102">
        <v>46062</v>
      </c>
      <c r="K1907" s="12">
        <v>46065</v>
      </c>
      <c r="L1907" s="1" t="s">
        <v>731</v>
      </c>
      <c r="M1907" s="35">
        <v>0</v>
      </c>
      <c r="N1907" s="26"/>
      <c r="O1907" t="s">
        <v>199</v>
      </c>
      <c r="P1907" t="s">
        <v>376</v>
      </c>
      <c r="Q1907" t="s">
        <v>203</v>
      </c>
    </row>
    <row r="1908" spans="1:17" x14ac:dyDescent="0.3">
      <c r="A1908" s="25">
        <v>1292</v>
      </c>
      <c r="B1908" t="s">
        <v>71</v>
      </c>
      <c r="C1908" t="s">
        <v>200</v>
      </c>
      <c r="D1908" t="s">
        <v>411</v>
      </c>
      <c r="E1908" s="118">
        <v>4589</v>
      </c>
      <c r="F1908" s="13">
        <v>45989</v>
      </c>
      <c r="G1908" s="24">
        <v>31008</v>
      </c>
      <c r="H1908" s="24">
        <v>29101.01</v>
      </c>
      <c r="I1908" s="3">
        <v>45992</v>
      </c>
      <c r="J1908" s="102">
        <v>46006</v>
      </c>
      <c r="K1908" s="12">
        <v>46007</v>
      </c>
      <c r="L1908" s="1" t="s">
        <v>731</v>
      </c>
      <c r="M1908" s="35">
        <v>0</v>
      </c>
      <c r="N1908"/>
      <c r="O1908" t="s">
        <v>199</v>
      </c>
      <c r="P1908" t="s">
        <v>376</v>
      </c>
      <c r="Q1908" t="s">
        <v>203</v>
      </c>
    </row>
    <row r="1909" spans="1:17" x14ac:dyDescent="0.3">
      <c r="A1909" s="25">
        <v>1292</v>
      </c>
      <c r="B1909" t="s">
        <v>71</v>
      </c>
      <c r="C1909" t="s">
        <v>200</v>
      </c>
      <c r="D1909" t="s">
        <v>411</v>
      </c>
      <c r="E1909" s="118">
        <v>4605</v>
      </c>
      <c r="F1909" s="13">
        <v>45989</v>
      </c>
      <c r="G1909" s="24">
        <v>119185.65</v>
      </c>
      <c r="H1909" s="24">
        <v>111855.74</v>
      </c>
      <c r="I1909" s="3">
        <v>45993</v>
      </c>
      <c r="J1909" s="102">
        <v>46006</v>
      </c>
      <c r="K1909" s="12">
        <v>46008</v>
      </c>
      <c r="L1909" s="1" t="s">
        <v>731</v>
      </c>
      <c r="M1909" s="35">
        <v>0</v>
      </c>
      <c r="N1909"/>
      <c r="O1909" t="s">
        <v>199</v>
      </c>
      <c r="P1909" t="s">
        <v>376</v>
      </c>
      <c r="Q1909" t="s">
        <v>203</v>
      </c>
    </row>
    <row r="1910" spans="1:17" x14ac:dyDescent="0.3">
      <c r="A1910" s="25">
        <v>1292</v>
      </c>
      <c r="B1910" t="s">
        <v>71</v>
      </c>
      <c r="C1910" t="s">
        <v>200</v>
      </c>
      <c r="D1910" t="s">
        <v>411</v>
      </c>
      <c r="E1910" s="118">
        <v>4606</v>
      </c>
      <c r="F1910" s="13">
        <v>45989</v>
      </c>
      <c r="G1910" s="24">
        <v>34633.19</v>
      </c>
      <c r="H1910" s="24">
        <v>32503.25</v>
      </c>
      <c r="I1910" s="3">
        <v>45993</v>
      </c>
      <c r="J1910" s="102">
        <v>46006</v>
      </c>
      <c r="K1910" s="12">
        <v>46008</v>
      </c>
      <c r="L1910" s="1" t="s">
        <v>731</v>
      </c>
      <c r="M1910" s="35">
        <v>0</v>
      </c>
      <c r="N1910"/>
      <c r="O1910" t="s">
        <v>199</v>
      </c>
      <c r="P1910" t="s">
        <v>376</v>
      </c>
      <c r="Q1910" t="s">
        <v>203</v>
      </c>
    </row>
    <row r="1911" spans="1:17" x14ac:dyDescent="0.3">
      <c r="A1911" s="25">
        <v>1292</v>
      </c>
      <c r="B1911" t="s">
        <v>71</v>
      </c>
      <c r="C1911" t="s">
        <v>200</v>
      </c>
      <c r="D1911" t="s">
        <v>411</v>
      </c>
      <c r="E1911" s="118">
        <v>4607</v>
      </c>
      <c r="F1911" s="13">
        <v>46019</v>
      </c>
      <c r="G1911" s="24">
        <v>34633.19</v>
      </c>
      <c r="H1911" s="24">
        <v>32503.25</v>
      </c>
      <c r="I1911" s="3">
        <v>45993</v>
      </c>
      <c r="J1911" s="102">
        <v>46006</v>
      </c>
      <c r="K1911" s="12">
        <v>46008</v>
      </c>
      <c r="L1911" s="1" t="s">
        <v>731</v>
      </c>
      <c r="M1911" s="35">
        <v>0</v>
      </c>
      <c r="N1911"/>
      <c r="O1911" t="s">
        <v>199</v>
      </c>
      <c r="P1911" t="s">
        <v>376</v>
      </c>
      <c r="Q1911" t="s">
        <v>203</v>
      </c>
    </row>
    <row r="1912" spans="1:17" x14ac:dyDescent="0.3">
      <c r="A1912" s="25">
        <v>1292</v>
      </c>
      <c r="B1912" t="s">
        <v>71</v>
      </c>
      <c r="C1912" t="s">
        <v>200</v>
      </c>
      <c r="D1912" t="s">
        <v>411</v>
      </c>
      <c r="E1912" s="118">
        <v>4622</v>
      </c>
      <c r="F1912" s="13">
        <v>45989</v>
      </c>
      <c r="G1912" s="24">
        <v>646.05999999999995</v>
      </c>
      <c r="H1912" s="24">
        <v>606.33000000000004</v>
      </c>
      <c r="I1912" s="3">
        <v>45995</v>
      </c>
      <c r="J1912" s="102">
        <v>46034</v>
      </c>
      <c r="K1912" s="12">
        <v>46034</v>
      </c>
      <c r="L1912" s="1" t="s">
        <v>731</v>
      </c>
      <c r="M1912" s="35">
        <v>0</v>
      </c>
      <c r="N1912"/>
      <c r="O1912" t="s">
        <v>199</v>
      </c>
      <c r="P1912" t="s">
        <v>376</v>
      </c>
      <c r="Q1912" t="s">
        <v>203</v>
      </c>
    </row>
    <row r="1913" spans="1:17" x14ac:dyDescent="0.3">
      <c r="A1913" s="25">
        <v>1292</v>
      </c>
      <c r="B1913" t="s">
        <v>71</v>
      </c>
      <c r="C1913" t="s">
        <v>200</v>
      </c>
      <c r="D1913" t="s">
        <v>411</v>
      </c>
      <c r="E1913" s="118">
        <v>4623</v>
      </c>
      <c r="F1913" s="13">
        <v>45989</v>
      </c>
      <c r="G1913" s="24">
        <v>646.04</v>
      </c>
      <c r="H1913" s="24">
        <v>606.30999999999995</v>
      </c>
      <c r="I1913" s="3">
        <v>45995</v>
      </c>
      <c r="J1913" s="102">
        <v>46006</v>
      </c>
      <c r="K1913" s="12">
        <v>46010</v>
      </c>
      <c r="L1913" s="1" t="s">
        <v>731</v>
      </c>
      <c r="M1913" s="35">
        <v>0</v>
      </c>
      <c r="N1913"/>
      <c r="O1913" t="s">
        <v>199</v>
      </c>
      <c r="P1913" t="s">
        <v>376</v>
      </c>
      <c r="Q1913" t="s">
        <v>203</v>
      </c>
    </row>
    <row r="1914" spans="1:17" x14ac:dyDescent="0.3">
      <c r="A1914" s="25">
        <v>1292</v>
      </c>
      <c r="B1914" t="s">
        <v>71</v>
      </c>
      <c r="C1914" t="s">
        <v>200</v>
      </c>
      <c r="D1914" t="s">
        <v>411</v>
      </c>
      <c r="E1914" s="118">
        <v>4624</v>
      </c>
      <c r="F1914" s="13">
        <v>45989</v>
      </c>
      <c r="G1914" s="24">
        <v>646.04</v>
      </c>
      <c r="H1914" s="24">
        <v>606.30999999999995</v>
      </c>
      <c r="I1914" s="3">
        <v>45995</v>
      </c>
      <c r="J1914" s="102">
        <v>46006</v>
      </c>
      <c r="K1914" s="12">
        <v>46010</v>
      </c>
      <c r="L1914" s="1" t="s">
        <v>731</v>
      </c>
      <c r="M1914" s="35">
        <v>0</v>
      </c>
      <c r="N1914"/>
      <c r="O1914" t="s">
        <v>199</v>
      </c>
      <c r="P1914" t="s">
        <v>376</v>
      </c>
      <c r="Q1914" t="s">
        <v>203</v>
      </c>
    </row>
    <row r="1915" spans="1:17" x14ac:dyDescent="0.3">
      <c r="A1915" s="25">
        <v>1292</v>
      </c>
      <c r="B1915" t="s">
        <v>71</v>
      </c>
      <c r="C1915" t="s">
        <v>200</v>
      </c>
      <c r="D1915" t="s">
        <v>411</v>
      </c>
      <c r="E1915" s="118">
        <v>4625</v>
      </c>
      <c r="F1915" s="13">
        <v>45989</v>
      </c>
      <c r="G1915" s="24">
        <v>646.04</v>
      </c>
      <c r="H1915" s="24">
        <v>606.30999999999995</v>
      </c>
      <c r="I1915" s="3">
        <v>45995</v>
      </c>
      <c r="J1915" s="102">
        <v>46006</v>
      </c>
      <c r="K1915" s="12">
        <v>46010</v>
      </c>
      <c r="L1915" s="1" t="s">
        <v>731</v>
      </c>
      <c r="M1915" s="35">
        <v>0</v>
      </c>
      <c r="N1915"/>
      <c r="O1915" t="s">
        <v>199</v>
      </c>
      <c r="P1915" t="s">
        <v>376</v>
      </c>
      <c r="Q1915" t="s">
        <v>203</v>
      </c>
    </row>
    <row r="1916" spans="1:17" x14ac:dyDescent="0.3">
      <c r="A1916" s="25">
        <v>1292</v>
      </c>
      <c r="B1916" t="s">
        <v>71</v>
      </c>
      <c r="C1916" t="s">
        <v>200</v>
      </c>
      <c r="D1916" t="s">
        <v>411</v>
      </c>
      <c r="E1916" s="118">
        <v>4636</v>
      </c>
      <c r="F1916" s="13">
        <v>45989</v>
      </c>
      <c r="G1916" s="24">
        <v>57764.87</v>
      </c>
      <c r="H1916" s="24">
        <v>54212.33</v>
      </c>
      <c r="I1916" s="3">
        <v>45996</v>
      </c>
      <c r="J1916" s="102">
        <v>46020</v>
      </c>
      <c r="K1916" s="12">
        <v>46021</v>
      </c>
      <c r="L1916" s="1" t="s">
        <v>731</v>
      </c>
      <c r="M1916" s="35">
        <v>0</v>
      </c>
      <c r="N1916"/>
      <c r="O1916" t="s">
        <v>199</v>
      </c>
      <c r="P1916" t="s">
        <v>376</v>
      </c>
      <c r="Q1916" t="s">
        <v>203</v>
      </c>
    </row>
    <row r="1917" spans="1:17" x14ac:dyDescent="0.3">
      <c r="A1917" s="25">
        <v>1292</v>
      </c>
      <c r="B1917" t="s">
        <v>71</v>
      </c>
      <c r="C1917" t="s">
        <v>200</v>
      </c>
      <c r="D1917" t="s">
        <v>411</v>
      </c>
      <c r="E1917" s="118">
        <v>4637</v>
      </c>
      <c r="F1917" s="13">
        <v>45989</v>
      </c>
      <c r="G1917" s="24">
        <v>132310.9</v>
      </c>
      <c r="H1917" s="24">
        <v>124173.78</v>
      </c>
      <c r="I1917" s="3">
        <v>45996</v>
      </c>
      <c r="J1917" s="102">
        <v>46013</v>
      </c>
      <c r="K1917" s="12">
        <v>46017</v>
      </c>
      <c r="L1917" s="1" t="s">
        <v>731</v>
      </c>
      <c r="M1917" s="35">
        <v>0</v>
      </c>
      <c r="N1917"/>
      <c r="O1917" t="s">
        <v>199</v>
      </c>
      <c r="P1917" t="s">
        <v>376</v>
      </c>
      <c r="Q1917" t="s">
        <v>203</v>
      </c>
    </row>
    <row r="1918" spans="1:17" x14ac:dyDescent="0.3">
      <c r="A1918" s="25">
        <v>1292</v>
      </c>
      <c r="B1918" t="s">
        <v>71</v>
      </c>
      <c r="C1918" t="s">
        <v>200</v>
      </c>
      <c r="D1918" t="s">
        <v>411</v>
      </c>
      <c r="E1918" s="118">
        <v>4648</v>
      </c>
      <c r="F1918" s="13">
        <v>45989</v>
      </c>
      <c r="G1918" s="24">
        <v>27095.59</v>
      </c>
      <c r="H1918" s="24">
        <v>25429.22</v>
      </c>
      <c r="I1918" s="3">
        <v>45996</v>
      </c>
      <c r="J1918" s="102">
        <v>46013</v>
      </c>
      <c r="K1918" s="12">
        <v>46013</v>
      </c>
      <c r="L1918" s="1" t="s">
        <v>731</v>
      </c>
      <c r="M1918" s="35">
        <v>0</v>
      </c>
      <c r="N1918"/>
      <c r="O1918" t="s">
        <v>199</v>
      </c>
      <c r="P1918" t="s">
        <v>376</v>
      </c>
      <c r="Q1918" t="s">
        <v>203</v>
      </c>
    </row>
    <row r="1919" spans="1:17" x14ac:dyDescent="0.3">
      <c r="A1919" s="25">
        <v>1292</v>
      </c>
      <c r="B1919" t="s">
        <v>71</v>
      </c>
      <c r="C1919" t="s">
        <v>200</v>
      </c>
      <c r="D1919" t="s">
        <v>411</v>
      </c>
      <c r="E1919" s="118">
        <v>4649</v>
      </c>
      <c r="F1919" s="13">
        <v>45989</v>
      </c>
      <c r="G1919" s="24">
        <v>27095.59</v>
      </c>
      <c r="H1919" s="24">
        <v>25429.22</v>
      </c>
      <c r="I1919" s="3">
        <v>45996</v>
      </c>
      <c r="J1919" s="102">
        <v>46013</v>
      </c>
      <c r="K1919" s="12">
        <v>46013</v>
      </c>
      <c r="L1919" s="1" t="s">
        <v>731</v>
      </c>
      <c r="M1919" s="35">
        <v>0</v>
      </c>
      <c r="N1919"/>
      <c r="O1919" t="s">
        <v>199</v>
      </c>
      <c r="P1919" t="s">
        <v>376</v>
      </c>
      <c r="Q1919" t="s">
        <v>203</v>
      </c>
    </row>
    <row r="1920" spans="1:17" x14ac:dyDescent="0.3">
      <c r="A1920" s="25">
        <v>1292</v>
      </c>
      <c r="B1920" t="s">
        <v>71</v>
      </c>
      <c r="C1920" t="s">
        <v>200</v>
      </c>
      <c r="D1920" t="s">
        <v>411</v>
      </c>
      <c r="E1920" s="118">
        <v>4650</v>
      </c>
      <c r="F1920" s="13">
        <v>45989</v>
      </c>
      <c r="G1920" s="24">
        <v>27095.59</v>
      </c>
      <c r="H1920" s="24">
        <v>25429.22</v>
      </c>
      <c r="I1920" s="3">
        <v>45996</v>
      </c>
      <c r="J1920" s="102">
        <v>46013</v>
      </c>
      <c r="K1920" s="12">
        <v>46013</v>
      </c>
      <c r="L1920" s="1" t="s">
        <v>731</v>
      </c>
      <c r="M1920" s="35">
        <v>0</v>
      </c>
      <c r="N1920"/>
      <c r="O1920" t="s">
        <v>199</v>
      </c>
      <c r="P1920" t="s">
        <v>376</v>
      </c>
      <c r="Q1920" t="s">
        <v>203</v>
      </c>
    </row>
    <row r="1921" spans="1:17" x14ac:dyDescent="0.3">
      <c r="A1921" s="25">
        <v>1292</v>
      </c>
      <c r="B1921" t="s">
        <v>71</v>
      </c>
      <c r="C1921" t="s">
        <v>200</v>
      </c>
      <c r="D1921" t="s">
        <v>411</v>
      </c>
      <c r="E1921" s="118">
        <v>4651</v>
      </c>
      <c r="F1921" s="13">
        <v>45989</v>
      </c>
      <c r="G1921" s="24">
        <v>27095.59</v>
      </c>
      <c r="H1921" s="24">
        <v>25429.22</v>
      </c>
      <c r="I1921" s="3">
        <v>45996</v>
      </c>
      <c r="J1921" s="102">
        <v>46013</v>
      </c>
      <c r="K1921" s="12">
        <v>46013</v>
      </c>
      <c r="L1921" s="1" t="s">
        <v>731</v>
      </c>
      <c r="M1921" s="35">
        <v>0</v>
      </c>
      <c r="N1921"/>
      <c r="O1921" t="s">
        <v>199</v>
      </c>
      <c r="P1921" t="s">
        <v>376</v>
      </c>
      <c r="Q1921" t="s">
        <v>203</v>
      </c>
    </row>
    <row r="1922" spans="1:17" x14ac:dyDescent="0.3">
      <c r="A1922" s="25">
        <v>1292</v>
      </c>
      <c r="B1922" t="s">
        <v>71</v>
      </c>
      <c r="C1922" t="s">
        <v>200</v>
      </c>
      <c r="D1922" t="s">
        <v>411</v>
      </c>
      <c r="E1922" s="118">
        <v>4711</v>
      </c>
      <c r="F1922" s="13">
        <v>46019</v>
      </c>
      <c r="G1922" s="27">
        <v>31008</v>
      </c>
      <c r="H1922" s="24">
        <v>29101.01</v>
      </c>
      <c r="I1922" s="3">
        <v>46024</v>
      </c>
      <c r="J1922" s="102">
        <v>46041</v>
      </c>
      <c r="K1922" s="12">
        <v>46041</v>
      </c>
      <c r="L1922" s="1" t="s">
        <v>731</v>
      </c>
      <c r="M1922" s="35">
        <v>0</v>
      </c>
      <c r="N1922"/>
      <c r="O1922" t="s">
        <v>199</v>
      </c>
      <c r="P1922" t="s">
        <v>376</v>
      </c>
      <c r="Q1922" t="s">
        <v>203</v>
      </c>
    </row>
    <row r="1923" spans="1:17" x14ac:dyDescent="0.3">
      <c r="A1923" s="25">
        <v>1292</v>
      </c>
      <c r="B1923" t="s">
        <v>71</v>
      </c>
      <c r="C1923" t="s">
        <v>200</v>
      </c>
      <c r="D1923" t="s">
        <v>411</v>
      </c>
      <c r="E1923" s="118">
        <v>4719</v>
      </c>
      <c r="F1923" s="13">
        <v>46019</v>
      </c>
      <c r="G1923" s="27">
        <v>119185.65</v>
      </c>
      <c r="H1923" s="24">
        <v>111855.74</v>
      </c>
      <c r="I1923" s="3">
        <v>46028</v>
      </c>
      <c r="J1923" s="102">
        <v>46041</v>
      </c>
      <c r="K1923" s="12">
        <v>46043</v>
      </c>
      <c r="L1923" s="1" t="s">
        <v>731</v>
      </c>
      <c r="M1923" s="35">
        <v>0</v>
      </c>
      <c r="N1923"/>
      <c r="O1923" t="s">
        <v>199</v>
      </c>
      <c r="P1923" t="s">
        <v>376</v>
      </c>
      <c r="Q1923" t="s">
        <v>203</v>
      </c>
    </row>
    <row r="1924" spans="1:17" x14ac:dyDescent="0.3">
      <c r="A1924" s="25">
        <v>1292</v>
      </c>
      <c r="B1924" t="s">
        <v>71</v>
      </c>
      <c r="C1924" t="s">
        <v>200</v>
      </c>
      <c r="D1924" t="s">
        <v>411</v>
      </c>
      <c r="E1924" s="118">
        <v>4750</v>
      </c>
      <c r="F1924" s="13">
        <v>46019</v>
      </c>
      <c r="G1924" s="24">
        <v>57764.87</v>
      </c>
      <c r="H1924" s="24">
        <v>54212.33</v>
      </c>
      <c r="I1924" s="3">
        <v>46038</v>
      </c>
      <c r="J1924" s="102">
        <v>46055</v>
      </c>
      <c r="K1924" s="12">
        <v>46055</v>
      </c>
      <c r="L1924" s="1" t="s">
        <v>731</v>
      </c>
      <c r="M1924" s="35"/>
      <c r="N1924"/>
      <c r="O1924" t="s">
        <v>199</v>
      </c>
      <c r="P1924" t="s">
        <v>376</v>
      </c>
      <c r="Q1924" t="s">
        <v>203</v>
      </c>
    </row>
    <row r="1925" spans="1:17" x14ac:dyDescent="0.3">
      <c r="A1925" s="25">
        <v>1292</v>
      </c>
      <c r="B1925" t="s">
        <v>71</v>
      </c>
      <c r="C1925" t="s">
        <v>200</v>
      </c>
      <c r="D1925" t="s">
        <v>411</v>
      </c>
      <c r="E1925" s="118">
        <v>4810</v>
      </c>
      <c r="F1925" s="13">
        <v>46051</v>
      </c>
      <c r="G1925" s="27">
        <v>119185.65</v>
      </c>
      <c r="H1925" s="27">
        <v>111855.74</v>
      </c>
      <c r="I1925" s="3">
        <v>46057</v>
      </c>
      <c r="J1925" s="102">
        <v>46069</v>
      </c>
      <c r="K1925" s="12">
        <v>46072</v>
      </c>
      <c r="L1925" s="1" t="s">
        <v>731</v>
      </c>
      <c r="M1925" s="35">
        <v>0</v>
      </c>
      <c r="N1925"/>
      <c r="O1925" t="s">
        <v>199</v>
      </c>
      <c r="P1925" t="s">
        <v>376</v>
      </c>
      <c r="Q1925" t="s">
        <v>203</v>
      </c>
    </row>
    <row r="1926" spans="1:17" x14ac:dyDescent="0.3">
      <c r="A1926" s="25">
        <v>1292</v>
      </c>
      <c r="B1926" t="s">
        <v>71</v>
      </c>
      <c r="C1926" t="s">
        <v>200</v>
      </c>
      <c r="D1926" t="s">
        <v>411</v>
      </c>
      <c r="E1926" s="118">
        <v>4841</v>
      </c>
      <c r="F1926" s="13">
        <v>46051</v>
      </c>
      <c r="G1926" s="27">
        <v>27095.59</v>
      </c>
      <c r="H1926" s="24">
        <v>25429.22</v>
      </c>
      <c r="I1926" s="3">
        <v>46064</v>
      </c>
      <c r="J1926" s="102">
        <v>46076</v>
      </c>
      <c r="K1926" s="12">
        <v>46079</v>
      </c>
      <c r="L1926" s="1" t="s">
        <v>731</v>
      </c>
      <c r="M1926" s="35">
        <v>0</v>
      </c>
      <c r="N1926"/>
      <c r="O1926" t="s">
        <v>199</v>
      </c>
      <c r="P1926" t="s">
        <v>376</v>
      </c>
      <c r="Q1926" t="s">
        <v>203</v>
      </c>
    </row>
    <row r="1927" spans="1:17" x14ac:dyDescent="0.3">
      <c r="A1927" s="25">
        <v>1292</v>
      </c>
      <c r="B1927" t="s">
        <v>71</v>
      </c>
      <c r="C1927" t="s">
        <v>200</v>
      </c>
      <c r="D1927" t="s">
        <v>411</v>
      </c>
      <c r="E1927" s="118">
        <v>4885</v>
      </c>
      <c r="F1927" s="13">
        <v>46051</v>
      </c>
      <c r="G1927" s="24">
        <v>34633.19</v>
      </c>
      <c r="H1927" s="24">
        <v>32503.25</v>
      </c>
      <c r="I1927" s="3">
        <v>46078</v>
      </c>
      <c r="J1927" s="102">
        <v>46090</v>
      </c>
      <c r="K1927" s="12">
        <v>46093</v>
      </c>
      <c r="L1927" s="1" t="s">
        <v>731</v>
      </c>
      <c r="M1927" s="35">
        <v>0</v>
      </c>
      <c r="N1927"/>
      <c r="O1927" t="s">
        <v>199</v>
      </c>
      <c r="P1927" t="s">
        <v>376</v>
      </c>
      <c r="Q1927" t="s">
        <v>203</v>
      </c>
    </row>
    <row r="1928" spans="1:17" x14ac:dyDescent="0.3">
      <c r="A1928" s="25">
        <v>1292</v>
      </c>
      <c r="B1928" t="s">
        <v>71</v>
      </c>
      <c r="C1928" t="s">
        <v>200</v>
      </c>
      <c r="D1928" t="s">
        <v>411</v>
      </c>
      <c r="E1928" s="118">
        <v>4920</v>
      </c>
      <c r="F1928" s="13">
        <v>46081</v>
      </c>
      <c r="G1928" s="27">
        <v>119185.65</v>
      </c>
      <c r="H1928" s="27">
        <v>111855.74</v>
      </c>
      <c r="I1928" s="3">
        <v>46090</v>
      </c>
      <c r="J1928" s="102">
        <v>46104</v>
      </c>
      <c r="K1928" s="12">
        <v>46105</v>
      </c>
      <c r="L1928" s="1" t="s">
        <v>731</v>
      </c>
      <c r="M1928" s="35">
        <v>0</v>
      </c>
      <c r="N1928"/>
      <c r="O1928" t="s">
        <v>199</v>
      </c>
      <c r="P1928" t="s">
        <v>376</v>
      </c>
      <c r="Q1928" t="s">
        <v>203</v>
      </c>
    </row>
    <row r="1929" spans="1:17" x14ac:dyDescent="0.3">
      <c r="A1929" s="25">
        <v>1292</v>
      </c>
      <c r="B1929" t="s">
        <v>71</v>
      </c>
      <c r="C1929" t="s">
        <v>200</v>
      </c>
      <c r="D1929" t="s">
        <v>411</v>
      </c>
      <c r="E1929" s="118">
        <v>4921</v>
      </c>
      <c r="F1929" s="13">
        <v>46081</v>
      </c>
      <c r="G1929" s="27">
        <v>22540</v>
      </c>
      <c r="H1929" s="24">
        <v>21153.79</v>
      </c>
      <c r="I1929" s="3">
        <v>46091</v>
      </c>
      <c r="J1929" s="102">
        <v>46104</v>
      </c>
      <c r="K1929" s="12">
        <v>46106</v>
      </c>
      <c r="L1929" s="1" t="s">
        <v>731</v>
      </c>
      <c r="M1929" s="35">
        <v>0</v>
      </c>
      <c r="N1929"/>
      <c r="O1929" t="s">
        <v>199</v>
      </c>
      <c r="P1929" t="s">
        <v>376</v>
      </c>
      <c r="Q1929" t="s">
        <v>203</v>
      </c>
    </row>
    <row r="1930" spans="1:17" x14ac:dyDescent="0.3">
      <c r="A1930" s="25">
        <v>1292</v>
      </c>
      <c r="B1930" t="s">
        <v>71</v>
      </c>
      <c r="C1930" t="s">
        <v>200</v>
      </c>
      <c r="D1930" t="s">
        <v>411</v>
      </c>
      <c r="E1930" s="118">
        <v>4924</v>
      </c>
      <c r="F1930" s="13">
        <v>46081</v>
      </c>
      <c r="G1930" s="27">
        <v>32039</v>
      </c>
      <c r="H1930" s="24">
        <v>30068.6</v>
      </c>
      <c r="I1930" s="3">
        <v>46091</v>
      </c>
      <c r="J1930" s="102">
        <v>46104</v>
      </c>
      <c r="K1930" s="12">
        <v>46106</v>
      </c>
      <c r="L1930" s="1" t="s">
        <v>731</v>
      </c>
      <c r="M1930" s="35">
        <v>0</v>
      </c>
      <c r="N1930"/>
      <c r="O1930" t="s">
        <v>199</v>
      </c>
      <c r="P1930" t="s">
        <v>376</v>
      </c>
      <c r="Q1930" t="s">
        <v>203</v>
      </c>
    </row>
    <row r="1931" spans="1:17" x14ac:dyDescent="0.3">
      <c r="A1931" s="25">
        <v>1292</v>
      </c>
      <c r="B1931" t="s">
        <v>71</v>
      </c>
      <c r="C1931" t="s">
        <v>200</v>
      </c>
      <c r="D1931" t="s">
        <v>411</v>
      </c>
      <c r="E1931" s="118">
        <v>4929</v>
      </c>
      <c r="F1931" s="13">
        <v>46081</v>
      </c>
      <c r="G1931" s="24">
        <v>34633.19</v>
      </c>
      <c r="H1931" s="24">
        <v>32503.25</v>
      </c>
      <c r="I1931" s="3">
        <v>46093</v>
      </c>
      <c r="J1931" s="102">
        <v>46104</v>
      </c>
      <c r="K1931" s="12">
        <v>46108</v>
      </c>
      <c r="L1931" s="1" t="s">
        <v>731</v>
      </c>
      <c r="M1931" s="35">
        <v>0</v>
      </c>
      <c r="N1931"/>
      <c r="O1931" t="s">
        <v>199</v>
      </c>
      <c r="P1931" t="s">
        <v>376</v>
      </c>
      <c r="Q1931" t="s">
        <v>203</v>
      </c>
    </row>
    <row r="1932" spans="1:17" x14ac:dyDescent="0.3">
      <c r="A1932" s="25">
        <v>1292</v>
      </c>
      <c r="B1932" t="s">
        <v>71</v>
      </c>
      <c r="C1932" t="s">
        <v>200</v>
      </c>
      <c r="D1932" t="s">
        <v>411</v>
      </c>
      <c r="E1932" s="118">
        <v>4930</v>
      </c>
      <c r="F1932" s="13">
        <v>46081</v>
      </c>
      <c r="G1932" s="27">
        <v>11408.68</v>
      </c>
      <c r="H1932" s="27">
        <v>10707.05</v>
      </c>
      <c r="I1932" s="3">
        <v>46093</v>
      </c>
      <c r="J1932" s="102">
        <v>46104</v>
      </c>
      <c r="K1932" s="12">
        <v>46108</v>
      </c>
      <c r="L1932" s="1" t="s">
        <v>731</v>
      </c>
      <c r="M1932" s="35">
        <v>0</v>
      </c>
      <c r="N1932"/>
      <c r="O1932" t="s">
        <v>199</v>
      </c>
      <c r="P1932" t="s">
        <v>376</v>
      </c>
      <c r="Q1932" t="s">
        <v>203</v>
      </c>
    </row>
    <row r="1933" spans="1:17" x14ac:dyDescent="0.3">
      <c r="A1933" s="25">
        <v>1292</v>
      </c>
      <c r="B1933" t="s">
        <v>71</v>
      </c>
      <c r="C1933" t="s">
        <v>200</v>
      </c>
      <c r="D1933" t="s">
        <v>411</v>
      </c>
      <c r="E1933" s="118">
        <v>4931</v>
      </c>
      <c r="F1933" s="13">
        <v>46081</v>
      </c>
      <c r="G1933" s="27">
        <v>21873.72</v>
      </c>
      <c r="H1933" s="27">
        <v>20528.48</v>
      </c>
      <c r="I1933" s="3">
        <v>46093</v>
      </c>
      <c r="J1933" s="102">
        <v>46104</v>
      </c>
      <c r="K1933" s="12">
        <v>46108</v>
      </c>
      <c r="L1933" s="1" t="s">
        <v>731</v>
      </c>
      <c r="M1933" s="35">
        <v>0</v>
      </c>
      <c r="N1933"/>
      <c r="O1933" t="s">
        <v>199</v>
      </c>
      <c r="P1933" t="s">
        <v>376</v>
      </c>
      <c r="Q1933" t="s">
        <v>203</v>
      </c>
    </row>
    <row r="1934" spans="1:17" x14ac:dyDescent="0.3">
      <c r="A1934" s="25">
        <v>1292</v>
      </c>
      <c r="B1934" t="s">
        <v>71</v>
      </c>
      <c r="C1934" t="s">
        <v>200</v>
      </c>
      <c r="D1934" t="s">
        <v>411</v>
      </c>
      <c r="E1934" s="118">
        <v>4967</v>
      </c>
      <c r="F1934" s="13">
        <v>46081</v>
      </c>
      <c r="G1934" s="27">
        <v>27048</v>
      </c>
      <c r="H1934" s="24">
        <v>25384.55</v>
      </c>
      <c r="I1934" s="3">
        <v>46097</v>
      </c>
      <c r="J1934" s="102">
        <v>46132</v>
      </c>
      <c r="K1934" s="12">
        <v>46132</v>
      </c>
      <c r="L1934" s="1" t="s">
        <v>731</v>
      </c>
      <c r="M1934" s="35">
        <v>0</v>
      </c>
      <c r="N1934"/>
      <c r="O1934" t="s">
        <v>199</v>
      </c>
      <c r="P1934" t="s">
        <v>376</v>
      </c>
      <c r="Q1934" t="s">
        <v>203</v>
      </c>
    </row>
    <row r="1935" spans="1:17" x14ac:dyDescent="0.3">
      <c r="A1935" s="25">
        <v>1292</v>
      </c>
      <c r="B1935" t="s">
        <v>71</v>
      </c>
      <c r="C1935" t="s">
        <v>200</v>
      </c>
      <c r="D1935" t="s">
        <v>411</v>
      </c>
      <c r="E1935" s="118">
        <v>5036</v>
      </c>
      <c r="F1935" s="13">
        <v>46109</v>
      </c>
      <c r="G1935" s="27">
        <v>119185.65</v>
      </c>
      <c r="H1935" s="24">
        <v>111855.74</v>
      </c>
      <c r="I1935" s="3">
        <v>46120</v>
      </c>
      <c r="J1935" s="102">
        <v>46132</v>
      </c>
      <c r="K1935" s="12">
        <v>46135</v>
      </c>
      <c r="L1935" s="1" t="s">
        <v>731</v>
      </c>
      <c r="M1935" s="35">
        <v>0</v>
      </c>
      <c r="N1935"/>
      <c r="O1935" t="s">
        <v>199</v>
      </c>
      <c r="P1935" t="s">
        <v>376</v>
      </c>
      <c r="Q1935" t="s">
        <v>203</v>
      </c>
    </row>
    <row r="1936" spans="1:17" x14ac:dyDescent="0.3">
      <c r="A1936" s="25">
        <v>1292</v>
      </c>
      <c r="B1936" t="s">
        <v>71</v>
      </c>
      <c r="C1936" t="s">
        <v>200</v>
      </c>
      <c r="D1936" t="s">
        <v>411</v>
      </c>
      <c r="E1936" s="118">
        <v>5059</v>
      </c>
      <c r="F1936" s="13">
        <v>46109</v>
      </c>
      <c r="G1936" s="27">
        <v>32039</v>
      </c>
      <c r="H1936" s="24">
        <v>30068.6</v>
      </c>
      <c r="I1936" s="3">
        <v>46121</v>
      </c>
      <c r="J1936" s="102">
        <v>46132</v>
      </c>
      <c r="K1936" s="12">
        <v>46136</v>
      </c>
      <c r="L1936" s="1" t="s">
        <v>731</v>
      </c>
      <c r="M1936" s="35">
        <v>0</v>
      </c>
      <c r="N1936"/>
      <c r="O1936" t="s">
        <v>199</v>
      </c>
      <c r="P1936" t="s">
        <v>376</v>
      </c>
      <c r="Q1936" t="s">
        <v>203</v>
      </c>
    </row>
    <row r="1937" spans="1:17" x14ac:dyDescent="0.3">
      <c r="A1937" s="25">
        <v>1292</v>
      </c>
      <c r="B1937" t="s">
        <v>71</v>
      </c>
      <c r="C1937" t="s">
        <v>200</v>
      </c>
      <c r="D1937" t="s">
        <v>411</v>
      </c>
      <c r="E1937" s="118">
        <v>5062</v>
      </c>
      <c r="F1937" s="13">
        <v>46109</v>
      </c>
      <c r="G1937" s="27">
        <v>6704.35</v>
      </c>
      <c r="H1937" s="24">
        <v>6292.03</v>
      </c>
      <c r="I1937" s="3">
        <v>46122</v>
      </c>
      <c r="J1937" s="102">
        <v>46139</v>
      </c>
      <c r="K1937" s="12">
        <v>46139</v>
      </c>
      <c r="L1937" s="1" t="s">
        <v>731</v>
      </c>
      <c r="M1937" s="35">
        <v>0</v>
      </c>
      <c r="N1937"/>
      <c r="O1937" t="s">
        <v>199</v>
      </c>
      <c r="P1937" t="s">
        <v>376</v>
      </c>
      <c r="Q1937" t="s">
        <v>203</v>
      </c>
    </row>
    <row r="1938" spans="1:17" x14ac:dyDescent="0.3">
      <c r="A1938" s="25">
        <v>1292</v>
      </c>
      <c r="B1938" t="s">
        <v>71</v>
      </c>
      <c r="C1938" t="s">
        <v>200</v>
      </c>
      <c r="D1938" t="s">
        <v>411</v>
      </c>
      <c r="E1938" s="118">
        <v>5063</v>
      </c>
      <c r="F1938" s="13">
        <v>46109</v>
      </c>
      <c r="G1938" s="27">
        <v>6704.35</v>
      </c>
      <c r="H1938" s="24">
        <v>6292.03</v>
      </c>
      <c r="I1938" s="3">
        <v>46122</v>
      </c>
      <c r="J1938" s="102">
        <v>46139</v>
      </c>
      <c r="K1938" s="12">
        <v>46139</v>
      </c>
      <c r="L1938" s="1" t="s">
        <v>731</v>
      </c>
      <c r="M1938" s="35">
        <v>0</v>
      </c>
      <c r="N1938"/>
      <c r="O1938" t="s">
        <v>199</v>
      </c>
      <c r="P1938" t="s">
        <v>376</v>
      </c>
      <c r="Q1938" t="s">
        <v>203</v>
      </c>
    </row>
    <row r="1939" spans="1:17" x14ac:dyDescent="0.3">
      <c r="A1939" s="25">
        <v>1292</v>
      </c>
      <c r="B1939" t="s">
        <v>71</v>
      </c>
      <c r="C1939" t="s">
        <v>200</v>
      </c>
      <c r="D1939" t="s">
        <v>411</v>
      </c>
      <c r="E1939" s="118">
        <v>5064</v>
      </c>
      <c r="F1939" s="13">
        <v>46109</v>
      </c>
      <c r="G1939" s="27">
        <v>6704.35</v>
      </c>
      <c r="H1939" s="24">
        <v>6292.03</v>
      </c>
      <c r="I1939" s="3">
        <v>46122</v>
      </c>
      <c r="J1939" s="102">
        <v>46139</v>
      </c>
      <c r="K1939" s="12">
        <v>46139</v>
      </c>
      <c r="L1939" s="1" t="s">
        <v>731</v>
      </c>
      <c r="M1939" s="35">
        <v>0</v>
      </c>
      <c r="N1939"/>
      <c r="O1939" t="s">
        <v>199</v>
      </c>
      <c r="P1939" t="s">
        <v>376</v>
      </c>
      <c r="Q1939" t="s">
        <v>203</v>
      </c>
    </row>
    <row r="1940" spans="1:17" x14ac:dyDescent="0.3">
      <c r="A1940" s="25">
        <v>1292</v>
      </c>
      <c r="B1940" t="s">
        <v>71</v>
      </c>
      <c r="C1940" t="s">
        <v>200</v>
      </c>
      <c r="D1940" t="s">
        <v>411</v>
      </c>
      <c r="E1940" s="118">
        <v>5065</v>
      </c>
      <c r="F1940" s="13">
        <v>46109</v>
      </c>
      <c r="G1940" s="27">
        <v>6704.33</v>
      </c>
      <c r="H1940" s="24">
        <v>6292.02</v>
      </c>
      <c r="I1940" s="3">
        <v>46122</v>
      </c>
      <c r="J1940" s="102">
        <v>46139</v>
      </c>
      <c r="K1940" s="12">
        <v>46139</v>
      </c>
      <c r="L1940" s="1" t="s">
        <v>731</v>
      </c>
      <c r="M1940" s="35">
        <v>0</v>
      </c>
      <c r="N1940"/>
      <c r="O1940" t="s">
        <v>199</v>
      </c>
      <c r="P1940" t="s">
        <v>376</v>
      </c>
      <c r="Q1940" t="s">
        <v>203</v>
      </c>
    </row>
    <row r="1941" spans="1:17" x14ac:dyDescent="0.3">
      <c r="A1941" s="25">
        <v>1292</v>
      </c>
      <c r="B1941" t="s">
        <v>71</v>
      </c>
      <c r="C1941" t="s">
        <v>200</v>
      </c>
      <c r="D1941" t="s">
        <v>411</v>
      </c>
      <c r="E1941" s="118">
        <v>5083</v>
      </c>
      <c r="F1941" s="13">
        <v>46109</v>
      </c>
      <c r="G1941" s="27">
        <v>26236.560000000001</v>
      </c>
      <c r="H1941" s="24">
        <v>24623.01</v>
      </c>
      <c r="I1941" s="3">
        <v>46127</v>
      </c>
      <c r="J1941" s="102">
        <v>46139</v>
      </c>
      <c r="K1941" s="12">
        <v>46142</v>
      </c>
      <c r="L1941" s="1" t="s">
        <v>731</v>
      </c>
      <c r="M1941" s="35">
        <v>0</v>
      </c>
      <c r="N1941"/>
      <c r="O1941" t="s">
        <v>199</v>
      </c>
      <c r="P1941" t="s">
        <v>376</v>
      </c>
      <c r="Q1941" t="s">
        <v>203</v>
      </c>
    </row>
    <row r="1942" spans="1:17" x14ac:dyDescent="0.3">
      <c r="A1942" s="25">
        <v>1292</v>
      </c>
      <c r="B1942" t="s">
        <v>71</v>
      </c>
      <c r="C1942" t="s">
        <v>200</v>
      </c>
      <c r="D1942" t="s">
        <v>411</v>
      </c>
      <c r="E1942" s="118">
        <v>5122</v>
      </c>
      <c r="F1942" s="68">
        <v>46019</v>
      </c>
      <c r="G1942" s="27">
        <v>137849.29999999999</v>
      </c>
      <c r="H1942" s="24">
        <v>129371.57</v>
      </c>
      <c r="I1942" s="3">
        <v>46148</v>
      </c>
      <c r="J1942" s="102">
        <v>46160</v>
      </c>
      <c r="K1942" s="12">
        <v>46163</v>
      </c>
      <c r="L1942" s="1" t="s">
        <v>731</v>
      </c>
      <c r="M1942" s="35">
        <v>0</v>
      </c>
      <c r="N1942"/>
      <c r="O1942" t="s">
        <v>199</v>
      </c>
      <c r="P1942" t="s">
        <v>376</v>
      </c>
      <c r="Q1942" t="s">
        <v>203</v>
      </c>
    </row>
    <row r="1943" spans="1:17" x14ac:dyDescent="0.3">
      <c r="A1943" s="25">
        <v>1292</v>
      </c>
      <c r="B1943" t="s">
        <v>71</v>
      </c>
      <c r="C1943" t="s">
        <v>200</v>
      </c>
      <c r="D1943" t="s">
        <v>411</v>
      </c>
      <c r="E1943" s="118">
        <v>5124</v>
      </c>
      <c r="F1943" s="13">
        <v>46140</v>
      </c>
      <c r="G1943" s="27">
        <v>119185.65</v>
      </c>
      <c r="H1943" s="24">
        <v>111855.74</v>
      </c>
      <c r="I1943" s="3">
        <v>46153</v>
      </c>
      <c r="J1943" s="102">
        <v>46167</v>
      </c>
      <c r="K1943" s="12">
        <v>46168</v>
      </c>
      <c r="L1943" s="1" t="s">
        <v>731</v>
      </c>
      <c r="M1943" s="35">
        <v>0</v>
      </c>
      <c r="N1943"/>
      <c r="O1943" t="s">
        <v>199</v>
      </c>
      <c r="P1943" t="s">
        <v>376</v>
      </c>
      <c r="Q1943" t="s">
        <v>203</v>
      </c>
    </row>
    <row r="1944" spans="1:17" x14ac:dyDescent="0.3">
      <c r="A1944" s="25">
        <v>1292</v>
      </c>
      <c r="B1944" t="s">
        <v>71</v>
      </c>
      <c r="C1944" t="s">
        <v>200</v>
      </c>
      <c r="D1944" t="s">
        <v>411</v>
      </c>
      <c r="E1944" s="118">
        <v>5125</v>
      </c>
      <c r="F1944" s="13">
        <v>46109</v>
      </c>
      <c r="G1944" s="27">
        <v>6704.35</v>
      </c>
      <c r="H1944" s="24">
        <v>6292.03</v>
      </c>
      <c r="I1944" s="3">
        <v>46153</v>
      </c>
      <c r="J1944" s="102">
        <v>46167</v>
      </c>
      <c r="K1944" s="12">
        <v>46168</v>
      </c>
      <c r="L1944" s="1" t="s">
        <v>731</v>
      </c>
      <c r="M1944" s="35">
        <v>0</v>
      </c>
      <c r="N1944"/>
      <c r="O1944" t="s">
        <v>199</v>
      </c>
      <c r="P1944" t="s">
        <v>376</v>
      </c>
      <c r="Q1944" t="s">
        <v>203</v>
      </c>
    </row>
    <row r="1945" spans="1:17" x14ac:dyDescent="0.3">
      <c r="A1945" s="25">
        <v>1292</v>
      </c>
      <c r="B1945" t="s">
        <v>71</v>
      </c>
      <c r="C1945" t="s">
        <v>200</v>
      </c>
      <c r="D1945" t="s">
        <v>411</v>
      </c>
      <c r="E1945" s="118">
        <v>5126</v>
      </c>
      <c r="F1945" s="13">
        <v>46109</v>
      </c>
      <c r="G1945" s="27">
        <v>6704.35</v>
      </c>
      <c r="H1945" s="24">
        <v>6292.03</v>
      </c>
      <c r="I1945" s="3">
        <v>46153</v>
      </c>
      <c r="J1945" s="102">
        <v>46167</v>
      </c>
      <c r="K1945" s="12">
        <v>46168</v>
      </c>
      <c r="L1945" s="1" t="s">
        <v>731</v>
      </c>
      <c r="M1945" s="35">
        <v>0</v>
      </c>
      <c r="N1945"/>
      <c r="O1945" t="s">
        <v>199</v>
      </c>
      <c r="P1945" t="s">
        <v>376</v>
      </c>
      <c r="Q1945" t="s">
        <v>203</v>
      </c>
    </row>
    <row r="1946" spans="1:17" x14ac:dyDescent="0.3">
      <c r="A1946" s="25">
        <v>1292</v>
      </c>
      <c r="B1946" t="s">
        <v>71</v>
      </c>
      <c r="C1946" t="s">
        <v>200</v>
      </c>
      <c r="D1946" t="s">
        <v>411</v>
      </c>
      <c r="E1946" s="118">
        <v>5127</v>
      </c>
      <c r="F1946" s="13">
        <v>46140</v>
      </c>
      <c r="G1946" s="27">
        <v>6704.35</v>
      </c>
      <c r="H1946" s="24">
        <v>6292.03</v>
      </c>
      <c r="I1946" s="3">
        <v>46153</v>
      </c>
      <c r="J1946" s="102">
        <v>46167</v>
      </c>
      <c r="K1946" s="12">
        <v>46168</v>
      </c>
      <c r="L1946" s="1" t="s">
        <v>731</v>
      </c>
      <c r="M1946" s="35">
        <v>0</v>
      </c>
      <c r="N1946"/>
      <c r="O1946" t="s">
        <v>199</v>
      </c>
      <c r="P1946" t="s">
        <v>376</v>
      </c>
      <c r="Q1946" t="s">
        <v>203</v>
      </c>
    </row>
    <row r="1947" spans="1:17" x14ac:dyDescent="0.3">
      <c r="A1947" s="25">
        <v>1292</v>
      </c>
      <c r="B1947" t="s">
        <v>71</v>
      </c>
      <c r="C1947" t="s">
        <v>200</v>
      </c>
      <c r="D1947" t="s">
        <v>411</v>
      </c>
      <c r="E1947" s="118">
        <v>5128</v>
      </c>
      <c r="F1947" s="13">
        <v>46140</v>
      </c>
      <c r="G1947" s="27">
        <v>6704.33</v>
      </c>
      <c r="H1947" s="24">
        <v>6292.02</v>
      </c>
      <c r="I1947" s="3">
        <v>46153</v>
      </c>
      <c r="J1947" s="102">
        <v>46167</v>
      </c>
      <c r="K1947" s="12">
        <v>46168</v>
      </c>
      <c r="L1947" s="1" t="s">
        <v>731</v>
      </c>
      <c r="M1947" s="35">
        <v>0</v>
      </c>
      <c r="N1947"/>
      <c r="O1947" t="s">
        <v>199</v>
      </c>
      <c r="P1947" t="s">
        <v>376</v>
      </c>
      <c r="Q1947" t="s">
        <v>203</v>
      </c>
    </row>
    <row r="1948" spans="1:17" x14ac:dyDescent="0.3">
      <c r="A1948" s="25">
        <v>1292</v>
      </c>
      <c r="B1948" t="s">
        <v>71</v>
      </c>
      <c r="C1948" t="s">
        <v>200</v>
      </c>
      <c r="D1948" t="s">
        <v>411</v>
      </c>
      <c r="E1948" s="118">
        <v>5146</v>
      </c>
      <c r="F1948" s="13">
        <v>46140</v>
      </c>
      <c r="G1948" s="27">
        <v>23151.62</v>
      </c>
      <c r="H1948" s="24">
        <v>21727.8</v>
      </c>
      <c r="I1948" s="3">
        <v>46156</v>
      </c>
      <c r="J1948" s="102">
        <v>46167</v>
      </c>
      <c r="K1948" s="12">
        <v>46171</v>
      </c>
      <c r="L1948" s="1" t="s">
        <v>731</v>
      </c>
      <c r="M1948" s="35">
        <v>0</v>
      </c>
      <c r="N1948"/>
      <c r="O1948" t="s">
        <v>199</v>
      </c>
      <c r="P1948" t="s">
        <v>376</v>
      </c>
      <c r="Q1948" t="s">
        <v>203</v>
      </c>
    </row>
    <row r="1949" spans="1:17" x14ac:dyDescent="0.3">
      <c r="A1949" s="25">
        <v>1292</v>
      </c>
      <c r="B1949" t="s">
        <v>71</v>
      </c>
      <c r="C1949" t="s">
        <v>200</v>
      </c>
      <c r="D1949" t="s">
        <v>411</v>
      </c>
      <c r="E1949" s="118">
        <v>5152</v>
      </c>
      <c r="F1949" s="13">
        <v>46140</v>
      </c>
      <c r="G1949" s="27">
        <v>32039</v>
      </c>
      <c r="H1949" s="24">
        <v>30068.6</v>
      </c>
      <c r="I1949" s="3">
        <v>46156</v>
      </c>
      <c r="J1949" s="102">
        <v>46167</v>
      </c>
      <c r="K1949" s="12">
        <v>46171</v>
      </c>
      <c r="L1949" s="1" t="s">
        <v>731</v>
      </c>
      <c r="M1949" s="35">
        <v>0</v>
      </c>
      <c r="N1949"/>
      <c r="O1949" t="s">
        <v>199</v>
      </c>
      <c r="P1949" t="s">
        <v>376</v>
      </c>
      <c r="Q1949" t="s">
        <v>203</v>
      </c>
    </row>
    <row r="1950" spans="1:17" x14ac:dyDescent="0.3">
      <c r="A1950" s="25">
        <v>1292</v>
      </c>
      <c r="B1950" t="s">
        <v>71</v>
      </c>
      <c r="C1950" t="s">
        <v>200</v>
      </c>
      <c r="D1950" t="s">
        <v>411</v>
      </c>
      <c r="E1950" s="118">
        <v>5154</v>
      </c>
      <c r="F1950" s="13">
        <v>46140</v>
      </c>
      <c r="G1950" s="27">
        <v>42703.56</v>
      </c>
      <c r="H1950" s="24">
        <v>40077.29</v>
      </c>
      <c r="I1950" s="3">
        <v>46156</v>
      </c>
      <c r="J1950" s="102">
        <v>46167</v>
      </c>
      <c r="K1950" s="12">
        <v>46171</v>
      </c>
      <c r="L1950" s="1" t="s">
        <v>731</v>
      </c>
      <c r="M1950" s="35">
        <v>0</v>
      </c>
      <c r="N1950"/>
      <c r="O1950" t="s">
        <v>199</v>
      </c>
      <c r="P1950" t="s">
        <v>376</v>
      </c>
      <c r="Q1950" t="s">
        <v>203</v>
      </c>
    </row>
    <row r="1951" spans="1:17" x14ac:dyDescent="0.3">
      <c r="A1951" s="25">
        <v>1292</v>
      </c>
      <c r="B1951" t="s">
        <v>71</v>
      </c>
      <c r="C1951" t="s">
        <v>200</v>
      </c>
      <c r="D1951" t="s">
        <v>411</v>
      </c>
      <c r="E1951" s="118">
        <v>5155</v>
      </c>
      <c r="F1951" s="13">
        <v>46140</v>
      </c>
      <c r="G1951" s="27">
        <v>42703.56</v>
      </c>
      <c r="H1951" s="24">
        <v>40077.29</v>
      </c>
      <c r="I1951" s="3">
        <v>46156</v>
      </c>
      <c r="J1951" s="102">
        <v>46167</v>
      </c>
      <c r="K1951" s="12">
        <v>46171</v>
      </c>
      <c r="L1951" s="1" t="s">
        <v>731</v>
      </c>
      <c r="M1951" s="35">
        <v>0</v>
      </c>
      <c r="N1951"/>
      <c r="O1951" t="s">
        <v>199</v>
      </c>
      <c r="P1951" t="s">
        <v>376</v>
      </c>
      <c r="Q1951" t="s">
        <v>203</v>
      </c>
    </row>
    <row r="1952" spans="1:17" x14ac:dyDescent="0.3">
      <c r="A1952" s="25">
        <v>1292</v>
      </c>
      <c r="B1952" t="s">
        <v>71</v>
      </c>
      <c r="C1952" t="s">
        <v>200</v>
      </c>
      <c r="D1952" t="s">
        <v>411</v>
      </c>
      <c r="E1952" s="118">
        <v>5156</v>
      </c>
      <c r="F1952" s="13">
        <v>46140</v>
      </c>
      <c r="G1952" s="27">
        <v>42703.56</v>
      </c>
      <c r="H1952" s="24">
        <v>40077.29</v>
      </c>
      <c r="I1952" s="3">
        <v>46156</v>
      </c>
      <c r="J1952" s="102">
        <v>46167</v>
      </c>
      <c r="K1952" s="12">
        <v>46171</v>
      </c>
      <c r="L1952" s="1" t="s">
        <v>731</v>
      </c>
      <c r="M1952" s="35">
        <v>0</v>
      </c>
      <c r="N1952"/>
      <c r="O1952" t="s">
        <v>199</v>
      </c>
      <c r="P1952" t="s">
        <v>376</v>
      </c>
      <c r="Q1952" t="s">
        <v>203</v>
      </c>
    </row>
    <row r="1953" spans="1:17" x14ac:dyDescent="0.3">
      <c r="A1953" s="25">
        <v>1292</v>
      </c>
      <c r="B1953" t="s">
        <v>71</v>
      </c>
      <c r="C1953" t="s">
        <v>200</v>
      </c>
      <c r="D1953" t="s">
        <v>411</v>
      </c>
      <c r="E1953" s="118">
        <v>5157</v>
      </c>
      <c r="F1953" s="13">
        <v>46140</v>
      </c>
      <c r="G1953" s="27">
        <v>42703.56</v>
      </c>
      <c r="H1953" s="24">
        <v>40077.29</v>
      </c>
      <c r="I1953" s="3">
        <v>46156</v>
      </c>
      <c r="J1953" s="102">
        <v>46167</v>
      </c>
      <c r="K1953" s="12">
        <v>46171</v>
      </c>
      <c r="L1953" s="1" t="s">
        <v>731</v>
      </c>
      <c r="M1953" s="35">
        <v>0</v>
      </c>
      <c r="N1953"/>
      <c r="O1953" t="s">
        <v>199</v>
      </c>
      <c r="P1953" t="s">
        <v>376</v>
      </c>
      <c r="Q1953" t="s">
        <v>203</v>
      </c>
    </row>
    <row r="1954" spans="1:17" x14ac:dyDescent="0.3">
      <c r="A1954" s="25">
        <v>1292</v>
      </c>
      <c r="B1954" t="s">
        <v>71</v>
      </c>
      <c r="C1954" t="s">
        <v>200</v>
      </c>
      <c r="D1954" t="s">
        <v>411</v>
      </c>
      <c r="E1954" s="118">
        <v>5237</v>
      </c>
      <c r="F1954" s="13">
        <v>46170</v>
      </c>
      <c r="G1954" s="24">
        <v>43910.49</v>
      </c>
      <c r="H1954" s="24">
        <v>41209.99</v>
      </c>
      <c r="I1954" s="3">
        <v>46181</v>
      </c>
      <c r="J1954" s="161">
        <v>46195</v>
      </c>
      <c r="K1954" s="12"/>
      <c r="L1954" s="1" t="s">
        <v>730</v>
      </c>
      <c r="M1954" s="35">
        <v>0</v>
      </c>
      <c r="N1954"/>
      <c r="O1954" t="s">
        <v>199</v>
      </c>
      <c r="P1954" t="s">
        <v>376</v>
      </c>
      <c r="Q1954" t="s">
        <v>203</v>
      </c>
    </row>
    <row r="1955" spans="1:17" x14ac:dyDescent="0.3">
      <c r="A1955" s="25">
        <v>1292</v>
      </c>
      <c r="B1955" t="s">
        <v>71</v>
      </c>
      <c r="C1955" t="s">
        <v>200</v>
      </c>
      <c r="D1955" t="s">
        <v>411</v>
      </c>
      <c r="E1955" s="118">
        <v>5243</v>
      </c>
      <c r="F1955" s="13">
        <v>46170</v>
      </c>
      <c r="G1955" s="24">
        <v>6704.35</v>
      </c>
      <c r="H1955" s="24">
        <v>6292.03</v>
      </c>
      <c r="I1955" s="3">
        <v>46182</v>
      </c>
      <c r="J1955" s="161">
        <v>46195</v>
      </c>
      <c r="K1955" s="12"/>
      <c r="L1955" s="1" t="s">
        <v>730</v>
      </c>
      <c r="M1955" s="35">
        <v>0</v>
      </c>
      <c r="N1955"/>
      <c r="O1955" t="s">
        <v>199</v>
      </c>
      <c r="P1955" t="s">
        <v>376</v>
      </c>
      <c r="Q1955" t="s">
        <v>203</v>
      </c>
    </row>
    <row r="1956" spans="1:17" x14ac:dyDescent="0.3">
      <c r="A1956" s="25">
        <v>1292</v>
      </c>
      <c r="B1956" t="s">
        <v>71</v>
      </c>
      <c r="C1956" t="s">
        <v>200</v>
      </c>
      <c r="D1956" t="s">
        <v>411</v>
      </c>
      <c r="E1956" s="118">
        <v>5244</v>
      </c>
      <c r="F1956" s="13">
        <v>46170</v>
      </c>
      <c r="G1956" s="24">
        <v>6704.35</v>
      </c>
      <c r="H1956" s="24">
        <v>6292.03</v>
      </c>
      <c r="I1956" s="3">
        <v>46182</v>
      </c>
      <c r="J1956" s="161">
        <v>46195</v>
      </c>
      <c r="K1956" s="12"/>
      <c r="L1956" s="1" t="s">
        <v>730</v>
      </c>
      <c r="M1956" s="35">
        <v>0</v>
      </c>
      <c r="N1956"/>
      <c r="O1956" t="s">
        <v>199</v>
      </c>
      <c r="P1956" t="s">
        <v>376</v>
      </c>
      <c r="Q1956" t="s">
        <v>203</v>
      </c>
    </row>
    <row r="1957" spans="1:17" x14ac:dyDescent="0.3">
      <c r="A1957" s="25">
        <v>1292</v>
      </c>
      <c r="B1957" t="s">
        <v>71</v>
      </c>
      <c r="C1957" t="s">
        <v>200</v>
      </c>
      <c r="D1957" t="s">
        <v>411</v>
      </c>
      <c r="E1957" s="118">
        <v>5245</v>
      </c>
      <c r="F1957" s="13">
        <v>46170</v>
      </c>
      <c r="G1957" s="24">
        <v>6704.33</v>
      </c>
      <c r="H1957" s="24">
        <v>6292.01</v>
      </c>
      <c r="I1957" s="3">
        <v>46182</v>
      </c>
      <c r="J1957" s="161">
        <v>46195</v>
      </c>
      <c r="K1957" s="12"/>
      <c r="L1957" s="1" t="s">
        <v>730</v>
      </c>
      <c r="M1957" s="35">
        <v>0</v>
      </c>
      <c r="N1957"/>
      <c r="O1957" t="s">
        <v>199</v>
      </c>
      <c r="P1957" t="s">
        <v>376</v>
      </c>
      <c r="Q1957" t="s">
        <v>203</v>
      </c>
    </row>
    <row r="1958" spans="1:17" x14ac:dyDescent="0.3">
      <c r="A1958" s="25">
        <v>1292</v>
      </c>
      <c r="B1958" t="s">
        <v>71</v>
      </c>
      <c r="C1958" t="s">
        <v>200</v>
      </c>
      <c r="D1958" t="s">
        <v>411</v>
      </c>
      <c r="E1958" s="118">
        <v>5246</v>
      </c>
      <c r="F1958" s="13">
        <v>46170</v>
      </c>
      <c r="G1958" s="24">
        <v>6704.35</v>
      </c>
      <c r="H1958" s="24">
        <v>6292.03</v>
      </c>
      <c r="I1958" s="3">
        <v>46182</v>
      </c>
      <c r="J1958" s="102">
        <v>46195</v>
      </c>
      <c r="K1958" s="12"/>
      <c r="L1958" s="1" t="s">
        <v>730</v>
      </c>
      <c r="M1958" s="35">
        <v>0</v>
      </c>
      <c r="N1958"/>
      <c r="O1958" t="s">
        <v>199</v>
      </c>
      <c r="P1958" t="s">
        <v>376</v>
      </c>
      <c r="Q1958" t="s">
        <v>203</v>
      </c>
    </row>
    <row r="1959" spans="1:17" x14ac:dyDescent="0.3">
      <c r="A1959" s="25">
        <v>1507</v>
      </c>
      <c r="B1959" t="s">
        <v>71</v>
      </c>
      <c r="C1959" t="s">
        <v>200</v>
      </c>
      <c r="D1959" t="s">
        <v>657</v>
      </c>
      <c r="E1959" s="118">
        <v>5249</v>
      </c>
      <c r="F1959" s="13">
        <v>46170</v>
      </c>
      <c r="G1959" s="24">
        <v>18010.939999999999</v>
      </c>
      <c r="H1959" s="27">
        <v>16903.264387177092</v>
      </c>
      <c r="I1959" s="3">
        <v>46182</v>
      </c>
      <c r="J1959" s="102">
        <v>46195</v>
      </c>
      <c r="K1959" s="12"/>
      <c r="L1959" s="1" t="s">
        <v>730</v>
      </c>
      <c r="M1959" s="36">
        <v>0</v>
      </c>
      <c r="N1959"/>
      <c r="O1959" t="s">
        <v>199</v>
      </c>
      <c r="P1959" t="s">
        <v>376</v>
      </c>
      <c r="Q1959" t="s">
        <v>203</v>
      </c>
    </row>
    <row r="1960" spans="1:17" x14ac:dyDescent="0.3">
      <c r="A1960" s="25">
        <v>1507</v>
      </c>
      <c r="B1960" t="s">
        <v>71</v>
      </c>
      <c r="C1960" t="s">
        <v>200</v>
      </c>
      <c r="D1960" t="s">
        <v>657</v>
      </c>
      <c r="E1960" s="118">
        <v>5250</v>
      </c>
      <c r="F1960" s="13">
        <v>46170</v>
      </c>
      <c r="G1960" s="24">
        <v>10180.1</v>
      </c>
      <c r="H1960" s="27">
        <v>9554.0222657952072</v>
      </c>
      <c r="I1960" s="3">
        <v>46182</v>
      </c>
      <c r="J1960" s="102">
        <v>46195</v>
      </c>
      <c r="K1960" s="12"/>
      <c r="L1960" s="1" t="s">
        <v>730</v>
      </c>
      <c r="M1960" s="36">
        <v>0</v>
      </c>
      <c r="N1960"/>
      <c r="O1960" t="s">
        <v>199</v>
      </c>
      <c r="P1960" t="s">
        <v>376</v>
      </c>
      <c r="Q1960" t="s">
        <v>203</v>
      </c>
    </row>
    <row r="1961" spans="1:17" x14ac:dyDescent="0.3">
      <c r="A1961" s="25">
        <v>1507</v>
      </c>
      <c r="B1961" t="s">
        <v>71</v>
      </c>
      <c r="C1961" t="s">
        <v>200</v>
      </c>
      <c r="D1961" t="s">
        <v>657</v>
      </c>
      <c r="E1961" s="118">
        <v>5251</v>
      </c>
      <c r="F1961" s="13">
        <v>46170</v>
      </c>
      <c r="G1961" s="24">
        <v>10963.18</v>
      </c>
      <c r="H1961" s="27">
        <v>10288.942723934018</v>
      </c>
      <c r="I1961" s="3">
        <v>46182</v>
      </c>
      <c r="J1961" s="102">
        <v>46195</v>
      </c>
      <c r="K1961" s="12"/>
      <c r="L1961" s="1" t="s">
        <v>730</v>
      </c>
      <c r="M1961" s="36">
        <v>0</v>
      </c>
      <c r="N1961"/>
      <c r="O1961" t="s">
        <v>199</v>
      </c>
      <c r="P1961" t="s">
        <v>376</v>
      </c>
      <c r="Q1961" t="s">
        <v>203</v>
      </c>
    </row>
    <row r="1962" spans="1:17" x14ac:dyDescent="0.3">
      <c r="A1962" s="25">
        <v>1507</v>
      </c>
      <c r="B1962" t="s">
        <v>71</v>
      </c>
      <c r="C1962" t="s">
        <v>200</v>
      </c>
      <c r="D1962" t="s">
        <v>657</v>
      </c>
      <c r="E1962" s="118">
        <v>5252</v>
      </c>
      <c r="F1962" s="13">
        <v>46170</v>
      </c>
      <c r="G1962" s="24">
        <v>39154.22</v>
      </c>
      <c r="H1962" s="27">
        <v>36746.229376906318</v>
      </c>
      <c r="I1962" s="3">
        <v>46182</v>
      </c>
      <c r="J1962" s="102">
        <v>46195</v>
      </c>
      <c r="K1962" s="12"/>
      <c r="L1962" s="1" t="s">
        <v>730</v>
      </c>
      <c r="M1962" s="36">
        <v>0</v>
      </c>
      <c r="N1962"/>
      <c r="O1962" t="s">
        <v>199</v>
      </c>
      <c r="P1962" t="s">
        <v>376</v>
      </c>
      <c r="Q1962" t="s">
        <v>203</v>
      </c>
    </row>
    <row r="1963" spans="1:17" x14ac:dyDescent="0.3">
      <c r="A1963" s="25">
        <v>1292</v>
      </c>
      <c r="B1963" t="s">
        <v>71</v>
      </c>
      <c r="C1963" t="s">
        <v>200</v>
      </c>
      <c r="D1963" t="s">
        <v>411</v>
      </c>
      <c r="E1963" s="118">
        <v>5253</v>
      </c>
      <c r="F1963" s="13">
        <v>46170</v>
      </c>
      <c r="G1963" s="24">
        <v>32039</v>
      </c>
      <c r="H1963" s="24">
        <v>30068.596514161221</v>
      </c>
      <c r="I1963" s="3">
        <v>46182</v>
      </c>
      <c r="J1963" s="102">
        <v>46195</v>
      </c>
      <c r="K1963" s="12"/>
      <c r="L1963" s="1" t="s">
        <v>730</v>
      </c>
      <c r="M1963" s="35">
        <v>0</v>
      </c>
      <c r="N1963"/>
      <c r="O1963" t="s">
        <v>199</v>
      </c>
      <c r="P1963" t="s">
        <v>376</v>
      </c>
      <c r="Q1963" t="s">
        <v>203</v>
      </c>
    </row>
    <row r="1964" spans="1:17" x14ac:dyDescent="0.3">
      <c r="A1964" s="25">
        <v>1292</v>
      </c>
      <c r="B1964" t="s">
        <v>71</v>
      </c>
      <c r="C1964" t="s">
        <v>200</v>
      </c>
      <c r="D1964" t="s">
        <v>411</v>
      </c>
      <c r="E1964" s="118">
        <v>5260</v>
      </c>
      <c r="F1964" s="13">
        <v>46170</v>
      </c>
      <c r="G1964" s="24">
        <v>42703.56</v>
      </c>
      <c r="H1964" s="24">
        <v>40077.279999999999</v>
      </c>
      <c r="I1964" s="3">
        <v>46183</v>
      </c>
      <c r="J1964" s="102">
        <v>46195</v>
      </c>
      <c r="K1964" s="12"/>
      <c r="L1964" s="1" t="s">
        <v>730</v>
      </c>
      <c r="M1964" s="35">
        <v>0</v>
      </c>
      <c r="N1964"/>
      <c r="O1964" t="s">
        <v>199</v>
      </c>
      <c r="P1964" t="s">
        <v>376</v>
      </c>
      <c r="Q1964" t="s">
        <v>203</v>
      </c>
    </row>
    <row r="1965" spans="1:17" x14ac:dyDescent="0.3">
      <c r="A1965" s="25">
        <v>1292</v>
      </c>
      <c r="B1965" t="s">
        <v>71</v>
      </c>
      <c r="C1965" t="s">
        <v>200</v>
      </c>
      <c r="D1965" t="s">
        <v>411</v>
      </c>
      <c r="E1965" s="118">
        <v>5261</v>
      </c>
      <c r="F1965" s="13">
        <v>46170</v>
      </c>
      <c r="G1965" s="24">
        <v>42703.56</v>
      </c>
      <c r="H1965" s="24">
        <v>40077.279999999999</v>
      </c>
      <c r="I1965" s="3">
        <v>46183</v>
      </c>
      <c r="J1965" s="102">
        <v>46195</v>
      </c>
      <c r="K1965" s="12"/>
      <c r="L1965" s="1" t="s">
        <v>730</v>
      </c>
      <c r="M1965" s="35">
        <v>0</v>
      </c>
      <c r="N1965"/>
      <c r="O1965" t="s">
        <v>199</v>
      </c>
      <c r="P1965" t="s">
        <v>376</v>
      </c>
      <c r="Q1965" t="s">
        <v>203</v>
      </c>
    </row>
    <row r="1966" spans="1:17" x14ac:dyDescent="0.3">
      <c r="A1966" s="25">
        <v>1292</v>
      </c>
      <c r="B1966" t="s">
        <v>71</v>
      </c>
      <c r="C1966" t="s">
        <v>200</v>
      </c>
      <c r="D1966" t="s">
        <v>411</v>
      </c>
      <c r="E1966" s="118">
        <v>5262</v>
      </c>
      <c r="F1966" s="13">
        <v>46170</v>
      </c>
      <c r="G1966" s="24">
        <v>42703.56</v>
      </c>
      <c r="H1966" s="24">
        <v>40077.279999999999</v>
      </c>
      <c r="I1966" s="3">
        <v>46183</v>
      </c>
      <c r="J1966" s="102">
        <v>46195</v>
      </c>
      <c r="K1966" s="12"/>
      <c r="L1966" s="1" t="s">
        <v>730</v>
      </c>
      <c r="M1966" s="35">
        <v>0</v>
      </c>
      <c r="N1966"/>
      <c r="O1966" t="s">
        <v>199</v>
      </c>
      <c r="P1966" t="s">
        <v>376</v>
      </c>
      <c r="Q1966" t="s">
        <v>203</v>
      </c>
    </row>
    <row r="1967" spans="1:17" x14ac:dyDescent="0.3">
      <c r="A1967" s="25">
        <v>1292</v>
      </c>
      <c r="B1967" t="s">
        <v>71</v>
      </c>
      <c r="C1967" t="s">
        <v>200</v>
      </c>
      <c r="D1967" t="s">
        <v>411</v>
      </c>
      <c r="E1967" s="118">
        <v>5263</v>
      </c>
      <c r="F1967" s="13">
        <v>46170</v>
      </c>
      <c r="G1967" s="24">
        <v>42703.56</v>
      </c>
      <c r="H1967" s="24">
        <v>40077.279999999999</v>
      </c>
      <c r="I1967" s="3">
        <v>46183</v>
      </c>
      <c r="J1967" s="102">
        <v>46195</v>
      </c>
      <c r="K1967" s="12"/>
      <c r="L1967" s="1" t="s">
        <v>730</v>
      </c>
      <c r="M1967" s="35">
        <v>0</v>
      </c>
      <c r="N1967"/>
      <c r="O1967" t="s">
        <v>199</v>
      </c>
      <c r="P1967" t="s">
        <v>376</v>
      </c>
      <c r="Q1967" t="s">
        <v>203</v>
      </c>
    </row>
    <row r="1968" spans="1:17" x14ac:dyDescent="0.3">
      <c r="A1968" s="25">
        <v>1508</v>
      </c>
      <c r="B1968" t="s">
        <v>71</v>
      </c>
      <c r="C1968" t="s">
        <v>200</v>
      </c>
      <c r="D1968" t="s">
        <v>658</v>
      </c>
      <c r="E1968" s="118">
        <v>4597</v>
      </c>
      <c r="F1968" s="13">
        <v>45989</v>
      </c>
      <c r="G1968" s="24">
        <v>93978.05</v>
      </c>
      <c r="H1968" s="24">
        <v>88198.399999999994</v>
      </c>
      <c r="I1968" s="3">
        <v>45992</v>
      </c>
      <c r="J1968" s="102">
        <v>46013</v>
      </c>
      <c r="K1968" s="12">
        <v>46014</v>
      </c>
      <c r="L1968" s="1" t="s">
        <v>731</v>
      </c>
      <c r="M1968" s="35"/>
      <c r="N1968"/>
      <c r="O1968" t="s">
        <v>201</v>
      </c>
      <c r="P1968" t="s">
        <v>376</v>
      </c>
      <c r="Q1968" t="s">
        <v>203</v>
      </c>
    </row>
    <row r="1969" spans="1:17" x14ac:dyDescent="0.3">
      <c r="A1969" s="25">
        <v>1508</v>
      </c>
      <c r="B1969" t="s">
        <v>71</v>
      </c>
      <c r="C1969" t="s">
        <v>200</v>
      </c>
      <c r="D1969" t="s">
        <v>658</v>
      </c>
      <c r="E1969" s="118">
        <v>4598</v>
      </c>
      <c r="F1969" s="13">
        <v>45989</v>
      </c>
      <c r="G1969" s="24">
        <v>93978.05</v>
      </c>
      <c r="H1969" s="24">
        <v>88198.399999999994</v>
      </c>
      <c r="I1969" s="3">
        <v>45992</v>
      </c>
      <c r="J1969" s="102">
        <v>46013</v>
      </c>
      <c r="K1969" s="12">
        <v>46014</v>
      </c>
      <c r="L1969" s="1" t="s">
        <v>731</v>
      </c>
      <c r="M1969" s="35">
        <v>0</v>
      </c>
      <c r="N1969"/>
      <c r="O1969" t="s">
        <v>201</v>
      </c>
      <c r="P1969" t="s">
        <v>376</v>
      </c>
      <c r="Q1969" t="s">
        <v>203</v>
      </c>
    </row>
    <row r="1970" spans="1:17" x14ac:dyDescent="0.3">
      <c r="A1970" s="25">
        <v>1508</v>
      </c>
      <c r="B1970" t="s">
        <v>71</v>
      </c>
      <c r="C1970" t="s">
        <v>200</v>
      </c>
      <c r="D1970" t="s">
        <v>658</v>
      </c>
      <c r="E1970" s="118">
        <v>4599</v>
      </c>
      <c r="F1970" s="13">
        <v>45989</v>
      </c>
      <c r="G1970" s="24">
        <v>93978.05</v>
      </c>
      <c r="H1970" s="24">
        <v>88198.399999999994</v>
      </c>
      <c r="I1970" s="3">
        <v>45992</v>
      </c>
      <c r="J1970" s="102">
        <v>46013</v>
      </c>
      <c r="K1970" s="12">
        <v>46015</v>
      </c>
      <c r="L1970" s="1" t="s">
        <v>731</v>
      </c>
      <c r="M1970" s="35">
        <v>0</v>
      </c>
      <c r="N1970"/>
      <c r="O1970" t="s">
        <v>201</v>
      </c>
      <c r="P1970" t="s">
        <v>376</v>
      </c>
      <c r="Q1970" t="s">
        <v>203</v>
      </c>
    </row>
    <row r="1971" spans="1:17" x14ac:dyDescent="0.3">
      <c r="A1971" s="25">
        <v>1508</v>
      </c>
      <c r="B1971" t="s">
        <v>71</v>
      </c>
      <c r="C1971" t="s">
        <v>200</v>
      </c>
      <c r="D1971" t="s">
        <v>658</v>
      </c>
      <c r="E1971" s="118">
        <v>4714</v>
      </c>
      <c r="F1971" s="13">
        <v>45989</v>
      </c>
      <c r="G1971" s="24">
        <v>93978.05</v>
      </c>
      <c r="H1971" s="24">
        <v>88198.399999999994</v>
      </c>
      <c r="I1971" s="3">
        <v>46027</v>
      </c>
      <c r="J1971" s="102">
        <v>46041</v>
      </c>
      <c r="K1971" s="12">
        <v>46042</v>
      </c>
      <c r="L1971" s="1" t="s">
        <v>731</v>
      </c>
      <c r="M1971" s="35">
        <v>0</v>
      </c>
      <c r="N1971"/>
      <c r="O1971" t="s">
        <v>201</v>
      </c>
      <c r="P1971" t="s">
        <v>376</v>
      </c>
      <c r="Q1971" t="s">
        <v>203</v>
      </c>
    </row>
    <row r="1972" spans="1:17" x14ac:dyDescent="0.3">
      <c r="A1972" s="25">
        <v>1508</v>
      </c>
      <c r="B1972" t="s">
        <v>71</v>
      </c>
      <c r="C1972" t="s">
        <v>200</v>
      </c>
      <c r="D1972" t="s">
        <v>658</v>
      </c>
      <c r="E1972" s="118">
        <v>4831</v>
      </c>
      <c r="F1972" s="13">
        <v>46051</v>
      </c>
      <c r="G1972" s="24">
        <v>19784.84</v>
      </c>
      <c r="H1972" s="24">
        <v>18568.07</v>
      </c>
      <c r="I1972" s="3">
        <v>46063</v>
      </c>
      <c r="J1972" s="102">
        <v>46076</v>
      </c>
      <c r="K1972" s="12">
        <v>46078</v>
      </c>
      <c r="L1972" s="1" t="s">
        <v>731</v>
      </c>
      <c r="M1972" s="35">
        <v>0</v>
      </c>
      <c r="N1972"/>
      <c r="O1972" t="s">
        <v>201</v>
      </c>
      <c r="P1972" t="s">
        <v>376</v>
      </c>
      <c r="Q1972" t="s">
        <v>203</v>
      </c>
    </row>
    <row r="1973" spans="1:17" x14ac:dyDescent="0.3">
      <c r="A1973" s="25">
        <v>1484</v>
      </c>
      <c r="B1973" t="s">
        <v>71</v>
      </c>
      <c r="C1973" t="s">
        <v>200</v>
      </c>
      <c r="D1973" t="s">
        <v>634</v>
      </c>
      <c r="E1973" s="118">
        <v>4586</v>
      </c>
      <c r="F1973" s="13">
        <v>45989</v>
      </c>
      <c r="G1973" s="24">
        <v>42265.08</v>
      </c>
      <c r="H1973" s="24">
        <v>39665.769999999997</v>
      </c>
      <c r="I1973" s="3">
        <v>45992</v>
      </c>
      <c r="J1973" s="102">
        <v>46013</v>
      </c>
      <c r="K1973" s="12">
        <v>46013</v>
      </c>
      <c r="L1973" s="1" t="s">
        <v>731</v>
      </c>
      <c r="M1973" s="35">
        <v>0</v>
      </c>
      <c r="N1973"/>
      <c r="O1973" t="s">
        <v>201</v>
      </c>
      <c r="P1973" t="s">
        <v>376</v>
      </c>
      <c r="Q1973" t="s">
        <v>203</v>
      </c>
    </row>
    <row r="1974" spans="1:17" x14ac:dyDescent="0.3">
      <c r="A1974" s="25">
        <v>1484</v>
      </c>
      <c r="B1974" t="s">
        <v>71</v>
      </c>
      <c r="C1974" t="s">
        <v>200</v>
      </c>
      <c r="D1974" t="s">
        <v>634</v>
      </c>
      <c r="E1974" s="118">
        <v>4587</v>
      </c>
      <c r="F1974" s="13">
        <v>46019</v>
      </c>
      <c r="G1974" s="24">
        <v>36601.06</v>
      </c>
      <c r="H1974" s="24">
        <v>34350.089999999997</v>
      </c>
      <c r="I1974" s="3">
        <v>45992</v>
      </c>
      <c r="J1974" s="102">
        <v>46006</v>
      </c>
      <c r="K1974" s="12">
        <v>46007</v>
      </c>
      <c r="L1974" s="1" t="s">
        <v>731</v>
      </c>
      <c r="M1974" s="35">
        <v>0</v>
      </c>
      <c r="N1974"/>
      <c r="O1974" t="s">
        <v>201</v>
      </c>
      <c r="P1974" t="s">
        <v>376</v>
      </c>
      <c r="Q1974" t="s">
        <v>203</v>
      </c>
    </row>
    <row r="1975" spans="1:17" x14ac:dyDescent="0.3">
      <c r="A1975" s="25">
        <v>1484</v>
      </c>
      <c r="B1975" t="s">
        <v>71</v>
      </c>
      <c r="C1975" t="s">
        <v>200</v>
      </c>
      <c r="D1975" t="s">
        <v>634</v>
      </c>
      <c r="E1975" s="118">
        <v>4588</v>
      </c>
      <c r="F1975" s="13">
        <v>45989</v>
      </c>
      <c r="G1975" s="24">
        <v>36601.06</v>
      </c>
      <c r="H1975" s="24">
        <v>34350.089999999997</v>
      </c>
      <c r="I1975" s="3">
        <v>45992</v>
      </c>
      <c r="J1975" s="102">
        <v>46006</v>
      </c>
      <c r="K1975" s="12">
        <v>46007</v>
      </c>
      <c r="L1975" s="1" t="s">
        <v>731</v>
      </c>
      <c r="M1975" s="35">
        <v>0</v>
      </c>
      <c r="N1975"/>
      <c r="O1975" t="s">
        <v>201</v>
      </c>
      <c r="P1975" t="s">
        <v>376</v>
      </c>
      <c r="Q1975" t="s">
        <v>203</v>
      </c>
    </row>
    <row r="1976" spans="1:17" x14ac:dyDescent="0.3">
      <c r="A1976" s="25">
        <v>1484</v>
      </c>
      <c r="B1976" t="s">
        <v>71</v>
      </c>
      <c r="C1976" t="s">
        <v>200</v>
      </c>
      <c r="D1976" t="s">
        <v>634</v>
      </c>
      <c r="E1976" s="118">
        <v>4715</v>
      </c>
      <c r="F1976" s="13">
        <v>46019</v>
      </c>
      <c r="G1976" s="27">
        <v>42265.08</v>
      </c>
      <c r="H1976" s="24">
        <v>39665.769999999997</v>
      </c>
      <c r="I1976" s="3">
        <v>46028</v>
      </c>
      <c r="J1976" s="102">
        <v>46041</v>
      </c>
      <c r="K1976" s="12">
        <v>46043</v>
      </c>
      <c r="L1976" s="1" t="s">
        <v>731</v>
      </c>
      <c r="M1976" s="35">
        <v>0</v>
      </c>
      <c r="N1976"/>
      <c r="O1976" t="s">
        <v>201</v>
      </c>
      <c r="P1976" t="s">
        <v>376</v>
      </c>
      <c r="Q1976" t="s">
        <v>203</v>
      </c>
    </row>
    <row r="1977" spans="1:17" x14ac:dyDescent="0.3">
      <c r="A1977" s="25">
        <v>1484</v>
      </c>
      <c r="B1977" t="s">
        <v>71</v>
      </c>
      <c r="C1977" t="s">
        <v>200</v>
      </c>
      <c r="D1977" t="s">
        <v>634</v>
      </c>
      <c r="E1977" s="118">
        <v>4716</v>
      </c>
      <c r="F1977" s="13">
        <v>46019</v>
      </c>
      <c r="G1977" s="27">
        <v>8897.9</v>
      </c>
      <c r="H1977" s="24">
        <v>8350.68</v>
      </c>
      <c r="I1977" s="3">
        <v>46028</v>
      </c>
      <c r="J1977" s="102">
        <v>46041</v>
      </c>
      <c r="K1977" s="12">
        <v>46043</v>
      </c>
      <c r="L1977" s="1" t="s">
        <v>731</v>
      </c>
      <c r="M1977" s="35">
        <v>0</v>
      </c>
      <c r="N1977"/>
      <c r="O1977" t="s">
        <v>201</v>
      </c>
      <c r="P1977" t="s">
        <v>376</v>
      </c>
      <c r="Q1977" t="s">
        <v>203</v>
      </c>
    </row>
    <row r="1978" spans="1:17" x14ac:dyDescent="0.3">
      <c r="A1978" s="25">
        <v>1484</v>
      </c>
      <c r="B1978" t="s">
        <v>71</v>
      </c>
      <c r="C1978" t="s">
        <v>200</v>
      </c>
      <c r="D1978" t="s">
        <v>634</v>
      </c>
      <c r="E1978" s="118">
        <v>4717</v>
      </c>
      <c r="F1978" s="13">
        <v>46019</v>
      </c>
      <c r="G1978" s="27">
        <v>36601.06</v>
      </c>
      <c r="H1978" s="24">
        <v>34350.089999999997</v>
      </c>
      <c r="I1978" s="3">
        <v>46028</v>
      </c>
      <c r="J1978" s="102">
        <v>46041</v>
      </c>
      <c r="K1978" s="12">
        <v>46043</v>
      </c>
      <c r="L1978" s="1" t="s">
        <v>731</v>
      </c>
      <c r="M1978" s="35">
        <v>0</v>
      </c>
      <c r="N1978"/>
      <c r="O1978" t="s">
        <v>201</v>
      </c>
      <c r="P1978" t="s">
        <v>376</v>
      </c>
      <c r="Q1978" t="s">
        <v>203</v>
      </c>
    </row>
    <row r="1979" spans="1:17" x14ac:dyDescent="0.3">
      <c r="A1979" s="25">
        <v>1484</v>
      </c>
      <c r="B1979" t="s">
        <v>71</v>
      </c>
      <c r="C1979" t="s">
        <v>200</v>
      </c>
      <c r="D1979" t="s">
        <v>634</v>
      </c>
      <c r="E1979" s="118">
        <v>4718</v>
      </c>
      <c r="F1979" s="13">
        <v>46019</v>
      </c>
      <c r="G1979" s="27">
        <v>15411.04</v>
      </c>
      <c r="H1979" s="24">
        <v>14463.26</v>
      </c>
      <c r="I1979" s="3">
        <v>46028</v>
      </c>
      <c r="J1979" s="102">
        <v>46048</v>
      </c>
      <c r="K1979" s="12">
        <v>46052</v>
      </c>
      <c r="L1979" s="1" t="s">
        <v>731</v>
      </c>
      <c r="M1979" s="35">
        <v>0</v>
      </c>
      <c r="N1979"/>
      <c r="O1979" t="s">
        <v>201</v>
      </c>
      <c r="P1979" t="s">
        <v>376</v>
      </c>
      <c r="Q1979" t="s">
        <v>203</v>
      </c>
    </row>
    <row r="1980" spans="1:17" x14ac:dyDescent="0.3">
      <c r="A1980" s="25">
        <v>1484</v>
      </c>
      <c r="B1980" t="s">
        <v>71</v>
      </c>
      <c r="C1980" t="s">
        <v>200</v>
      </c>
      <c r="D1980" t="s">
        <v>634</v>
      </c>
      <c r="E1980" s="118">
        <v>4953</v>
      </c>
      <c r="F1980" s="13">
        <v>46081</v>
      </c>
      <c r="G1980" s="24">
        <v>17619.400000000001</v>
      </c>
      <c r="H1980" s="24">
        <v>16535.810000000001</v>
      </c>
      <c r="I1980" s="3">
        <v>46094</v>
      </c>
      <c r="J1980" s="102">
        <v>46111</v>
      </c>
      <c r="K1980" s="12">
        <v>46111</v>
      </c>
      <c r="L1980" s="1" t="s">
        <v>731</v>
      </c>
      <c r="M1980" s="35">
        <v>0</v>
      </c>
      <c r="N1980"/>
      <c r="O1980" t="s">
        <v>201</v>
      </c>
      <c r="P1980" t="s">
        <v>376</v>
      </c>
      <c r="Q1980" t="s">
        <v>203</v>
      </c>
    </row>
    <row r="1981" spans="1:17" x14ac:dyDescent="0.3">
      <c r="A1981" s="25">
        <v>1484</v>
      </c>
      <c r="B1981" t="s">
        <v>71</v>
      </c>
      <c r="C1981" t="s">
        <v>200</v>
      </c>
      <c r="D1981" t="s">
        <v>634</v>
      </c>
      <c r="E1981" s="118">
        <v>4954</v>
      </c>
      <c r="F1981" s="13">
        <v>46081</v>
      </c>
      <c r="G1981" s="24">
        <v>39154.22</v>
      </c>
      <c r="H1981" s="24">
        <v>36746.239999999998</v>
      </c>
      <c r="I1981" s="3">
        <v>46094</v>
      </c>
      <c r="J1981" s="102">
        <v>46111</v>
      </c>
      <c r="K1981" s="12">
        <v>46111</v>
      </c>
      <c r="L1981" s="1" t="s">
        <v>731</v>
      </c>
      <c r="M1981" s="35">
        <v>0</v>
      </c>
      <c r="N1981"/>
      <c r="O1981" t="s">
        <v>201</v>
      </c>
      <c r="P1981" t="s">
        <v>376</v>
      </c>
      <c r="Q1981" t="s">
        <v>203</v>
      </c>
    </row>
    <row r="1982" spans="1:17" x14ac:dyDescent="0.3">
      <c r="A1982" s="25">
        <v>1484</v>
      </c>
      <c r="B1982" t="s">
        <v>71</v>
      </c>
      <c r="C1982" t="s">
        <v>200</v>
      </c>
      <c r="D1982" t="s">
        <v>634</v>
      </c>
      <c r="E1982" s="118">
        <v>4955</v>
      </c>
      <c r="F1982" s="13">
        <v>46081</v>
      </c>
      <c r="G1982" s="24">
        <v>9788.5499999999993</v>
      </c>
      <c r="H1982" s="24">
        <v>9186.5400000000009</v>
      </c>
      <c r="I1982" s="3">
        <v>46094</v>
      </c>
      <c r="J1982" s="102">
        <v>46111</v>
      </c>
      <c r="K1982" s="12">
        <v>46111</v>
      </c>
      <c r="L1982" s="1" t="s">
        <v>731</v>
      </c>
      <c r="M1982" s="35">
        <v>0</v>
      </c>
      <c r="N1982"/>
      <c r="O1982" t="s">
        <v>201</v>
      </c>
      <c r="P1982" t="s">
        <v>376</v>
      </c>
      <c r="Q1982" t="s">
        <v>203</v>
      </c>
    </row>
    <row r="1983" spans="1:17" x14ac:dyDescent="0.3">
      <c r="A1983" s="25">
        <v>1484</v>
      </c>
      <c r="B1983" t="s">
        <v>71</v>
      </c>
      <c r="C1983" t="s">
        <v>200</v>
      </c>
      <c r="D1983" t="s">
        <v>634</v>
      </c>
      <c r="E1983" s="118">
        <v>4956</v>
      </c>
      <c r="F1983" s="13">
        <v>46081</v>
      </c>
      <c r="G1983" s="24">
        <v>11746.27</v>
      </c>
      <c r="H1983" s="24">
        <v>11023.88</v>
      </c>
      <c r="I1983" s="3">
        <v>46094</v>
      </c>
      <c r="J1983" s="102">
        <v>46111</v>
      </c>
      <c r="K1983" s="12">
        <v>46111</v>
      </c>
      <c r="L1983" s="1" t="s">
        <v>731</v>
      </c>
      <c r="M1983" s="35">
        <v>0</v>
      </c>
      <c r="N1983"/>
      <c r="O1983" t="s">
        <v>201</v>
      </c>
      <c r="P1983" t="s">
        <v>376</v>
      </c>
      <c r="Q1983" t="s">
        <v>203</v>
      </c>
    </row>
    <row r="1984" spans="1:17" x14ac:dyDescent="0.3">
      <c r="A1984" s="25">
        <v>1484</v>
      </c>
      <c r="B1984" t="s">
        <v>71</v>
      </c>
      <c r="C1984" t="s">
        <v>200</v>
      </c>
      <c r="D1984" t="s">
        <v>634</v>
      </c>
      <c r="E1984" s="118">
        <v>4962</v>
      </c>
      <c r="F1984" s="13">
        <v>46081</v>
      </c>
      <c r="G1984" s="24">
        <v>39154.22</v>
      </c>
      <c r="H1984" s="27">
        <v>36746.239999999998</v>
      </c>
      <c r="I1984" s="3">
        <v>46097</v>
      </c>
      <c r="J1984" s="102">
        <v>46111</v>
      </c>
      <c r="K1984" s="12">
        <v>46112</v>
      </c>
      <c r="L1984" s="1" t="s">
        <v>731</v>
      </c>
      <c r="M1984" s="35">
        <v>0</v>
      </c>
      <c r="N1984"/>
      <c r="O1984" t="s">
        <v>201</v>
      </c>
      <c r="P1984" t="s">
        <v>376</v>
      </c>
      <c r="Q1984" t="s">
        <v>203</v>
      </c>
    </row>
    <row r="1985" spans="1:17" x14ac:dyDescent="0.3">
      <c r="A1985" s="25">
        <v>1484</v>
      </c>
      <c r="B1985" t="s">
        <v>71</v>
      </c>
      <c r="C1985" t="s">
        <v>200</v>
      </c>
      <c r="D1985" t="s">
        <v>634</v>
      </c>
      <c r="E1985" s="118">
        <v>4963</v>
      </c>
      <c r="F1985" s="13">
        <v>46081</v>
      </c>
      <c r="G1985" s="24">
        <v>9788.5499999999993</v>
      </c>
      <c r="H1985" s="27">
        <v>9186.5499999999993</v>
      </c>
      <c r="I1985" s="3">
        <v>46097</v>
      </c>
      <c r="J1985" s="102">
        <v>46111</v>
      </c>
      <c r="K1985" s="12">
        <v>46112</v>
      </c>
      <c r="L1985" s="1" t="s">
        <v>731</v>
      </c>
      <c r="M1985" s="35">
        <v>0</v>
      </c>
      <c r="N1985"/>
      <c r="O1985" t="s">
        <v>201</v>
      </c>
      <c r="P1985" t="s">
        <v>376</v>
      </c>
      <c r="Q1985" t="s">
        <v>203</v>
      </c>
    </row>
    <row r="1986" spans="1:17" x14ac:dyDescent="0.3">
      <c r="A1986" s="25">
        <v>1484</v>
      </c>
      <c r="B1986" t="s">
        <v>71</v>
      </c>
      <c r="C1986" t="s">
        <v>200</v>
      </c>
      <c r="D1986" t="s">
        <v>634</v>
      </c>
      <c r="E1986" s="118">
        <v>4964</v>
      </c>
      <c r="F1986" s="13">
        <v>46081</v>
      </c>
      <c r="G1986" s="24">
        <v>11746.27</v>
      </c>
      <c r="H1986" s="27">
        <v>11023.88</v>
      </c>
      <c r="I1986" s="3">
        <v>46097</v>
      </c>
      <c r="J1986" s="102">
        <v>46111</v>
      </c>
      <c r="K1986" s="12">
        <v>46112</v>
      </c>
      <c r="L1986" s="1" t="s">
        <v>731</v>
      </c>
      <c r="M1986" s="35">
        <v>0</v>
      </c>
      <c r="N1986"/>
      <c r="O1986" t="s">
        <v>201</v>
      </c>
      <c r="P1986" t="s">
        <v>376</v>
      </c>
      <c r="Q1986" t="s">
        <v>203</v>
      </c>
    </row>
    <row r="1987" spans="1:17" x14ac:dyDescent="0.3">
      <c r="A1987" s="25">
        <v>1484</v>
      </c>
      <c r="B1987" t="s">
        <v>71</v>
      </c>
      <c r="C1987" t="s">
        <v>200</v>
      </c>
      <c r="D1987" t="s">
        <v>634</v>
      </c>
      <c r="E1987" s="118">
        <v>4965</v>
      </c>
      <c r="F1987" s="13">
        <v>46081</v>
      </c>
      <c r="G1987" s="24">
        <v>17619.400000000001</v>
      </c>
      <c r="H1987" s="27">
        <v>16535.810000000001</v>
      </c>
      <c r="I1987" s="3">
        <v>46097</v>
      </c>
      <c r="J1987" s="102">
        <v>46111</v>
      </c>
      <c r="K1987" s="12">
        <v>46112</v>
      </c>
      <c r="L1987" s="1" t="s">
        <v>731</v>
      </c>
      <c r="M1987" s="35">
        <v>0</v>
      </c>
      <c r="N1987"/>
      <c r="O1987" t="s">
        <v>201</v>
      </c>
      <c r="P1987" t="s">
        <v>376</v>
      </c>
      <c r="Q1987" t="s">
        <v>203</v>
      </c>
    </row>
    <row r="1988" spans="1:17" x14ac:dyDescent="0.3">
      <c r="A1988" s="25">
        <v>1484</v>
      </c>
      <c r="B1988" t="s">
        <v>71</v>
      </c>
      <c r="C1988" t="s">
        <v>200</v>
      </c>
      <c r="D1988" t="s">
        <v>634</v>
      </c>
      <c r="E1988" s="118">
        <v>5049</v>
      </c>
      <c r="F1988" s="13">
        <v>46109</v>
      </c>
      <c r="G1988" s="27">
        <v>39154.22</v>
      </c>
      <c r="H1988" s="24">
        <v>36746.239999999998</v>
      </c>
      <c r="I1988" s="3">
        <v>46120</v>
      </c>
      <c r="J1988" s="102">
        <v>46132</v>
      </c>
      <c r="K1988" s="12">
        <v>46135</v>
      </c>
      <c r="L1988" s="1" t="s">
        <v>731</v>
      </c>
      <c r="M1988" s="35">
        <v>0</v>
      </c>
      <c r="N1988"/>
      <c r="O1988" t="s">
        <v>201</v>
      </c>
      <c r="P1988" t="s">
        <v>376</v>
      </c>
      <c r="Q1988" t="s">
        <v>203</v>
      </c>
    </row>
    <row r="1989" spans="1:17" x14ac:dyDescent="0.3">
      <c r="A1989" s="25">
        <v>1484</v>
      </c>
      <c r="B1989" t="s">
        <v>71</v>
      </c>
      <c r="C1989" t="s">
        <v>200</v>
      </c>
      <c r="D1989" t="s">
        <v>634</v>
      </c>
      <c r="E1989" s="118">
        <v>5080</v>
      </c>
      <c r="F1989" s="13">
        <v>46109</v>
      </c>
      <c r="G1989" s="27">
        <v>9788.5499999999993</v>
      </c>
      <c r="H1989" s="24">
        <v>9186.5499999999993</v>
      </c>
      <c r="I1989" s="3">
        <v>46127</v>
      </c>
      <c r="J1989" s="102">
        <v>46139</v>
      </c>
      <c r="K1989" s="12">
        <v>46142</v>
      </c>
      <c r="L1989" s="1" t="s">
        <v>731</v>
      </c>
      <c r="M1989" s="35">
        <v>0</v>
      </c>
      <c r="N1989"/>
      <c r="O1989" t="s">
        <v>201</v>
      </c>
      <c r="P1989" t="s">
        <v>376</v>
      </c>
      <c r="Q1989" t="s">
        <v>203</v>
      </c>
    </row>
    <row r="1990" spans="1:17" x14ac:dyDescent="0.3">
      <c r="A1990" s="25">
        <v>1484</v>
      </c>
      <c r="B1990" t="s">
        <v>71</v>
      </c>
      <c r="C1990" t="s">
        <v>200</v>
      </c>
      <c r="D1990" t="s">
        <v>634</v>
      </c>
      <c r="E1990" s="118">
        <v>5051</v>
      </c>
      <c r="F1990" s="13">
        <v>46109</v>
      </c>
      <c r="G1990" s="27">
        <v>17619.400000000001</v>
      </c>
      <c r="H1990" s="24">
        <v>16535.810000000001</v>
      </c>
      <c r="I1990" s="3">
        <v>46120</v>
      </c>
      <c r="J1990" s="102">
        <v>46132</v>
      </c>
      <c r="K1990" s="12">
        <v>46135</v>
      </c>
      <c r="L1990" s="1" t="s">
        <v>731</v>
      </c>
      <c r="M1990" s="35">
        <v>0</v>
      </c>
      <c r="N1990"/>
      <c r="O1990" t="s">
        <v>201</v>
      </c>
      <c r="P1990" t="s">
        <v>376</v>
      </c>
      <c r="Q1990" t="s">
        <v>203</v>
      </c>
    </row>
    <row r="1991" spans="1:17" x14ac:dyDescent="0.3">
      <c r="A1991" s="25">
        <v>1484</v>
      </c>
      <c r="B1991" t="s">
        <v>71</v>
      </c>
      <c r="C1991" t="s">
        <v>200</v>
      </c>
      <c r="D1991" t="s">
        <v>634</v>
      </c>
      <c r="E1991" s="118">
        <v>5052</v>
      </c>
      <c r="F1991" s="13">
        <v>46109</v>
      </c>
      <c r="G1991" s="27">
        <v>11746.27</v>
      </c>
      <c r="H1991" s="24">
        <v>11023.88</v>
      </c>
      <c r="I1991" s="3">
        <v>46120</v>
      </c>
      <c r="J1991" s="102">
        <v>46132</v>
      </c>
      <c r="K1991" s="12">
        <v>46135</v>
      </c>
      <c r="L1991" s="1" t="s">
        <v>731</v>
      </c>
      <c r="M1991" s="35">
        <v>0</v>
      </c>
      <c r="N1991"/>
      <c r="O1991" t="s">
        <v>201</v>
      </c>
      <c r="P1991" t="s">
        <v>376</v>
      </c>
      <c r="Q1991" t="s">
        <v>203</v>
      </c>
    </row>
    <row r="1992" spans="1:17" x14ac:dyDescent="0.3">
      <c r="A1992" s="25">
        <v>1484</v>
      </c>
      <c r="B1992" t="s">
        <v>71</v>
      </c>
      <c r="C1992" t="s">
        <v>200</v>
      </c>
      <c r="D1992" t="s">
        <v>634</v>
      </c>
      <c r="E1992" s="118">
        <v>5055</v>
      </c>
      <c r="F1992" s="13">
        <v>46109</v>
      </c>
      <c r="G1992" s="27">
        <v>6182.25</v>
      </c>
      <c r="H1992" s="24">
        <v>5802.05</v>
      </c>
      <c r="I1992" s="3">
        <v>46121</v>
      </c>
      <c r="J1992" s="102">
        <v>46132</v>
      </c>
      <c r="K1992" s="12">
        <v>46136</v>
      </c>
      <c r="L1992" s="1" t="s">
        <v>731</v>
      </c>
      <c r="M1992" s="35">
        <v>0</v>
      </c>
      <c r="N1992"/>
      <c r="O1992" t="s">
        <v>201</v>
      </c>
      <c r="P1992" t="s">
        <v>376</v>
      </c>
      <c r="Q1992" t="s">
        <v>203</v>
      </c>
    </row>
    <row r="1993" spans="1:17" x14ac:dyDescent="0.3">
      <c r="A1993" s="25">
        <v>1484</v>
      </c>
      <c r="B1993" t="s">
        <v>71</v>
      </c>
      <c r="C1993" t="s">
        <v>200</v>
      </c>
      <c r="D1993" t="s">
        <v>634</v>
      </c>
      <c r="E1993" s="118">
        <v>5056</v>
      </c>
      <c r="F1993" s="13">
        <v>46109</v>
      </c>
      <c r="G1993" s="27">
        <v>1545.57</v>
      </c>
      <c r="H1993" s="24">
        <v>1450.52</v>
      </c>
      <c r="I1993" s="3">
        <v>46121</v>
      </c>
      <c r="J1993" s="102">
        <v>46132</v>
      </c>
      <c r="K1993" s="12">
        <v>46136</v>
      </c>
      <c r="L1993" s="1" t="s">
        <v>731</v>
      </c>
      <c r="M1993" s="35">
        <v>0</v>
      </c>
      <c r="N1993"/>
      <c r="O1993" t="s">
        <v>201</v>
      </c>
      <c r="P1993" t="s">
        <v>376</v>
      </c>
      <c r="Q1993" t="s">
        <v>203</v>
      </c>
    </row>
    <row r="1994" spans="1:17" x14ac:dyDescent="0.3">
      <c r="A1994" s="25">
        <v>1484</v>
      </c>
      <c r="B1994" t="s">
        <v>71</v>
      </c>
      <c r="C1994" t="s">
        <v>200</v>
      </c>
      <c r="D1994" t="s">
        <v>634</v>
      </c>
      <c r="E1994" s="118">
        <v>5057</v>
      </c>
      <c r="F1994" s="13">
        <v>46109</v>
      </c>
      <c r="G1994" s="27">
        <v>1854.67</v>
      </c>
      <c r="H1994" s="24">
        <v>1740.61</v>
      </c>
      <c r="I1994" s="3">
        <v>46121</v>
      </c>
      <c r="J1994" s="102">
        <v>46132</v>
      </c>
      <c r="K1994" s="12">
        <v>46136</v>
      </c>
      <c r="L1994" s="1" t="s">
        <v>731</v>
      </c>
      <c r="M1994" s="35">
        <v>0</v>
      </c>
      <c r="N1994"/>
      <c r="O1994" t="s">
        <v>201</v>
      </c>
      <c r="P1994" t="s">
        <v>376</v>
      </c>
      <c r="Q1994" t="s">
        <v>203</v>
      </c>
    </row>
    <row r="1995" spans="1:17" x14ac:dyDescent="0.3">
      <c r="A1995" s="25">
        <v>1484</v>
      </c>
      <c r="B1995" t="s">
        <v>71</v>
      </c>
      <c r="C1995" t="s">
        <v>200</v>
      </c>
      <c r="D1995" t="s">
        <v>634</v>
      </c>
      <c r="E1995" s="118">
        <v>5058</v>
      </c>
      <c r="F1995" s="13">
        <v>46109</v>
      </c>
      <c r="G1995" s="27">
        <v>2782.01</v>
      </c>
      <c r="H1995" s="24">
        <v>2610.92</v>
      </c>
      <c r="I1995" s="3">
        <v>46121</v>
      </c>
      <c r="J1995" s="102">
        <v>46132</v>
      </c>
      <c r="K1995" s="12">
        <v>46136</v>
      </c>
      <c r="L1995" s="1" t="s">
        <v>731</v>
      </c>
      <c r="M1995" s="35">
        <v>0</v>
      </c>
      <c r="N1995"/>
      <c r="O1995" t="s">
        <v>201</v>
      </c>
      <c r="P1995" t="s">
        <v>376</v>
      </c>
      <c r="Q1995" t="s">
        <v>203</v>
      </c>
    </row>
    <row r="1996" spans="1:17" x14ac:dyDescent="0.3">
      <c r="A1996" s="25">
        <v>1484</v>
      </c>
      <c r="B1996" t="s">
        <v>71</v>
      </c>
      <c r="C1996" t="s">
        <v>200</v>
      </c>
      <c r="D1996" t="s">
        <v>634</v>
      </c>
      <c r="E1996" s="118"/>
      <c r="F1996" s="13">
        <v>46140</v>
      </c>
      <c r="G1996" s="24">
        <v>78000</v>
      </c>
      <c r="H1996" s="24"/>
      <c r="I1996" s="3">
        <v>46143</v>
      </c>
      <c r="J1996" s="102">
        <v>46195</v>
      </c>
      <c r="K1996" s="12"/>
      <c r="L1996" s="1" t="s">
        <v>719</v>
      </c>
      <c r="M1996" s="35">
        <v>0</v>
      </c>
      <c r="N1996"/>
      <c r="O1996" t="s">
        <v>201</v>
      </c>
      <c r="P1996" t="s">
        <v>376</v>
      </c>
      <c r="Q1996" t="s">
        <v>203</v>
      </c>
    </row>
    <row r="1997" spans="1:17" x14ac:dyDescent="0.3">
      <c r="A1997" s="25">
        <v>1484</v>
      </c>
      <c r="B1997" t="s">
        <v>71</v>
      </c>
      <c r="C1997" t="s">
        <v>200</v>
      </c>
      <c r="D1997" t="s">
        <v>634</v>
      </c>
      <c r="E1997" s="118"/>
      <c r="F1997" s="13">
        <v>46170</v>
      </c>
      <c r="G1997" s="24">
        <v>78000</v>
      </c>
      <c r="H1997" s="24"/>
      <c r="I1997" s="3">
        <v>46174</v>
      </c>
      <c r="J1997" s="102">
        <v>46195</v>
      </c>
      <c r="K1997" s="12"/>
      <c r="L1997" s="1" t="s">
        <v>719</v>
      </c>
      <c r="M1997" s="35">
        <v>0</v>
      </c>
      <c r="N1997"/>
      <c r="O1997" t="s">
        <v>201</v>
      </c>
      <c r="P1997" t="s">
        <v>376</v>
      </c>
      <c r="Q1997" t="s">
        <v>203</v>
      </c>
    </row>
    <row r="1998" spans="1:17" x14ac:dyDescent="0.3">
      <c r="A1998" s="25">
        <v>1484</v>
      </c>
      <c r="B1998" t="s">
        <v>71</v>
      </c>
      <c r="C1998" t="s">
        <v>200</v>
      </c>
      <c r="D1998" t="s">
        <v>634</v>
      </c>
      <c r="E1998" s="118">
        <v>4616</v>
      </c>
      <c r="F1998" s="13">
        <v>46019</v>
      </c>
      <c r="G1998" s="24">
        <v>36601.06</v>
      </c>
      <c r="H1998" s="24">
        <v>34350.089999999997</v>
      </c>
      <c r="I1998" s="3">
        <v>45994</v>
      </c>
      <c r="J1998" s="102">
        <v>46006</v>
      </c>
      <c r="K1998" s="12">
        <v>46009</v>
      </c>
      <c r="L1998" s="1" t="s">
        <v>731</v>
      </c>
      <c r="M1998" s="35">
        <v>0</v>
      </c>
      <c r="N1998"/>
      <c r="O1998" t="s">
        <v>201</v>
      </c>
      <c r="P1998" t="s">
        <v>376</v>
      </c>
      <c r="Q1998" t="s">
        <v>203</v>
      </c>
    </row>
    <row r="1999" spans="1:17" x14ac:dyDescent="0.3">
      <c r="A1999" s="9">
        <v>1393</v>
      </c>
      <c r="B1999" t="s">
        <v>215</v>
      </c>
      <c r="C1999" t="s">
        <v>348</v>
      </c>
      <c r="D1999" t="s">
        <v>522</v>
      </c>
      <c r="E1999" s="118">
        <v>8608</v>
      </c>
      <c r="F1999" s="13">
        <v>45989</v>
      </c>
      <c r="G1999" s="24">
        <v>105889.13</v>
      </c>
      <c r="H1999" s="27">
        <v>94982.55</v>
      </c>
      <c r="I1999" s="3">
        <v>45975</v>
      </c>
      <c r="J1999" s="102">
        <v>46069</v>
      </c>
      <c r="K1999" s="5">
        <v>46071</v>
      </c>
      <c r="L1999" s="19" t="s">
        <v>731</v>
      </c>
      <c r="M1999" s="35"/>
      <c r="N1999" s="15"/>
      <c r="O1999" t="s">
        <v>202</v>
      </c>
      <c r="P1999" t="s">
        <v>340</v>
      </c>
      <c r="Q1999" t="s">
        <v>213</v>
      </c>
    </row>
    <row r="2000" spans="1:17" x14ac:dyDescent="0.3">
      <c r="A2000" s="9">
        <v>1393</v>
      </c>
      <c r="B2000" t="s">
        <v>215</v>
      </c>
      <c r="C2000" t="s">
        <v>348</v>
      </c>
      <c r="D2000" t="s">
        <v>522</v>
      </c>
      <c r="E2000" s="118">
        <v>8656</v>
      </c>
      <c r="F2000" s="13">
        <v>45989</v>
      </c>
      <c r="G2000" s="24">
        <v>474621.36</v>
      </c>
      <c r="H2000" s="24">
        <v>425735.35</v>
      </c>
      <c r="I2000" s="3">
        <v>45995</v>
      </c>
      <c r="J2000" s="102">
        <v>46062</v>
      </c>
      <c r="K2000" s="5">
        <v>46066</v>
      </c>
      <c r="L2000" s="19" t="s">
        <v>731</v>
      </c>
      <c r="M2000" s="35"/>
      <c r="N2000" s="15"/>
      <c r="O2000" t="s">
        <v>202</v>
      </c>
      <c r="P2000" t="s">
        <v>340</v>
      </c>
      <c r="Q2000" t="s">
        <v>213</v>
      </c>
    </row>
    <row r="2001" spans="1:17" x14ac:dyDescent="0.3">
      <c r="A2001" s="9">
        <v>1393</v>
      </c>
      <c r="B2001" t="s">
        <v>215</v>
      </c>
      <c r="C2001" t="s">
        <v>348</v>
      </c>
      <c r="D2001" t="s">
        <v>522</v>
      </c>
      <c r="E2001" s="118"/>
      <c r="F2001" s="13">
        <v>45989</v>
      </c>
      <c r="G2001" s="24">
        <v>35184.980000000003</v>
      </c>
      <c r="H2001" s="24"/>
      <c r="I2001" s="3">
        <v>46082</v>
      </c>
      <c r="J2001" s="102"/>
      <c r="K2001" s="5"/>
      <c r="L2001" s="19" t="s">
        <v>719</v>
      </c>
      <c r="M2001" s="35"/>
      <c r="N2001" s="15"/>
      <c r="O2001" t="s">
        <v>202</v>
      </c>
      <c r="P2001" t="s">
        <v>340</v>
      </c>
      <c r="Q2001" t="s">
        <v>213</v>
      </c>
    </row>
    <row r="2002" spans="1:17" x14ac:dyDescent="0.3">
      <c r="A2002" s="9">
        <v>1393</v>
      </c>
      <c r="B2002" t="s">
        <v>215</v>
      </c>
      <c r="C2002" t="s">
        <v>348</v>
      </c>
      <c r="D2002" t="s">
        <v>522</v>
      </c>
      <c r="E2002" s="118">
        <v>8708</v>
      </c>
      <c r="F2002" s="13">
        <v>46019</v>
      </c>
      <c r="G2002" s="134">
        <v>469166.46</v>
      </c>
      <c r="H2002" s="27">
        <v>420842.31</v>
      </c>
      <c r="I2002" s="3">
        <v>46031</v>
      </c>
      <c r="J2002" s="102">
        <v>46069</v>
      </c>
      <c r="K2002" s="5">
        <v>46071</v>
      </c>
      <c r="L2002" s="19" t="s">
        <v>731</v>
      </c>
      <c r="M2002" s="35"/>
      <c r="N2002" s="15"/>
      <c r="O2002" t="s">
        <v>202</v>
      </c>
      <c r="P2002" t="s">
        <v>340</v>
      </c>
      <c r="Q2002" t="s">
        <v>213</v>
      </c>
    </row>
    <row r="2003" spans="1:17" x14ac:dyDescent="0.3">
      <c r="A2003" s="9">
        <v>1393</v>
      </c>
      <c r="B2003" t="s">
        <v>215</v>
      </c>
      <c r="C2003" t="s">
        <v>348</v>
      </c>
      <c r="D2003" t="s">
        <v>522</v>
      </c>
      <c r="E2003" s="118"/>
      <c r="F2003" s="13">
        <v>46019</v>
      </c>
      <c r="G2003" s="24">
        <v>58421</v>
      </c>
      <c r="H2003" s="24"/>
      <c r="I2003" s="3">
        <v>46082</v>
      </c>
      <c r="J2003" s="102"/>
      <c r="K2003" s="5"/>
      <c r="L2003" s="19" t="s">
        <v>719</v>
      </c>
      <c r="M2003" s="35"/>
      <c r="N2003" s="15"/>
      <c r="O2003" t="s">
        <v>202</v>
      </c>
      <c r="P2003" t="s">
        <v>340</v>
      </c>
      <c r="Q2003" t="s">
        <v>213</v>
      </c>
    </row>
    <row r="2004" spans="1:17" x14ac:dyDescent="0.3">
      <c r="A2004" s="9">
        <v>1393</v>
      </c>
      <c r="B2004" t="s">
        <v>215</v>
      </c>
      <c r="C2004" t="s">
        <v>348</v>
      </c>
      <c r="D2004" t="s">
        <v>522</v>
      </c>
      <c r="E2004" s="118">
        <v>8810</v>
      </c>
      <c r="F2004" s="13">
        <v>46051</v>
      </c>
      <c r="G2004" s="27">
        <v>461590.21</v>
      </c>
      <c r="H2004" s="27">
        <v>414046.42</v>
      </c>
      <c r="I2004" s="3">
        <v>46093</v>
      </c>
      <c r="J2004" s="102">
        <v>46125</v>
      </c>
      <c r="K2004" s="5">
        <v>46128</v>
      </c>
      <c r="L2004" s="19" t="s">
        <v>731</v>
      </c>
      <c r="M2004" s="35"/>
      <c r="N2004" s="15"/>
      <c r="O2004" t="s">
        <v>202</v>
      </c>
      <c r="P2004" t="s">
        <v>340</v>
      </c>
      <c r="Q2004" t="s">
        <v>213</v>
      </c>
    </row>
    <row r="2005" spans="1:17" x14ac:dyDescent="0.3">
      <c r="A2005" s="9">
        <v>1393</v>
      </c>
      <c r="B2005" t="s">
        <v>215</v>
      </c>
      <c r="C2005" t="s">
        <v>348</v>
      </c>
      <c r="D2005" t="s">
        <v>522</v>
      </c>
      <c r="E2005" s="118">
        <v>8809</v>
      </c>
      <c r="F2005" s="13">
        <v>46081</v>
      </c>
      <c r="G2005" s="27">
        <v>469056.15</v>
      </c>
      <c r="H2005" s="27">
        <v>420743.36</v>
      </c>
      <c r="I2005" s="3">
        <v>46093</v>
      </c>
      <c r="J2005" s="102">
        <v>46125</v>
      </c>
      <c r="K2005" s="5">
        <v>46128</v>
      </c>
      <c r="L2005" s="19" t="s">
        <v>731</v>
      </c>
      <c r="M2005" s="35"/>
      <c r="N2005" s="15"/>
      <c r="O2005" t="s">
        <v>202</v>
      </c>
      <c r="P2005" t="s">
        <v>340</v>
      </c>
      <c r="Q2005" t="s">
        <v>213</v>
      </c>
    </row>
    <row r="2006" spans="1:17" x14ac:dyDescent="0.3">
      <c r="A2006" s="9">
        <v>1393</v>
      </c>
      <c r="B2006" t="s">
        <v>215</v>
      </c>
      <c r="C2006" t="s">
        <v>348</v>
      </c>
      <c r="D2006" t="s">
        <v>522</v>
      </c>
      <c r="E2006" s="118">
        <v>8953</v>
      </c>
      <c r="F2006" s="13">
        <v>46172</v>
      </c>
      <c r="G2006" s="24">
        <v>17505.53</v>
      </c>
      <c r="H2006" s="24">
        <v>15702.46</v>
      </c>
      <c r="I2006" s="3">
        <v>46163</v>
      </c>
      <c r="J2006" s="102">
        <v>46209</v>
      </c>
      <c r="K2006" s="5"/>
      <c r="L2006" s="19" t="s">
        <v>730</v>
      </c>
      <c r="M2006" s="35"/>
      <c r="N2006" s="15"/>
      <c r="O2006" t="s">
        <v>202</v>
      </c>
      <c r="P2006" t="s">
        <v>340</v>
      </c>
      <c r="Q2006" t="s">
        <v>213</v>
      </c>
    </row>
    <row r="2007" spans="1:17" x14ac:dyDescent="0.3">
      <c r="A2007" s="25">
        <v>1290</v>
      </c>
      <c r="B2007" t="s">
        <v>215</v>
      </c>
      <c r="C2007" t="s">
        <v>40</v>
      </c>
      <c r="D2007" t="s">
        <v>409</v>
      </c>
      <c r="E2007" s="118">
        <v>8995</v>
      </c>
      <c r="F2007" s="13">
        <v>46170</v>
      </c>
      <c r="G2007" s="24">
        <v>55929.99</v>
      </c>
      <c r="H2007" s="24">
        <v>49414.161204875571</v>
      </c>
      <c r="I2007" s="3">
        <v>46178</v>
      </c>
      <c r="J2007" s="102">
        <v>46202</v>
      </c>
      <c r="K2007" s="12"/>
      <c r="L2007" s="22" t="s">
        <v>730</v>
      </c>
      <c r="M2007" s="35">
        <v>0</v>
      </c>
      <c r="N2007" s="26"/>
      <c r="O2007" t="s">
        <v>202</v>
      </c>
      <c r="P2007" t="s">
        <v>328</v>
      </c>
      <c r="Q2007" t="s">
        <v>213</v>
      </c>
    </row>
    <row r="2008" spans="1:17" x14ac:dyDescent="0.3">
      <c r="A2008" s="25">
        <v>1490</v>
      </c>
      <c r="B2008" t="s">
        <v>215</v>
      </c>
      <c r="C2008" t="s">
        <v>40</v>
      </c>
      <c r="D2008" t="s">
        <v>640</v>
      </c>
      <c r="E2008" s="118">
        <v>8849</v>
      </c>
      <c r="F2008" s="13">
        <v>46081</v>
      </c>
      <c r="G2008" s="27">
        <v>2761.23</v>
      </c>
      <c r="H2008" s="27">
        <v>2439.5500000000002</v>
      </c>
      <c r="I2008" s="3">
        <v>46122</v>
      </c>
      <c r="J2008" s="102">
        <v>46153</v>
      </c>
      <c r="K2008" s="12">
        <v>46153</v>
      </c>
      <c r="L2008" s="22" t="s">
        <v>731</v>
      </c>
      <c r="M2008" s="35">
        <v>0</v>
      </c>
      <c r="N2008" s="26"/>
      <c r="O2008" t="s">
        <v>202</v>
      </c>
      <c r="P2008" t="s">
        <v>328</v>
      </c>
      <c r="Q2008" t="s">
        <v>213</v>
      </c>
    </row>
    <row r="2009" spans="1:17" x14ac:dyDescent="0.3">
      <c r="A2009" s="9">
        <v>1476</v>
      </c>
      <c r="B2009" t="s">
        <v>215</v>
      </c>
      <c r="C2009" t="s">
        <v>46</v>
      </c>
      <c r="D2009" t="s">
        <v>626</v>
      </c>
      <c r="E2009" s="118">
        <v>8673</v>
      </c>
      <c r="F2009" s="13">
        <v>45989</v>
      </c>
      <c r="G2009" s="24">
        <v>344649.91</v>
      </c>
      <c r="H2009" s="24">
        <v>309150.96000000002</v>
      </c>
      <c r="I2009" s="3">
        <v>46002</v>
      </c>
      <c r="J2009" s="102">
        <v>46013</v>
      </c>
      <c r="K2009" s="12">
        <v>46015</v>
      </c>
      <c r="L2009" s="19" t="s">
        <v>731</v>
      </c>
      <c r="M2009" s="35"/>
      <c r="N2009" s="15"/>
      <c r="O2009" t="s">
        <v>202</v>
      </c>
      <c r="P2009" t="s">
        <v>340</v>
      </c>
      <c r="Q2009" t="s">
        <v>213</v>
      </c>
    </row>
    <row r="2010" spans="1:17" x14ac:dyDescent="0.3">
      <c r="A2010" s="25">
        <v>1476</v>
      </c>
      <c r="B2010" t="s">
        <v>215</v>
      </c>
      <c r="C2010" t="s">
        <v>46</v>
      </c>
      <c r="D2010" t="s">
        <v>626</v>
      </c>
      <c r="E2010" s="118">
        <v>8674</v>
      </c>
      <c r="F2010" s="13">
        <v>45958</v>
      </c>
      <c r="G2010" s="24">
        <v>302.88</v>
      </c>
      <c r="H2010" s="27">
        <v>271.68</v>
      </c>
      <c r="I2010" s="3">
        <v>46002</v>
      </c>
      <c r="J2010" s="102">
        <v>46020</v>
      </c>
      <c r="K2010" s="5">
        <v>46022</v>
      </c>
      <c r="L2010" s="22" t="s">
        <v>731</v>
      </c>
      <c r="M2010" s="35"/>
      <c r="N2010" s="26"/>
      <c r="O2010" t="s">
        <v>202</v>
      </c>
      <c r="P2010" t="s">
        <v>340</v>
      </c>
      <c r="Q2010" t="s">
        <v>213</v>
      </c>
    </row>
    <row r="2011" spans="1:17" x14ac:dyDescent="0.3">
      <c r="A2011" s="9">
        <v>1476</v>
      </c>
      <c r="B2011" t="s">
        <v>215</v>
      </c>
      <c r="C2011" t="s">
        <v>46</v>
      </c>
      <c r="D2011" t="s">
        <v>626</v>
      </c>
      <c r="E2011" s="118">
        <v>8678</v>
      </c>
      <c r="F2011" s="13">
        <v>45989</v>
      </c>
      <c r="G2011" s="24">
        <v>125770.15</v>
      </c>
      <c r="H2011" s="27">
        <v>112815.82</v>
      </c>
      <c r="I2011" s="3">
        <v>46002</v>
      </c>
      <c r="J2011" s="102">
        <v>46020</v>
      </c>
      <c r="K2011" s="5">
        <v>46022</v>
      </c>
      <c r="L2011" s="22" t="s">
        <v>731</v>
      </c>
      <c r="M2011" s="35"/>
      <c r="N2011" s="15"/>
      <c r="O2011" t="s">
        <v>202</v>
      </c>
      <c r="P2011" t="s">
        <v>340</v>
      </c>
      <c r="Q2011" t="s">
        <v>213</v>
      </c>
    </row>
    <row r="2012" spans="1:17" x14ac:dyDescent="0.3">
      <c r="A2012" s="9">
        <v>1476</v>
      </c>
      <c r="B2012" t="s">
        <v>215</v>
      </c>
      <c r="C2012" t="s">
        <v>46</v>
      </c>
      <c r="D2012" t="s">
        <v>626</v>
      </c>
      <c r="E2012" s="118">
        <v>8695</v>
      </c>
      <c r="F2012" s="13">
        <v>45989</v>
      </c>
      <c r="G2012" s="24">
        <v>1334.78</v>
      </c>
      <c r="H2012" s="24">
        <v>1197.29</v>
      </c>
      <c r="I2012" s="3">
        <v>46008</v>
      </c>
      <c r="J2012" s="102">
        <v>46055</v>
      </c>
      <c r="K2012" s="5">
        <v>46057</v>
      </c>
      <c r="L2012" s="22" t="s">
        <v>731</v>
      </c>
      <c r="M2012" s="35"/>
      <c r="N2012" s="15"/>
      <c r="O2012" t="s">
        <v>202</v>
      </c>
      <c r="P2012" t="s">
        <v>340</v>
      </c>
      <c r="Q2012" t="s">
        <v>213</v>
      </c>
    </row>
    <row r="2013" spans="1:17" x14ac:dyDescent="0.3">
      <c r="A2013" s="9">
        <v>1476</v>
      </c>
      <c r="B2013" t="s">
        <v>215</v>
      </c>
      <c r="C2013" t="s">
        <v>46</v>
      </c>
      <c r="D2013" t="s">
        <v>626</v>
      </c>
      <c r="E2013" s="118">
        <v>8707</v>
      </c>
      <c r="F2013" s="13">
        <v>46019</v>
      </c>
      <c r="G2013" s="27">
        <v>344649.91</v>
      </c>
      <c r="H2013" s="27">
        <v>309150.96000000002</v>
      </c>
      <c r="I2013" s="3">
        <v>46031</v>
      </c>
      <c r="J2013" s="102">
        <v>46055</v>
      </c>
      <c r="K2013" s="5">
        <v>46057</v>
      </c>
      <c r="L2013" s="22" t="s">
        <v>731</v>
      </c>
      <c r="M2013" s="35"/>
      <c r="N2013" s="15"/>
      <c r="O2013" t="s">
        <v>202</v>
      </c>
      <c r="P2013" t="s">
        <v>340</v>
      </c>
      <c r="Q2013" t="s">
        <v>213</v>
      </c>
    </row>
    <row r="2014" spans="1:17" x14ac:dyDescent="0.3">
      <c r="A2014" s="9">
        <v>1476</v>
      </c>
      <c r="B2014" t="s">
        <v>215</v>
      </c>
      <c r="C2014" t="s">
        <v>46</v>
      </c>
      <c r="D2014" t="s">
        <v>626</v>
      </c>
      <c r="E2014" s="118">
        <v>8776</v>
      </c>
      <c r="F2014" s="13">
        <v>46019</v>
      </c>
      <c r="G2014" s="27">
        <v>2205.98</v>
      </c>
      <c r="H2014" s="27">
        <v>1978.76</v>
      </c>
      <c r="I2014" s="3">
        <v>46083</v>
      </c>
      <c r="J2014" s="102">
        <v>46083</v>
      </c>
      <c r="K2014" s="5">
        <v>46087</v>
      </c>
      <c r="L2014" s="22" t="s">
        <v>731</v>
      </c>
      <c r="M2014" s="35"/>
      <c r="N2014" s="15"/>
      <c r="O2014" t="s">
        <v>202</v>
      </c>
      <c r="P2014" t="s">
        <v>340</v>
      </c>
      <c r="Q2014" t="s">
        <v>213</v>
      </c>
    </row>
    <row r="2015" spans="1:17" x14ac:dyDescent="0.3">
      <c r="A2015" s="9">
        <v>1476</v>
      </c>
      <c r="B2015" t="s">
        <v>215</v>
      </c>
      <c r="C2015" t="s">
        <v>46</v>
      </c>
      <c r="D2015" t="s">
        <v>626</v>
      </c>
      <c r="E2015" s="118">
        <v>8775</v>
      </c>
      <c r="F2015" s="13">
        <v>46051</v>
      </c>
      <c r="G2015" s="27">
        <v>173.46</v>
      </c>
      <c r="H2015" s="27">
        <v>155.59</v>
      </c>
      <c r="I2015" s="3">
        <v>46083</v>
      </c>
      <c r="J2015" s="102">
        <v>46090</v>
      </c>
      <c r="K2015" s="5">
        <v>46090</v>
      </c>
      <c r="L2015" s="22" t="s">
        <v>731</v>
      </c>
      <c r="M2015" s="35"/>
      <c r="N2015" s="15"/>
      <c r="O2015" t="s">
        <v>202</v>
      </c>
      <c r="P2015" t="s">
        <v>340</v>
      </c>
      <c r="Q2015" t="s">
        <v>213</v>
      </c>
    </row>
    <row r="2016" spans="1:17" x14ac:dyDescent="0.3">
      <c r="A2016" s="9">
        <v>1476</v>
      </c>
      <c r="B2016" t="s">
        <v>215</v>
      </c>
      <c r="C2016" t="s">
        <v>46</v>
      </c>
      <c r="D2016" t="s">
        <v>626</v>
      </c>
      <c r="E2016" s="118">
        <v>8794</v>
      </c>
      <c r="F2016" s="13">
        <v>46081</v>
      </c>
      <c r="G2016" s="27">
        <v>137.47</v>
      </c>
      <c r="H2016" s="27">
        <v>123.31</v>
      </c>
      <c r="I2016" s="3">
        <v>46087</v>
      </c>
      <c r="J2016" s="102">
        <v>46113</v>
      </c>
      <c r="K2016" s="5">
        <v>46114</v>
      </c>
      <c r="L2016" s="22" t="s">
        <v>731</v>
      </c>
      <c r="M2016" s="35"/>
      <c r="N2016" s="15"/>
      <c r="O2016" t="s">
        <v>202</v>
      </c>
      <c r="P2016" t="s">
        <v>340</v>
      </c>
      <c r="Q2016" t="s">
        <v>213</v>
      </c>
    </row>
    <row r="2017" spans="1:17" x14ac:dyDescent="0.3">
      <c r="A2017" s="9">
        <v>1476</v>
      </c>
      <c r="B2017" t="s">
        <v>215</v>
      </c>
      <c r="C2017" t="s">
        <v>46</v>
      </c>
      <c r="D2017" t="s">
        <v>626</v>
      </c>
      <c r="E2017" s="118"/>
      <c r="F2017" s="13">
        <v>46019</v>
      </c>
      <c r="G2017" s="24">
        <v>43015</v>
      </c>
      <c r="H2017" s="24"/>
      <c r="I2017" s="3">
        <v>46082</v>
      </c>
      <c r="J2017" s="102"/>
      <c r="K2017" s="5"/>
      <c r="L2017" s="22" t="s">
        <v>719</v>
      </c>
      <c r="M2017" s="35"/>
      <c r="N2017" s="15"/>
      <c r="O2017" t="s">
        <v>202</v>
      </c>
      <c r="P2017" t="s">
        <v>340</v>
      </c>
      <c r="Q2017" t="s">
        <v>213</v>
      </c>
    </row>
    <row r="2018" spans="1:17" x14ac:dyDescent="0.3">
      <c r="A2018" s="9">
        <v>1476</v>
      </c>
      <c r="B2018" t="s">
        <v>215</v>
      </c>
      <c r="C2018" t="s">
        <v>46</v>
      </c>
      <c r="D2018" t="s">
        <v>626</v>
      </c>
      <c r="E2018" s="118">
        <v>8774</v>
      </c>
      <c r="F2018" s="13">
        <v>46051</v>
      </c>
      <c r="G2018" s="27">
        <v>369184.69</v>
      </c>
      <c r="H2018" s="27">
        <v>331158.67</v>
      </c>
      <c r="I2018" s="3">
        <v>46083</v>
      </c>
      <c r="J2018" s="102">
        <v>46090</v>
      </c>
      <c r="K2018" s="5">
        <v>46090</v>
      </c>
      <c r="L2018" s="22" t="s">
        <v>731</v>
      </c>
      <c r="M2018" s="35"/>
      <c r="N2018" s="15"/>
      <c r="O2018" t="s">
        <v>202</v>
      </c>
      <c r="P2018" t="s">
        <v>340</v>
      </c>
      <c r="Q2018" t="s">
        <v>213</v>
      </c>
    </row>
    <row r="2019" spans="1:17" x14ac:dyDescent="0.3">
      <c r="A2019" s="9">
        <v>1476</v>
      </c>
      <c r="B2019" t="s">
        <v>215</v>
      </c>
      <c r="C2019" t="s">
        <v>46</v>
      </c>
      <c r="D2019" t="s">
        <v>626</v>
      </c>
      <c r="E2019" s="118">
        <v>8802</v>
      </c>
      <c r="F2019" s="13">
        <v>46081</v>
      </c>
      <c r="G2019" s="27">
        <v>369184.69</v>
      </c>
      <c r="H2019" s="27">
        <v>331158.67</v>
      </c>
      <c r="I2019" s="3">
        <v>46092</v>
      </c>
      <c r="J2019" s="102">
        <v>46104</v>
      </c>
      <c r="K2019" s="5">
        <v>46107</v>
      </c>
      <c r="L2019" s="22" t="s">
        <v>731</v>
      </c>
      <c r="M2019" s="35"/>
      <c r="N2019" s="15"/>
      <c r="O2019" t="s">
        <v>202</v>
      </c>
      <c r="P2019" t="s">
        <v>340</v>
      </c>
      <c r="Q2019" t="s">
        <v>213</v>
      </c>
    </row>
    <row r="2020" spans="1:17" x14ac:dyDescent="0.3">
      <c r="A2020" s="9">
        <v>1476</v>
      </c>
      <c r="B2020" t="s">
        <v>215</v>
      </c>
      <c r="C2020" t="s">
        <v>46</v>
      </c>
      <c r="D2020" t="s">
        <v>626</v>
      </c>
      <c r="E2020" s="118">
        <v>8856</v>
      </c>
      <c r="F2020" s="13">
        <v>46109</v>
      </c>
      <c r="G2020" s="27">
        <v>369184.69</v>
      </c>
      <c r="H2020" s="27">
        <v>331158.67</v>
      </c>
      <c r="I2020" s="3">
        <v>46125</v>
      </c>
      <c r="J2020" s="102">
        <v>46139</v>
      </c>
      <c r="K2020" s="5">
        <v>46141</v>
      </c>
      <c r="L2020" s="22" t="s">
        <v>731</v>
      </c>
      <c r="M2020" s="35"/>
      <c r="N2020" s="15"/>
      <c r="O2020" t="s">
        <v>202</v>
      </c>
      <c r="P2020" t="s">
        <v>340</v>
      </c>
      <c r="Q2020" t="s">
        <v>213</v>
      </c>
    </row>
    <row r="2021" spans="1:17" x14ac:dyDescent="0.3">
      <c r="A2021" s="9">
        <v>1394</v>
      </c>
      <c r="B2021" t="s">
        <v>210</v>
      </c>
      <c r="C2021" t="s">
        <v>38</v>
      </c>
      <c r="D2021" t="s">
        <v>523</v>
      </c>
      <c r="E2021" s="118">
        <v>8949</v>
      </c>
      <c r="F2021" s="13">
        <v>46140</v>
      </c>
      <c r="G2021" s="24">
        <v>30325.235756527167</v>
      </c>
      <c r="H2021" s="24">
        <v>28263.119999999999</v>
      </c>
      <c r="I2021" s="3">
        <v>46161</v>
      </c>
      <c r="J2021" s="102">
        <v>46167</v>
      </c>
      <c r="K2021" s="5">
        <v>46171</v>
      </c>
      <c r="L2021" s="22" t="s">
        <v>731</v>
      </c>
      <c r="M2021" s="56"/>
      <c r="N2021" s="15"/>
      <c r="O2021" t="s">
        <v>202</v>
      </c>
      <c r="P2021" t="s">
        <v>340</v>
      </c>
      <c r="Q2021" t="s">
        <v>213</v>
      </c>
    </row>
    <row r="2022" spans="1:17" x14ac:dyDescent="0.3">
      <c r="A2022" s="25">
        <v>1490</v>
      </c>
      <c r="B2022" t="s">
        <v>215</v>
      </c>
      <c r="C2022" t="s">
        <v>40</v>
      </c>
      <c r="D2022" t="s">
        <v>640</v>
      </c>
      <c r="E2022" s="118">
        <v>8993</v>
      </c>
      <c r="F2022" s="13">
        <v>46170</v>
      </c>
      <c r="G2022" s="24">
        <v>2396.09</v>
      </c>
      <c r="H2022" s="24">
        <v>2116.96</v>
      </c>
      <c r="I2022" s="3">
        <v>46175</v>
      </c>
      <c r="J2022" s="102">
        <v>46209</v>
      </c>
      <c r="K2022" s="12"/>
      <c r="L2022" s="22" t="s">
        <v>730</v>
      </c>
      <c r="M2022" s="35">
        <v>0</v>
      </c>
      <c r="N2022" s="26"/>
      <c r="O2022" t="s">
        <v>202</v>
      </c>
      <c r="P2022" t="s">
        <v>328</v>
      </c>
      <c r="Q2022" t="s">
        <v>213</v>
      </c>
    </row>
    <row r="2023" spans="1:17" x14ac:dyDescent="0.3">
      <c r="A2023" s="25">
        <v>1490</v>
      </c>
      <c r="B2023" t="s">
        <v>215</v>
      </c>
      <c r="C2023" t="s">
        <v>40</v>
      </c>
      <c r="D2023" t="s">
        <v>640</v>
      </c>
      <c r="E2023" s="118"/>
      <c r="F2023" s="13">
        <v>46201</v>
      </c>
      <c r="G2023" s="24">
        <v>2396</v>
      </c>
      <c r="H2023" s="24">
        <v>2050.4499999999998</v>
      </c>
      <c r="I2023" s="3">
        <v>46143</v>
      </c>
      <c r="J2023" s="102">
        <v>46209</v>
      </c>
      <c r="K2023" s="12"/>
      <c r="L2023" s="22" t="s">
        <v>719</v>
      </c>
      <c r="M2023" s="35">
        <v>0</v>
      </c>
      <c r="N2023" s="26"/>
      <c r="O2023" t="s">
        <v>202</v>
      </c>
      <c r="P2023" t="s">
        <v>328</v>
      </c>
      <c r="Q2023" t="s">
        <v>213</v>
      </c>
    </row>
    <row r="2024" spans="1:17" x14ac:dyDescent="0.3">
      <c r="A2024" s="25">
        <v>1296</v>
      </c>
      <c r="B2024" t="s">
        <v>84</v>
      </c>
      <c r="C2024" t="s">
        <v>34</v>
      </c>
      <c r="D2024" t="s">
        <v>416</v>
      </c>
      <c r="E2024" s="118">
        <v>1319</v>
      </c>
      <c r="F2024" s="13">
        <v>45989</v>
      </c>
      <c r="G2024" s="24">
        <v>342793.44</v>
      </c>
      <c r="H2024" s="24">
        <v>314855.78000000003</v>
      </c>
      <c r="I2024" s="3">
        <v>46008</v>
      </c>
      <c r="J2024" s="102">
        <v>46034</v>
      </c>
      <c r="K2024" s="29">
        <v>46038</v>
      </c>
      <c r="L2024" s="37" t="s">
        <v>731</v>
      </c>
      <c r="M2024" s="35"/>
      <c r="N2024" s="26"/>
      <c r="O2024" t="s">
        <v>202</v>
      </c>
      <c r="P2024" t="s">
        <v>328</v>
      </c>
      <c r="Q2024" t="s">
        <v>207</v>
      </c>
    </row>
    <row r="2025" spans="1:17" x14ac:dyDescent="0.3">
      <c r="A2025" s="25">
        <v>1300</v>
      </c>
      <c r="B2025" t="s">
        <v>84</v>
      </c>
      <c r="C2025" t="s">
        <v>34</v>
      </c>
      <c r="D2025" t="s">
        <v>420</v>
      </c>
      <c r="E2025" s="118">
        <v>8681</v>
      </c>
      <c r="F2025" s="13">
        <v>45989</v>
      </c>
      <c r="G2025" s="24">
        <v>37210.160000000003</v>
      </c>
      <c r="H2025" s="24">
        <v>34177.53</v>
      </c>
      <c r="I2025" s="3">
        <v>46002</v>
      </c>
      <c r="J2025" s="102">
        <v>46034</v>
      </c>
      <c r="K2025" s="29">
        <v>46038</v>
      </c>
      <c r="L2025" s="37" t="s">
        <v>731</v>
      </c>
      <c r="M2025" s="35"/>
      <c r="N2025" s="26"/>
      <c r="O2025" t="s">
        <v>202</v>
      </c>
      <c r="P2025" t="s">
        <v>328</v>
      </c>
      <c r="Q2025" t="s">
        <v>207</v>
      </c>
    </row>
    <row r="2026" spans="1:17" x14ac:dyDescent="0.3">
      <c r="A2026" s="25">
        <v>1300</v>
      </c>
      <c r="B2026" t="s">
        <v>84</v>
      </c>
      <c r="C2026" t="s">
        <v>34</v>
      </c>
      <c r="D2026" t="s">
        <v>420</v>
      </c>
      <c r="E2026" s="118">
        <v>8694</v>
      </c>
      <c r="F2026" s="13">
        <v>46019</v>
      </c>
      <c r="G2026" s="24">
        <v>37210.160000000003</v>
      </c>
      <c r="H2026" s="24">
        <v>34177.53</v>
      </c>
      <c r="I2026" s="3">
        <v>46008</v>
      </c>
      <c r="J2026" s="102">
        <v>46034</v>
      </c>
      <c r="K2026" s="29">
        <v>46038</v>
      </c>
      <c r="L2026" s="37" t="s">
        <v>731</v>
      </c>
      <c r="M2026" s="35"/>
      <c r="N2026" s="26"/>
      <c r="O2026" t="s">
        <v>202</v>
      </c>
      <c r="P2026" t="s">
        <v>328</v>
      </c>
      <c r="Q2026" t="s">
        <v>207</v>
      </c>
    </row>
    <row r="2027" spans="1:17" x14ac:dyDescent="0.3">
      <c r="A2027" s="25">
        <v>1300</v>
      </c>
      <c r="B2027" t="s">
        <v>84</v>
      </c>
      <c r="C2027" t="s">
        <v>34</v>
      </c>
      <c r="D2027" t="s">
        <v>420</v>
      </c>
      <c r="E2027" s="118">
        <v>1322</v>
      </c>
      <c r="F2027" s="13">
        <v>46019</v>
      </c>
      <c r="G2027" s="24">
        <v>137858.97</v>
      </c>
      <c r="H2027" s="24">
        <v>126623.47</v>
      </c>
      <c r="I2027" s="3">
        <v>46008</v>
      </c>
      <c r="J2027" s="102">
        <v>46034</v>
      </c>
      <c r="K2027" s="29">
        <v>46038</v>
      </c>
      <c r="L2027" s="37" t="s">
        <v>731</v>
      </c>
      <c r="M2027" s="35"/>
      <c r="N2027" s="26"/>
      <c r="O2027" t="s">
        <v>202</v>
      </c>
      <c r="P2027" t="s">
        <v>328</v>
      </c>
      <c r="Q2027" t="s">
        <v>207</v>
      </c>
    </row>
    <row r="2028" spans="1:17" x14ac:dyDescent="0.3">
      <c r="A2028" s="25">
        <v>1300</v>
      </c>
      <c r="B2028" t="s">
        <v>84</v>
      </c>
      <c r="C2028" t="s">
        <v>34</v>
      </c>
      <c r="D2028" t="s">
        <v>420</v>
      </c>
      <c r="E2028" s="118">
        <v>1324</v>
      </c>
      <c r="F2028" s="13">
        <v>46019</v>
      </c>
      <c r="G2028" s="24">
        <v>137858.97</v>
      </c>
      <c r="H2028" s="27">
        <v>126623.47</v>
      </c>
      <c r="I2028" s="3">
        <v>46013</v>
      </c>
      <c r="J2028" s="102">
        <v>46048</v>
      </c>
      <c r="K2028" s="29">
        <v>46048</v>
      </c>
      <c r="L2028" s="37" t="s">
        <v>731</v>
      </c>
      <c r="M2028" s="35"/>
      <c r="N2028" s="26"/>
      <c r="O2028" t="s">
        <v>202</v>
      </c>
      <c r="P2028" t="s">
        <v>328</v>
      </c>
      <c r="Q2028" t="s">
        <v>207</v>
      </c>
    </row>
    <row r="2029" spans="1:17" x14ac:dyDescent="0.3">
      <c r="A2029" s="9">
        <v>1300</v>
      </c>
      <c r="B2029" t="s">
        <v>84</v>
      </c>
      <c r="C2029" t="s">
        <v>34</v>
      </c>
      <c r="D2029" t="s">
        <v>420</v>
      </c>
      <c r="E2029" s="118">
        <v>1323</v>
      </c>
      <c r="F2029" s="13">
        <v>45989</v>
      </c>
      <c r="G2029" s="24">
        <v>275717.94</v>
      </c>
      <c r="H2029" s="27">
        <v>253246.92</v>
      </c>
      <c r="I2029" s="3">
        <v>46009</v>
      </c>
      <c r="J2029" s="102">
        <v>46048</v>
      </c>
      <c r="K2029" s="5">
        <v>46048</v>
      </c>
      <c r="L2029" s="37" t="s">
        <v>731</v>
      </c>
      <c r="M2029" s="35"/>
      <c r="N2029" s="26"/>
      <c r="O2029" t="s">
        <v>202</v>
      </c>
      <c r="P2029" t="s">
        <v>328</v>
      </c>
      <c r="Q2029" t="s">
        <v>207</v>
      </c>
    </row>
    <row r="2030" spans="1:17" x14ac:dyDescent="0.3">
      <c r="A2030" s="9">
        <v>1300</v>
      </c>
      <c r="B2030" t="s">
        <v>84</v>
      </c>
      <c r="C2030" t="s">
        <v>34</v>
      </c>
      <c r="D2030" t="s">
        <v>420</v>
      </c>
      <c r="E2030" s="118">
        <v>8744</v>
      </c>
      <c r="F2030" s="13">
        <v>46051</v>
      </c>
      <c r="G2030" s="24">
        <v>37210.160000000003</v>
      </c>
      <c r="H2030" s="24">
        <v>34177.53</v>
      </c>
      <c r="I2030" s="3">
        <v>46063</v>
      </c>
      <c r="J2030" s="102">
        <v>46097</v>
      </c>
      <c r="K2030" s="5">
        <v>46097</v>
      </c>
      <c r="L2030" s="37" t="s">
        <v>731</v>
      </c>
      <c r="M2030" s="35"/>
      <c r="N2030" s="26"/>
      <c r="O2030" t="s">
        <v>202</v>
      </c>
      <c r="P2030" t="s">
        <v>328</v>
      </c>
      <c r="Q2030" t="s">
        <v>207</v>
      </c>
    </row>
    <row r="2031" spans="1:17" x14ac:dyDescent="0.3">
      <c r="A2031" s="9">
        <v>1300</v>
      </c>
      <c r="B2031" t="s">
        <v>84</v>
      </c>
      <c r="C2031" t="s">
        <v>34</v>
      </c>
      <c r="D2031" t="s">
        <v>420</v>
      </c>
      <c r="E2031" s="118">
        <v>8801</v>
      </c>
      <c r="F2031" s="13">
        <v>46081</v>
      </c>
      <c r="G2031" s="27">
        <v>37210.160000000003</v>
      </c>
      <c r="H2031" s="24">
        <v>34177.53</v>
      </c>
      <c r="I2031" s="3">
        <v>46091</v>
      </c>
      <c r="J2031" s="102">
        <v>46125</v>
      </c>
      <c r="K2031" s="5">
        <v>46128</v>
      </c>
      <c r="L2031" s="37" t="s">
        <v>731</v>
      </c>
      <c r="M2031" s="35"/>
      <c r="N2031" s="26"/>
      <c r="O2031" t="s">
        <v>202</v>
      </c>
      <c r="P2031" t="s">
        <v>328</v>
      </c>
      <c r="Q2031" t="s">
        <v>207</v>
      </c>
    </row>
    <row r="2032" spans="1:17" x14ac:dyDescent="0.3">
      <c r="A2032" s="9">
        <v>1300</v>
      </c>
      <c r="B2032" t="s">
        <v>84</v>
      </c>
      <c r="C2032" t="s">
        <v>34</v>
      </c>
      <c r="D2032" t="s">
        <v>420</v>
      </c>
      <c r="E2032" s="118">
        <v>8846</v>
      </c>
      <c r="F2032" s="13">
        <v>46109</v>
      </c>
      <c r="G2032" s="24">
        <v>37210.160000000003</v>
      </c>
      <c r="H2032" s="24">
        <v>34177.53</v>
      </c>
      <c r="I2032" s="3">
        <v>46120</v>
      </c>
      <c r="J2032" s="102">
        <v>46160</v>
      </c>
      <c r="K2032" s="5">
        <v>46160</v>
      </c>
      <c r="L2032" s="37" t="s">
        <v>731</v>
      </c>
      <c r="M2032" s="35"/>
      <c r="N2032" s="26"/>
      <c r="O2032" t="s">
        <v>202</v>
      </c>
      <c r="P2032" t="s">
        <v>328</v>
      </c>
      <c r="Q2032" t="s">
        <v>207</v>
      </c>
    </row>
    <row r="2033" spans="1:17" x14ac:dyDescent="0.3">
      <c r="A2033" s="9">
        <v>1300</v>
      </c>
      <c r="B2033" t="s">
        <v>84</v>
      </c>
      <c r="C2033" t="s">
        <v>34</v>
      </c>
      <c r="D2033" t="s">
        <v>420</v>
      </c>
      <c r="E2033" s="118">
        <v>8936</v>
      </c>
      <c r="F2033" s="13">
        <v>46140</v>
      </c>
      <c r="G2033" s="24">
        <v>37210.160000000003</v>
      </c>
      <c r="H2033" s="24">
        <v>34177.53</v>
      </c>
      <c r="I2033" s="3">
        <v>46154</v>
      </c>
      <c r="J2033" s="102">
        <v>46188</v>
      </c>
      <c r="K2033" s="5"/>
      <c r="L2033" s="37" t="s">
        <v>730</v>
      </c>
      <c r="M2033" s="35"/>
      <c r="N2033" s="26"/>
      <c r="O2033" t="s">
        <v>202</v>
      </c>
      <c r="P2033" t="s">
        <v>328</v>
      </c>
      <c r="Q2033" t="s">
        <v>207</v>
      </c>
    </row>
    <row r="2034" spans="1:17" x14ac:dyDescent="0.3">
      <c r="A2034" s="9">
        <v>1300</v>
      </c>
      <c r="B2034" t="s">
        <v>84</v>
      </c>
      <c r="C2034" t="s">
        <v>34</v>
      </c>
      <c r="D2034" t="s">
        <v>420</v>
      </c>
      <c r="E2034" s="118">
        <v>8991</v>
      </c>
      <c r="F2034" s="13">
        <v>46170</v>
      </c>
      <c r="G2034" s="24">
        <v>37210.160000000003</v>
      </c>
      <c r="H2034" s="24">
        <v>34177.53</v>
      </c>
      <c r="I2034" s="3">
        <v>46175</v>
      </c>
      <c r="J2034" s="102">
        <v>46209</v>
      </c>
      <c r="K2034" s="5"/>
      <c r="L2034" s="37" t="s">
        <v>730</v>
      </c>
      <c r="M2034" s="35"/>
      <c r="N2034" s="26"/>
      <c r="O2034" t="s">
        <v>202</v>
      </c>
      <c r="P2034" t="s">
        <v>328</v>
      </c>
      <c r="Q2034" t="s">
        <v>207</v>
      </c>
    </row>
    <row r="2035" spans="1:17" x14ac:dyDescent="0.3">
      <c r="A2035" s="25">
        <v>1290</v>
      </c>
      <c r="B2035" t="s">
        <v>215</v>
      </c>
      <c r="C2035" t="s">
        <v>40</v>
      </c>
      <c r="D2035" t="s">
        <v>409</v>
      </c>
      <c r="E2035" s="118">
        <v>8653</v>
      </c>
      <c r="F2035" s="13">
        <v>45989</v>
      </c>
      <c r="G2035" s="24">
        <v>55929.99</v>
      </c>
      <c r="H2035" s="24">
        <v>48555.33</v>
      </c>
      <c r="I2035" s="3">
        <v>45995</v>
      </c>
      <c r="J2035" s="102">
        <v>45999</v>
      </c>
      <c r="K2035" s="12">
        <v>46003</v>
      </c>
      <c r="L2035" s="22" t="s">
        <v>731</v>
      </c>
      <c r="M2035" s="35">
        <v>0</v>
      </c>
      <c r="N2035" s="26"/>
      <c r="O2035" t="s">
        <v>202</v>
      </c>
      <c r="P2035" t="s">
        <v>328</v>
      </c>
      <c r="Q2035" t="s">
        <v>213</v>
      </c>
    </row>
    <row r="2036" spans="1:17" x14ac:dyDescent="0.3">
      <c r="A2036" s="25">
        <v>1290</v>
      </c>
      <c r="B2036" t="s">
        <v>215</v>
      </c>
      <c r="C2036" t="s">
        <v>40</v>
      </c>
      <c r="D2036" t="s">
        <v>409</v>
      </c>
      <c r="E2036" s="118">
        <v>8704</v>
      </c>
      <c r="F2036" s="13">
        <v>46019</v>
      </c>
      <c r="G2036" s="24">
        <v>55929.99</v>
      </c>
      <c r="H2036" s="24">
        <v>49414.15</v>
      </c>
      <c r="I2036" s="3">
        <v>46029</v>
      </c>
      <c r="J2036" s="102">
        <v>46062</v>
      </c>
      <c r="K2036" s="12">
        <v>46062</v>
      </c>
      <c r="L2036" s="22" t="s">
        <v>731</v>
      </c>
      <c r="M2036" s="35">
        <v>0</v>
      </c>
      <c r="N2036" s="26"/>
      <c r="O2036" t="s">
        <v>202</v>
      </c>
      <c r="P2036" t="s">
        <v>328</v>
      </c>
      <c r="Q2036" t="s">
        <v>213</v>
      </c>
    </row>
    <row r="2037" spans="1:17" x14ac:dyDescent="0.3">
      <c r="A2037" s="25">
        <v>1290</v>
      </c>
      <c r="B2037" t="s">
        <v>215</v>
      </c>
      <c r="C2037" t="s">
        <v>40</v>
      </c>
      <c r="D2037" t="s">
        <v>409</v>
      </c>
      <c r="E2037" s="118">
        <v>8995</v>
      </c>
      <c r="F2037" s="13">
        <v>46019</v>
      </c>
      <c r="G2037" s="24">
        <v>5374.0999999999985</v>
      </c>
      <c r="H2037" s="24">
        <v>4748.0187951244297</v>
      </c>
      <c r="I2037" s="3">
        <v>46178</v>
      </c>
      <c r="J2037" s="102">
        <v>46202</v>
      </c>
      <c r="K2037" s="12"/>
      <c r="L2037" s="22" t="s">
        <v>730</v>
      </c>
      <c r="M2037" s="35">
        <v>0</v>
      </c>
      <c r="N2037" s="26"/>
      <c r="O2037" t="s">
        <v>202</v>
      </c>
      <c r="P2037" t="s">
        <v>328</v>
      </c>
      <c r="Q2037" t="s">
        <v>213</v>
      </c>
    </row>
    <row r="2038" spans="1:17" x14ac:dyDescent="0.3">
      <c r="A2038" s="25">
        <v>1290</v>
      </c>
      <c r="B2038" t="s">
        <v>215</v>
      </c>
      <c r="C2038" t="s">
        <v>40</v>
      </c>
      <c r="D2038" t="s">
        <v>409</v>
      </c>
      <c r="E2038" s="118">
        <v>8771</v>
      </c>
      <c r="F2038" s="13">
        <v>46051</v>
      </c>
      <c r="G2038" s="24">
        <v>55929.99</v>
      </c>
      <c r="H2038" s="24">
        <v>49414.15</v>
      </c>
      <c r="I2038" s="3">
        <v>46077</v>
      </c>
      <c r="J2038" s="102">
        <v>46104</v>
      </c>
      <c r="K2038" s="12">
        <v>46107</v>
      </c>
      <c r="L2038" s="22" t="s">
        <v>731</v>
      </c>
      <c r="M2038" s="35">
        <v>0</v>
      </c>
      <c r="N2038" s="26"/>
      <c r="O2038" t="s">
        <v>202</v>
      </c>
      <c r="P2038" t="s">
        <v>328</v>
      </c>
      <c r="Q2038" t="s">
        <v>213</v>
      </c>
    </row>
    <row r="2039" spans="1:17" x14ac:dyDescent="0.3">
      <c r="A2039" s="9">
        <v>1475</v>
      </c>
      <c r="B2039" t="s">
        <v>204</v>
      </c>
      <c r="C2039" t="s">
        <v>95</v>
      </c>
      <c r="D2039" t="s">
        <v>625</v>
      </c>
      <c r="E2039" s="118">
        <v>8927</v>
      </c>
      <c r="F2039" s="13">
        <v>46140</v>
      </c>
      <c r="G2039" s="27">
        <v>90040.33</v>
      </c>
      <c r="H2039" s="24">
        <v>80766.17</v>
      </c>
      <c r="I2039" s="3">
        <v>46150</v>
      </c>
      <c r="J2039" s="102">
        <v>46167</v>
      </c>
      <c r="K2039" s="12">
        <v>46167</v>
      </c>
      <c r="L2039" s="19" t="s">
        <v>731</v>
      </c>
      <c r="M2039" s="35">
        <v>0</v>
      </c>
      <c r="N2039"/>
      <c r="O2039" t="s">
        <v>199</v>
      </c>
      <c r="P2039" t="s">
        <v>340</v>
      </c>
      <c r="Q2039" t="s">
        <v>217</v>
      </c>
    </row>
    <row r="2040" spans="1:17" x14ac:dyDescent="0.3">
      <c r="A2040" s="25">
        <v>1290</v>
      </c>
      <c r="B2040" t="s">
        <v>215</v>
      </c>
      <c r="C2040" t="s">
        <v>40</v>
      </c>
      <c r="D2040" t="s">
        <v>409</v>
      </c>
      <c r="E2040" s="118">
        <v>8938</v>
      </c>
      <c r="F2040" s="13">
        <v>46140</v>
      </c>
      <c r="G2040" s="24">
        <v>55929.99</v>
      </c>
      <c r="H2040" s="24">
        <v>49414.15</v>
      </c>
      <c r="I2040" s="3">
        <v>46154</v>
      </c>
      <c r="J2040" s="102">
        <v>46181</v>
      </c>
      <c r="K2040" s="12"/>
      <c r="L2040" s="22" t="s">
        <v>730</v>
      </c>
      <c r="M2040" s="35">
        <v>0</v>
      </c>
      <c r="N2040" s="26"/>
      <c r="O2040" t="s">
        <v>202</v>
      </c>
      <c r="P2040" t="s">
        <v>328</v>
      </c>
      <c r="Q2040" t="s">
        <v>213</v>
      </c>
    </row>
    <row r="2041" spans="1:17" x14ac:dyDescent="0.3">
      <c r="A2041" s="9">
        <v>1525</v>
      </c>
      <c r="B2041" t="s">
        <v>215</v>
      </c>
      <c r="C2041" t="s">
        <v>21</v>
      </c>
      <c r="D2041" t="s">
        <v>867</v>
      </c>
      <c r="E2041" s="118">
        <v>8925</v>
      </c>
      <c r="F2041" s="13">
        <v>46140</v>
      </c>
      <c r="G2041" s="27">
        <v>58691.384950926935</v>
      </c>
      <c r="H2041" s="27">
        <v>53820</v>
      </c>
      <c r="I2041" s="3">
        <v>46150</v>
      </c>
      <c r="J2041" s="102">
        <v>46167</v>
      </c>
      <c r="K2041" s="12">
        <v>46169</v>
      </c>
      <c r="L2041" s="19" t="s">
        <v>731</v>
      </c>
      <c r="M2041" s="35">
        <v>0</v>
      </c>
      <c r="N2041"/>
      <c r="O2041" t="s">
        <v>202</v>
      </c>
      <c r="P2041" t="s">
        <v>340</v>
      </c>
      <c r="Q2041" t="s">
        <v>213</v>
      </c>
    </row>
    <row r="2042" spans="1:17" x14ac:dyDescent="0.3">
      <c r="A2042" s="25">
        <v>1472</v>
      </c>
      <c r="B2042" t="s">
        <v>71</v>
      </c>
      <c r="C2042" t="s">
        <v>41</v>
      </c>
      <c r="D2042" t="s">
        <v>622</v>
      </c>
      <c r="E2042" s="118">
        <v>5201</v>
      </c>
      <c r="F2042" s="13">
        <v>46170</v>
      </c>
      <c r="G2042" s="27">
        <v>66145.56</v>
      </c>
      <c r="H2042" s="24">
        <v>62077.599999999999</v>
      </c>
      <c r="I2042" s="3">
        <v>46174</v>
      </c>
      <c r="J2042" s="102">
        <v>46181</v>
      </c>
      <c r="K2042" s="12">
        <v>46183</v>
      </c>
      <c r="L2042" s="19" t="s">
        <v>731</v>
      </c>
      <c r="M2042" s="35"/>
      <c r="N2042" s="26"/>
      <c r="O2042" t="s">
        <v>201</v>
      </c>
      <c r="P2042" t="s">
        <v>376</v>
      </c>
      <c r="Q2042" t="s">
        <v>203</v>
      </c>
    </row>
    <row r="2043" spans="1:17" x14ac:dyDescent="0.3">
      <c r="A2043" s="25">
        <v>1290</v>
      </c>
      <c r="B2043" t="s">
        <v>215</v>
      </c>
      <c r="C2043" t="s">
        <v>40</v>
      </c>
      <c r="D2043" t="s">
        <v>409</v>
      </c>
      <c r="E2043" s="118">
        <v>8793</v>
      </c>
      <c r="F2043" s="13">
        <v>46081</v>
      </c>
      <c r="G2043" s="27">
        <v>55929.99</v>
      </c>
      <c r="H2043" s="24">
        <v>49414.15</v>
      </c>
      <c r="I2043" s="3">
        <v>46087</v>
      </c>
      <c r="J2043" s="102">
        <v>46118</v>
      </c>
      <c r="K2043" s="12">
        <v>46118</v>
      </c>
      <c r="L2043" s="22" t="s">
        <v>731</v>
      </c>
      <c r="M2043" s="35">
        <v>0</v>
      </c>
      <c r="N2043" s="26"/>
      <c r="O2043" t="s">
        <v>202</v>
      </c>
      <c r="P2043" t="s">
        <v>328</v>
      </c>
      <c r="Q2043" t="s">
        <v>213</v>
      </c>
    </row>
    <row r="2044" spans="1:17" x14ac:dyDescent="0.3">
      <c r="A2044" s="25">
        <v>1490</v>
      </c>
      <c r="B2044" t="s">
        <v>215</v>
      </c>
      <c r="C2044" t="s">
        <v>40</v>
      </c>
      <c r="D2044" t="s">
        <v>640</v>
      </c>
      <c r="E2044" s="118">
        <v>8655</v>
      </c>
      <c r="F2044" s="13">
        <v>45989</v>
      </c>
      <c r="G2044" s="24">
        <v>2300</v>
      </c>
      <c r="H2044" s="24">
        <v>1995.13</v>
      </c>
      <c r="I2044" s="3">
        <v>45995</v>
      </c>
      <c r="J2044" s="102">
        <v>45999</v>
      </c>
      <c r="K2044" s="12">
        <v>46002</v>
      </c>
      <c r="L2044" s="22" t="s">
        <v>731</v>
      </c>
      <c r="M2044" s="35">
        <v>0</v>
      </c>
      <c r="N2044" s="26"/>
      <c r="O2044" t="s">
        <v>202</v>
      </c>
      <c r="P2044" t="s">
        <v>328</v>
      </c>
      <c r="Q2044" t="s">
        <v>213</v>
      </c>
    </row>
    <row r="2045" spans="1:17" x14ac:dyDescent="0.3">
      <c r="A2045" s="25">
        <v>1490</v>
      </c>
      <c r="B2045" t="s">
        <v>215</v>
      </c>
      <c r="C2045" t="s">
        <v>40</v>
      </c>
      <c r="D2045" t="s">
        <v>640</v>
      </c>
      <c r="E2045" s="118">
        <v>8705</v>
      </c>
      <c r="F2045" s="13">
        <v>46019</v>
      </c>
      <c r="G2045" s="27">
        <v>2300</v>
      </c>
      <c r="H2045" s="27">
        <v>2032.05</v>
      </c>
      <c r="I2045" s="3">
        <v>46031</v>
      </c>
      <c r="J2045" s="102">
        <v>46062</v>
      </c>
      <c r="K2045" s="12">
        <v>46062</v>
      </c>
      <c r="L2045" s="22" t="s">
        <v>731</v>
      </c>
      <c r="M2045" s="35">
        <v>0</v>
      </c>
      <c r="N2045" s="26"/>
      <c r="O2045" t="s">
        <v>202</v>
      </c>
      <c r="P2045" t="s">
        <v>328</v>
      </c>
      <c r="Q2045" t="s">
        <v>213</v>
      </c>
    </row>
    <row r="2046" spans="1:17" x14ac:dyDescent="0.3">
      <c r="A2046" s="25">
        <v>1490</v>
      </c>
      <c r="B2046" t="s">
        <v>215</v>
      </c>
      <c r="C2046" t="s">
        <v>40</v>
      </c>
      <c r="D2046" t="s">
        <v>640</v>
      </c>
      <c r="E2046" s="118">
        <v>8772</v>
      </c>
      <c r="F2046" s="13">
        <v>46051</v>
      </c>
      <c r="G2046" s="27">
        <v>2300</v>
      </c>
      <c r="H2046" s="27">
        <v>2032.05</v>
      </c>
      <c r="I2046" s="3">
        <v>46077</v>
      </c>
      <c r="J2046" s="102">
        <v>46104</v>
      </c>
      <c r="K2046" s="12">
        <v>46107</v>
      </c>
      <c r="L2046" s="22" t="s">
        <v>731</v>
      </c>
      <c r="M2046" s="35">
        <v>0</v>
      </c>
      <c r="N2046" s="26"/>
      <c r="O2046" t="s">
        <v>202</v>
      </c>
      <c r="P2046" t="s">
        <v>328</v>
      </c>
      <c r="Q2046" t="s">
        <v>213</v>
      </c>
    </row>
    <row r="2047" spans="1:17" x14ac:dyDescent="0.3">
      <c r="A2047" s="9">
        <v>1358</v>
      </c>
      <c r="B2047" t="s">
        <v>215</v>
      </c>
      <c r="C2047" t="s">
        <v>17</v>
      </c>
      <c r="D2047" t="s">
        <v>480</v>
      </c>
      <c r="E2047" s="118"/>
      <c r="F2047" s="13">
        <v>46019</v>
      </c>
      <c r="G2047" s="24">
        <v>12035</v>
      </c>
      <c r="H2047" s="27"/>
      <c r="I2047" s="3">
        <v>46082</v>
      </c>
      <c r="J2047" s="102"/>
      <c r="K2047" s="12"/>
      <c r="L2047" s="19" t="s">
        <v>719</v>
      </c>
      <c r="M2047" s="35">
        <v>0</v>
      </c>
      <c r="N2047"/>
      <c r="O2047" t="s">
        <v>202</v>
      </c>
      <c r="P2047" t="s">
        <v>340</v>
      </c>
      <c r="Q2047" t="s">
        <v>213</v>
      </c>
    </row>
    <row r="2048" spans="1:17" x14ac:dyDescent="0.3">
      <c r="A2048" s="9">
        <v>1358</v>
      </c>
      <c r="B2048" t="s">
        <v>215</v>
      </c>
      <c r="C2048" t="s">
        <v>17</v>
      </c>
      <c r="D2048" t="s">
        <v>480</v>
      </c>
      <c r="E2048" s="118">
        <v>8851</v>
      </c>
      <c r="F2048" s="13">
        <v>46109</v>
      </c>
      <c r="G2048" s="24">
        <v>89150.64</v>
      </c>
      <c r="H2048" s="24">
        <v>79968.13</v>
      </c>
      <c r="I2048" s="3">
        <v>46122</v>
      </c>
      <c r="J2048" s="161">
        <v>46167</v>
      </c>
      <c r="K2048" s="12">
        <v>46167</v>
      </c>
      <c r="L2048" s="19" t="s">
        <v>731</v>
      </c>
      <c r="M2048" s="35"/>
      <c r="N2048"/>
      <c r="O2048" t="s">
        <v>202</v>
      </c>
      <c r="P2048" t="s">
        <v>340</v>
      </c>
      <c r="Q2048" t="s">
        <v>213</v>
      </c>
    </row>
    <row r="2049" spans="1:17" x14ac:dyDescent="0.3">
      <c r="A2049" s="9">
        <v>1358</v>
      </c>
      <c r="B2049" t="s">
        <v>215</v>
      </c>
      <c r="C2049" t="s">
        <v>17</v>
      </c>
      <c r="D2049" t="s">
        <v>480</v>
      </c>
      <c r="E2049" s="118">
        <v>8879</v>
      </c>
      <c r="F2049" s="13">
        <v>46109</v>
      </c>
      <c r="G2049" s="24">
        <v>18720.900000000001</v>
      </c>
      <c r="H2049" s="24">
        <v>16792.650000000001</v>
      </c>
      <c r="I2049" s="3">
        <v>46135</v>
      </c>
      <c r="J2049" s="102">
        <v>46167</v>
      </c>
      <c r="K2049" s="12">
        <v>46167</v>
      </c>
      <c r="L2049" s="19" t="s">
        <v>731</v>
      </c>
      <c r="M2049" s="35">
        <v>0</v>
      </c>
      <c r="N2049"/>
      <c r="O2049" t="s">
        <v>202</v>
      </c>
      <c r="P2049" t="s">
        <v>340</v>
      </c>
      <c r="Q2049" t="s">
        <v>213</v>
      </c>
    </row>
    <row r="2050" spans="1:17" x14ac:dyDescent="0.3">
      <c r="A2050" s="9">
        <v>1358</v>
      </c>
      <c r="B2050" t="s">
        <v>215</v>
      </c>
      <c r="C2050" t="s">
        <v>17</v>
      </c>
      <c r="D2050" t="s">
        <v>480</v>
      </c>
      <c r="E2050" s="118">
        <v>8934</v>
      </c>
      <c r="F2050" s="13">
        <v>46140</v>
      </c>
      <c r="G2050" s="27">
        <v>89150.64</v>
      </c>
      <c r="H2050" s="27">
        <v>79968.13</v>
      </c>
      <c r="I2050" s="3">
        <v>46153</v>
      </c>
      <c r="J2050" s="102">
        <v>46181</v>
      </c>
      <c r="K2050" s="12"/>
      <c r="L2050" s="19" t="s">
        <v>730</v>
      </c>
      <c r="M2050" s="35"/>
      <c r="N2050"/>
      <c r="O2050" t="s">
        <v>202</v>
      </c>
      <c r="P2050" t="s">
        <v>340</v>
      </c>
      <c r="Q2050" t="s">
        <v>213</v>
      </c>
    </row>
    <row r="2051" spans="1:17" x14ac:dyDescent="0.3">
      <c r="A2051" s="25">
        <v>1490</v>
      </c>
      <c r="B2051" t="s">
        <v>215</v>
      </c>
      <c r="C2051" t="s">
        <v>40</v>
      </c>
      <c r="D2051" t="s">
        <v>640</v>
      </c>
      <c r="E2051" s="118">
        <v>8792</v>
      </c>
      <c r="F2051" s="13">
        <v>46081</v>
      </c>
      <c r="G2051" s="27">
        <v>2300</v>
      </c>
      <c r="H2051" s="24">
        <v>2032.05</v>
      </c>
      <c r="I2051" s="3">
        <v>46086</v>
      </c>
      <c r="J2051" s="102">
        <v>46118</v>
      </c>
      <c r="K2051" s="12">
        <v>46118</v>
      </c>
      <c r="L2051" s="22" t="s">
        <v>731</v>
      </c>
      <c r="M2051" s="35">
        <v>0</v>
      </c>
      <c r="N2051" s="26"/>
      <c r="O2051" t="s">
        <v>202</v>
      </c>
      <c r="P2051" t="s">
        <v>328</v>
      </c>
      <c r="Q2051" t="s">
        <v>213</v>
      </c>
    </row>
    <row r="2052" spans="1:17" x14ac:dyDescent="0.3">
      <c r="A2052" s="9">
        <v>1480</v>
      </c>
      <c r="B2052" t="s">
        <v>193</v>
      </c>
      <c r="C2052" t="s">
        <v>184</v>
      </c>
      <c r="D2052" t="s">
        <v>630</v>
      </c>
      <c r="E2052" s="118">
        <v>4600</v>
      </c>
      <c r="F2052" s="13">
        <v>45989</v>
      </c>
      <c r="G2052" s="24">
        <v>535168</v>
      </c>
      <c r="H2052" s="24">
        <v>502255.17</v>
      </c>
      <c r="I2052" s="3">
        <v>45992</v>
      </c>
      <c r="J2052" s="102">
        <v>46034</v>
      </c>
      <c r="K2052" s="5">
        <v>46036</v>
      </c>
      <c r="L2052" s="19" t="s">
        <v>731</v>
      </c>
      <c r="M2052" s="35"/>
      <c r="N2052" s="15"/>
      <c r="O2052" t="s">
        <v>199</v>
      </c>
      <c r="P2052" t="s">
        <v>376</v>
      </c>
      <c r="Q2052" t="s">
        <v>207</v>
      </c>
    </row>
    <row r="2053" spans="1:17" x14ac:dyDescent="0.3">
      <c r="A2053" s="9">
        <v>1475</v>
      </c>
      <c r="B2053" t="s">
        <v>204</v>
      </c>
      <c r="C2053" t="s">
        <v>95</v>
      </c>
      <c r="D2053" t="s">
        <v>625</v>
      </c>
      <c r="E2053" s="118">
        <v>8651</v>
      </c>
      <c r="F2053" s="13">
        <v>45989</v>
      </c>
      <c r="G2053" s="24">
        <v>88370.14</v>
      </c>
      <c r="H2053" s="24">
        <v>79268.02</v>
      </c>
      <c r="I2053" s="3">
        <v>45994</v>
      </c>
      <c r="J2053" s="102">
        <v>46006</v>
      </c>
      <c r="K2053" s="12">
        <v>46007</v>
      </c>
      <c r="L2053" s="19" t="s">
        <v>731</v>
      </c>
      <c r="M2053" s="35">
        <v>0</v>
      </c>
      <c r="N2053"/>
      <c r="O2053" t="s">
        <v>199</v>
      </c>
      <c r="P2053" t="s">
        <v>340</v>
      </c>
      <c r="Q2053" t="s">
        <v>217</v>
      </c>
    </row>
    <row r="2054" spans="1:17" x14ac:dyDescent="0.3">
      <c r="A2054" s="9">
        <v>1475</v>
      </c>
      <c r="B2054" t="s">
        <v>204</v>
      </c>
      <c r="C2054" t="s">
        <v>95</v>
      </c>
      <c r="D2054" t="s">
        <v>625</v>
      </c>
      <c r="E2054" s="118">
        <v>8717</v>
      </c>
      <c r="F2054" s="13">
        <v>46019</v>
      </c>
      <c r="G2054" s="27">
        <v>88370.14</v>
      </c>
      <c r="H2054" s="24">
        <v>79268.02</v>
      </c>
      <c r="I2054" s="3">
        <v>46036</v>
      </c>
      <c r="J2054" s="102">
        <v>46055</v>
      </c>
      <c r="K2054" s="12">
        <v>46057</v>
      </c>
      <c r="L2054" s="19" t="s">
        <v>731</v>
      </c>
      <c r="M2054" s="35">
        <v>0</v>
      </c>
      <c r="N2054"/>
      <c r="O2054" t="s">
        <v>199</v>
      </c>
      <c r="P2054" t="s">
        <v>340</v>
      </c>
      <c r="Q2054" t="s">
        <v>217</v>
      </c>
    </row>
    <row r="2055" spans="1:17" x14ac:dyDescent="0.3">
      <c r="A2055" s="9">
        <v>1475</v>
      </c>
      <c r="B2055" t="s">
        <v>204</v>
      </c>
      <c r="C2055" t="s">
        <v>95</v>
      </c>
      <c r="D2055" t="s">
        <v>625</v>
      </c>
      <c r="E2055" s="118">
        <v>8844</v>
      </c>
      <c r="F2055" s="13">
        <v>46019</v>
      </c>
      <c r="G2055" s="27">
        <v>16247.47</v>
      </c>
      <c r="H2055" s="24">
        <v>14573.98</v>
      </c>
      <c r="I2055" s="3">
        <v>46120</v>
      </c>
      <c r="J2055" s="102">
        <v>46132</v>
      </c>
      <c r="K2055" s="12">
        <v>46134</v>
      </c>
      <c r="L2055" s="19" t="s">
        <v>731</v>
      </c>
      <c r="M2055" s="35">
        <v>0</v>
      </c>
      <c r="N2055"/>
      <c r="O2055" t="s">
        <v>199</v>
      </c>
      <c r="P2055" t="s">
        <v>340</v>
      </c>
      <c r="Q2055" t="s">
        <v>217</v>
      </c>
    </row>
    <row r="2056" spans="1:17" x14ac:dyDescent="0.3">
      <c r="A2056" s="25">
        <v>1475</v>
      </c>
      <c r="B2056" t="s">
        <v>204</v>
      </c>
      <c r="C2056" t="s">
        <v>95</v>
      </c>
      <c r="D2056" t="s">
        <v>625</v>
      </c>
      <c r="E2056" s="118">
        <v>8782</v>
      </c>
      <c r="F2056" s="13">
        <v>46051</v>
      </c>
      <c r="G2056" s="27">
        <v>90040.33</v>
      </c>
      <c r="H2056" s="24">
        <v>80766.17</v>
      </c>
      <c r="I2056" s="3">
        <v>46083</v>
      </c>
      <c r="J2056" s="102">
        <v>46090</v>
      </c>
      <c r="K2056" s="12">
        <v>46090</v>
      </c>
      <c r="L2056" s="19" t="s">
        <v>731</v>
      </c>
      <c r="M2056" s="35">
        <v>0</v>
      </c>
      <c r="N2056"/>
      <c r="O2056" t="s">
        <v>199</v>
      </c>
      <c r="P2056" t="s">
        <v>340</v>
      </c>
      <c r="Q2056" t="s">
        <v>217</v>
      </c>
    </row>
    <row r="2057" spans="1:17" x14ac:dyDescent="0.3">
      <c r="A2057" s="9">
        <v>1475</v>
      </c>
      <c r="B2057" t="s">
        <v>204</v>
      </c>
      <c r="C2057" t="s">
        <v>95</v>
      </c>
      <c r="D2057" t="s">
        <v>625</v>
      </c>
      <c r="E2057" s="118">
        <v>8787</v>
      </c>
      <c r="F2057" s="13">
        <v>46081</v>
      </c>
      <c r="G2057" s="27">
        <v>90040.33</v>
      </c>
      <c r="H2057" s="24">
        <v>80766.17</v>
      </c>
      <c r="I2057" s="3">
        <v>46084</v>
      </c>
      <c r="J2057" s="102">
        <v>46097</v>
      </c>
      <c r="K2057" s="12">
        <v>46097</v>
      </c>
      <c r="L2057" s="19" t="s">
        <v>731</v>
      </c>
      <c r="M2057" s="35">
        <v>0</v>
      </c>
      <c r="N2057"/>
      <c r="O2057" t="s">
        <v>199</v>
      </c>
      <c r="P2057" t="s">
        <v>340</v>
      </c>
      <c r="Q2057" t="s">
        <v>217</v>
      </c>
    </row>
    <row r="2058" spans="1:17" x14ac:dyDescent="0.3">
      <c r="A2058" s="9">
        <v>1475</v>
      </c>
      <c r="B2058" t="s">
        <v>204</v>
      </c>
      <c r="C2058" t="s">
        <v>95</v>
      </c>
      <c r="D2058" t="s">
        <v>625</v>
      </c>
      <c r="E2058" s="118">
        <v>8845</v>
      </c>
      <c r="F2058" s="13">
        <v>46109</v>
      </c>
      <c r="G2058" s="27">
        <v>90040.33</v>
      </c>
      <c r="H2058" s="24">
        <v>80766.17</v>
      </c>
      <c r="I2058" s="3">
        <v>46120</v>
      </c>
      <c r="J2058" s="102">
        <v>46132</v>
      </c>
      <c r="K2058" s="12">
        <v>46134</v>
      </c>
      <c r="L2058" s="19" t="s">
        <v>731</v>
      </c>
      <c r="M2058" s="35">
        <v>0</v>
      </c>
      <c r="N2058"/>
      <c r="O2058" t="s">
        <v>199</v>
      </c>
      <c r="P2058" t="s">
        <v>340</v>
      </c>
      <c r="Q2058" t="s">
        <v>217</v>
      </c>
    </row>
    <row r="2059" spans="1:17" x14ac:dyDescent="0.3">
      <c r="A2059" s="9">
        <v>1473</v>
      </c>
      <c r="B2059" t="s">
        <v>215</v>
      </c>
      <c r="C2059" t="s">
        <v>208</v>
      </c>
      <c r="D2059" t="s">
        <v>623</v>
      </c>
      <c r="E2059" s="118">
        <v>8952</v>
      </c>
      <c r="F2059" s="13">
        <v>46140</v>
      </c>
      <c r="G2059" s="24">
        <v>236280.79</v>
      </c>
      <c r="H2059" s="24">
        <v>220213.69</v>
      </c>
      <c r="I2059" s="3">
        <v>46163</v>
      </c>
      <c r="J2059" s="102">
        <v>46188</v>
      </c>
      <c r="K2059" s="12"/>
      <c r="L2059" s="19" t="s">
        <v>730</v>
      </c>
      <c r="M2059" s="35"/>
      <c r="N2059"/>
      <c r="O2059" t="s">
        <v>202</v>
      </c>
      <c r="P2059" t="s">
        <v>340</v>
      </c>
      <c r="Q2059" t="s">
        <v>213</v>
      </c>
    </row>
    <row r="2060" spans="1:17" x14ac:dyDescent="0.3">
      <c r="A2060" s="9">
        <v>1358</v>
      </c>
      <c r="B2060" t="s">
        <v>215</v>
      </c>
      <c r="C2060" t="s">
        <v>17</v>
      </c>
      <c r="D2060" t="s">
        <v>480</v>
      </c>
      <c r="E2060" s="118">
        <v>8998</v>
      </c>
      <c r="F2060" s="13">
        <v>46170</v>
      </c>
      <c r="G2060" s="27">
        <v>93064.35</v>
      </c>
      <c r="H2060" s="27">
        <v>83478.73</v>
      </c>
      <c r="I2060" s="3">
        <v>46178</v>
      </c>
      <c r="J2060" s="102">
        <v>46195</v>
      </c>
      <c r="K2060" s="12"/>
      <c r="L2060" s="19" t="s">
        <v>730</v>
      </c>
      <c r="M2060" s="35">
        <v>0</v>
      </c>
      <c r="N2060"/>
      <c r="O2060" t="s">
        <v>202</v>
      </c>
      <c r="P2060" t="s">
        <v>340</v>
      </c>
      <c r="Q2060" t="s">
        <v>213</v>
      </c>
    </row>
    <row r="2061" spans="1:17" x14ac:dyDescent="0.3">
      <c r="A2061" s="9">
        <v>1475</v>
      </c>
      <c r="B2061" t="s">
        <v>204</v>
      </c>
      <c r="C2061" t="s">
        <v>95</v>
      </c>
      <c r="D2061" t="s">
        <v>625</v>
      </c>
      <c r="E2061" s="118">
        <v>9001</v>
      </c>
      <c r="F2061" s="13">
        <v>46170</v>
      </c>
      <c r="G2061" s="27">
        <v>90040.33</v>
      </c>
      <c r="H2061" s="24">
        <v>80766.179999999993</v>
      </c>
      <c r="I2061" s="3">
        <v>46181</v>
      </c>
      <c r="J2061" s="102">
        <v>46202</v>
      </c>
      <c r="K2061" s="12"/>
      <c r="L2061" s="19" t="s">
        <v>730</v>
      </c>
      <c r="M2061" s="35">
        <v>0</v>
      </c>
      <c r="N2061"/>
      <c r="O2061" t="s">
        <v>199</v>
      </c>
      <c r="P2061" t="s">
        <v>340</v>
      </c>
      <c r="Q2061" t="s">
        <v>217</v>
      </c>
    </row>
    <row r="2062" spans="1:17" x14ac:dyDescent="0.3">
      <c r="A2062" s="25">
        <v>1472</v>
      </c>
      <c r="B2062" t="s">
        <v>71</v>
      </c>
      <c r="C2062" t="s">
        <v>41</v>
      </c>
      <c r="D2062" t="s">
        <v>622</v>
      </c>
      <c r="E2062" s="118">
        <v>4596</v>
      </c>
      <c r="F2062" s="13">
        <v>45989</v>
      </c>
      <c r="G2062" s="24">
        <v>51733.11</v>
      </c>
      <c r="H2062" s="24">
        <v>48551.519999999997</v>
      </c>
      <c r="I2062" s="3">
        <v>45992</v>
      </c>
      <c r="J2062" s="102">
        <v>45999</v>
      </c>
      <c r="K2062" s="12">
        <v>45999</v>
      </c>
      <c r="L2062" s="19" t="s">
        <v>731</v>
      </c>
      <c r="M2062" s="35"/>
      <c r="N2062" s="26"/>
      <c r="O2062" t="s">
        <v>201</v>
      </c>
      <c r="P2062" t="s">
        <v>376</v>
      </c>
      <c r="Q2062" t="s">
        <v>203</v>
      </c>
    </row>
    <row r="2063" spans="1:17" x14ac:dyDescent="0.3">
      <c r="A2063" s="25">
        <v>1472</v>
      </c>
      <c r="B2063" t="s">
        <v>71</v>
      </c>
      <c r="C2063" t="s">
        <v>41</v>
      </c>
      <c r="D2063" t="s">
        <v>622</v>
      </c>
      <c r="E2063" s="118">
        <v>4705</v>
      </c>
      <c r="F2063" s="13">
        <v>46019</v>
      </c>
      <c r="G2063" s="24">
        <v>48547.199999999997</v>
      </c>
      <c r="H2063" s="24">
        <v>45561.54</v>
      </c>
      <c r="I2063" s="3">
        <v>46010</v>
      </c>
      <c r="J2063" s="102">
        <v>46013</v>
      </c>
      <c r="K2063" s="12">
        <v>46014</v>
      </c>
      <c r="L2063" s="19" t="s">
        <v>731</v>
      </c>
      <c r="M2063" s="35"/>
      <c r="N2063" s="26"/>
      <c r="O2063" t="s">
        <v>201</v>
      </c>
      <c r="P2063" t="s">
        <v>376</v>
      </c>
      <c r="Q2063" t="s">
        <v>203</v>
      </c>
    </row>
    <row r="2064" spans="1:17" x14ac:dyDescent="0.3">
      <c r="A2064" s="25">
        <v>1472</v>
      </c>
      <c r="B2064" t="s">
        <v>71</v>
      </c>
      <c r="C2064" t="s">
        <v>41</v>
      </c>
      <c r="D2064" t="s">
        <v>622</v>
      </c>
      <c r="E2064" s="118">
        <v>4790</v>
      </c>
      <c r="F2064" s="13">
        <v>46051</v>
      </c>
      <c r="G2064" s="27">
        <v>48547.199999999997</v>
      </c>
      <c r="H2064" s="24">
        <v>45561.54</v>
      </c>
      <c r="I2064" s="3">
        <v>46055</v>
      </c>
      <c r="J2064" s="102">
        <v>46062</v>
      </c>
      <c r="K2064" s="12">
        <v>46063</v>
      </c>
      <c r="L2064" s="19" t="s">
        <v>731</v>
      </c>
      <c r="M2064" s="35"/>
      <c r="N2064" s="26"/>
      <c r="O2064" t="s">
        <v>201</v>
      </c>
      <c r="P2064" t="s">
        <v>376</v>
      </c>
      <c r="Q2064" t="s">
        <v>203</v>
      </c>
    </row>
    <row r="2065" spans="1:17" x14ac:dyDescent="0.3">
      <c r="A2065" s="25">
        <v>1472</v>
      </c>
      <c r="B2065" t="s">
        <v>71</v>
      </c>
      <c r="C2065" t="s">
        <v>41</v>
      </c>
      <c r="D2065" t="s">
        <v>622</v>
      </c>
      <c r="E2065" s="118">
        <v>4895</v>
      </c>
      <c r="F2065" s="13">
        <v>46081</v>
      </c>
      <c r="G2065" s="24">
        <v>18508.62</v>
      </c>
      <c r="H2065" s="27">
        <v>17370.330000000002</v>
      </c>
      <c r="I2065" s="3">
        <v>46080</v>
      </c>
      <c r="J2065" s="102">
        <v>46083</v>
      </c>
      <c r="K2065" s="12">
        <v>46087</v>
      </c>
      <c r="L2065" s="19" t="s">
        <v>731</v>
      </c>
      <c r="M2065" s="35"/>
      <c r="N2065" s="26"/>
      <c r="O2065" t="s">
        <v>201</v>
      </c>
      <c r="P2065" t="s">
        <v>376</v>
      </c>
      <c r="Q2065" t="s">
        <v>203</v>
      </c>
    </row>
    <row r="2066" spans="1:17" x14ac:dyDescent="0.3">
      <c r="A2066" s="25">
        <v>1472</v>
      </c>
      <c r="B2066" t="s">
        <v>71</v>
      </c>
      <c r="C2066" t="s">
        <v>41</v>
      </c>
      <c r="D2066" t="s">
        <v>622</v>
      </c>
      <c r="E2066" s="118">
        <v>5018</v>
      </c>
      <c r="F2066" s="13">
        <v>46109</v>
      </c>
      <c r="G2066" s="27">
        <v>49457.46</v>
      </c>
      <c r="H2066" s="24">
        <v>46415.839999999997</v>
      </c>
      <c r="I2066" s="3">
        <v>46108</v>
      </c>
      <c r="J2066" s="102">
        <v>46113</v>
      </c>
      <c r="K2066" s="12">
        <v>46114</v>
      </c>
      <c r="L2066" s="19" t="s">
        <v>731</v>
      </c>
      <c r="M2066" s="35"/>
      <c r="N2066" s="26"/>
      <c r="O2066" t="s">
        <v>201</v>
      </c>
      <c r="P2066" t="s">
        <v>376</v>
      </c>
      <c r="Q2066" t="s">
        <v>203</v>
      </c>
    </row>
    <row r="2067" spans="1:17" x14ac:dyDescent="0.3">
      <c r="A2067" s="25">
        <v>1472</v>
      </c>
      <c r="B2067" t="s">
        <v>71</v>
      </c>
      <c r="C2067" t="s">
        <v>41</v>
      </c>
      <c r="D2067" t="s">
        <v>622</v>
      </c>
      <c r="E2067" s="118">
        <v>5113</v>
      </c>
      <c r="F2067" s="13">
        <v>46140</v>
      </c>
      <c r="G2067" s="24">
        <v>48547.199999999997</v>
      </c>
      <c r="H2067" s="24">
        <v>45561.54</v>
      </c>
      <c r="I2067" s="3">
        <v>46146</v>
      </c>
      <c r="J2067" s="102">
        <v>46153</v>
      </c>
      <c r="K2067" s="12">
        <v>46155</v>
      </c>
      <c r="L2067" s="19" t="s">
        <v>731</v>
      </c>
      <c r="M2067" s="35"/>
      <c r="N2067" s="26"/>
      <c r="O2067" t="s">
        <v>201</v>
      </c>
      <c r="P2067" t="s">
        <v>376</v>
      </c>
      <c r="Q2067" t="s">
        <v>203</v>
      </c>
    </row>
    <row r="2068" spans="1:17" x14ac:dyDescent="0.3">
      <c r="A2068" s="9">
        <v>1482</v>
      </c>
      <c r="B2068" t="s">
        <v>84</v>
      </c>
      <c r="C2068" t="s">
        <v>34</v>
      </c>
      <c r="D2068" t="s">
        <v>632</v>
      </c>
      <c r="E2068" s="118">
        <v>8985</v>
      </c>
      <c r="F2068" s="13">
        <v>46170</v>
      </c>
      <c r="G2068" s="27">
        <v>34583</v>
      </c>
      <c r="H2068" s="24">
        <v>31245.73</v>
      </c>
      <c r="I2068" s="3">
        <v>46174</v>
      </c>
      <c r="J2068" s="102">
        <v>46209</v>
      </c>
      <c r="K2068" s="12"/>
      <c r="L2068" s="37" t="s">
        <v>730</v>
      </c>
      <c r="M2068" s="35"/>
      <c r="N2068" s="15"/>
      <c r="O2068" t="s">
        <v>202</v>
      </c>
      <c r="P2068" t="s">
        <v>328</v>
      </c>
      <c r="Q2068" t="s">
        <v>207</v>
      </c>
    </row>
    <row r="2069" spans="1:17" ht="15" customHeight="1" x14ac:dyDescent="0.3">
      <c r="A2069" s="25">
        <v>1472</v>
      </c>
      <c r="B2069" t="s">
        <v>71</v>
      </c>
      <c r="C2069" t="s">
        <v>41</v>
      </c>
      <c r="D2069" t="s">
        <v>622</v>
      </c>
      <c r="E2069" s="118"/>
      <c r="F2069" s="13">
        <v>46201</v>
      </c>
      <c r="G2069" s="24">
        <v>153029</v>
      </c>
      <c r="H2069" s="24"/>
      <c r="I2069" s="3">
        <v>46204</v>
      </c>
      <c r="J2069" s="102">
        <v>46209</v>
      </c>
      <c r="K2069" s="12"/>
      <c r="L2069" s="19" t="s">
        <v>719</v>
      </c>
      <c r="M2069" s="35"/>
      <c r="N2069" s="26"/>
      <c r="O2069" t="s">
        <v>201</v>
      </c>
      <c r="P2069" t="s">
        <v>376</v>
      </c>
      <c r="Q2069" t="s">
        <v>203</v>
      </c>
    </row>
    <row r="2070" spans="1:17" x14ac:dyDescent="0.3">
      <c r="A2070" s="9">
        <v>1378</v>
      </c>
      <c r="B2070" t="s">
        <v>193</v>
      </c>
      <c r="C2070" t="s">
        <v>4</v>
      </c>
      <c r="D2070" t="s">
        <v>506</v>
      </c>
      <c r="E2070" s="118">
        <v>8626</v>
      </c>
      <c r="F2070" s="13">
        <v>45989</v>
      </c>
      <c r="G2070" s="24">
        <v>30728.99</v>
      </c>
      <c r="H2070" s="24">
        <v>28839.16</v>
      </c>
      <c r="I2070" s="3">
        <v>45986</v>
      </c>
      <c r="J2070" s="102">
        <v>46006</v>
      </c>
      <c r="K2070" s="29">
        <v>46007</v>
      </c>
      <c r="L2070" s="19" t="s">
        <v>731</v>
      </c>
      <c r="M2070" s="35">
        <v>0</v>
      </c>
      <c r="N2070"/>
      <c r="O2070" t="s">
        <v>201</v>
      </c>
      <c r="P2070" t="s">
        <v>376</v>
      </c>
      <c r="Q2070" t="s">
        <v>207</v>
      </c>
    </row>
    <row r="2071" spans="1:17" x14ac:dyDescent="0.3">
      <c r="A2071" s="9">
        <v>1378</v>
      </c>
      <c r="B2071" t="s">
        <v>193</v>
      </c>
      <c r="C2071" t="s">
        <v>4</v>
      </c>
      <c r="D2071" t="s">
        <v>506</v>
      </c>
      <c r="E2071" s="118">
        <v>8706</v>
      </c>
      <c r="F2071" s="13">
        <v>45989</v>
      </c>
      <c r="G2071" s="24">
        <v>4535.1000000000004</v>
      </c>
      <c r="H2071" s="24">
        <v>4256.1899999999996</v>
      </c>
      <c r="I2071" s="3">
        <v>46031</v>
      </c>
      <c r="J2071" s="102">
        <v>46055</v>
      </c>
      <c r="K2071" s="29">
        <v>46055</v>
      </c>
      <c r="L2071" s="19" t="s">
        <v>731</v>
      </c>
      <c r="M2071" s="35">
        <v>0</v>
      </c>
      <c r="N2071"/>
      <c r="O2071" t="s">
        <v>201</v>
      </c>
      <c r="P2071" t="s">
        <v>376</v>
      </c>
      <c r="Q2071" t="s">
        <v>207</v>
      </c>
    </row>
    <row r="2072" spans="1:17" x14ac:dyDescent="0.3">
      <c r="A2072" s="9">
        <v>1378</v>
      </c>
      <c r="B2072" t="s">
        <v>193</v>
      </c>
      <c r="C2072" t="s">
        <v>4</v>
      </c>
      <c r="D2072" t="s">
        <v>506</v>
      </c>
      <c r="E2072" s="118">
        <v>8724</v>
      </c>
      <c r="F2072" s="13">
        <v>46019</v>
      </c>
      <c r="G2072" s="24">
        <v>4535.1000000000004</v>
      </c>
      <c r="H2072" s="24">
        <v>4256.1899999999996</v>
      </c>
      <c r="I2072" s="3">
        <v>46042</v>
      </c>
      <c r="J2072" s="102">
        <v>46062</v>
      </c>
      <c r="K2072" s="12">
        <v>46064</v>
      </c>
      <c r="L2072" s="19" t="s">
        <v>731</v>
      </c>
      <c r="M2072" s="35">
        <v>0</v>
      </c>
      <c r="N2072"/>
      <c r="O2072" t="s">
        <v>201</v>
      </c>
      <c r="P2072" t="s">
        <v>376</v>
      </c>
      <c r="Q2072" t="s">
        <v>207</v>
      </c>
    </row>
    <row r="2073" spans="1:17" x14ac:dyDescent="0.3">
      <c r="A2073" s="25">
        <v>1378</v>
      </c>
      <c r="B2073" t="s">
        <v>193</v>
      </c>
      <c r="C2073" t="s">
        <v>4</v>
      </c>
      <c r="D2073" t="s">
        <v>506</v>
      </c>
      <c r="E2073" s="118">
        <v>8762</v>
      </c>
      <c r="F2073" s="13">
        <v>46051</v>
      </c>
      <c r="G2073" s="24">
        <v>4535.1000000000004</v>
      </c>
      <c r="H2073" s="24">
        <v>4256.1899999999996</v>
      </c>
      <c r="I2073" s="3">
        <v>46072</v>
      </c>
      <c r="J2073" s="102">
        <v>46090</v>
      </c>
      <c r="K2073" s="29">
        <v>46093</v>
      </c>
      <c r="L2073" s="19" t="s">
        <v>731</v>
      </c>
      <c r="M2073" s="35">
        <v>0</v>
      </c>
      <c r="N2073"/>
      <c r="O2073" t="s">
        <v>201</v>
      </c>
      <c r="P2073" t="s">
        <v>376</v>
      </c>
      <c r="Q2073" t="s">
        <v>207</v>
      </c>
    </row>
    <row r="2074" spans="1:17" x14ac:dyDescent="0.3">
      <c r="A2074" s="9">
        <v>1378</v>
      </c>
      <c r="B2074" t="s">
        <v>193</v>
      </c>
      <c r="C2074" t="s">
        <v>4</v>
      </c>
      <c r="D2074" t="s">
        <v>506</v>
      </c>
      <c r="E2074" s="118">
        <v>8817</v>
      </c>
      <c r="F2074" s="13">
        <v>46081</v>
      </c>
      <c r="G2074" s="27">
        <v>4535.1000000000004</v>
      </c>
      <c r="H2074" s="24">
        <v>4256.1899999999996</v>
      </c>
      <c r="I2074" s="3">
        <v>46098</v>
      </c>
      <c r="J2074" s="102">
        <v>46118</v>
      </c>
      <c r="K2074" s="29">
        <v>46120</v>
      </c>
      <c r="L2074" s="19" t="s">
        <v>731</v>
      </c>
      <c r="M2074" s="35">
        <v>0</v>
      </c>
      <c r="N2074"/>
      <c r="O2074" t="s">
        <v>201</v>
      </c>
      <c r="P2074" t="s">
        <v>376</v>
      </c>
      <c r="Q2074" t="s">
        <v>207</v>
      </c>
    </row>
    <row r="2075" spans="1:17" x14ac:dyDescent="0.3">
      <c r="A2075" s="9">
        <v>1378</v>
      </c>
      <c r="B2075" t="s">
        <v>193</v>
      </c>
      <c r="C2075" t="s">
        <v>4</v>
      </c>
      <c r="D2075" t="s">
        <v>506</v>
      </c>
      <c r="E2075" s="118">
        <v>8867</v>
      </c>
      <c r="F2075" s="13">
        <v>46109</v>
      </c>
      <c r="G2075" s="24">
        <v>4535.1000000000004</v>
      </c>
      <c r="H2075" s="24">
        <v>4256.21</v>
      </c>
      <c r="I2075" s="3">
        <v>46129</v>
      </c>
      <c r="J2075" s="102">
        <v>46153</v>
      </c>
      <c r="K2075" s="29">
        <v>46154</v>
      </c>
      <c r="L2075" s="19" t="s">
        <v>731</v>
      </c>
      <c r="M2075" s="35">
        <v>0</v>
      </c>
      <c r="N2075"/>
      <c r="O2075" t="s">
        <v>201</v>
      </c>
      <c r="P2075" t="s">
        <v>376</v>
      </c>
      <c r="Q2075" t="s">
        <v>207</v>
      </c>
    </row>
    <row r="2076" spans="1:17" x14ac:dyDescent="0.3">
      <c r="A2076" s="9">
        <v>1378</v>
      </c>
      <c r="B2076" t="s">
        <v>193</v>
      </c>
      <c r="C2076" t="s">
        <v>4</v>
      </c>
      <c r="D2076" t="s">
        <v>506</v>
      </c>
      <c r="E2076" s="118">
        <v>8946</v>
      </c>
      <c r="F2076" s="13">
        <v>46140</v>
      </c>
      <c r="G2076" s="24">
        <v>4535.1000000000004</v>
      </c>
      <c r="H2076" s="24">
        <v>4256.1899999999996</v>
      </c>
      <c r="I2076" s="3">
        <v>46160</v>
      </c>
      <c r="J2076" s="102">
        <v>46181</v>
      </c>
      <c r="K2076" s="29">
        <v>46182</v>
      </c>
      <c r="L2076" s="19" t="s">
        <v>731</v>
      </c>
      <c r="M2076" s="35">
        <v>0</v>
      </c>
      <c r="N2076"/>
      <c r="O2076" t="s">
        <v>201</v>
      </c>
      <c r="P2076" t="s">
        <v>376</v>
      </c>
      <c r="Q2076" t="s">
        <v>207</v>
      </c>
    </row>
    <row r="2077" spans="1:17" x14ac:dyDescent="0.3">
      <c r="A2077" s="25">
        <v>1394</v>
      </c>
      <c r="B2077" t="s">
        <v>210</v>
      </c>
      <c r="C2077" t="s">
        <v>38</v>
      </c>
      <c r="D2077" t="s">
        <v>523</v>
      </c>
      <c r="E2077" s="118">
        <v>8213</v>
      </c>
      <c r="F2077" s="13">
        <v>45654</v>
      </c>
      <c r="G2077" s="24">
        <v>85000</v>
      </c>
      <c r="H2077" s="24">
        <v>79220</v>
      </c>
      <c r="I2077" s="3">
        <v>45700</v>
      </c>
      <c r="J2077" s="102">
        <v>45705</v>
      </c>
      <c r="K2077" s="29">
        <v>45709</v>
      </c>
      <c r="L2077" s="22" t="s">
        <v>731</v>
      </c>
      <c r="M2077" s="35">
        <v>0</v>
      </c>
      <c r="N2077" s="26"/>
      <c r="O2077" t="s">
        <v>202</v>
      </c>
      <c r="P2077" t="s">
        <v>340</v>
      </c>
      <c r="Q2077" t="s">
        <v>213</v>
      </c>
    </row>
    <row r="2078" spans="1:17" x14ac:dyDescent="0.3">
      <c r="A2078" s="9">
        <v>1247</v>
      </c>
      <c r="B2078" t="s">
        <v>215</v>
      </c>
      <c r="C2078" t="s">
        <v>21</v>
      </c>
      <c r="D2078" t="s">
        <v>359</v>
      </c>
      <c r="E2078" s="118">
        <v>8688</v>
      </c>
      <c r="F2078" s="13">
        <v>46019</v>
      </c>
      <c r="G2078" s="24">
        <v>38395.360000000001</v>
      </c>
      <c r="H2078" s="24">
        <v>34440.629999999997</v>
      </c>
      <c r="I2078" s="3">
        <v>46007</v>
      </c>
      <c r="J2078" s="102">
        <v>46013</v>
      </c>
      <c r="K2078" s="12">
        <v>46014</v>
      </c>
      <c r="L2078" s="19" t="s">
        <v>731</v>
      </c>
      <c r="M2078" s="35">
        <v>0</v>
      </c>
      <c r="N2078"/>
      <c r="O2078" t="s">
        <v>202</v>
      </c>
      <c r="P2078" t="s">
        <v>340</v>
      </c>
      <c r="Q2078" t="s">
        <v>213</v>
      </c>
    </row>
    <row r="2079" spans="1:17" x14ac:dyDescent="0.3">
      <c r="A2079" s="9">
        <v>1247</v>
      </c>
      <c r="B2079" t="s">
        <v>215</v>
      </c>
      <c r="C2079" t="s">
        <v>21</v>
      </c>
      <c r="D2079" t="s">
        <v>359</v>
      </c>
      <c r="E2079" s="118">
        <v>8732</v>
      </c>
      <c r="F2079" s="13">
        <v>46051</v>
      </c>
      <c r="G2079" s="27">
        <v>38395.360000000001</v>
      </c>
      <c r="H2079" s="27">
        <v>34440.629999999997</v>
      </c>
      <c r="I2079" s="3">
        <v>46057</v>
      </c>
      <c r="J2079" s="102">
        <v>46083</v>
      </c>
      <c r="K2079" s="12">
        <v>46087</v>
      </c>
      <c r="L2079" s="19" t="s">
        <v>731</v>
      </c>
      <c r="M2079" s="35">
        <v>0</v>
      </c>
      <c r="N2079"/>
      <c r="O2079" t="s">
        <v>202</v>
      </c>
      <c r="P2079" t="s">
        <v>340</v>
      </c>
      <c r="Q2079" t="s">
        <v>213</v>
      </c>
    </row>
    <row r="2080" spans="1:17" x14ac:dyDescent="0.3">
      <c r="A2080" s="9">
        <v>1247</v>
      </c>
      <c r="B2080" t="s">
        <v>215</v>
      </c>
      <c r="C2080" t="s">
        <v>21</v>
      </c>
      <c r="D2080" t="s">
        <v>359</v>
      </c>
      <c r="E2080" s="118">
        <v>8786</v>
      </c>
      <c r="F2080" s="13">
        <v>46081</v>
      </c>
      <c r="G2080" s="27">
        <v>38395.360000000001</v>
      </c>
      <c r="H2080" s="27">
        <v>34440.629999999997</v>
      </c>
      <c r="I2080" s="3">
        <v>46084</v>
      </c>
      <c r="J2080" s="102">
        <v>46104</v>
      </c>
      <c r="K2080" s="12">
        <v>46108</v>
      </c>
      <c r="L2080" s="19" t="s">
        <v>731</v>
      </c>
      <c r="M2080" s="35">
        <v>0</v>
      </c>
      <c r="N2080"/>
      <c r="O2080" t="s">
        <v>202</v>
      </c>
      <c r="P2080" t="s">
        <v>340</v>
      </c>
      <c r="Q2080" t="s">
        <v>213</v>
      </c>
    </row>
    <row r="2081" spans="1:17" x14ac:dyDescent="0.3">
      <c r="A2081" s="9">
        <v>1525</v>
      </c>
      <c r="B2081" t="s">
        <v>215</v>
      </c>
      <c r="C2081" t="s">
        <v>21</v>
      </c>
      <c r="D2081" t="s">
        <v>867</v>
      </c>
      <c r="E2081" s="118">
        <v>8857</v>
      </c>
      <c r="F2081" s="13">
        <v>46109</v>
      </c>
      <c r="G2081" s="27">
        <v>60000</v>
      </c>
      <c r="H2081" s="24">
        <v>53820</v>
      </c>
      <c r="I2081" s="3">
        <v>46125</v>
      </c>
      <c r="J2081" s="102">
        <v>46139</v>
      </c>
      <c r="K2081" s="12">
        <v>46141</v>
      </c>
      <c r="L2081" s="19" t="s">
        <v>731</v>
      </c>
      <c r="M2081" s="35">
        <v>0</v>
      </c>
      <c r="N2081"/>
      <c r="O2081" t="s">
        <v>202</v>
      </c>
      <c r="P2081" t="s">
        <v>340</v>
      </c>
      <c r="Q2081" t="s">
        <v>213</v>
      </c>
    </row>
    <row r="2082" spans="1:17" x14ac:dyDescent="0.3">
      <c r="A2082" s="9">
        <v>1473</v>
      </c>
      <c r="B2082" t="s">
        <v>215</v>
      </c>
      <c r="C2082" t="s">
        <v>208</v>
      </c>
      <c r="D2082" t="s">
        <v>623</v>
      </c>
      <c r="E2082" s="118">
        <v>8922</v>
      </c>
      <c r="F2082" s="13">
        <v>46109</v>
      </c>
      <c r="G2082" s="24">
        <v>236280.79</v>
      </c>
      <c r="H2082" s="24">
        <v>220213.69</v>
      </c>
      <c r="I2082" s="3">
        <v>46149</v>
      </c>
      <c r="J2082" s="102">
        <v>46160</v>
      </c>
      <c r="K2082" s="12">
        <v>46161</v>
      </c>
      <c r="L2082" s="19" t="s">
        <v>731</v>
      </c>
      <c r="M2082" s="35"/>
      <c r="N2082"/>
      <c r="O2082" t="s">
        <v>202</v>
      </c>
      <c r="P2082" t="s">
        <v>340</v>
      </c>
      <c r="Q2082" t="s">
        <v>213</v>
      </c>
    </row>
    <row r="2083" spans="1:17" x14ac:dyDescent="0.3">
      <c r="A2083" s="9">
        <v>1394</v>
      </c>
      <c r="B2083" t="s">
        <v>210</v>
      </c>
      <c r="C2083" t="s">
        <v>38</v>
      </c>
      <c r="D2083" t="s">
        <v>523</v>
      </c>
      <c r="E2083" s="118">
        <v>8954</v>
      </c>
      <c r="F2083" s="13">
        <v>46140</v>
      </c>
      <c r="G2083" s="24">
        <v>246181.25</v>
      </c>
      <c r="H2083" s="24">
        <v>229440.92</v>
      </c>
      <c r="I2083" s="3">
        <v>46163</v>
      </c>
      <c r="J2083" s="102">
        <v>46181</v>
      </c>
      <c r="K2083" s="5">
        <v>46183</v>
      </c>
      <c r="L2083" s="22" t="s">
        <v>731</v>
      </c>
      <c r="M2083" s="56"/>
      <c r="N2083" s="15"/>
      <c r="O2083" t="s">
        <v>202</v>
      </c>
      <c r="P2083" t="s">
        <v>340</v>
      </c>
      <c r="Q2083" t="s">
        <v>213</v>
      </c>
    </row>
    <row r="2084" spans="1:17" x14ac:dyDescent="0.3">
      <c r="A2084" s="9">
        <v>1358</v>
      </c>
      <c r="B2084" t="s">
        <v>215</v>
      </c>
      <c r="C2084" t="s">
        <v>17</v>
      </c>
      <c r="D2084" t="s">
        <v>480</v>
      </c>
      <c r="E2084" s="118">
        <v>8660</v>
      </c>
      <c r="F2084" s="13">
        <v>45989</v>
      </c>
      <c r="G2084" s="24">
        <v>89150.64</v>
      </c>
      <c r="H2084" s="24">
        <v>79968.13</v>
      </c>
      <c r="I2084" s="3">
        <v>45995</v>
      </c>
      <c r="J2084" s="102">
        <v>46006</v>
      </c>
      <c r="K2084" s="12">
        <v>46007</v>
      </c>
      <c r="L2084" s="19" t="s">
        <v>731</v>
      </c>
      <c r="M2084" s="35">
        <v>0</v>
      </c>
      <c r="N2084"/>
      <c r="O2084" t="s">
        <v>202</v>
      </c>
      <c r="P2084" t="s">
        <v>340</v>
      </c>
      <c r="Q2084" t="s">
        <v>213</v>
      </c>
    </row>
    <row r="2085" spans="1:17" x14ac:dyDescent="0.3">
      <c r="A2085" s="9">
        <v>1358</v>
      </c>
      <c r="B2085" t="s">
        <v>215</v>
      </c>
      <c r="C2085" t="s">
        <v>17</v>
      </c>
      <c r="D2085" t="s">
        <v>480</v>
      </c>
      <c r="E2085" s="118">
        <v>8668</v>
      </c>
      <c r="F2085" s="13">
        <v>45989</v>
      </c>
      <c r="G2085" s="24">
        <v>7649.4</v>
      </c>
      <c r="H2085" s="27">
        <v>6861.51</v>
      </c>
      <c r="I2085" s="3">
        <v>46001</v>
      </c>
      <c r="J2085" s="102">
        <v>46006</v>
      </c>
      <c r="K2085" s="12">
        <v>46010</v>
      </c>
      <c r="L2085" s="19" t="s">
        <v>731</v>
      </c>
      <c r="M2085" s="35">
        <v>0</v>
      </c>
      <c r="N2085"/>
      <c r="O2085" t="s">
        <v>202</v>
      </c>
      <c r="P2085" t="s">
        <v>340</v>
      </c>
      <c r="Q2085" t="s">
        <v>213</v>
      </c>
    </row>
    <row r="2086" spans="1:17" x14ac:dyDescent="0.3">
      <c r="A2086" s="9">
        <v>1358</v>
      </c>
      <c r="B2086" t="s">
        <v>215</v>
      </c>
      <c r="C2086" t="s">
        <v>17</v>
      </c>
      <c r="D2086" t="s">
        <v>480</v>
      </c>
      <c r="E2086" s="118">
        <v>8715</v>
      </c>
      <c r="F2086" s="13">
        <v>46019</v>
      </c>
      <c r="G2086" s="27">
        <v>89150.64</v>
      </c>
      <c r="H2086" s="24">
        <v>79968.13</v>
      </c>
      <c r="I2086" s="3">
        <v>46035</v>
      </c>
      <c r="J2086" s="102">
        <v>46062</v>
      </c>
      <c r="K2086" s="12">
        <v>46062</v>
      </c>
      <c r="L2086" s="19" t="s">
        <v>731</v>
      </c>
      <c r="M2086" s="35">
        <v>0</v>
      </c>
      <c r="N2086"/>
      <c r="O2086" t="s">
        <v>202</v>
      </c>
      <c r="P2086" t="s">
        <v>340</v>
      </c>
      <c r="Q2086" t="s">
        <v>213</v>
      </c>
    </row>
    <row r="2087" spans="1:17" x14ac:dyDescent="0.3">
      <c r="A2087" s="9">
        <v>1358</v>
      </c>
      <c r="B2087" t="s">
        <v>215</v>
      </c>
      <c r="C2087" t="s">
        <v>17</v>
      </c>
      <c r="D2087" t="s">
        <v>480</v>
      </c>
      <c r="E2087" s="118">
        <v>8719</v>
      </c>
      <c r="F2087" s="13">
        <v>46019</v>
      </c>
      <c r="G2087" s="27">
        <v>7649.4</v>
      </c>
      <c r="H2087" s="24">
        <v>6861.51</v>
      </c>
      <c r="I2087" s="3">
        <v>46038</v>
      </c>
      <c r="J2087" s="102">
        <v>46062</v>
      </c>
      <c r="K2087" s="12">
        <v>46062</v>
      </c>
      <c r="L2087" s="19" t="s">
        <v>731</v>
      </c>
      <c r="M2087" s="35">
        <v>0</v>
      </c>
      <c r="N2087"/>
      <c r="O2087" t="s">
        <v>202</v>
      </c>
      <c r="P2087" t="s">
        <v>340</v>
      </c>
      <c r="Q2087" t="s">
        <v>213</v>
      </c>
    </row>
    <row r="2088" spans="1:17" x14ac:dyDescent="0.3">
      <c r="A2088" s="9">
        <v>1473</v>
      </c>
      <c r="B2088" t="s">
        <v>215</v>
      </c>
      <c r="C2088" t="s">
        <v>208</v>
      </c>
      <c r="D2088" t="s">
        <v>623</v>
      </c>
      <c r="E2088" s="118"/>
      <c r="F2088" s="13">
        <v>46170</v>
      </c>
      <c r="G2088" s="24">
        <v>245490</v>
      </c>
      <c r="H2088" s="24">
        <v>219606.43</v>
      </c>
      <c r="I2088" s="3">
        <v>46174</v>
      </c>
      <c r="J2088" s="102">
        <v>46188</v>
      </c>
      <c r="K2088" s="12"/>
      <c r="L2088" s="19" t="s">
        <v>719</v>
      </c>
      <c r="M2088" s="35"/>
      <c r="N2088"/>
      <c r="O2088" t="s">
        <v>202</v>
      </c>
      <c r="P2088" t="s">
        <v>340</v>
      </c>
      <c r="Q2088" t="s">
        <v>213</v>
      </c>
    </row>
    <row r="2089" spans="1:17" x14ac:dyDescent="0.3">
      <c r="A2089" s="9">
        <v>1473</v>
      </c>
      <c r="B2089" t="s">
        <v>215</v>
      </c>
      <c r="C2089" t="s">
        <v>208</v>
      </c>
      <c r="D2089" t="s">
        <v>623</v>
      </c>
      <c r="E2089" s="118">
        <v>9003</v>
      </c>
      <c r="F2089" s="13">
        <v>46170</v>
      </c>
      <c r="G2089" s="24">
        <v>36839.68</v>
      </c>
      <c r="H2089" s="24">
        <v>34334.589999999997</v>
      </c>
      <c r="I2089" s="3">
        <v>46181</v>
      </c>
      <c r="J2089" s="102">
        <v>46271</v>
      </c>
      <c r="K2089" s="12"/>
      <c r="L2089" s="19" t="s">
        <v>730</v>
      </c>
      <c r="M2089" s="35"/>
      <c r="N2089"/>
      <c r="O2089" t="s">
        <v>202</v>
      </c>
      <c r="P2089" t="s">
        <v>340</v>
      </c>
      <c r="Q2089" t="s">
        <v>213</v>
      </c>
    </row>
    <row r="2090" spans="1:17" x14ac:dyDescent="0.3">
      <c r="A2090" s="9">
        <v>1358</v>
      </c>
      <c r="B2090" t="s">
        <v>215</v>
      </c>
      <c r="C2090" t="s">
        <v>17</v>
      </c>
      <c r="D2090" t="s">
        <v>480</v>
      </c>
      <c r="E2090" s="118">
        <v>8778</v>
      </c>
      <c r="F2090" s="13">
        <v>46051</v>
      </c>
      <c r="G2090" s="27">
        <v>3220.8</v>
      </c>
      <c r="H2090" s="24">
        <v>2889.05</v>
      </c>
      <c r="I2090" s="3">
        <v>46083</v>
      </c>
      <c r="J2090" s="102">
        <v>46090</v>
      </c>
      <c r="K2090" s="12">
        <v>46093</v>
      </c>
      <c r="L2090" s="19" t="s">
        <v>731</v>
      </c>
      <c r="M2090" s="35">
        <v>0</v>
      </c>
      <c r="N2090"/>
      <c r="O2090" t="s">
        <v>202</v>
      </c>
      <c r="P2090" t="s">
        <v>340</v>
      </c>
      <c r="Q2090" t="s">
        <v>213</v>
      </c>
    </row>
    <row r="2091" spans="1:17" x14ac:dyDescent="0.3">
      <c r="A2091" s="9">
        <v>1358</v>
      </c>
      <c r="B2091" t="s">
        <v>215</v>
      </c>
      <c r="C2091" t="s">
        <v>17</v>
      </c>
      <c r="D2091" t="s">
        <v>480</v>
      </c>
      <c r="E2091" s="118">
        <v>8777</v>
      </c>
      <c r="F2091" s="13">
        <v>46051</v>
      </c>
      <c r="G2091" s="27">
        <v>89150.64</v>
      </c>
      <c r="H2091" s="24">
        <v>79968.13</v>
      </c>
      <c r="I2091" s="3">
        <v>46083</v>
      </c>
      <c r="J2091" s="102">
        <v>46090</v>
      </c>
      <c r="K2091" s="12">
        <v>46093</v>
      </c>
      <c r="L2091" s="19" t="s">
        <v>731</v>
      </c>
      <c r="M2091" s="35">
        <v>0</v>
      </c>
      <c r="N2091"/>
      <c r="O2091" t="s">
        <v>202</v>
      </c>
      <c r="P2091" t="s">
        <v>340</v>
      </c>
      <c r="Q2091" t="s">
        <v>213</v>
      </c>
    </row>
    <row r="2092" spans="1:17" x14ac:dyDescent="0.3">
      <c r="A2092" s="9">
        <v>1358</v>
      </c>
      <c r="B2092" t="s">
        <v>215</v>
      </c>
      <c r="C2092" t="s">
        <v>17</v>
      </c>
      <c r="D2092" t="s">
        <v>480</v>
      </c>
      <c r="E2092" s="118">
        <v>8800</v>
      </c>
      <c r="F2092" s="13">
        <v>46081</v>
      </c>
      <c r="G2092" s="27">
        <v>89150.64</v>
      </c>
      <c r="H2092" s="27">
        <v>79968.13</v>
      </c>
      <c r="I2092" s="3">
        <v>46090</v>
      </c>
      <c r="J2092" s="102">
        <v>46111</v>
      </c>
      <c r="K2092" s="12">
        <v>46112</v>
      </c>
      <c r="L2092" s="19" t="s">
        <v>731</v>
      </c>
      <c r="M2092" s="35">
        <v>0</v>
      </c>
      <c r="N2092"/>
      <c r="O2092" t="s">
        <v>202</v>
      </c>
      <c r="P2092" t="s">
        <v>340</v>
      </c>
      <c r="Q2092" t="s">
        <v>213</v>
      </c>
    </row>
    <row r="2093" spans="1:17" x14ac:dyDescent="0.3">
      <c r="A2093" s="25">
        <v>1288</v>
      </c>
      <c r="B2093" t="s">
        <v>204</v>
      </c>
      <c r="C2093" t="s">
        <v>32</v>
      </c>
      <c r="D2093" t="s">
        <v>407</v>
      </c>
      <c r="E2093" s="118">
        <v>9008</v>
      </c>
      <c r="F2093" s="145">
        <v>46019</v>
      </c>
      <c r="G2093" s="44">
        <v>393510.56</v>
      </c>
      <c r="H2093" s="24">
        <v>366751.84</v>
      </c>
      <c r="I2093" s="3">
        <v>46183</v>
      </c>
      <c r="J2093" s="102">
        <v>46195</v>
      </c>
      <c r="K2093" s="12"/>
      <c r="L2093" s="19" t="s">
        <v>730</v>
      </c>
      <c r="M2093" s="35"/>
      <c r="N2093" s="24"/>
      <c r="O2093" t="s">
        <v>199</v>
      </c>
      <c r="P2093" t="s">
        <v>340</v>
      </c>
      <c r="Q2093" t="s">
        <v>217</v>
      </c>
    </row>
    <row r="2094" spans="1:17" x14ac:dyDescent="0.3">
      <c r="A2094" s="25">
        <v>1288</v>
      </c>
      <c r="B2094" t="s">
        <v>204</v>
      </c>
      <c r="C2094" t="s">
        <v>32</v>
      </c>
      <c r="D2094" t="s">
        <v>407</v>
      </c>
      <c r="E2094" s="118"/>
      <c r="F2094" s="13">
        <v>46081</v>
      </c>
      <c r="G2094" s="44">
        <v>393560</v>
      </c>
      <c r="H2094" s="24"/>
      <c r="I2094" s="3">
        <v>46143</v>
      </c>
      <c r="J2094" s="102">
        <v>46195</v>
      </c>
      <c r="K2094" s="12"/>
      <c r="L2094" s="19" t="s">
        <v>719</v>
      </c>
      <c r="M2094" s="35"/>
      <c r="N2094" s="24"/>
      <c r="O2094" t="s">
        <v>199</v>
      </c>
      <c r="P2094" t="s">
        <v>340</v>
      </c>
      <c r="Q2094" t="s">
        <v>217</v>
      </c>
    </row>
    <row r="2095" spans="1:17" x14ac:dyDescent="0.3">
      <c r="A2095" s="25">
        <v>1299</v>
      </c>
      <c r="B2095" t="s">
        <v>204</v>
      </c>
      <c r="C2095" t="s">
        <v>32</v>
      </c>
      <c r="D2095" t="s">
        <v>419</v>
      </c>
      <c r="E2095" s="117">
        <v>8896</v>
      </c>
      <c r="F2095" s="13">
        <v>46081</v>
      </c>
      <c r="G2095" s="24">
        <v>1020096</v>
      </c>
      <c r="H2095" s="24">
        <v>950729.47</v>
      </c>
      <c r="I2095" s="3">
        <v>46140</v>
      </c>
      <c r="J2095" s="161">
        <v>46146</v>
      </c>
      <c r="K2095" s="12">
        <v>46148</v>
      </c>
      <c r="L2095" s="19" t="s">
        <v>731</v>
      </c>
      <c r="M2095" s="69"/>
      <c r="N2095" s="26"/>
      <c r="O2095" t="s">
        <v>199</v>
      </c>
      <c r="P2095" t="s">
        <v>340</v>
      </c>
      <c r="Q2095" t="s">
        <v>217</v>
      </c>
    </row>
    <row r="2096" spans="1:17" x14ac:dyDescent="0.3">
      <c r="A2096" s="25">
        <v>1271</v>
      </c>
      <c r="B2096" t="s">
        <v>204</v>
      </c>
      <c r="C2096" t="s">
        <v>32</v>
      </c>
      <c r="D2096" t="s">
        <v>387</v>
      </c>
      <c r="E2096" s="118">
        <v>8923</v>
      </c>
      <c r="F2096" s="13">
        <v>46109</v>
      </c>
      <c r="G2096" s="24">
        <v>255597.54</v>
      </c>
      <c r="H2096" s="24">
        <v>238216.91</v>
      </c>
      <c r="I2096" s="3">
        <v>46149</v>
      </c>
      <c r="J2096" s="102">
        <v>46153</v>
      </c>
      <c r="K2096" s="12">
        <v>46157</v>
      </c>
      <c r="L2096" s="19" t="s">
        <v>731</v>
      </c>
      <c r="M2096" s="35"/>
      <c r="N2096" s="24"/>
      <c r="O2096" t="s">
        <v>202</v>
      </c>
      <c r="P2096" t="s">
        <v>340</v>
      </c>
      <c r="Q2096" t="s">
        <v>217</v>
      </c>
    </row>
    <row r="2097" spans="1:17" x14ac:dyDescent="0.3">
      <c r="A2097" s="9">
        <v>1358</v>
      </c>
      <c r="B2097" t="s">
        <v>215</v>
      </c>
      <c r="C2097" t="s">
        <v>17</v>
      </c>
      <c r="D2097" t="s">
        <v>480</v>
      </c>
      <c r="E2097" s="118"/>
      <c r="F2097" s="13">
        <v>45989</v>
      </c>
      <c r="G2097" s="24">
        <v>36423.360000000001</v>
      </c>
      <c r="H2097" s="24"/>
      <c r="I2097" s="3">
        <v>46082</v>
      </c>
      <c r="J2097" s="102"/>
      <c r="K2097" s="12"/>
      <c r="L2097" s="19" t="s">
        <v>719</v>
      </c>
      <c r="M2097" s="35">
        <v>0</v>
      </c>
      <c r="N2097"/>
      <c r="O2097" t="s">
        <v>202</v>
      </c>
      <c r="P2097" t="s">
        <v>340</v>
      </c>
      <c r="Q2097" t="s">
        <v>213</v>
      </c>
    </row>
    <row r="2098" spans="1:17" x14ac:dyDescent="0.3">
      <c r="A2098" s="9">
        <v>1473</v>
      </c>
      <c r="B2098" t="s">
        <v>215</v>
      </c>
      <c r="C2098" t="s">
        <v>208</v>
      </c>
      <c r="D2098" t="s">
        <v>623</v>
      </c>
      <c r="E2098" s="118">
        <v>8670</v>
      </c>
      <c r="F2098" s="13">
        <v>45989</v>
      </c>
      <c r="G2098" s="24">
        <v>236280.79</v>
      </c>
      <c r="H2098" s="24">
        <v>220013.69</v>
      </c>
      <c r="I2098" s="3">
        <v>46001</v>
      </c>
      <c r="J2098" s="102">
        <v>46013</v>
      </c>
      <c r="K2098" s="12">
        <v>46014</v>
      </c>
      <c r="L2098" s="19" t="s">
        <v>731</v>
      </c>
      <c r="M2098" s="35">
        <v>0</v>
      </c>
      <c r="N2098"/>
      <c r="O2098" t="s">
        <v>202</v>
      </c>
      <c r="P2098" t="s">
        <v>340</v>
      </c>
      <c r="Q2098" t="s">
        <v>213</v>
      </c>
    </row>
    <row r="2099" spans="1:17" x14ac:dyDescent="0.3">
      <c r="A2099" s="9">
        <v>1473</v>
      </c>
      <c r="B2099" t="s">
        <v>215</v>
      </c>
      <c r="C2099" t="s">
        <v>208</v>
      </c>
      <c r="D2099" t="s">
        <v>623</v>
      </c>
      <c r="E2099" s="118"/>
      <c r="F2099" s="13">
        <v>46019</v>
      </c>
      <c r="G2099" s="24">
        <v>30446</v>
      </c>
      <c r="H2099" s="24"/>
      <c r="I2099" s="3">
        <v>46082</v>
      </c>
      <c r="J2099" s="102"/>
      <c r="K2099" s="12"/>
      <c r="L2099" s="19" t="s">
        <v>719</v>
      </c>
      <c r="M2099" s="35">
        <v>0</v>
      </c>
      <c r="N2099"/>
      <c r="O2099" t="s">
        <v>202</v>
      </c>
      <c r="P2099" t="s">
        <v>340</v>
      </c>
      <c r="Q2099" t="s">
        <v>213</v>
      </c>
    </row>
    <row r="2100" spans="1:17" x14ac:dyDescent="0.3">
      <c r="A2100" s="9">
        <v>1473</v>
      </c>
      <c r="B2100" t="s">
        <v>215</v>
      </c>
      <c r="C2100" t="s">
        <v>208</v>
      </c>
      <c r="D2100" t="s">
        <v>623</v>
      </c>
      <c r="E2100" s="118">
        <v>8837</v>
      </c>
      <c r="F2100" s="13">
        <v>46081</v>
      </c>
      <c r="G2100" s="27">
        <v>236280.79</v>
      </c>
      <c r="H2100" s="24">
        <v>220213.69</v>
      </c>
      <c r="I2100" s="3">
        <v>46113</v>
      </c>
      <c r="J2100" s="102">
        <v>46139</v>
      </c>
      <c r="K2100" s="12">
        <v>46139</v>
      </c>
      <c r="L2100" s="19" t="s">
        <v>731</v>
      </c>
      <c r="M2100" s="35"/>
      <c r="N2100"/>
      <c r="O2100" t="s">
        <v>202</v>
      </c>
      <c r="P2100" t="s">
        <v>340</v>
      </c>
      <c r="Q2100" t="s">
        <v>213</v>
      </c>
    </row>
    <row r="2101" spans="1:17" x14ac:dyDescent="0.3">
      <c r="A2101" s="25">
        <v>1289</v>
      </c>
      <c r="B2101" t="s">
        <v>204</v>
      </c>
      <c r="C2101" t="s">
        <v>32</v>
      </c>
      <c r="D2101" t="s">
        <v>408</v>
      </c>
      <c r="E2101" s="118"/>
      <c r="F2101" s="13">
        <v>46140</v>
      </c>
      <c r="G2101" s="24">
        <v>301917</v>
      </c>
      <c r="H2101" s="27"/>
      <c r="I2101" s="3">
        <v>46174</v>
      </c>
      <c r="J2101" s="102">
        <v>46195</v>
      </c>
      <c r="K2101" s="12"/>
      <c r="L2101" s="19" t="s">
        <v>719</v>
      </c>
      <c r="M2101" s="35"/>
      <c r="N2101"/>
      <c r="O2101" t="s">
        <v>202</v>
      </c>
      <c r="P2101" t="s">
        <v>340</v>
      </c>
      <c r="Q2101" t="s">
        <v>217</v>
      </c>
    </row>
    <row r="2102" spans="1:17" x14ac:dyDescent="0.3">
      <c r="A2102" s="25">
        <v>1299</v>
      </c>
      <c r="B2102" t="s">
        <v>204</v>
      </c>
      <c r="C2102" t="s">
        <v>32</v>
      </c>
      <c r="D2102" t="s">
        <v>419</v>
      </c>
      <c r="E2102" s="117">
        <v>8947</v>
      </c>
      <c r="F2102" s="13">
        <v>46109</v>
      </c>
      <c r="G2102" s="24">
        <v>1020096</v>
      </c>
      <c r="H2102" s="24">
        <v>950729.47</v>
      </c>
      <c r="I2102" s="3">
        <v>46160</v>
      </c>
      <c r="J2102" s="102">
        <v>46167</v>
      </c>
      <c r="K2102" s="12">
        <v>46167</v>
      </c>
      <c r="L2102" s="19" t="s">
        <v>731</v>
      </c>
      <c r="M2102" s="69"/>
      <c r="N2102" s="26"/>
      <c r="O2102" t="s">
        <v>199</v>
      </c>
      <c r="P2102" t="s">
        <v>340</v>
      </c>
      <c r="Q2102" t="s">
        <v>217</v>
      </c>
    </row>
    <row r="2103" spans="1:17" x14ac:dyDescent="0.3">
      <c r="A2103" s="25">
        <v>1271</v>
      </c>
      <c r="B2103" t="s">
        <v>204</v>
      </c>
      <c r="C2103" t="s">
        <v>32</v>
      </c>
      <c r="D2103" t="s">
        <v>387</v>
      </c>
      <c r="E2103" s="118">
        <v>8974</v>
      </c>
      <c r="F2103" s="13">
        <v>46140</v>
      </c>
      <c r="G2103" s="44">
        <v>255597.54</v>
      </c>
      <c r="H2103" s="24">
        <v>238216.91</v>
      </c>
      <c r="I2103" s="3">
        <v>46169</v>
      </c>
      <c r="J2103" s="161">
        <v>46181</v>
      </c>
      <c r="K2103" s="12">
        <v>46181</v>
      </c>
      <c r="L2103" s="19" t="s">
        <v>731</v>
      </c>
      <c r="M2103" s="35"/>
      <c r="N2103" s="24"/>
      <c r="O2103" t="s">
        <v>202</v>
      </c>
      <c r="P2103" t="s">
        <v>340</v>
      </c>
      <c r="Q2103" t="s">
        <v>217</v>
      </c>
    </row>
    <row r="2104" spans="1:17" x14ac:dyDescent="0.3">
      <c r="A2104" s="9">
        <v>1473</v>
      </c>
      <c r="B2104" t="s">
        <v>215</v>
      </c>
      <c r="C2104" t="s">
        <v>208</v>
      </c>
      <c r="D2104" t="s">
        <v>623</v>
      </c>
      <c r="E2104" s="118">
        <v>8749</v>
      </c>
      <c r="F2104" s="13">
        <v>46019</v>
      </c>
      <c r="G2104" s="24">
        <v>235629.21</v>
      </c>
      <c r="H2104" s="24">
        <v>219606.43</v>
      </c>
      <c r="I2104" s="3">
        <v>46064</v>
      </c>
      <c r="J2104" s="102">
        <v>46104</v>
      </c>
      <c r="K2104" s="12">
        <v>46108</v>
      </c>
      <c r="L2104" s="19" t="s">
        <v>731</v>
      </c>
      <c r="M2104" s="35"/>
      <c r="N2104"/>
      <c r="O2104" t="s">
        <v>202</v>
      </c>
      <c r="P2104" t="s">
        <v>340</v>
      </c>
      <c r="Q2104" t="s">
        <v>213</v>
      </c>
    </row>
    <row r="2105" spans="1:17" x14ac:dyDescent="0.3">
      <c r="A2105" s="9">
        <v>1473</v>
      </c>
      <c r="B2105" t="s">
        <v>215</v>
      </c>
      <c r="C2105" t="s">
        <v>208</v>
      </c>
      <c r="D2105" t="s">
        <v>623</v>
      </c>
      <c r="E2105" s="118">
        <v>8769</v>
      </c>
      <c r="F2105" s="13">
        <v>46051</v>
      </c>
      <c r="G2105" s="24">
        <v>236280.79</v>
      </c>
      <c r="H2105" s="24">
        <v>215347.12</v>
      </c>
      <c r="I2105" s="3">
        <v>46073</v>
      </c>
      <c r="J2105" s="102">
        <v>46083</v>
      </c>
      <c r="K2105" s="12">
        <v>46084</v>
      </c>
      <c r="L2105" s="19" t="s">
        <v>731</v>
      </c>
      <c r="M2105" s="35">
        <v>0</v>
      </c>
      <c r="N2105"/>
      <c r="O2105" t="s">
        <v>202</v>
      </c>
      <c r="P2105" t="s">
        <v>340</v>
      </c>
      <c r="Q2105" t="s">
        <v>213</v>
      </c>
    </row>
    <row r="2106" spans="1:17" x14ac:dyDescent="0.3">
      <c r="A2106" s="25">
        <v>1462</v>
      </c>
      <c r="B2106" t="s">
        <v>212</v>
      </c>
      <c r="C2106" t="s">
        <v>169</v>
      </c>
      <c r="D2106" t="s">
        <v>610</v>
      </c>
      <c r="E2106" s="118">
        <v>8647</v>
      </c>
      <c r="F2106" s="13">
        <v>45989</v>
      </c>
      <c r="G2106" s="24">
        <v>800</v>
      </c>
      <c r="H2106" s="24">
        <v>750.8</v>
      </c>
      <c r="I2106" s="3">
        <v>45994</v>
      </c>
      <c r="J2106" s="102">
        <v>45992</v>
      </c>
      <c r="K2106" s="12">
        <v>45996</v>
      </c>
      <c r="L2106" s="19" t="s">
        <v>731</v>
      </c>
      <c r="M2106" s="35">
        <v>0</v>
      </c>
      <c r="N2106" s="26"/>
      <c r="O2106" t="s">
        <v>202</v>
      </c>
      <c r="P2106" t="s">
        <v>328</v>
      </c>
      <c r="Q2106" t="s">
        <v>207</v>
      </c>
    </row>
    <row r="2107" spans="1:17" x14ac:dyDescent="0.3">
      <c r="A2107" s="25">
        <v>1462</v>
      </c>
      <c r="B2107" t="s">
        <v>212</v>
      </c>
      <c r="C2107" t="s">
        <v>169</v>
      </c>
      <c r="D2107" t="s">
        <v>610</v>
      </c>
      <c r="E2107" s="118">
        <v>8711</v>
      </c>
      <c r="F2107" s="13">
        <v>46019</v>
      </c>
      <c r="G2107" s="24">
        <v>800</v>
      </c>
      <c r="H2107" s="24">
        <v>750.8</v>
      </c>
      <c r="I2107" s="3">
        <v>46034</v>
      </c>
      <c r="J2107" s="102">
        <v>46034</v>
      </c>
      <c r="K2107" s="12">
        <v>46034</v>
      </c>
      <c r="L2107" s="19" t="s">
        <v>731</v>
      </c>
      <c r="M2107" s="35">
        <v>0</v>
      </c>
      <c r="N2107" s="26"/>
      <c r="O2107" t="s">
        <v>202</v>
      </c>
      <c r="P2107" t="s">
        <v>328</v>
      </c>
      <c r="Q2107" t="s">
        <v>207</v>
      </c>
    </row>
    <row r="2108" spans="1:17" x14ac:dyDescent="0.3">
      <c r="A2108" s="25">
        <v>1462</v>
      </c>
      <c r="B2108" t="s">
        <v>212</v>
      </c>
      <c r="C2108" t="s">
        <v>169</v>
      </c>
      <c r="D2108" t="s">
        <v>610</v>
      </c>
      <c r="E2108" s="118">
        <v>8741</v>
      </c>
      <c r="F2108" s="13">
        <v>46051</v>
      </c>
      <c r="G2108" s="24">
        <v>800</v>
      </c>
      <c r="H2108" s="24">
        <v>750.8</v>
      </c>
      <c r="I2108" s="3">
        <v>46063</v>
      </c>
      <c r="J2108" s="102">
        <v>46062</v>
      </c>
      <c r="K2108" s="12">
        <v>46063</v>
      </c>
      <c r="L2108" s="19" t="s">
        <v>731</v>
      </c>
      <c r="M2108" s="35">
        <v>0</v>
      </c>
      <c r="N2108" s="26"/>
      <c r="O2108" t="s">
        <v>202</v>
      </c>
      <c r="P2108" t="s">
        <v>328</v>
      </c>
      <c r="Q2108" t="s">
        <v>207</v>
      </c>
    </row>
    <row r="2109" spans="1:17" x14ac:dyDescent="0.3">
      <c r="A2109" s="25">
        <v>1462</v>
      </c>
      <c r="B2109" t="s">
        <v>212</v>
      </c>
      <c r="C2109" t="s">
        <v>169</v>
      </c>
      <c r="D2109" t="s">
        <v>610</v>
      </c>
      <c r="E2109" s="118">
        <v>8788</v>
      </c>
      <c r="F2109" s="13">
        <v>46081</v>
      </c>
      <c r="G2109" s="24">
        <v>800</v>
      </c>
      <c r="H2109" s="27">
        <v>750.8</v>
      </c>
      <c r="I2109" s="3">
        <v>46085</v>
      </c>
      <c r="J2109" s="102">
        <v>46083</v>
      </c>
      <c r="K2109" s="12">
        <v>46086</v>
      </c>
      <c r="L2109" s="19" t="s">
        <v>731</v>
      </c>
      <c r="M2109" s="35">
        <v>0</v>
      </c>
      <c r="N2109" s="26"/>
      <c r="O2109" t="s">
        <v>202</v>
      </c>
      <c r="P2109" t="s">
        <v>328</v>
      </c>
      <c r="Q2109" t="s">
        <v>207</v>
      </c>
    </row>
    <row r="2110" spans="1:17" x14ac:dyDescent="0.3">
      <c r="A2110" s="25">
        <v>1462</v>
      </c>
      <c r="B2110" t="s">
        <v>212</v>
      </c>
      <c r="C2110" t="s">
        <v>169</v>
      </c>
      <c r="D2110" t="s">
        <v>610</v>
      </c>
      <c r="E2110" s="118"/>
      <c r="F2110" s="13">
        <v>46140</v>
      </c>
      <c r="G2110" s="44">
        <v>800</v>
      </c>
      <c r="H2110" s="27">
        <v>750.8</v>
      </c>
      <c r="I2110" s="3">
        <v>46143</v>
      </c>
      <c r="J2110" s="102">
        <v>46195</v>
      </c>
      <c r="K2110" s="12"/>
      <c r="L2110" s="19" t="s">
        <v>719</v>
      </c>
      <c r="M2110" s="35">
        <v>0</v>
      </c>
      <c r="N2110" s="26"/>
      <c r="O2110" t="s">
        <v>202</v>
      </c>
      <c r="P2110" t="s">
        <v>328</v>
      </c>
      <c r="Q2110" t="s">
        <v>207</v>
      </c>
    </row>
    <row r="2111" spans="1:17" x14ac:dyDescent="0.3">
      <c r="A2111" s="25">
        <v>1462</v>
      </c>
      <c r="B2111" t="s">
        <v>212</v>
      </c>
      <c r="C2111" t="s">
        <v>169</v>
      </c>
      <c r="D2111" t="s">
        <v>610</v>
      </c>
      <c r="E2111" s="118"/>
      <c r="F2111" s="13">
        <v>46170</v>
      </c>
      <c r="G2111" s="24">
        <v>800</v>
      </c>
      <c r="H2111" s="27">
        <v>750.8</v>
      </c>
      <c r="I2111" s="3">
        <v>46174</v>
      </c>
      <c r="J2111" s="102">
        <v>46225</v>
      </c>
      <c r="K2111" s="12"/>
      <c r="L2111" s="19" t="s">
        <v>719</v>
      </c>
      <c r="M2111" s="35">
        <v>0</v>
      </c>
      <c r="N2111" s="26"/>
      <c r="O2111" t="s">
        <v>202</v>
      </c>
      <c r="P2111" t="s">
        <v>328</v>
      </c>
      <c r="Q2111" t="s">
        <v>207</v>
      </c>
    </row>
    <row r="2112" spans="1:17" x14ac:dyDescent="0.3">
      <c r="A2112" s="14">
        <v>1260</v>
      </c>
      <c r="B2112" t="s">
        <v>193</v>
      </c>
      <c r="C2112" t="s">
        <v>121</v>
      </c>
      <c r="D2112" t="s">
        <v>372</v>
      </c>
      <c r="E2112" s="118">
        <v>4590</v>
      </c>
      <c r="F2112" s="13">
        <v>45989</v>
      </c>
      <c r="G2112" s="24">
        <v>10914</v>
      </c>
      <c r="H2112" s="24">
        <v>10242.790000000001</v>
      </c>
      <c r="I2112" s="3">
        <v>45992</v>
      </c>
      <c r="J2112" s="102">
        <v>46013</v>
      </c>
      <c r="K2112" s="12">
        <v>46014</v>
      </c>
      <c r="L2112" s="20" t="s">
        <v>731</v>
      </c>
      <c r="M2112" s="35">
        <v>0</v>
      </c>
      <c r="N2112"/>
      <c r="O2112" t="s">
        <v>199</v>
      </c>
      <c r="P2112" t="s">
        <v>373</v>
      </c>
      <c r="Q2112" t="s">
        <v>207</v>
      </c>
    </row>
    <row r="2113" spans="1:17" x14ac:dyDescent="0.3">
      <c r="A2113" s="14">
        <v>1260</v>
      </c>
      <c r="B2113" t="s">
        <v>193</v>
      </c>
      <c r="C2113" t="s">
        <v>121</v>
      </c>
      <c r="D2113" t="s">
        <v>372</v>
      </c>
      <c r="E2113" s="118">
        <v>4708</v>
      </c>
      <c r="F2113" s="13">
        <v>46019</v>
      </c>
      <c r="G2113" s="27">
        <v>10914</v>
      </c>
      <c r="H2113" s="27">
        <v>10242.790000000001</v>
      </c>
      <c r="I2113" s="3">
        <v>46024</v>
      </c>
      <c r="J2113" s="102">
        <v>46048</v>
      </c>
      <c r="K2113" s="12">
        <v>46050</v>
      </c>
      <c r="L2113" s="20" t="s">
        <v>731</v>
      </c>
      <c r="M2113" s="35">
        <v>0</v>
      </c>
      <c r="N2113"/>
      <c r="O2113" t="s">
        <v>199</v>
      </c>
      <c r="P2113" t="s">
        <v>373</v>
      </c>
      <c r="Q2113" t="s">
        <v>207</v>
      </c>
    </row>
    <row r="2114" spans="1:17" x14ac:dyDescent="0.3">
      <c r="A2114" s="14">
        <v>1260</v>
      </c>
      <c r="B2114" t="s">
        <v>193</v>
      </c>
      <c r="C2114" t="s">
        <v>121</v>
      </c>
      <c r="D2114" t="s">
        <v>372</v>
      </c>
      <c r="E2114" s="118">
        <v>4789</v>
      </c>
      <c r="F2114" s="13">
        <v>46051</v>
      </c>
      <c r="G2114" s="24">
        <v>10914</v>
      </c>
      <c r="H2114" s="24">
        <v>10242.790000000001</v>
      </c>
      <c r="I2114" s="3">
        <v>46055</v>
      </c>
      <c r="J2114" s="102">
        <v>46076</v>
      </c>
      <c r="K2114" s="12">
        <v>46078</v>
      </c>
      <c r="L2114" s="20" t="s">
        <v>731</v>
      </c>
      <c r="M2114" s="35">
        <v>0</v>
      </c>
      <c r="N2114"/>
      <c r="O2114" t="s">
        <v>199</v>
      </c>
      <c r="P2114" t="s">
        <v>373</v>
      </c>
      <c r="Q2114" t="s">
        <v>207</v>
      </c>
    </row>
    <row r="2115" spans="1:17" x14ac:dyDescent="0.3">
      <c r="A2115" s="14">
        <v>1260</v>
      </c>
      <c r="B2115" t="s">
        <v>193</v>
      </c>
      <c r="C2115" t="s">
        <v>121</v>
      </c>
      <c r="D2115" t="s">
        <v>372</v>
      </c>
      <c r="E2115" s="118">
        <v>4905</v>
      </c>
      <c r="F2115" s="13">
        <v>46081</v>
      </c>
      <c r="G2115" s="24">
        <v>10914</v>
      </c>
      <c r="H2115" s="24">
        <v>10242.790000000001</v>
      </c>
      <c r="I2115" s="3">
        <v>46083</v>
      </c>
      <c r="J2115" s="102">
        <v>46104</v>
      </c>
      <c r="K2115" s="12">
        <v>46106</v>
      </c>
      <c r="L2115" s="20" t="s">
        <v>731</v>
      </c>
      <c r="M2115" s="35">
        <v>0</v>
      </c>
      <c r="N2115"/>
      <c r="O2115" t="s">
        <v>199</v>
      </c>
      <c r="P2115" t="s">
        <v>373</v>
      </c>
      <c r="Q2115" t="s">
        <v>207</v>
      </c>
    </row>
    <row r="2116" spans="1:17" x14ac:dyDescent="0.3">
      <c r="A2116" s="14">
        <v>1260</v>
      </c>
      <c r="B2116" t="s">
        <v>193</v>
      </c>
      <c r="C2116" t="s">
        <v>121</v>
      </c>
      <c r="D2116" t="s">
        <v>372</v>
      </c>
      <c r="E2116" s="118">
        <v>5024</v>
      </c>
      <c r="F2116" s="13">
        <v>46109</v>
      </c>
      <c r="G2116" s="27">
        <v>11009.7</v>
      </c>
      <c r="H2116" s="24">
        <v>10332.6</v>
      </c>
      <c r="I2116" s="3">
        <v>46114</v>
      </c>
      <c r="J2116" s="102">
        <v>46139</v>
      </c>
      <c r="K2116" s="12">
        <v>46141</v>
      </c>
      <c r="L2116" s="20" t="s">
        <v>731</v>
      </c>
      <c r="M2116" s="35">
        <v>0</v>
      </c>
      <c r="N2116"/>
      <c r="O2116" t="s">
        <v>199</v>
      </c>
      <c r="P2116" t="s">
        <v>373</v>
      </c>
      <c r="Q2116" t="s">
        <v>207</v>
      </c>
    </row>
    <row r="2117" spans="1:17" x14ac:dyDescent="0.3">
      <c r="A2117" s="14">
        <v>1260</v>
      </c>
      <c r="B2117" t="s">
        <v>193</v>
      </c>
      <c r="C2117" t="s">
        <v>121</v>
      </c>
      <c r="D2117" t="s">
        <v>372</v>
      </c>
      <c r="E2117" s="118">
        <v>5115</v>
      </c>
      <c r="F2117" s="13">
        <v>46140</v>
      </c>
      <c r="G2117" s="24">
        <v>11009.7</v>
      </c>
      <c r="H2117" s="24">
        <v>10332.6</v>
      </c>
      <c r="I2117" s="3">
        <v>46146</v>
      </c>
      <c r="J2117" s="102">
        <v>46167</v>
      </c>
      <c r="K2117" s="12">
        <v>46169</v>
      </c>
      <c r="L2117" s="20" t="s">
        <v>731</v>
      </c>
      <c r="M2117" s="35">
        <v>0</v>
      </c>
      <c r="N2117"/>
      <c r="O2117" t="s">
        <v>199</v>
      </c>
      <c r="P2117" t="s">
        <v>373</v>
      </c>
      <c r="Q2117" t="s">
        <v>207</v>
      </c>
    </row>
    <row r="2118" spans="1:17" x14ac:dyDescent="0.3">
      <c r="A2118" s="25">
        <v>1506</v>
      </c>
      <c r="B2118" t="s">
        <v>193</v>
      </c>
      <c r="C2118" t="s">
        <v>43</v>
      </c>
      <c r="D2118" t="s">
        <v>656</v>
      </c>
      <c r="E2118" s="118">
        <v>5192</v>
      </c>
      <c r="F2118" s="13">
        <v>46170</v>
      </c>
      <c r="G2118" s="24">
        <v>19581.759999999998</v>
      </c>
      <c r="H2118" s="24">
        <v>18377.48</v>
      </c>
      <c r="I2118" s="3">
        <v>46174</v>
      </c>
      <c r="J2118" s="102">
        <v>46209</v>
      </c>
      <c r="K2118" s="12"/>
      <c r="L2118" s="19" t="s">
        <v>730</v>
      </c>
      <c r="M2118" s="36">
        <v>0</v>
      </c>
      <c r="N2118" s="26"/>
      <c r="O2118" t="s">
        <v>201</v>
      </c>
      <c r="P2118" t="s">
        <v>376</v>
      </c>
      <c r="Q2118" t="s">
        <v>207</v>
      </c>
    </row>
    <row r="2119" spans="1:17" x14ac:dyDescent="0.3">
      <c r="A2119" s="9">
        <v>1482</v>
      </c>
      <c r="B2119" t="s">
        <v>84</v>
      </c>
      <c r="C2119" t="s">
        <v>34</v>
      </c>
      <c r="D2119" t="s">
        <v>632</v>
      </c>
      <c r="E2119" s="118">
        <v>8658</v>
      </c>
      <c r="F2119" s="13">
        <v>45989</v>
      </c>
      <c r="G2119" s="24">
        <v>39000</v>
      </c>
      <c r="H2119" s="27">
        <v>35236.5</v>
      </c>
      <c r="I2119" s="3">
        <v>45995</v>
      </c>
      <c r="J2119" s="102">
        <v>46006</v>
      </c>
      <c r="K2119" s="12">
        <v>46010</v>
      </c>
      <c r="L2119" s="37" t="s">
        <v>731</v>
      </c>
      <c r="M2119" s="35"/>
      <c r="N2119" s="15"/>
      <c r="O2119" t="s">
        <v>202</v>
      </c>
      <c r="P2119" t="s">
        <v>328</v>
      </c>
      <c r="Q2119" t="s">
        <v>207</v>
      </c>
    </row>
    <row r="2120" spans="1:17" x14ac:dyDescent="0.3">
      <c r="A2120" s="9">
        <v>1482</v>
      </c>
      <c r="B2120" t="s">
        <v>84</v>
      </c>
      <c r="C2120" t="s">
        <v>34</v>
      </c>
      <c r="D2120" t="s">
        <v>632</v>
      </c>
      <c r="E2120" s="118">
        <v>8714</v>
      </c>
      <c r="F2120" s="13">
        <v>46019</v>
      </c>
      <c r="G2120" s="24">
        <v>49616.75</v>
      </c>
      <c r="H2120" s="24">
        <v>44828.73</v>
      </c>
      <c r="I2120" s="3">
        <v>46034</v>
      </c>
      <c r="J2120" s="102">
        <v>46055</v>
      </c>
      <c r="K2120" s="12">
        <v>46056</v>
      </c>
      <c r="L2120" s="37" t="s">
        <v>731</v>
      </c>
      <c r="M2120" s="35"/>
      <c r="N2120" s="15"/>
      <c r="O2120" t="s">
        <v>202</v>
      </c>
      <c r="P2120" t="s">
        <v>328</v>
      </c>
      <c r="Q2120" t="s">
        <v>207</v>
      </c>
    </row>
    <row r="2121" spans="1:17" x14ac:dyDescent="0.3">
      <c r="A2121" s="9">
        <v>1482</v>
      </c>
      <c r="B2121" t="s">
        <v>84</v>
      </c>
      <c r="C2121" t="s">
        <v>34</v>
      </c>
      <c r="D2121" t="s">
        <v>632</v>
      </c>
      <c r="E2121" s="118">
        <v>8743</v>
      </c>
      <c r="F2121" s="13">
        <v>46051</v>
      </c>
      <c r="G2121" s="24">
        <v>42248.18</v>
      </c>
      <c r="H2121" s="27">
        <v>38171.230000000003</v>
      </c>
      <c r="I2121" s="3">
        <v>46063</v>
      </c>
      <c r="J2121" s="102">
        <v>46083</v>
      </c>
      <c r="K2121" s="12">
        <v>46086</v>
      </c>
      <c r="L2121" s="37" t="s">
        <v>731</v>
      </c>
      <c r="M2121" s="35"/>
      <c r="N2121" s="15"/>
      <c r="O2121" t="s">
        <v>202</v>
      </c>
      <c r="P2121" t="s">
        <v>328</v>
      </c>
      <c r="Q2121" t="s">
        <v>207</v>
      </c>
    </row>
    <row r="2122" spans="1:17" x14ac:dyDescent="0.3">
      <c r="A2122" s="9">
        <v>1482</v>
      </c>
      <c r="B2122" t="s">
        <v>84</v>
      </c>
      <c r="C2122" t="s">
        <v>34</v>
      </c>
      <c r="D2122" t="s">
        <v>632</v>
      </c>
      <c r="E2122" s="118">
        <v>8824</v>
      </c>
      <c r="F2122" s="13">
        <v>46081</v>
      </c>
      <c r="G2122" s="24">
        <v>34583</v>
      </c>
      <c r="H2122" s="24">
        <v>31245.75</v>
      </c>
      <c r="I2122" s="3">
        <v>46101</v>
      </c>
      <c r="J2122" s="102">
        <v>46113</v>
      </c>
      <c r="K2122" s="12">
        <v>46113</v>
      </c>
      <c r="L2122" s="37" t="s">
        <v>731</v>
      </c>
      <c r="M2122" s="35"/>
      <c r="N2122" s="15"/>
      <c r="O2122" t="s">
        <v>202</v>
      </c>
      <c r="P2122" t="s">
        <v>328</v>
      </c>
      <c r="Q2122" t="s">
        <v>207</v>
      </c>
    </row>
    <row r="2123" spans="1:17" x14ac:dyDescent="0.3">
      <c r="A2123" s="9">
        <v>1482</v>
      </c>
      <c r="B2123" t="s">
        <v>84</v>
      </c>
      <c r="C2123" t="s">
        <v>34</v>
      </c>
      <c r="D2123" t="s">
        <v>632</v>
      </c>
      <c r="E2123" s="118">
        <v>8840</v>
      </c>
      <c r="F2123" s="13">
        <v>46109</v>
      </c>
      <c r="G2123" s="24">
        <v>34583</v>
      </c>
      <c r="H2123" s="27">
        <v>31245.75</v>
      </c>
      <c r="I2123" s="3">
        <v>46118</v>
      </c>
      <c r="J2123" s="102">
        <v>46153</v>
      </c>
      <c r="K2123" s="12">
        <v>46153</v>
      </c>
      <c r="L2123" s="37" t="s">
        <v>731</v>
      </c>
      <c r="M2123" s="35"/>
      <c r="N2123" s="15"/>
      <c r="O2123" t="s">
        <v>202</v>
      </c>
      <c r="P2123" t="s">
        <v>328</v>
      </c>
      <c r="Q2123" t="s">
        <v>207</v>
      </c>
    </row>
    <row r="2124" spans="1:17" x14ac:dyDescent="0.3">
      <c r="A2124" s="9">
        <v>1482</v>
      </c>
      <c r="B2124" t="s">
        <v>84</v>
      </c>
      <c r="C2124" t="s">
        <v>34</v>
      </c>
      <c r="D2124" t="s">
        <v>632</v>
      </c>
      <c r="E2124" s="118">
        <v>8913</v>
      </c>
      <c r="F2124" s="13">
        <v>46140</v>
      </c>
      <c r="G2124" s="24">
        <v>34583</v>
      </c>
      <c r="H2124" s="24">
        <v>31245.75</v>
      </c>
      <c r="I2124" s="3">
        <v>46146</v>
      </c>
      <c r="J2124" s="102">
        <v>46174</v>
      </c>
      <c r="K2124" s="12">
        <v>46176</v>
      </c>
      <c r="L2124" s="37" t="s">
        <v>731</v>
      </c>
      <c r="M2124" s="35"/>
      <c r="N2124" s="15"/>
      <c r="O2124" t="s">
        <v>202</v>
      </c>
      <c r="P2124" t="s">
        <v>328</v>
      </c>
      <c r="Q2124" t="s">
        <v>207</v>
      </c>
    </row>
    <row r="2125" spans="1:17" x14ac:dyDescent="0.3">
      <c r="A2125" s="9">
        <v>1525</v>
      </c>
      <c r="B2125" t="s">
        <v>215</v>
      </c>
      <c r="C2125" t="s">
        <v>21</v>
      </c>
      <c r="D2125" t="s">
        <v>867</v>
      </c>
      <c r="E2125" s="118">
        <v>8988</v>
      </c>
      <c r="F2125" s="13">
        <v>46170</v>
      </c>
      <c r="G2125" s="27">
        <v>60000</v>
      </c>
      <c r="H2125" s="24">
        <v>55020</v>
      </c>
      <c r="I2125" s="3">
        <v>46174</v>
      </c>
      <c r="J2125" s="102">
        <v>46195</v>
      </c>
      <c r="K2125" s="12"/>
      <c r="L2125" s="19" t="s">
        <v>730</v>
      </c>
      <c r="M2125" s="35">
        <v>0</v>
      </c>
      <c r="N2125"/>
      <c r="O2125" t="s">
        <v>202</v>
      </c>
      <c r="P2125" t="s">
        <v>340</v>
      </c>
      <c r="Q2125" t="s">
        <v>213</v>
      </c>
    </row>
    <row r="2126" spans="1:17" x14ac:dyDescent="0.3">
      <c r="A2126" s="25">
        <v>1262</v>
      </c>
      <c r="B2126" t="s">
        <v>193</v>
      </c>
      <c r="C2126" t="s">
        <v>45</v>
      </c>
      <c r="D2126" t="s">
        <v>375</v>
      </c>
      <c r="E2126" s="118">
        <v>4652</v>
      </c>
      <c r="F2126" s="13">
        <v>45989</v>
      </c>
      <c r="G2126" s="24">
        <v>24275.919999999998</v>
      </c>
      <c r="H2126" s="27">
        <v>22782.95</v>
      </c>
      <c r="I2126" s="3">
        <v>46000</v>
      </c>
      <c r="J2126" s="102">
        <v>46006</v>
      </c>
      <c r="K2126" s="12">
        <v>46010</v>
      </c>
      <c r="L2126" s="19" t="s">
        <v>731</v>
      </c>
      <c r="M2126" s="35">
        <v>0</v>
      </c>
      <c r="N2126" s="26"/>
      <c r="O2126" t="s">
        <v>199</v>
      </c>
      <c r="P2126" t="s">
        <v>376</v>
      </c>
      <c r="Q2126" t="s">
        <v>207</v>
      </c>
    </row>
    <row r="2127" spans="1:17" x14ac:dyDescent="0.3">
      <c r="A2127" s="25">
        <v>1262</v>
      </c>
      <c r="B2127" t="s">
        <v>193</v>
      </c>
      <c r="C2127" t="s">
        <v>45</v>
      </c>
      <c r="D2127" t="s">
        <v>375</v>
      </c>
      <c r="E2127" s="118">
        <v>4653</v>
      </c>
      <c r="F2127" s="13">
        <v>45989</v>
      </c>
      <c r="G2127" s="24">
        <v>18837.36</v>
      </c>
      <c r="H2127" s="27">
        <v>17678.86</v>
      </c>
      <c r="I2127" s="3">
        <v>46000</v>
      </c>
      <c r="J2127" s="102">
        <v>46006</v>
      </c>
      <c r="K2127" s="12">
        <v>46010</v>
      </c>
      <c r="L2127" s="19" t="s">
        <v>731</v>
      </c>
      <c r="M2127" s="35">
        <v>0</v>
      </c>
      <c r="N2127" s="26"/>
      <c r="O2127" t="s">
        <v>199</v>
      </c>
      <c r="P2127" t="s">
        <v>376</v>
      </c>
      <c r="Q2127" t="s">
        <v>207</v>
      </c>
    </row>
    <row r="2128" spans="1:17" x14ac:dyDescent="0.3">
      <c r="A2128" s="25">
        <v>1262</v>
      </c>
      <c r="B2128" t="s">
        <v>193</v>
      </c>
      <c r="C2128" t="s">
        <v>45</v>
      </c>
      <c r="D2128" t="s">
        <v>375</v>
      </c>
      <c r="E2128" s="118">
        <v>4654</v>
      </c>
      <c r="F2128" s="13">
        <v>45989</v>
      </c>
      <c r="G2128" s="24">
        <v>15783.38</v>
      </c>
      <c r="H2128" s="27">
        <v>14812.7</v>
      </c>
      <c r="I2128" s="3">
        <v>46000</v>
      </c>
      <c r="J2128" s="102">
        <v>46006</v>
      </c>
      <c r="K2128" s="12">
        <v>46010</v>
      </c>
      <c r="L2128" s="19" t="s">
        <v>731</v>
      </c>
      <c r="M2128" s="35">
        <v>0</v>
      </c>
      <c r="N2128" s="26"/>
      <c r="O2128" t="s">
        <v>199</v>
      </c>
      <c r="P2128" t="s">
        <v>376</v>
      </c>
      <c r="Q2128" t="s">
        <v>207</v>
      </c>
    </row>
    <row r="2129" spans="1:17" x14ac:dyDescent="0.3">
      <c r="A2129" s="25">
        <v>1262</v>
      </c>
      <c r="B2129" t="s">
        <v>193</v>
      </c>
      <c r="C2129" t="s">
        <v>45</v>
      </c>
      <c r="D2129" t="s">
        <v>375</v>
      </c>
      <c r="E2129" s="118">
        <v>4655</v>
      </c>
      <c r="F2129" s="13">
        <v>45989</v>
      </c>
      <c r="G2129" s="24">
        <v>57975.839999999997</v>
      </c>
      <c r="H2129" s="27">
        <v>54410.32</v>
      </c>
      <c r="I2129" s="3">
        <v>46000</v>
      </c>
      <c r="J2129" s="102">
        <v>46006</v>
      </c>
      <c r="K2129" s="12">
        <v>46010</v>
      </c>
      <c r="L2129" s="19" t="s">
        <v>731</v>
      </c>
      <c r="M2129" s="35">
        <v>0</v>
      </c>
      <c r="N2129" s="26"/>
      <c r="O2129" t="s">
        <v>199</v>
      </c>
      <c r="P2129" t="s">
        <v>376</v>
      </c>
      <c r="Q2129" t="s">
        <v>207</v>
      </c>
    </row>
    <row r="2130" spans="1:17" x14ac:dyDescent="0.3">
      <c r="A2130" s="25">
        <v>1262</v>
      </c>
      <c r="B2130" t="s">
        <v>193</v>
      </c>
      <c r="C2130" t="s">
        <v>45</v>
      </c>
      <c r="D2130" t="s">
        <v>375</v>
      </c>
      <c r="E2130" s="118">
        <v>4657</v>
      </c>
      <c r="F2130" s="13">
        <v>45989</v>
      </c>
      <c r="G2130" s="24">
        <v>6764.3</v>
      </c>
      <c r="H2130" s="27">
        <v>6348.3</v>
      </c>
      <c r="I2130" s="3">
        <v>46000</v>
      </c>
      <c r="J2130" s="102">
        <v>46006</v>
      </c>
      <c r="K2130" s="12">
        <v>46010</v>
      </c>
      <c r="L2130" s="19" t="s">
        <v>731</v>
      </c>
      <c r="M2130" s="35">
        <v>0</v>
      </c>
      <c r="N2130" s="26"/>
      <c r="O2130" t="s">
        <v>199</v>
      </c>
      <c r="P2130" t="s">
        <v>376</v>
      </c>
      <c r="Q2130" t="s">
        <v>207</v>
      </c>
    </row>
    <row r="2131" spans="1:17" x14ac:dyDescent="0.3">
      <c r="A2131" s="25">
        <v>1262</v>
      </c>
      <c r="B2131" t="s">
        <v>193</v>
      </c>
      <c r="C2131" t="s">
        <v>45</v>
      </c>
      <c r="D2131" t="s">
        <v>375</v>
      </c>
      <c r="E2131" s="118">
        <v>4700</v>
      </c>
      <c r="F2131" s="13">
        <v>46019</v>
      </c>
      <c r="G2131" s="24">
        <v>83672.320000000007</v>
      </c>
      <c r="H2131" s="24">
        <v>78526.48</v>
      </c>
      <c r="I2131" s="3">
        <v>46006</v>
      </c>
      <c r="J2131" s="102">
        <v>46020</v>
      </c>
      <c r="K2131" s="12">
        <v>46021</v>
      </c>
      <c r="L2131" s="19" t="s">
        <v>731</v>
      </c>
      <c r="M2131" s="35"/>
      <c r="N2131" s="26"/>
      <c r="O2131" t="s">
        <v>199</v>
      </c>
      <c r="P2131" t="s">
        <v>376</v>
      </c>
      <c r="Q2131" t="s">
        <v>207</v>
      </c>
    </row>
    <row r="2132" spans="1:17" x14ac:dyDescent="0.3">
      <c r="A2132" s="25">
        <v>1262</v>
      </c>
      <c r="B2132" t="s">
        <v>193</v>
      </c>
      <c r="C2132" t="s">
        <v>45</v>
      </c>
      <c r="D2132" t="s">
        <v>375</v>
      </c>
      <c r="E2132" s="118">
        <v>4769</v>
      </c>
      <c r="F2132" s="13">
        <v>46019</v>
      </c>
      <c r="G2132" s="27">
        <v>26016.76</v>
      </c>
      <c r="H2132" s="27">
        <v>24416.73</v>
      </c>
      <c r="I2132" s="3">
        <v>46045</v>
      </c>
      <c r="J2132" s="102">
        <v>46048</v>
      </c>
      <c r="K2132" s="12">
        <v>46052</v>
      </c>
      <c r="L2132" s="19" t="s">
        <v>731</v>
      </c>
      <c r="M2132" s="35"/>
      <c r="N2132" s="26"/>
      <c r="O2132" t="s">
        <v>199</v>
      </c>
      <c r="P2132" t="s">
        <v>376</v>
      </c>
      <c r="Q2132" t="s">
        <v>207</v>
      </c>
    </row>
    <row r="2133" spans="1:17" x14ac:dyDescent="0.3">
      <c r="A2133" s="25">
        <v>1262</v>
      </c>
      <c r="B2133" t="s">
        <v>193</v>
      </c>
      <c r="C2133" t="s">
        <v>45</v>
      </c>
      <c r="D2133" t="s">
        <v>375</v>
      </c>
      <c r="E2133" s="118">
        <v>4776</v>
      </c>
      <c r="F2133" s="13">
        <v>46019</v>
      </c>
      <c r="G2133" s="27">
        <v>795.15</v>
      </c>
      <c r="H2133" s="27">
        <v>746.25</v>
      </c>
      <c r="I2133" s="3">
        <v>46045</v>
      </c>
      <c r="J2133" s="102">
        <v>46048</v>
      </c>
      <c r="K2133" s="12">
        <v>46052</v>
      </c>
      <c r="L2133" s="19" t="s">
        <v>731</v>
      </c>
      <c r="M2133" s="35"/>
      <c r="N2133" s="26"/>
      <c r="O2133" t="s">
        <v>199</v>
      </c>
      <c r="P2133" t="s">
        <v>376</v>
      </c>
      <c r="Q2133" t="s">
        <v>207</v>
      </c>
    </row>
    <row r="2134" spans="1:17" x14ac:dyDescent="0.3">
      <c r="A2134" s="25">
        <v>1262</v>
      </c>
      <c r="B2134" t="s">
        <v>193</v>
      </c>
      <c r="C2134" t="s">
        <v>45</v>
      </c>
      <c r="D2134" t="s">
        <v>375</v>
      </c>
      <c r="E2134" s="118">
        <v>4771</v>
      </c>
      <c r="F2134" s="13">
        <v>46019</v>
      </c>
      <c r="G2134" s="27">
        <v>1402.26</v>
      </c>
      <c r="H2134" s="27">
        <v>1316.03</v>
      </c>
      <c r="I2134" s="3">
        <v>46045</v>
      </c>
      <c r="J2134" s="102">
        <v>46048</v>
      </c>
      <c r="K2134" s="12">
        <v>46052</v>
      </c>
      <c r="L2134" s="19" t="s">
        <v>731</v>
      </c>
      <c r="M2134" s="35"/>
      <c r="N2134" s="26"/>
      <c r="O2134" t="s">
        <v>199</v>
      </c>
      <c r="P2134" t="s">
        <v>376</v>
      </c>
      <c r="Q2134" t="s">
        <v>207</v>
      </c>
    </row>
    <row r="2135" spans="1:17" x14ac:dyDescent="0.3">
      <c r="A2135" s="25">
        <v>1262</v>
      </c>
      <c r="B2135" t="s">
        <v>193</v>
      </c>
      <c r="C2135" t="s">
        <v>45</v>
      </c>
      <c r="D2135" t="s">
        <v>375</v>
      </c>
      <c r="E2135" s="118">
        <v>4772</v>
      </c>
      <c r="F2135" s="13">
        <v>46019</v>
      </c>
      <c r="G2135" s="27">
        <v>8077.73</v>
      </c>
      <c r="H2135" s="27">
        <v>7580.94</v>
      </c>
      <c r="I2135" s="3">
        <v>46045</v>
      </c>
      <c r="J2135" s="102">
        <v>46048</v>
      </c>
      <c r="K2135" s="12">
        <v>46052</v>
      </c>
      <c r="L2135" s="19" t="s">
        <v>731</v>
      </c>
      <c r="M2135" s="35"/>
      <c r="N2135" s="26"/>
      <c r="O2135" t="s">
        <v>199</v>
      </c>
      <c r="P2135" t="s">
        <v>376</v>
      </c>
      <c r="Q2135" t="s">
        <v>207</v>
      </c>
    </row>
    <row r="2136" spans="1:17" x14ac:dyDescent="0.3">
      <c r="A2136" s="25">
        <v>1262</v>
      </c>
      <c r="B2136" t="s">
        <v>193</v>
      </c>
      <c r="C2136" t="s">
        <v>45</v>
      </c>
      <c r="D2136" t="s">
        <v>375</v>
      </c>
      <c r="E2136" s="118">
        <v>4854</v>
      </c>
      <c r="F2136" s="13">
        <v>46051</v>
      </c>
      <c r="G2136" s="24">
        <v>30590.85</v>
      </c>
      <c r="H2136" s="24">
        <v>28709.51</v>
      </c>
      <c r="I2136" s="3">
        <v>46071</v>
      </c>
      <c r="J2136" s="102">
        <v>46076</v>
      </c>
      <c r="K2136" s="12">
        <v>46080</v>
      </c>
      <c r="L2136" s="19" t="s">
        <v>731</v>
      </c>
      <c r="M2136" s="35"/>
      <c r="N2136" s="26"/>
      <c r="O2136" t="s">
        <v>199</v>
      </c>
      <c r="P2136" t="s">
        <v>376</v>
      </c>
      <c r="Q2136" t="s">
        <v>207</v>
      </c>
    </row>
    <row r="2137" spans="1:17" x14ac:dyDescent="0.3">
      <c r="A2137" s="25">
        <v>1262</v>
      </c>
      <c r="B2137" t="s">
        <v>193</v>
      </c>
      <c r="C2137" t="s">
        <v>45</v>
      </c>
      <c r="D2137" t="s">
        <v>375</v>
      </c>
      <c r="E2137" s="118">
        <v>4855</v>
      </c>
      <c r="F2137" s="13">
        <v>46051</v>
      </c>
      <c r="G2137" s="24">
        <v>21824.07</v>
      </c>
      <c r="H2137" s="24">
        <v>20481.89</v>
      </c>
      <c r="I2137" s="3">
        <v>46071</v>
      </c>
      <c r="J2137" s="102">
        <v>46076</v>
      </c>
      <c r="K2137" s="12">
        <v>46080</v>
      </c>
      <c r="L2137" s="19" t="s">
        <v>731</v>
      </c>
      <c r="M2137" s="35"/>
      <c r="N2137" s="26"/>
      <c r="O2137" t="s">
        <v>199</v>
      </c>
      <c r="P2137" t="s">
        <v>376</v>
      </c>
      <c r="Q2137" t="s">
        <v>207</v>
      </c>
    </row>
    <row r="2138" spans="1:17" x14ac:dyDescent="0.3">
      <c r="A2138" s="25">
        <v>1262</v>
      </c>
      <c r="B2138" t="s">
        <v>193</v>
      </c>
      <c r="C2138" t="s">
        <v>45</v>
      </c>
      <c r="D2138" t="s">
        <v>375</v>
      </c>
      <c r="E2138" s="118">
        <v>4856</v>
      </c>
      <c r="F2138" s="13">
        <v>46051</v>
      </c>
      <c r="G2138" s="24">
        <v>34796.81</v>
      </c>
      <c r="H2138" s="24">
        <v>32656.81</v>
      </c>
      <c r="I2138" s="3">
        <v>46071</v>
      </c>
      <c r="J2138" s="102">
        <v>46076</v>
      </c>
      <c r="K2138" s="12">
        <v>46080</v>
      </c>
      <c r="L2138" s="19" t="s">
        <v>731</v>
      </c>
      <c r="M2138" s="35"/>
      <c r="N2138" s="26"/>
      <c r="O2138" t="s">
        <v>199</v>
      </c>
      <c r="P2138" t="s">
        <v>376</v>
      </c>
      <c r="Q2138" t="s">
        <v>207</v>
      </c>
    </row>
    <row r="2139" spans="1:17" x14ac:dyDescent="0.3">
      <c r="A2139" s="25">
        <v>1262</v>
      </c>
      <c r="B2139" t="s">
        <v>193</v>
      </c>
      <c r="C2139" t="s">
        <v>45</v>
      </c>
      <c r="D2139" t="s">
        <v>375</v>
      </c>
      <c r="E2139" s="118">
        <v>4857</v>
      </c>
      <c r="F2139" s="13">
        <v>46051</v>
      </c>
      <c r="G2139" s="24">
        <v>11646.17</v>
      </c>
      <c r="H2139" s="24">
        <v>10929.93</v>
      </c>
      <c r="I2139" s="3">
        <v>46071</v>
      </c>
      <c r="J2139" s="102">
        <v>46076</v>
      </c>
      <c r="K2139" s="12">
        <v>46080</v>
      </c>
      <c r="L2139" s="19" t="s">
        <v>731</v>
      </c>
      <c r="M2139" s="35"/>
      <c r="N2139" s="26"/>
      <c r="O2139" t="s">
        <v>199</v>
      </c>
      <c r="P2139" t="s">
        <v>376</v>
      </c>
      <c r="Q2139" t="s">
        <v>207</v>
      </c>
    </row>
    <row r="2140" spans="1:17" x14ac:dyDescent="0.3">
      <c r="A2140" s="25">
        <v>1262</v>
      </c>
      <c r="B2140" t="s">
        <v>193</v>
      </c>
      <c r="C2140" t="s">
        <v>45</v>
      </c>
      <c r="D2140" t="s">
        <v>375</v>
      </c>
      <c r="E2140" s="118">
        <v>5013</v>
      </c>
      <c r="F2140" s="13">
        <v>46081</v>
      </c>
      <c r="G2140" s="24">
        <v>21559.25</v>
      </c>
      <c r="H2140" s="24">
        <v>20233.349999999999</v>
      </c>
      <c r="I2140" s="3">
        <v>46105</v>
      </c>
      <c r="J2140" s="102">
        <v>46111</v>
      </c>
      <c r="K2140" s="12">
        <v>46111</v>
      </c>
      <c r="L2140" s="19" t="s">
        <v>731</v>
      </c>
      <c r="M2140" s="35"/>
      <c r="N2140" s="26"/>
      <c r="O2140" t="s">
        <v>199</v>
      </c>
      <c r="P2140" t="s">
        <v>376</v>
      </c>
      <c r="Q2140" t="s">
        <v>207</v>
      </c>
    </row>
    <row r="2141" spans="1:17" x14ac:dyDescent="0.3">
      <c r="A2141" s="25">
        <v>1262</v>
      </c>
      <c r="B2141" t="s">
        <v>193</v>
      </c>
      <c r="C2141" t="s">
        <v>45</v>
      </c>
      <c r="D2141" t="s">
        <v>375</v>
      </c>
      <c r="E2141" s="118">
        <v>5014</v>
      </c>
      <c r="F2141" s="13">
        <v>46081</v>
      </c>
      <c r="G2141" s="24">
        <v>28774.39</v>
      </c>
      <c r="H2141" s="24">
        <v>27004.76</v>
      </c>
      <c r="I2141" s="3">
        <v>46105</v>
      </c>
      <c r="J2141" s="102">
        <v>46111</v>
      </c>
      <c r="K2141" s="12">
        <v>46111</v>
      </c>
      <c r="L2141" s="19" t="s">
        <v>731</v>
      </c>
      <c r="M2141" s="35"/>
      <c r="N2141" s="26"/>
      <c r="O2141" t="s">
        <v>199</v>
      </c>
      <c r="P2141" t="s">
        <v>376</v>
      </c>
      <c r="Q2141" t="s">
        <v>207</v>
      </c>
    </row>
    <row r="2142" spans="1:17" x14ac:dyDescent="0.3">
      <c r="A2142" s="25">
        <v>1269</v>
      </c>
      <c r="B2142" t="s">
        <v>193</v>
      </c>
      <c r="C2142" t="s">
        <v>45</v>
      </c>
      <c r="D2142" t="s">
        <v>384</v>
      </c>
      <c r="E2142" s="118">
        <v>5015</v>
      </c>
      <c r="F2142" s="13">
        <v>46081</v>
      </c>
      <c r="G2142" s="24">
        <v>218850.79</v>
      </c>
      <c r="H2142" s="24">
        <v>205391.47</v>
      </c>
      <c r="I2142" s="3">
        <v>46105</v>
      </c>
      <c r="J2142" s="102">
        <v>46111</v>
      </c>
      <c r="K2142" s="12">
        <v>46111</v>
      </c>
      <c r="L2142" s="19" t="s">
        <v>731</v>
      </c>
      <c r="M2142" s="35"/>
      <c r="N2142" s="26"/>
      <c r="O2142" t="s">
        <v>202</v>
      </c>
      <c r="P2142" t="s">
        <v>376</v>
      </c>
      <c r="Q2142" t="s">
        <v>207</v>
      </c>
    </row>
    <row r="2143" spans="1:17" x14ac:dyDescent="0.3">
      <c r="A2143" s="25">
        <v>1262</v>
      </c>
      <c r="B2143" t="s">
        <v>193</v>
      </c>
      <c r="C2143" t="s">
        <v>45</v>
      </c>
      <c r="D2143" t="s">
        <v>375</v>
      </c>
      <c r="E2143" s="118">
        <v>5016</v>
      </c>
      <c r="F2143" s="13">
        <v>46081</v>
      </c>
      <c r="G2143" s="24">
        <v>17755.45</v>
      </c>
      <c r="H2143" s="24">
        <v>16663.490000000002</v>
      </c>
      <c r="I2143" s="3">
        <v>46105</v>
      </c>
      <c r="J2143" s="102">
        <v>46111</v>
      </c>
      <c r="K2143" s="12">
        <v>46111</v>
      </c>
      <c r="L2143" s="19" t="s">
        <v>731</v>
      </c>
      <c r="M2143" s="35"/>
      <c r="N2143" s="26"/>
      <c r="O2143" t="s">
        <v>199</v>
      </c>
      <c r="P2143" t="s">
        <v>376</v>
      </c>
      <c r="Q2143" t="s">
        <v>207</v>
      </c>
    </row>
    <row r="2144" spans="1:17" x14ac:dyDescent="0.3">
      <c r="A2144" s="25">
        <v>1262</v>
      </c>
      <c r="B2144" t="s">
        <v>193</v>
      </c>
      <c r="C2144" t="s">
        <v>45</v>
      </c>
      <c r="D2144" t="s">
        <v>375</v>
      </c>
      <c r="E2144" s="118">
        <v>5017</v>
      </c>
      <c r="F2144" s="13">
        <v>46081</v>
      </c>
      <c r="G2144" s="24">
        <v>21064.28</v>
      </c>
      <c r="H2144" s="24">
        <v>19768.830000000002</v>
      </c>
      <c r="I2144" s="3">
        <v>46105</v>
      </c>
      <c r="J2144" s="102">
        <v>46111</v>
      </c>
      <c r="K2144" s="12">
        <v>46111</v>
      </c>
      <c r="L2144" s="19" t="s">
        <v>731</v>
      </c>
      <c r="M2144" s="35"/>
      <c r="N2144" s="26"/>
      <c r="O2144" t="s">
        <v>199</v>
      </c>
      <c r="P2144" t="s">
        <v>376</v>
      </c>
      <c r="Q2144" t="s">
        <v>207</v>
      </c>
    </row>
    <row r="2145" spans="1:17" x14ac:dyDescent="0.3">
      <c r="A2145" s="25">
        <v>1262</v>
      </c>
      <c r="B2145" t="s">
        <v>193</v>
      </c>
      <c r="C2145" t="s">
        <v>45</v>
      </c>
      <c r="D2145" t="s">
        <v>375</v>
      </c>
      <c r="E2145" s="118">
        <v>5086</v>
      </c>
      <c r="F2145" s="13">
        <v>46109</v>
      </c>
      <c r="G2145" s="27">
        <v>17917.86</v>
      </c>
      <c r="H2145" s="27">
        <v>16815.91</v>
      </c>
      <c r="I2145" s="3">
        <v>46132</v>
      </c>
      <c r="J2145" s="102">
        <v>46139</v>
      </c>
      <c r="K2145" s="12">
        <v>46142</v>
      </c>
      <c r="L2145" s="19" t="s">
        <v>731</v>
      </c>
      <c r="M2145" s="35"/>
      <c r="N2145" s="26"/>
      <c r="O2145" t="s">
        <v>199</v>
      </c>
      <c r="P2145" t="s">
        <v>376</v>
      </c>
      <c r="Q2145" t="s">
        <v>207</v>
      </c>
    </row>
    <row r="2146" spans="1:17" x14ac:dyDescent="0.3">
      <c r="A2146" s="25">
        <v>1262</v>
      </c>
      <c r="B2146" t="s">
        <v>193</v>
      </c>
      <c r="C2146" t="s">
        <v>45</v>
      </c>
      <c r="D2146" t="s">
        <v>375</v>
      </c>
      <c r="E2146" s="118">
        <v>5090</v>
      </c>
      <c r="F2146" s="13">
        <v>46109</v>
      </c>
      <c r="G2146" s="27">
        <v>20820.240000000002</v>
      </c>
      <c r="H2146" s="27">
        <v>19539.795989313192</v>
      </c>
      <c r="I2146" s="3">
        <v>46132</v>
      </c>
      <c r="J2146" s="102">
        <v>46139</v>
      </c>
      <c r="K2146" s="12">
        <v>46142</v>
      </c>
      <c r="L2146" s="19" t="s">
        <v>731</v>
      </c>
      <c r="M2146" s="35"/>
      <c r="N2146" s="26"/>
      <c r="O2146" t="s">
        <v>199</v>
      </c>
      <c r="P2146" t="s">
        <v>376</v>
      </c>
      <c r="Q2146" t="s">
        <v>207</v>
      </c>
    </row>
    <row r="2147" spans="1:17" x14ac:dyDescent="0.3">
      <c r="A2147" s="25">
        <v>1262</v>
      </c>
      <c r="B2147" t="s">
        <v>193</v>
      </c>
      <c r="C2147" t="s">
        <v>45</v>
      </c>
      <c r="D2147" t="s">
        <v>375</v>
      </c>
      <c r="E2147" s="118">
        <v>5087</v>
      </c>
      <c r="F2147" s="13">
        <v>46109</v>
      </c>
      <c r="G2147" s="27">
        <v>33972</v>
      </c>
      <c r="H2147" s="27">
        <v>31882.723222640456</v>
      </c>
      <c r="I2147" s="3">
        <v>46132</v>
      </c>
      <c r="J2147" s="102">
        <v>46139</v>
      </c>
      <c r="K2147" s="12">
        <v>46142</v>
      </c>
      <c r="L2147" s="19" t="s">
        <v>731</v>
      </c>
      <c r="M2147" s="35"/>
      <c r="N2147" s="26"/>
      <c r="O2147" t="s">
        <v>199</v>
      </c>
      <c r="P2147" t="s">
        <v>376</v>
      </c>
      <c r="Q2147" t="s">
        <v>207</v>
      </c>
    </row>
    <row r="2148" spans="1:17" x14ac:dyDescent="0.3">
      <c r="A2148" s="25">
        <v>1262</v>
      </c>
      <c r="B2148" t="s">
        <v>193</v>
      </c>
      <c r="C2148" t="s">
        <v>45</v>
      </c>
      <c r="D2148" t="s">
        <v>375</v>
      </c>
      <c r="E2148" s="118">
        <v>5091</v>
      </c>
      <c r="F2148" s="13">
        <v>46109</v>
      </c>
      <c r="G2148" s="27">
        <v>24921.119999999999</v>
      </c>
      <c r="H2148" s="27">
        <v>23388.472016902433</v>
      </c>
      <c r="I2148" s="3">
        <v>46134</v>
      </c>
      <c r="J2148" s="102">
        <v>46139</v>
      </c>
      <c r="K2148" s="12">
        <v>46142</v>
      </c>
      <c r="L2148" s="19" t="s">
        <v>731</v>
      </c>
      <c r="M2148" s="35"/>
      <c r="N2148" s="26"/>
      <c r="O2148" t="s">
        <v>199</v>
      </c>
      <c r="P2148" t="s">
        <v>376</v>
      </c>
      <c r="Q2148" t="s">
        <v>207</v>
      </c>
    </row>
    <row r="2149" spans="1:17" x14ac:dyDescent="0.3">
      <c r="A2149" s="25">
        <v>1262</v>
      </c>
      <c r="B2149" t="s">
        <v>193</v>
      </c>
      <c r="C2149" t="s">
        <v>45</v>
      </c>
      <c r="D2149" t="s">
        <v>375</v>
      </c>
      <c r="E2149" s="118">
        <v>5159</v>
      </c>
      <c r="F2149" s="13">
        <v>46140</v>
      </c>
      <c r="G2149" s="24">
        <v>32379.8</v>
      </c>
      <c r="H2149" s="27">
        <v>30388.44</v>
      </c>
      <c r="I2149" s="3">
        <v>46162</v>
      </c>
      <c r="J2149" s="102">
        <v>46167</v>
      </c>
      <c r="K2149" s="12">
        <v>46171</v>
      </c>
      <c r="L2149" s="19" t="s">
        <v>731</v>
      </c>
      <c r="M2149" s="35"/>
      <c r="N2149" s="26"/>
      <c r="O2149" t="s">
        <v>199</v>
      </c>
      <c r="P2149" t="s">
        <v>376</v>
      </c>
      <c r="Q2149" t="s">
        <v>207</v>
      </c>
    </row>
    <row r="2150" spans="1:17" x14ac:dyDescent="0.3">
      <c r="A2150" s="25">
        <v>1262</v>
      </c>
      <c r="B2150" t="s">
        <v>193</v>
      </c>
      <c r="C2150" t="s">
        <v>45</v>
      </c>
      <c r="D2150" t="s">
        <v>375</v>
      </c>
      <c r="E2150" s="118">
        <v>5161</v>
      </c>
      <c r="F2150" s="13">
        <v>46140</v>
      </c>
      <c r="G2150" s="24">
        <v>34542.080000000002</v>
      </c>
      <c r="H2150" s="27">
        <v>32417.74</v>
      </c>
      <c r="I2150" s="3">
        <v>46162</v>
      </c>
      <c r="J2150" s="102">
        <v>46167</v>
      </c>
      <c r="K2150" s="12">
        <v>46171</v>
      </c>
      <c r="L2150" s="19" t="s">
        <v>731</v>
      </c>
      <c r="M2150" s="35"/>
      <c r="N2150" s="26"/>
      <c r="O2150" t="s">
        <v>199</v>
      </c>
      <c r="P2150" t="s">
        <v>376</v>
      </c>
      <c r="Q2150" t="s">
        <v>207</v>
      </c>
    </row>
    <row r="2151" spans="1:17" x14ac:dyDescent="0.3">
      <c r="A2151" s="25">
        <v>1262</v>
      </c>
      <c r="B2151" t="s">
        <v>193</v>
      </c>
      <c r="C2151" t="s">
        <v>45</v>
      </c>
      <c r="D2151" t="s">
        <v>375</v>
      </c>
      <c r="E2151" s="118">
        <v>5162</v>
      </c>
      <c r="F2151" s="13">
        <v>46140</v>
      </c>
      <c r="G2151" s="24">
        <v>24375.23</v>
      </c>
      <c r="H2151" s="27">
        <v>22876.15</v>
      </c>
      <c r="I2151" s="3">
        <v>46162</v>
      </c>
      <c r="J2151" s="102">
        <v>46167</v>
      </c>
      <c r="K2151" s="12">
        <v>46171</v>
      </c>
      <c r="L2151" s="19" t="s">
        <v>731</v>
      </c>
      <c r="M2151" s="35"/>
      <c r="N2151" s="26"/>
      <c r="O2151" t="s">
        <v>199</v>
      </c>
      <c r="P2151" t="s">
        <v>376</v>
      </c>
      <c r="Q2151" t="s">
        <v>207</v>
      </c>
    </row>
    <row r="2152" spans="1:17" x14ac:dyDescent="0.3">
      <c r="A2152" s="25">
        <v>1262</v>
      </c>
      <c r="B2152" t="s">
        <v>193</v>
      </c>
      <c r="C2152" t="s">
        <v>45</v>
      </c>
      <c r="D2152" t="s">
        <v>375</v>
      </c>
      <c r="E2152" s="118">
        <v>5164</v>
      </c>
      <c r="F2152" s="13">
        <v>46140</v>
      </c>
      <c r="G2152" s="24">
        <v>15863.19</v>
      </c>
      <c r="H2152" s="27">
        <v>14887.6</v>
      </c>
      <c r="I2152" s="3">
        <v>46162</v>
      </c>
      <c r="J2152" s="102">
        <v>46167</v>
      </c>
      <c r="K2152" s="12">
        <v>46171</v>
      </c>
      <c r="L2152" s="19" t="s">
        <v>731</v>
      </c>
      <c r="M2152" s="35"/>
      <c r="N2152" s="26"/>
      <c r="O2152" t="s">
        <v>199</v>
      </c>
      <c r="P2152" t="s">
        <v>376</v>
      </c>
      <c r="Q2152" t="s">
        <v>207</v>
      </c>
    </row>
    <row r="2153" spans="1:17" x14ac:dyDescent="0.3">
      <c r="A2153" s="25">
        <v>1262</v>
      </c>
      <c r="B2153" t="s">
        <v>193</v>
      </c>
      <c r="C2153" t="s">
        <v>45</v>
      </c>
      <c r="D2153" t="s">
        <v>375</v>
      </c>
      <c r="E2153" s="118"/>
      <c r="F2153" s="13">
        <v>46170</v>
      </c>
      <c r="G2153" s="24">
        <v>91429</v>
      </c>
      <c r="H2153" s="24"/>
      <c r="I2153" s="3">
        <v>46174</v>
      </c>
      <c r="J2153" s="102">
        <v>46195</v>
      </c>
      <c r="K2153" s="12"/>
      <c r="L2153" s="19" t="s">
        <v>719</v>
      </c>
      <c r="M2153" s="35"/>
      <c r="N2153" s="26"/>
      <c r="O2153" t="s">
        <v>199</v>
      </c>
      <c r="P2153" t="s">
        <v>376</v>
      </c>
      <c r="Q2153" t="s">
        <v>207</v>
      </c>
    </row>
    <row r="2154" spans="1:17" x14ac:dyDescent="0.3">
      <c r="A2154" s="9">
        <v>1269</v>
      </c>
      <c r="B2154" t="s">
        <v>193</v>
      </c>
      <c r="C2154" t="s">
        <v>45</v>
      </c>
      <c r="D2154" t="s">
        <v>384</v>
      </c>
      <c r="E2154" s="118">
        <v>4656</v>
      </c>
      <c r="F2154" s="13">
        <v>45989</v>
      </c>
      <c r="G2154" s="24">
        <v>256578.23</v>
      </c>
      <c r="H2154" s="27">
        <v>240798.67</v>
      </c>
      <c r="I2154" s="3">
        <v>46000</v>
      </c>
      <c r="J2154" s="102">
        <v>46006</v>
      </c>
      <c r="K2154" s="12">
        <v>46010</v>
      </c>
      <c r="L2154" s="19" t="s">
        <v>731</v>
      </c>
      <c r="M2154" s="35">
        <v>0</v>
      </c>
      <c r="N2154" s="15"/>
      <c r="O2154" t="s">
        <v>202</v>
      </c>
      <c r="P2154" t="s">
        <v>376</v>
      </c>
      <c r="Q2154" t="s">
        <v>207</v>
      </c>
    </row>
    <row r="2155" spans="1:17" x14ac:dyDescent="0.3">
      <c r="A2155" s="9">
        <v>1269</v>
      </c>
      <c r="B2155" t="s">
        <v>193</v>
      </c>
      <c r="C2155" t="s">
        <v>45</v>
      </c>
      <c r="D2155" t="s">
        <v>384</v>
      </c>
      <c r="E2155" s="118">
        <v>4658</v>
      </c>
      <c r="F2155" s="13">
        <v>45989</v>
      </c>
      <c r="G2155" s="24">
        <v>10876.23</v>
      </c>
      <c r="H2155" s="27">
        <v>10207.34</v>
      </c>
      <c r="I2155" s="3">
        <v>46000</v>
      </c>
      <c r="J2155" s="102">
        <v>46006</v>
      </c>
      <c r="K2155" s="12">
        <v>46010</v>
      </c>
      <c r="L2155" s="19" t="s">
        <v>731</v>
      </c>
      <c r="M2155" s="35">
        <v>0</v>
      </c>
      <c r="N2155" s="15"/>
      <c r="O2155" t="s">
        <v>202</v>
      </c>
      <c r="P2155" t="s">
        <v>376</v>
      </c>
      <c r="Q2155" t="s">
        <v>207</v>
      </c>
    </row>
    <row r="2156" spans="1:17" x14ac:dyDescent="0.3">
      <c r="A2156" s="9">
        <v>1269</v>
      </c>
      <c r="B2156" t="s">
        <v>193</v>
      </c>
      <c r="C2156" t="s">
        <v>45</v>
      </c>
      <c r="D2156" t="s">
        <v>384</v>
      </c>
      <c r="E2156" s="118">
        <v>4659</v>
      </c>
      <c r="F2156" s="13">
        <v>45989</v>
      </c>
      <c r="G2156" s="24">
        <v>6655.99</v>
      </c>
      <c r="H2156" s="27">
        <v>6246.65</v>
      </c>
      <c r="I2156" s="3">
        <v>46000</v>
      </c>
      <c r="J2156" s="102">
        <v>46006</v>
      </c>
      <c r="K2156" s="12">
        <v>46010</v>
      </c>
      <c r="L2156" s="19" t="s">
        <v>731</v>
      </c>
      <c r="M2156" s="35">
        <v>0</v>
      </c>
      <c r="N2156" s="15"/>
      <c r="O2156" t="s">
        <v>202</v>
      </c>
      <c r="P2156" t="s">
        <v>376</v>
      </c>
      <c r="Q2156" t="s">
        <v>207</v>
      </c>
    </row>
    <row r="2157" spans="1:17" x14ac:dyDescent="0.3">
      <c r="A2157" s="9">
        <v>1269</v>
      </c>
      <c r="B2157" t="s">
        <v>193</v>
      </c>
      <c r="C2157" t="s">
        <v>45</v>
      </c>
      <c r="D2157" t="s">
        <v>384</v>
      </c>
      <c r="E2157" s="118">
        <v>4660</v>
      </c>
      <c r="F2157" s="13">
        <v>45989</v>
      </c>
      <c r="G2157" s="24">
        <v>30699.4</v>
      </c>
      <c r="H2157" s="27">
        <v>28811.39</v>
      </c>
      <c r="I2157" s="3">
        <v>46000</v>
      </c>
      <c r="J2157" s="102">
        <v>46006</v>
      </c>
      <c r="K2157" s="12">
        <v>46010</v>
      </c>
      <c r="L2157" s="19" t="s">
        <v>731</v>
      </c>
      <c r="M2157" s="35">
        <v>0</v>
      </c>
      <c r="N2157" s="15"/>
      <c r="O2157" t="s">
        <v>202</v>
      </c>
      <c r="P2157" t="s">
        <v>376</v>
      </c>
      <c r="Q2157" t="s">
        <v>207</v>
      </c>
    </row>
    <row r="2158" spans="1:17" x14ac:dyDescent="0.3">
      <c r="A2158" s="9">
        <v>1269</v>
      </c>
      <c r="B2158" t="s">
        <v>193</v>
      </c>
      <c r="C2158" t="s">
        <v>45</v>
      </c>
      <c r="D2158" t="s">
        <v>384</v>
      </c>
      <c r="E2158" s="118">
        <v>4768</v>
      </c>
      <c r="F2158" s="13">
        <v>46019</v>
      </c>
      <c r="G2158" s="27">
        <v>30699.4</v>
      </c>
      <c r="H2158" s="27">
        <v>28811.39</v>
      </c>
      <c r="I2158" s="3">
        <v>46045</v>
      </c>
      <c r="J2158" s="102">
        <v>46048</v>
      </c>
      <c r="K2158" s="12">
        <v>46052</v>
      </c>
      <c r="L2158" s="19" t="s">
        <v>731</v>
      </c>
      <c r="M2158" s="35"/>
      <c r="N2158" s="26"/>
      <c r="O2158" t="s">
        <v>202</v>
      </c>
      <c r="P2158" t="s">
        <v>376</v>
      </c>
      <c r="Q2158" t="s">
        <v>207</v>
      </c>
    </row>
    <row r="2159" spans="1:17" x14ac:dyDescent="0.3">
      <c r="A2159" s="9">
        <v>1269</v>
      </c>
      <c r="B2159" t="s">
        <v>193</v>
      </c>
      <c r="C2159" t="s">
        <v>45</v>
      </c>
      <c r="D2159" t="s">
        <v>384</v>
      </c>
      <c r="E2159" s="118">
        <v>4773</v>
      </c>
      <c r="F2159" s="13">
        <v>46019</v>
      </c>
      <c r="G2159" s="27">
        <v>218850.79</v>
      </c>
      <c r="H2159" s="27">
        <v>205391.47</v>
      </c>
      <c r="I2159" s="3">
        <v>46045</v>
      </c>
      <c r="J2159" s="102">
        <v>46048</v>
      </c>
      <c r="K2159" s="12">
        <v>46052</v>
      </c>
      <c r="L2159" s="19" t="s">
        <v>731</v>
      </c>
      <c r="M2159" s="35"/>
      <c r="N2159" s="26"/>
      <c r="O2159" t="s">
        <v>202</v>
      </c>
      <c r="P2159" t="s">
        <v>376</v>
      </c>
      <c r="Q2159" t="s">
        <v>207</v>
      </c>
    </row>
    <row r="2160" spans="1:17" x14ac:dyDescent="0.3">
      <c r="A2160" s="9">
        <v>1269</v>
      </c>
      <c r="B2160" t="s">
        <v>193</v>
      </c>
      <c r="C2160" t="s">
        <v>45</v>
      </c>
      <c r="D2160" t="s">
        <v>384</v>
      </c>
      <c r="E2160" s="118">
        <v>4774</v>
      </c>
      <c r="F2160" s="13">
        <v>46019</v>
      </c>
      <c r="G2160" s="27">
        <v>9447.16</v>
      </c>
      <c r="H2160" s="27">
        <v>8866.16</v>
      </c>
      <c r="I2160" s="3">
        <v>46045</v>
      </c>
      <c r="J2160" s="102">
        <v>46048</v>
      </c>
      <c r="K2160" s="12">
        <v>46052</v>
      </c>
      <c r="L2160" s="19" t="s">
        <v>731</v>
      </c>
      <c r="M2160" s="35"/>
      <c r="N2160" s="26"/>
      <c r="O2160" t="s">
        <v>202</v>
      </c>
      <c r="P2160" t="s">
        <v>376</v>
      </c>
      <c r="Q2160" t="s">
        <v>207</v>
      </c>
    </row>
    <row r="2161" spans="1:17" x14ac:dyDescent="0.3">
      <c r="A2161" s="9">
        <v>1269</v>
      </c>
      <c r="B2161" t="s">
        <v>193</v>
      </c>
      <c r="C2161" t="s">
        <v>45</v>
      </c>
      <c r="D2161" t="s">
        <v>384</v>
      </c>
      <c r="E2161" s="118">
        <v>4775</v>
      </c>
      <c r="F2161" s="13">
        <v>46019</v>
      </c>
      <c r="G2161" s="27">
        <v>6655.99</v>
      </c>
      <c r="H2161" s="27">
        <v>6246.65</v>
      </c>
      <c r="I2161" s="3">
        <v>46045</v>
      </c>
      <c r="J2161" s="102">
        <v>46048</v>
      </c>
      <c r="K2161" s="12">
        <v>46052</v>
      </c>
      <c r="L2161" s="19" t="s">
        <v>731</v>
      </c>
      <c r="M2161" s="35"/>
      <c r="N2161" s="26"/>
      <c r="O2161" t="s">
        <v>202</v>
      </c>
      <c r="P2161" t="s">
        <v>376</v>
      </c>
      <c r="Q2161" t="s">
        <v>207</v>
      </c>
    </row>
    <row r="2162" spans="1:17" x14ac:dyDescent="0.3">
      <c r="A2162" s="9">
        <v>1269</v>
      </c>
      <c r="B2162" t="s">
        <v>193</v>
      </c>
      <c r="C2162" t="s">
        <v>45</v>
      </c>
      <c r="D2162" t="s">
        <v>384</v>
      </c>
      <c r="E2162" s="118">
        <v>4858</v>
      </c>
      <c r="F2162" s="13">
        <v>46051</v>
      </c>
      <c r="G2162" s="24">
        <v>218850.79</v>
      </c>
      <c r="H2162" s="24">
        <v>205391.47</v>
      </c>
      <c r="I2162" s="3">
        <v>46071</v>
      </c>
      <c r="J2162" s="102">
        <v>46076</v>
      </c>
      <c r="K2162" s="12">
        <v>46080</v>
      </c>
      <c r="L2162" s="19" t="s">
        <v>731</v>
      </c>
      <c r="M2162" s="35"/>
      <c r="N2162" s="26"/>
      <c r="O2162" t="s">
        <v>202</v>
      </c>
      <c r="P2162" t="s">
        <v>376</v>
      </c>
      <c r="Q2162" t="s">
        <v>207</v>
      </c>
    </row>
    <row r="2163" spans="1:17" x14ac:dyDescent="0.3">
      <c r="A2163" s="9">
        <v>1269</v>
      </c>
      <c r="B2163" t="s">
        <v>193</v>
      </c>
      <c r="C2163" t="s">
        <v>45</v>
      </c>
      <c r="D2163" t="s">
        <v>384</v>
      </c>
      <c r="E2163" s="118">
        <v>4859</v>
      </c>
      <c r="F2163" s="13">
        <v>46051</v>
      </c>
      <c r="G2163" s="24">
        <v>9447.16</v>
      </c>
      <c r="H2163" s="24">
        <v>8866.16</v>
      </c>
      <c r="I2163" s="3">
        <v>46071</v>
      </c>
      <c r="J2163" s="102">
        <v>46076</v>
      </c>
      <c r="K2163" s="12">
        <v>46080</v>
      </c>
      <c r="L2163" s="19" t="s">
        <v>731</v>
      </c>
      <c r="M2163" s="35"/>
      <c r="N2163" s="26"/>
      <c r="O2163" t="s">
        <v>202</v>
      </c>
      <c r="P2163" t="s">
        <v>376</v>
      </c>
      <c r="Q2163" t="s">
        <v>207</v>
      </c>
    </row>
    <row r="2164" spans="1:17" x14ac:dyDescent="0.3">
      <c r="A2164" s="9">
        <v>1269</v>
      </c>
      <c r="B2164" t="s">
        <v>193</v>
      </c>
      <c r="C2164" t="s">
        <v>45</v>
      </c>
      <c r="D2164" t="s">
        <v>384</v>
      </c>
      <c r="E2164" s="118">
        <v>4860</v>
      </c>
      <c r="F2164" s="13">
        <v>46051</v>
      </c>
      <c r="G2164" s="24">
        <v>6655.99</v>
      </c>
      <c r="H2164" s="24">
        <v>6246.65</v>
      </c>
      <c r="I2164" s="3">
        <v>46071</v>
      </c>
      <c r="J2164" s="102">
        <v>46076</v>
      </c>
      <c r="K2164" s="12">
        <v>46080</v>
      </c>
      <c r="L2164" s="19" t="s">
        <v>731</v>
      </c>
      <c r="M2164" s="35"/>
      <c r="N2164" s="26"/>
      <c r="O2164" t="s">
        <v>202</v>
      </c>
      <c r="P2164" t="s">
        <v>376</v>
      </c>
      <c r="Q2164" t="s">
        <v>207</v>
      </c>
    </row>
    <row r="2165" spans="1:17" x14ac:dyDescent="0.3">
      <c r="A2165" s="9">
        <v>1269</v>
      </c>
      <c r="B2165" t="s">
        <v>193</v>
      </c>
      <c r="C2165" t="s">
        <v>45</v>
      </c>
      <c r="D2165" t="s">
        <v>384</v>
      </c>
      <c r="E2165" s="118">
        <v>4861</v>
      </c>
      <c r="F2165" s="13">
        <v>46051</v>
      </c>
      <c r="G2165" s="24">
        <v>30699.4</v>
      </c>
      <c r="H2165" s="24">
        <v>28811.39</v>
      </c>
      <c r="I2165" s="3">
        <v>46071</v>
      </c>
      <c r="J2165" s="102">
        <v>46076</v>
      </c>
      <c r="K2165" s="12">
        <v>46080</v>
      </c>
      <c r="L2165" s="19" t="s">
        <v>731</v>
      </c>
      <c r="M2165" s="35"/>
      <c r="N2165" s="26"/>
      <c r="O2165" t="s">
        <v>202</v>
      </c>
      <c r="P2165" t="s">
        <v>376</v>
      </c>
      <c r="Q2165" t="s">
        <v>207</v>
      </c>
    </row>
    <row r="2166" spans="1:17" x14ac:dyDescent="0.3">
      <c r="A2166" s="9">
        <v>1269</v>
      </c>
      <c r="B2166" t="s">
        <v>193</v>
      </c>
      <c r="C2166" t="s">
        <v>45</v>
      </c>
      <c r="D2166" t="s">
        <v>384</v>
      </c>
      <c r="E2166" s="118">
        <v>5010</v>
      </c>
      <c r="F2166" s="13">
        <v>46081</v>
      </c>
      <c r="G2166" s="24">
        <v>6655.99</v>
      </c>
      <c r="H2166" s="24">
        <v>6246.65</v>
      </c>
      <c r="I2166" s="3">
        <v>46105</v>
      </c>
      <c r="J2166" s="102">
        <v>46111</v>
      </c>
      <c r="K2166" s="12">
        <v>46111</v>
      </c>
      <c r="L2166" s="19" t="s">
        <v>731</v>
      </c>
      <c r="M2166" s="35"/>
      <c r="N2166" s="26"/>
      <c r="O2166" t="s">
        <v>202</v>
      </c>
      <c r="P2166" t="s">
        <v>376</v>
      </c>
      <c r="Q2166" t="s">
        <v>207</v>
      </c>
    </row>
    <row r="2167" spans="1:17" x14ac:dyDescent="0.3">
      <c r="A2167" s="9">
        <v>1269</v>
      </c>
      <c r="B2167" t="s">
        <v>193</v>
      </c>
      <c r="C2167" t="s">
        <v>45</v>
      </c>
      <c r="D2167" t="s">
        <v>384</v>
      </c>
      <c r="E2167" s="118">
        <v>5011</v>
      </c>
      <c r="F2167" s="13">
        <v>46081</v>
      </c>
      <c r="G2167" s="27">
        <v>9447.16</v>
      </c>
      <c r="H2167" s="24">
        <v>8866.16</v>
      </c>
      <c r="I2167" s="3">
        <v>46105</v>
      </c>
      <c r="J2167" s="102">
        <v>46113</v>
      </c>
      <c r="K2167" s="12">
        <v>46113</v>
      </c>
      <c r="L2167" s="19" t="s">
        <v>731</v>
      </c>
      <c r="M2167" s="35"/>
      <c r="N2167" s="26"/>
      <c r="O2167" t="s">
        <v>202</v>
      </c>
      <c r="P2167" t="s">
        <v>376</v>
      </c>
      <c r="Q2167" t="s">
        <v>207</v>
      </c>
    </row>
    <row r="2168" spans="1:17" x14ac:dyDescent="0.3">
      <c r="A2168" s="9">
        <v>1269</v>
      </c>
      <c r="B2168" t="s">
        <v>193</v>
      </c>
      <c r="C2168" t="s">
        <v>45</v>
      </c>
      <c r="D2168" t="s">
        <v>384</v>
      </c>
      <c r="E2168" s="118">
        <v>5012</v>
      </c>
      <c r="F2168" s="13">
        <v>46081</v>
      </c>
      <c r="G2168" s="24">
        <v>30699.4</v>
      </c>
      <c r="H2168" s="24">
        <v>28811.39</v>
      </c>
      <c r="I2168" s="3">
        <v>46105</v>
      </c>
      <c r="J2168" s="102">
        <v>46111</v>
      </c>
      <c r="K2168" s="12">
        <v>46111</v>
      </c>
      <c r="L2168" s="19" t="s">
        <v>731</v>
      </c>
      <c r="M2168" s="35"/>
      <c r="N2168" s="26"/>
      <c r="O2168" t="s">
        <v>202</v>
      </c>
      <c r="P2168" t="s">
        <v>376</v>
      </c>
      <c r="Q2168" t="s">
        <v>207</v>
      </c>
    </row>
    <row r="2169" spans="1:17" x14ac:dyDescent="0.3">
      <c r="A2169" s="9">
        <v>1269</v>
      </c>
      <c r="B2169" t="s">
        <v>193</v>
      </c>
      <c r="C2169" t="s">
        <v>45</v>
      </c>
      <c r="D2169" t="s">
        <v>384</v>
      </c>
      <c r="E2169" s="118">
        <v>5088</v>
      </c>
      <c r="F2169" s="13">
        <v>46109</v>
      </c>
      <c r="G2169" s="27">
        <v>218850.79</v>
      </c>
      <c r="H2169" s="27">
        <v>205391.47429136376</v>
      </c>
      <c r="I2169" s="3">
        <v>46132</v>
      </c>
      <c r="J2169" s="102">
        <v>46139</v>
      </c>
      <c r="K2169" s="12">
        <v>46142</v>
      </c>
      <c r="L2169" s="19" t="s">
        <v>731</v>
      </c>
      <c r="M2169" s="35"/>
      <c r="N2169" s="26"/>
      <c r="O2169" t="s">
        <v>202</v>
      </c>
      <c r="P2169" t="s">
        <v>376</v>
      </c>
      <c r="Q2169" t="s">
        <v>207</v>
      </c>
    </row>
    <row r="2170" spans="1:17" x14ac:dyDescent="0.3">
      <c r="A2170" s="9">
        <v>1269</v>
      </c>
      <c r="B2170" t="s">
        <v>193</v>
      </c>
      <c r="C2170" t="s">
        <v>45</v>
      </c>
      <c r="D2170" t="s">
        <v>384</v>
      </c>
      <c r="E2170" s="118">
        <v>5092</v>
      </c>
      <c r="F2170" s="13">
        <v>46109</v>
      </c>
      <c r="G2170" s="27">
        <v>9447.16</v>
      </c>
      <c r="H2170" s="27">
        <v>8866.16</v>
      </c>
      <c r="I2170" s="3">
        <v>46134</v>
      </c>
      <c r="J2170" s="102">
        <v>46139</v>
      </c>
      <c r="K2170" s="12">
        <v>46142</v>
      </c>
      <c r="L2170" s="19" t="s">
        <v>731</v>
      </c>
      <c r="M2170" s="35"/>
      <c r="N2170" s="26"/>
      <c r="O2170" t="s">
        <v>202</v>
      </c>
      <c r="P2170" t="s">
        <v>376</v>
      </c>
      <c r="Q2170" t="s">
        <v>207</v>
      </c>
    </row>
    <row r="2171" spans="1:17" x14ac:dyDescent="0.3">
      <c r="A2171" s="9">
        <v>1269</v>
      </c>
      <c r="B2171" t="s">
        <v>193</v>
      </c>
      <c r="C2171" t="s">
        <v>45</v>
      </c>
      <c r="D2171" t="s">
        <v>384</v>
      </c>
      <c r="E2171" s="118">
        <v>5089</v>
      </c>
      <c r="F2171" s="13">
        <v>46109</v>
      </c>
      <c r="G2171" s="27">
        <v>6655.99</v>
      </c>
      <c r="H2171" s="24">
        <v>6246.65</v>
      </c>
      <c r="I2171" s="3">
        <v>46132</v>
      </c>
      <c r="J2171" s="102">
        <v>46139</v>
      </c>
      <c r="K2171" s="12">
        <v>46142</v>
      </c>
      <c r="L2171" s="19" t="s">
        <v>731</v>
      </c>
      <c r="M2171" s="35"/>
      <c r="N2171" s="26"/>
      <c r="O2171" t="s">
        <v>202</v>
      </c>
      <c r="P2171" t="s">
        <v>376</v>
      </c>
      <c r="Q2171" t="s">
        <v>207</v>
      </c>
    </row>
    <row r="2172" spans="1:17" x14ac:dyDescent="0.3">
      <c r="A2172" s="9">
        <v>1269</v>
      </c>
      <c r="B2172" t="s">
        <v>193</v>
      </c>
      <c r="C2172" t="s">
        <v>45</v>
      </c>
      <c r="D2172" t="s">
        <v>384</v>
      </c>
      <c r="E2172" s="118">
        <v>5093</v>
      </c>
      <c r="F2172" s="13">
        <v>46109</v>
      </c>
      <c r="G2172" s="27">
        <v>30699.4</v>
      </c>
      <c r="H2172" s="27">
        <v>28811.388004860721</v>
      </c>
      <c r="I2172" s="3">
        <v>46134</v>
      </c>
      <c r="J2172" s="102">
        <v>46139</v>
      </c>
      <c r="K2172" s="12">
        <v>46142</v>
      </c>
      <c r="L2172" s="19" t="s">
        <v>731</v>
      </c>
      <c r="M2172" s="35"/>
      <c r="N2172" s="26"/>
      <c r="O2172" t="s">
        <v>202</v>
      </c>
      <c r="P2172" t="s">
        <v>376</v>
      </c>
      <c r="Q2172" t="s">
        <v>207</v>
      </c>
    </row>
    <row r="2173" spans="1:17" x14ac:dyDescent="0.3">
      <c r="A2173" s="9">
        <v>1269</v>
      </c>
      <c r="B2173" t="s">
        <v>193</v>
      </c>
      <c r="C2173" t="s">
        <v>45</v>
      </c>
      <c r="D2173" t="s">
        <v>384</v>
      </c>
      <c r="E2173" s="118">
        <v>5165</v>
      </c>
      <c r="F2173" s="13">
        <v>46140</v>
      </c>
      <c r="G2173" s="24">
        <v>218850.79</v>
      </c>
      <c r="H2173" s="27">
        <v>205391.47</v>
      </c>
      <c r="I2173" s="3">
        <v>46162</v>
      </c>
      <c r="J2173" s="102">
        <v>46167</v>
      </c>
      <c r="K2173" s="12">
        <v>46171</v>
      </c>
      <c r="L2173" s="19" t="s">
        <v>731</v>
      </c>
      <c r="M2173" s="35"/>
      <c r="N2173" s="26"/>
      <c r="O2173" t="s">
        <v>202</v>
      </c>
      <c r="P2173" t="s">
        <v>376</v>
      </c>
      <c r="Q2173" t="s">
        <v>207</v>
      </c>
    </row>
    <row r="2174" spans="1:17" x14ac:dyDescent="0.3">
      <c r="A2174" s="9">
        <v>1269</v>
      </c>
      <c r="B2174" t="s">
        <v>193</v>
      </c>
      <c r="C2174" t="s">
        <v>45</v>
      </c>
      <c r="D2174" t="s">
        <v>384</v>
      </c>
      <c r="E2174" s="118">
        <v>5166</v>
      </c>
      <c r="F2174" s="13">
        <v>46140</v>
      </c>
      <c r="G2174" s="24">
        <v>30699.4</v>
      </c>
      <c r="H2174" s="27">
        <v>28811.39</v>
      </c>
      <c r="I2174" s="3">
        <v>46162</v>
      </c>
      <c r="J2174" s="102">
        <v>46167</v>
      </c>
      <c r="K2174" s="12">
        <v>46171</v>
      </c>
      <c r="L2174" s="19" t="s">
        <v>731</v>
      </c>
      <c r="M2174" s="35"/>
      <c r="N2174" s="26"/>
      <c r="O2174" t="s">
        <v>202</v>
      </c>
      <c r="P2174" t="s">
        <v>376</v>
      </c>
      <c r="Q2174" t="s">
        <v>207</v>
      </c>
    </row>
    <row r="2175" spans="1:17" x14ac:dyDescent="0.3">
      <c r="A2175" s="9">
        <v>1269</v>
      </c>
      <c r="B2175" t="s">
        <v>193</v>
      </c>
      <c r="C2175" t="s">
        <v>45</v>
      </c>
      <c r="D2175" t="s">
        <v>384</v>
      </c>
      <c r="E2175" s="118">
        <v>5160</v>
      </c>
      <c r="F2175" s="13">
        <v>46140</v>
      </c>
      <c r="G2175" s="24">
        <v>9447.16</v>
      </c>
      <c r="H2175" s="27">
        <v>8866.16</v>
      </c>
      <c r="I2175" s="3">
        <v>46162</v>
      </c>
      <c r="J2175" s="102">
        <v>46167</v>
      </c>
      <c r="K2175" s="12">
        <v>46171</v>
      </c>
      <c r="L2175" s="19" t="s">
        <v>731</v>
      </c>
      <c r="M2175" s="35"/>
      <c r="N2175" s="26"/>
      <c r="O2175" t="s">
        <v>202</v>
      </c>
      <c r="P2175" t="s">
        <v>376</v>
      </c>
      <c r="Q2175" t="s">
        <v>207</v>
      </c>
    </row>
    <row r="2176" spans="1:17" x14ac:dyDescent="0.3">
      <c r="A2176" s="9">
        <v>1269</v>
      </c>
      <c r="B2176" t="s">
        <v>193</v>
      </c>
      <c r="C2176" t="s">
        <v>45</v>
      </c>
      <c r="D2176" t="s">
        <v>384</v>
      </c>
      <c r="E2176" s="118">
        <v>5163</v>
      </c>
      <c r="F2176" s="13">
        <v>46140</v>
      </c>
      <c r="G2176" s="24">
        <v>6655.99</v>
      </c>
      <c r="H2176" s="27">
        <v>6246.65</v>
      </c>
      <c r="I2176" s="3">
        <v>46162</v>
      </c>
      <c r="J2176" s="102">
        <v>46167</v>
      </c>
      <c r="K2176" s="12">
        <v>46171</v>
      </c>
      <c r="L2176" s="19" t="s">
        <v>731</v>
      </c>
      <c r="M2176" s="35"/>
      <c r="N2176" s="26"/>
      <c r="O2176" t="s">
        <v>202</v>
      </c>
      <c r="P2176" t="s">
        <v>376</v>
      </c>
      <c r="Q2176" t="s">
        <v>207</v>
      </c>
    </row>
    <row r="2177" spans="1:17" x14ac:dyDescent="0.3">
      <c r="A2177" s="9">
        <v>1269</v>
      </c>
      <c r="B2177" t="s">
        <v>193</v>
      </c>
      <c r="C2177" t="s">
        <v>45</v>
      </c>
      <c r="D2177" t="s">
        <v>384</v>
      </c>
      <c r="E2177" s="118"/>
      <c r="F2177" s="13">
        <v>46170</v>
      </c>
      <c r="G2177" s="24">
        <v>265653</v>
      </c>
      <c r="H2177" s="24"/>
      <c r="I2177" s="3">
        <v>46174</v>
      </c>
      <c r="J2177" s="102">
        <v>46195</v>
      </c>
      <c r="K2177" s="12"/>
      <c r="L2177" s="19" t="s">
        <v>719</v>
      </c>
      <c r="M2177" s="35"/>
      <c r="N2177" s="26"/>
      <c r="O2177" t="s">
        <v>202</v>
      </c>
      <c r="P2177" t="s">
        <v>376</v>
      </c>
      <c r="Q2177" t="s">
        <v>207</v>
      </c>
    </row>
    <row r="2178" spans="1:17" x14ac:dyDescent="0.3">
      <c r="A2178" s="25">
        <v>1400</v>
      </c>
      <c r="B2178" t="s">
        <v>209</v>
      </c>
      <c r="C2178" t="s">
        <v>3</v>
      </c>
      <c r="D2178" t="s">
        <v>530</v>
      </c>
      <c r="E2178" s="121">
        <v>8716</v>
      </c>
      <c r="F2178" s="13">
        <v>46019</v>
      </c>
      <c r="G2178" s="24">
        <v>785320.39</v>
      </c>
      <c r="H2178" s="24">
        <v>709536.96</v>
      </c>
      <c r="I2178" s="3">
        <v>46036</v>
      </c>
      <c r="J2178" s="102">
        <v>46055</v>
      </c>
      <c r="K2178" s="12">
        <v>46058</v>
      </c>
      <c r="L2178" s="19" t="s">
        <v>731</v>
      </c>
      <c r="M2178" s="35"/>
      <c r="N2178"/>
      <c r="O2178" t="s">
        <v>199</v>
      </c>
      <c r="P2178" t="s">
        <v>328</v>
      </c>
      <c r="Q2178" t="s">
        <v>203</v>
      </c>
    </row>
    <row r="2179" spans="1:17" x14ac:dyDescent="0.3">
      <c r="A2179" s="25">
        <v>1400</v>
      </c>
      <c r="B2179" t="s">
        <v>209</v>
      </c>
      <c r="C2179" t="s">
        <v>3</v>
      </c>
      <c r="D2179" t="s">
        <v>530</v>
      </c>
      <c r="E2179" s="121">
        <v>8765</v>
      </c>
      <c r="F2179" s="13">
        <v>46051</v>
      </c>
      <c r="G2179" s="24">
        <v>753922.7</v>
      </c>
      <c r="H2179" s="27">
        <v>681169.15</v>
      </c>
      <c r="I2179" s="3">
        <v>46072</v>
      </c>
      <c r="J2179" s="102">
        <v>46083</v>
      </c>
      <c r="K2179" s="12">
        <v>46086</v>
      </c>
      <c r="L2179" s="19" t="s">
        <v>731</v>
      </c>
      <c r="M2179" s="35"/>
      <c r="N2179"/>
      <c r="O2179" t="s">
        <v>199</v>
      </c>
      <c r="P2179" t="s">
        <v>328</v>
      </c>
      <c r="Q2179" t="s">
        <v>203</v>
      </c>
    </row>
    <row r="2180" spans="1:17" x14ac:dyDescent="0.3">
      <c r="A2180" s="25">
        <v>1400</v>
      </c>
      <c r="B2180" t="s">
        <v>209</v>
      </c>
      <c r="C2180" t="s">
        <v>3</v>
      </c>
      <c r="D2180" t="s">
        <v>530</v>
      </c>
      <c r="E2180" s="121">
        <v>8808</v>
      </c>
      <c r="F2180" s="13">
        <v>46081</v>
      </c>
      <c r="G2180" s="24">
        <v>712772.04</v>
      </c>
      <c r="H2180" s="27">
        <v>643989.53</v>
      </c>
      <c r="I2180" s="3">
        <v>46093</v>
      </c>
      <c r="J2180" s="102">
        <v>46104</v>
      </c>
      <c r="K2180" s="12">
        <v>46106</v>
      </c>
      <c r="L2180" s="19" t="s">
        <v>731</v>
      </c>
      <c r="M2180" s="35"/>
      <c r="N2180"/>
      <c r="O2180" t="s">
        <v>199</v>
      </c>
      <c r="P2180" t="s">
        <v>328</v>
      </c>
      <c r="Q2180" t="s">
        <v>203</v>
      </c>
    </row>
    <row r="2181" spans="1:17" x14ac:dyDescent="0.3">
      <c r="A2181" s="25">
        <v>1533</v>
      </c>
      <c r="B2181" t="s">
        <v>193</v>
      </c>
      <c r="C2181" t="s">
        <v>178</v>
      </c>
      <c r="D2181" t="s">
        <v>863</v>
      </c>
      <c r="E2181" s="118">
        <v>8986</v>
      </c>
      <c r="F2181" s="13">
        <v>46170</v>
      </c>
      <c r="G2181" s="27">
        <v>36028.83</v>
      </c>
      <c r="H2181" s="24">
        <v>33813.06</v>
      </c>
      <c r="I2181" s="3">
        <v>46174</v>
      </c>
      <c r="J2181" s="102">
        <v>46181</v>
      </c>
      <c r="K2181" s="12"/>
      <c r="L2181" s="19" t="s">
        <v>730</v>
      </c>
      <c r="M2181" s="35">
        <v>0</v>
      </c>
      <c r="N2181" s="26"/>
      <c r="O2181" t="s">
        <v>202</v>
      </c>
      <c r="P2181" t="s">
        <v>373</v>
      </c>
      <c r="Q2181" t="s">
        <v>207</v>
      </c>
    </row>
    <row r="2182" spans="1:17" x14ac:dyDescent="0.3">
      <c r="A2182" s="25">
        <v>1533</v>
      </c>
      <c r="B2182" t="s">
        <v>193</v>
      </c>
      <c r="C2182" t="s">
        <v>178</v>
      </c>
      <c r="D2182" t="s">
        <v>863</v>
      </c>
      <c r="E2182" s="118">
        <v>8987</v>
      </c>
      <c r="F2182" s="13">
        <v>46170</v>
      </c>
      <c r="G2182" s="27">
        <v>69910.69</v>
      </c>
      <c r="H2182" s="24">
        <v>65611.179999999993</v>
      </c>
      <c r="I2182" s="3">
        <v>46174</v>
      </c>
      <c r="J2182" s="102">
        <v>46181</v>
      </c>
      <c r="K2182" s="12"/>
      <c r="L2182" s="19" t="s">
        <v>730</v>
      </c>
      <c r="M2182" s="35">
        <v>0</v>
      </c>
      <c r="N2182" s="26"/>
      <c r="O2182" t="s">
        <v>202</v>
      </c>
      <c r="P2182" t="s">
        <v>373</v>
      </c>
      <c r="Q2182" t="s">
        <v>207</v>
      </c>
    </row>
    <row r="2183" spans="1:17" x14ac:dyDescent="0.3">
      <c r="A2183" s="25">
        <v>1400</v>
      </c>
      <c r="B2183" t="s">
        <v>209</v>
      </c>
      <c r="C2183" t="s">
        <v>3</v>
      </c>
      <c r="D2183" t="s">
        <v>530</v>
      </c>
      <c r="E2183" s="121"/>
      <c r="F2183" s="13">
        <v>46171</v>
      </c>
      <c r="G2183" s="24">
        <v>450000</v>
      </c>
      <c r="H2183" s="27"/>
      <c r="I2183" s="3">
        <v>46093</v>
      </c>
      <c r="J2183" s="102">
        <v>46202</v>
      </c>
      <c r="K2183" s="12"/>
      <c r="L2183" s="19" t="s">
        <v>719</v>
      </c>
      <c r="M2183" s="36">
        <v>450000</v>
      </c>
      <c r="N2183" t="s">
        <v>882</v>
      </c>
      <c r="O2183" t="s">
        <v>199</v>
      </c>
      <c r="P2183" t="s">
        <v>328</v>
      </c>
      <c r="Q2183" t="s">
        <v>203</v>
      </c>
    </row>
    <row r="2184" spans="1:17" x14ac:dyDescent="0.3">
      <c r="A2184" s="9">
        <v>1247</v>
      </c>
      <c r="B2184" t="s">
        <v>215</v>
      </c>
      <c r="C2184" t="s">
        <v>21</v>
      </c>
      <c r="D2184" t="s">
        <v>359</v>
      </c>
      <c r="E2184" s="117">
        <v>8612</v>
      </c>
      <c r="F2184" s="13">
        <v>45989</v>
      </c>
      <c r="G2184" s="24">
        <v>38395.360000000001</v>
      </c>
      <c r="H2184" s="24">
        <v>34440.629999999997</v>
      </c>
      <c r="I2184" s="3">
        <v>45979</v>
      </c>
      <c r="J2184" s="102">
        <v>45992</v>
      </c>
      <c r="K2184" s="12">
        <v>45992</v>
      </c>
      <c r="L2184" s="19" t="s">
        <v>731</v>
      </c>
      <c r="M2184" s="35">
        <v>0</v>
      </c>
      <c r="N2184"/>
      <c r="O2184" t="s">
        <v>202</v>
      </c>
      <c r="P2184" t="s">
        <v>340</v>
      </c>
      <c r="Q2184" t="s">
        <v>213</v>
      </c>
    </row>
    <row r="2185" spans="1:17" x14ac:dyDescent="0.3">
      <c r="A2185" s="9">
        <v>1298</v>
      </c>
      <c r="B2185" t="s">
        <v>84</v>
      </c>
      <c r="C2185" t="s">
        <v>36</v>
      </c>
      <c r="D2185" t="s">
        <v>418</v>
      </c>
      <c r="E2185" s="117">
        <v>1329</v>
      </c>
      <c r="F2185" s="13">
        <v>46019</v>
      </c>
      <c r="G2185" s="27">
        <v>294000.96000000002</v>
      </c>
      <c r="H2185" s="24">
        <v>275919.90000000002</v>
      </c>
      <c r="I2185" s="3">
        <v>46035</v>
      </c>
      <c r="J2185" s="102">
        <v>46062</v>
      </c>
      <c r="K2185" s="12">
        <v>46065</v>
      </c>
      <c r="L2185" s="19" t="s">
        <v>731</v>
      </c>
      <c r="M2185" s="35">
        <v>0</v>
      </c>
      <c r="N2185"/>
      <c r="O2185" t="s">
        <v>202</v>
      </c>
      <c r="P2185" t="s">
        <v>340</v>
      </c>
      <c r="Q2185" t="s">
        <v>207</v>
      </c>
    </row>
    <row r="2186" spans="1:17" x14ac:dyDescent="0.3">
      <c r="A2186" s="9">
        <v>1298</v>
      </c>
      <c r="B2186" t="s">
        <v>84</v>
      </c>
      <c r="C2186" t="s">
        <v>36</v>
      </c>
      <c r="D2186" t="s">
        <v>418</v>
      </c>
      <c r="E2186" s="117">
        <v>1330</v>
      </c>
      <c r="F2186" s="13">
        <v>46051</v>
      </c>
      <c r="G2186" s="24">
        <v>294000.96000000002</v>
      </c>
      <c r="H2186" s="24">
        <v>274449.90000000002</v>
      </c>
      <c r="I2186" s="3">
        <v>46063</v>
      </c>
      <c r="J2186" s="102">
        <v>46069</v>
      </c>
      <c r="K2186" s="12">
        <v>46073</v>
      </c>
      <c r="L2186" s="19" t="s">
        <v>731</v>
      </c>
      <c r="M2186" s="35">
        <v>0</v>
      </c>
      <c r="N2186"/>
      <c r="O2186" t="s">
        <v>202</v>
      </c>
      <c r="P2186" t="s">
        <v>340</v>
      </c>
      <c r="Q2186" t="s">
        <v>207</v>
      </c>
    </row>
    <row r="2187" spans="1:17" x14ac:dyDescent="0.3">
      <c r="A2187" s="9">
        <v>1298</v>
      </c>
      <c r="B2187" t="s">
        <v>84</v>
      </c>
      <c r="C2187" t="s">
        <v>36</v>
      </c>
      <c r="D2187" t="s">
        <v>418</v>
      </c>
      <c r="E2187" s="147">
        <v>1341</v>
      </c>
      <c r="F2187" s="13">
        <v>46081</v>
      </c>
      <c r="G2187" s="27">
        <v>294000.96000000002</v>
      </c>
      <c r="H2187" s="24">
        <v>275919.90999999997</v>
      </c>
      <c r="I2187" s="3">
        <v>46099</v>
      </c>
      <c r="J2187" s="102">
        <v>46118</v>
      </c>
      <c r="K2187" s="12">
        <v>46118</v>
      </c>
      <c r="L2187" s="19" t="s">
        <v>731</v>
      </c>
      <c r="M2187" s="24"/>
      <c r="N2187"/>
      <c r="O2187" t="s">
        <v>202</v>
      </c>
      <c r="P2187" t="s">
        <v>340</v>
      </c>
      <c r="Q2187" t="s">
        <v>207</v>
      </c>
    </row>
    <row r="2188" spans="1:17" x14ac:dyDescent="0.3">
      <c r="A2188" s="9">
        <v>1298</v>
      </c>
      <c r="B2188" t="s">
        <v>84</v>
      </c>
      <c r="C2188" t="s">
        <v>36</v>
      </c>
      <c r="D2188" t="s">
        <v>418</v>
      </c>
      <c r="E2188" s="117">
        <v>1343</v>
      </c>
      <c r="F2188" s="13">
        <v>46109</v>
      </c>
      <c r="G2188" s="27">
        <v>294000.96000000002</v>
      </c>
      <c r="H2188" s="24">
        <v>275919.90999999997</v>
      </c>
      <c r="I2188" s="3">
        <v>46122</v>
      </c>
      <c r="J2188" s="102">
        <v>46132</v>
      </c>
      <c r="K2188" s="12">
        <v>46136</v>
      </c>
      <c r="L2188" s="19" t="s">
        <v>731</v>
      </c>
      <c r="M2188" s="35">
        <v>0</v>
      </c>
      <c r="N2188"/>
      <c r="O2188" t="s">
        <v>202</v>
      </c>
      <c r="P2188" t="s">
        <v>340</v>
      </c>
      <c r="Q2188" t="s">
        <v>207</v>
      </c>
    </row>
    <row r="2189" spans="1:17" x14ac:dyDescent="0.3">
      <c r="A2189" s="9">
        <v>1298</v>
      </c>
      <c r="B2189" t="s">
        <v>84</v>
      </c>
      <c r="C2189" t="s">
        <v>36</v>
      </c>
      <c r="D2189" t="s">
        <v>418</v>
      </c>
      <c r="E2189" s="117">
        <v>8929</v>
      </c>
      <c r="F2189" s="13">
        <v>46140</v>
      </c>
      <c r="G2189" s="24">
        <v>294000.96000000002</v>
      </c>
      <c r="H2189" s="24">
        <v>275919.90999999997</v>
      </c>
      <c r="I2189" s="3">
        <v>46153</v>
      </c>
      <c r="J2189" s="102">
        <v>46160</v>
      </c>
      <c r="K2189" s="12">
        <v>46164</v>
      </c>
      <c r="L2189" s="19" t="s">
        <v>731</v>
      </c>
      <c r="M2189" s="35">
        <v>0</v>
      </c>
      <c r="N2189"/>
      <c r="O2189" t="s">
        <v>202</v>
      </c>
      <c r="P2189" t="s">
        <v>340</v>
      </c>
      <c r="Q2189" t="s">
        <v>207</v>
      </c>
    </row>
    <row r="2190" spans="1:17" x14ac:dyDescent="0.3">
      <c r="A2190" s="9">
        <v>1298</v>
      </c>
      <c r="B2190" t="s">
        <v>84</v>
      </c>
      <c r="C2190" t="s">
        <v>36</v>
      </c>
      <c r="D2190" t="s">
        <v>418</v>
      </c>
      <c r="F2190" s="13">
        <v>46170</v>
      </c>
      <c r="G2190" s="24">
        <v>372170</v>
      </c>
      <c r="H2190" s="24">
        <v>275919.90000000002</v>
      </c>
      <c r="I2190" s="3">
        <v>46174</v>
      </c>
      <c r="J2190" s="102">
        <v>46195</v>
      </c>
      <c r="K2190" s="12"/>
      <c r="L2190" s="19" t="s">
        <v>719</v>
      </c>
      <c r="M2190" s="35">
        <v>0</v>
      </c>
      <c r="N2190"/>
      <c r="O2190" t="s">
        <v>202</v>
      </c>
      <c r="P2190" t="s">
        <v>340</v>
      </c>
      <c r="Q2190" t="s">
        <v>207</v>
      </c>
    </row>
    <row r="2191" spans="1:17" x14ac:dyDescent="0.3">
      <c r="A2191" s="9">
        <v>1299</v>
      </c>
      <c r="B2191" t="s">
        <v>204</v>
      </c>
      <c r="C2191" t="s">
        <v>32</v>
      </c>
      <c r="D2191" t="s">
        <v>419</v>
      </c>
      <c r="E2191" s="120">
        <v>8858</v>
      </c>
      <c r="F2191" s="145">
        <v>46019</v>
      </c>
      <c r="G2191" s="27">
        <v>594570.23999999999</v>
      </c>
      <c r="H2191" s="24">
        <v>554139.47</v>
      </c>
      <c r="I2191" s="3">
        <v>46125</v>
      </c>
      <c r="J2191" s="102">
        <v>46139</v>
      </c>
      <c r="K2191" s="12">
        <v>46139</v>
      </c>
      <c r="L2191" s="19" t="s">
        <v>731</v>
      </c>
      <c r="M2191" s="24"/>
      <c r="N2191" s="24"/>
      <c r="O2191" t="s">
        <v>199</v>
      </c>
      <c r="P2191" t="s">
        <v>340</v>
      </c>
      <c r="Q2191" t="s">
        <v>217</v>
      </c>
    </row>
    <row r="2192" spans="1:17" x14ac:dyDescent="0.3">
      <c r="A2192" s="25">
        <v>1271</v>
      </c>
      <c r="B2192" t="s">
        <v>204</v>
      </c>
      <c r="C2192" t="s">
        <v>32</v>
      </c>
      <c r="D2192" t="s">
        <v>387</v>
      </c>
      <c r="E2192" s="121">
        <v>8617</v>
      </c>
      <c r="F2192" s="13">
        <v>45958</v>
      </c>
      <c r="G2192" s="24">
        <v>255597.54</v>
      </c>
      <c r="H2192" s="24">
        <v>238216.91</v>
      </c>
      <c r="I2192" s="3">
        <v>45980</v>
      </c>
      <c r="J2192" s="102">
        <v>45992</v>
      </c>
      <c r="K2192" s="12">
        <v>45993</v>
      </c>
      <c r="L2192" s="19" t="s">
        <v>731</v>
      </c>
      <c r="M2192" s="36"/>
      <c r="N2192" s="26"/>
      <c r="O2192" t="s">
        <v>202</v>
      </c>
      <c r="P2192" t="s">
        <v>340</v>
      </c>
      <c r="Q2192" t="s">
        <v>217</v>
      </c>
    </row>
    <row r="2193" spans="1:17" x14ac:dyDescent="0.3">
      <c r="A2193" s="9">
        <v>1271</v>
      </c>
      <c r="B2193" t="s">
        <v>204</v>
      </c>
      <c r="C2193" t="s">
        <v>32</v>
      </c>
      <c r="D2193" t="s">
        <v>387</v>
      </c>
      <c r="E2193" s="120">
        <v>8690</v>
      </c>
      <c r="F2193" s="13">
        <v>45989</v>
      </c>
      <c r="G2193" s="24">
        <v>255597.54</v>
      </c>
      <c r="H2193" s="24">
        <v>238216.91</v>
      </c>
      <c r="I2193" s="3">
        <v>46007</v>
      </c>
      <c r="J2193" s="102">
        <v>46013</v>
      </c>
      <c r="K2193" s="12">
        <v>46015</v>
      </c>
      <c r="L2193" s="19" t="s">
        <v>731</v>
      </c>
      <c r="M2193" s="35">
        <v>0</v>
      </c>
      <c r="N2193"/>
      <c r="O2193" t="s">
        <v>202</v>
      </c>
      <c r="P2193" t="s">
        <v>340</v>
      </c>
      <c r="Q2193" t="s">
        <v>217</v>
      </c>
    </row>
    <row r="2194" spans="1:17" x14ac:dyDescent="0.3">
      <c r="A2194" s="9">
        <v>1271</v>
      </c>
      <c r="B2194" t="s">
        <v>204</v>
      </c>
      <c r="C2194" t="s">
        <v>32</v>
      </c>
      <c r="D2194" t="s">
        <v>387</v>
      </c>
      <c r="E2194" s="117">
        <v>8750</v>
      </c>
      <c r="F2194" s="13">
        <v>46051</v>
      </c>
      <c r="G2194" s="24">
        <v>255597.54</v>
      </c>
      <c r="H2194" s="27">
        <v>238216.91</v>
      </c>
      <c r="I2194" s="3">
        <v>46064</v>
      </c>
      <c r="J2194" s="102">
        <v>46083</v>
      </c>
      <c r="K2194" s="12">
        <v>46086</v>
      </c>
      <c r="L2194" s="19" t="s">
        <v>731</v>
      </c>
      <c r="M2194" s="35">
        <v>0</v>
      </c>
      <c r="N2194"/>
      <c r="O2194" t="s">
        <v>202</v>
      </c>
      <c r="P2194" t="s">
        <v>340</v>
      </c>
      <c r="Q2194" t="s">
        <v>217</v>
      </c>
    </row>
    <row r="2195" spans="1:17" x14ac:dyDescent="0.3">
      <c r="A2195" s="25">
        <v>1271</v>
      </c>
      <c r="B2195" t="s">
        <v>204</v>
      </c>
      <c r="C2195" t="s">
        <v>32</v>
      </c>
      <c r="D2195" t="s">
        <v>387</v>
      </c>
      <c r="E2195" s="121">
        <v>8797</v>
      </c>
      <c r="F2195" s="13">
        <v>46019</v>
      </c>
      <c r="G2195" s="24">
        <v>255597.54</v>
      </c>
      <c r="H2195" s="27">
        <v>238216.91</v>
      </c>
      <c r="I2195" s="3">
        <v>46087</v>
      </c>
      <c r="J2195" s="102">
        <v>46104</v>
      </c>
      <c r="K2195" s="12">
        <v>46108</v>
      </c>
      <c r="L2195" s="19" t="s">
        <v>731</v>
      </c>
      <c r="M2195" s="36"/>
      <c r="N2195" s="26"/>
      <c r="O2195" t="s">
        <v>202</v>
      </c>
      <c r="P2195" t="s">
        <v>340</v>
      </c>
      <c r="Q2195" t="s">
        <v>217</v>
      </c>
    </row>
    <row r="2196" spans="1:17" x14ac:dyDescent="0.3">
      <c r="A2196" s="25">
        <v>1271</v>
      </c>
      <c r="B2196" t="s">
        <v>204</v>
      </c>
      <c r="C2196" t="s">
        <v>32</v>
      </c>
      <c r="D2196" t="s">
        <v>387</v>
      </c>
      <c r="E2196" s="121">
        <v>8832</v>
      </c>
      <c r="F2196" s="13">
        <v>46081</v>
      </c>
      <c r="G2196" s="27">
        <v>255597.54</v>
      </c>
      <c r="H2196" s="24">
        <v>238216.91</v>
      </c>
      <c r="I2196" s="3">
        <v>46106</v>
      </c>
      <c r="J2196" s="102">
        <v>46118</v>
      </c>
      <c r="K2196" s="12">
        <v>46118</v>
      </c>
      <c r="L2196" s="19" t="s">
        <v>731</v>
      </c>
      <c r="M2196" s="24"/>
      <c r="N2196" s="24"/>
      <c r="O2196" t="s">
        <v>202</v>
      </c>
      <c r="P2196" t="s">
        <v>340</v>
      </c>
      <c r="Q2196" t="s">
        <v>217</v>
      </c>
    </row>
    <row r="2197" spans="1:17" x14ac:dyDescent="0.3">
      <c r="A2197" s="25">
        <v>1271</v>
      </c>
      <c r="B2197" t="s">
        <v>204</v>
      </c>
      <c r="C2197" t="s">
        <v>32</v>
      </c>
      <c r="D2197" t="s">
        <v>387</v>
      </c>
      <c r="E2197" s="121"/>
      <c r="F2197" s="13">
        <v>46170</v>
      </c>
      <c r="G2197" s="24">
        <v>255597.54</v>
      </c>
      <c r="H2197" s="24"/>
      <c r="I2197" s="3">
        <v>46174</v>
      </c>
      <c r="J2197" s="102">
        <v>46195</v>
      </c>
      <c r="K2197" s="12"/>
      <c r="L2197" s="19" t="s">
        <v>719</v>
      </c>
      <c r="M2197" s="24"/>
      <c r="N2197" s="24"/>
      <c r="O2197" t="s">
        <v>202</v>
      </c>
      <c r="P2197" t="s">
        <v>340</v>
      </c>
      <c r="Q2197" t="s">
        <v>217</v>
      </c>
    </row>
    <row r="2198" spans="1:17" x14ac:dyDescent="0.3">
      <c r="A2198" s="25">
        <v>1288</v>
      </c>
      <c r="B2198" t="s">
        <v>204</v>
      </c>
      <c r="C2198" t="s">
        <v>32</v>
      </c>
      <c r="D2198" t="s">
        <v>407</v>
      </c>
      <c r="E2198" s="118">
        <v>8981</v>
      </c>
      <c r="F2198" s="13">
        <v>46109</v>
      </c>
      <c r="G2198" s="24">
        <v>393601.89</v>
      </c>
      <c r="H2198" s="24">
        <v>366836.96</v>
      </c>
      <c r="I2198" s="3">
        <v>46171</v>
      </c>
      <c r="J2198" s="161">
        <v>46181</v>
      </c>
      <c r="K2198" s="12">
        <v>46184</v>
      </c>
      <c r="L2198" s="19" t="s">
        <v>731</v>
      </c>
      <c r="M2198" s="35"/>
      <c r="N2198" s="24"/>
      <c r="O2198" t="s">
        <v>199</v>
      </c>
      <c r="P2198" t="s">
        <v>340</v>
      </c>
      <c r="Q2198" t="s">
        <v>217</v>
      </c>
    </row>
    <row r="2199" spans="1:17" x14ac:dyDescent="0.3">
      <c r="A2199" s="25">
        <v>1289</v>
      </c>
      <c r="B2199" t="s">
        <v>204</v>
      </c>
      <c r="C2199" t="s">
        <v>32</v>
      </c>
      <c r="D2199" t="s">
        <v>408</v>
      </c>
      <c r="E2199" s="118">
        <v>8982</v>
      </c>
      <c r="F2199" s="13">
        <v>46109</v>
      </c>
      <c r="G2199" s="44">
        <v>301917.75</v>
      </c>
      <c r="H2199" s="27">
        <v>281387.34000000003</v>
      </c>
      <c r="I2199" s="3">
        <v>46171</v>
      </c>
      <c r="J2199" s="161">
        <v>46181</v>
      </c>
      <c r="K2199" s="12">
        <v>46184</v>
      </c>
      <c r="L2199" s="19" t="s">
        <v>731</v>
      </c>
      <c r="M2199" s="35"/>
      <c r="N2199" s="24"/>
      <c r="O2199" t="s">
        <v>202</v>
      </c>
      <c r="P2199" t="s">
        <v>340</v>
      </c>
      <c r="Q2199" t="s">
        <v>217</v>
      </c>
    </row>
    <row r="2200" spans="1:17" x14ac:dyDescent="0.3">
      <c r="A2200" s="25">
        <v>1271</v>
      </c>
      <c r="B2200" t="s">
        <v>204</v>
      </c>
      <c r="C2200" t="s">
        <v>32</v>
      </c>
      <c r="D2200" t="s">
        <v>387</v>
      </c>
      <c r="E2200" s="121"/>
      <c r="F2200" s="13">
        <v>46019</v>
      </c>
      <c r="G2200" s="24">
        <v>255597.46</v>
      </c>
      <c r="H2200" s="24"/>
      <c r="I2200" s="3">
        <v>46113</v>
      </c>
      <c r="J2200" s="102"/>
      <c r="K2200" s="12"/>
      <c r="L2200" s="19" t="s">
        <v>719</v>
      </c>
      <c r="M2200" s="24"/>
      <c r="N2200" s="24"/>
      <c r="O2200" t="s">
        <v>202</v>
      </c>
      <c r="P2200" t="s">
        <v>340</v>
      </c>
      <c r="Q2200" t="s">
        <v>217</v>
      </c>
    </row>
    <row r="2201" spans="1:17" x14ac:dyDescent="0.3">
      <c r="A2201" s="9">
        <v>1394</v>
      </c>
      <c r="B2201" t="s">
        <v>210</v>
      </c>
      <c r="C2201" t="s">
        <v>38</v>
      </c>
      <c r="D2201" t="s">
        <v>523</v>
      </c>
      <c r="E2201" s="117">
        <v>8631</v>
      </c>
      <c r="F2201" s="13">
        <v>45989</v>
      </c>
      <c r="G2201" s="24">
        <v>23763.1</v>
      </c>
      <c r="H2201" s="24">
        <v>22147.21</v>
      </c>
      <c r="I2201" s="3">
        <v>45987</v>
      </c>
      <c r="J2201" s="102">
        <v>45992</v>
      </c>
      <c r="K2201" s="5">
        <v>45994</v>
      </c>
      <c r="L2201" s="22" t="s">
        <v>731</v>
      </c>
      <c r="M2201" s="56">
        <v>0</v>
      </c>
      <c r="N2201" s="15"/>
      <c r="O2201" t="s">
        <v>202</v>
      </c>
      <c r="P2201" t="s">
        <v>340</v>
      </c>
      <c r="Q2201" t="s">
        <v>213</v>
      </c>
    </row>
    <row r="2202" spans="1:17" x14ac:dyDescent="0.3">
      <c r="A2202" s="9">
        <v>1394</v>
      </c>
      <c r="B2202" t="s">
        <v>210</v>
      </c>
      <c r="C2202" t="s">
        <v>38</v>
      </c>
      <c r="D2202" t="s">
        <v>523</v>
      </c>
      <c r="E2202" s="117">
        <v>8632</v>
      </c>
      <c r="F2202" s="13">
        <v>45989</v>
      </c>
      <c r="G2202" s="24">
        <v>79216.45</v>
      </c>
      <c r="H2202" s="24">
        <v>73829.73</v>
      </c>
      <c r="I2202" s="3">
        <v>45987</v>
      </c>
      <c r="J2202" s="102">
        <v>45992</v>
      </c>
      <c r="K2202" s="5">
        <v>45993</v>
      </c>
      <c r="L2202" s="22" t="s">
        <v>731</v>
      </c>
      <c r="M2202" s="56">
        <v>0</v>
      </c>
      <c r="N2202" s="15"/>
      <c r="O2202" t="s">
        <v>202</v>
      </c>
      <c r="P2202" t="s">
        <v>340</v>
      </c>
      <c r="Q2202" t="s">
        <v>213</v>
      </c>
    </row>
    <row r="2203" spans="1:17" x14ac:dyDescent="0.3">
      <c r="A2203" s="9">
        <v>1394</v>
      </c>
      <c r="B2203" t="s">
        <v>210</v>
      </c>
      <c r="C2203" t="s">
        <v>38</v>
      </c>
      <c r="D2203" t="s">
        <v>523</v>
      </c>
      <c r="E2203" s="117">
        <v>8640</v>
      </c>
      <c r="F2203" s="13">
        <v>45958</v>
      </c>
      <c r="G2203" s="24">
        <v>62140.29</v>
      </c>
      <c r="H2203" s="24">
        <v>57914.75</v>
      </c>
      <c r="I2203" s="3">
        <v>45992</v>
      </c>
      <c r="J2203" s="102">
        <v>45999</v>
      </c>
      <c r="K2203" s="5">
        <v>45999</v>
      </c>
      <c r="L2203" s="22" t="s">
        <v>731</v>
      </c>
      <c r="M2203" s="56">
        <v>0</v>
      </c>
      <c r="N2203" s="15"/>
      <c r="O2203" t="s">
        <v>202</v>
      </c>
      <c r="P2203" t="s">
        <v>340</v>
      </c>
      <c r="Q2203" t="s">
        <v>213</v>
      </c>
    </row>
    <row r="2204" spans="1:17" x14ac:dyDescent="0.3">
      <c r="A2204" s="9">
        <v>1394</v>
      </c>
      <c r="B2204" t="s">
        <v>210</v>
      </c>
      <c r="C2204" t="s">
        <v>38</v>
      </c>
      <c r="D2204" t="s">
        <v>523</v>
      </c>
      <c r="E2204" s="117">
        <v>8641</v>
      </c>
      <c r="F2204" s="13">
        <v>45958</v>
      </c>
      <c r="G2204" s="24">
        <v>4827.05</v>
      </c>
      <c r="H2204" s="24">
        <v>4498.8100000000004</v>
      </c>
      <c r="I2204" s="3">
        <v>45992</v>
      </c>
      <c r="J2204" s="102">
        <v>46013</v>
      </c>
      <c r="K2204" s="5">
        <v>46013</v>
      </c>
      <c r="L2204" s="22" t="s">
        <v>731</v>
      </c>
      <c r="M2204" s="56">
        <v>0</v>
      </c>
      <c r="N2204" s="15"/>
      <c r="O2204" t="s">
        <v>202</v>
      </c>
      <c r="P2204" t="s">
        <v>340</v>
      </c>
      <c r="Q2204" t="s">
        <v>213</v>
      </c>
    </row>
    <row r="2205" spans="1:17" x14ac:dyDescent="0.3">
      <c r="A2205" s="9">
        <v>1394</v>
      </c>
      <c r="B2205" t="s">
        <v>210</v>
      </c>
      <c r="C2205" t="s">
        <v>38</v>
      </c>
      <c r="D2205" t="s">
        <v>523</v>
      </c>
      <c r="E2205" s="117">
        <v>8659</v>
      </c>
      <c r="F2205" s="13">
        <v>45989</v>
      </c>
      <c r="G2205" s="24">
        <v>123531.76</v>
      </c>
      <c r="H2205" s="24">
        <v>115131.6</v>
      </c>
      <c r="I2205" s="3">
        <v>45995</v>
      </c>
      <c r="J2205" s="102">
        <v>46006</v>
      </c>
      <c r="K2205" s="5">
        <v>46007</v>
      </c>
      <c r="L2205" s="22" t="s">
        <v>731</v>
      </c>
      <c r="M2205" s="56">
        <v>0</v>
      </c>
      <c r="N2205" s="15"/>
      <c r="O2205" t="s">
        <v>202</v>
      </c>
      <c r="P2205" t="s">
        <v>340</v>
      </c>
      <c r="Q2205" t="s">
        <v>213</v>
      </c>
    </row>
    <row r="2206" spans="1:17" x14ac:dyDescent="0.3">
      <c r="A2206" s="9">
        <v>1394</v>
      </c>
      <c r="B2206" t="s">
        <v>210</v>
      </c>
      <c r="C2206" t="s">
        <v>38</v>
      </c>
      <c r="D2206" t="s">
        <v>523</v>
      </c>
      <c r="E2206" s="117">
        <v>8662</v>
      </c>
      <c r="F2206" s="13">
        <v>45989</v>
      </c>
      <c r="G2206" s="24">
        <v>94087.62</v>
      </c>
      <c r="H2206" s="24">
        <v>87689.66</v>
      </c>
      <c r="I2206" s="3">
        <v>45996</v>
      </c>
      <c r="J2206" s="102">
        <v>46006</v>
      </c>
      <c r="K2206" s="5">
        <v>46007</v>
      </c>
      <c r="L2206" s="22" t="s">
        <v>731</v>
      </c>
      <c r="M2206" s="56">
        <v>0</v>
      </c>
      <c r="N2206" s="15"/>
      <c r="O2206" t="s">
        <v>202</v>
      </c>
      <c r="P2206" t="s">
        <v>340</v>
      </c>
      <c r="Q2206" t="s">
        <v>213</v>
      </c>
    </row>
    <row r="2207" spans="1:17" x14ac:dyDescent="0.3">
      <c r="A2207" s="9">
        <v>1394</v>
      </c>
      <c r="B2207" t="s">
        <v>210</v>
      </c>
      <c r="C2207" t="s">
        <v>38</v>
      </c>
      <c r="D2207" t="s">
        <v>523</v>
      </c>
      <c r="E2207" s="117">
        <v>8665</v>
      </c>
      <c r="F2207" s="13">
        <v>45958</v>
      </c>
      <c r="G2207" s="24">
        <v>35604.35</v>
      </c>
      <c r="H2207" s="24">
        <v>33183.25</v>
      </c>
      <c r="I2207" s="3">
        <v>46000</v>
      </c>
      <c r="J2207" s="102">
        <v>46006</v>
      </c>
      <c r="K2207" s="5">
        <v>46009</v>
      </c>
      <c r="L2207" s="22" t="s">
        <v>731</v>
      </c>
      <c r="M2207" s="56">
        <v>0</v>
      </c>
      <c r="N2207" s="15"/>
      <c r="O2207" t="s">
        <v>202</v>
      </c>
      <c r="P2207" t="s">
        <v>340</v>
      </c>
      <c r="Q2207" t="s">
        <v>213</v>
      </c>
    </row>
    <row r="2208" spans="1:17" x14ac:dyDescent="0.3">
      <c r="A2208" s="9">
        <v>1394</v>
      </c>
      <c r="B2208" t="s">
        <v>210</v>
      </c>
      <c r="C2208" t="s">
        <v>38</v>
      </c>
      <c r="D2208" t="s">
        <v>523</v>
      </c>
      <c r="E2208" s="117">
        <v>8667</v>
      </c>
      <c r="F2208" s="13">
        <v>45989</v>
      </c>
      <c r="G2208" s="24">
        <v>56251.33</v>
      </c>
      <c r="H2208" s="24">
        <v>52426.239999999998</v>
      </c>
      <c r="I2208" s="3">
        <v>46001</v>
      </c>
      <c r="J2208" s="102">
        <v>46006</v>
      </c>
      <c r="K2208" s="5">
        <v>46009</v>
      </c>
      <c r="L2208" s="22" t="s">
        <v>731</v>
      </c>
      <c r="M2208" s="56">
        <v>0</v>
      </c>
      <c r="N2208" s="15"/>
      <c r="O2208" t="s">
        <v>202</v>
      </c>
      <c r="P2208" t="s">
        <v>340</v>
      </c>
      <c r="Q2208" t="s">
        <v>213</v>
      </c>
    </row>
    <row r="2209" spans="1:17" x14ac:dyDescent="0.3">
      <c r="A2209" s="9">
        <v>1394</v>
      </c>
      <c r="B2209" t="s">
        <v>210</v>
      </c>
      <c r="C2209" t="s">
        <v>38</v>
      </c>
      <c r="D2209" t="s">
        <v>523</v>
      </c>
      <c r="E2209" s="117">
        <v>8672</v>
      </c>
      <c r="F2209" s="13">
        <v>45989</v>
      </c>
      <c r="G2209" s="24">
        <v>192811.59</v>
      </c>
      <c r="H2209" s="27">
        <v>179700.4</v>
      </c>
      <c r="I2209" s="3">
        <v>46001</v>
      </c>
      <c r="J2209" s="102">
        <v>46006</v>
      </c>
      <c r="K2209" s="5">
        <v>46010</v>
      </c>
      <c r="L2209" s="22" t="s">
        <v>731</v>
      </c>
      <c r="M2209" s="56">
        <v>0</v>
      </c>
      <c r="N2209" s="15"/>
      <c r="O2209" t="s">
        <v>202</v>
      </c>
      <c r="P2209" t="s">
        <v>340</v>
      </c>
      <c r="Q2209" t="s">
        <v>213</v>
      </c>
    </row>
    <row r="2210" spans="1:17" x14ac:dyDescent="0.3">
      <c r="A2210" s="25">
        <v>1394</v>
      </c>
      <c r="B2210" t="s">
        <v>210</v>
      </c>
      <c r="C2210" t="s">
        <v>38</v>
      </c>
      <c r="D2210" t="s">
        <v>523</v>
      </c>
      <c r="E2210" s="121">
        <v>8679</v>
      </c>
      <c r="F2210" s="13">
        <v>45958</v>
      </c>
      <c r="G2210" s="24">
        <v>61430.32</v>
      </c>
      <c r="H2210" s="24">
        <v>57253.05</v>
      </c>
      <c r="I2210" s="3">
        <v>46002</v>
      </c>
      <c r="J2210" s="102">
        <v>46006</v>
      </c>
      <c r="K2210" s="29">
        <v>46009</v>
      </c>
      <c r="L2210" s="22" t="s">
        <v>731</v>
      </c>
      <c r="M2210" s="39">
        <v>0</v>
      </c>
      <c r="N2210" s="26"/>
      <c r="O2210" t="s">
        <v>202</v>
      </c>
      <c r="P2210" t="s">
        <v>340</v>
      </c>
      <c r="Q2210" t="s">
        <v>213</v>
      </c>
    </row>
    <row r="2211" spans="1:17" x14ac:dyDescent="0.3">
      <c r="A2211" s="25">
        <v>1394</v>
      </c>
      <c r="B2211" t="s">
        <v>210</v>
      </c>
      <c r="C2211" t="s">
        <v>38</v>
      </c>
      <c r="D2211" t="s">
        <v>523</v>
      </c>
      <c r="E2211" s="121">
        <v>8680</v>
      </c>
      <c r="F2211" s="13">
        <v>45958</v>
      </c>
      <c r="G2211" s="24">
        <v>246181.25</v>
      </c>
      <c r="H2211" s="27">
        <v>229440.92</v>
      </c>
      <c r="I2211" s="3">
        <v>46002</v>
      </c>
      <c r="J2211" s="102">
        <v>46006</v>
      </c>
      <c r="K2211" s="5">
        <v>46010</v>
      </c>
      <c r="L2211" s="22" t="s">
        <v>731</v>
      </c>
      <c r="M2211" s="39">
        <v>0</v>
      </c>
      <c r="N2211" s="26"/>
      <c r="O2211" t="s">
        <v>202</v>
      </c>
      <c r="P2211" t="s">
        <v>340</v>
      </c>
      <c r="Q2211" t="s">
        <v>213</v>
      </c>
    </row>
    <row r="2212" spans="1:17" x14ac:dyDescent="0.3">
      <c r="A2212" s="9">
        <v>1394</v>
      </c>
      <c r="B2212" t="s">
        <v>210</v>
      </c>
      <c r="C2212" t="s">
        <v>38</v>
      </c>
      <c r="D2212" t="s">
        <v>523</v>
      </c>
      <c r="E2212" s="117">
        <v>8685</v>
      </c>
      <c r="F2212" s="13">
        <v>45989</v>
      </c>
      <c r="G2212" s="24">
        <v>313649.51</v>
      </c>
      <c r="H2212" s="24">
        <v>292321.34000000003</v>
      </c>
      <c r="I2212" s="3">
        <v>46003</v>
      </c>
      <c r="J2212" s="102">
        <v>46006</v>
      </c>
      <c r="K2212" s="5">
        <v>46010</v>
      </c>
      <c r="L2212" s="22" t="s">
        <v>731</v>
      </c>
      <c r="M2212" s="56">
        <v>0</v>
      </c>
      <c r="N2212" s="15"/>
      <c r="O2212" t="s">
        <v>202</v>
      </c>
      <c r="P2212" t="s">
        <v>340</v>
      </c>
      <c r="Q2212" t="s">
        <v>213</v>
      </c>
    </row>
    <row r="2213" spans="1:17" x14ac:dyDescent="0.3">
      <c r="A2213" s="9">
        <v>1394</v>
      </c>
      <c r="B2213" t="s">
        <v>210</v>
      </c>
      <c r="C2213" t="s">
        <v>38</v>
      </c>
      <c r="D2213" t="s">
        <v>523</v>
      </c>
      <c r="E2213" s="117">
        <v>8686</v>
      </c>
      <c r="F2213" s="13">
        <v>45989</v>
      </c>
      <c r="G2213" s="24">
        <v>140971.81</v>
      </c>
      <c r="H2213" s="24">
        <v>131385.72</v>
      </c>
      <c r="I2213" s="3">
        <v>46003</v>
      </c>
      <c r="J2213" s="102">
        <v>46006</v>
      </c>
      <c r="K2213" s="5">
        <v>46010</v>
      </c>
      <c r="L2213" s="22" t="s">
        <v>731</v>
      </c>
      <c r="M2213" s="56">
        <v>0</v>
      </c>
      <c r="N2213" s="15"/>
      <c r="O2213" t="s">
        <v>202</v>
      </c>
      <c r="P2213" t="s">
        <v>340</v>
      </c>
      <c r="Q2213" t="s">
        <v>213</v>
      </c>
    </row>
    <row r="2214" spans="1:17" x14ac:dyDescent="0.3">
      <c r="A2214" s="9">
        <v>1394</v>
      </c>
      <c r="B2214" t="s">
        <v>210</v>
      </c>
      <c r="C2214" t="s">
        <v>38</v>
      </c>
      <c r="D2214" t="s">
        <v>523</v>
      </c>
      <c r="E2214" s="117">
        <v>8687</v>
      </c>
      <c r="F2214" s="13">
        <v>45989</v>
      </c>
      <c r="G2214" s="24">
        <v>246181.25</v>
      </c>
      <c r="H2214" s="27">
        <v>229440.92</v>
      </c>
      <c r="I2214" s="3">
        <v>46003</v>
      </c>
      <c r="J2214" s="102">
        <v>46006</v>
      </c>
      <c r="K2214" s="5">
        <v>46010</v>
      </c>
      <c r="L2214" s="22" t="s">
        <v>731</v>
      </c>
      <c r="M2214" s="56">
        <v>0</v>
      </c>
      <c r="N2214" s="15"/>
      <c r="O2214" t="s">
        <v>202</v>
      </c>
      <c r="P2214" t="s">
        <v>340</v>
      </c>
      <c r="Q2214" t="s">
        <v>213</v>
      </c>
    </row>
    <row r="2215" spans="1:17" x14ac:dyDescent="0.3">
      <c r="A2215" s="9">
        <v>1518</v>
      </c>
      <c r="B2215" t="s">
        <v>210</v>
      </c>
      <c r="C2215" t="s">
        <v>38</v>
      </c>
      <c r="D2215" t="s">
        <v>188</v>
      </c>
      <c r="E2215" s="117">
        <v>8696</v>
      </c>
      <c r="F2215" s="13">
        <v>45989</v>
      </c>
      <c r="G2215" s="24">
        <v>135321.62</v>
      </c>
      <c r="H2215" s="24">
        <v>126119.75</v>
      </c>
      <c r="I2215" s="3">
        <v>46008</v>
      </c>
      <c r="J2215" s="102">
        <v>46013</v>
      </c>
      <c r="K2215" s="5">
        <v>46014</v>
      </c>
      <c r="L2215" s="22" t="s">
        <v>731</v>
      </c>
      <c r="M2215" s="56"/>
      <c r="N2215" s="15"/>
      <c r="O2215" t="s">
        <v>199</v>
      </c>
      <c r="P2215" t="s">
        <v>340</v>
      </c>
      <c r="Q2215" t="s">
        <v>213</v>
      </c>
    </row>
    <row r="2216" spans="1:17" x14ac:dyDescent="0.3">
      <c r="A2216" s="9">
        <v>1518</v>
      </c>
      <c r="B2216" t="s">
        <v>210</v>
      </c>
      <c r="C2216" t="s">
        <v>38</v>
      </c>
      <c r="D2216" t="s">
        <v>188</v>
      </c>
      <c r="E2216" s="146">
        <v>8821</v>
      </c>
      <c r="F2216" s="13">
        <v>46081</v>
      </c>
      <c r="G2216" s="24">
        <v>120639.66</v>
      </c>
      <c r="H2216" s="27">
        <v>112436.1612975366</v>
      </c>
      <c r="I2216" s="3">
        <v>46101</v>
      </c>
      <c r="J2216" s="102">
        <v>46104</v>
      </c>
      <c r="K2216" s="5">
        <v>46108</v>
      </c>
      <c r="L2216" s="22" t="s">
        <v>731</v>
      </c>
      <c r="M2216" s="56"/>
      <c r="N2216" s="15"/>
      <c r="O2216" t="s">
        <v>199</v>
      </c>
      <c r="P2216" t="s">
        <v>340</v>
      </c>
      <c r="Q2216" t="s">
        <v>213</v>
      </c>
    </row>
    <row r="2217" spans="1:17" x14ac:dyDescent="0.3">
      <c r="A2217" s="9">
        <v>1518</v>
      </c>
      <c r="B2217" t="s">
        <v>210</v>
      </c>
      <c r="C2217" t="s">
        <v>38</v>
      </c>
      <c r="D2217" t="s">
        <v>188</v>
      </c>
      <c r="E2217" s="117">
        <v>8839</v>
      </c>
      <c r="F2217" s="153">
        <v>46109</v>
      </c>
      <c r="G2217" s="27">
        <v>71463.960000000006</v>
      </c>
      <c r="H2217" s="27">
        <v>66604.410720000014</v>
      </c>
      <c r="I2217" s="3">
        <v>46114</v>
      </c>
      <c r="J2217" s="102">
        <v>46125</v>
      </c>
      <c r="K2217" s="5">
        <v>46125</v>
      </c>
      <c r="L2217" s="22" t="s">
        <v>731</v>
      </c>
      <c r="M2217" s="56"/>
      <c r="N2217" s="15"/>
      <c r="O2217" t="s">
        <v>199</v>
      </c>
      <c r="P2217" t="s">
        <v>340</v>
      </c>
      <c r="Q2217" t="s">
        <v>213</v>
      </c>
    </row>
    <row r="2218" spans="1:17" x14ac:dyDescent="0.3">
      <c r="A2218" s="25">
        <v>1299</v>
      </c>
      <c r="B2218" t="s">
        <v>204</v>
      </c>
      <c r="C2218" t="s">
        <v>32</v>
      </c>
      <c r="D2218" t="s">
        <v>419</v>
      </c>
      <c r="F2218" s="13">
        <v>46140</v>
      </c>
      <c r="G2218" s="24">
        <v>1105415</v>
      </c>
      <c r="H2218" s="24"/>
      <c r="I2218" s="3">
        <v>46174</v>
      </c>
      <c r="J2218" s="102">
        <v>46195</v>
      </c>
      <c r="K2218" s="12"/>
      <c r="L2218" s="19" t="s">
        <v>719</v>
      </c>
      <c r="M2218" s="69"/>
      <c r="N2218" s="26"/>
      <c r="O2218" t="s">
        <v>199</v>
      </c>
      <c r="P2218" t="s">
        <v>340</v>
      </c>
      <c r="Q2218" t="s">
        <v>217</v>
      </c>
    </row>
    <row r="2219" spans="1:17" x14ac:dyDescent="0.3">
      <c r="A2219" s="9">
        <v>1518</v>
      </c>
      <c r="B2219" t="s">
        <v>210</v>
      </c>
      <c r="C2219" t="s">
        <v>38</v>
      </c>
      <c r="D2219" t="s">
        <v>188</v>
      </c>
      <c r="E2219" s="167">
        <v>8935</v>
      </c>
      <c r="F2219" s="13">
        <v>46140</v>
      </c>
      <c r="G2219" s="24">
        <v>122408.57</v>
      </c>
      <c r="H2219" s="27">
        <v>114084.78475385271</v>
      </c>
      <c r="I2219" s="3">
        <v>46153</v>
      </c>
      <c r="J2219" s="102">
        <v>46167</v>
      </c>
      <c r="K2219" s="5">
        <v>46167</v>
      </c>
      <c r="L2219" s="22" t="s">
        <v>731</v>
      </c>
      <c r="M2219" s="56"/>
      <c r="N2219" s="15"/>
      <c r="O2219" t="s">
        <v>199</v>
      </c>
      <c r="P2219" t="s">
        <v>340</v>
      </c>
      <c r="Q2219" t="s">
        <v>213</v>
      </c>
    </row>
    <row r="2220" spans="1:17" x14ac:dyDescent="0.3">
      <c r="A2220" s="9">
        <v>1394</v>
      </c>
      <c r="B2220" t="s">
        <v>210</v>
      </c>
      <c r="C2220" t="s">
        <v>38</v>
      </c>
      <c r="D2220" t="s">
        <v>523</v>
      </c>
      <c r="F2220" s="13">
        <v>46019</v>
      </c>
      <c r="G2220" s="24">
        <v>122367</v>
      </c>
      <c r="H2220" s="24"/>
      <c r="I2220" s="3">
        <v>46082</v>
      </c>
      <c r="J2220" s="102"/>
      <c r="K2220" s="5"/>
      <c r="L2220" s="22" t="s">
        <v>719</v>
      </c>
      <c r="M2220" s="56"/>
      <c r="N2220" s="15"/>
      <c r="O2220" t="s">
        <v>202</v>
      </c>
      <c r="P2220" t="s">
        <v>340</v>
      </c>
      <c r="Q2220" t="s">
        <v>213</v>
      </c>
    </row>
    <row r="2221" spans="1:17" x14ac:dyDescent="0.3">
      <c r="A2221" s="9">
        <v>1394</v>
      </c>
      <c r="B2221" t="s">
        <v>210</v>
      </c>
      <c r="C2221" t="s">
        <v>38</v>
      </c>
      <c r="D2221" t="s">
        <v>523</v>
      </c>
      <c r="E2221" s="117">
        <v>8799</v>
      </c>
      <c r="F2221" s="13">
        <v>46051</v>
      </c>
      <c r="G2221" s="24">
        <v>140971.81</v>
      </c>
      <c r="H2221" s="24">
        <v>131385.72</v>
      </c>
      <c r="I2221" s="3">
        <v>46090</v>
      </c>
      <c r="J2221" s="102">
        <v>46097</v>
      </c>
      <c r="K2221" s="5">
        <v>46098</v>
      </c>
      <c r="L2221" s="22" t="s">
        <v>731</v>
      </c>
      <c r="M2221" s="56"/>
      <c r="N2221" s="15"/>
      <c r="O2221" t="s">
        <v>202</v>
      </c>
      <c r="P2221" t="s">
        <v>340</v>
      </c>
      <c r="Q2221" t="s">
        <v>213</v>
      </c>
    </row>
    <row r="2222" spans="1:17" x14ac:dyDescent="0.3">
      <c r="A2222" s="9">
        <v>1394</v>
      </c>
      <c r="B2222" t="s">
        <v>210</v>
      </c>
      <c r="C2222" t="s">
        <v>38</v>
      </c>
      <c r="D2222" t="s">
        <v>523</v>
      </c>
      <c r="E2222" s="117">
        <v>8814</v>
      </c>
      <c r="F2222" s="13">
        <v>46051</v>
      </c>
      <c r="G2222" s="24">
        <v>246181.25</v>
      </c>
      <c r="H2222" s="27">
        <v>229440.92</v>
      </c>
      <c r="I2222" s="3">
        <v>46097</v>
      </c>
      <c r="J2222" s="102">
        <v>46104</v>
      </c>
      <c r="K2222" s="5">
        <v>46105</v>
      </c>
      <c r="L2222" s="22" t="s">
        <v>731</v>
      </c>
      <c r="M2222" s="56"/>
      <c r="N2222" s="15"/>
      <c r="O2222" t="s">
        <v>202</v>
      </c>
      <c r="P2222" t="s">
        <v>340</v>
      </c>
      <c r="Q2222" t="s">
        <v>213</v>
      </c>
    </row>
    <row r="2223" spans="1:17" x14ac:dyDescent="0.3">
      <c r="A2223" s="9">
        <v>1394</v>
      </c>
      <c r="B2223" t="s">
        <v>210</v>
      </c>
      <c r="C2223" t="s">
        <v>38</v>
      </c>
      <c r="D2223" t="s">
        <v>523</v>
      </c>
      <c r="E2223" s="117">
        <v>8736</v>
      </c>
      <c r="F2223" s="13">
        <v>46051</v>
      </c>
      <c r="G2223" s="24">
        <v>123531.76</v>
      </c>
      <c r="H2223" s="24">
        <v>115131.6</v>
      </c>
      <c r="I2223" s="3">
        <v>46062</v>
      </c>
      <c r="J2223" s="102">
        <v>46076</v>
      </c>
      <c r="K2223" s="5">
        <v>46076</v>
      </c>
      <c r="L2223" s="22" t="s">
        <v>731</v>
      </c>
      <c r="M2223" s="56"/>
      <c r="N2223" s="15"/>
      <c r="O2223" t="s">
        <v>202</v>
      </c>
      <c r="P2223" t="s">
        <v>340</v>
      </c>
      <c r="Q2223" t="s">
        <v>213</v>
      </c>
    </row>
    <row r="2224" spans="1:17" x14ac:dyDescent="0.3">
      <c r="A2224" s="9">
        <v>1394</v>
      </c>
      <c r="B2224" t="s">
        <v>210</v>
      </c>
      <c r="C2224" t="s">
        <v>38</v>
      </c>
      <c r="D2224" t="s">
        <v>523</v>
      </c>
      <c r="E2224" s="117">
        <v>8747</v>
      </c>
      <c r="F2224" s="13">
        <v>46051</v>
      </c>
      <c r="G2224" s="24">
        <v>129307.32</v>
      </c>
      <c r="H2224" s="24">
        <v>120514.42</v>
      </c>
      <c r="I2224" s="3">
        <v>46063</v>
      </c>
      <c r="J2224" s="102">
        <v>46076</v>
      </c>
      <c r="K2224" s="5">
        <v>46077</v>
      </c>
      <c r="L2224" s="22" t="s">
        <v>731</v>
      </c>
      <c r="M2224" s="56"/>
      <c r="N2224" s="15"/>
      <c r="O2224" t="s">
        <v>202</v>
      </c>
      <c r="P2224" t="s">
        <v>340</v>
      </c>
      <c r="Q2224" t="s">
        <v>213</v>
      </c>
    </row>
    <row r="2225" spans="1:17" x14ac:dyDescent="0.3">
      <c r="A2225" s="9">
        <v>1394</v>
      </c>
      <c r="B2225" t="s">
        <v>210</v>
      </c>
      <c r="C2225" t="s">
        <v>38</v>
      </c>
      <c r="D2225" t="s">
        <v>523</v>
      </c>
      <c r="E2225" s="117">
        <v>8757</v>
      </c>
      <c r="F2225" s="13">
        <v>46051</v>
      </c>
      <c r="G2225" s="24">
        <v>157664.21</v>
      </c>
      <c r="H2225" s="27">
        <v>146943.04999999999</v>
      </c>
      <c r="I2225" s="3">
        <v>46065</v>
      </c>
      <c r="J2225" s="102">
        <v>46083</v>
      </c>
      <c r="K2225" s="5">
        <v>46084</v>
      </c>
      <c r="L2225" s="22" t="s">
        <v>731</v>
      </c>
      <c r="M2225" s="56"/>
      <c r="N2225" s="15"/>
      <c r="O2225" t="s">
        <v>202</v>
      </c>
      <c r="P2225" t="s">
        <v>340</v>
      </c>
      <c r="Q2225" t="s">
        <v>213</v>
      </c>
    </row>
    <row r="2226" spans="1:17" x14ac:dyDescent="0.3">
      <c r="A2226" s="9">
        <v>1394</v>
      </c>
      <c r="B2226" t="s">
        <v>210</v>
      </c>
      <c r="C2226" t="s">
        <v>38</v>
      </c>
      <c r="D2226" t="s">
        <v>523</v>
      </c>
      <c r="E2226" s="117">
        <v>8758</v>
      </c>
      <c r="F2226" s="13">
        <v>46051</v>
      </c>
      <c r="G2226" s="24">
        <v>313649.51</v>
      </c>
      <c r="H2226" s="27">
        <v>292321.34000000003</v>
      </c>
      <c r="I2226" s="3">
        <v>46065</v>
      </c>
      <c r="J2226" s="102">
        <v>46083</v>
      </c>
      <c r="K2226" s="5">
        <v>46087</v>
      </c>
      <c r="L2226" s="22" t="s">
        <v>731</v>
      </c>
      <c r="M2226" s="56"/>
      <c r="N2226" s="15"/>
      <c r="O2226" t="s">
        <v>202</v>
      </c>
      <c r="P2226" t="s">
        <v>340</v>
      </c>
      <c r="Q2226" t="s">
        <v>213</v>
      </c>
    </row>
    <row r="2227" spans="1:17" x14ac:dyDescent="0.3">
      <c r="A2227" s="9">
        <v>1394</v>
      </c>
      <c r="B2227" t="s">
        <v>210</v>
      </c>
      <c r="C2227" t="s">
        <v>38</v>
      </c>
      <c r="D2227" t="s">
        <v>523</v>
      </c>
      <c r="E2227" s="117">
        <v>8770</v>
      </c>
      <c r="F2227" s="13">
        <v>46051</v>
      </c>
      <c r="G2227" s="24">
        <v>94087.62</v>
      </c>
      <c r="H2227" s="24">
        <v>87689.66</v>
      </c>
      <c r="I2227" s="3">
        <v>46076</v>
      </c>
      <c r="J2227" s="102">
        <v>46083</v>
      </c>
      <c r="K2227" s="5">
        <v>46084</v>
      </c>
      <c r="L2227" s="22" t="s">
        <v>731</v>
      </c>
      <c r="M2227" s="56"/>
      <c r="N2227" s="15"/>
      <c r="O2227" t="s">
        <v>202</v>
      </c>
      <c r="P2227" t="s">
        <v>340</v>
      </c>
      <c r="Q2227" t="s">
        <v>213</v>
      </c>
    </row>
    <row r="2228" spans="1:17" s="138" customFormat="1" x14ac:dyDescent="0.3">
      <c r="A2228" s="9">
        <v>1394</v>
      </c>
      <c r="B2228" t="s">
        <v>210</v>
      </c>
      <c r="C2228" t="s">
        <v>38</v>
      </c>
      <c r="D2228" t="s">
        <v>523</v>
      </c>
      <c r="E2228" s="117">
        <v>8795</v>
      </c>
      <c r="F2228" s="13">
        <v>46081</v>
      </c>
      <c r="G2228" s="24">
        <v>123531.76</v>
      </c>
      <c r="H2228" s="24">
        <v>115131.6</v>
      </c>
      <c r="I2228" s="3">
        <v>46087</v>
      </c>
      <c r="J2228" s="102">
        <v>46090</v>
      </c>
      <c r="K2228" s="5">
        <v>46094</v>
      </c>
      <c r="L2228" s="22" t="s">
        <v>731</v>
      </c>
      <c r="M2228" s="56"/>
      <c r="N2228" s="15"/>
      <c r="O2228" t="s">
        <v>202</v>
      </c>
      <c r="P2228" t="s">
        <v>340</v>
      </c>
      <c r="Q2228" t="s">
        <v>213</v>
      </c>
    </row>
    <row r="2229" spans="1:17" x14ac:dyDescent="0.3">
      <c r="A2229" s="9">
        <v>1394</v>
      </c>
      <c r="B2229" t="s">
        <v>210</v>
      </c>
      <c r="C2229" t="s">
        <v>38</v>
      </c>
      <c r="D2229" t="s">
        <v>523</v>
      </c>
      <c r="E2229" s="117">
        <v>8805</v>
      </c>
      <c r="F2229" s="13">
        <v>46081</v>
      </c>
      <c r="G2229" s="24">
        <v>162330.73000000001</v>
      </c>
      <c r="H2229" s="24">
        <v>151292.24</v>
      </c>
      <c r="I2229" s="3">
        <v>46092</v>
      </c>
      <c r="J2229" s="102">
        <v>46097</v>
      </c>
      <c r="K2229" s="5">
        <v>46099</v>
      </c>
      <c r="L2229" s="22" t="s">
        <v>731</v>
      </c>
      <c r="M2229" s="56"/>
      <c r="N2229" s="15"/>
      <c r="O2229" t="s">
        <v>202</v>
      </c>
      <c r="P2229" t="s">
        <v>340</v>
      </c>
      <c r="Q2229" t="s">
        <v>213</v>
      </c>
    </row>
    <row r="2230" spans="1:17" x14ac:dyDescent="0.3">
      <c r="A2230" s="9">
        <v>1394</v>
      </c>
      <c r="B2230" t="s">
        <v>210</v>
      </c>
      <c r="C2230" t="s">
        <v>38</v>
      </c>
      <c r="D2230" t="s">
        <v>523</v>
      </c>
      <c r="E2230" s="117">
        <v>8811</v>
      </c>
      <c r="F2230" s="13">
        <v>46081</v>
      </c>
      <c r="G2230" s="24">
        <v>313649.51</v>
      </c>
      <c r="H2230" s="24">
        <v>292321.34000000003</v>
      </c>
      <c r="I2230" s="3">
        <v>46093</v>
      </c>
      <c r="J2230" s="102">
        <v>46104</v>
      </c>
      <c r="K2230" s="5">
        <v>46106</v>
      </c>
      <c r="L2230" s="22" t="s">
        <v>731</v>
      </c>
      <c r="M2230" s="56"/>
      <c r="N2230" s="15"/>
      <c r="O2230" t="s">
        <v>202</v>
      </c>
      <c r="P2230" t="s">
        <v>340</v>
      </c>
      <c r="Q2230" t="s">
        <v>213</v>
      </c>
    </row>
    <row r="2231" spans="1:17" x14ac:dyDescent="0.3">
      <c r="A2231" s="9">
        <v>1394</v>
      </c>
      <c r="B2231" t="s">
        <v>210</v>
      </c>
      <c r="C2231" t="s">
        <v>38</v>
      </c>
      <c r="D2231" t="s">
        <v>523</v>
      </c>
      <c r="E2231" s="117">
        <v>8812</v>
      </c>
      <c r="F2231" s="13">
        <v>46081</v>
      </c>
      <c r="G2231" s="24">
        <v>94087.62</v>
      </c>
      <c r="H2231" s="24">
        <v>87689.66</v>
      </c>
      <c r="I2231" s="3">
        <v>46093</v>
      </c>
      <c r="J2231" s="102">
        <v>46104</v>
      </c>
      <c r="K2231" s="5">
        <v>46106</v>
      </c>
      <c r="L2231" s="22" t="s">
        <v>731</v>
      </c>
      <c r="M2231" s="56"/>
      <c r="N2231" s="15"/>
      <c r="O2231" t="s">
        <v>202</v>
      </c>
      <c r="P2231" t="s">
        <v>340</v>
      </c>
      <c r="Q2231" t="s">
        <v>213</v>
      </c>
    </row>
    <row r="2232" spans="1:17" x14ac:dyDescent="0.3">
      <c r="A2232" s="9">
        <v>1394</v>
      </c>
      <c r="B2232" t="s">
        <v>210</v>
      </c>
      <c r="C2232" t="s">
        <v>38</v>
      </c>
      <c r="D2232" t="s">
        <v>523</v>
      </c>
      <c r="E2232" s="146">
        <v>8821</v>
      </c>
      <c r="F2232" s="13">
        <v>46081</v>
      </c>
      <c r="G2232" s="24">
        <v>48821.919999999998</v>
      </c>
      <c r="H2232" s="27">
        <v>45502.028702463416</v>
      </c>
      <c r="I2232" s="3">
        <v>46101</v>
      </c>
      <c r="J2232" s="102">
        <v>46104</v>
      </c>
      <c r="K2232" s="5">
        <v>46108</v>
      </c>
      <c r="L2232" s="22" t="s">
        <v>731</v>
      </c>
      <c r="M2232" s="56"/>
      <c r="N2232" s="15"/>
      <c r="O2232" t="s">
        <v>202</v>
      </c>
      <c r="P2232" t="s">
        <v>340</v>
      </c>
      <c r="Q2232" t="s">
        <v>213</v>
      </c>
    </row>
    <row r="2233" spans="1:17" x14ac:dyDescent="0.3">
      <c r="A2233" s="9">
        <v>1394</v>
      </c>
      <c r="B2233" t="s">
        <v>210</v>
      </c>
      <c r="C2233" t="s">
        <v>38</v>
      </c>
      <c r="D2233" t="s">
        <v>523</v>
      </c>
      <c r="E2233" s="117">
        <v>8828</v>
      </c>
      <c r="F2233" s="13">
        <v>46081</v>
      </c>
      <c r="G2233" s="24">
        <v>140971.81</v>
      </c>
      <c r="H2233" s="24">
        <v>131385.72</v>
      </c>
      <c r="I2233" s="3">
        <v>46104</v>
      </c>
      <c r="J2233" s="102">
        <v>46104</v>
      </c>
      <c r="K2233" s="5">
        <v>46108</v>
      </c>
      <c r="L2233" s="22" t="s">
        <v>731</v>
      </c>
      <c r="M2233" s="56"/>
      <c r="N2233" s="15"/>
      <c r="O2233" t="s">
        <v>202</v>
      </c>
      <c r="P2233" t="s">
        <v>340</v>
      </c>
      <c r="Q2233" t="s">
        <v>213</v>
      </c>
    </row>
    <row r="2234" spans="1:17" x14ac:dyDescent="0.3">
      <c r="A2234" s="9">
        <v>1394</v>
      </c>
      <c r="B2234" t="s">
        <v>210</v>
      </c>
      <c r="C2234" t="s">
        <v>38</v>
      </c>
      <c r="D2234" t="s">
        <v>523</v>
      </c>
      <c r="E2234" s="117">
        <v>8836</v>
      </c>
      <c r="F2234" s="13">
        <v>46081</v>
      </c>
      <c r="G2234" s="27">
        <v>246181.25</v>
      </c>
      <c r="H2234" s="24">
        <v>229440.92</v>
      </c>
      <c r="I2234" s="3">
        <v>46108</v>
      </c>
      <c r="J2234" s="102">
        <v>46118</v>
      </c>
      <c r="K2234" s="5">
        <v>46120</v>
      </c>
      <c r="L2234" s="22" t="s">
        <v>731</v>
      </c>
      <c r="M2234" s="24"/>
      <c r="N2234" s="15"/>
      <c r="O2234" t="s">
        <v>202</v>
      </c>
      <c r="P2234" t="s">
        <v>340</v>
      </c>
      <c r="Q2234" t="s">
        <v>213</v>
      </c>
    </row>
    <row r="2235" spans="1:17" x14ac:dyDescent="0.3">
      <c r="A2235" s="9">
        <v>1394</v>
      </c>
      <c r="B2235" t="s">
        <v>210</v>
      </c>
      <c r="C2235" t="s">
        <v>38</v>
      </c>
      <c r="D2235" t="s">
        <v>523</v>
      </c>
      <c r="E2235" s="117">
        <v>8839</v>
      </c>
      <c r="F2235" s="153">
        <v>46109</v>
      </c>
      <c r="G2235" s="27">
        <v>97290.05</v>
      </c>
      <c r="H2235" s="27">
        <v>90674.326600000015</v>
      </c>
      <c r="I2235" s="3">
        <v>46114</v>
      </c>
      <c r="J2235" s="102">
        <v>46125</v>
      </c>
      <c r="K2235" s="5">
        <v>46125</v>
      </c>
      <c r="L2235" s="22" t="s">
        <v>731</v>
      </c>
      <c r="M2235" s="24"/>
      <c r="N2235" s="15"/>
      <c r="O2235" t="s">
        <v>202</v>
      </c>
      <c r="P2235" t="s">
        <v>340</v>
      </c>
      <c r="Q2235" t="s">
        <v>213</v>
      </c>
    </row>
    <row r="2236" spans="1:17" x14ac:dyDescent="0.3">
      <c r="A2236" s="9">
        <v>1394</v>
      </c>
      <c r="B2236" t="s">
        <v>210</v>
      </c>
      <c r="C2236" t="s">
        <v>38</v>
      </c>
      <c r="D2236" t="s">
        <v>523</v>
      </c>
      <c r="E2236" s="117">
        <v>8859</v>
      </c>
      <c r="F2236" s="13">
        <v>46109</v>
      </c>
      <c r="G2236" s="27">
        <v>313649.51</v>
      </c>
      <c r="H2236" s="24">
        <v>292321.34000000003</v>
      </c>
      <c r="I2236" s="3">
        <v>46126</v>
      </c>
      <c r="J2236" s="102">
        <v>46139</v>
      </c>
      <c r="K2236" s="5">
        <v>46139</v>
      </c>
      <c r="L2236" s="22" t="s">
        <v>731</v>
      </c>
      <c r="M2236" s="56"/>
      <c r="N2236" s="15"/>
      <c r="O2236" t="s">
        <v>202</v>
      </c>
      <c r="P2236" t="s">
        <v>340</v>
      </c>
      <c r="Q2236" t="s">
        <v>213</v>
      </c>
    </row>
    <row r="2237" spans="1:17" ht="15.6" customHeight="1" x14ac:dyDescent="0.3">
      <c r="A2237" s="9">
        <v>1394</v>
      </c>
      <c r="B2237" t="s">
        <v>210</v>
      </c>
      <c r="C2237" t="s">
        <v>38</v>
      </c>
      <c r="D2237" t="s">
        <v>523</v>
      </c>
      <c r="E2237" s="117">
        <v>8855</v>
      </c>
      <c r="F2237" s="13">
        <v>46109</v>
      </c>
      <c r="G2237" s="24">
        <v>94087.62</v>
      </c>
      <c r="H2237" s="24">
        <v>87689.66</v>
      </c>
      <c r="I2237" s="3">
        <v>46125</v>
      </c>
      <c r="J2237" s="102">
        <v>46132</v>
      </c>
      <c r="K2237" s="5">
        <v>46136</v>
      </c>
      <c r="L2237" s="22" t="s">
        <v>731</v>
      </c>
      <c r="M2237" s="56"/>
      <c r="N2237" s="15"/>
      <c r="O2237" t="s">
        <v>202</v>
      </c>
      <c r="P2237" t="s">
        <v>340</v>
      </c>
      <c r="Q2237" t="s">
        <v>213</v>
      </c>
    </row>
    <row r="2238" spans="1:17" ht="15.6" customHeight="1" x14ac:dyDescent="0.3">
      <c r="A2238" s="9">
        <v>1394</v>
      </c>
      <c r="B2238" t="s">
        <v>210</v>
      </c>
      <c r="C2238" t="s">
        <v>38</v>
      </c>
      <c r="D2238" t="s">
        <v>523</v>
      </c>
      <c r="E2238" s="117">
        <v>8860</v>
      </c>
      <c r="F2238" s="13">
        <v>46109</v>
      </c>
      <c r="G2238" s="27">
        <v>123531.76</v>
      </c>
      <c r="H2238" s="24">
        <v>115131.6</v>
      </c>
      <c r="I2238" s="3">
        <v>46126</v>
      </c>
      <c r="J2238" s="102">
        <v>46132</v>
      </c>
      <c r="K2238" s="5">
        <v>46136</v>
      </c>
      <c r="L2238" s="22" t="s">
        <v>731</v>
      </c>
      <c r="M2238" s="56"/>
      <c r="N2238" s="15"/>
      <c r="O2238" t="s">
        <v>202</v>
      </c>
      <c r="P2238" t="s">
        <v>340</v>
      </c>
      <c r="Q2238" t="s">
        <v>213</v>
      </c>
    </row>
    <row r="2239" spans="1:17" ht="15.6" customHeight="1" x14ac:dyDescent="0.3">
      <c r="A2239" s="9">
        <v>1394</v>
      </c>
      <c r="B2239" t="s">
        <v>210</v>
      </c>
      <c r="C2239" t="s">
        <v>38</v>
      </c>
      <c r="D2239" t="s">
        <v>523</v>
      </c>
      <c r="E2239" s="117">
        <v>8866</v>
      </c>
      <c r="F2239" s="13">
        <v>46109</v>
      </c>
      <c r="G2239" s="27">
        <v>162600.49</v>
      </c>
      <c r="H2239" s="158">
        <v>151543.66</v>
      </c>
      <c r="I2239" s="3">
        <v>46129</v>
      </c>
      <c r="J2239" s="102">
        <v>46139</v>
      </c>
      <c r="K2239" s="5">
        <v>46139</v>
      </c>
      <c r="L2239" s="22" t="s">
        <v>731</v>
      </c>
      <c r="M2239" s="56"/>
      <c r="N2239" s="15"/>
      <c r="O2239" t="s">
        <v>202</v>
      </c>
      <c r="P2239" t="s">
        <v>340</v>
      </c>
      <c r="Q2239" t="s">
        <v>213</v>
      </c>
    </row>
    <row r="2240" spans="1:17" ht="15.6" customHeight="1" x14ac:dyDescent="0.3">
      <c r="A2240" s="9">
        <v>1394</v>
      </c>
      <c r="B2240" t="s">
        <v>210</v>
      </c>
      <c r="C2240" t="s">
        <v>38</v>
      </c>
      <c r="D2240" t="s">
        <v>523</v>
      </c>
      <c r="E2240" s="117">
        <v>8868</v>
      </c>
      <c r="F2240" s="13">
        <v>46109</v>
      </c>
      <c r="G2240" s="27">
        <v>140971.81</v>
      </c>
      <c r="H2240" s="158">
        <v>131385.72</v>
      </c>
      <c r="I2240" s="3">
        <v>46129</v>
      </c>
      <c r="J2240" s="102">
        <v>46139</v>
      </c>
      <c r="K2240" s="5">
        <v>46140</v>
      </c>
      <c r="L2240" s="22" t="s">
        <v>731</v>
      </c>
      <c r="M2240" s="56"/>
      <c r="N2240" s="15"/>
      <c r="O2240" t="s">
        <v>202</v>
      </c>
      <c r="P2240" t="s">
        <v>340</v>
      </c>
      <c r="Q2240" t="s">
        <v>213</v>
      </c>
    </row>
    <row r="2241" spans="1:17" ht="15.6" customHeight="1" x14ac:dyDescent="0.3">
      <c r="A2241" s="9">
        <v>1394</v>
      </c>
      <c r="B2241" t="s">
        <v>210</v>
      </c>
      <c r="C2241" t="s">
        <v>38</v>
      </c>
      <c r="D2241" t="s">
        <v>523</v>
      </c>
      <c r="E2241" s="117">
        <v>8933</v>
      </c>
      <c r="F2241" s="13">
        <v>46140</v>
      </c>
      <c r="G2241" s="24">
        <v>123531.76</v>
      </c>
      <c r="H2241" s="24">
        <v>115131.6</v>
      </c>
      <c r="I2241" s="3">
        <v>46153</v>
      </c>
      <c r="J2241" s="102">
        <v>46167</v>
      </c>
      <c r="K2241" s="5">
        <v>46167</v>
      </c>
      <c r="L2241" s="22" t="s">
        <v>731</v>
      </c>
      <c r="M2241" s="56"/>
      <c r="N2241" s="15"/>
      <c r="O2241" t="s">
        <v>202</v>
      </c>
      <c r="P2241" t="s">
        <v>340</v>
      </c>
      <c r="Q2241" t="s">
        <v>213</v>
      </c>
    </row>
    <row r="2242" spans="1:17" ht="15.6" customHeight="1" x14ac:dyDescent="0.3">
      <c r="A2242" s="9">
        <v>1394</v>
      </c>
      <c r="B2242" t="s">
        <v>210</v>
      </c>
      <c r="C2242" t="s">
        <v>38</v>
      </c>
      <c r="D2242" t="s">
        <v>523</v>
      </c>
      <c r="E2242" s="163">
        <v>8935</v>
      </c>
      <c r="F2242" s="13">
        <v>46140</v>
      </c>
      <c r="G2242" s="24">
        <v>61911.850000000006</v>
      </c>
      <c r="H2242" s="27">
        <v>57701.842942555544</v>
      </c>
      <c r="I2242" s="3">
        <v>46153</v>
      </c>
      <c r="J2242" s="102">
        <v>46167</v>
      </c>
      <c r="K2242" s="5">
        <v>46167</v>
      </c>
      <c r="L2242" s="22" t="s">
        <v>731</v>
      </c>
      <c r="M2242" s="56"/>
      <c r="N2242" s="15"/>
      <c r="O2242" t="s">
        <v>202</v>
      </c>
      <c r="P2242" t="s">
        <v>340</v>
      </c>
      <c r="Q2242" t="s">
        <v>213</v>
      </c>
    </row>
    <row r="2243" spans="1:17" ht="15.6" customHeight="1" x14ac:dyDescent="0.3">
      <c r="A2243" s="9">
        <v>1518</v>
      </c>
      <c r="B2243" t="s">
        <v>210</v>
      </c>
      <c r="C2243" t="s">
        <v>38</v>
      </c>
      <c r="D2243" t="s">
        <v>188</v>
      </c>
      <c r="E2243" s="149"/>
      <c r="F2243" s="13">
        <v>46170</v>
      </c>
      <c r="G2243" s="24">
        <v>104561.45</v>
      </c>
      <c r="H2243" s="24"/>
      <c r="I2243" s="3">
        <v>46101</v>
      </c>
      <c r="J2243" s="102">
        <v>46188</v>
      </c>
      <c r="K2243" s="5"/>
      <c r="L2243" s="22" t="s">
        <v>719</v>
      </c>
      <c r="M2243" s="56"/>
      <c r="N2243" s="15"/>
      <c r="O2243" t="s">
        <v>199</v>
      </c>
      <c r="P2243" t="s">
        <v>340</v>
      </c>
      <c r="Q2243" t="s">
        <v>213</v>
      </c>
    </row>
    <row r="2244" spans="1:17" ht="15.6" customHeight="1" x14ac:dyDescent="0.3">
      <c r="A2244" s="9">
        <v>1394</v>
      </c>
      <c r="B2244" t="s">
        <v>210</v>
      </c>
      <c r="C2244" t="s">
        <v>38</v>
      </c>
      <c r="D2244" t="s">
        <v>523</v>
      </c>
      <c r="E2244" s="117">
        <v>8895</v>
      </c>
      <c r="F2244" s="13">
        <v>46109</v>
      </c>
      <c r="G2244" s="24">
        <v>246181.25</v>
      </c>
      <c r="H2244" s="24">
        <v>229440.92</v>
      </c>
      <c r="I2244" s="3">
        <v>46140</v>
      </c>
      <c r="J2244" s="102">
        <v>46153</v>
      </c>
      <c r="K2244" s="5">
        <v>46155</v>
      </c>
      <c r="L2244" s="22" t="s">
        <v>731</v>
      </c>
      <c r="M2244" s="56"/>
      <c r="N2244" s="15"/>
      <c r="O2244" t="s">
        <v>202</v>
      </c>
      <c r="P2244" t="s">
        <v>340</v>
      </c>
      <c r="Q2244" t="s">
        <v>213</v>
      </c>
    </row>
    <row r="2245" spans="1:17" ht="15.6" customHeight="1" x14ac:dyDescent="0.3">
      <c r="A2245" s="9">
        <v>1394</v>
      </c>
      <c r="B2245" t="s">
        <v>210</v>
      </c>
      <c r="C2245" t="s">
        <v>38</v>
      </c>
      <c r="D2245" t="s">
        <v>523</v>
      </c>
      <c r="E2245" s="117">
        <v>8942</v>
      </c>
      <c r="F2245" s="13">
        <v>46140</v>
      </c>
      <c r="G2245" s="24">
        <v>94087.62</v>
      </c>
      <c r="H2245" s="24">
        <v>87689.66</v>
      </c>
      <c r="I2245" s="3">
        <v>46156</v>
      </c>
      <c r="J2245" s="102">
        <v>46160</v>
      </c>
      <c r="K2245" s="5">
        <v>46164</v>
      </c>
      <c r="L2245" s="22" t="s">
        <v>731</v>
      </c>
      <c r="M2245" s="56"/>
      <c r="N2245" s="15"/>
      <c r="O2245" t="s">
        <v>202</v>
      </c>
      <c r="P2245" t="s">
        <v>340</v>
      </c>
      <c r="Q2245" t="s">
        <v>213</v>
      </c>
    </row>
    <row r="2246" spans="1:17" x14ac:dyDescent="0.3">
      <c r="A2246" s="9">
        <v>1394</v>
      </c>
      <c r="B2246" t="s">
        <v>210</v>
      </c>
      <c r="C2246" t="s">
        <v>38</v>
      </c>
      <c r="D2246" t="s">
        <v>523</v>
      </c>
      <c r="E2246" s="117">
        <v>8943</v>
      </c>
      <c r="F2246" s="13">
        <v>46140</v>
      </c>
      <c r="G2246" s="24">
        <v>313649.51</v>
      </c>
      <c r="H2246" s="24">
        <v>292321.34000000003</v>
      </c>
      <c r="I2246" s="3">
        <v>46156</v>
      </c>
      <c r="J2246" s="102">
        <v>46167</v>
      </c>
      <c r="K2246" s="5">
        <v>46170</v>
      </c>
      <c r="L2246" s="22" t="s">
        <v>731</v>
      </c>
      <c r="M2246" s="56"/>
      <c r="N2246" s="15"/>
      <c r="O2246" t="s">
        <v>202</v>
      </c>
      <c r="P2246" t="s">
        <v>340</v>
      </c>
      <c r="Q2246" t="s">
        <v>213</v>
      </c>
    </row>
    <row r="2247" spans="1:17" x14ac:dyDescent="0.3">
      <c r="A2247" s="9">
        <v>1394</v>
      </c>
      <c r="B2247" t="s">
        <v>210</v>
      </c>
      <c r="C2247" t="s">
        <v>38</v>
      </c>
      <c r="D2247" t="s">
        <v>523</v>
      </c>
      <c r="E2247" s="117">
        <v>8949</v>
      </c>
      <c r="F2247" s="13">
        <v>46140</v>
      </c>
      <c r="G2247" s="24">
        <v>207937.88424347283</v>
      </c>
      <c r="H2247" s="24">
        <v>193798.11</v>
      </c>
      <c r="I2247" s="3">
        <v>46161</v>
      </c>
      <c r="J2247" s="102">
        <v>46167</v>
      </c>
      <c r="K2247" s="5">
        <v>46169</v>
      </c>
      <c r="L2247" s="22" t="s">
        <v>731</v>
      </c>
      <c r="M2247" s="56"/>
      <c r="N2247" s="15"/>
      <c r="O2247" t="s">
        <v>202</v>
      </c>
      <c r="P2247" t="s">
        <v>340</v>
      </c>
      <c r="Q2247" t="s">
        <v>213</v>
      </c>
    </row>
    <row r="2248" spans="1:17" x14ac:dyDescent="0.3">
      <c r="A2248" s="9">
        <v>1476</v>
      </c>
      <c r="B2248" t="s">
        <v>215</v>
      </c>
      <c r="C2248" t="s">
        <v>46</v>
      </c>
      <c r="D2248" t="s">
        <v>626</v>
      </c>
      <c r="E2248" s="117">
        <v>8944</v>
      </c>
      <c r="F2248" s="13">
        <v>46140</v>
      </c>
      <c r="G2248" s="170">
        <v>369184.69</v>
      </c>
      <c r="H2248" s="27">
        <v>331158.67</v>
      </c>
      <c r="I2248" s="3">
        <v>46157</v>
      </c>
      <c r="J2248" s="161">
        <v>46174</v>
      </c>
      <c r="K2248" s="5">
        <v>46174</v>
      </c>
      <c r="L2248" s="22" t="s">
        <v>731</v>
      </c>
      <c r="M2248" s="35"/>
      <c r="N2248" s="15"/>
      <c r="O2248" t="s">
        <v>202</v>
      </c>
      <c r="P2248" t="s">
        <v>340</v>
      </c>
      <c r="Q2248" t="s">
        <v>213</v>
      </c>
    </row>
    <row r="2249" spans="1:17" x14ac:dyDescent="0.3">
      <c r="A2249" s="9">
        <v>1393</v>
      </c>
      <c r="B2249" t="s">
        <v>215</v>
      </c>
      <c r="C2249" t="s">
        <v>348</v>
      </c>
      <c r="D2249" t="s">
        <v>522</v>
      </c>
      <c r="E2249" s="118">
        <v>8948</v>
      </c>
      <c r="F2249" s="13">
        <v>46142</v>
      </c>
      <c r="G2249" s="24">
        <v>461957.51</v>
      </c>
      <c r="H2249" s="24">
        <v>414375.89</v>
      </c>
      <c r="I2249" s="3">
        <v>46160</v>
      </c>
      <c r="J2249" s="102">
        <v>46190</v>
      </c>
      <c r="K2249" s="5"/>
      <c r="L2249" s="19" t="s">
        <v>730</v>
      </c>
      <c r="M2249" s="35"/>
      <c r="N2249" s="15"/>
      <c r="O2249" t="s">
        <v>202</v>
      </c>
      <c r="P2249" t="s">
        <v>340</v>
      </c>
      <c r="Q2249" t="s">
        <v>213</v>
      </c>
    </row>
    <row r="2250" spans="1:17" x14ac:dyDescent="0.3">
      <c r="A2250" s="137">
        <v>1394</v>
      </c>
      <c r="B2250" s="138" t="s">
        <v>210</v>
      </c>
      <c r="C2250" s="138" t="s">
        <v>38</v>
      </c>
      <c r="D2250" s="138" t="s">
        <v>523</v>
      </c>
      <c r="E2250" s="139"/>
      <c r="F2250" s="16">
        <v>46019</v>
      </c>
      <c r="G2250" s="44">
        <v>357689</v>
      </c>
      <c r="H2250" s="44"/>
      <c r="I2250" s="54">
        <v>46082</v>
      </c>
      <c r="J2250" s="140"/>
      <c r="K2250" s="141"/>
      <c r="L2250" s="142" t="s">
        <v>719</v>
      </c>
      <c r="M2250" s="143"/>
      <c r="N2250" s="144"/>
      <c r="O2250" s="138" t="s">
        <v>202</v>
      </c>
      <c r="P2250" s="138" t="s">
        <v>340</v>
      </c>
      <c r="Q2250" s="138" t="s">
        <v>213</v>
      </c>
    </row>
    <row r="2251" spans="1:17" x14ac:dyDescent="0.3">
      <c r="A2251" s="9">
        <v>1394</v>
      </c>
      <c r="B2251" t="s">
        <v>210</v>
      </c>
      <c r="C2251" t="s">
        <v>38</v>
      </c>
      <c r="D2251" t="s">
        <v>523</v>
      </c>
      <c r="E2251" s="117">
        <v>8779</v>
      </c>
      <c r="F2251" s="13">
        <v>46019</v>
      </c>
      <c r="G2251" s="24">
        <v>246181.25</v>
      </c>
      <c r="H2251" s="24">
        <v>229440.92</v>
      </c>
      <c r="I2251" s="3">
        <v>46083</v>
      </c>
      <c r="J2251" s="102">
        <v>46090</v>
      </c>
      <c r="K2251" s="5">
        <v>46093</v>
      </c>
      <c r="L2251" s="22" t="s">
        <v>731</v>
      </c>
      <c r="M2251" s="56"/>
      <c r="N2251" s="15"/>
      <c r="O2251" t="s">
        <v>202</v>
      </c>
      <c r="P2251" t="s">
        <v>340</v>
      </c>
      <c r="Q2251" t="s">
        <v>213</v>
      </c>
    </row>
    <row r="2252" spans="1:17" x14ac:dyDescent="0.3">
      <c r="A2252" s="9">
        <v>1394</v>
      </c>
      <c r="B2252" t="s">
        <v>210</v>
      </c>
      <c r="C2252" t="s">
        <v>38</v>
      </c>
      <c r="D2252" t="s">
        <v>523</v>
      </c>
      <c r="E2252" s="117">
        <v>8729</v>
      </c>
      <c r="F2252" s="13">
        <v>46019</v>
      </c>
      <c r="G2252" s="24">
        <v>140971.81</v>
      </c>
      <c r="H2252" s="24">
        <v>131385.72</v>
      </c>
      <c r="I2252" s="3">
        <v>46049</v>
      </c>
      <c r="J2252" s="102">
        <v>46055</v>
      </c>
      <c r="K2252" s="5">
        <v>46056</v>
      </c>
      <c r="L2252" s="22" t="s">
        <v>731</v>
      </c>
      <c r="M2252" s="56"/>
      <c r="N2252" s="15"/>
      <c r="O2252" t="s">
        <v>202</v>
      </c>
      <c r="P2252" t="s">
        <v>340</v>
      </c>
      <c r="Q2252" t="s">
        <v>213</v>
      </c>
    </row>
    <row r="2253" spans="1:17" x14ac:dyDescent="0.3">
      <c r="A2253" s="9">
        <v>1394</v>
      </c>
      <c r="B2253" t="s">
        <v>210</v>
      </c>
      <c r="C2253" t="s">
        <v>38</v>
      </c>
      <c r="D2253" t="s">
        <v>523</v>
      </c>
      <c r="E2253" s="117">
        <v>8727</v>
      </c>
      <c r="F2253" s="13">
        <v>46019</v>
      </c>
      <c r="G2253" s="24">
        <v>94087.62</v>
      </c>
      <c r="H2253" s="24">
        <v>87689.66</v>
      </c>
      <c r="I2253" s="3">
        <v>46048</v>
      </c>
      <c r="J2253" s="102">
        <v>46055</v>
      </c>
      <c r="K2253" s="5">
        <v>46056</v>
      </c>
      <c r="L2253" s="22" t="s">
        <v>731</v>
      </c>
      <c r="M2253" s="56"/>
      <c r="N2253" s="15"/>
      <c r="O2253" t="s">
        <v>202</v>
      </c>
      <c r="P2253" t="s">
        <v>340</v>
      </c>
      <c r="Q2253" t="s">
        <v>213</v>
      </c>
    </row>
    <row r="2254" spans="1:17" x14ac:dyDescent="0.3">
      <c r="A2254" s="9">
        <v>1394</v>
      </c>
      <c r="B2254" t="s">
        <v>210</v>
      </c>
      <c r="C2254" t="s">
        <v>38</v>
      </c>
      <c r="D2254" t="s">
        <v>523</v>
      </c>
      <c r="E2254" s="117">
        <v>8728</v>
      </c>
      <c r="F2254" s="13">
        <v>46019</v>
      </c>
      <c r="G2254" s="24">
        <v>313649.51</v>
      </c>
      <c r="H2254" s="24">
        <v>292321.34000000003</v>
      </c>
      <c r="I2254" s="3">
        <v>46048</v>
      </c>
      <c r="J2254" s="102">
        <v>46062</v>
      </c>
      <c r="K2254" s="5">
        <v>46063</v>
      </c>
      <c r="L2254" s="22" t="s">
        <v>731</v>
      </c>
      <c r="M2254" s="56"/>
      <c r="N2254" s="15"/>
      <c r="O2254" t="s">
        <v>202</v>
      </c>
      <c r="P2254" t="s">
        <v>340</v>
      </c>
      <c r="Q2254" t="s">
        <v>213</v>
      </c>
    </row>
    <row r="2255" spans="1:17" x14ac:dyDescent="0.3">
      <c r="A2255" s="9">
        <v>1394</v>
      </c>
      <c r="B2255" t="s">
        <v>210</v>
      </c>
      <c r="C2255" t="s">
        <v>38</v>
      </c>
      <c r="D2255" t="s">
        <v>523</v>
      </c>
      <c r="E2255" s="117">
        <v>8725</v>
      </c>
      <c r="F2255" s="13">
        <v>46019</v>
      </c>
      <c r="G2255" s="24">
        <v>74471.12</v>
      </c>
      <c r="H2255" s="27">
        <v>69407.09</v>
      </c>
      <c r="I2255" s="3">
        <v>46044</v>
      </c>
      <c r="J2255" s="102">
        <v>46055</v>
      </c>
      <c r="K2255" s="5">
        <v>46056</v>
      </c>
      <c r="L2255" s="22" t="s">
        <v>731</v>
      </c>
      <c r="M2255" s="56"/>
      <c r="N2255" s="15"/>
      <c r="O2255" t="s">
        <v>202</v>
      </c>
      <c r="P2255" t="s">
        <v>340</v>
      </c>
      <c r="Q2255" t="s">
        <v>213</v>
      </c>
    </row>
    <row r="2256" spans="1:17" x14ac:dyDescent="0.3">
      <c r="A2256" s="9">
        <v>1394</v>
      </c>
      <c r="B2256" t="s">
        <v>210</v>
      </c>
      <c r="C2256" t="s">
        <v>38</v>
      </c>
      <c r="D2256" t="s">
        <v>523</v>
      </c>
      <c r="E2256" s="117">
        <v>8709</v>
      </c>
      <c r="F2256" s="13">
        <v>46019</v>
      </c>
      <c r="G2256" s="24">
        <v>181994.94</v>
      </c>
      <c r="H2256" s="27">
        <v>169619.28</v>
      </c>
      <c r="I2256" s="3">
        <v>46031</v>
      </c>
      <c r="J2256" s="102">
        <v>46048</v>
      </c>
      <c r="K2256" s="5">
        <v>46050</v>
      </c>
      <c r="L2256" s="22" t="s">
        <v>731</v>
      </c>
      <c r="M2256" s="56"/>
      <c r="N2256" s="15"/>
      <c r="O2256" t="s">
        <v>202</v>
      </c>
      <c r="P2256" t="s">
        <v>340</v>
      </c>
      <c r="Q2256" t="s">
        <v>213</v>
      </c>
    </row>
    <row r="2257" spans="1:17" x14ac:dyDescent="0.3">
      <c r="A2257" s="9">
        <v>1394</v>
      </c>
      <c r="B2257" t="s">
        <v>210</v>
      </c>
      <c r="C2257" t="s">
        <v>38</v>
      </c>
      <c r="D2257" t="s">
        <v>523</v>
      </c>
      <c r="E2257" s="117">
        <v>8720</v>
      </c>
      <c r="F2257" s="13">
        <v>46019</v>
      </c>
      <c r="G2257" s="24">
        <v>119825.81</v>
      </c>
      <c r="H2257" s="27">
        <v>111677.65</v>
      </c>
      <c r="I2257" s="3">
        <v>46038</v>
      </c>
      <c r="J2257" s="102">
        <v>46048</v>
      </c>
      <c r="K2257" s="5">
        <v>46050</v>
      </c>
      <c r="L2257" s="22" t="s">
        <v>731</v>
      </c>
      <c r="M2257" s="56"/>
      <c r="N2257" s="15"/>
      <c r="O2257" t="s">
        <v>202</v>
      </c>
      <c r="P2257" t="s">
        <v>340</v>
      </c>
      <c r="Q2257" t="s">
        <v>213</v>
      </c>
    </row>
    <row r="2258" spans="1:17" x14ac:dyDescent="0.3">
      <c r="A2258" s="25">
        <v>1398</v>
      </c>
      <c r="B2258" t="s">
        <v>193</v>
      </c>
      <c r="C2258" t="s">
        <v>169</v>
      </c>
      <c r="D2258" t="s">
        <v>528</v>
      </c>
      <c r="E2258" s="121">
        <v>8684</v>
      </c>
      <c r="F2258" s="13">
        <v>45958</v>
      </c>
      <c r="G2258" s="24">
        <v>22241.65</v>
      </c>
      <c r="H2258" s="24">
        <v>20873.79</v>
      </c>
      <c r="I2258" s="3">
        <v>46002</v>
      </c>
      <c r="J2258" s="102">
        <v>46062</v>
      </c>
      <c r="K2258" s="12">
        <v>46062</v>
      </c>
      <c r="L2258" s="19" t="s">
        <v>731</v>
      </c>
      <c r="M2258" s="36">
        <v>0</v>
      </c>
      <c r="N2258"/>
      <c r="O2258" t="s">
        <v>202</v>
      </c>
      <c r="P2258" t="s">
        <v>328</v>
      </c>
      <c r="Q2258" t="s">
        <v>207</v>
      </c>
    </row>
    <row r="2259" spans="1:17" x14ac:dyDescent="0.3">
      <c r="A2259" s="25">
        <v>1360</v>
      </c>
      <c r="B2259" t="s">
        <v>71</v>
      </c>
      <c r="C2259" t="s">
        <v>44</v>
      </c>
      <c r="D2259" t="s">
        <v>483</v>
      </c>
      <c r="E2259" s="118">
        <v>4559</v>
      </c>
      <c r="F2259" s="13">
        <v>45989</v>
      </c>
      <c r="G2259" s="24">
        <v>15120</v>
      </c>
      <c r="H2259" s="24">
        <v>14190.13</v>
      </c>
      <c r="I2259" s="3">
        <v>45985</v>
      </c>
      <c r="J2259" s="102">
        <v>46020</v>
      </c>
      <c r="K2259" s="12">
        <v>46020</v>
      </c>
      <c r="L2259" s="19" t="s">
        <v>731</v>
      </c>
      <c r="M2259" s="36"/>
      <c r="N2259"/>
      <c r="O2259" t="s">
        <v>199</v>
      </c>
      <c r="P2259" t="s">
        <v>376</v>
      </c>
      <c r="Q2259" t="s">
        <v>203</v>
      </c>
    </row>
    <row r="2260" spans="1:17" x14ac:dyDescent="0.3">
      <c r="A2260" s="25">
        <v>1360</v>
      </c>
      <c r="B2260" t="s">
        <v>71</v>
      </c>
      <c r="C2260" t="s">
        <v>44</v>
      </c>
      <c r="D2260" t="s">
        <v>483</v>
      </c>
      <c r="E2260" s="118">
        <v>4572</v>
      </c>
      <c r="F2260" s="13">
        <v>45989</v>
      </c>
      <c r="G2260" s="24">
        <v>22639.68</v>
      </c>
      <c r="H2260" s="24">
        <v>21247.33</v>
      </c>
      <c r="I2260" s="3">
        <v>45987</v>
      </c>
      <c r="J2260" s="102">
        <v>46020</v>
      </c>
      <c r="K2260" s="12">
        <v>46020</v>
      </c>
      <c r="L2260" s="19" t="s">
        <v>731</v>
      </c>
      <c r="M2260" s="36"/>
      <c r="N2260"/>
      <c r="O2260" t="s">
        <v>199</v>
      </c>
      <c r="P2260" t="s">
        <v>376</v>
      </c>
      <c r="Q2260" t="s">
        <v>203</v>
      </c>
    </row>
    <row r="2261" spans="1:17" x14ac:dyDescent="0.3">
      <c r="A2261" s="25">
        <v>1387</v>
      </c>
      <c r="B2261" t="s">
        <v>71</v>
      </c>
      <c r="C2261" t="s">
        <v>44</v>
      </c>
      <c r="D2261" t="s">
        <v>517</v>
      </c>
      <c r="E2261" s="124">
        <v>4614</v>
      </c>
      <c r="F2261" s="13">
        <v>45989</v>
      </c>
      <c r="G2261" s="24">
        <v>58118.400000000001</v>
      </c>
      <c r="H2261" s="24">
        <v>54544.12</v>
      </c>
      <c r="I2261" s="3">
        <v>45994</v>
      </c>
      <c r="J2261" s="102">
        <v>46006</v>
      </c>
      <c r="K2261" s="12">
        <v>46009</v>
      </c>
      <c r="L2261" s="19" t="s">
        <v>731</v>
      </c>
      <c r="M2261" s="36"/>
      <c r="N2261"/>
      <c r="O2261" t="s">
        <v>202</v>
      </c>
      <c r="P2261" t="s">
        <v>376</v>
      </c>
      <c r="Q2261" t="s">
        <v>203</v>
      </c>
    </row>
    <row r="2262" spans="1:17" x14ac:dyDescent="0.3">
      <c r="A2262" s="25">
        <v>1387</v>
      </c>
      <c r="B2262" t="s">
        <v>71</v>
      </c>
      <c r="C2262" t="s">
        <v>44</v>
      </c>
      <c r="D2262" t="s">
        <v>517</v>
      </c>
      <c r="E2262" s="116">
        <v>4627</v>
      </c>
      <c r="F2262" s="13">
        <v>45989</v>
      </c>
      <c r="G2262" s="24">
        <v>23601.599999999999</v>
      </c>
      <c r="H2262" s="24">
        <v>22150.1</v>
      </c>
      <c r="I2262" s="3">
        <v>45995</v>
      </c>
      <c r="J2262" s="102">
        <v>46006</v>
      </c>
      <c r="K2262" s="12">
        <v>46009</v>
      </c>
      <c r="L2262" s="19" t="s">
        <v>731</v>
      </c>
      <c r="M2262" s="36"/>
      <c r="N2262"/>
      <c r="O2262" t="s">
        <v>202</v>
      </c>
      <c r="P2262" t="s">
        <v>376</v>
      </c>
      <c r="Q2262" t="s">
        <v>203</v>
      </c>
    </row>
    <row r="2263" spans="1:17" x14ac:dyDescent="0.3">
      <c r="A2263" s="25">
        <v>1387</v>
      </c>
      <c r="B2263" t="s">
        <v>71</v>
      </c>
      <c r="C2263" t="s">
        <v>44</v>
      </c>
      <c r="D2263" t="s">
        <v>517</v>
      </c>
      <c r="E2263" s="116">
        <v>4628</v>
      </c>
      <c r="F2263" s="13">
        <v>45989</v>
      </c>
      <c r="G2263" s="24">
        <v>57692.800000000003</v>
      </c>
      <c r="H2263" s="24">
        <v>54144.7</v>
      </c>
      <c r="I2263" s="3">
        <v>45995</v>
      </c>
      <c r="J2263" s="102">
        <v>46006</v>
      </c>
      <c r="K2263" s="12">
        <v>46009</v>
      </c>
      <c r="L2263" s="19" t="s">
        <v>731</v>
      </c>
      <c r="M2263" s="36"/>
      <c r="N2263"/>
      <c r="O2263" t="s">
        <v>202</v>
      </c>
      <c r="P2263" t="s">
        <v>376</v>
      </c>
      <c r="Q2263" t="s">
        <v>203</v>
      </c>
    </row>
    <row r="2264" spans="1:17" x14ac:dyDescent="0.3">
      <c r="A2264" s="25">
        <v>1387</v>
      </c>
      <c r="B2264" t="s">
        <v>71</v>
      </c>
      <c r="C2264" t="s">
        <v>44</v>
      </c>
      <c r="D2264" t="s">
        <v>517</v>
      </c>
      <c r="E2264" s="116">
        <v>4632</v>
      </c>
      <c r="F2264" s="13">
        <v>45989</v>
      </c>
      <c r="G2264" s="24">
        <v>77793.179999999993</v>
      </c>
      <c r="H2264" s="24">
        <v>73008.89</v>
      </c>
      <c r="I2264" s="3">
        <v>45995</v>
      </c>
      <c r="J2264" s="102">
        <v>46006</v>
      </c>
      <c r="K2264" s="12">
        <v>46009</v>
      </c>
      <c r="L2264" s="19" t="s">
        <v>731</v>
      </c>
      <c r="M2264" s="36"/>
      <c r="N2264"/>
      <c r="O2264" t="s">
        <v>202</v>
      </c>
      <c r="P2264" t="s">
        <v>376</v>
      </c>
      <c r="Q2264" t="s">
        <v>203</v>
      </c>
    </row>
    <row r="2265" spans="1:17" x14ac:dyDescent="0.3">
      <c r="A2265" s="25">
        <v>1387</v>
      </c>
      <c r="B2265" t="s">
        <v>71</v>
      </c>
      <c r="C2265" t="s">
        <v>44</v>
      </c>
      <c r="D2265" t="s">
        <v>517</v>
      </c>
      <c r="E2265" s="116">
        <v>4635</v>
      </c>
      <c r="F2265" s="13">
        <v>45989</v>
      </c>
      <c r="G2265" s="24">
        <v>36540</v>
      </c>
      <c r="H2265" s="27">
        <v>34292.79</v>
      </c>
      <c r="I2265" s="3">
        <v>45995</v>
      </c>
      <c r="J2265" s="102">
        <v>46006</v>
      </c>
      <c r="K2265" s="12">
        <v>46009</v>
      </c>
      <c r="L2265" s="19" t="s">
        <v>731</v>
      </c>
      <c r="M2265" s="36"/>
      <c r="N2265"/>
      <c r="O2265" t="s">
        <v>202</v>
      </c>
      <c r="P2265" t="s">
        <v>376</v>
      </c>
      <c r="Q2265" t="s">
        <v>203</v>
      </c>
    </row>
    <row r="2266" spans="1:17" x14ac:dyDescent="0.3">
      <c r="A2266" s="25">
        <v>1387</v>
      </c>
      <c r="B2266" t="s">
        <v>71</v>
      </c>
      <c r="C2266" t="s">
        <v>44</v>
      </c>
      <c r="D2266" t="s">
        <v>517</v>
      </c>
      <c r="E2266" s="116">
        <v>4678</v>
      </c>
      <c r="F2266" s="13">
        <v>46019</v>
      </c>
      <c r="G2266" s="24">
        <v>20278.8</v>
      </c>
      <c r="H2266" s="27">
        <v>19031.66</v>
      </c>
      <c r="I2266" s="3">
        <v>46002</v>
      </c>
      <c r="J2266" s="102">
        <v>46006</v>
      </c>
      <c r="K2266" s="12">
        <v>46009</v>
      </c>
      <c r="L2266" s="19" t="s">
        <v>731</v>
      </c>
      <c r="M2266" s="36"/>
      <c r="N2266"/>
      <c r="O2266" t="s">
        <v>202</v>
      </c>
      <c r="P2266" t="s">
        <v>376</v>
      </c>
      <c r="Q2266" t="s">
        <v>203</v>
      </c>
    </row>
    <row r="2267" spans="1:17" x14ac:dyDescent="0.3">
      <c r="A2267" s="25">
        <v>1387</v>
      </c>
      <c r="B2267" t="s">
        <v>71</v>
      </c>
      <c r="C2267" t="s">
        <v>44</v>
      </c>
      <c r="D2267" t="s">
        <v>517</v>
      </c>
      <c r="E2267" s="116">
        <v>4680</v>
      </c>
      <c r="F2267" s="13">
        <v>46051</v>
      </c>
      <c r="G2267" s="24">
        <v>27038.400000000001</v>
      </c>
      <c r="H2267" s="27">
        <v>25375.54</v>
      </c>
      <c r="I2267" s="3">
        <v>46002</v>
      </c>
      <c r="J2267" s="102">
        <v>46006</v>
      </c>
      <c r="K2267" s="12">
        <v>46009</v>
      </c>
      <c r="L2267" s="19" t="s">
        <v>731</v>
      </c>
      <c r="M2267" s="36"/>
      <c r="N2267"/>
      <c r="O2267" t="s">
        <v>202</v>
      </c>
      <c r="P2267" t="s">
        <v>376</v>
      </c>
      <c r="Q2267" t="s">
        <v>203</v>
      </c>
    </row>
    <row r="2268" spans="1:17" x14ac:dyDescent="0.3">
      <c r="A2268" s="25">
        <v>1470</v>
      </c>
      <c r="B2268" t="s">
        <v>215</v>
      </c>
      <c r="C2268" t="s">
        <v>175</v>
      </c>
      <c r="D2268" t="s">
        <v>620</v>
      </c>
      <c r="E2268" s="121">
        <v>8650</v>
      </c>
      <c r="F2268" s="13">
        <v>45989</v>
      </c>
      <c r="G2268" s="24">
        <v>36700</v>
      </c>
      <c r="H2268" s="24">
        <v>33708.949999999997</v>
      </c>
      <c r="I2268" s="3">
        <v>45994</v>
      </c>
      <c r="J2268" s="102">
        <v>45999</v>
      </c>
      <c r="K2268" s="12">
        <v>46000</v>
      </c>
      <c r="L2268" s="19" t="s">
        <v>731</v>
      </c>
      <c r="M2268" s="36">
        <v>0</v>
      </c>
      <c r="N2268" s="26"/>
      <c r="O2268" t="s">
        <v>202</v>
      </c>
      <c r="P2268" t="s">
        <v>373</v>
      </c>
      <c r="Q2268" t="s">
        <v>213</v>
      </c>
    </row>
    <row r="2269" spans="1:17" x14ac:dyDescent="0.3">
      <c r="A2269" s="25">
        <v>1470</v>
      </c>
      <c r="B2269" t="s">
        <v>215</v>
      </c>
      <c r="C2269" t="s">
        <v>175</v>
      </c>
      <c r="D2269" t="s">
        <v>620</v>
      </c>
      <c r="E2269" s="121">
        <v>8710</v>
      </c>
      <c r="F2269" s="13">
        <v>46019</v>
      </c>
      <c r="G2269" s="27">
        <v>36700</v>
      </c>
      <c r="H2269" s="24">
        <v>33708.949999999997</v>
      </c>
      <c r="I2269" s="3">
        <v>46034</v>
      </c>
      <c r="J2269" s="102">
        <v>46041</v>
      </c>
      <c r="K2269" s="12">
        <v>46045</v>
      </c>
      <c r="L2269" s="19" t="s">
        <v>731</v>
      </c>
      <c r="M2269" s="36">
        <v>0</v>
      </c>
      <c r="N2269" s="26"/>
      <c r="O2269" t="s">
        <v>202</v>
      </c>
      <c r="P2269" t="s">
        <v>373</v>
      </c>
      <c r="Q2269" t="s">
        <v>213</v>
      </c>
    </row>
    <row r="2270" spans="1:17" x14ac:dyDescent="0.3">
      <c r="A2270" s="25">
        <v>1470</v>
      </c>
      <c r="B2270" t="s">
        <v>215</v>
      </c>
      <c r="C2270" t="s">
        <v>175</v>
      </c>
      <c r="D2270" t="s">
        <v>620</v>
      </c>
      <c r="E2270" s="121">
        <v>8740</v>
      </c>
      <c r="F2270" s="13">
        <v>46051</v>
      </c>
      <c r="G2270" s="24">
        <v>42428.5</v>
      </c>
      <c r="H2270" s="24">
        <v>38970.559999999998</v>
      </c>
      <c r="I2270" s="3">
        <v>46063</v>
      </c>
      <c r="J2270" s="102">
        <v>46069</v>
      </c>
      <c r="K2270" s="12">
        <v>46072</v>
      </c>
      <c r="L2270" s="19" t="s">
        <v>731</v>
      </c>
      <c r="M2270" s="36">
        <v>0</v>
      </c>
      <c r="N2270" s="26"/>
      <c r="O2270" t="s">
        <v>202</v>
      </c>
      <c r="P2270" t="s">
        <v>373</v>
      </c>
      <c r="Q2270" t="s">
        <v>213</v>
      </c>
    </row>
    <row r="2271" spans="1:17" x14ac:dyDescent="0.3">
      <c r="A2271" s="25">
        <v>1470</v>
      </c>
      <c r="B2271" t="s">
        <v>215</v>
      </c>
      <c r="C2271" t="s">
        <v>175</v>
      </c>
      <c r="D2271" t="s">
        <v>620</v>
      </c>
      <c r="E2271" s="121">
        <v>8820</v>
      </c>
      <c r="F2271" s="13">
        <v>46081</v>
      </c>
      <c r="G2271" s="24">
        <v>42428.5</v>
      </c>
      <c r="H2271" s="24">
        <v>38970.559999999998</v>
      </c>
      <c r="I2271" s="3">
        <v>46099</v>
      </c>
      <c r="J2271" s="102">
        <v>46111</v>
      </c>
      <c r="K2271" s="12">
        <v>46111</v>
      </c>
      <c r="L2271" s="19" t="s">
        <v>731</v>
      </c>
      <c r="M2271" s="36">
        <v>0</v>
      </c>
      <c r="N2271" s="26"/>
      <c r="O2271" t="s">
        <v>202</v>
      </c>
      <c r="P2271" t="s">
        <v>373</v>
      </c>
      <c r="Q2271" t="s">
        <v>213</v>
      </c>
    </row>
    <row r="2272" spans="1:17" x14ac:dyDescent="0.3">
      <c r="A2272" s="25">
        <v>1470</v>
      </c>
      <c r="B2272" t="s">
        <v>215</v>
      </c>
      <c r="C2272" t="s">
        <v>175</v>
      </c>
      <c r="D2272" t="s">
        <v>620</v>
      </c>
      <c r="E2272" s="121">
        <v>8842</v>
      </c>
      <c r="F2272" s="13">
        <v>46109</v>
      </c>
      <c r="G2272" s="27">
        <v>38384.53</v>
      </c>
      <c r="H2272" s="24">
        <v>35256.18</v>
      </c>
      <c r="I2272" s="3">
        <v>46119</v>
      </c>
      <c r="J2272" s="102">
        <v>46125</v>
      </c>
      <c r="K2272" s="12">
        <v>46128</v>
      </c>
      <c r="L2272" s="19" t="s">
        <v>731</v>
      </c>
      <c r="M2272" s="36">
        <v>0</v>
      </c>
      <c r="N2272" s="26"/>
      <c r="O2272" t="s">
        <v>202</v>
      </c>
      <c r="P2272" t="s">
        <v>373</v>
      </c>
      <c r="Q2272" t="s">
        <v>213</v>
      </c>
    </row>
    <row r="2273" spans="1:17" x14ac:dyDescent="0.3">
      <c r="A2273" s="25">
        <v>1470</v>
      </c>
      <c r="B2273" t="s">
        <v>215</v>
      </c>
      <c r="C2273" t="s">
        <v>175</v>
      </c>
      <c r="D2273" t="s">
        <v>620</v>
      </c>
      <c r="E2273" s="121">
        <v>8918</v>
      </c>
      <c r="F2273" s="13">
        <v>46140</v>
      </c>
      <c r="G2273" s="24">
        <v>38384.53</v>
      </c>
      <c r="H2273" s="24">
        <v>35256.18</v>
      </c>
      <c r="I2273" s="3">
        <v>46149</v>
      </c>
      <c r="J2273" s="102">
        <v>46153</v>
      </c>
      <c r="K2273" s="12">
        <v>46157</v>
      </c>
      <c r="L2273" s="19" t="s">
        <v>731</v>
      </c>
      <c r="M2273" s="36">
        <v>0</v>
      </c>
      <c r="N2273" s="26"/>
      <c r="O2273" t="s">
        <v>202</v>
      </c>
      <c r="P2273" t="s">
        <v>373</v>
      </c>
      <c r="Q2273" t="s">
        <v>213</v>
      </c>
    </row>
    <row r="2274" spans="1:17" x14ac:dyDescent="0.3">
      <c r="A2274" s="25">
        <v>1470</v>
      </c>
      <c r="B2274" t="s">
        <v>215</v>
      </c>
      <c r="C2274" t="s">
        <v>175</v>
      </c>
      <c r="D2274" t="s">
        <v>620</v>
      </c>
      <c r="E2274" s="121">
        <v>8999</v>
      </c>
      <c r="F2274" s="13">
        <v>46170</v>
      </c>
      <c r="G2274" s="24">
        <v>38384.53</v>
      </c>
      <c r="H2274" s="24">
        <v>35256.18</v>
      </c>
      <c r="I2274" s="3">
        <v>46181</v>
      </c>
      <c r="J2274" s="102">
        <v>46195</v>
      </c>
      <c r="K2274" s="12"/>
      <c r="L2274" s="19" t="s">
        <v>730</v>
      </c>
      <c r="M2274" s="36">
        <v>0</v>
      </c>
      <c r="N2274" s="26"/>
      <c r="O2274" t="s">
        <v>202</v>
      </c>
      <c r="P2274" t="s">
        <v>373</v>
      </c>
      <c r="Q2274" t="s">
        <v>213</v>
      </c>
    </row>
    <row r="2275" spans="1:17" x14ac:dyDescent="0.3">
      <c r="A2275" s="25">
        <v>1273</v>
      </c>
      <c r="B2275" t="s">
        <v>204</v>
      </c>
      <c r="C2275" t="s">
        <v>39</v>
      </c>
      <c r="D2275" t="s">
        <v>389</v>
      </c>
      <c r="E2275" s="121">
        <v>8657</v>
      </c>
      <c r="F2275" s="13">
        <v>45989</v>
      </c>
      <c r="G2275" s="24">
        <v>624265.04</v>
      </c>
      <c r="H2275" s="27">
        <v>559965.74</v>
      </c>
      <c r="I2275" s="3">
        <v>45995</v>
      </c>
      <c r="J2275" s="102">
        <v>46006</v>
      </c>
      <c r="K2275" s="12">
        <v>46009</v>
      </c>
      <c r="L2275" s="19" t="s">
        <v>731</v>
      </c>
      <c r="M2275" s="36">
        <v>0</v>
      </c>
      <c r="N2275"/>
      <c r="O2275" t="s">
        <v>202</v>
      </c>
      <c r="P2275" t="s">
        <v>340</v>
      </c>
      <c r="Q2275" t="s">
        <v>217</v>
      </c>
    </row>
    <row r="2276" spans="1:17" x14ac:dyDescent="0.3">
      <c r="A2276" s="25">
        <v>1273</v>
      </c>
      <c r="B2276" t="s">
        <v>204</v>
      </c>
      <c r="C2276" t="s">
        <v>39</v>
      </c>
      <c r="D2276" t="s">
        <v>389</v>
      </c>
      <c r="E2276" s="121"/>
      <c r="F2276" s="13">
        <v>46019</v>
      </c>
      <c r="G2276" s="24">
        <v>118919</v>
      </c>
      <c r="H2276" s="27"/>
      <c r="I2276" s="3">
        <v>46082</v>
      </c>
      <c r="J2276" s="102"/>
      <c r="K2276" s="12"/>
      <c r="L2276" s="19" t="s">
        <v>719</v>
      </c>
      <c r="M2276" s="36">
        <v>0</v>
      </c>
      <c r="N2276"/>
      <c r="O2276" t="s">
        <v>202</v>
      </c>
      <c r="P2276" t="s">
        <v>340</v>
      </c>
      <c r="Q2276" t="s">
        <v>217</v>
      </c>
    </row>
    <row r="2277" spans="1:17" x14ac:dyDescent="0.3">
      <c r="A2277" s="25">
        <v>1273</v>
      </c>
      <c r="B2277" t="s">
        <v>204</v>
      </c>
      <c r="C2277" t="s">
        <v>39</v>
      </c>
      <c r="D2277" t="s">
        <v>389</v>
      </c>
      <c r="E2277" s="121">
        <v>8781</v>
      </c>
      <c r="F2277" s="13">
        <v>46019</v>
      </c>
      <c r="G2277" s="24">
        <v>571593.80000000005</v>
      </c>
      <c r="H2277" s="27">
        <v>512719.64</v>
      </c>
      <c r="I2277" s="3">
        <v>46083</v>
      </c>
      <c r="J2277" s="102">
        <v>46097</v>
      </c>
      <c r="K2277" s="12">
        <v>46098</v>
      </c>
      <c r="L2277" s="19" t="s">
        <v>731</v>
      </c>
      <c r="M2277" s="36">
        <v>0</v>
      </c>
      <c r="N2277"/>
      <c r="O2277" t="s">
        <v>202</v>
      </c>
      <c r="P2277" t="s">
        <v>340</v>
      </c>
      <c r="Q2277" t="s">
        <v>217</v>
      </c>
    </row>
    <row r="2278" spans="1:17" x14ac:dyDescent="0.3">
      <c r="A2278" s="25">
        <v>1273</v>
      </c>
      <c r="B2278" t="s">
        <v>204</v>
      </c>
      <c r="C2278" t="s">
        <v>39</v>
      </c>
      <c r="D2278" t="s">
        <v>389</v>
      </c>
      <c r="E2278" s="121">
        <v>8784</v>
      </c>
      <c r="F2278" s="13">
        <v>46051</v>
      </c>
      <c r="G2278" s="24">
        <v>574463.16</v>
      </c>
      <c r="H2278" s="27">
        <v>515293.46</v>
      </c>
      <c r="I2278" s="3">
        <v>46083</v>
      </c>
      <c r="J2278" s="102">
        <v>46097</v>
      </c>
      <c r="K2278" s="12">
        <v>46100</v>
      </c>
      <c r="L2278" s="19" t="s">
        <v>731</v>
      </c>
      <c r="M2278" s="36">
        <v>0</v>
      </c>
      <c r="N2278"/>
      <c r="O2278" t="s">
        <v>202</v>
      </c>
      <c r="P2278" t="s">
        <v>340</v>
      </c>
      <c r="Q2278" t="s">
        <v>217</v>
      </c>
    </row>
    <row r="2279" spans="1:17" x14ac:dyDescent="0.3">
      <c r="A2279" s="25">
        <v>1273</v>
      </c>
      <c r="B2279" t="s">
        <v>204</v>
      </c>
      <c r="C2279" t="s">
        <v>39</v>
      </c>
      <c r="D2279" t="s">
        <v>389</v>
      </c>
      <c r="E2279" s="121">
        <v>8815</v>
      </c>
      <c r="F2279" s="13">
        <v>46081</v>
      </c>
      <c r="G2279" s="27">
        <v>584837</v>
      </c>
      <c r="H2279" s="24">
        <v>514371.93999999994</v>
      </c>
      <c r="I2279" s="3">
        <v>46097</v>
      </c>
      <c r="J2279" s="102">
        <v>46125</v>
      </c>
      <c r="K2279" s="12">
        <v>46128</v>
      </c>
      <c r="L2279" s="19" t="s">
        <v>731</v>
      </c>
      <c r="M2279" s="36">
        <v>0</v>
      </c>
      <c r="N2279"/>
      <c r="O2279" t="s">
        <v>202</v>
      </c>
      <c r="P2279" t="s">
        <v>340</v>
      </c>
      <c r="Q2279" t="s">
        <v>217</v>
      </c>
    </row>
    <row r="2280" spans="1:17" x14ac:dyDescent="0.3">
      <c r="A2280" s="9">
        <v>1394</v>
      </c>
      <c r="B2280" t="s">
        <v>210</v>
      </c>
      <c r="C2280" t="s">
        <v>38</v>
      </c>
      <c r="D2280" t="s">
        <v>523</v>
      </c>
      <c r="E2280" s="117">
        <v>8973</v>
      </c>
      <c r="F2280" s="13">
        <v>46140</v>
      </c>
      <c r="G2280" s="24">
        <v>140971.81</v>
      </c>
      <c r="H2280" s="24">
        <v>131385.72</v>
      </c>
      <c r="I2280" s="3">
        <v>46169</v>
      </c>
      <c r="J2280" s="102">
        <v>46174</v>
      </c>
      <c r="K2280" s="5">
        <v>46176</v>
      </c>
      <c r="L2280" s="22" t="s">
        <v>731</v>
      </c>
      <c r="M2280" s="56"/>
      <c r="N2280" s="15"/>
      <c r="O2280" t="s">
        <v>202</v>
      </c>
      <c r="P2280" t="s">
        <v>340</v>
      </c>
      <c r="Q2280" t="s">
        <v>213</v>
      </c>
    </row>
    <row r="2281" spans="1:17" x14ac:dyDescent="0.3">
      <c r="A2281" s="9">
        <v>1394</v>
      </c>
      <c r="B2281" t="s">
        <v>210</v>
      </c>
      <c r="C2281" t="s">
        <v>38</v>
      </c>
      <c r="D2281" t="s">
        <v>523</v>
      </c>
      <c r="F2281" s="13">
        <v>46170</v>
      </c>
      <c r="G2281" s="24">
        <v>1124595.94</v>
      </c>
      <c r="H2281" s="24"/>
      <c r="I2281" s="3">
        <v>46175</v>
      </c>
      <c r="J2281" s="102">
        <v>46188</v>
      </c>
      <c r="K2281" s="5"/>
      <c r="L2281" s="22" t="s">
        <v>719</v>
      </c>
      <c r="M2281" s="56"/>
      <c r="N2281" s="15"/>
      <c r="O2281" t="s">
        <v>202</v>
      </c>
      <c r="P2281" t="s">
        <v>340</v>
      </c>
      <c r="Q2281" t="s">
        <v>213</v>
      </c>
    </row>
    <row r="2282" spans="1:17" x14ac:dyDescent="0.3">
      <c r="A2282" s="9">
        <v>1277</v>
      </c>
      <c r="B2282" t="s">
        <v>204</v>
      </c>
      <c r="C2282" t="s">
        <v>39</v>
      </c>
      <c r="D2282" t="s">
        <v>393</v>
      </c>
      <c r="E2282" s="117">
        <v>8852</v>
      </c>
      <c r="F2282" s="13">
        <v>46109</v>
      </c>
      <c r="G2282" s="24">
        <v>157676.04</v>
      </c>
      <c r="H2282" s="27">
        <v>141435.41</v>
      </c>
      <c r="I2282" s="3">
        <v>46125</v>
      </c>
      <c r="J2282" s="102">
        <v>46146</v>
      </c>
      <c r="K2282" s="12">
        <v>46147</v>
      </c>
      <c r="L2282" s="19" t="s">
        <v>731</v>
      </c>
      <c r="M2282" s="36"/>
      <c r="N2282"/>
      <c r="O2282" t="s">
        <v>202</v>
      </c>
      <c r="P2282" t="s">
        <v>340</v>
      </c>
      <c r="Q2282" t="s">
        <v>217</v>
      </c>
    </row>
    <row r="2283" spans="1:17" x14ac:dyDescent="0.3">
      <c r="A2283" s="25">
        <v>1273</v>
      </c>
      <c r="B2283" t="s">
        <v>204</v>
      </c>
      <c r="C2283" t="s">
        <v>39</v>
      </c>
      <c r="D2283" t="s">
        <v>389</v>
      </c>
      <c r="E2283" s="121">
        <v>8920</v>
      </c>
      <c r="F2283" s="13">
        <v>46109</v>
      </c>
      <c r="G2283" s="24">
        <v>38480.57</v>
      </c>
      <c r="H2283" s="27">
        <v>34517.07</v>
      </c>
      <c r="I2283" s="3">
        <v>46149</v>
      </c>
      <c r="J2283" s="102">
        <v>46167</v>
      </c>
      <c r="K2283" s="12">
        <v>46171</v>
      </c>
      <c r="L2283" s="19" t="s">
        <v>731</v>
      </c>
      <c r="M2283" s="36">
        <v>0</v>
      </c>
      <c r="N2283"/>
      <c r="O2283" t="s">
        <v>202</v>
      </c>
      <c r="P2283" t="s">
        <v>340</v>
      </c>
      <c r="Q2283" t="s">
        <v>217</v>
      </c>
    </row>
    <row r="2284" spans="1:17" x14ac:dyDescent="0.3">
      <c r="A2284" s="25">
        <v>1514</v>
      </c>
      <c r="B2284" t="s">
        <v>204</v>
      </c>
      <c r="C2284" t="s">
        <v>39</v>
      </c>
      <c r="D2284" t="s">
        <v>666</v>
      </c>
      <c r="E2284" s="121">
        <v>8841</v>
      </c>
      <c r="F2284" s="13">
        <v>46019</v>
      </c>
      <c r="G2284" s="27">
        <v>805435.55</v>
      </c>
      <c r="H2284" s="27">
        <v>750665.93</v>
      </c>
      <c r="I2284" s="3">
        <v>46118</v>
      </c>
      <c r="J2284" s="102">
        <v>46125</v>
      </c>
      <c r="K2284" s="12">
        <v>46127</v>
      </c>
      <c r="L2284" s="19" t="s">
        <v>731</v>
      </c>
      <c r="M2284" s="24"/>
      <c r="N2284"/>
      <c r="O2284" t="s">
        <v>199</v>
      </c>
      <c r="P2284" t="s">
        <v>340</v>
      </c>
      <c r="Q2284" t="s">
        <v>217</v>
      </c>
    </row>
    <row r="2285" spans="1:17" x14ac:dyDescent="0.3">
      <c r="A2285" s="25">
        <v>1514</v>
      </c>
      <c r="B2285" t="s">
        <v>204</v>
      </c>
      <c r="C2285" t="s">
        <v>39</v>
      </c>
      <c r="D2285" t="s">
        <v>666</v>
      </c>
      <c r="E2285" s="121">
        <v>8835</v>
      </c>
      <c r="F2285" s="13">
        <v>46051</v>
      </c>
      <c r="G2285" s="27">
        <v>2049793.76</v>
      </c>
      <c r="H2285" s="27">
        <v>1910407.78</v>
      </c>
      <c r="I2285" s="3">
        <v>46107</v>
      </c>
      <c r="J2285" s="102">
        <v>46125</v>
      </c>
      <c r="K2285" s="12">
        <v>46127</v>
      </c>
      <c r="L2285" s="19" t="s">
        <v>731</v>
      </c>
      <c r="M2285" s="24"/>
      <c r="N2285"/>
      <c r="O2285" t="s">
        <v>199</v>
      </c>
      <c r="P2285" t="s">
        <v>340</v>
      </c>
      <c r="Q2285" t="s">
        <v>217</v>
      </c>
    </row>
    <row r="2286" spans="1:17" x14ac:dyDescent="0.3">
      <c r="A2286" s="25">
        <v>1514</v>
      </c>
      <c r="B2286" t="s">
        <v>204</v>
      </c>
      <c r="C2286" t="s">
        <v>39</v>
      </c>
      <c r="D2286" t="s">
        <v>666</v>
      </c>
      <c r="E2286" s="121">
        <v>8862</v>
      </c>
      <c r="F2286" s="13">
        <v>46081</v>
      </c>
      <c r="G2286" s="27">
        <v>2244786.44</v>
      </c>
      <c r="H2286" s="24">
        <v>2092140.96</v>
      </c>
      <c r="I2286" s="3">
        <v>46128</v>
      </c>
      <c r="J2286" s="102">
        <v>46139</v>
      </c>
      <c r="K2286" s="12">
        <v>46142</v>
      </c>
      <c r="L2286" s="19" t="s">
        <v>731</v>
      </c>
      <c r="M2286" s="36">
        <v>0</v>
      </c>
      <c r="N2286"/>
      <c r="O2286" t="s">
        <v>199</v>
      </c>
      <c r="P2286" t="s">
        <v>340</v>
      </c>
      <c r="Q2286" t="s">
        <v>217</v>
      </c>
    </row>
    <row r="2287" spans="1:17" x14ac:dyDescent="0.3">
      <c r="A2287" s="9">
        <v>1277</v>
      </c>
      <c r="B2287" t="s">
        <v>204</v>
      </c>
      <c r="C2287" t="s">
        <v>39</v>
      </c>
      <c r="D2287" t="s">
        <v>393</v>
      </c>
      <c r="E2287" s="162">
        <v>8930</v>
      </c>
      <c r="F2287" s="13">
        <v>46140</v>
      </c>
      <c r="G2287" s="24">
        <v>162394.43</v>
      </c>
      <c r="H2287" s="27">
        <v>145667.79999999999</v>
      </c>
      <c r="I2287" s="3">
        <v>46153</v>
      </c>
      <c r="J2287" s="102">
        <v>46181</v>
      </c>
      <c r="K2287" s="12"/>
      <c r="L2287" s="19" t="s">
        <v>730</v>
      </c>
      <c r="M2287" s="36"/>
      <c r="N2287"/>
      <c r="O2287" t="s">
        <v>202</v>
      </c>
      <c r="P2287" t="s">
        <v>340</v>
      </c>
      <c r="Q2287" t="s">
        <v>217</v>
      </c>
    </row>
    <row r="2288" spans="1:17" x14ac:dyDescent="0.3">
      <c r="A2288" s="9">
        <v>1277</v>
      </c>
      <c r="B2288" t="s">
        <v>204</v>
      </c>
      <c r="C2288" t="s">
        <v>39</v>
      </c>
      <c r="D2288" t="s">
        <v>393</v>
      </c>
      <c r="E2288" s="117">
        <v>9009</v>
      </c>
      <c r="F2288" s="13">
        <v>46170</v>
      </c>
      <c r="G2288" s="24">
        <v>159061.12</v>
      </c>
      <c r="H2288" s="27">
        <v>142677.82999999999</v>
      </c>
      <c r="I2288" s="3">
        <v>46183</v>
      </c>
      <c r="J2288" s="102">
        <v>46211</v>
      </c>
      <c r="K2288" s="12"/>
      <c r="L2288" s="19" t="s">
        <v>730</v>
      </c>
      <c r="M2288" s="36"/>
      <c r="N2288"/>
      <c r="O2288" t="s">
        <v>202</v>
      </c>
      <c r="P2288" t="s">
        <v>340</v>
      </c>
      <c r="Q2288" t="s">
        <v>217</v>
      </c>
    </row>
    <row r="2289" spans="1:17" x14ac:dyDescent="0.3">
      <c r="A2289" s="25">
        <v>1273</v>
      </c>
      <c r="B2289" t="s">
        <v>204</v>
      </c>
      <c r="C2289" t="s">
        <v>39</v>
      </c>
      <c r="D2289" t="s">
        <v>389</v>
      </c>
      <c r="E2289" s="121">
        <v>8919</v>
      </c>
      <c r="F2289" s="13">
        <v>46109</v>
      </c>
      <c r="G2289" s="24">
        <v>542488.31000000006</v>
      </c>
      <c r="H2289" s="27">
        <v>486612.01</v>
      </c>
      <c r="I2289" s="3">
        <v>46149</v>
      </c>
      <c r="J2289" s="102">
        <v>46167</v>
      </c>
      <c r="K2289" s="12">
        <v>46171</v>
      </c>
      <c r="L2289" s="19" t="s">
        <v>731</v>
      </c>
      <c r="M2289" s="36">
        <v>0</v>
      </c>
      <c r="N2289"/>
      <c r="O2289" t="s">
        <v>202</v>
      </c>
      <c r="P2289" t="s">
        <v>340</v>
      </c>
      <c r="Q2289" t="s">
        <v>217</v>
      </c>
    </row>
    <row r="2290" spans="1:17" x14ac:dyDescent="0.3">
      <c r="A2290" s="25">
        <v>1268</v>
      </c>
      <c r="B2290" t="s">
        <v>193</v>
      </c>
      <c r="C2290" t="s">
        <v>141</v>
      </c>
      <c r="D2290" t="s">
        <v>383</v>
      </c>
      <c r="E2290" s="118">
        <v>4576</v>
      </c>
      <c r="F2290" s="13">
        <v>45989</v>
      </c>
      <c r="G2290" s="24">
        <v>784755.72</v>
      </c>
      <c r="H2290" s="27">
        <v>736493.25</v>
      </c>
      <c r="I2290" s="3">
        <v>45992</v>
      </c>
      <c r="J2290" s="102">
        <v>46013</v>
      </c>
      <c r="K2290" s="12">
        <v>46017</v>
      </c>
      <c r="L2290" s="19" t="s">
        <v>731</v>
      </c>
      <c r="M2290" s="36">
        <v>0</v>
      </c>
      <c r="N2290"/>
      <c r="O2290" t="s">
        <v>199</v>
      </c>
      <c r="P2290" t="s">
        <v>376</v>
      </c>
      <c r="Q2290" t="s">
        <v>207</v>
      </c>
    </row>
    <row r="2291" spans="1:17" x14ac:dyDescent="0.3">
      <c r="A2291" s="25">
        <v>1268</v>
      </c>
      <c r="B2291" t="s">
        <v>193</v>
      </c>
      <c r="C2291" t="s">
        <v>141</v>
      </c>
      <c r="D2291" t="s">
        <v>383</v>
      </c>
      <c r="E2291" s="118">
        <v>4577</v>
      </c>
      <c r="F2291" s="13">
        <v>45989</v>
      </c>
      <c r="G2291" s="24">
        <v>165717.72</v>
      </c>
      <c r="H2291" s="27">
        <v>155526.07999999999</v>
      </c>
      <c r="I2291" s="3">
        <v>45992</v>
      </c>
      <c r="J2291" s="102">
        <v>46013</v>
      </c>
      <c r="K2291" s="12">
        <v>46017</v>
      </c>
      <c r="L2291" s="19" t="s">
        <v>731</v>
      </c>
      <c r="M2291" s="36">
        <v>0</v>
      </c>
      <c r="N2291"/>
      <c r="O2291" t="s">
        <v>199</v>
      </c>
      <c r="P2291" t="s">
        <v>376</v>
      </c>
      <c r="Q2291" t="s">
        <v>207</v>
      </c>
    </row>
    <row r="2292" spans="1:17" x14ac:dyDescent="0.3">
      <c r="A2292" s="25">
        <v>1268</v>
      </c>
      <c r="B2292" t="s">
        <v>193</v>
      </c>
      <c r="C2292" t="s">
        <v>141</v>
      </c>
      <c r="D2292" t="s">
        <v>383</v>
      </c>
      <c r="E2292" s="118">
        <v>4578</v>
      </c>
      <c r="F2292" s="13">
        <v>45989</v>
      </c>
      <c r="G2292" s="24">
        <v>41368</v>
      </c>
      <c r="H2292" s="27">
        <v>38823.870000000003</v>
      </c>
      <c r="I2292" s="3">
        <v>45992</v>
      </c>
      <c r="J2292" s="102">
        <v>46013</v>
      </c>
      <c r="K2292" s="12">
        <v>46017</v>
      </c>
      <c r="L2292" s="19" t="s">
        <v>731</v>
      </c>
      <c r="M2292" s="36">
        <v>0</v>
      </c>
      <c r="N2292"/>
      <c r="O2292" t="s">
        <v>199</v>
      </c>
      <c r="P2292" t="s">
        <v>376</v>
      </c>
      <c r="Q2292" t="s">
        <v>207</v>
      </c>
    </row>
    <row r="2293" spans="1:17" x14ac:dyDescent="0.3">
      <c r="A2293" s="25">
        <v>1268</v>
      </c>
      <c r="B2293" t="s">
        <v>193</v>
      </c>
      <c r="C2293" t="s">
        <v>141</v>
      </c>
      <c r="D2293" t="s">
        <v>383</v>
      </c>
      <c r="E2293" s="118">
        <v>4676</v>
      </c>
      <c r="F2293" s="13">
        <v>45928</v>
      </c>
      <c r="G2293" s="24">
        <v>82736</v>
      </c>
      <c r="H2293" s="24">
        <v>77647.740000000005</v>
      </c>
      <c r="I2293" s="3">
        <v>46002</v>
      </c>
      <c r="J2293" s="102">
        <v>46013</v>
      </c>
      <c r="K2293" s="12">
        <v>46013</v>
      </c>
      <c r="L2293" s="19" t="s">
        <v>731</v>
      </c>
      <c r="M2293" s="36">
        <v>0</v>
      </c>
      <c r="N2293"/>
      <c r="O2293" t="s">
        <v>199</v>
      </c>
      <c r="P2293" t="s">
        <v>376</v>
      </c>
      <c r="Q2293" t="s">
        <v>207</v>
      </c>
    </row>
    <row r="2294" spans="1:17" x14ac:dyDescent="0.3">
      <c r="A2294" s="25">
        <v>1356</v>
      </c>
      <c r="B2294" t="s">
        <v>193</v>
      </c>
      <c r="C2294" t="s">
        <v>141</v>
      </c>
      <c r="D2294" t="s">
        <v>478</v>
      </c>
      <c r="E2294" s="118">
        <v>4748</v>
      </c>
      <c r="F2294" s="13">
        <v>46019</v>
      </c>
      <c r="G2294" s="24">
        <v>41368</v>
      </c>
      <c r="H2294" s="27">
        <v>38823.870000000003</v>
      </c>
      <c r="I2294" s="3">
        <v>46037</v>
      </c>
      <c r="J2294" s="102">
        <v>46055</v>
      </c>
      <c r="K2294" s="12">
        <v>46059</v>
      </c>
      <c r="L2294" s="19" t="s">
        <v>731</v>
      </c>
      <c r="M2294" s="36">
        <v>0</v>
      </c>
      <c r="N2294"/>
      <c r="O2294" t="s">
        <v>199</v>
      </c>
      <c r="P2294" t="s">
        <v>376</v>
      </c>
      <c r="Q2294" t="s">
        <v>207</v>
      </c>
    </row>
    <row r="2295" spans="1:17" x14ac:dyDescent="0.3">
      <c r="A2295" s="25">
        <v>1356</v>
      </c>
      <c r="B2295" t="s">
        <v>193</v>
      </c>
      <c r="C2295" t="s">
        <v>141</v>
      </c>
      <c r="D2295" t="s">
        <v>478</v>
      </c>
      <c r="E2295" s="118">
        <v>4816</v>
      </c>
      <c r="F2295" s="68">
        <v>46019</v>
      </c>
      <c r="G2295" s="24">
        <v>41368</v>
      </c>
      <c r="H2295" s="24">
        <v>38823.870000000003</v>
      </c>
      <c r="I2295" s="3">
        <v>46058</v>
      </c>
      <c r="J2295" s="102">
        <v>46076</v>
      </c>
      <c r="K2295" s="12">
        <v>46080</v>
      </c>
      <c r="L2295" s="19" t="s">
        <v>731</v>
      </c>
      <c r="M2295" s="36">
        <v>0</v>
      </c>
      <c r="N2295"/>
      <c r="O2295" t="s">
        <v>199</v>
      </c>
      <c r="P2295" t="s">
        <v>376</v>
      </c>
      <c r="Q2295" t="s">
        <v>207</v>
      </c>
    </row>
    <row r="2296" spans="1:17" x14ac:dyDescent="0.3">
      <c r="A2296" s="25">
        <v>1356</v>
      </c>
      <c r="B2296" t="s">
        <v>193</v>
      </c>
      <c r="C2296" t="s">
        <v>141</v>
      </c>
      <c r="D2296" t="s">
        <v>478</v>
      </c>
      <c r="E2296" s="118">
        <v>4911</v>
      </c>
      <c r="F2296" s="68">
        <v>46019</v>
      </c>
      <c r="G2296" s="24">
        <v>41368</v>
      </c>
      <c r="H2296" s="27">
        <v>38823.870000000003</v>
      </c>
      <c r="I2296" s="3">
        <v>46086</v>
      </c>
      <c r="J2296" s="102">
        <v>46111</v>
      </c>
      <c r="K2296" s="12">
        <v>46111</v>
      </c>
      <c r="L2296" s="19" t="s">
        <v>731</v>
      </c>
      <c r="M2296" s="36">
        <v>0</v>
      </c>
      <c r="N2296"/>
      <c r="O2296" t="s">
        <v>199</v>
      </c>
      <c r="P2296" t="s">
        <v>376</v>
      </c>
      <c r="Q2296" t="s">
        <v>207</v>
      </c>
    </row>
    <row r="2297" spans="1:17" x14ac:dyDescent="0.3">
      <c r="A2297" s="25">
        <v>1356</v>
      </c>
      <c r="B2297" t="s">
        <v>193</v>
      </c>
      <c r="C2297" t="s">
        <v>141</v>
      </c>
      <c r="D2297" t="s">
        <v>478</v>
      </c>
      <c r="E2297" s="118">
        <v>5060</v>
      </c>
      <c r="F2297" s="16">
        <v>46019</v>
      </c>
      <c r="G2297" s="24">
        <v>41368</v>
      </c>
      <c r="H2297" s="24">
        <v>38823.870000000003</v>
      </c>
      <c r="I2297" s="3">
        <v>46122</v>
      </c>
      <c r="J2297" s="161">
        <v>46146</v>
      </c>
      <c r="K2297" s="12">
        <v>46146</v>
      </c>
      <c r="L2297" s="19" t="s">
        <v>731</v>
      </c>
      <c r="M2297" s="36">
        <v>0</v>
      </c>
      <c r="N2297"/>
      <c r="O2297" t="s">
        <v>199</v>
      </c>
      <c r="P2297" t="s">
        <v>376</v>
      </c>
      <c r="Q2297" t="s">
        <v>207</v>
      </c>
    </row>
    <row r="2298" spans="1:17" x14ac:dyDescent="0.3">
      <c r="A2298" s="25">
        <v>1356</v>
      </c>
      <c r="B2298" t="s">
        <v>193</v>
      </c>
      <c r="C2298" t="s">
        <v>141</v>
      </c>
      <c r="D2298" t="s">
        <v>478</v>
      </c>
      <c r="E2298" s="118">
        <v>5117</v>
      </c>
      <c r="F2298" s="13">
        <v>46140</v>
      </c>
      <c r="G2298" s="44">
        <v>41368</v>
      </c>
      <c r="H2298" s="24">
        <v>38823.870000000003</v>
      </c>
      <c r="I2298" s="3">
        <v>46147</v>
      </c>
      <c r="J2298" s="161">
        <v>46174</v>
      </c>
      <c r="K2298" s="12">
        <v>46174</v>
      </c>
      <c r="L2298" s="19" t="s">
        <v>731</v>
      </c>
      <c r="M2298" s="36">
        <v>0</v>
      </c>
      <c r="N2298"/>
      <c r="O2298" t="s">
        <v>199</v>
      </c>
      <c r="P2298" t="s">
        <v>376</v>
      </c>
      <c r="Q2298" t="s">
        <v>207</v>
      </c>
    </row>
    <row r="2299" spans="1:17" x14ac:dyDescent="0.3">
      <c r="A2299" s="25">
        <v>1356</v>
      </c>
      <c r="B2299" t="s">
        <v>193</v>
      </c>
      <c r="C2299" t="s">
        <v>141</v>
      </c>
      <c r="D2299" t="s">
        <v>478</v>
      </c>
      <c r="E2299" s="118">
        <v>5218</v>
      </c>
      <c r="F2299" s="13">
        <v>46170</v>
      </c>
      <c r="G2299" s="24">
        <v>41368</v>
      </c>
      <c r="H2299" s="24">
        <v>38823.870000000003</v>
      </c>
      <c r="I2299" s="3">
        <v>46178</v>
      </c>
      <c r="J2299" s="102">
        <v>46209</v>
      </c>
      <c r="K2299" s="12"/>
      <c r="L2299" s="19" t="s">
        <v>730</v>
      </c>
      <c r="M2299" s="36">
        <v>0</v>
      </c>
      <c r="N2299"/>
      <c r="O2299" t="s">
        <v>199</v>
      </c>
      <c r="P2299" t="s">
        <v>376</v>
      </c>
      <c r="Q2299" t="s">
        <v>207</v>
      </c>
    </row>
    <row r="2300" spans="1:17" x14ac:dyDescent="0.3">
      <c r="A2300" s="25">
        <v>1494</v>
      </c>
      <c r="B2300" t="s">
        <v>193</v>
      </c>
      <c r="C2300" t="s">
        <v>141</v>
      </c>
      <c r="D2300" t="s">
        <v>645</v>
      </c>
      <c r="E2300" s="118">
        <v>4863</v>
      </c>
      <c r="F2300" s="68">
        <v>46019</v>
      </c>
      <c r="G2300" s="24">
        <v>35192</v>
      </c>
      <c r="H2300" s="27">
        <v>33027.690958244304</v>
      </c>
      <c r="I2300" s="3">
        <v>46071</v>
      </c>
      <c r="J2300" s="102">
        <v>46076</v>
      </c>
      <c r="K2300" s="12">
        <v>46079</v>
      </c>
      <c r="L2300" s="19" t="s">
        <v>731</v>
      </c>
      <c r="M2300" s="36">
        <v>0</v>
      </c>
      <c r="N2300"/>
      <c r="O2300" t="s">
        <v>201</v>
      </c>
      <c r="P2300" t="s">
        <v>376</v>
      </c>
      <c r="Q2300" t="s">
        <v>207</v>
      </c>
    </row>
    <row r="2301" spans="1:17" x14ac:dyDescent="0.3">
      <c r="A2301" s="25">
        <v>1268</v>
      </c>
      <c r="B2301" t="s">
        <v>193</v>
      </c>
      <c r="C2301" t="s">
        <v>141</v>
      </c>
      <c r="D2301" t="s">
        <v>383</v>
      </c>
      <c r="E2301" s="118">
        <v>4863</v>
      </c>
      <c r="F2301" s="68">
        <v>46019</v>
      </c>
      <c r="G2301" s="24">
        <v>177799.93</v>
      </c>
      <c r="H2301" s="27">
        <v>166865.22904175572</v>
      </c>
      <c r="I2301" s="3">
        <v>46071</v>
      </c>
      <c r="J2301" s="102">
        <v>46076</v>
      </c>
      <c r="K2301" s="12">
        <v>46079</v>
      </c>
      <c r="L2301" s="19" t="s">
        <v>731</v>
      </c>
      <c r="M2301" s="36">
        <v>0</v>
      </c>
      <c r="N2301"/>
      <c r="O2301" t="s">
        <v>199</v>
      </c>
      <c r="P2301" t="s">
        <v>376</v>
      </c>
      <c r="Q2301" t="s">
        <v>207</v>
      </c>
    </row>
    <row r="2302" spans="1:17" x14ac:dyDescent="0.3">
      <c r="A2302" s="25">
        <v>1268</v>
      </c>
      <c r="B2302" t="s">
        <v>193</v>
      </c>
      <c r="C2302" t="s">
        <v>141</v>
      </c>
      <c r="D2302" t="s">
        <v>383</v>
      </c>
      <c r="E2302" s="118">
        <v>4864</v>
      </c>
      <c r="F2302" s="68">
        <v>46019</v>
      </c>
      <c r="G2302" s="24">
        <v>330529.95</v>
      </c>
      <c r="H2302" s="27">
        <v>310202.36</v>
      </c>
      <c r="I2302" s="3">
        <v>46071</v>
      </c>
      <c r="J2302" s="102">
        <v>46076</v>
      </c>
      <c r="K2302" s="12">
        <v>46079</v>
      </c>
      <c r="L2302" s="19" t="s">
        <v>731</v>
      </c>
      <c r="M2302" s="36">
        <v>0</v>
      </c>
      <c r="N2302"/>
      <c r="O2302" t="s">
        <v>199</v>
      </c>
      <c r="P2302" t="s">
        <v>376</v>
      </c>
      <c r="Q2302" t="s">
        <v>207</v>
      </c>
    </row>
    <row r="2303" spans="1:17" x14ac:dyDescent="0.3">
      <c r="A2303" s="25">
        <v>1268</v>
      </c>
      <c r="B2303" t="s">
        <v>193</v>
      </c>
      <c r="C2303" t="s">
        <v>141</v>
      </c>
      <c r="D2303" t="s">
        <v>383</v>
      </c>
      <c r="E2303" s="118">
        <v>4862</v>
      </c>
      <c r="F2303" s="68">
        <v>46019</v>
      </c>
      <c r="G2303" s="24">
        <v>1480801.11</v>
      </c>
      <c r="H2303" s="27">
        <v>1389731.8400000001</v>
      </c>
      <c r="I2303" s="3">
        <v>46071</v>
      </c>
      <c r="J2303" s="102">
        <v>46076</v>
      </c>
      <c r="K2303" s="12">
        <v>46079</v>
      </c>
      <c r="L2303" s="19" t="s">
        <v>731</v>
      </c>
      <c r="M2303" s="36">
        <v>0</v>
      </c>
      <c r="N2303"/>
      <c r="O2303" t="s">
        <v>199</v>
      </c>
      <c r="P2303" t="s">
        <v>376</v>
      </c>
      <c r="Q2303" t="s">
        <v>207</v>
      </c>
    </row>
    <row r="2304" spans="1:17" x14ac:dyDescent="0.3">
      <c r="A2304" s="25">
        <v>1268</v>
      </c>
      <c r="B2304" t="s">
        <v>193</v>
      </c>
      <c r="C2304" t="s">
        <v>141</v>
      </c>
      <c r="D2304" t="s">
        <v>383</v>
      </c>
      <c r="E2304" s="118">
        <v>4968</v>
      </c>
      <c r="F2304" s="13">
        <v>46019</v>
      </c>
      <c r="G2304" s="24">
        <v>195778.06</v>
      </c>
      <c r="H2304" s="27">
        <v>183737.71</v>
      </c>
      <c r="I2304" s="3">
        <v>46097</v>
      </c>
      <c r="J2304" s="102">
        <v>46111</v>
      </c>
      <c r="K2304" s="12">
        <v>46111</v>
      </c>
      <c r="L2304" s="19" t="s">
        <v>731</v>
      </c>
      <c r="M2304" s="36">
        <v>0</v>
      </c>
      <c r="N2304"/>
      <c r="O2304" t="s">
        <v>199</v>
      </c>
      <c r="P2304" t="s">
        <v>376</v>
      </c>
      <c r="Q2304" t="s">
        <v>207</v>
      </c>
    </row>
    <row r="2305" spans="1:17" x14ac:dyDescent="0.3">
      <c r="A2305" s="25">
        <v>1268</v>
      </c>
      <c r="B2305" t="s">
        <v>193</v>
      </c>
      <c r="C2305" t="s">
        <v>141</v>
      </c>
      <c r="D2305" t="s">
        <v>383</v>
      </c>
      <c r="E2305" s="118">
        <v>4969</v>
      </c>
      <c r="F2305" s="13">
        <v>46019</v>
      </c>
      <c r="G2305" s="24">
        <v>123712.73</v>
      </c>
      <c r="H2305" s="27">
        <v>116104.4</v>
      </c>
      <c r="I2305" s="3">
        <v>46097</v>
      </c>
      <c r="J2305" s="102">
        <v>46111</v>
      </c>
      <c r="K2305" s="12">
        <v>46111</v>
      </c>
      <c r="L2305" s="19" t="s">
        <v>731</v>
      </c>
      <c r="M2305" s="36">
        <v>0</v>
      </c>
      <c r="N2305"/>
      <c r="O2305" t="s">
        <v>199</v>
      </c>
      <c r="P2305" t="s">
        <v>376</v>
      </c>
      <c r="Q2305" t="s">
        <v>207</v>
      </c>
    </row>
    <row r="2306" spans="1:17" x14ac:dyDescent="0.3">
      <c r="A2306" s="25">
        <v>1268</v>
      </c>
      <c r="B2306" t="s">
        <v>193</v>
      </c>
      <c r="C2306" t="s">
        <v>141</v>
      </c>
      <c r="D2306" t="s">
        <v>383</v>
      </c>
      <c r="E2306" s="118">
        <v>4970</v>
      </c>
      <c r="F2306" s="13">
        <v>46019</v>
      </c>
      <c r="G2306" s="24">
        <v>17792.04</v>
      </c>
      <c r="H2306" s="27">
        <v>16697.830000000002</v>
      </c>
      <c r="I2306" s="3">
        <v>46097</v>
      </c>
      <c r="J2306" s="102">
        <v>46111</v>
      </c>
      <c r="K2306" s="12">
        <v>46111</v>
      </c>
      <c r="L2306" s="19" t="s">
        <v>731</v>
      </c>
      <c r="M2306" s="36">
        <v>0</v>
      </c>
      <c r="N2306"/>
      <c r="O2306" t="s">
        <v>199</v>
      </c>
      <c r="P2306" t="s">
        <v>376</v>
      </c>
      <c r="Q2306" t="s">
        <v>207</v>
      </c>
    </row>
    <row r="2307" spans="1:17" x14ac:dyDescent="0.3">
      <c r="A2307" s="25">
        <v>1268</v>
      </c>
      <c r="B2307" t="s">
        <v>193</v>
      </c>
      <c r="C2307" t="s">
        <v>141</v>
      </c>
      <c r="D2307" t="s">
        <v>383</v>
      </c>
      <c r="E2307" s="118">
        <v>4971</v>
      </c>
      <c r="F2307" s="13">
        <v>46019</v>
      </c>
      <c r="G2307" s="24">
        <v>163065.57999999999</v>
      </c>
      <c r="H2307" s="27">
        <v>153037.04999999999</v>
      </c>
      <c r="I2307" s="3">
        <v>46097</v>
      </c>
      <c r="J2307" s="102">
        <v>46111</v>
      </c>
      <c r="K2307" s="12">
        <v>46111</v>
      </c>
      <c r="L2307" s="19" t="s">
        <v>731</v>
      </c>
      <c r="M2307" s="36">
        <v>0</v>
      </c>
      <c r="N2307"/>
      <c r="O2307" t="s">
        <v>199</v>
      </c>
      <c r="P2307" t="s">
        <v>376</v>
      </c>
      <c r="Q2307" t="s">
        <v>207</v>
      </c>
    </row>
    <row r="2308" spans="1:17" x14ac:dyDescent="0.3">
      <c r="A2308" s="25">
        <v>1268</v>
      </c>
      <c r="B2308" t="s">
        <v>193</v>
      </c>
      <c r="C2308" t="s">
        <v>141</v>
      </c>
      <c r="D2308" t="s">
        <v>383</v>
      </c>
      <c r="E2308" s="118">
        <v>4972</v>
      </c>
      <c r="F2308" s="13">
        <v>46019</v>
      </c>
      <c r="G2308" s="24">
        <v>1370424.99</v>
      </c>
      <c r="H2308" s="27">
        <v>1286143.8600000001</v>
      </c>
      <c r="I2308" s="3">
        <v>46097</v>
      </c>
      <c r="J2308" s="102">
        <v>46111</v>
      </c>
      <c r="K2308" s="12">
        <v>46111</v>
      </c>
      <c r="L2308" s="19" t="s">
        <v>731</v>
      </c>
      <c r="M2308" s="36">
        <v>0</v>
      </c>
      <c r="N2308"/>
      <c r="O2308" t="s">
        <v>199</v>
      </c>
      <c r="P2308" t="s">
        <v>376</v>
      </c>
      <c r="Q2308" t="s">
        <v>207</v>
      </c>
    </row>
    <row r="2309" spans="1:17" x14ac:dyDescent="0.3">
      <c r="A2309" s="25">
        <v>1268</v>
      </c>
      <c r="B2309" t="s">
        <v>193</v>
      </c>
      <c r="C2309" t="s">
        <v>141</v>
      </c>
      <c r="D2309" t="s">
        <v>383</v>
      </c>
      <c r="E2309" s="118">
        <v>4973</v>
      </c>
      <c r="F2309" s="13">
        <v>46019</v>
      </c>
      <c r="G2309" s="24">
        <v>27613.82</v>
      </c>
      <c r="H2309" s="27">
        <v>25915.58</v>
      </c>
      <c r="I2309" s="3">
        <v>46097</v>
      </c>
      <c r="J2309" s="102">
        <v>46111</v>
      </c>
      <c r="K2309" s="12">
        <v>46111</v>
      </c>
      <c r="L2309" s="19" t="s">
        <v>731</v>
      </c>
      <c r="M2309" s="36">
        <v>0</v>
      </c>
      <c r="N2309"/>
      <c r="O2309" t="s">
        <v>199</v>
      </c>
      <c r="P2309" t="s">
        <v>376</v>
      </c>
      <c r="Q2309" t="s">
        <v>207</v>
      </c>
    </row>
    <row r="2310" spans="1:17" x14ac:dyDescent="0.3">
      <c r="A2310" s="25">
        <v>1268</v>
      </c>
      <c r="B2310" t="s">
        <v>193</v>
      </c>
      <c r="C2310" t="s">
        <v>141</v>
      </c>
      <c r="D2310" t="s">
        <v>383</v>
      </c>
      <c r="E2310" s="118">
        <v>5076</v>
      </c>
      <c r="F2310" s="16">
        <v>46019</v>
      </c>
      <c r="G2310" s="27">
        <v>303155.76</v>
      </c>
      <c r="H2310" s="27">
        <v>284511.68</v>
      </c>
      <c r="I2310" s="3">
        <v>46125</v>
      </c>
      <c r="J2310" s="102">
        <v>46139</v>
      </c>
      <c r="K2310" s="12">
        <v>46141</v>
      </c>
      <c r="L2310" s="19" t="s">
        <v>731</v>
      </c>
      <c r="M2310" s="36">
        <v>0</v>
      </c>
      <c r="N2310"/>
      <c r="O2310" t="s">
        <v>199</v>
      </c>
      <c r="P2310" t="s">
        <v>376</v>
      </c>
      <c r="Q2310" t="s">
        <v>207</v>
      </c>
    </row>
    <row r="2311" spans="1:17" x14ac:dyDescent="0.3">
      <c r="A2311" s="25">
        <v>1268</v>
      </c>
      <c r="B2311" t="s">
        <v>193</v>
      </c>
      <c r="C2311" t="s">
        <v>141</v>
      </c>
      <c r="D2311" t="s">
        <v>383</v>
      </c>
      <c r="E2311" s="118">
        <v>5071</v>
      </c>
      <c r="F2311" s="16">
        <v>46019</v>
      </c>
      <c r="G2311" s="27">
        <v>263446.34000000003</v>
      </c>
      <c r="H2311" s="27">
        <v>247244.39</v>
      </c>
      <c r="I2311" s="3">
        <v>46125</v>
      </c>
      <c r="J2311" s="102">
        <v>46139</v>
      </c>
      <c r="K2311" s="12">
        <v>46141</v>
      </c>
      <c r="L2311" s="19" t="s">
        <v>731</v>
      </c>
      <c r="M2311" s="36">
        <v>0</v>
      </c>
      <c r="N2311"/>
      <c r="O2311" t="s">
        <v>199</v>
      </c>
      <c r="P2311" t="s">
        <v>376</v>
      </c>
      <c r="Q2311" t="s">
        <v>207</v>
      </c>
    </row>
    <row r="2312" spans="1:17" x14ac:dyDescent="0.3">
      <c r="A2312" s="25">
        <v>1268</v>
      </c>
      <c r="B2312" t="s">
        <v>193</v>
      </c>
      <c r="C2312" t="s">
        <v>141</v>
      </c>
      <c r="D2312" t="s">
        <v>383</v>
      </c>
      <c r="E2312" s="118">
        <v>5077</v>
      </c>
      <c r="F2312" s="16">
        <v>46019</v>
      </c>
      <c r="G2312" s="27">
        <v>1195960.82</v>
      </c>
      <c r="H2312" s="27">
        <v>1122409.23</v>
      </c>
      <c r="I2312" s="3">
        <v>46125</v>
      </c>
      <c r="J2312" s="102">
        <v>46139</v>
      </c>
      <c r="K2312" s="12">
        <v>46141</v>
      </c>
      <c r="L2312" s="19" t="s">
        <v>731</v>
      </c>
      <c r="M2312" s="36">
        <v>0</v>
      </c>
      <c r="N2312"/>
      <c r="O2312" t="s">
        <v>199</v>
      </c>
      <c r="P2312" t="s">
        <v>376</v>
      </c>
      <c r="Q2312" t="s">
        <v>207</v>
      </c>
    </row>
    <row r="2313" spans="1:17" x14ac:dyDescent="0.3">
      <c r="A2313" s="25">
        <v>1268</v>
      </c>
      <c r="B2313" t="s">
        <v>193</v>
      </c>
      <c r="C2313" t="s">
        <v>141</v>
      </c>
      <c r="D2313" t="s">
        <v>383</v>
      </c>
      <c r="E2313" s="118">
        <v>5149</v>
      </c>
      <c r="F2313" s="13">
        <v>46140</v>
      </c>
      <c r="G2313" s="24">
        <v>1121693.31</v>
      </c>
      <c r="H2313" s="24">
        <v>1052709.17</v>
      </c>
      <c r="I2313" s="3">
        <v>46156</v>
      </c>
      <c r="J2313" s="102">
        <v>46167</v>
      </c>
      <c r="K2313" s="12">
        <v>46170</v>
      </c>
      <c r="L2313" s="19" t="s">
        <v>731</v>
      </c>
      <c r="M2313" s="36">
        <v>0</v>
      </c>
      <c r="N2313"/>
      <c r="O2313" t="s">
        <v>199</v>
      </c>
      <c r="P2313" t="s">
        <v>376</v>
      </c>
      <c r="Q2313" t="s">
        <v>207</v>
      </c>
    </row>
    <row r="2314" spans="1:17" x14ac:dyDescent="0.3">
      <c r="A2314" s="25">
        <v>1268</v>
      </c>
      <c r="B2314" t="s">
        <v>193</v>
      </c>
      <c r="C2314" t="s">
        <v>141</v>
      </c>
      <c r="D2314" t="s">
        <v>383</v>
      </c>
      <c r="E2314" s="118">
        <v>5150</v>
      </c>
      <c r="F2314" s="13">
        <v>46140</v>
      </c>
      <c r="G2314" s="24">
        <v>202174.25</v>
      </c>
      <c r="H2314" s="24">
        <v>189740.54</v>
      </c>
      <c r="I2314" s="3">
        <v>46156</v>
      </c>
      <c r="J2314" s="102">
        <v>46167</v>
      </c>
      <c r="K2314" s="12">
        <v>46170</v>
      </c>
      <c r="L2314" s="19" t="s">
        <v>731</v>
      </c>
      <c r="M2314" s="36">
        <v>0</v>
      </c>
      <c r="N2314"/>
      <c r="O2314" t="s">
        <v>199</v>
      </c>
      <c r="P2314" t="s">
        <v>376</v>
      </c>
      <c r="Q2314" t="s">
        <v>207</v>
      </c>
    </row>
    <row r="2315" spans="1:17" x14ac:dyDescent="0.3">
      <c r="A2315" s="25">
        <v>1268</v>
      </c>
      <c r="B2315" t="s">
        <v>193</v>
      </c>
      <c r="C2315" t="s">
        <v>141</v>
      </c>
      <c r="D2315" t="s">
        <v>383</v>
      </c>
      <c r="E2315" s="118">
        <v>5151</v>
      </c>
      <c r="F2315" s="13">
        <v>46140</v>
      </c>
      <c r="G2315" s="24">
        <v>231588.76</v>
      </c>
      <c r="H2315" s="24">
        <v>217346.05</v>
      </c>
      <c r="I2315" s="3">
        <v>46156</v>
      </c>
      <c r="J2315" s="102">
        <v>46167</v>
      </c>
      <c r="K2315" s="12">
        <v>46170</v>
      </c>
      <c r="L2315" s="19" t="s">
        <v>731</v>
      </c>
      <c r="M2315" s="36">
        <v>0</v>
      </c>
      <c r="N2315"/>
      <c r="O2315" t="s">
        <v>199</v>
      </c>
      <c r="P2315" t="s">
        <v>376</v>
      </c>
      <c r="Q2315" t="s">
        <v>207</v>
      </c>
    </row>
    <row r="2316" spans="1:17" x14ac:dyDescent="0.3">
      <c r="A2316" s="25">
        <v>1268</v>
      </c>
      <c r="B2316" t="s">
        <v>193</v>
      </c>
      <c r="C2316" t="s">
        <v>141</v>
      </c>
      <c r="D2316" t="s">
        <v>383</v>
      </c>
      <c r="E2316" s="118"/>
      <c r="F2316" s="13">
        <v>46109</v>
      </c>
      <c r="G2316" s="24">
        <v>1538846</v>
      </c>
      <c r="H2316" s="27">
        <v>25915.57</v>
      </c>
      <c r="I2316" s="3">
        <v>46174</v>
      </c>
      <c r="J2316" s="102">
        <v>46195</v>
      </c>
      <c r="K2316" s="12"/>
      <c r="L2316" s="19" t="s">
        <v>719</v>
      </c>
      <c r="M2316" s="36">
        <v>0</v>
      </c>
      <c r="N2316"/>
      <c r="O2316" t="s">
        <v>199</v>
      </c>
      <c r="P2316" t="s">
        <v>376</v>
      </c>
      <c r="Q2316" t="s">
        <v>207</v>
      </c>
    </row>
    <row r="2317" spans="1:17" x14ac:dyDescent="0.3">
      <c r="A2317" s="25">
        <v>1268</v>
      </c>
      <c r="B2317" t="s">
        <v>193</v>
      </c>
      <c r="C2317" t="s">
        <v>141</v>
      </c>
      <c r="D2317" t="s">
        <v>383</v>
      </c>
      <c r="E2317" s="116">
        <v>4591</v>
      </c>
      <c r="F2317" s="16">
        <v>45989</v>
      </c>
      <c r="G2317" s="24">
        <v>186269.84</v>
      </c>
      <c r="H2317" s="24">
        <v>174814.24</v>
      </c>
      <c r="I2317" s="3">
        <v>45992</v>
      </c>
      <c r="J2317" s="102">
        <v>46013</v>
      </c>
      <c r="K2317" s="12">
        <v>46013</v>
      </c>
      <c r="L2317" s="19" t="s">
        <v>731</v>
      </c>
      <c r="M2317" s="36">
        <v>0</v>
      </c>
      <c r="N2317"/>
      <c r="O2317" t="s">
        <v>199</v>
      </c>
      <c r="P2317" t="s">
        <v>376</v>
      </c>
      <c r="Q2317" t="s">
        <v>207</v>
      </c>
    </row>
    <row r="2318" spans="1:17" x14ac:dyDescent="0.3">
      <c r="A2318" s="25">
        <v>1268</v>
      </c>
      <c r="B2318" t="s">
        <v>193</v>
      </c>
      <c r="C2318" t="s">
        <v>141</v>
      </c>
      <c r="D2318" t="s">
        <v>383</v>
      </c>
      <c r="E2318" s="116">
        <v>4592</v>
      </c>
      <c r="F2318" s="16">
        <v>45989</v>
      </c>
      <c r="G2318" s="24">
        <v>2247971.7200000002</v>
      </c>
      <c r="H2318" s="24">
        <v>2109721.46</v>
      </c>
      <c r="I2318" s="3">
        <v>45992</v>
      </c>
      <c r="J2318" s="102">
        <v>46013</v>
      </c>
      <c r="K2318" s="12">
        <v>46013</v>
      </c>
      <c r="L2318" s="19" t="s">
        <v>731</v>
      </c>
      <c r="M2318" s="36">
        <v>0</v>
      </c>
      <c r="N2318"/>
      <c r="O2318" t="s">
        <v>199</v>
      </c>
      <c r="P2318" t="s">
        <v>376</v>
      </c>
      <c r="Q2318" t="s">
        <v>207</v>
      </c>
    </row>
    <row r="2319" spans="1:17" x14ac:dyDescent="0.3">
      <c r="A2319" s="25">
        <v>1268</v>
      </c>
      <c r="B2319" t="s">
        <v>193</v>
      </c>
      <c r="C2319" t="s">
        <v>141</v>
      </c>
      <c r="D2319" t="s">
        <v>383</v>
      </c>
      <c r="E2319" s="116">
        <v>4593</v>
      </c>
      <c r="F2319" s="16">
        <v>45989</v>
      </c>
      <c r="G2319" s="24">
        <v>65105.2</v>
      </c>
      <c r="H2319" s="24">
        <v>61101.23</v>
      </c>
      <c r="I2319" s="3">
        <v>45992</v>
      </c>
      <c r="J2319" s="102">
        <v>46013</v>
      </c>
      <c r="K2319" s="12">
        <v>46013</v>
      </c>
      <c r="L2319" s="19" t="s">
        <v>731</v>
      </c>
      <c r="M2319" s="36">
        <v>0</v>
      </c>
      <c r="N2319"/>
      <c r="O2319" t="s">
        <v>199</v>
      </c>
      <c r="P2319" t="s">
        <v>376</v>
      </c>
      <c r="Q2319" t="s">
        <v>207</v>
      </c>
    </row>
    <row r="2320" spans="1:17" x14ac:dyDescent="0.3">
      <c r="A2320" s="25">
        <v>1268</v>
      </c>
      <c r="B2320" t="s">
        <v>193</v>
      </c>
      <c r="C2320" t="s">
        <v>141</v>
      </c>
      <c r="D2320" t="s">
        <v>383</v>
      </c>
      <c r="E2320" s="116">
        <v>4594</v>
      </c>
      <c r="F2320" s="16">
        <v>45989</v>
      </c>
      <c r="G2320" s="24">
        <v>1618105.53</v>
      </c>
      <c r="H2320" s="24">
        <v>1518592.05</v>
      </c>
      <c r="I2320" s="3">
        <v>45992</v>
      </c>
      <c r="J2320" s="102">
        <v>46013</v>
      </c>
      <c r="K2320" s="12">
        <v>46013</v>
      </c>
      <c r="L2320" s="19" t="s">
        <v>731</v>
      </c>
      <c r="M2320" s="36">
        <v>0</v>
      </c>
      <c r="N2320"/>
      <c r="O2320" t="s">
        <v>199</v>
      </c>
      <c r="P2320" t="s">
        <v>376</v>
      </c>
      <c r="Q2320" t="s">
        <v>207</v>
      </c>
    </row>
    <row r="2321" spans="1:17" x14ac:dyDescent="0.3">
      <c r="A2321" s="25">
        <v>1268</v>
      </c>
      <c r="B2321" t="s">
        <v>193</v>
      </c>
      <c r="C2321" t="s">
        <v>141</v>
      </c>
      <c r="D2321" t="s">
        <v>383</v>
      </c>
      <c r="E2321" s="116">
        <v>4595</v>
      </c>
      <c r="F2321" s="16">
        <v>45989</v>
      </c>
      <c r="G2321" s="24">
        <v>109733.7</v>
      </c>
      <c r="H2321" s="24">
        <v>102985.07</v>
      </c>
      <c r="I2321" s="3">
        <v>45992</v>
      </c>
      <c r="J2321" s="102">
        <v>46013</v>
      </c>
      <c r="K2321" s="12">
        <v>46013</v>
      </c>
      <c r="L2321" s="19" t="s">
        <v>731</v>
      </c>
      <c r="M2321" s="36">
        <v>0</v>
      </c>
      <c r="N2321"/>
      <c r="O2321" t="s">
        <v>199</v>
      </c>
      <c r="P2321" t="s">
        <v>376</v>
      </c>
      <c r="Q2321" t="s">
        <v>207</v>
      </c>
    </row>
    <row r="2322" spans="1:17" x14ac:dyDescent="0.3">
      <c r="A2322" s="25">
        <v>1275</v>
      </c>
      <c r="B2322" t="s">
        <v>193</v>
      </c>
      <c r="C2322" t="s">
        <v>165</v>
      </c>
      <c r="D2322" t="s">
        <v>391</v>
      </c>
      <c r="E2322" s="121">
        <v>4580</v>
      </c>
      <c r="F2322" s="13">
        <v>45989</v>
      </c>
      <c r="G2322" s="24">
        <v>16767.240000000002</v>
      </c>
      <c r="H2322" s="24">
        <v>15736.05</v>
      </c>
      <c r="I2322" s="3">
        <v>45992</v>
      </c>
      <c r="J2322" s="102">
        <v>46020</v>
      </c>
      <c r="K2322" s="12">
        <v>46021</v>
      </c>
      <c r="L2322" s="19" t="s">
        <v>731</v>
      </c>
      <c r="M2322" s="36">
        <v>0</v>
      </c>
      <c r="N2322" s="26"/>
      <c r="O2322" t="s">
        <v>199</v>
      </c>
      <c r="P2322" t="s">
        <v>376</v>
      </c>
      <c r="Q2322" t="s">
        <v>207</v>
      </c>
    </row>
    <row r="2323" spans="1:17" x14ac:dyDescent="0.3">
      <c r="A2323" s="25">
        <v>1275</v>
      </c>
      <c r="B2323" t="s">
        <v>193</v>
      </c>
      <c r="C2323" t="s">
        <v>165</v>
      </c>
      <c r="D2323" t="s">
        <v>391</v>
      </c>
      <c r="E2323" s="121">
        <v>4581</v>
      </c>
      <c r="F2323" s="13">
        <v>46019</v>
      </c>
      <c r="G2323" s="24">
        <v>16767.240000000002</v>
      </c>
      <c r="H2323" s="24">
        <v>15736.05</v>
      </c>
      <c r="I2323" s="3">
        <v>45992</v>
      </c>
      <c r="J2323" s="102">
        <v>46034</v>
      </c>
      <c r="K2323" s="12">
        <v>46037</v>
      </c>
      <c r="L2323" s="19" t="s">
        <v>731</v>
      </c>
      <c r="M2323" s="36">
        <v>0</v>
      </c>
      <c r="N2323" s="26"/>
      <c r="O2323" t="s">
        <v>199</v>
      </c>
      <c r="P2323" t="s">
        <v>376</v>
      </c>
      <c r="Q2323" t="s">
        <v>207</v>
      </c>
    </row>
    <row r="2324" spans="1:17" x14ac:dyDescent="0.3">
      <c r="A2324" s="25">
        <v>1479</v>
      </c>
      <c r="B2324" t="s">
        <v>193</v>
      </c>
      <c r="C2324" t="s">
        <v>165</v>
      </c>
      <c r="D2324" t="s">
        <v>629</v>
      </c>
      <c r="E2324" s="121">
        <v>4582</v>
      </c>
      <c r="F2324" s="13">
        <v>45989</v>
      </c>
      <c r="G2324" s="24">
        <v>26040</v>
      </c>
      <c r="H2324" s="24">
        <v>24438.54</v>
      </c>
      <c r="I2324" s="3">
        <v>45992</v>
      </c>
      <c r="J2324" s="102">
        <v>46020</v>
      </c>
      <c r="K2324" s="12">
        <v>46021</v>
      </c>
      <c r="L2324" s="19" t="s">
        <v>731</v>
      </c>
      <c r="M2324" s="36">
        <v>0</v>
      </c>
      <c r="N2324" s="26"/>
      <c r="O2324" t="s">
        <v>201</v>
      </c>
      <c r="P2324" t="s">
        <v>376</v>
      </c>
      <c r="Q2324" t="s">
        <v>207</v>
      </c>
    </row>
    <row r="2325" spans="1:17" x14ac:dyDescent="0.3">
      <c r="A2325" s="25">
        <v>1479</v>
      </c>
      <c r="B2325" t="s">
        <v>193</v>
      </c>
      <c r="C2325" t="s">
        <v>165</v>
      </c>
      <c r="D2325" t="s">
        <v>629</v>
      </c>
      <c r="E2325" s="121">
        <v>4583</v>
      </c>
      <c r="F2325" s="13">
        <v>46019</v>
      </c>
      <c r="G2325" s="24">
        <v>26040</v>
      </c>
      <c r="H2325" s="24">
        <v>24438.54</v>
      </c>
      <c r="I2325" s="3">
        <v>45992</v>
      </c>
      <c r="J2325" s="102">
        <v>46034</v>
      </c>
      <c r="K2325" s="12">
        <v>46037</v>
      </c>
      <c r="L2325" s="19" t="s">
        <v>731</v>
      </c>
      <c r="M2325" s="36">
        <v>0</v>
      </c>
      <c r="N2325" s="26"/>
      <c r="O2325" t="s">
        <v>201</v>
      </c>
      <c r="P2325" t="s">
        <v>376</v>
      </c>
      <c r="Q2325" t="s">
        <v>207</v>
      </c>
    </row>
    <row r="2326" spans="1:17" x14ac:dyDescent="0.3">
      <c r="A2326" s="25">
        <v>1479</v>
      </c>
      <c r="B2326" t="s">
        <v>193</v>
      </c>
      <c r="C2326" t="s">
        <v>165</v>
      </c>
      <c r="D2326" t="s">
        <v>629</v>
      </c>
      <c r="E2326" s="121">
        <v>4823</v>
      </c>
      <c r="F2326" s="13">
        <v>46051</v>
      </c>
      <c r="G2326" s="27">
        <v>26040</v>
      </c>
      <c r="H2326" s="24">
        <v>24438.54</v>
      </c>
      <c r="I2326" s="3">
        <v>46059</v>
      </c>
      <c r="J2326" s="102">
        <v>46076</v>
      </c>
      <c r="K2326" s="12">
        <v>46080</v>
      </c>
      <c r="L2326" s="19" t="s">
        <v>731</v>
      </c>
      <c r="M2326" s="36">
        <v>0</v>
      </c>
      <c r="N2326" s="26"/>
      <c r="O2326" t="s">
        <v>201</v>
      </c>
      <c r="P2326" t="s">
        <v>376</v>
      </c>
      <c r="Q2326" t="s">
        <v>207</v>
      </c>
    </row>
    <row r="2327" spans="1:17" x14ac:dyDescent="0.3">
      <c r="A2327" s="25">
        <v>1479</v>
      </c>
      <c r="B2327" t="s">
        <v>193</v>
      </c>
      <c r="C2327" t="s">
        <v>165</v>
      </c>
      <c r="D2327" t="s">
        <v>629</v>
      </c>
      <c r="E2327" s="121">
        <v>4912</v>
      </c>
      <c r="F2327" s="13">
        <v>46081</v>
      </c>
      <c r="G2327" s="27">
        <v>26040</v>
      </c>
      <c r="H2327" s="24">
        <v>24438.54</v>
      </c>
      <c r="I2327" s="3">
        <v>46087</v>
      </c>
      <c r="J2327" s="102">
        <v>46111</v>
      </c>
      <c r="K2327" s="12">
        <v>46111</v>
      </c>
      <c r="L2327" s="19" t="s">
        <v>731</v>
      </c>
      <c r="M2327" s="36">
        <v>0</v>
      </c>
      <c r="N2327" s="26"/>
      <c r="O2327" t="s">
        <v>201</v>
      </c>
      <c r="P2327" t="s">
        <v>376</v>
      </c>
      <c r="Q2327" t="s">
        <v>207</v>
      </c>
    </row>
    <row r="2328" spans="1:17" x14ac:dyDescent="0.3">
      <c r="A2328" s="25">
        <v>1479</v>
      </c>
      <c r="B2328" t="s">
        <v>193</v>
      </c>
      <c r="C2328" t="s">
        <v>165</v>
      </c>
      <c r="D2328" t="s">
        <v>629</v>
      </c>
      <c r="E2328" s="121">
        <v>5021</v>
      </c>
      <c r="F2328" s="13">
        <v>46109</v>
      </c>
      <c r="G2328" s="24">
        <v>26040</v>
      </c>
      <c r="H2328" s="24">
        <v>24438.54</v>
      </c>
      <c r="I2328" s="3">
        <v>46113</v>
      </c>
      <c r="J2328" s="161">
        <v>46146</v>
      </c>
      <c r="K2328" s="12">
        <v>46148</v>
      </c>
      <c r="L2328" s="19" t="s">
        <v>731</v>
      </c>
      <c r="M2328" s="36">
        <v>0</v>
      </c>
      <c r="N2328" s="26"/>
      <c r="O2328" t="s">
        <v>201</v>
      </c>
      <c r="P2328" t="s">
        <v>376</v>
      </c>
      <c r="Q2328" t="s">
        <v>207</v>
      </c>
    </row>
    <row r="2329" spans="1:17" x14ac:dyDescent="0.3">
      <c r="A2329" s="25">
        <v>1479</v>
      </c>
      <c r="B2329" t="s">
        <v>193</v>
      </c>
      <c r="C2329" t="s">
        <v>165</v>
      </c>
      <c r="D2329" t="s">
        <v>629</v>
      </c>
      <c r="E2329" s="121">
        <v>5121</v>
      </c>
      <c r="F2329" s="13">
        <v>46140</v>
      </c>
      <c r="G2329" s="24">
        <v>26040</v>
      </c>
      <c r="H2329" s="24">
        <v>24438.54</v>
      </c>
      <c r="I2329" s="3">
        <v>46148</v>
      </c>
      <c r="J2329" s="102">
        <v>46167</v>
      </c>
      <c r="K2329" s="12">
        <v>46171</v>
      </c>
      <c r="L2329" s="19" t="s">
        <v>731</v>
      </c>
      <c r="M2329" s="36">
        <v>0</v>
      </c>
      <c r="N2329" s="26"/>
      <c r="O2329" t="s">
        <v>201</v>
      </c>
      <c r="P2329" t="s">
        <v>376</v>
      </c>
      <c r="Q2329" t="s">
        <v>207</v>
      </c>
    </row>
    <row r="2330" spans="1:17" x14ac:dyDescent="0.3">
      <c r="A2330" s="25">
        <v>1479</v>
      </c>
      <c r="B2330" t="s">
        <v>193</v>
      </c>
      <c r="C2330" t="s">
        <v>165</v>
      </c>
      <c r="D2330" t="s">
        <v>629</v>
      </c>
      <c r="E2330" s="121">
        <v>5228</v>
      </c>
      <c r="F2330" s="13">
        <v>46170</v>
      </c>
      <c r="G2330" s="24">
        <v>5208</v>
      </c>
      <c r="H2330" s="24">
        <v>4887.71</v>
      </c>
      <c r="I2330" s="3">
        <v>46181</v>
      </c>
      <c r="J2330" s="102">
        <v>46202</v>
      </c>
      <c r="K2330" s="12"/>
      <c r="L2330" s="19" t="s">
        <v>730</v>
      </c>
      <c r="M2330" s="36">
        <v>0</v>
      </c>
      <c r="N2330" s="26"/>
      <c r="O2330" t="s">
        <v>201</v>
      </c>
      <c r="P2330" t="s">
        <v>376</v>
      </c>
      <c r="Q2330" t="s">
        <v>207</v>
      </c>
    </row>
    <row r="2331" spans="1:17" x14ac:dyDescent="0.3">
      <c r="A2331" s="25">
        <v>1479</v>
      </c>
      <c r="B2331" t="s">
        <v>193</v>
      </c>
      <c r="C2331" t="s">
        <v>165</v>
      </c>
      <c r="D2331" t="s">
        <v>629</v>
      </c>
      <c r="E2331" s="121">
        <v>5229</v>
      </c>
      <c r="F2331" s="13">
        <v>46170</v>
      </c>
      <c r="G2331" s="24">
        <v>27342</v>
      </c>
      <c r="H2331" s="24">
        <v>25660.46</v>
      </c>
      <c r="I2331" s="3">
        <v>46181</v>
      </c>
      <c r="J2331" s="102">
        <v>46202</v>
      </c>
      <c r="K2331" s="12"/>
      <c r="L2331" s="19" t="s">
        <v>730</v>
      </c>
      <c r="M2331" s="36">
        <v>0</v>
      </c>
      <c r="N2331" s="26"/>
      <c r="O2331" t="s">
        <v>201</v>
      </c>
      <c r="P2331" t="s">
        <v>376</v>
      </c>
      <c r="Q2331" t="s">
        <v>207</v>
      </c>
    </row>
    <row r="2332" spans="1:17" x14ac:dyDescent="0.3">
      <c r="A2332" s="25">
        <v>1296</v>
      </c>
      <c r="B2332" t="s">
        <v>84</v>
      </c>
      <c r="C2332" t="s">
        <v>34</v>
      </c>
      <c r="D2332" t="s">
        <v>416</v>
      </c>
      <c r="E2332" s="119">
        <v>1321</v>
      </c>
      <c r="F2332" s="13">
        <v>46019</v>
      </c>
      <c r="G2332" s="24">
        <v>165040.49</v>
      </c>
      <c r="H2332" s="24">
        <v>151589.70000000001</v>
      </c>
      <c r="I2332" s="54">
        <v>46008</v>
      </c>
      <c r="J2332" s="102">
        <v>46034</v>
      </c>
      <c r="K2332" s="29">
        <v>46038</v>
      </c>
      <c r="L2332" s="37" t="s">
        <v>731</v>
      </c>
      <c r="M2332" s="58"/>
      <c r="N2332" s="26"/>
      <c r="O2332" t="s">
        <v>202</v>
      </c>
      <c r="P2332" t="s">
        <v>328</v>
      </c>
      <c r="Q2332" t="s">
        <v>207</v>
      </c>
    </row>
    <row r="2333" spans="1:17" x14ac:dyDescent="0.3">
      <c r="A2333" s="25">
        <v>1519</v>
      </c>
      <c r="B2333" t="s">
        <v>84</v>
      </c>
      <c r="C2333" t="s">
        <v>34</v>
      </c>
      <c r="D2333" t="s">
        <v>670</v>
      </c>
      <c r="E2333" s="121">
        <v>1335</v>
      </c>
      <c r="F2333" s="13">
        <v>46051</v>
      </c>
      <c r="G2333" s="131">
        <v>138387.1</v>
      </c>
      <c r="H2333" s="27">
        <v>127108.55</v>
      </c>
      <c r="I2333" s="3">
        <v>46079</v>
      </c>
      <c r="J2333" s="102">
        <v>46118</v>
      </c>
      <c r="K2333" s="29">
        <v>46118</v>
      </c>
      <c r="L2333" s="19" t="s">
        <v>731</v>
      </c>
      <c r="M2333" s="58"/>
      <c r="N2333" s="26"/>
      <c r="O2333" t="s">
        <v>202</v>
      </c>
      <c r="P2333" t="s">
        <v>328</v>
      </c>
      <c r="Q2333" t="s">
        <v>207</v>
      </c>
    </row>
    <row r="2334" spans="1:17" x14ac:dyDescent="0.3">
      <c r="A2334" s="25">
        <v>1519</v>
      </c>
      <c r="B2334" t="s">
        <v>84</v>
      </c>
      <c r="C2334" t="s">
        <v>34</v>
      </c>
      <c r="D2334" t="s">
        <v>670</v>
      </c>
      <c r="E2334" s="121">
        <v>1336</v>
      </c>
      <c r="F2334" s="13">
        <v>46051</v>
      </c>
      <c r="G2334" s="131">
        <v>174080.29</v>
      </c>
      <c r="H2334" s="24">
        <v>159892.75</v>
      </c>
      <c r="I2334" s="3">
        <v>46079</v>
      </c>
      <c r="J2334" s="102">
        <v>46118</v>
      </c>
      <c r="K2334" s="29">
        <v>46118</v>
      </c>
      <c r="L2334" s="19" t="s">
        <v>731</v>
      </c>
      <c r="M2334" s="58"/>
      <c r="N2334" s="26"/>
      <c r="O2334" t="s">
        <v>202</v>
      </c>
      <c r="P2334" t="s">
        <v>328</v>
      </c>
      <c r="Q2334" t="s">
        <v>207</v>
      </c>
    </row>
    <row r="2335" spans="1:17" x14ac:dyDescent="0.3">
      <c r="A2335" s="25">
        <v>1519</v>
      </c>
      <c r="B2335" t="s">
        <v>84</v>
      </c>
      <c r="C2335" t="s">
        <v>34</v>
      </c>
      <c r="D2335" t="s">
        <v>670</v>
      </c>
      <c r="E2335" s="121">
        <v>1338</v>
      </c>
      <c r="F2335" s="13">
        <v>46081</v>
      </c>
      <c r="G2335" s="131">
        <v>167860.33</v>
      </c>
      <c r="H2335" s="24">
        <v>154179.72</v>
      </c>
      <c r="I2335" s="3">
        <v>46091</v>
      </c>
      <c r="J2335" s="102">
        <v>46118</v>
      </c>
      <c r="K2335" s="29">
        <v>46118</v>
      </c>
      <c r="L2335" s="19" t="s">
        <v>731</v>
      </c>
      <c r="M2335" s="58"/>
      <c r="N2335" s="26"/>
      <c r="O2335" t="s">
        <v>202</v>
      </c>
      <c r="P2335" t="s">
        <v>328</v>
      </c>
      <c r="Q2335" t="s">
        <v>207</v>
      </c>
    </row>
    <row r="2336" spans="1:17" x14ac:dyDescent="0.3">
      <c r="A2336" s="25">
        <v>1519</v>
      </c>
      <c r="B2336" t="s">
        <v>84</v>
      </c>
      <c r="C2336" t="s">
        <v>34</v>
      </c>
      <c r="D2336" t="s">
        <v>670</v>
      </c>
      <c r="E2336" s="121">
        <v>1339</v>
      </c>
      <c r="F2336" s="13">
        <v>46081</v>
      </c>
      <c r="G2336" s="131">
        <v>159330.49</v>
      </c>
      <c r="H2336" s="24">
        <v>146345.06</v>
      </c>
      <c r="I2336" s="3">
        <v>46091</v>
      </c>
      <c r="J2336" s="102">
        <v>46118</v>
      </c>
      <c r="K2336" s="29">
        <v>46118</v>
      </c>
      <c r="L2336" s="19" t="s">
        <v>731</v>
      </c>
      <c r="M2336" s="58"/>
      <c r="N2336" s="26"/>
      <c r="O2336" t="s">
        <v>202</v>
      </c>
      <c r="P2336" t="s">
        <v>328</v>
      </c>
      <c r="Q2336" t="s">
        <v>207</v>
      </c>
    </row>
    <row r="2337" spans="1:17" x14ac:dyDescent="0.3">
      <c r="A2337" s="25">
        <v>1519</v>
      </c>
      <c r="B2337" t="s">
        <v>84</v>
      </c>
      <c r="C2337" t="s">
        <v>34</v>
      </c>
      <c r="D2337" t="s">
        <v>670</v>
      </c>
      <c r="E2337" s="121">
        <v>1344</v>
      </c>
      <c r="F2337" s="13">
        <v>46109</v>
      </c>
      <c r="G2337" s="131">
        <v>159330.49</v>
      </c>
      <c r="H2337" s="158">
        <v>146345.06</v>
      </c>
      <c r="I2337" s="3">
        <v>46122</v>
      </c>
      <c r="J2337" s="102">
        <v>46139</v>
      </c>
      <c r="K2337" s="29">
        <v>46139</v>
      </c>
      <c r="L2337" s="19" t="s">
        <v>731</v>
      </c>
      <c r="M2337" s="58"/>
      <c r="N2337" s="26"/>
      <c r="O2337" t="s">
        <v>202</v>
      </c>
      <c r="P2337" t="s">
        <v>328</v>
      </c>
      <c r="Q2337" t="s">
        <v>207</v>
      </c>
    </row>
    <row r="2338" spans="1:17" x14ac:dyDescent="0.3">
      <c r="A2338" s="25">
        <v>1519</v>
      </c>
      <c r="B2338" t="s">
        <v>84</v>
      </c>
      <c r="C2338" t="s">
        <v>34</v>
      </c>
      <c r="D2338" t="s">
        <v>670</v>
      </c>
      <c r="E2338" s="121">
        <v>1346</v>
      </c>
      <c r="F2338" s="13">
        <v>46140</v>
      </c>
      <c r="G2338" s="131">
        <v>159330.49</v>
      </c>
      <c r="H2338" s="24">
        <v>146345.06</v>
      </c>
      <c r="I2338" s="3">
        <v>46153</v>
      </c>
      <c r="J2338" s="102">
        <v>46167</v>
      </c>
      <c r="K2338" s="29">
        <v>46168</v>
      </c>
      <c r="L2338" s="19" t="s">
        <v>731</v>
      </c>
      <c r="M2338" s="58"/>
      <c r="N2338" s="26"/>
      <c r="O2338" t="s">
        <v>202</v>
      </c>
      <c r="P2338" t="s">
        <v>328</v>
      </c>
      <c r="Q2338" t="s">
        <v>207</v>
      </c>
    </row>
    <row r="2339" spans="1:17" x14ac:dyDescent="0.3">
      <c r="A2339" s="25">
        <v>1519</v>
      </c>
      <c r="B2339" t="s">
        <v>84</v>
      </c>
      <c r="C2339" t="s">
        <v>34</v>
      </c>
      <c r="D2339" t="s">
        <v>670</v>
      </c>
      <c r="E2339" s="121">
        <v>1347</v>
      </c>
      <c r="F2339" s="13">
        <v>46109</v>
      </c>
      <c r="G2339" s="131">
        <v>167543.32</v>
      </c>
      <c r="H2339" s="24">
        <v>153888.54</v>
      </c>
      <c r="I2339" s="3">
        <v>46154</v>
      </c>
      <c r="J2339" s="102">
        <v>46167</v>
      </c>
      <c r="K2339" s="29">
        <v>46168</v>
      </c>
      <c r="L2339" s="19" t="s">
        <v>731</v>
      </c>
      <c r="M2339" s="58"/>
      <c r="N2339" s="26"/>
      <c r="O2339" t="s">
        <v>202</v>
      </c>
      <c r="P2339" t="s">
        <v>328</v>
      </c>
      <c r="Q2339" t="s">
        <v>207</v>
      </c>
    </row>
    <row r="2340" spans="1:17" x14ac:dyDescent="0.3">
      <c r="A2340" s="25">
        <v>1519</v>
      </c>
      <c r="B2340" t="s">
        <v>84</v>
      </c>
      <c r="C2340" t="s">
        <v>34</v>
      </c>
      <c r="D2340" t="s">
        <v>670</v>
      </c>
      <c r="E2340" s="121">
        <v>1348</v>
      </c>
      <c r="F2340" s="13">
        <v>46140</v>
      </c>
      <c r="G2340" s="131">
        <v>141833.64000000001</v>
      </c>
      <c r="H2340" s="24">
        <v>130274.19</v>
      </c>
      <c r="I2340" s="3">
        <v>46154</v>
      </c>
      <c r="J2340" s="102">
        <v>46167</v>
      </c>
      <c r="K2340" s="29">
        <v>46168</v>
      </c>
      <c r="L2340" s="19" t="s">
        <v>731</v>
      </c>
      <c r="M2340" s="58"/>
      <c r="N2340" s="26"/>
      <c r="O2340" t="s">
        <v>202</v>
      </c>
      <c r="P2340" t="s">
        <v>328</v>
      </c>
      <c r="Q2340" t="s">
        <v>207</v>
      </c>
    </row>
    <row r="2341" spans="1:17" x14ac:dyDescent="0.3">
      <c r="A2341" s="25">
        <v>1519</v>
      </c>
      <c r="B2341" t="s">
        <v>84</v>
      </c>
      <c r="C2341" t="s">
        <v>34</v>
      </c>
      <c r="D2341" t="s">
        <v>670</v>
      </c>
      <c r="E2341" s="121">
        <v>1351</v>
      </c>
      <c r="F2341" s="13">
        <v>46170</v>
      </c>
      <c r="G2341" s="131">
        <v>159330.49</v>
      </c>
      <c r="H2341" s="24">
        <v>146345.07999999999</v>
      </c>
      <c r="I2341" s="3">
        <v>46178</v>
      </c>
      <c r="J2341" s="102">
        <v>46195</v>
      </c>
      <c r="K2341" s="29"/>
      <c r="L2341" s="19" t="s">
        <v>730</v>
      </c>
      <c r="M2341" s="58"/>
      <c r="N2341" s="26"/>
      <c r="O2341" t="s">
        <v>202</v>
      </c>
      <c r="P2341" t="s">
        <v>328</v>
      </c>
      <c r="Q2341" t="s">
        <v>207</v>
      </c>
    </row>
    <row r="2342" spans="1:17" x14ac:dyDescent="0.3">
      <c r="A2342" s="25">
        <v>1515</v>
      </c>
      <c r="B2342" t="s">
        <v>84</v>
      </c>
      <c r="C2342" t="s">
        <v>34</v>
      </c>
      <c r="D2342" t="s">
        <v>667</v>
      </c>
      <c r="E2342" s="121">
        <v>8790</v>
      </c>
      <c r="F2342" s="13">
        <v>46081</v>
      </c>
      <c r="G2342" s="27">
        <v>2978.76</v>
      </c>
      <c r="H2342" s="24">
        <v>2691.31</v>
      </c>
      <c r="I2342" s="3">
        <v>46086</v>
      </c>
      <c r="J2342" s="102">
        <v>46118</v>
      </c>
      <c r="K2342" s="29">
        <v>46118</v>
      </c>
      <c r="L2342" s="19" t="s">
        <v>731</v>
      </c>
      <c r="M2342" s="58"/>
      <c r="N2342" s="26"/>
      <c r="O2342" t="s">
        <v>202</v>
      </c>
      <c r="P2342" t="s">
        <v>328</v>
      </c>
      <c r="Q2342" t="s">
        <v>207</v>
      </c>
    </row>
    <row r="2343" spans="1:17" x14ac:dyDescent="0.3">
      <c r="A2343" s="25">
        <v>1515</v>
      </c>
      <c r="B2343" t="s">
        <v>84</v>
      </c>
      <c r="C2343" t="s">
        <v>34</v>
      </c>
      <c r="D2343" t="s">
        <v>667</v>
      </c>
      <c r="E2343" s="121">
        <v>8791</v>
      </c>
      <c r="F2343" s="13">
        <v>46081</v>
      </c>
      <c r="G2343" s="27">
        <v>47537.89</v>
      </c>
      <c r="H2343" s="24">
        <v>42950.47</v>
      </c>
      <c r="I2343" s="3">
        <v>46086</v>
      </c>
      <c r="J2343" s="102">
        <v>46118</v>
      </c>
      <c r="K2343" s="29">
        <v>46118</v>
      </c>
      <c r="L2343" s="19" t="s">
        <v>731</v>
      </c>
      <c r="M2343" s="58"/>
      <c r="N2343" s="26"/>
      <c r="O2343" t="s">
        <v>202</v>
      </c>
      <c r="P2343" t="s">
        <v>328</v>
      </c>
      <c r="Q2343" t="s">
        <v>207</v>
      </c>
    </row>
    <row r="2344" spans="1:17" x14ac:dyDescent="0.3">
      <c r="A2344" s="25">
        <v>1515</v>
      </c>
      <c r="B2344" t="s">
        <v>84</v>
      </c>
      <c r="C2344" t="s">
        <v>34</v>
      </c>
      <c r="D2344" t="s">
        <v>667</v>
      </c>
      <c r="E2344" s="148">
        <v>8825</v>
      </c>
      <c r="F2344" s="13">
        <v>46109</v>
      </c>
      <c r="G2344" s="27">
        <v>188328.25</v>
      </c>
      <c r="H2344" s="158">
        <v>172979.5</v>
      </c>
      <c r="I2344" s="3">
        <v>46101</v>
      </c>
      <c r="J2344" s="102">
        <v>46139</v>
      </c>
      <c r="K2344" s="29">
        <v>46139</v>
      </c>
      <c r="L2344" s="19" t="s">
        <v>731</v>
      </c>
      <c r="M2344" s="58"/>
      <c r="N2344" s="26"/>
      <c r="O2344" t="s">
        <v>202</v>
      </c>
      <c r="P2344" t="s">
        <v>328</v>
      </c>
      <c r="Q2344" t="s">
        <v>207</v>
      </c>
    </row>
    <row r="2345" spans="1:17" x14ac:dyDescent="0.3">
      <c r="A2345" s="25">
        <v>1515</v>
      </c>
      <c r="B2345" t="s">
        <v>84</v>
      </c>
      <c r="C2345" t="s">
        <v>34</v>
      </c>
      <c r="D2345" t="s">
        <v>667</v>
      </c>
      <c r="E2345" s="148">
        <v>8826</v>
      </c>
      <c r="F2345" s="13">
        <v>46109</v>
      </c>
      <c r="G2345" s="27">
        <v>23480.27</v>
      </c>
      <c r="H2345" s="158">
        <v>21566.63</v>
      </c>
      <c r="I2345" s="3">
        <v>46101</v>
      </c>
      <c r="J2345" s="102">
        <v>46139</v>
      </c>
      <c r="K2345" s="29">
        <v>46139</v>
      </c>
      <c r="L2345" s="19" t="s">
        <v>731</v>
      </c>
      <c r="M2345" s="58"/>
      <c r="N2345" s="26"/>
      <c r="O2345" t="s">
        <v>202</v>
      </c>
      <c r="P2345" t="s">
        <v>328</v>
      </c>
      <c r="Q2345" t="s">
        <v>207</v>
      </c>
    </row>
    <row r="2346" spans="1:17" x14ac:dyDescent="0.3">
      <c r="A2346" s="25">
        <v>1515</v>
      </c>
      <c r="B2346" t="s">
        <v>84</v>
      </c>
      <c r="C2346" t="s">
        <v>34</v>
      </c>
      <c r="D2346" t="s">
        <v>667</v>
      </c>
      <c r="E2346" s="148">
        <v>8829</v>
      </c>
      <c r="F2346" s="13">
        <v>46109</v>
      </c>
      <c r="G2346" s="27">
        <v>20529.189999999999</v>
      </c>
      <c r="H2346" s="24">
        <v>18856.060000000001</v>
      </c>
      <c r="I2346" s="3">
        <v>46104</v>
      </c>
      <c r="J2346" s="102">
        <v>46139</v>
      </c>
      <c r="K2346" s="29">
        <v>46139</v>
      </c>
      <c r="L2346" s="19" t="s">
        <v>731</v>
      </c>
      <c r="M2346" s="58"/>
      <c r="N2346" s="26"/>
      <c r="O2346" t="s">
        <v>202</v>
      </c>
      <c r="P2346" t="s">
        <v>328</v>
      </c>
      <c r="Q2346" t="s">
        <v>207</v>
      </c>
    </row>
    <row r="2347" spans="1:17" x14ac:dyDescent="0.3">
      <c r="A2347" s="25">
        <v>1515</v>
      </c>
      <c r="B2347" t="s">
        <v>84</v>
      </c>
      <c r="C2347" t="s">
        <v>34</v>
      </c>
      <c r="D2347" t="s">
        <v>667</v>
      </c>
      <c r="E2347" s="121">
        <v>8888</v>
      </c>
      <c r="F2347" s="13">
        <v>46140</v>
      </c>
      <c r="G2347" s="27">
        <v>43898.8</v>
      </c>
      <c r="H2347" s="24">
        <v>39662.57</v>
      </c>
      <c r="I2347" s="3">
        <v>46136</v>
      </c>
      <c r="J2347" s="102">
        <v>46167</v>
      </c>
      <c r="K2347" s="29">
        <v>46168</v>
      </c>
      <c r="L2347" s="19" t="s">
        <v>731</v>
      </c>
      <c r="M2347" s="58"/>
      <c r="N2347" s="26"/>
      <c r="O2347" t="s">
        <v>202</v>
      </c>
      <c r="P2347" t="s">
        <v>328</v>
      </c>
      <c r="Q2347" t="s">
        <v>207</v>
      </c>
    </row>
    <row r="2348" spans="1:17" x14ac:dyDescent="0.3">
      <c r="A2348" s="25">
        <v>1515</v>
      </c>
      <c r="B2348" t="s">
        <v>84</v>
      </c>
      <c r="C2348" t="s">
        <v>34</v>
      </c>
      <c r="D2348" t="s">
        <v>667</v>
      </c>
      <c r="E2348" s="124">
        <v>8891</v>
      </c>
      <c r="F2348" s="13">
        <v>46140</v>
      </c>
      <c r="G2348" s="27">
        <v>4948.1499999999996</v>
      </c>
      <c r="H2348" s="27">
        <v>4470.67</v>
      </c>
      <c r="I2348" s="3">
        <v>46136</v>
      </c>
      <c r="J2348" s="161">
        <v>46181</v>
      </c>
      <c r="K2348" s="29">
        <v>46181</v>
      </c>
      <c r="L2348" s="19" t="s">
        <v>731</v>
      </c>
      <c r="M2348" s="58"/>
      <c r="N2348" s="26"/>
      <c r="O2348" t="s">
        <v>202</v>
      </c>
      <c r="P2348" t="s">
        <v>328</v>
      </c>
      <c r="Q2348" t="s">
        <v>207</v>
      </c>
    </row>
    <row r="2349" spans="1:17" x14ac:dyDescent="0.3">
      <c r="A2349" s="25">
        <v>1515</v>
      </c>
      <c r="B2349" t="s">
        <v>84</v>
      </c>
      <c r="C2349" t="s">
        <v>34</v>
      </c>
      <c r="D2349" t="s">
        <v>667</v>
      </c>
      <c r="E2349" s="124">
        <v>8892</v>
      </c>
      <c r="F2349" s="13">
        <v>46140</v>
      </c>
      <c r="G2349" s="27">
        <v>56498.48</v>
      </c>
      <c r="H2349" s="27">
        <v>51046.38</v>
      </c>
      <c r="I2349" s="3">
        <v>46136</v>
      </c>
      <c r="J2349" s="161">
        <v>46181</v>
      </c>
      <c r="K2349" s="29">
        <v>46181</v>
      </c>
      <c r="L2349" s="19" t="s">
        <v>731</v>
      </c>
      <c r="M2349" s="58"/>
      <c r="N2349" s="26"/>
      <c r="O2349" t="s">
        <v>202</v>
      </c>
      <c r="P2349" t="s">
        <v>328</v>
      </c>
      <c r="Q2349" t="s">
        <v>207</v>
      </c>
    </row>
    <row r="2350" spans="1:17" x14ac:dyDescent="0.3">
      <c r="A2350" s="25">
        <v>1515</v>
      </c>
      <c r="B2350" t="s">
        <v>84</v>
      </c>
      <c r="C2350" t="s">
        <v>34</v>
      </c>
      <c r="D2350" t="s">
        <v>667</v>
      </c>
      <c r="E2350" s="124">
        <v>8893</v>
      </c>
      <c r="F2350" s="13">
        <v>46140</v>
      </c>
      <c r="G2350" s="27">
        <v>36014.47</v>
      </c>
      <c r="H2350" s="27">
        <v>32539.08</v>
      </c>
      <c r="I2350" s="3">
        <v>46140</v>
      </c>
      <c r="J2350" s="161">
        <v>46181</v>
      </c>
      <c r="K2350" s="29">
        <v>46181</v>
      </c>
      <c r="L2350" s="19" t="s">
        <v>731</v>
      </c>
      <c r="M2350" s="58"/>
      <c r="N2350" s="26"/>
      <c r="O2350" t="s">
        <v>202</v>
      </c>
      <c r="P2350" t="s">
        <v>328</v>
      </c>
      <c r="Q2350" t="s">
        <v>207</v>
      </c>
    </row>
    <row r="2351" spans="1:17" x14ac:dyDescent="0.3">
      <c r="A2351" s="25">
        <v>1515</v>
      </c>
      <c r="B2351" t="s">
        <v>84</v>
      </c>
      <c r="C2351" t="s">
        <v>34</v>
      </c>
      <c r="D2351" t="s">
        <v>667</v>
      </c>
      <c r="E2351" s="124">
        <v>8894</v>
      </c>
      <c r="F2351" s="13">
        <v>46140</v>
      </c>
      <c r="G2351" s="27">
        <v>46818.81</v>
      </c>
      <c r="H2351" s="27">
        <v>43003.08</v>
      </c>
      <c r="I2351" s="3">
        <v>46140</v>
      </c>
      <c r="J2351" s="161">
        <v>46181</v>
      </c>
      <c r="K2351" s="29">
        <v>46181</v>
      </c>
      <c r="L2351" s="19" t="s">
        <v>731</v>
      </c>
      <c r="M2351" s="58"/>
      <c r="N2351" s="26"/>
      <c r="O2351" t="s">
        <v>202</v>
      </c>
      <c r="P2351" t="s">
        <v>328</v>
      </c>
      <c r="Q2351" t="s">
        <v>207</v>
      </c>
    </row>
    <row r="2352" spans="1:17" x14ac:dyDescent="0.3">
      <c r="A2352" s="25">
        <v>1515</v>
      </c>
      <c r="B2352" t="s">
        <v>84</v>
      </c>
      <c r="C2352" t="s">
        <v>34</v>
      </c>
      <c r="D2352" t="s">
        <v>667</v>
      </c>
      <c r="E2352" s="124">
        <v>8897</v>
      </c>
      <c r="F2352" s="13">
        <v>46140</v>
      </c>
      <c r="G2352" s="27">
        <v>57068.44</v>
      </c>
      <c r="H2352" s="27">
        <v>52417.37</v>
      </c>
      <c r="I2352" s="3">
        <v>46141</v>
      </c>
      <c r="J2352" s="161">
        <v>46181</v>
      </c>
      <c r="K2352" s="29">
        <v>46181</v>
      </c>
      <c r="L2352" s="19" t="s">
        <v>731</v>
      </c>
      <c r="M2352" s="58"/>
      <c r="N2352" s="26"/>
      <c r="O2352" t="s">
        <v>202</v>
      </c>
      <c r="P2352" t="s">
        <v>328</v>
      </c>
      <c r="Q2352" t="s">
        <v>207</v>
      </c>
    </row>
    <row r="2353" spans="1:18" x14ac:dyDescent="0.3">
      <c r="A2353" s="25">
        <v>1515</v>
      </c>
      <c r="B2353" t="s">
        <v>84</v>
      </c>
      <c r="C2353" t="s">
        <v>34</v>
      </c>
      <c r="D2353" t="s">
        <v>667</v>
      </c>
      <c r="E2353" s="124">
        <v>8898</v>
      </c>
      <c r="F2353" s="13">
        <v>46140</v>
      </c>
      <c r="G2353" s="27">
        <v>52142.8</v>
      </c>
      <c r="H2353" s="27">
        <v>47893.16</v>
      </c>
      <c r="I2353" s="3">
        <v>46141</v>
      </c>
      <c r="J2353" s="161">
        <v>46181</v>
      </c>
      <c r="K2353" s="29">
        <v>46181</v>
      </c>
      <c r="L2353" s="19" t="s">
        <v>731</v>
      </c>
      <c r="M2353" s="58"/>
      <c r="N2353" s="26"/>
      <c r="O2353" t="s">
        <v>202</v>
      </c>
      <c r="P2353" t="s">
        <v>328</v>
      </c>
      <c r="Q2353" t="s">
        <v>207</v>
      </c>
    </row>
    <row r="2354" spans="1:18" x14ac:dyDescent="0.3">
      <c r="A2354" s="25">
        <v>1515</v>
      </c>
      <c r="B2354" t="s">
        <v>84</v>
      </c>
      <c r="C2354" t="s">
        <v>34</v>
      </c>
      <c r="D2354" t="s">
        <v>667</v>
      </c>
      <c r="E2354" s="124">
        <v>8899</v>
      </c>
      <c r="F2354" s="13">
        <v>46140</v>
      </c>
      <c r="G2354" s="27">
        <v>6432.59</v>
      </c>
      <c r="H2354" s="27">
        <v>5908.33</v>
      </c>
      <c r="I2354" s="3">
        <v>46141</v>
      </c>
      <c r="J2354" s="161">
        <v>46181</v>
      </c>
      <c r="K2354" s="29">
        <v>46181</v>
      </c>
      <c r="L2354" s="19" t="s">
        <v>731</v>
      </c>
      <c r="M2354" s="58"/>
      <c r="N2354" s="26"/>
      <c r="O2354" t="s">
        <v>202</v>
      </c>
      <c r="P2354" t="s">
        <v>328</v>
      </c>
      <c r="Q2354" t="s">
        <v>207</v>
      </c>
    </row>
    <row r="2355" spans="1:18" x14ac:dyDescent="0.3">
      <c r="A2355" s="25">
        <v>1515</v>
      </c>
      <c r="B2355" t="s">
        <v>84</v>
      </c>
      <c r="C2355" t="s">
        <v>34</v>
      </c>
      <c r="D2355" t="s">
        <v>667</v>
      </c>
      <c r="E2355" s="124">
        <v>8900</v>
      </c>
      <c r="F2355" s="13">
        <v>46140</v>
      </c>
      <c r="G2355" s="27">
        <v>35782.370000000003</v>
      </c>
      <c r="H2355" s="27">
        <v>32866.11</v>
      </c>
      <c r="I2355" s="3">
        <v>46141</v>
      </c>
      <c r="J2355" s="161">
        <v>46181</v>
      </c>
      <c r="K2355" s="29">
        <v>46181</v>
      </c>
      <c r="L2355" s="19" t="s">
        <v>731</v>
      </c>
      <c r="M2355" s="58"/>
      <c r="N2355" s="26"/>
      <c r="O2355" t="s">
        <v>202</v>
      </c>
      <c r="P2355" t="s">
        <v>328</v>
      </c>
      <c r="Q2355" t="s">
        <v>207</v>
      </c>
    </row>
    <row r="2356" spans="1:18" x14ac:dyDescent="0.3">
      <c r="A2356" s="25">
        <v>1515</v>
      </c>
      <c r="B2356" t="s">
        <v>84</v>
      </c>
      <c r="C2356" t="s">
        <v>34</v>
      </c>
      <c r="D2356" t="s">
        <v>667</v>
      </c>
      <c r="E2356" s="124">
        <v>8901</v>
      </c>
      <c r="F2356" s="13">
        <v>46140</v>
      </c>
      <c r="G2356" s="27">
        <v>22809.16</v>
      </c>
      <c r="H2356" s="27">
        <v>20950.22</v>
      </c>
      <c r="I2356" s="3">
        <v>46141</v>
      </c>
      <c r="J2356" s="161">
        <v>46181</v>
      </c>
      <c r="K2356" s="29">
        <v>46181</v>
      </c>
      <c r="L2356" s="19" t="s">
        <v>731</v>
      </c>
      <c r="M2356" s="58"/>
      <c r="N2356" s="26"/>
      <c r="O2356" t="s">
        <v>202</v>
      </c>
      <c r="P2356" t="s">
        <v>328</v>
      </c>
      <c r="Q2356" t="s">
        <v>207</v>
      </c>
    </row>
    <row r="2357" spans="1:18" x14ac:dyDescent="0.3">
      <c r="A2357" s="25">
        <v>1515</v>
      </c>
      <c r="B2357" t="s">
        <v>84</v>
      </c>
      <c r="C2357" t="s">
        <v>34</v>
      </c>
      <c r="D2357" t="s">
        <v>667</v>
      </c>
      <c r="E2357" s="124">
        <v>8902</v>
      </c>
      <c r="F2357" s="13">
        <v>46140</v>
      </c>
      <c r="G2357" s="27">
        <v>27802.57</v>
      </c>
      <c r="H2357" s="27">
        <v>25536.65</v>
      </c>
      <c r="I2357" s="3">
        <v>46141</v>
      </c>
      <c r="J2357" s="161">
        <v>46181</v>
      </c>
      <c r="K2357" s="29">
        <v>46181</v>
      </c>
      <c r="L2357" s="19" t="s">
        <v>731</v>
      </c>
      <c r="M2357" s="58"/>
      <c r="N2357" s="26"/>
      <c r="O2357" t="s">
        <v>202</v>
      </c>
      <c r="P2357" t="s">
        <v>328</v>
      </c>
      <c r="Q2357" t="s">
        <v>207</v>
      </c>
    </row>
    <row r="2358" spans="1:18" x14ac:dyDescent="0.3">
      <c r="A2358" s="25">
        <v>1515</v>
      </c>
      <c r="B2358" t="s">
        <v>84</v>
      </c>
      <c r="C2358" t="s">
        <v>34</v>
      </c>
      <c r="D2358" t="s">
        <v>667</v>
      </c>
      <c r="E2358" s="124">
        <v>8903</v>
      </c>
      <c r="F2358" s="13">
        <v>46140</v>
      </c>
      <c r="G2358" s="27">
        <v>25402.9</v>
      </c>
      <c r="H2358" s="27">
        <v>23332.560000000001</v>
      </c>
      <c r="I2358" s="3">
        <v>46141</v>
      </c>
      <c r="J2358" s="161">
        <v>46181</v>
      </c>
      <c r="K2358" s="29">
        <v>46181</v>
      </c>
      <c r="L2358" s="19" t="s">
        <v>731</v>
      </c>
      <c r="M2358" s="58"/>
      <c r="N2358" s="26"/>
      <c r="O2358" t="s">
        <v>202</v>
      </c>
      <c r="P2358" t="s">
        <v>328</v>
      </c>
      <c r="Q2358" t="s">
        <v>207</v>
      </c>
    </row>
    <row r="2359" spans="1:18" x14ac:dyDescent="0.3">
      <c r="A2359" s="25">
        <v>1515</v>
      </c>
      <c r="B2359" t="s">
        <v>84</v>
      </c>
      <c r="C2359" t="s">
        <v>34</v>
      </c>
      <c r="D2359" t="s">
        <v>667</v>
      </c>
      <c r="E2359" s="124">
        <v>8904</v>
      </c>
      <c r="F2359" s="13">
        <v>46140</v>
      </c>
      <c r="G2359" s="27">
        <v>3133.83</v>
      </c>
      <c r="H2359" s="27">
        <v>2878.43</v>
      </c>
      <c r="I2359" s="3">
        <v>46141</v>
      </c>
      <c r="J2359" s="161">
        <v>46181</v>
      </c>
      <c r="K2359" s="29">
        <v>46181</v>
      </c>
      <c r="L2359" s="19" t="s">
        <v>731</v>
      </c>
      <c r="M2359" s="58"/>
      <c r="N2359" s="26"/>
      <c r="O2359" t="s">
        <v>202</v>
      </c>
      <c r="P2359" t="s">
        <v>328</v>
      </c>
      <c r="Q2359" t="s">
        <v>207</v>
      </c>
    </row>
    <row r="2360" spans="1:18" x14ac:dyDescent="0.3">
      <c r="A2360" s="25">
        <v>1515</v>
      </c>
      <c r="B2360" t="s">
        <v>84</v>
      </c>
      <c r="C2360" t="s">
        <v>34</v>
      </c>
      <c r="D2360" t="s">
        <v>667</v>
      </c>
      <c r="E2360" s="124">
        <v>8905</v>
      </c>
      <c r="F2360" s="13">
        <v>46140</v>
      </c>
      <c r="G2360" s="27">
        <v>22599.39</v>
      </c>
      <c r="H2360" s="27">
        <v>20757.54</v>
      </c>
      <c r="I2360" s="3">
        <v>46141</v>
      </c>
      <c r="J2360" s="161">
        <v>46181</v>
      </c>
      <c r="K2360" s="29">
        <v>46181</v>
      </c>
      <c r="L2360" s="19" t="s">
        <v>731</v>
      </c>
      <c r="M2360" s="58"/>
      <c r="N2360" s="26"/>
      <c r="O2360" t="s">
        <v>202</v>
      </c>
      <c r="P2360" t="s">
        <v>328</v>
      </c>
      <c r="Q2360" t="s">
        <v>207</v>
      </c>
    </row>
    <row r="2361" spans="1:18" x14ac:dyDescent="0.3">
      <c r="A2361" s="25">
        <v>1515</v>
      </c>
      <c r="B2361" t="s">
        <v>84</v>
      </c>
      <c r="C2361" t="s">
        <v>34</v>
      </c>
      <c r="D2361" t="s">
        <v>667</v>
      </c>
      <c r="E2361" s="124">
        <v>8906</v>
      </c>
      <c r="F2361" s="13">
        <v>46140</v>
      </c>
      <c r="G2361" s="27">
        <v>14405.79</v>
      </c>
      <c r="H2361" s="24">
        <v>13231.72</v>
      </c>
      <c r="I2361" s="3">
        <v>46142</v>
      </c>
      <c r="J2361" s="161">
        <v>46181</v>
      </c>
      <c r="K2361" s="29">
        <v>46181</v>
      </c>
      <c r="L2361" s="19" t="s">
        <v>731</v>
      </c>
      <c r="M2361" s="58"/>
      <c r="N2361" s="26"/>
      <c r="O2361" t="s">
        <v>202</v>
      </c>
      <c r="P2361" t="s">
        <v>328</v>
      </c>
      <c r="Q2361" t="s">
        <v>207</v>
      </c>
    </row>
    <row r="2362" spans="1:18" x14ac:dyDescent="0.3">
      <c r="A2362" s="25">
        <v>1515</v>
      </c>
      <c r="B2362" t="s">
        <v>84</v>
      </c>
      <c r="C2362" t="s">
        <v>34</v>
      </c>
      <c r="D2362" t="s">
        <v>667</v>
      </c>
      <c r="E2362" s="124">
        <v>8907</v>
      </c>
      <c r="F2362" s="13">
        <v>46140</v>
      </c>
      <c r="G2362" s="27">
        <v>17559.52</v>
      </c>
      <c r="H2362" s="24">
        <v>16128.41</v>
      </c>
      <c r="I2362" s="3">
        <v>46142</v>
      </c>
      <c r="J2362" s="161">
        <v>46181</v>
      </c>
      <c r="K2362" s="29">
        <v>46181</v>
      </c>
      <c r="L2362" s="19" t="s">
        <v>731</v>
      </c>
      <c r="M2362" s="58"/>
      <c r="N2362" s="26"/>
      <c r="O2362" t="s">
        <v>202</v>
      </c>
      <c r="P2362" t="s">
        <v>328</v>
      </c>
      <c r="Q2362" t="s">
        <v>207</v>
      </c>
    </row>
    <row r="2363" spans="1:18" x14ac:dyDescent="0.3">
      <c r="A2363" s="25">
        <v>1515</v>
      </c>
      <c r="B2363" t="s">
        <v>84</v>
      </c>
      <c r="C2363" t="s">
        <v>34</v>
      </c>
      <c r="D2363" t="s">
        <v>667</v>
      </c>
      <c r="E2363" s="124">
        <v>8908</v>
      </c>
      <c r="F2363" s="13">
        <v>46140</v>
      </c>
      <c r="G2363" s="27">
        <v>16043.94</v>
      </c>
      <c r="H2363" s="24">
        <v>14736.35</v>
      </c>
      <c r="I2363" s="3">
        <v>46142</v>
      </c>
      <c r="J2363" s="161">
        <v>46181</v>
      </c>
      <c r="K2363" s="29">
        <v>46181</v>
      </c>
      <c r="L2363" s="19" t="s">
        <v>731</v>
      </c>
      <c r="M2363" s="58"/>
      <c r="N2363" s="26"/>
      <c r="O2363" t="s">
        <v>202</v>
      </c>
      <c r="P2363" t="s">
        <v>328</v>
      </c>
      <c r="Q2363" t="s">
        <v>207</v>
      </c>
    </row>
    <row r="2364" spans="1:18" x14ac:dyDescent="0.3">
      <c r="A2364" s="25">
        <v>1515</v>
      </c>
      <c r="B2364" t="s">
        <v>84</v>
      </c>
      <c r="C2364" t="s">
        <v>34</v>
      </c>
      <c r="D2364" t="s">
        <v>667</v>
      </c>
      <c r="E2364" s="124">
        <v>8909</v>
      </c>
      <c r="F2364" s="13">
        <v>46140</v>
      </c>
      <c r="G2364" s="27">
        <v>1979.26</v>
      </c>
      <c r="H2364" s="24">
        <v>1817.95</v>
      </c>
      <c r="I2364" s="3">
        <v>46142</v>
      </c>
      <c r="J2364" s="161">
        <v>46181</v>
      </c>
      <c r="K2364" s="29">
        <v>46181</v>
      </c>
      <c r="L2364" s="19" t="s">
        <v>731</v>
      </c>
      <c r="M2364" s="58"/>
      <c r="N2364" s="26"/>
      <c r="O2364" t="s">
        <v>202</v>
      </c>
      <c r="P2364" t="s">
        <v>328</v>
      </c>
      <c r="Q2364" t="s">
        <v>207</v>
      </c>
      <c r="R2364" s="8">
        <v>1229993.6452000001</v>
      </c>
    </row>
    <row r="2365" spans="1:18" x14ac:dyDescent="0.3">
      <c r="A2365" s="25">
        <v>1515</v>
      </c>
      <c r="B2365" t="s">
        <v>84</v>
      </c>
      <c r="C2365" t="s">
        <v>34</v>
      </c>
      <c r="D2365" t="s">
        <v>667</v>
      </c>
      <c r="E2365" s="124">
        <v>8910</v>
      </c>
      <c r="F2365" s="13">
        <v>46140</v>
      </c>
      <c r="G2365" s="27">
        <v>73448.02</v>
      </c>
      <c r="H2365" s="24">
        <v>67462.009999999995</v>
      </c>
      <c r="I2365" s="3">
        <v>46142</v>
      </c>
      <c r="J2365" s="161">
        <v>46181</v>
      </c>
      <c r="K2365" s="29">
        <v>46181</v>
      </c>
      <c r="L2365" s="19" t="s">
        <v>731</v>
      </c>
      <c r="M2365" s="58"/>
      <c r="N2365" s="26"/>
      <c r="O2365" t="s">
        <v>202</v>
      </c>
      <c r="P2365" t="s">
        <v>328</v>
      </c>
      <c r="Q2365" t="s">
        <v>207</v>
      </c>
      <c r="R2365" s="8">
        <v>905050</v>
      </c>
    </row>
    <row r="2366" spans="1:18" x14ac:dyDescent="0.3">
      <c r="A2366" s="25">
        <v>1515</v>
      </c>
      <c r="B2366" t="s">
        <v>84</v>
      </c>
      <c r="C2366" t="s">
        <v>34</v>
      </c>
      <c r="D2366" t="s">
        <v>667</v>
      </c>
      <c r="E2366" s="121">
        <v>8915</v>
      </c>
      <c r="F2366" s="13">
        <v>46140</v>
      </c>
      <c r="G2366" s="27">
        <v>40109.839999999997</v>
      </c>
      <c r="H2366" s="24">
        <v>36840.89</v>
      </c>
      <c r="I2366" s="3">
        <v>46147</v>
      </c>
      <c r="J2366" s="102">
        <v>46181</v>
      </c>
      <c r="K2366" s="29">
        <v>46181</v>
      </c>
      <c r="L2366" s="19" t="s">
        <v>731</v>
      </c>
      <c r="M2366" s="58"/>
      <c r="N2366" s="26"/>
      <c r="O2366" t="s">
        <v>202</v>
      </c>
      <c r="P2366" t="s">
        <v>328</v>
      </c>
      <c r="Q2366" t="s">
        <v>207</v>
      </c>
      <c r="R2366" s="8">
        <v>3366000</v>
      </c>
    </row>
    <row r="2367" spans="1:18" x14ac:dyDescent="0.3">
      <c r="A2367" s="25">
        <v>1515</v>
      </c>
      <c r="B2367" t="s">
        <v>84</v>
      </c>
      <c r="C2367" t="s">
        <v>34</v>
      </c>
      <c r="D2367" t="s">
        <v>667</v>
      </c>
      <c r="E2367" s="118" t="s">
        <v>883</v>
      </c>
      <c r="F2367" s="13">
        <v>46170</v>
      </c>
      <c r="G2367" s="27">
        <v>76404.25</v>
      </c>
      <c r="H2367" s="24">
        <v>70177.3</v>
      </c>
      <c r="I2367" s="3">
        <v>46163</v>
      </c>
      <c r="J2367" s="102">
        <v>46195</v>
      </c>
      <c r="K2367" s="29"/>
      <c r="L2367" s="19" t="s">
        <v>730</v>
      </c>
      <c r="M2367" s="58"/>
      <c r="N2367" s="26"/>
      <c r="O2367" t="s">
        <v>202</v>
      </c>
      <c r="P2367" t="s">
        <v>328</v>
      </c>
      <c r="Q2367" t="s">
        <v>207</v>
      </c>
      <c r="R2367" s="8">
        <v>3366000</v>
      </c>
    </row>
    <row r="2368" spans="1:18" x14ac:dyDescent="0.3">
      <c r="A2368" s="25">
        <v>1515</v>
      </c>
      <c r="B2368" t="s">
        <v>84</v>
      </c>
      <c r="C2368" t="s">
        <v>34</v>
      </c>
      <c r="D2368" t="s">
        <v>667</v>
      </c>
      <c r="E2368" s="118" t="s">
        <v>884</v>
      </c>
      <c r="F2368" s="13">
        <v>46170</v>
      </c>
      <c r="G2368" s="27">
        <v>58772.5</v>
      </c>
      <c r="H2368" s="24">
        <v>53982.53</v>
      </c>
      <c r="I2368" s="3">
        <v>46163</v>
      </c>
      <c r="J2368" s="102">
        <v>46195</v>
      </c>
      <c r="K2368" s="29"/>
      <c r="L2368" s="19" t="s">
        <v>730</v>
      </c>
      <c r="M2368" s="58"/>
      <c r="N2368" s="26"/>
      <c r="O2368" t="s">
        <v>202</v>
      </c>
      <c r="P2368" t="s">
        <v>328</v>
      </c>
      <c r="Q2368" t="s">
        <v>207</v>
      </c>
      <c r="R2368" s="8">
        <v>3366000</v>
      </c>
    </row>
    <row r="2369" spans="1:18" x14ac:dyDescent="0.3">
      <c r="A2369" s="25">
        <v>1515</v>
      </c>
      <c r="B2369" t="s">
        <v>84</v>
      </c>
      <c r="C2369" t="s">
        <v>34</v>
      </c>
      <c r="D2369" t="s">
        <v>667</v>
      </c>
      <c r="E2369" s="118" t="s">
        <v>885</v>
      </c>
      <c r="F2369" s="13">
        <v>46170</v>
      </c>
      <c r="G2369" s="27">
        <v>66493.509999999995</v>
      </c>
      <c r="H2369" s="24">
        <v>61074.28</v>
      </c>
      <c r="I2369" s="3">
        <v>46163</v>
      </c>
      <c r="J2369" s="102">
        <v>46195</v>
      </c>
      <c r="K2369" s="29"/>
      <c r="L2369" s="19" t="s">
        <v>730</v>
      </c>
      <c r="M2369" s="58"/>
      <c r="N2369" s="26"/>
      <c r="O2369" t="s">
        <v>202</v>
      </c>
      <c r="P2369" t="s">
        <v>328</v>
      </c>
      <c r="Q2369" t="s">
        <v>207</v>
      </c>
      <c r="R2369" s="8">
        <v>3366000</v>
      </c>
    </row>
    <row r="2370" spans="1:18" x14ac:dyDescent="0.3">
      <c r="A2370" s="25">
        <v>1515</v>
      </c>
      <c r="B2370" t="s">
        <v>84</v>
      </c>
      <c r="C2370" t="s">
        <v>34</v>
      </c>
      <c r="D2370" t="s">
        <v>667</v>
      </c>
      <c r="E2370" s="118" t="s">
        <v>886</v>
      </c>
      <c r="F2370" s="13">
        <v>46170</v>
      </c>
      <c r="G2370" s="27">
        <v>51148.85</v>
      </c>
      <c r="H2370" s="24">
        <v>46980.21</v>
      </c>
      <c r="I2370" s="3">
        <v>46163</v>
      </c>
      <c r="J2370" s="102">
        <v>46195</v>
      </c>
      <c r="K2370" s="29"/>
      <c r="L2370" s="19" t="s">
        <v>730</v>
      </c>
      <c r="M2370" s="58"/>
      <c r="N2370" s="26"/>
      <c r="O2370" t="s">
        <v>202</v>
      </c>
      <c r="P2370" t="s">
        <v>328</v>
      </c>
      <c r="Q2370" t="s">
        <v>207</v>
      </c>
      <c r="R2370" s="8">
        <v>3366000</v>
      </c>
    </row>
    <row r="2371" spans="1:18" x14ac:dyDescent="0.3">
      <c r="A2371" s="25">
        <v>1515</v>
      </c>
      <c r="B2371" t="s">
        <v>84</v>
      </c>
      <c r="C2371" t="s">
        <v>34</v>
      </c>
      <c r="D2371" t="s">
        <v>667</v>
      </c>
      <c r="E2371" s="118" t="s">
        <v>887</v>
      </c>
      <c r="F2371" s="13">
        <v>46170</v>
      </c>
      <c r="G2371" s="27">
        <v>160522.82</v>
      </c>
      <c r="H2371" s="24">
        <v>147440.21</v>
      </c>
      <c r="I2371" s="3">
        <v>46163</v>
      </c>
      <c r="J2371" s="102">
        <v>46195</v>
      </c>
      <c r="K2371" s="29"/>
      <c r="L2371" s="19" t="s">
        <v>730</v>
      </c>
      <c r="M2371" s="58"/>
      <c r="N2371" s="26"/>
      <c r="O2371" t="s">
        <v>202</v>
      </c>
      <c r="P2371" t="s">
        <v>328</v>
      </c>
      <c r="Q2371" t="s">
        <v>207</v>
      </c>
      <c r="R2371" s="8">
        <v>3366000</v>
      </c>
    </row>
    <row r="2372" spans="1:18" x14ac:dyDescent="0.3">
      <c r="A2372" s="25">
        <v>1515</v>
      </c>
      <c r="B2372" t="s">
        <v>84</v>
      </c>
      <c r="C2372" t="s">
        <v>34</v>
      </c>
      <c r="D2372" t="s">
        <v>667</v>
      </c>
      <c r="E2372" s="118" t="s">
        <v>888</v>
      </c>
      <c r="F2372" s="13">
        <v>46170</v>
      </c>
      <c r="G2372" s="27">
        <v>123517.55</v>
      </c>
      <c r="H2372" s="24">
        <v>111598.11</v>
      </c>
      <c r="I2372" s="3">
        <v>46163</v>
      </c>
      <c r="J2372" s="102">
        <v>46195</v>
      </c>
      <c r="K2372" s="29"/>
      <c r="L2372" s="19" t="s">
        <v>730</v>
      </c>
      <c r="M2372" s="58"/>
      <c r="N2372" s="26"/>
      <c r="O2372" t="s">
        <v>202</v>
      </c>
      <c r="P2372" t="s">
        <v>328</v>
      </c>
      <c r="Q2372" t="s">
        <v>207</v>
      </c>
      <c r="R2372" s="8">
        <v>3366000</v>
      </c>
    </row>
    <row r="2373" spans="1:18" x14ac:dyDescent="0.3">
      <c r="A2373" s="25">
        <v>1515</v>
      </c>
      <c r="B2373" t="s">
        <v>84</v>
      </c>
      <c r="C2373" t="s">
        <v>34</v>
      </c>
      <c r="D2373" t="s">
        <v>667</v>
      </c>
      <c r="E2373" s="118" t="s">
        <v>889</v>
      </c>
      <c r="F2373" s="13">
        <v>46170</v>
      </c>
      <c r="G2373" s="27">
        <v>9246.3799999999992</v>
      </c>
      <c r="H2373" s="24">
        <v>8354.11</v>
      </c>
      <c r="I2373" s="3">
        <v>46163</v>
      </c>
      <c r="J2373" s="102">
        <v>46195</v>
      </c>
      <c r="K2373" s="29"/>
      <c r="L2373" s="19" t="s">
        <v>730</v>
      </c>
      <c r="M2373" s="58"/>
      <c r="N2373" s="26"/>
      <c r="O2373" t="s">
        <v>202</v>
      </c>
      <c r="P2373" t="s">
        <v>328</v>
      </c>
      <c r="Q2373" t="s">
        <v>207</v>
      </c>
      <c r="R2373" s="8">
        <v>3366000</v>
      </c>
    </row>
    <row r="2374" spans="1:18" x14ac:dyDescent="0.3">
      <c r="A2374" s="25">
        <v>1515</v>
      </c>
      <c r="B2374" t="s">
        <v>84</v>
      </c>
      <c r="C2374" t="s">
        <v>34</v>
      </c>
      <c r="D2374" t="s">
        <v>667</v>
      </c>
      <c r="E2374" s="118" t="s">
        <v>890</v>
      </c>
      <c r="F2374" s="13">
        <v>46170</v>
      </c>
      <c r="G2374" s="27">
        <v>12020.3</v>
      </c>
      <c r="H2374" s="24">
        <v>11040.65</v>
      </c>
      <c r="I2374" s="3">
        <v>46163</v>
      </c>
      <c r="J2374" s="102">
        <v>46195</v>
      </c>
      <c r="K2374" s="29"/>
      <c r="L2374" s="19" t="s">
        <v>730</v>
      </c>
      <c r="M2374" s="58"/>
      <c r="N2374" s="26"/>
      <c r="O2374" t="s">
        <v>202</v>
      </c>
      <c r="P2374" t="s">
        <v>328</v>
      </c>
      <c r="Q2374" t="s">
        <v>207</v>
      </c>
      <c r="R2374" s="8">
        <v>3366000</v>
      </c>
    </row>
    <row r="2375" spans="1:18" x14ac:dyDescent="0.3">
      <c r="A2375" s="25">
        <v>1515</v>
      </c>
      <c r="B2375" t="s">
        <v>84</v>
      </c>
      <c r="C2375" t="s">
        <v>34</v>
      </c>
      <c r="D2375" t="s">
        <v>667</v>
      </c>
      <c r="E2375" s="118" t="s">
        <v>891</v>
      </c>
      <c r="F2375" s="13">
        <v>46170</v>
      </c>
      <c r="G2375" s="27">
        <v>37222.58</v>
      </c>
      <c r="H2375" s="24">
        <v>34188.93</v>
      </c>
      <c r="I2375" s="3">
        <v>46163</v>
      </c>
      <c r="J2375" s="102">
        <v>46195</v>
      </c>
      <c r="K2375" s="29"/>
      <c r="L2375" s="19" t="s">
        <v>730</v>
      </c>
      <c r="M2375" s="58"/>
      <c r="N2375" s="26"/>
      <c r="O2375" t="s">
        <v>202</v>
      </c>
      <c r="P2375" t="s">
        <v>328</v>
      </c>
      <c r="Q2375" t="s">
        <v>207</v>
      </c>
      <c r="R2375" s="8">
        <v>3366000</v>
      </c>
    </row>
    <row r="2376" spans="1:18" x14ac:dyDescent="0.3">
      <c r="A2376" s="25">
        <v>1515</v>
      </c>
      <c r="B2376" t="s">
        <v>84</v>
      </c>
      <c r="C2376" t="s">
        <v>34</v>
      </c>
      <c r="D2376" t="s">
        <v>667</v>
      </c>
      <c r="E2376" s="118" t="s">
        <v>892</v>
      </c>
      <c r="F2376" s="13">
        <v>46170</v>
      </c>
      <c r="G2376" s="27">
        <v>23509</v>
      </c>
      <c r="H2376" s="24">
        <v>21593.01</v>
      </c>
      <c r="I2376" s="3">
        <v>46163</v>
      </c>
      <c r="J2376" s="102">
        <v>46195</v>
      </c>
      <c r="K2376" s="29"/>
      <c r="L2376" s="19" t="s">
        <v>730</v>
      </c>
      <c r="M2376" s="58"/>
      <c r="N2376" s="26"/>
      <c r="O2376" t="s">
        <v>202</v>
      </c>
      <c r="P2376" t="s">
        <v>328</v>
      </c>
      <c r="Q2376" t="s">
        <v>207</v>
      </c>
    </row>
    <row r="2377" spans="1:18" x14ac:dyDescent="0.3">
      <c r="A2377" s="25">
        <v>1515</v>
      </c>
      <c r="B2377" t="s">
        <v>84</v>
      </c>
      <c r="C2377" t="s">
        <v>34</v>
      </c>
      <c r="D2377" t="s">
        <v>667</v>
      </c>
      <c r="E2377" s="118" t="s">
        <v>893</v>
      </c>
      <c r="F2377" s="13">
        <v>46170</v>
      </c>
      <c r="G2377" s="27">
        <v>32394.27</v>
      </c>
      <c r="H2377" s="24">
        <v>29754.14</v>
      </c>
      <c r="I2377" s="3">
        <v>46163</v>
      </c>
      <c r="J2377" s="102">
        <v>46195</v>
      </c>
      <c r="K2377" s="29"/>
      <c r="L2377" s="19" t="s">
        <v>730</v>
      </c>
      <c r="M2377" s="58"/>
      <c r="N2377" s="26"/>
      <c r="O2377" t="s">
        <v>202</v>
      </c>
      <c r="P2377" t="s">
        <v>328</v>
      </c>
      <c r="Q2377" t="s">
        <v>207</v>
      </c>
    </row>
    <row r="2378" spans="1:18" x14ac:dyDescent="0.3">
      <c r="A2378" s="25">
        <v>1515</v>
      </c>
      <c r="B2378" t="s">
        <v>84</v>
      </c>
      <c r="C2378" t="s">
        <v>34</v>
      </c>
      <c r="D2378" t="s">
        <v>667</v>
      </c>
      <c r="E2378" s="118" t="s">
        <v>894</v>
      </c>
      <c r="F2378" s="13">
        <v>46170</v>
      </c>
      <c r="G2378" s="27">
        <v>20459.54</v>
      </c>
      <c r="H2378" s="24">
        <v>18792.080000000002</v>
      </c>
      <c r="I2378" s="3">
        <v>46163</v>
      </c>
      <c r="J2378" s="102">
        <v>46195</v>
      </c>
      <c r="K2378" s="29"/>
      <c r="L2378" s="19" t="s">
        <v>730</v>
      </c>
      <c r="M2378" s="58"/>
      <c r="N2378" s="26"/>
      <c r="O2378" t="s">
        <v>202</v>
      </c>
      <c r="P2378" t="s">
        <v>328</v>
      </c>
      <c r="Q2378" t="s">
        <v>207</v>
      </c>
    </row>
    <row r="2379" spans="1:18" x14ac:dyDescent="0.3">
      <c r="A2379" s="25">
        <v>1515</v>
      </c>
      <c r="B2379" t="s">
        <v>84</v>
      </c>
      <c r="C2379" t="s">
        <v>34</v>
      </c>
      <c r="D2379" t="s">
        <v>667</v>
      </c>
      <c r="E2379" s="118" t="s">
        <v>895</v>
      </c>
      <c r="F2379" s="13">
        <v>46170</v>
      </c>
      <c r="G2379" s="27">
        <v>78227.78</v>
      </c>
      <c r="H2379" s="24">
        <v>71852.22</v>
      </c>
      <c r="I2379" s="3">
        <v>46163</v>
      </c>
      <c r="J2379" s="102">
        <v>46195</v>
      </c>
      <c r="K2379" s="29"/>
      <c r="L2379" s="19" t="s">
        <v>730</v>
      </c>
      <c r="M2379" s="58"/>
      <c r="N2379" s="26"/>
      <c r="O2379" t="s">
        <v>202</v>
      </c>
      <c r="P2379" t="s">
        <v>328</v>
      </c>
      <c r="Q2379" t="s">
        <v>207</v>
      </c>
    </row>
    <row r="2380" spans="1:18" x14ac:dyDescent="0.3">
      <c r="A2380" s="25">
        <v>1515</v>
      </c>
      <c r="B2380" t="s">
        <v>84</v>
      </c>
      <c r="C2380" t="s">
        <v>34</v>
      </c>
      <c r="D2380" t="s">
        <v>667</v>
      </c>
      <c r="E2380" s="118" t="s">
        <v>896</v>
      </c>
      <c r="F2380" s="13">
        <v>46170</v>
      </c>
      <c r="G2380" s="27">
        <v>49407.02</v>
      </c>
      <c r="H2380" s="24">
        <v>45380.34</v>
      </c>
      <c r="I2380" s="3">
        <v>46163</v>
      </c>
      <c r="J2380" s="102">
        <v>46195</v>
      </c>
      <c r="K2380" s="29"/>
      <c r="L2380" s="19" t="s">
        <v>730</v>
      </c>
      <c r="M2380" s="58"/>
      <c r="N2380" s="26"/>
      <c r="O2380" t="s">
        <v>202</v>
      </c>
      <c r="P2380" t="s">
        <v>328</v>
      </c>
      <c r="Q2380" t="s">
        <v>207</v>
      </c>
    </row>
    <row r="2381" spans="1:18" x14ac:dyDescent="0.3">
      <c r="A2381" s="25">
        <v>1515</v>
      </c>
      <c r="B2381" t="s">
        <v>84</v>
      </c>
      <c r="C2381" t="s">
        <v>34</v>
      </c>
      <c r="D2381" t="s">
        <v>667</v>
      </c>
      <c r="E2381" s="118" t="s">
        <v>897</v>
      </c>
      <c r="F2381" s="13">
        <v>46170</v>
      </c>
      <c r="G2381" s="27">
        <v>5852.04</v>
      </c>
      <c r="H2381" s="24">
        <v>5375.1</v>
      </c>
      <c r="I2381" s="3">
        <v>46163</v>
      </c>
      <c r="J2381" s="102">
        <v>46195</v>
      </c>
      <c r="K2381" s="29"/>
      <c r="L2381" s="19" t="s">
        <v>730</v>
      </c>
      <c r="M2381" s="58"/>
      <c r="N2381" s="26"/>
      <c r="O2381" t="s">
        <v>202</v>
      </c>
      <c r="P2381" t="s">
        <v>328</v>
      </c>
      <c r="Q2381" t="s">
        <v>207</v>
      </c>
    </row>
    <row r="2382" spans="1:18" x14ac:dyDescent="0.3">
      <c r="A2382" s="25">
        <v>1515</v>
      </c>
      <c r="B2382" t="s">
        <v>84</v>
      </c>
      <c r="C2382" t="s">
        <v>34</v>
      </c>
      <c r="D2382" t="s">
        <v>667</v>
      </c>
      <c r="E2382" s="118" t="s">
        <v>898</v>
      </c>
      <c r="F2382" s="13">
        <v>46170</v>
      </c>
      <c r="G2382" s="27">
        <v>3698.55</v>
      </c>
      <c r="H2382" s="24">
        <v>3397.11</v>
      </c>
      <c r="I2382" s="3">
        <v>46163</v>
      </c>
      <c r="J2382" s="102">
        <v>46195</v>
      </c>
      <c r="K2382" s="29"/>
      <c r="L2382" s="19" t="s">
        <v>730</v>
      </c>
      <c r="M2382" s="58"/>
      <c r="N2382" s="26"/>
      <c r="O2382" t="s">
        <v>202</v>
      </c>
      <c r="P2382" t="s">
        <v>328</v>
      </c>
      <c r="Q2382" t="s">
        <v>207</v>
      </c>
    </row>
    <row r="2383" spans="1:18" x14ac:dyDescent="0.3">
      <c r="A2383" s="25">
        <v>1515</v>
      </c>
      <c r="B2383" t="s">
        <v>84</v>
      </c>
      <c r="C2383" t="s">
        <v>34</v>
      </c>
      <c r="D2383" t="s">
        <v>667</v>
      </c>
      <c r="E2383" s="121">
        <v>8978</v>
      </c>
      <c r="F2383" s="13">
        <v>46109</v>
      </c>
      <c r="G2383" s="27">
        <v>16370.21</v>
      </c>
      <c r="H2383" s="24">
        <v>14790.48</v>
      </c>
      <c r="I2383" s="3">
        <v>46171</v>
      </c>
      <c r="J2383" s="102">
        <v>46195</v>
      </c>
      <c r="K2383" s="29"/>
      <c r="L2383" s="19" t="s">
        <v>730</v>
      </c>
      <c r="M2383" s="58"/>
      <c r="N2383" s="26"/>
      <c r="O2383" t="s">
        <v>202</v>
      </c>
      <c r="P2383" t="s">
        <v>328</v>
      </c>
      <c r="Q2383" t="s">
        <v>207</v>
      </c>
    </row>
    <row r="2384" spans="1:18" x14ac:dyDescent="0.3">
      <c r="A2384" s="25">
        <v>1515</v>
      </c>
      <c r="B2384" t="s">
        <v>84</v>
      </c>
      <c r="C2384" t="s">
        <v>34</v>
      </c>
      <c r="D2384" t="s">
        <v>667</v>
      </c>
      <c r="E2384" s="121">
        <v>8979</v>
      </c>
      <c r="F2384" s="13">
        <v>46170</v>
      </c>
      <c r="G2384" s="27">
        <v>10367.799999999999</v>
      </c>
      <c r="H2384" s="24">
        <v>9522.83</v>
      </c>
      <c r="I2384" s="3">
        <v>46171</v>
      </c>
      <c r="J2384" s="102">
        <v>46195</v>
      </c>
      <c r="K2384" s="29"/>
      <c r="L2384" s="19" t="s">
        <v>730</v>
      </c>
      <c r="M2384" s="58"/>
      <c r="N2384" s="26"/>
      <c r="O2384" t="s">
        <v>202</v>
      </c>
      <c r="P2384" t="s">
        <v>328</v>
      </c>
      <c r="Q2384" t="s">
        <v>207</v>
      </c>
    </row>
    <row r="2385" spans="1:17" x14ac:dyDescent="0.3">
      <c r="A2385" s="25">
        <v>1515</v>
      </c>
      <c r="B2385" t="s">
        <v>84</v>
      </c>
      <c r="C2385" t="s">
        <v>34</v>
      </c>
      <c r="D2385" t="s">
        <v>667</v>
      </c>
      <c r="E2385" s="121">
        <v>8980</v>
      </c>
      <c r="F2385" s="13">
        <v>46170</v>
      </c>
      <c r="G2385" s="27">
        <v>6548.09</v>
      </c>
      <c r="H2385" s="24">
        <v>6014.43</v>
      </c>
      <c r="I2385" s="3">
        <v>46171</v>
      </c>
      <c r="J2385" s="102">
        <v>46195</v>
      </c>
      <c r="K2385" s="29"/>
      <c r="L2385" s="19" t="s">
        <v>730</v>
      </c>
      <c r="M2385" s="58"/>
      <c r="N2385" s="26"/>
      <c r="O2385" t="s">
        <v>202</v>
      </c>
      <c r="P2385" t="s">
        <v>328</v>
      </c>
      <c r="Q2385" t="s">
        <v>207</v>
      </c>
    </row>
    <row r="2386" spans="1:17" x14ac:dyDescent="0.3">
      <c r="A2386" s="25">
        <v>1296</v>
      </c>
      <c r="B2386" t="s">
        <v>84</v>
      </c>
      <c r="C2386" t="s">
        <v>34</v>
      </c>
      <c r="D2386" t="s">
        <v>416</v>
      </c>
      <c r="E2386" s="121">
        <v>1325</v>
      </c>
      <c r="F2386" s="13">
        <v>46019</v>
      </c>
      <c r="G2386" s="24">
        <v>165040.49</v>
      </c>
      <c r="H2386" s="24">
        <v>151589.70000000001</v>
      </c>
      <c r="I2386" s="3">
        <v>46013</v>
      </c>
      <c r="J2386" s="102">
        <v>46027</v>
      </c>
      <c r="K2386" s="29">
        <v>46028</v>
      </c>
      <c r="L2386" s="19" t="s">
        <v>731</v>
      </c>
      <c r="M2386" s="58"/>
      <c r="N2386" s="26"/>
      <c r="O2386" t="s">
        <v>202</v>
      </c>
      <c r="P2386" t="s">
        <v>328</v>
      </c>
      <c r="Q2386" t="s">
        <v>207</v>
      </c>
    </row>
    <row r="2387" spans="1:17" x14ac:dyDescent="0.3">
      <c r="A2387" s="9">
        <v>1480</v>
      </c>
      <c r="B2387" t="s">
        <v>193</v>
      </c>
      <c r="C2387" t="s">
        <v>184</v>
      </c>
      <c r="D2387" t="s">
        <v>630</v>
      </c>
      <c r="E2387" s="117">
        <v>4707</v>
      </c>
      <c r="F2387" s="13">
        <v>46019</v>
      </c>
      <c r="G2387" s="24">
        <v>535168</v>
      </c>
      <c r="H2387" s="11">
        <v>502255.17</v>
      </c>
      <c r="I2387" s="3">
        <v>46024</v>
      </c>
      <c r="J2387" s="102">
        <v>46069</v>
      </c>
      <c r="K2387" s="5">
        <v>46073</v>
      </c>
      <c r="L2387" s="19" t="s">
        <v>731</v>
      </c>
      <c r="M2387" s="38"/>
      <c r="N2387" s="15"/>
      <c r="O2387" t="s">
        <v>199</v>
      </c>
      <c r="P2387" t="s">
        <v>376</v>
      </c>
      <c r="Q2387" t="s">
        <v>207</v>
      </c>
    </row>
    <row r="2388" spans="1:17" x14ac:dyDescent="0.3">
      <c r="A2388" s="25">
        <v>1299</v>
      </c>
      <c r="B2388" t="s">
        <v>204</v>
      </c>
      <c r="C2388" t="s">
        <v>32</v>
      </c>
      <c r="D2388" t="s">
        <v>419</v>
      </c>
      <c r="E2388" s="123">
        <v>8676</v>
      </c>
      <c r="F2388" s="13">
        <v>45928</v>
      </c>
      <c r="G2388" s="24">
        <v>1020096</v>
      </c>
      <c r="H2388" s="24">
        <v>950729.47</v>
      </c>
      <c r="I2388" s="3">
        <v>46002</v>
      </c>
      <c r="J2388" s="102">
        <v>46013</v>
      </c>
      <c r="K2388" s="12">
        <v>46015</v>
      </c>
      <c r="L2388" s="19" t="s">
        <v>731</v>
      </c>
      <c r="M2388" s="69"/>
      <c r="N2388" s="26"/>
      <c r="O2388" t="s">
        <v>199</v>
      </c>
      <c r="P2388" t="s">
        <v>340</v>
      </c>
      <c r="Q2388" t="s">
        <v>217</v>
      </c>
    </row>
    <row r="2389" spans="1:17" x14ac:dyDescent="0.3">
      <c r="A2389" s="25">
        <v>1299</v>
      </c>
      <c r="B2389" t="s">
        <v>204</v>
      </c>
      <c r="C2389" t="s">
        <v>32</v>
      </c>
      <c r="D2389" t="s">
        <v>419</v>
      </c>
      <c r="E2389" s="123">
        <v>8677</v>
      </c>
      <c r="F2389" s="13">
        <v>45958</v>
      </c>
      <c r="G2389" s="24">
        <v>1020096</v>
      </c>
      <c r="H2389" s="24">
        <v>950729.47</v>
      </c>
      <c r="I2389" s="3">
        <v>46002</v>
      </c>
      <c r="J2389" s="102">
        <v>46013</v>
      </c>
      <c r="K2389" s="12">
        <v>46015</v>
      </c>
      <c r="L2389" s="19" t="s">
        <v>731</v>
      </c>
      <c r="M2389" s="69"/>
      <c r="N2389" s="26"/>
      <c r="O2389" t="s">
        <v>199</v>
      </c>
      <c r="P2389" t="s">
        <v>340</v>
      </c>
      <c r="Q2389" t="s">
        <v>217</v>
      </c>
    </row>
    <row r="2390" spans="1:17" x14ac:dyDescent="0.3">
      <c r="A2390" s="9">
        <v>1299</v>
      </c>
      <c r="B2390" t="s">
        <v>204</v>
      </c>
      <c r="C2390" t="s">
        <v>32</v>
      </c>
      <c r="D2390" t="s">
        <v>419</v>
      </c>
      <c r="E2390" s="120">
        <v>8693</v>
      </c>
      <c r="F2390" s="13">
        <v>45989</v>
      </c>
      <c r="G2390" s="24">
        <v>1020096</v>
      </c>
      <c r="H2390" s="24">
        <v>950729.47</v>
      </c>
      <c r="I2390" s="3">
        <v>46008</v>
      </c>
      <c r="J2390" s="102">
        <v>46013</v>
      </c>
      <c r="K2390" s="12">
        <v>46015</v>
      </c>
      <c r="L2390" s="19" t="s">
        <v>731</v>
      </c>
      <c r="M2390" s="55"/>
      <c r="N2390" s="26"/>
      <c r="O2390" t="s">
        <v>199</v>
      </c>
      <c r="P2390" t="s">
        <v>340</v>
      </c>
      <c r="Q2390" t="s">
        <v>217</v>
      </c>
    </row>
    <row r="2391" spans="1:17" x14ac:dyDescent="0.3">
      <c r="A2391" s="9">
        <v>1299</v>
      </c>
      <c r="B2391" t="s">
        <v>204</v>
      </c>
      <c r="C2391" t="s">
        <v>32</v>
      </c>
      <c r="D2391" t="s">
        <v>419</v>
      </c>
      <c r="E2391" s="120">
        <v>8697</v>
      </c>
      <c r="F2391" s="13">
        <v>46019</v>
      </c>
      <c r="G2391" s="24">
        <v>425525.76000000001</v>
      </c>
      <c r="H2391" s="24">
        <v>396590</v>
      </c>
      <c r="I2391" s="3">
        <v>46009</v>
      </c>
      <c r="J2391" s="102">
        <v>46013</v>
      </c>
      <c r="K2391" s="12">
        <v>46015</v>
      </c>
      <c r="L2391" s="19" t="s">
        <v>731</v>
      </c>
      <c r="M2391" s="55"/>
      <c r="N2391" s="15"/>
      <c r="O2391" t="s">
        <v>199</v>
      </c>
      <c r="P2391" t="s">
        <v>340</v>
      </c>
      <c r="Q2391" t="s">
        <v>217</v>
      </c>
    </row>
    <row r="2392" spans="1:17" x14ac:dyDescent="0.3">
      <c r="A2392" s="25">
        <v>1289</v>
      </c>
      <c r="B2392" t="s">
        <v>204</v>
      </c>
      <c r="C2392" t="s">
        <v>32</v>
      </c>
      <c r="D2392" t="s">
        <v>408</v>
      </c>
      <c r="F2392" s="13">
        <v>46019</v>
      </c>
      <c r="G2392" s="24">
        <v>60000</v>
      </c>
      <c r="H2392" s="24"/>
      <c r="I2392" s="3">
        <v>46082</v>
      </c>
      <c r="J2392" s="102"/>
      <c r="K2392" s="12"/>
      <c r="L2392" s="19" t="s">
        <v>719</v>
      </c>
      <c r="M2392" s="69"/>
      <c r="N2392" s="26"/>
      <c r="O2392" t="s">
        <v>202</v>
      </c>
      <c r="P2392" t="s">
        <v>340</v>
      </c>
      <c r="Q2392" t="s">
        <v>217</v>
      </c>
    </row>
    <row r="2393" spans="1:17" x14ac:dyDescent="0.3">
      <c r="A2393" s="25">
        <v>1271</v>
      </c>
      <c r="B2393" t="s">
        <v>204</v>
      </c>
      <c r="C2393" t="s">
        <v>32</v>
      </c>
      <c r="D2393" t="s">
        <v>387</v>
      </c>
      <c r="F2393" s="13">
        <v>46019</v>
      </c>
      <c r="G2393" s="24">
        <v>53139</v>
      </c>
      <c r="H2393" s="24"/>
      <c r="I2393" s="3">
        <v>46113</v>
      </c>
      <c r="J2393" s="102"/>
      <c r="K2393" s="12"/>
      <c r="L2393" s="19" t="s">
        <v>719</v>
      </c>
      <c r="M2393" s="69"/>
      <c r="N2393" s="26"/>
      <c r="O2393" t="s">
        <v>202</v>
      </c>
      <c r="P2393" t="s">
        <v>340</v>
      </c>
      <c r="Q2393" t="s">
        <v>217</v>
      </c>
    </row>
    <row r="2394" spans="1:17" x14ac:dyDescent="0.3">
      <c r="A2394" s="25">
        <v>1288</v>
      </c>
      <c r="B2394" t="s">
        <v>204</v>
      </c>
      <c r="C2394" t="s">
        <v>32</v>
      </c>
      <c r="D2394" t="s">
        <v>407</v>
      </c>
      <c r="F2394" s="13">
        <v>46019</v>
      </c>
      <c r="G2394" s="24">
        <v>81809</v>
      </c>
      <c r="H2394" s="24"/>
      <c r="I2394" s="3">
        <v>46113</v>
      </c>
      <c r="J2394" s="102"/>
      <c r="K2394" s="12"/>
      <c r="L2394" s="19" t="s">
        <v>719</v>
      </c>
      <c r="M2394" s="69"/>
      <c r="N2394" s="26"/>
      <c r="O2394" t="s">
        <v>199</v>
      </c>
      <c r="P2394" t="s">
        <v>340</v>
      </c>
      <c r="Q2394" t="s">
        <v>217</v>
      </c>
    </row>
    <row r="2395" spans="1:17" x14ac:dyDescent="0.3">
      <c r="A2395" s="25">
        <v>1299</v>
      </c>
      <c r="B2395" t="s">
        <v>204</v>
      </c>
      <c r="C2395" t="s">
        <v>32</v>
      </c>
      <c r="D2395" t="s">
        <v>419</v>
      </c>
      <c r="F2395" s="13">
        <v>46019</v>
      </c>
      <c r="G2395" s="24">
        <v>212058</v>
      </c>
      <c r="H2395" s="24"/>
      <c r="I2395" s="3">
        <v>46113</v>
      </c>
      <c r="J2395" s="102"/>
      <c r="K2395" s="12"/>
      <c r="L2395" s="19" t="s">
        <v>719</v>
      </c>
      <c r="M2395" s="69"/>
      <c r="N2395" s="26"/>
      <c r="O2395" t="s">
        <v>199</v>
      </c>
      <c r="P2395" t="s">
        <v>340</v>
      </c>
      <c r="Q2395" t="s">
        <v>217</v>
      </c>
    </row>
    <row r="2396" spans="1:17" x14ac:dyDescent="0.3">
      <c r="A2396" s="25">
        <v>1273</v>
      </c>
      <c r="B2396" t="s">
        <v>204</v>
      </c>
      <c r="C2396" t="s">
        <v>39</v>
      </c>
      <c r="D2396" t="s">
        <v>389</v>
      </c>
      <c r="E2396" s="121">
        <v>8950</v>
      </c>
      <c r="F2396" s="13">
        <v>46140</v>
      </c>
      <c r="G2396" s="24">
        <v>577608.75</v>
      </c>
      <c r="H2396" s="27">
        <v>518115.04</v>
      </c>
      <c r="I2396" s="3">
        <v>46161</v>
      </c>
      <c r="J2396" s="102">
        <v>46174</v>
      </c>
      <c r="K2396" s="12">
        <v>46174</v>
      </c>
      <c r="L2396" s="19" t="s">
        <v>731</v>
      </c>
      <c r="M2396" s="36">
        <v>0</v>
      </c>
      <c r="N2396"/>
      <c r="O2396" t="s">
        <v>202</v>
      </c>
      <c r="P2396" t="s">
        <v>340</v>
      </c>
      <c r="Q2396" t="s">
        <v>217</v>
      </c>
    </row>
    <row r="2397" spans="1:17" x14ac:dyDescent="0.3">
      <c r="A2397" s="25">
        <v>1514</v>
      </c>
      <c r="B2397" t="s">
        <v>204</v>
      </c>
      <c r="C2397" t="s">
        <v>39</v>
      </c>
      <c r="D2397" t="s">
        <v>666</v>
      </c>
      <c r="E2397" s="121">
        <v>8977</v>
      </c>
      <c r="F2397" s="13">
        <v>46109</v>
      </c>
      <c r="G2397" s="24">
        <v>2293393.12</v>
      </c>
      <c r="H2397" s="24">
        <v>2137442.39</v>
      </c>
      <c r="I2397" s="3">
        <v>46170</v>
      </c>
      <c r="J2397" s="102">
        <v>46181</v>
      </c>
      <c r="K2397" s="12"/>
      <c r="L2397" s="19" t="s">
        <v>730</v>
      </c>
      <c r="M2397" s="36">
        <v>0</v>
      </c>
      <c r="N2397"/>
      <c r="O2397" t="s">
        <v>199</v>
      </c>
      <c r="P2397" t="s">
        <v>340</v>
      </c>
      <c r="Q2397" t="s">
        <v>217</v>
      </c>
    </row>
    <row r="2398" spans="1:17" x14ac:dyDescent="0.3">
      <c r="A2398" s="25">
        <v>1514</v>
      </c>
      <c r="B2398" t="s">
        <v>204</v>
      </c>
      <c r="C2398" t="s">
        <v>39</v>
      </c>
      <c r="D2398" t="s">
        <v>666</v>
      </c>
      <c r="E2398" s="121">
        <v>8992</v>
      </c>
      <c r="F2398" s="13">
        <v>46140</v>
      </c>
      <c r="G2398" s="24">
        <v>2391825.77</v>
      </c>
      <c r="H2398" s="24">
        <v>2229181.62</v>
      </c>
      <c r="I2398" s="3">
        <v>46175</v>
      </c>
      <c r="J2398" s="102">
        <v>46195</v>
      </c>
      <c r="K2398" s="12"/>
      <c r="L2398" s="19" t="s">
        <v>730</v>
      </c>
      <c r="M2398" s="36">
        <v>0</v>
      </c>
      <c r="N2398"/>
      <c r="O2398" t="s">
        <v>199</v>
      </c>
      <c r="P2398" t="s">
        <v>340</v>
      </c>
      <c r="Q2398" t="s">
        <v>217</v>
      </c>
    </row>
    <row r="2399" spans="1:17" x14ac:dyDescent="0.3">
      <c r="A2399" s="9">
        <v>1299</v>
      </c>
      <c r="B2399" t="s">
        <v>204</v>
      </c>
      <c r="C2399" t="s">
        <v>32</v>
      </c>
      <c r="D2399" t="s">
        <v>419</v>
      </c>
      <c r="E2399" s="120">
        <v>8796</v>
      </c>
      <c r="F2399" s="13">
        <v>46051</v>
      </c>
      <c r="G2399" s="24">
        <v>1020096</v>
      </c>
      <c r="H2399" s="27">
        <v>950729.47</v>
      </c>
      <c r="I2399" s="3">
        <v>46087</v>
      </c>
      <c r="J2399" s="102">
        <v>46097</v>
      </c>
      <c r="K2399" s="12">
        <v>46100</v>
      </c>
      <c r="L2399" s="19" t="s">
        <v>731</v>
      </c>
      <c r="M2399" s="55"/>
      <c r="N2399" s="26"/>
      <c r="O2399" t="s">
        <v>199</v>
      </c>
      <c r="P2399" t="s">
        <v>340</v>
      </c>
      <c r="Q2399" t="s">
        <v>217</v>
      </c>
    </row>
    <row r="2400" spans="1:17" x14ac:dyDescent="0.3">
      <c r="G2400" s="2"/>
      <c r="H2400" s="152">
        <f>IFERROR(H2218/G2218,0)</f>
        <v>0</v>
      </c>
    </row>
    <row r="2401" spans="4:10" x14ac:dyDescent="0.3">
      <c r="F2401" s="154"/>
      <c r="H2401" s="157">
        <v>0.93849999307284149</v>
      </c>
    </row>
    <row r="2402" spans="4:10" x14ac:dyDescent="0.3">
      <c r="F2402" s="150"/>
      <c r="G2402" s="150"/>
      <c r="H2402" s="150">
        <f>H1874/G1874</f>
        <v>0.93849993620325323</v>
      </c>
    </row>
    <row r="2403" spans="4:10" x14ac:dyDescent="0.3">
      <c r="D2403" t="s">
        <v>715</v>
      </c>
      <c r="G2403" s="151">
        <f>H1693/G1693</f>
        <v>0.93849997272677688</v>
      </c>
      <c r="H2403" s="159"/>
      <c r="I2403" s="168"/>
      <c r="J2403" s="168"/>
    </row>
    <row r="2404" spans="4:10" x14ac:dyDescent="0.3">
      <c r="H2404" s="155"/>
      <c r="I2404" s="168"/>
      <c r="J2404" s="168"/>
    </row>
    <row r="2405" spans="4:10" x14ac:dyDescent="0.3">
      <c r="I2405" s="168"/>
      <c r="J2405" s="168"/>
    </row>
    <row r="2406" spans="4:10" x14ac:dyDescent="0.3">
      <c r="H2406" s="169"/>
      <c r="I2406" s="168"/>
      <c r="J2406" s="168"/>
    </row>
    <row r="2407" spans="4:10" x14ac:dyDescent="0.3">
      <c r="F2407" s="154"/>
      <c r="H2407" s="169"/>
      <c r="I2407" s="168"/>
      <c r="J2407" s="168"/>
    </row>
    <row r="2408" spans="4:10" x14ac:dyDescent="0.3">
      <c r="G2408" s="27"/>
      <c r="H2408" s="169"/>
      <c r="I2408" s="168"/>
      <c r="J2408" s="168"/>
    </row>
    <row r="2409" spans="4:10" x14ac:dyDescent="0.3">
      <c r="F2409" s="6"/>
      <c r="I2409" s="168"/>
      <c r="J2409" s="168"/>
    </row>
    <row r="2410" spans="4:10" x14ac:dyDescent="0.3">
      <c r="I2410" s="168"/>
      <c r="J2410" s="168"/>
    </row>
    <row r="2411" spans="4:10" x14ac:dyDescent="0.3">
      <c r="G2411" s="2"/>
      <c r="I2411" s="168"/>
      <c r="J2411" s="168"/>
    </row>
    <row r="2412" spans="4:10" x14ac:dyDescent="0.3">
      <c r="I2412" s="168"/>
      <c r="J2412" s="168"/>
    </row>
    <row r="2413" spans="4:10" x14ac:dyDescent="0.3">
      <c r="D2413" s="160"/>
      <c r="I2413" s="168"/>
      <c r="J2413" s="168"/>
    </row>
    <row r="2414" spans="4:10" x14ac:dyDescent="0.3">
      <c r="D2414" s="160"/>
      <c r="I2414" s="168"/>
      <c r="J2414" s="168"/>
    </row>
    <row r="2415" spans="4:10" x14ac:dyDescent="0.3">
      <c r="D2415" s="160"/>
      <c r="I2415" s="168"/>
      <c r="J2415" s="168"/>
    </row>
    <row r="2416" spans="4:10" x14ac:dyDescent="0.3">
      <c r="I2416" s="168"/>
      <c r="J2416" s="168"/>
    </row>
    <row r="2417" spans="9:10" x14ac:dyDescent="0.3">
      <c r="I2417" s="168"/>
      <c r="J2417" s="168"/>
    </row>
    <row r="2418" spans="9:10" x14ac:dyDescent="0.3">
      <c r="I2418" s="168"/>
      <c r="J2418" s="168"/>
    </row>
    <row r="2419" spans="9:10" x14ac:dyDescent="0.3">
      <c r="I2419" s="168"/>
      <c r="J2419" s="168"/>
    </row>
    <row r="2420" spans="9:10" x14ac:dyDescent="0.3">
      <c r="I2420" s="168"/>
      <c r="J2420" s="168"/>
    </row>
  </sheetData>
  <phoneticPr fontId="4" type="noConversion"/>
  <conditionalFormatting sqref="L2:L2399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37">
    <cfRule type="containsText" dxfId="35" priority="33" operator="containsText" text="A FATURAR">
      <formula>NOT(ISERROR(SEARCH("A FATURAR",L37)))</formula>
    </cfRule>
    <cfRule type="containsText" dxfId="34" priority="34" operator="containsText" text="ATRASADO">
      <formula>NOT(ISERROR(SEARCH("ATRASADO",L37)))</formula>
    </cfRule>
    <cfRule type="containsText" dxfId="33" priority="35" operator="containsText" text="EM ABERTO">
      <formula>NOT(ISERROR(SEARCH("EM ABERTO",L37)))</formula>
    </cfRule>
    <cfRule type="containsText" dxfId="32" priority="36" operator="containsText" text="PAGO">
      <formula>NOT(ISERROR(SEARCH("PAGO",L37)))</formula>
    </cfRule>
  </conditionalFormatting>
  <conditionalFormatting sqref="L51:L64">
    <cfRule type="containsText" dxfId="31" priority="29" operator="containsText" text="A FATURAR">
      <formula>NOT(ISERROR(SEARCH("A FATURAR",L51)))</formula>
    </cfRule>
    <cfRule type="containsText" dxfId="30" priority="30" operator="containsText" text="ATRASADO">
      <formula>NOT(ISERROR(SEARCH("ATRASADO",L51)))</formula>
    </cfRule>
    <cfRule type="containsText" dxfId="29" priority="31" operator="containsText" text="EM ABERTO">
      <formula>NOT(ISERROR(SEARCH("EM ABERTO",L51)))</formula>
    </cfRule>
    <cfRule type="containsText" dxfId="28" priority="32" operator="containsText" text="PAGO">
      <formula>NOT(ISERROR(SEARCH("PAGO",L51)))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0" operator="containsText" text="ATRASADO">
      <formula>NOT(ISERROR(SEARCH("ATRASADO",L248)))</formula>
    </cfRule>
    <cfRule type="containsText" dxfId="17" priority="11" operator="containsText" text="EM ABERTO">
      <formula>NOT(ISERROR(SEARCH("EM ABERTO",L248)))</formula>
    </cfRule>
    <cfRule type="containsText" dxfId="16" priority="12" operator="containsText" text="PAGO">
      <formula>NOT(ISERROR(SEARCH("PAGO",L248)))</formula>
    </cfRule>
  </conditionalFormatting>
  <conditionalFormatting sqref="L660:L667">
    <cfRule type="containsText" dxfId="15" priority="17" operator="containsText" text="A FATURAR">
      <formula>NOT(ISERROR(SEARCH("A FATURAR",L660)))</formula>
    </cfRule>
    <cfRule type="containsText" dxfId="14" priority="18" operator="containsText" text="ATRASADO">
      <formula>NOT(ISERROR(SEARCH("ATRASADO",L660)))</formula>
    </cfRule>
    <cfRule type="containsText" dxfId="13" priority="19" operator="containsText" text="EM ABERTO">
      <formula>NOT(ISERROR(SEARCH("EM ABERTO",L660)))</formula>
    </cfRule>
    <cfRule type="containsText" dxfId="12" priority="20" operator="containsText" text="PAGO">
      <formula>NOT(ISERROR(SEARCH("PAGO",L660)))</formula>
    </cfRule>
  </conditionalFormatting>
  <conditionalFormatting sqref="L669:L670">
    <cfRule type="containsText" dxfId="11" priority="13" operator="containsText" text="A FATURAR">
      <formula>NOT(ISERROR(SEARCH("A FATURAR",L669)))</formula>
    </cfRule>
    <cfRule type="containsText" dxfId="10" priority="14" operator="containsText" text="ATRASADO">
      <formula>NOT(ISERROR(SEARCH("ATRASADO",L669)))</formula>
    </cfRule>
    <cfRule type="containsText" dxfId="9" priority="15" operator="containsText" text="EM ABERTO">
      <formula>NOT(ISERROR(SEARCH("EM ABERTO",L669)))</formula>
    </cfRule>
    <cfRule type="containsText" dxfId="8" priority="16" operator="containsText" text="PAGO">
      <formula>NOT(ISERROR(SEARCH("PAGO",L669)))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1" operator="containsText" text="A FATURAR">
      <formula>NOT(ISERROR(SEARCH("A FATURAR",L1009)))</formula>
    </cfRule>
    <cfRule type="containsText" dxfId="2" priority="2" operator="containsText" text="ATRASADO">
      <formula>NOT(ISERROR(SEARCH("ATRASADO",L1009)))</formula>
    </cfRule>
    <cfRule type="containsText" dxfId="1" priority="3" operator="containsText" text="EM ABERTO">
      <formula>NOT(ISERROR(SEARCH("EM ABERTO",L1009)))</formula>
    </cfRule>
    <cfRule type="containsText" dxfId="0" priority="4" operator="containsText" text="PAGO">
      <formula>NOT(ISERROR(SEARCH("PAGO",L1009)))</formula>
    </cfRule>
  </conditionalFormatting>
  <dataValidations count="2">
    <dataValidation type="date" allowBlank="1" showInputMessage="1" showErrorMessage="1" sqref="K2:K2399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Executivo</vt:lpstr>
      <vt:lpstr>Planilha3</vt:lpstr>
      <vt:lpstr>Local</vt:lpstr>
      <vt:lpstr>CC</vt:lpstr>
      <vt:lpstr>Projeção contabil</vt:lpstr>
      <vt:lpstr>CT A RECEBER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2026-06-11T13:43:31Z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
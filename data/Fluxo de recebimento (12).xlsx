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tor.esteves\Downloads\"/>
    </mc:Choice>
  </mc:AlternateContent>
  <xr:revisionPtr revIDLastSave="0" documentId="13_ncr:1_{B041649F-C0DE-4ADD-B989-E2050F1CA290}" xr6:coauthVersionLast="47" xr6:coauthVersionMax="47" xr10:uidLastSave="{00000000-0000-0000-0000-000000000000}"/>
  <bookViews>
    <workbookView xWindow="-108" yWindow="-108" windowWidth="23256" windowHeight="12456" tabRatio="747" activeTab="1" xr2:uid="{354179F4-D105-4BF2-B717-B5E295E6C087}"/>
  </bookViews>
  <sheets>
    <sheet name="CC" sheetId="169" r:id="rId1"/>
    <sheet name="CT A RECEBER" sheetId="1" r:id="rId2"/>
    <sheet name="Planilha1" sheetId="176" state="hidden" r:id="rId3"/>
  </sheets>
  <definedNames>
    <definedName name="_xlnm._FilterDatabase" localSheetId="0" hidden="1">CC!$A$1:$I$416</definedName>
    <definedName name="_xlnm._FilterDatabase" localSheetId="1" hidden="1">'CT A RECEBER'!#REF!</definedName>
    <definedName name="BU">#REF!</definedName>
    <definedName name="cc">#REF!</definedName>
    <definedName name="CLIENTE">#REF!</definedName>
    <definedName name="DELIVERY">#REF!</definedName>
    <definedName name="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27" i="1" l="1"/>
  <c r="I1367" i="1"/>
  <c r="I1666" i="1"/>
  <c r="B1389" i="1" l="1"/>
  <c r="C1389" i="1"/>
  <c r="D1389" i="1"/>
  <c r="E1389" i="1"/>
  <c r="Q1389" i="1"/>
  <c r="R1389" i="1"/>
  <c r="S1389" i="1"/>
  <c r="I1750" i="1"/>
  <c r="S1366" i="1"/>
  <c r="R1366" i="1"/>
  <c r="Q1366" i="1"/>
  <c r="E1366" i="1"/>
  <c r="D1366" i="1"/>
  <c r="C1366" i="1"/>
  <c r="B1366" i="1"/>
  <c r="S1365" i="1"/>
  <c r="R1365" i="1"/>
  <c r="Q1365" i="1"/>
  <c r="E1365" i="1"/>
  <c r="D1365" i="1"/>
  <c r="C1365" i="1"/>
  <c r="B1365" i="1"/>
  <c r="S1364" i="1"/>
  <c r="R1364" i="1"/>
  <c r="Q1364" i="1"/>
  <c r="E1364" i="1"/>
  <c r="D1364" i="1"/>
  <c r="C1364" i="1"/>
  <c r="B1364" i="1"/>
  <c r="S1363" i="1"/>
  <c r="R1363" i="1"/>
  <c r="Q1363" i="1"/>
  <c r="E1363" i="1"/>
  <c r="D1363" i="1"/>
  <c r="C1363" i="1"/>
  <c r="B1363" i="1"/>
  <c r="S1362" i="1"/>
  <c r="R1362" i="1"/>
  <c r="Q1362" i="1"/>
  <c r="E1362" i="1"/>
  <c r="D1362" i="1"/>
  <c r="C1362" i="1"/>
  <c r="B1362" i="1"/>
  <c r="S1361" i="1"/>
  <c r="R1361" i="1"/>
  <c r="Q1361" i="1"/>
  <c r="E1361" i="1"/>
  <c r="D1361" i="1"/>
  <c r="C1361" i="1"/>
  <c r="B1361" i="1"/>
  <c r="S1360" i="1"/>
  <c r="R1360" i="1"/>
  <c r="Q1360" i="1"/>
  <c r="E1360" i="1"/>
  <c r="D1360" i="1"/>
  <c r="C1360" i="1"/>
  <c r="B1360" i="1"/>
  <c r="S1359" i="1"/>
  <c r="R1359" i="1"/>
  <c r="Q1359" i="1"/>
  <c r="E1359" i="1"/>
  <c r="D1359" i="1"/>
  <c r="C1359" i="1"/>
  <c r="B1359" i="1"/>
  <c r="S2006" i="1"/>
  <c r="R2006" i="1"/>
  <c r="Q2006" i="1"/>
  <c r="E2006" i="1"/>
  <c r="D2006" i="1"/>
  <c r="C2006" i="1"/>
  <c r="B2006" i="1"/>
  <c r="S2005" i="1"/>
  <c r="R2005" i="1"/>
  <c r="Q2005" i="1"/>
  <c r="E2005" i="1"/>
  <c r="D2005" i="1"/>
  <c r="C2005" i="1"/>
  <c r="B2005" i="1"/>
  <c r="S2004" i="1"/>
  <c r="R2004" i="1"/>
  <c r="Q2004" i="1"/>
  <c r="E2004" i="1"/>
  <c r="D2004" i="1"/>
  <c r="C2004" i="1"/>
  <c r="B2004" i="1"/>
  <c r="S2003" i="1"/>
  <c r="R2003" i="1"/>
  <c r="Q2003" i="1"/>
  <c r="E2003" i="1"/>
  <c r="D2003" i="1"/>
  <c r="C2003" i="1"/>
  <c r="B2003" i="1"/>
  <c r="S2326" i="1"/>
  <c r="R2326" i="1"/>
  <c r="Q2326" i="1"/>
  <c r="E2326" i="1"/>
  <c r="D2326" i="1"/>
  <c r="C2326" i="1"/>
  <c r="B2326" i="1"/>
  <c r="I1944" i="1"/>
  <c r="S1943" i="1" l="1"/>
  <c r="R1943" i="1"/>
  <c r="Q1943" i="1"/>
  <c r="E1943" i="1"/>
  <c r="D1943" i="1"/>
  <c r="C1943" i="1"/>
  <c r="B1943" i="1"/>
  <c r="S1439" i="1"/>
  <c r="R1439" i="1"/>
  <c r="Q1439" i="1"/>
  <c r="E1439" i="1"/>
  <c r="D1439" i="1"/>
  <c r="C1439" i="1"/>
  <c r="B1439" i="1"/>
  <c r="S1749" i="1" l="1"/>
  <c r="R1749" i="1"/>
  <c r="Q1749" i="1"/>
  <c r="E1749" i="1"/>
  <c r="D1749" i="1"/>
  <c r="C1749" i="1"/>
  <c r="B1749" i="1"/>
  <c r="S1665" i="1"/>
  <c r="R1665" i="1"/>
  <c r="Q1665" i="1"/>
  <c r="E1665" i="1"/>
  <c r="D1665" i="1"/>
  <c r="C1665" i="1"/>
  <c r="B1665" i="1"/>
  <c r="S1748" i="1"/>
  <c r="R1748" i="1"/>
  <c r="Q1748" i="1"/>
  <c r="E1748" i="1"/>
  <c r="D1748" i="1"/>
  <c r="C1748" i="1"/>
  <c r="B1748" i="1"/>
  <c r="S1747" i="1"/>
  <c r="R1747" i="1"/>
  <c r="Q1747" i="1"/>
  <c r="E1747" i="1"/>
  <c r="D1747" i="1"/>
  <c r="C1747" i="1"/>
  <c r="B1747" i="1"/>
  <c r="S1746" i="1"/>
  <c r="R1746" i="1"/>
  <c r="Q1746" i="1"/>
  <c r="E1746" i="1"/>
  <c r="D1746" i="1"/>
  <c r="C1746" i="1"/>
  <c r="B1746" i="1"/>
  <c r="S1356" i="1" l="1"/>
  <c r="R1356" i="1"/>
  <c r="Q1356" i="1"/>
  <c r="E1356" i="1"/>
  <c r="D1356" i="1"/>
  <c r="C1356" i="1"/>
  <c r="B1356" i="1"/>
  <c r="S1358" i="1"/>
  <c r="R1358" i="1"/>
  <c r="Q1358" i="1"/>
  <c r="E1358" i="1"/>
  <c r="D1358" i="1"/>
  <c r="C1358" i="1"/>
  <c r="B1358" i="1"/>
  <c r="S1357" i="1"/>
  <c r="R1357" i="1"/>
  <c r="Q1357" i="1"/>
  <c r="E1357" i="1"/>
  <c r="D1357" i="1"/>
  <c r="C1357" i="1"/>
  <c r="B1357" i="1"/>
  <c r="S1355" i="1"/>
  <c r="R1355" i="1"/>
  <c r="Q1355" i="1"/>
  <c r="E1355" i="1"/>
  <c r="D1355" i="1"/>
  <c r="C1355" i="1"/>
  <c r="B1355" i="1"/>
  <c r="S2002" i="1" l="1"/>
  <c r="R2002" i="1"/>
  <c r="Q2002" i="1"/>
  <c r="E2002" i="1"/>
  <c r="D2002" i="1"/>
  <c r="C2002" i="1"/>
  <c r="B2002" i="1"/>
  <c r="S1999" i="1"/>
  <c r="R1999" i="1"/>
  <c r="Q1999" i="1"/>
  <c r="E1999" i="1"/>
  <c r="D1999" i="1"/>
  <c r="C1999" i="1"/>
  <c r="B1999" i="1"/>
  <c r="S1998" i="1"/>
  <c r="R1998" i="1"/>
  <c r="Q1998" i="1"/>
  <c r="E1998" i="1"/>
  <c r="D1998" i="1"/>
  <c r="C1998" i="1"/>
  <c r="B1998" i="1"/>
  <c r="S2001" i="1"/>
  <c r="R2001" i="1"/>
  <c r="Q2001" i="1"/>
  <c r="E2001" i="1"/>
  <c r="D2001" i="1"/>
  <c r="C2001" i="1"/>
  <c r="B2001" i="1"/>
  <c r="S2000" i="1"/>
  <c r="R2000" i="1"/>
  <c r="Q2000" i="1"/>
  <c r="E2000" i="1"/>
  <c r="D2000" i="1"/>
  <c r="C2000" i="1"/>
  <c r="B2000" i="1"/>
  <c r="S1997" i="1"/>
  <c r="R1997" i="1"/>
  <c r="Q1997" i="1"/>
  <c r="E1997" i="1"/>
  <c r="D1997" i="1"/>
  <c r="C1997" i="1"/>
  <c r="B1997" i="1"/>
  <c r="S1996" i="1"/>
  <c r="R1996" i="1"/>
  <c r="Q1996" i="1"/>
  <c r="E1996" i="1"/>
  <c r="D1996" i="1"/>
  <c r="C1996" i="1"/>
  <c r="B1996" i="1"/>
  <c r="S1995" i="1"/>
  <c r="R1995" i="1"/>
  <c r="Q1995" i="1"/>
  <c r="E1995" i="1"/>
  <c r="D1995" i="1"/>
  <c r="C1995" i="1"/>
  <c r="B1995" i="1"/>
  <c r="S1994" i="1"/>
  <c r="R1994" i="1"/>
  <c r="Q1994" i="1"/>
  <c r="E1994" i="1"/>
  <c r="D1994" i="1"/>
  <c r="C1994" i="1"/>
  <c r="B1994" i="1"/>
  <c r="S1744" i="1"/>
  <c r="R1744" i="1"/>
  <c r="Q1744" i="1"/>
  <c r="E1744" i="1"/>
  <c r="D1744" i="1"/>
  <c r="C1744" i="1"/>
  <c r="B1744" i="1"/>
  <c r="S1745" i="1"/>
  <c r="R1745" i="1"/>
  <c r="Q1745" i="1"/>
  <c r="E1745" i="1"/>
  <c r="D1745" i="1"/>
  <c r="C1745" i="1"/>
  <c r="B1745" i="1"/>
  <c r="I2320" i="1"/>
  <c r="S1725" i="1" l="1"/>
  <c r="R1725" i="1"/>
  <c r="Q1725" i="1"/>
  <c r="E1725" i="1"/>
  <c r="D1725" i="1"/>
  <c r="C1725" i="1"/>
  <c r="B1725" i="1"/>
  <c r="S1743" i="1" l="1"/>
  <c r="R1743" i="1"/>
  <c r="Q1743" i="1"/>
  <c r="E1743" i="1"/>
  <c r="D1743" i="1"/>
  <c r="C1743" i="1"/>
  <c r="B1743" i="1"/>
  <c r="S1993" i="1"/>
  <c r="R1993" i="1"/>
  <c r="Q1993" i="1"/>
  <c r="E1993" i="1"/>
  <c r="D1993" i="1"/>
  <c r="C1993" i="1"/>
  <c r="B1993" i="1"/>
  <c r="S2127" i="1"/>
  <c r="R2127" i="1"/>
  <c r="Q2127" i="1"/>
  <c r="E2127" i="1"/>
  <c r="D2127" i="1"/>
  <c r="C2127" i="1"/>
  <c r="B2127" i="1"/>
  <c r="S1742" i="1"/>
  <c r="R1742" i="1"/>
  <c r="Q1742" i="1"/>
  <c r="E1742" i="1"/>
  <c r="D1742" i="1"/>
  <c r="C1742" i="1"/>
  <c r="B1742" i="1"/>
  <c r="S1741" i="1"/>
  <c r="R1741" i="1"/>
  <c r="Q1741" i="1"/>
  <c r="E1741" i="1"/>
  <c r="D1741" i="1"/>
  <c r="C1741" i="1"/>
  <c r="B1741" i="1"/>
  <c r="S1740" i="1"/>
  <c r="R1740" i="1"/>
  <c r="Q1740" i="1"/>
  <c r="E1740" i="1"/>
  <c r="D1740" i="1"/>
  <c r="C1740" i="1"/>
  <c r="B1740" i="1"/>
  <c r="S1664" i="1"/>
  <c r="R1664" i="1"/>
  <c r="Q1664" i="1"/>
  <c r="E1664" i="1"/>
  <c r="D1664" i="1"/>
  <c r="C1664" i="1"/>
  <c r="B1664" i="1"/>
  <c r="S1739" i="1"/>
  <c r="R1739" i="1"/>
  <c r="Q1739" i="1"/>
  <c r="E1739" i="1"/>
  <c r="D1739" i="1"/>
  <c r="C1739" i="1"/>
  <c r="B1739" i="1"/>
  <c r="S1738" i="1"/>
  <c r="R1738" i="1"/>
  <c r="Q1738" i="1"/>
  <c r="E1738" i="1"/>
  <c r="D1738" i="1"/>
  <c r="C1738" i="1"/>
  <c r="B1738" i="1"/>
  <c r="S1737" i="1"/>
  <c r="R1737" i="1"/>
  <c r="Q1737" i="1"/>
  <c r="E1737" i="1"/>
  <c r="D1737" i="1"/>
  <c r="C1737" i="1"/>
  <c r="B1737" i="1"/>
  <c r="S2369" i="1"/>
  <c r="R2369" i="1"/>
  <c r="Q2369" i="1"/>
  <c r="E2369" i="1"/>
  <c r="D2369" i="1"/>
  <c r="C2369" i="1"/>
  <c r="B2369" i="1"/>
  <c r="S2368" i="1"/>
  <c r="R2368" i="1"/>
  <c r="Q2368" i="1"/>
  <c r="E2368" i="1"/>
  <c r="D2368" i="1"/>
  <c r="C2368" i="1"/>
  <c r="B2368" i="1"/>
  <c r="S1831" i="1"/>
  <c r="R1831" i="1"/>
  <c r="Q1831" i="1"/>
  <c r="E1831" i="1"/>
  <c r="D1831" i="1"/>
  <c r="C1831" i="1"/>
  <c r="B1831" i="1"/>
  <c r="S1736" i="1"/>
  <c r="R1736" i="1"/>
  <c r="Q1736" i="1"/>
  <c r="E1736" i="1"/>
  <c r="D1736" i="1"/>
  <c r="C1736" i="1"/>
  <c r="B1736" i="1"/>
  <c r="S1735" i="1"/>
  <c r="R1735" i="1"/>
  <c r="Q1735" i="1"/>
  <c r="E1735" i="1"/>
  <c r="D1735" i="1"/>
  <c r="C1735" i="1"/>
  <c r="B1735" i="1"/>
  <c r="S1734" i="1"/>
  <c r="R1734" i="1"/>
  <c r="Q1734" i="1"/>
  <c r="E1734" i="1"/>
  <c r="D1734" i="1"/>
  <c r="C1734" i="1"/>
  <c r="B1734" i="1"/>
  <c r="S1733" i="1"/>
  <c r="R1733" i="1"/>
  <c r="Q1733" i="1"/>
  <c r="E1733" i="1"/>
  <c r="D1733" i="1"/>
  <c r="C1733" i="1"/>
  <c r="B1733" i="1"/>
  <c r="S1663" i="1"/>
  <c r="R1663" i="1"/>
  <c r="Q1663" i="1"/>
  <c r="E1663" i="1"/>
  <c r="D1663" i="1"/>
  <c r="C1663" i="1"/>
  <c r="B1663" i="1"/>
  <c r="S1662" i="1"/>
  <c r="R1662" i="1"/>
  <c r="Q1662" i="1"/>
  <c r="E1662" i="1"/>
  <c r="D1662" i="1"/>
  <c r="C1662" i="1"/>
  <c r="B1662" i="1"/>
  <c r="S1830" i="1" l="1"/>
  <c r="R1830" i="1"/>
  <c r="Q1830" i="1"/>
  <c r="E1830" i="1"/>
  <c r="D1830" i="1"/>
  <c r="C1830" i="1"/>
  <c r="B1830" i="1"/>
  <c r="S1732" i="1"/>
  <c r="R1732" i="1"/>
  <c r="Q1732" i="1"/>
  <c r="E1732" i="1"/>
  <c r="D1732" i="1"/>
  <c r="C1732" i="1"/>
  <c r="B1732" i="1"/>
  <c r="S1731" i="1"/>
  <c r="R1731" i="1"/>
  <c r="Q1731" i="1"/>
  <c r="E1731" i="1"/>
  <c r="D1731" i="1"/>
  <c r="C1731" i="1"/>
  <c r="B1731" i="1"/>
  <c r="S1730" i="1"/>
  <c r="R1730" i="1"/>
  <c r="Q1730" i="1"/>
  <c r="E1730" i="1"/>
  <c r="D1730" i="1"/>
  <c r="C1730" i="1"/>
  <c r="B1730" i="1"/>
  <c r="S1729" i="1"/>
  <c r="R1729" i="1"/>
  <c r="Q1729" i="1"/>
  <c r="E1729" i="1"/>
  <c r="D1729" i="1"/>
  <c r="C1729" i="1"/>
  <c r="B1729" i="1"/>
  <c r="S1728" i="1"/>
  <c r="R1728" i="1"/>
  <c r="Q1728" i="1"/>
  <c r="E1728" i="1"/>
  <c r="D1728" i="1"/>
  <c r="C1728" i="1"/>
  <c r="B1728" i="1"/>
  <c r="S1727" i="1"/>
  <c r="R1727" i="1"/>
  <c r="Q1727" i="1"/>
  <c r="E1727" i="1"/>
  <c r="D1727" i="1"/>
  <c r="C1727" i="1"/>
  <c r="B1727" i="1"/>
  <c r="B4" i="176" l="1"/>
  <c r="C4" i="176"/>
  <c r="C5" i="176"/>
  <c r="B5" i="176"/>
  <c r="C3" i="176"/>
  <c r="B3" i="176"/>
  <c r="S2072" i="1" l="1"/>
  <c r="R2072" i="1"/>
  <c r="Q2072" i="1"/>
  <c r="E2072" i="1"/>
  <c r="D2072" i="1"/>
  <c r="C2072" i="1"/>
  <c r="B2072" i="1"/>
  <c r="J2444" i="1"/>
  <c r="J2442" i="1"/>
  <c r="J2443" i="1"/>
  <c r="S1190" i="1"/>
  <c r="B1190" i="1"/>
  <c r="S1465" i="1" l="1"/>
  <c r="R1465" i="1"/>
  <c r="Q1465" i="1"/>
  <c r="E1465" i="1"/>
  <c r="D1465" i="1"/>
  <c r="C1465" i="1"/>
  <c r="B1465" i="1"/>
  <c r="S1466" i="1"/>
  <c r="R1466" i="1"/>
  <c r="Q1466" i="1"/>
  <c r="E1466" i="1"/>
  <c r="D1466" i="1"/>
  <c r="C1466" i="1"/>
  <c r="B1466" i="1"/>
  <c r="S2220" i="1" l="1"/>
  <c r="R2220" i="1"/>
  <c r="Q2220" i="1"/>
  <c r="E2220" i="1"/>
  <c r="D2220" i="1"/>
  <c r="C2220" i="1"/>
  <c r="B2220" i="1"/>
  <c r="S1794" i="1"/>
  <c r="R1794" i="1"/>
  <c r="Q1794" i="1"/>
  <c r="E1794" i="1"/>
  <c r="D1794" i="1"/>
  <c r="C1794" i="1"/>
  <c r="B1794" i="1"/>
  <c r="S1189" i="1"/>
  <c r="R1189" i="1"/>
  <c r="Q1189" i="1"/>
  <c r="E1189" i="1"/>
  <c r="D1189" i="1"/>
  <c r="C1189" i="1"/>
  <c r="B1189" i="1"/>
  <c r="S2423" i="1" l="1"/>
  <c r="R2423" i="1"/>
  <c r="Q2423" i="1"/>
  <c r="E2423" i="1"/>
  <c r="D2423" i="1"/>
  <c r="C2423" i="1"/>
  <c r="B2423" i="1"/>
  <c r="S2422" i="1"/>
  <c r="R2422" i="1"/>
  <c r="Q2422" i="1"/>
  <c r="E2422" i="1"/>
  <c r="D2422" i="1"/>
  <c r="C2422" i="1"/>
  <c r="B2422" i="1"/>
  <c r="S1660" i="1"/>
  <c r="R1660" i="1"/>
  <c r="Q1660" i="1"/>
  <c r="E1660" i="1"/>
  <c r="D1660" i="1"/>
  <c r="C1660" i="1"/>
  <c r="B1660" i="1"/>
  <c r="S1659" i="1"/>
  <c r="R1659" i="1"/>
  <c r="Q1659" i="1"/>
  <c r="E1659" i="1"/>
  <c r="D1659" i="1"/>
  <c r="C1659" i="1"/>
  <c r="B1659" i="1"/>
  <c r="S1724" i="1"/>
  <c r="R1724" i="1"/>
  <c r="Q1724" i="1"/>
  <c r="E1724" i="1"/>
  <c r="D1724" i="1"/>
  <c r="C1724" i="1"/>
  <c r="B1724" i="1"/>
  <c r="S1723" i="1"/>
  <c r="R1723" i="1"/>
  <c r="Q1723" i="1"/>
  <c r="E1723" i="1"/>
  <c r="D1723" i="1"/>
  <c r="C1723" i="1"/>
  <c r="B1723" i="1"/>
  <c r="S1722" i="1"/>
  <c r="R1722" i="1"/>
  <c r="Q1722" i="1"/>
  <c r="E1722" i="1"/>
  <c r="D1722" i="1"/>
  <c r="C1722" i="1"/>
  <c r="B1722" i="1"/>
  <c r="S1721" i="1"/>
  <c r="R1721" i="1"/>
  <c r="Q1721" i="1"/>
  <c r="E1721" i="1"/>
  <c r="D1721" i="1"/>
  <c r="C1721" i="1"/>
  <c r="B1721" i="1"/>
  <c r="S1720" i="1"/>
  <c r="R1720" i="1"/>
  <c r="Q1720" i="1"/>
  <c r="E1720" i="1"/>
  <c r="D1720" i="1"/>
  <c r="C1720" i="1"/>
  <c r="B1720" i="1"/>
  <c r="S1719" i="1"/>
  <c r="R1719" i="1"/>
  <c r="Q1719" i="1"/>
  <c r="E1719" i="1"/>
  <c r="D1719" i="1"/>
  <c r="C1719" i="1"/>
  <c r="B1719" i="1"/>
  <c r="S1261" i="1" l="1"/>
  <c r="R1261" i="1"/>
  <c r="Q1261" i="1"/>
  <c r="E1261" i="1"/>
  <c r="D1261" i="1"/>
  <c r="C1261" i="1"/>
  <c r="B1261" i="1"/>
  <c r="S1718" i="1"/>
  <c r="R1718" i="1"/>
  <c r="Q1718" i="1"/>
  <c r="E1718" i="1"/>
  <c r="D1718" i="1"/>
  <c r="C1718" i="1"/>
  <c r="B1718" i="1"/>
  <c r="S1717" i="1"/>
  <c r="R1717" i="1"/>
  <c r="Q1717" i="1"/>
  <c r="E1717" i="1"/>
  <c r="D1717" i="1"/>
  <c r="C1717" i="1"/>
  <c r="B1717" i="1"/>
  <c r="S2319" i="1"/>
  <c r="R2319" i="1"/>
  <c r="Q2319" i="1"/>
  <c r="E2319" i="1"/>
  <c r="D2319" i="1"/>
  <c r="C2319" i="1"/>
  <c r="B2319" i="1"/>
  <c r="S2060" i="1"/>
  <c r="R2060" i="1"/>
  <c r="Q2060" i="1"/>
  <c r="E2060" i="1"/>
  <c r="D2060" i="1"/>
  <c r="C2060" i="1"/>
  <c r="B2060" i="1"/>
  <c r="S1716" i="1"/>
  <c r="R1716" i="1"/>
  <c r="Q1716" i="1"/>
  <c r="E1716" i="1"/>
  <c r="D1716" i="1"/>
  <c r="C1716" i="1"/>
  <c r="B1716" i="1"/>
  <c r="S1715" i="1"/>
  <c r="R1715" i="1"/>
  <c r="Q1715" i="1"/>
  <c r="E1715" i="1"/>
  <c r="D1715" i="1"/>
  <c r="C1715" i="1"/>
  <c r="B1715" i="1"/>
  <c r="S1805" i="1"/>
  <c r="R1805" i="1"/>
  <c r="Q1805" i="1"/>
  <c r="E1805" i="1"/>
  <c r="D1805" i="1"/>
  <c r="C1805" i="1"/>
  <c r="B1805" i="1"/>
  <c r="S1476" i="1"/>
  <c r="R1476" i="1"/>
  <c r="Q1476" i="1"/>
  <c r="E1476" i="1"/>
  <c r="D1476" i="1"/>
  <c r="C1476" i="1"/>
  <c r="B1476" i="1"/>
  <c r="S1714" i="1" l="1"/>
  <c r="R1714" i="1"/>
  <c r="Q1714" i="1"/>
  <c r="E1714" i="1"/>
  <c r="D1714" i="1"/>
  <c r="C1714" i="1"/>
  <c r="B1714" i="1"/>
  <c r="S1713" i="1"/>
  <c r="R1713" i="1"/>
  <c r="Q1713" i="1"/>
  <c r="E1713" i="1"/>
  <c r="D1713" i="1"/>
  <c r="C1713" i="1"/>
  <c r="B1713" i="1"/>
  <c r="S1658" i="1"/>
  <c r="R1658" i="1"/>
  <c r="Q1658" i="1"/>
  <c r="E1658" i="1"/>
  <c r="D1658" i="1"/>
  <c r="C1658" i="1"/>
  <c r="B1658" i="1"/>
  <c r="I2444" i="1"/>
  <c r="S1712" i="1"/>
  <c r="R1712" i="1"/>
  <c r="Q1712" i="1"/>
  <c r="E1712" i="1"/>
  <c r="D1712" i="1"/>
  <c r="C1712" i="1"/>
  <c r="B1712" i="1"/>
  <c r="S1657" i="1"/>
  <c r="R1657" i="1"/>
  <c r="Q1657" i="1"/>
  <c r="E1657" i="1"/>
  <c r="D1657" i="1"/>
  <c r="C1657" i="1"/>
  <c r="B1657" i="1"/>
  <c r="S2421" i="1"/>
  <c r="R2421" i="1"/>
  <c r="Q2421" i="1"/>
  <c r="E2421" i="1"/>
  <c r="D2421" i="1"/>
  <c r="C2421" i="1"/>
  <c r="B2421" i="1"/>
  <c r="S2420" i="1"/>
  <c r="R2420" i="1"/>
  <c r="Q2420" i="1"/>
  <c r="E2420" i="1"/>
  <c r="D2420" i="1"/>
  <c r="C2420" i="1"/>
  <c r="B2420" i="1"/>
  <c r="S2419" i="1"/>
  <c r="R2419" i="1"/>
  <c r="Q2419" i="1"/>
  <c r="E2419" i="1"/>
  <c r="D2419" i="1"/>
  <c r="C2419" i="1"/>
  <c r="B2419" i="1"/>
  <c r="S2418" i="1"/>
  <c r="R2418" i="1"/>
  <c r="Q2418" i="1"/>
  <c r="E2418" i="1"/>
  <c r="D2418" i="1"/>
  <c r="C2418" i="1"/>
  <c r="B2418" i="1"/>
  <c r="S2417" i="1"/>
  <c r="R2417" i="1"/>
  <c r="Q2417" i="1"/>
  <c r="E2417" i="1"/>
  <c r="D2417" i="1"/>
  <c r="C2417" i="1"/>
  <c r="B2417" i="1"/>
  <c r="S2416" i="1"/>
  <c r="R2416" i="1"/>
  <c r="Q2416" i="1"/>
  <c r="E2416" i="1"/>
  <c r="D2416" i="1"/>
  <c r="C2416" i="1"/>
  <c r="B2416" i="1"/>
  <c r="S2415" i="1"/>
  <c r="R2415" i="1"/>
  <c r="Q2415" i="1"/>
  <c r="E2415" i="1"/>
  <c r="D2415" i="1"/>
  <c r="C2415" i="1"/>
  <c r="B2415" i="1"/>
  <c r="S2414" i="1"/>
  <c r="R2414" i="1"/>
  <c r="Q2414" i="1"/>
  <c r="E2414" i="1"/>
  <c r="D2414" i="1"/>
  <c r="C2414" i="1"/>
  <c r="B2414" i="1"/>
  <c r="S2413" i="1"/>
  <c r="R2413" i="1"/>
  <c r="Q2413" i="1"/>
  <c r="E2413" i="1"/>
  <c r="D2413" i="1"/>
  <c r="C2413" i="1"/>
  <c r="B2413" i="1"/>
  <c r="S2412" i="1"/>
  <c r="R2412" i="1"/>
  <c r="Q2412" i="1"/>
  <c r="E2412" i="1"/>
  <c r="D2412" i="1"/>
  <c r="C2412" i="1"/>
  <c r="B2412" i="1"/>
  <c r="S2411" i="1"/>
  <c r="R2411" i="1"/>
  <c r="Q2411" i="1"/>
  <c r="E2411" i="1"/>
  <c r="D2411" i="1"/>
  <c r="C2411" i="1"/>
  <c r="B2411" i="1"/>
  <c r="S2410" i="1"/>
  <c r="R2410" i="1"/>
  <c r="Q2410" i="1"/>
  <c r="E2410" i="1"/>
  <c r="D2410" i="1"/>
  <c r="C2410" i="1"/>
  <c r="B2410" i="1"/>
  <c r="S2409" i="1"/>
  <c r="R2409" i="1"/>
  <c r="Q2409" i="1"/>
  <c r="E2409" i="1"/>
  <c r="D2409" i="1"/>
  <c r="C2409" i="1"/>
  <c r="B2409" i="1"/>
  <c r="S2408" i="1"/>
  <c r="R2408" i="1"/>
  <c r="Q2408" i="1"/>
  <c r="E2408" i="1"/>
  <c r="D2408" i="1"/>
  <c r="C2408" i="1"/>
  <c r="B2408" i="1"/>
  <c r="S2407" i="1"/>
  <c r="R2407" i="1"/>
  <c r="Q2407" i="1"/>
  <c r="E2407" i="1"/>
  <c r="D2407" i="1"/>
  <c r="C2407" i="1"/>
  <c r="B2407" i="1"/>
  <c r="S2406" i="1"/>
  <c r="R2406" i="1"/>
  <c r="Q2406" i="1"/>
  <c r="E2406" i="1"/>
  <c r="D2406" i="1"/>
  <c r="C2406" i="1"/>
  <c r="B2406" i="1"/>
  <c r="S2286" i="1"/>
  <c r="R2286" i="1"/>
  <c r="Q2286" i="1"/>
  <c r="E2286" i="1"/>
  <c r="D2286" i="1"/>
  <c r="C2286" i="1"/>
  <c r="B2286" i="1"/>
  <c r="S2045" i="1"/>
  <c r="R2045" i="1"/>
  <c r="Q2045" i="1"/>
  <c r="E2045" i="1"/>
  <c r="D2045" i="1"/>
  <c r="C2045" i="1"/>
  <c r="B2045" i="1"/>
  <c r="I2040" i="1"/>
  <c r="S1656" i="1"/>
  <c r="R1656" i="1"/>
  <c r="Q1656" i="1"/>
  <c r="E1656" i="1"/>
  <c r="D1656" i="1"/>
  <c r="C1656" i="1"/>
  <c r="B1656" i="1"/>
  <c r="S1655" i="1"/>
  <c r="R1655" i="1"/>
  <c r="Q1655" i="1"/>
  <c r="E1655" i="1"/>
  <c r="D1655" i="1"/>
  <c r="C1655" i="1"/>
  <c r="B1655" i="1"/>
  <c r="S1711" i="1"/>
  <c r="R1711" i="1"/>
  <c r="Q1711" i="1"/>
  <c r="E1711" i="1"/>
  <c r="D1711" i="1"/>
  <c r="C1711" i="1"/>
  <c r="B1711" i="1"/>
  <c r="S1710" i="1"/>
  <c r="R1710" i="1"/>
  <c r="Q1710" i="1"/>
  <c r="E1710" i="1"/>
  <c r="D1710" i="1"/>
  <c r="C1710" i="1"/>
  <c r="B1710" i="1"/>
  <c r="S1709" i="1"/>
  <c r="R1709" i="1"/>
  <c r="Q1709" i="1"/>
  <c r="E1709" i="1"/>
  <c r="D1709" i="1"/>
  <c r="C1709" i="1"/>
  <c r="B1709" i="1"/>
  <c r="S1708" i="1"/>
  <c r="R1708" i="1"/>
  <c r="Q1708" i="1"/>
  <c r="E1708" i="1"/>
  <c r="D1708" i="1"/>
  <c r="C1708" i="1"/>
  <c r="B1708" i="1"/>
  <c r="S2214" i="1"/>
  <c r="R2214" i="1"/>
  <c r="Q2214" i="1"/>
  <c r="E2214" i="1"/>
  <c r="D2214" i="1"/>
  <c r="C2214" i="1"/>
  <c r="B2214" i="1"/>
  <c r="S2213" i="1"/>
  <c r="R2213" i="1"/>
  <c r="Q2213" i="1"/>
  <c r="E2213" i="1"/>
  <c r="D2213" i="1"/>
  <c r="C2213" i="1"/>
  <c r="B2213" i="1"/>
  <c r="S2212" i="1"/>
  <c r="R2212" i="1"/>
  <c r="Q2212" i="1"/>
  <c r="E2212" i="1"/>
  <c r="D2212" i="1"/>
  <c r="C2212" i="1"/>
  <c r="B2212" i="1"/>
  <c r="S2190" i="1"/>
  <c r="R2190" i="1"/>
  <c r="Q2190" i="1"/>
  <c r="E2190" i="1"/>
  <c r="D2190" i="1"/>
  <c r="C2190" i="1"/>
  <c r="B2190" i="1"/>
  <c r="S2189" i="1"/>
  <c r="R2189" i="1"/>
  <c r="Q2189" i="1"/>
  <c r="E2189" i="1"/>
  <c r="D2189" i="1"/>
  <c r="C2189" i="1"/>
  <c r="B2189" i="1"/>
  <c r="S2188" i="1"/>
  <c r="R2188" i="1"/>
  <c r="Q2188" i="1"/>
  <c r="E2188" i="1"/>
  <c r="D2188" i="1"/>
  <c r="C2188" i="1"/>
  <c r="B2188" i="1"/>
  <c r="J2441" i="1"/>
  <c r="R2438" i="1"/>
  <c r="R2257" i="1"/>
  <c r="R2141" i="1"/>
  <c r="R2134" i="1"/>
  <c r="R2434" i="1"/>
  <c r="R2433" i="1"/>
  <c r="R2432" i="1"/>
  <c r="R2431" i="1"/>
  <c r="Q2438" i="1"/>
  <c r="Q2257" i="1"/>
  <c r="Q2141" i="1"/>
  <c r="Q2134" i="1"/>
  <c r="Q2434" i="1"/>
  <c r="Q2433" i="1"/>
  <c r="Q2432" i="1"/>
  <c r="Q2431" i="1"/>
  <c r="S947" i="1"/>
  <c r="S1755" i="1"/>
  <c r="S1754" i="1"/>
  <c r="S1753" i="1"/>
  <c r="S1752" i="1"/>
  <c r="S1751" i="1"/>
  <c r="S1750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2140" i="1"/>
  <c r="S2238" i="1"/>
  <c r="S1484" i="1"/>
  <c r="S1483" i="1"/>
  <c r="S1482" i="1"/>
  <c r="S1481" i="1"/>
  <c r="S1480" i="1"/>
  <c r="S1479" i="1"/>
  <c r="S1478" i="1"/>
  <c r="S2237" i="1"/>
  <c r="S2133" i="1"/>
  <c r="S2132" i="1"/>
  <c r="S1473" i="1"/>
  <c r="S1472" i="1"/>
  <c r="S1471" i="1"/>
  <c r="S1470" i="1"/>
  <c r="S1726" i="1"/>
  <c r="S1661" i="1"/>
  <c r="S1469" i="1"/>
  <c r="S1468" i="1"/>
  <c r="S1467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2157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1191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R2230" i="1"/>
  <c r="Q2230" i="1"/>
  <c r="S2116" i="1"/>
  <c r="S1833" i="1"/>
  <c r="R1438" i="1"/>
  <c r="Q1438" i="1"/>
  <c r="E1438" i="1"/>
  <c r="D1438" i="1"/>
  <c r="C1438" i="1"/>
  <c r="B1438" i="1"/>
  <c r="R1437" i="1"/>
  <c r="Q1437" i="1"/>
  <c r="E1437" i="1"/>
  <c r="D1437" i="1"/>
  <c r="C1437" i="1"/>
  <c r="B1437" i="1"/>
  <c r="S2287" i="1"/>
  <c r="R2287" i="1"/>
  <c r="Q2287" i="1"/>
  <c r="E2287" i="1"/>
  <c r="D2287" i="1"/>
  <c r="C2287" i="1"/>
  <c r="B2287" i="1"/>
  <c r="S1942" i="1"/>
  <c r="R1942" i="1"/>
  <c r="Q1942" i="1"/>
  <c r="E1942" i="1"/>
  <c r="D1942" i="1"/>
  <c r="C1942" i="1"/>
  <c r="B1942" i="1"/>
  <c r="S2285" i="1"/>
  <c r="R2285" i="1"/>
  <c r="Q2285" i="1"/>
  <c r="E2285" i="1"/>
  <c r="D2285" i="1"/>
  <c r="C2285" i="1"/>
  <c r="B2285" i="1"/>
  <c r="S2284" i="1"/>
  <c r="R2284" i="1"/>
  <c r="Q2284" i="1"/>
  <c r="E2284" i="1"/>
  <c r="D2284" i="1"/>
  <c r="C2284" i="1"/>
  <c r="B2284" i="1"/>
  <c r="S1892" i="1"/>
  <c r="R1892" i="1"/>
  <c r="Q1892" i="1"/>
  <c r="E1892" i="1"/>
  <c r="D1892" i="1"/>
  <c r="C1892" i="1"/>
  <c r="B1892" i="1"/>
  <c r="S1891" i="1"/>
  <c r="R1891" i="1"/>
  <c r="Q1891" i="1"/>
  <c r="E1891" i="1"/>
  <c r="D1891" i="1"/>
  <c r="C1891" i="1"/>
  <c r="B1891" i="1"/>
  <c r="S1890" i="1"/>
  <c r="R1890" i="1"/>
  <c r="Q1890" i="1"/>
  <c r="E1890" i="1"/>
  <c r="D1890" i="1"/>
  <c r="C1890" i="1"/>
  <c r="B1890" i="1"/>
  <c r="S1992" i="1"/>
  <c r="R1992" i="1"/>
  <c r="Q1992" i="1"/>
  <c r="E1992" i="1"/>
  <c r="D1992" i="1"/>
  <c r="C1992" i="1"/>
  <c r="B1992" i="1"/>
  <c r="S1991" i="1"/>
  <c r="R1991" i="1"/>
  <c r="Q1991" i="1"/>
  <c r="E1991" i="1"/>
  <c r="D1991" i="1"/>
  <c r="C1991" i="1"/>
  <c r="B1991" i="1"/>
  <c r="S1990" i="1"/>
  <c r="R1990" i="1"/>
  <c r="Q1990" i="1"/>
  <c r="E1990" i="1"/>
  <c r="D1990" i="1"/>
  <c r="C1990" i="1"/>
  <c r="B1990" i="1"/>
  <c r="S1989" i="1"/>
  <c r="R1989" i="1"/>
  <c r="Q1989" i="1"/>
  <c r="E1989" i="1"/>
  <c r="D1989" i="1"/>
  <c r="C1989" i="1"/>
  <c r="B1989" i="1"/>
  <c r="S1988" i="1"/>
  <c r="R1988" i="1"/>
  <c r="Q1988" i="1"/>
  <c r="E1988" i="1"/>
  <c r="D1988" i="1"/>
  <c r="C1988" i="1"/>
  <c r="B1988" i="1"/>
  <c r="S1987" i="1"/>
  <c r="R1987" i="1"/>
  <c r="Q1987" i="1"/>
  <c r="E1987" i="1"/>
  <c r="D1987" i="1"/>
  <c r="C1987" i="1"/>
  <c r="B1987" i="1"/>
  <c r="S2353" i="1"/>
  <c r="R2353" i="1"/>
  <c r="Q2353" i="1"/>
  <c r="E2353" i="1"/>
  <c r="D2353" i="1"/>
  <c r="C2353" i="1"/>
  <c r="B2353" i="1"/>
  <c r="S2352" i="1"/>
  <c r="R2352" i="1"/>
  <c r="Q2352" i="1"/>
  <c r="E2352" i="1"/>
  <c r="D2352" i="1"/>
  <c r="C2352" i="1"/>
  <c r="B2352" i="1"/>
  <c r="R1461" i="1"/>
  <c r="Q1461" i="1"/>
  <c r="E1461" i="1"/>
  <c r="D1461" i="1"/>
  <c r="C1461" i="1"/>
  <c r="B1461" i="1"/>
  <c r="R1661" i="1"/>
  <c r="Q1661" i="1"/>
  <c r="E1661" i="1"/>
  <c r="D1661" i="1"/>
  <c r="C1661" i="1"/>
  <c r="B1661" i="1"/>
  <c r="S1796" i="1"/>
  <c r="R1796" i="1"/>
  <c r="Q1796" i="1"/>
  <c r="E1796" i="1"/>
  <c r="D1796" i="1"/>
  <c r="C1796" i="1"/>
  <c r="B1796" i="1"/>
  <c r="S1793" i="1" l="1"/>
  <c r="R1793" i="1"/>
  <c r="Q1793" i="1"/>
  <c r="E1793" i="1"/>
  <c r="D1793" i="1"/>
  <c r="C1793" i="1"/>
  <c r="B1793" i="1"/>
  <c r="S1792" i="1"/>
  <c r="R1792" i="1"/>
  <c r="Q1792" i="1"/>
  <c r="E1792" i="1"/>
  <c r="D1792" i="1"/>
  <c r="C1792" i="1"/>
  <c r="B1792" i="1"/>
  <c r="R1388" i="1"/>
  <c r="Q1388" i="1"/>
  <c r="E1388" i="1"/>
  <c r="D1388" i="1"/>
  <c r="C1388" i="1"/>
  <c r="B1388" i="1"/>
  <c r="R1387" i="1"/>
  <c r="Q1387" i="1"/>
  <c r="E1387" i="1"/>
  <c r="D1387" i="1"/>
  <c r="C1387" i="1"/>
  <c r="B1387" i="1"/>
  <c r="R1386" i="1"/>
  <c r="Q1386" i="1"/>
  <c r="E1386" i="1"/>
  <c r="D1386" i="1"/>
  <c r="C1386" i="1"/>
  <c r="B1386" i="1"/>
  <c r="R1385" i="1"/>
  <c r="Q1385" i="1"/>
  <c r="E1385" i="1"/>
  <c r="D1385" i="1"/>
  <c r="C1385" i="1"/>
  <c r="B1385" i="1"/>
  <c r="R1354" i="1"/>
  <c r="Q1354" i="1"/>
  <c r="E1354" i="1"/>
  <c r="D1354" i="1"/>
  <c r="C1354" i="1"/>
  <c r="B1354" i="1"/>
  <c r="R1353" i="1"/>
  <c r="Q1353" i="1"/>
  <c r="E1353" i="1"/>
  <c r="D1353" i="1"/>
  <c r="C1353" i="1"/>
  <c r="B1353" i="1"/>
  <c r="R1352" i="1"/>
  <c r="Q1352" i="1"/>
  <c r="E1352" i="1"/>
  <c r="D1352" i="1"/>
  <c r="C1352" i="1"/>
  <c r="B1352" i="1"/>
  <c r="R1351" i="1"/>
  <c r="Q1351" i="1"/>
  <c r="E1351" i="1"/>
  <c r="D1351" i="1"/>
  <c r="C1351" i="1"/>
  <c r="B1351" i="1"/>
  <c r="R1350" i="1"/>
  <c r="Q1350" i="1"/>
  <c r="E1350" i="1"/>
  <c r="D1350" i="1"/>
  <c r="C1350" i="1"/>
  <c r="B1350" i="1"/>
  <c r="R1349" i="1"/>
  <c r="Q1349" i="1"/>
  <c r="E1349" i="1"/>
  <c r="D1349" i="1"/>
  <c r="C1349" i="1"/>
  <c r="B1349" i="1"/>
  <c r="R1348" i="1"/>
  <c r="Q1348" i="1"/>
  <c r="E1348" i="1"/>
  <c r="D1348" i="1"/>
  <c r="C1348" i="1"/>
  <c r="B1348" i="1"/>
  <c r="R1347" i="1"/>
  <c r="Q1347" i="1"/>
  <c r="E1347" i="1"/>
  <c r="D1347" i="1"/>
  <c r="C1347" i="1"/>
  <c r="B1347" i="1"/>
  <c r="S1889" i="1"/>
  <c r="R1889" i="1"/>
  <c r="Q1889" i="1"/>
  <c r="E1889" i="1"/>
  <c r="D1889" i="1"/>
  <c r="C1889" i="1"/>
  <c r="B1889" i="1"/>
  <c r="S1941" i="1"/>
  <c r="R1941" i="1"/>
  <c r="Q1941" i="1"/>
  <c r="E1941" i="1"/>
  <c r="D1941" i="1"/>
  <c r="C1941" i="1"/>
  <c r="B1941" i="1"/>
  <c r="S2378" i="1"/>
  <c r="R2378" i="1"/>
  <c r="Q2378" i="1"/>
  <c r="E2378" i="1"/>
  <c r="D2378" i="1"/>
  <c r="C2378" i="1"/>
  <c r="B2378" i="1"/>
  <c r="S1828" i="1"/>
  <c r="R1828" i="1"/>
  <c r="Q1828" i="1"/>
  <c r="E1828" i="1"/>
  <c r="D1828" i="1"/>
  <c r="C1828" i="1"/>
  <c r="B1828" i="1"/>
  <c r="S2281" i="1"/>
  <c r="R2281" i="1"/>
  <c r="Q2281" i="1"/>
  <c r="E2281" i="1"/>
  <c r="D2281" i="1"/>
  <c r="C2281" i="1"/>
  <c r="B2281" i="1"/>
  <c r="S2280" i="1"/>
  <c r="R2280" i="1"/>
  <c r="Q2280" i="1"/>
  <c r="E2280" i="1"/>
  <c r="D2280" i="1"/>
  <c r="C2280" i="1"/>
  <c r="B2280" i="1"/>
  <c r="S1888" i="1"/>
  <c r="R1888" i="1"/>
  <c r="Q1888" i="1"/>
  <c r="E1888" i="1"/>
  <c r="D1888" i="1"/>
  <c r="C1888" i="1"/>
  <c r="B1888" i="1"/>
  <c r="R1654" i="1"/>
  <c r="Q1654" i="1"/>
  <c r="E1654" i="1"/>
  <c r="D1654" i="1"/>
  <c r="C1654" i="1"/>
  <c r="B1654" i="1"/>
  <c r="R1707" i="1"/>
  <c r="Q1707" i="1"/>
  <c r="E1707" i="1"/>
  <c r="D1707" i="1"/>
  <c r="C1707" i="1"/>
  <c r="B1707" i="1"/>
  <c r="S1986" i="1"/>
  <c r="R1986" i="1"/>
  <c r="Q1986" i="1"/>
  <c r="E1986" i="1"/>
  <c r="D1986" i="1"/>
  <c r="C1986" i="1"/>
  <c r="B1986" i="1"/>
  <c r="S1985" i="1"/>
  <c r="R1985" i="1"/>
  <c r="Q1985" i="1"/>
  <c r="E1985" i="1"/>
  <c r="D1985" i="1"/>
  <c r="C1985" i="1"/>
  <c r="B1985" i="1"/>
  <c r="S1984" i="1"/>
  <c r="R1984" i="1"/>
  <c r="Q1984" i="1"/>
  <c r="E1984" i="1"/>
  <c r="D1984" i="1"/>
  <c r="C1984" i="1"/>
  <c r="B1984" i="1"/>
  <c r="S1983" i="1"/>
  <c r="R1983" i="1"/>
  <c r="Q1983" i="1"/>
  <c r="E1983" i="1"/>
  <c r="D1983" i="1"/>
  <c r="C1983" i="1"/>
  <c r="B1983" i="1"/>
  <c r="S1982" i="1"/>
  <c r="R1982" i="1"/>
  <c r="Q1982" i="1"/>
  <c r="E1982" i="1"/>
  <c r="D1982" i="1"/>
  <c r="C1982" i="1"/>
  <c r="B1982" i="1"/>
  <c r="S2061" i="1" l="1"/>
  <c r="R2061" i="1"/>
  <c r="Q2061" i="1"/>
  <c r="E2061" i="1"/>
  <c r="D2061" i="1"/>
  <c r="C2061" i="1"/>
  <c r="B2061" i="1"/>
  <c r="S1766" i="1"/>
  <c r="R1766" i="1"/>
  <c r="Q1766" i="1"/>
  <c r="E1766" i="1"/>
  <c r="D1766" i="1"/>
  <c r="C1766" i="1"/>
  <c r="B1766" i="1"/>
  <c r="B976" i="1"/>
  <c r="S2149" i="1"/>
  <c r="R2149" i="1"/>
  <c r="Q2149" i="1"/>
  <c r="E2149" i="1"/>
  <c r="D2149" i="1"/>
  <c r="C2149" i="1"/>
  <c r="B2149" i="1"/>
  <c r="S2148" i="1"/>
  <c r="R2148" i="1"/>
  <c r="Q2148" i="1"/>
  <c r="E2148" i="1"/>
  <c r="D2148" i="1"/>
  <c r="C2148" i="1"/>
  <c r="B2148" i="1"/>
  <c r="S2328" i="1" l="1"/>
  <c r="R2328" i="1"/>
  <c r="Q2328" i="1"/>
  <c r="E2328" i="1"/>
  <c r="D2328" i="1"/>
  <c r="C2328" i="1"/>
  <c r="B2328" i="1"/>
  <c r="S1791" i="1" l="1"/>
  <c r="R1791" i="1"/>
  <c r="Q1791" i="1"/>
  <c r="E1791" i="1"/>
  <c r="D1791" i="1"/>
  <c r="C1791" i="1"/>
  <c r="B1791" i="1"/>
  <c r="S2405" i="1"/>
  <c r="R2405" i="1"/>
  <c r="Q2405" i="1"/>
  <c r="E2405" i="1"/>
  <c r="D2405" i="1"/>
  <c r="C2405" i="1"/>
  <c r="B2405" i="1"/>
  <c r="B975" i="1"/>
  <c r="B974" i="1"/>
  <c r="S2106" i="1"/>
  <c r="R2106" i="1"/>
  <c r="Q2106" i="1"/>
  <c r="E2106" i="1"/>
  <c r="D2106" i="1"/>
  <c r="C2106" i="1"/>
  <c r="B2106" i="1"/>
  <c r="S2401" i="1"/>
  <c r="R2401" i="1"/>
  <c r="Q2401" i="1"/>
  <c r="E2401" i="1"/>
  <c r="D2401" i="1"/>
  <c r="C2401" i="1"/>
  <c r="B2401" i="1"/>
  <c r="S2403" i="1"/>
  <c r="R2403" i="1"/>
  <c r="Q2403" i="1"/>
  <c r="E2403" i="1"/>
  <c r="D2403" i="1"/>
  <c r="C2403" i="1"/>
  <c r="B2403" i="1"/>
  <c r="S2402" i="1"/>
  <c r="R2402" i="1"/>
  <c r="Q2402" i="1"/>
  <c r="E2402" i="1"/>
  <c r="D2402" i="1"/>
  <c r="C2402" i="1"/>
  <c r="B2402" i="1"/>
  <c r="S2404" i="1"/>
  <c r="R2404" i="1"/>
  <c r="Q2404" i="1"/>
  <c r="E2404" i="1"/>
  <c r="D2404" i="1"/>
  <c r="C2404" i="1"/>
  <c r="B2404" i="1"/>
  <c r="S2400" i="1"/>
  <c r="R2400" i="1"/>
  <c r="Q2400" i="1"/>
  <c r="E2400" i="1"/>
  <c r="D2400" i="1"/>
  <c r="C2400" i="1"/>
  <c r="B2400" i="1"/>
  <c r="S2399" i="1"/>
  <c r="R2399" i="1"/>
  <c r="Q2399" i="1"/>
  <c r="E2399" i="1"/>
  <c r="D2399" i="1"/>
  <c r="C2399" i="1"/>
  <c r="B2399" i="1"/>
  <c r="S2398" i="1"/>
  <c r="R2398" i="1"/>
  <c r="Q2398" i="1"/>
  <c r="E2398" i="1"/>
  <c r="D2398" i="1"/>
  <c r="C2398" i="1"/>
  <c r="B2398" i="1"/>
  <c r="S2397" i="1"/>
  <c r="R2397" i="1"/>
  <c r="Q2397" i="1"/>
  <c r="E2397" i="1"/>
  <c r="D2397" i="1"/>
  <c r="C2397" i="1"/>
  <c r="B2397" i="1"/>
  <c r="S2396" i="1"/>
  <c r="R2396" i="1"/>
  <c r="Q2396" i="1"/>
  <c r="E2396" i="1"/>
  <c r="D2396" i="1"/>
  <c r="C2396" i="1"/>
  <c r="B2396" i="1"/>
  <c r="S2395" i="1"/>
  <c r="R2395" i="1"/>
  <c r="Q2395" i="1"/>
  <c r="E2395" i="1"/>
  <c r="D2395" i="1"/>
  <c r="C2395" i="1"/>
  <c r="B2395" i="1"/>
  <c r="S2394" i="1"/>
  <c r="R2394" i="1"/>
  <c r="Q2394" i="1"/>
  <c r="E2394" i="1"/>
  <c r="D2394" i="1"/>
  <c r="C2394" i="1"/>
  <c r="B2394" i="1"/>
  <c r="S2393" i="1"/>
  <c r="R2393" i="1"/>
  <c r="Q2393" i="1"/>
  <c r="E2393" i="1"/>
  <c r="D2393" i="1"/>
  <c r="C2393" i="1"/>
  <c r="B2393" i="1"/>
  <c r="S2392" i="1"/>
  <c r="R2392" i="1"/>
  <c r="Q2392" i="1"/>
  <c r="E2392" i="1"/>
  <c r="D2392" i="1"/>
  <c r="C2392" i="1"/>
  <c r="B2392" i="1"/>
  <c r="S2391" i="1"/>
  <c r="R2391" i="1"/>
  <c r="Q2391" i="1"/>
  <c r="E2391" i="1"/>
  <c r="D2391" i="1"/>
  <c r="C2391" i="1"/>
  <c r="B2391" i="1"/>
  <c r="S2390" i="1"/>
  <c r="R2390" i="1"/>
  <c r="Q2390" i="1"/>
  <c r="E2390" i="1"/>
  <c r="D2390" i="1"/>
  <c r="C2390" i="1"/>
  <c r="B2390" i="1"/>
  <c r="S2389" i="1"/>
  <c r="R2389" i="1"/>
  <c r="Q2389" i="1"/>
  <c r="E2389" i="1"/>
  <c r="D2389" i="1"/>
  <c r="C2389" i="1"/>
  <c r="B2389" i="1"/>
  <c r="S2388" i="1"/>
  <c r="R2388" i="1"/>
  <c r="Q2388" i="1"/>
  <c r="E2388" i="1"/>
  <c r="D2388" i="1"/>
  <c r="C2388" i="1"/>
  <c r="B2388" i="1"/>
  <c r="S2387" i="1"/>
  <c r="R2387" i="1"/>
  <c r="Q2387" i="1"/>
  <c r="E2387" i="1"/>
  <c r="D2387" i="1"/>
  <c r="C2387" i="1"/>
  <c r="B2387" i="1"/>
  <c r="R1653" i="1" l="1"/>
  <c r="Q1653" i="1"/>
  <c r="E1653" i="1"/>
  <c r="D1653" i="1"/>
  <c r="C1653" i="1"/>
  <c r="B1653" i="1"/>
  <c r="R1706" i="1"/>
  <c r="Q1706" i="1"/>
  <c r="E1706" i="1"/>
  <c r="D1706" i="1"/>
  <c r="C1706" i="1"/>
  <c r="B1706" i="1"/>
  <c r="R1705" i="1"/>
  <c r="Q1705" i="1"/>
  <c r="E1705" i="1"/>
  <c r="D1705" i="1"/>
  <c r="C1705" i="1"/>
  <c r="B1705" i="1"/>
  <c r="S2283" i="1"/>
  <c r="R2283" i="1"/>
  <c r="Q2283" i="1"/>
  <c r="E2283" i="1"/>
  <c r="D2283" i="1"/>
  <c r="C2283" i="1"/>
  <c r="B2283" i="1"/>
  <c r="R1704" i="1"/>
  <c r="Q1704" i="1"/>
  <c r="E1704" i="1"/>
  <c r="D1704" i="1"/>
  <c r="C1704" i="1"/>
  <c r="B1704" i="1"/>
  <c r="R1703" i="1" l="1"/>
  <c r="Q1703" i="1"/>
  <c r="E1703" i="1"/>
  <c r="D1703" i="1"/>
  <c r="C1703" i="1"/>
  <c r="B1703" i="1"/>
  <c r="R1702" i="1"/>
  <c r="Q1702" i="1"/>
  <c r="E1702" i="1"/>
  <c r="D1702" i="1"/>
  <c r="C1702" i="1"/>
  <c r="B1702" i="1"/>
  <c r="R1652" i="1"/>
  <c r="Q1652" i="1"/>
  <c r="E1652" i="1"/>
  <c r="D1652" i="1"/>
  <c r="C1652" i="1"/>
  <c r="B1652" i="1"/>
  <c r="S2386" i="1" l="1"/>
  <c r="R2386" i="1"/>
  <c r="Q2386" i="1"/>
  <c r="E2386" i="1"/>
  <c r="D2386" i="1"/>
  <c r="C2386" i="1"/>
  <c r="B2386" i="1"/>
  <c r="R1701" i="1"/>
  <c r="Q1701" i="1"/>
  <c r="E1701" i="1"/>
  <c r="D1701" i="1"/>
  <c r="C1701" i="1"/>
  <c r="B1701" i="1"/>
  <c r="S1789" i="1"/>
  <c r="R1789" i="1"/>
  <c r="Q1789" i="1"/>
  <c r="E1789" i="1"/>
  <c r="D1789" i="1"/>
  <c r="C1789" i="1"/>
  <c r="B1789" i="1"/>
  <c r="S1788" i="1"/>
  <c r="R1788" i="1"/>
  <c r="Q1788" i="1"/>
  <c r="E1788" i="1"/>
  <c r="D1788" i="1"/>
  <c r="C1788" i="1"/>
  <c r="B1788" i="1"/>
  <c r="S1787" i="1"/>
  <c r="R1787" i="1"/>
  <c r="Q1787" i="1"/>
  <c r="E1787" i="1"/>
  <c r="D1787" i="1"/>
  <c r="C1787" i="1"/>
  <c r="B1787" i="1"/>
  <c r="R1700" i="1"/>
  <c r="Q1700" i="1"/>
  <c r="E1700" i="1"/>
  <c r="D1700" i="1"/>
  <c r="C1700" i="1"/>
  <c r="B1700" i="1"/>
  <c r="R1699" i="1"/>
  <c r="Q1699" i="1"/>
  <c r="E1699" i="1"/>
  <c r="D1699" i="1"/>
  <c r="C1699" i="1"/>
  <c r="B1699" i="1"/>
  <c r="R1651" i="1"/>
  <c r="Q1651" i="1"/>
  <c r="E1651" i="1"/>
  <c r="D1651" i="1"/>
  <c r="C1651" i="1"/>
  <c r="B1651" i="1"/>
  <c r="S1887" i="1"/>
  <c r="R1887" i="1"/>
  <c r="Q1887" i="1"/>
  <c r="E1887" i="1"/>
  <c r="D1887" i="1"/>
  <c r="C1887" i="1"/>
  <c r="B1887" i="1"/>
  <c r="R1650" i="1"/>
  <c r="Q1650" i="1"/>
  <c r="E1650" i="1"/>
  <c r="D1650" i="1"/>
  <c r="C1650" i="1"/>
  <c r="B1650" i="1"/>
  <c r="R1648" i="1"/>
  <c r="Q1648" i="1"/>
  <c r="E1648" i="1"/>
  <c r="D1648" i="1"/>
  <c r="C1648" i="1"/>
  <c r="B1648" i="1"/>
  <c r="R1649" i="1"/>
  <c r="Q1649" i="1"/>
  <c r="E1649" i="1"/>
  <c r="D1649" i="1"/>
  <c r="C1649" i="1"/>
  <c r="B1649" i="1"/>
  <c r="S2209" i="1"/>
  <c r="R2209" i="1"/>
  <c r="Q2209" i="1"/>
  <c r="E2209" i="1"/>
  <c r="D2209" i="1"/>
  <c r="C2209" i="1"/>
  <c r="B2209" i="1"/>
  <c r="S2208" i="1"/>
  <c r="R2208" i="1"/>
  <c r="Q2208" i="1"/>
  <c r="E2208" i="1"/>
  <c r="D2208" i="1"/>
  <c r="C2208" i="1"/>
  <c r="B2208" i="1"/>
  <c r="S2210" i="1"/>
  <c r="R2210" i="1"/>
  <c r="Q2210" i="1"/>
  <c r="E2210" i="1"/>
  <c r="D2210" i="1"/>
  <c r="C2210" i="1"/>
  <c r="B2210" i="1"/>
  <c r="S2186" i="1"/>
  <c r="R2186" i="1"/>
  <c r="Q2186" i="1"/>
  <c r="E2186" i="1"/>
  <c r="D2186" i="1"/>
  <c r="C2186" i="1"/>
  <c r="B2186" i="1"/>
  <c r="S2185" i="1"/>
  <c r="R2185" i="1"/>
  <c r="Q2185" i="1"/>
  <c r="E2185" i="1"/>
  <c r="D2185" i="1"/>
  <c r="C2185" i="1"/>
  <c r="B2185" i="1"/>
  <c r="S2184" i="1"/>
  <c r="R2184" i="1"/>
  <c r="Q2184" i="1"/>
  <c r="E2184" i="1"/>
  <c r="D2184" i="1"/>
  <c r="C2184" i="1"/>
  <c r="B2184" i="1"/>
  <c r="S2187" i="1"/>
  <c r="R2187" i="1"/>
  <c r="Q2187" i="1"/>
  <c r="E2187" i="1"/>
  <c r="D2187" i="1"/>
  <c r="C2187" i="1"/>
  <c r="B2187" i="1"/>
  <c r="S2088" i="1"/>
  <c r="R2088" i="1"/>
  <c r="Q2088" i="1"/>
  <c r="E2088" i="1"/>
  <c r="D2088" i="1"/>
  <c r="C2088" i="1"/>
  <c r="B2088" i="1"/>
  <c r="S2278" i="1"/>
  <c r="R2278" i="1"/>
  <c r="Q2278" i="1"/>
  <c r="E2278" i="1"/>
  <c r="D2278" i="1"/>
  <c r="C2278" i="1"/>
  <c r="B2278" i="1"/>
  <c r="S1885" i="1"/>
  <c r="R1885" i="1"/>
  <c r="Q1885" i="1"/>
  <c r="E1885" i="1"/>
  <c r="D1885" i="1"/>
  <c r="C1885" i="1"/>
  <c r="B1885" i="1"/>
  <c r="S1884" i="1"/>
  <c r="R1884" i="1"/>
  <c r="Q1884" i="1"/>
  <c r="E1884" i="1"/>
  <c r="D1884" i="1"/>
  <c r="C1884" i="1"/>
  <c r="B1884" i="1"/>
  <c r="S1980" i="1"/>
  <c r="R1980" i="1"/>
  <c r="Q1980" i="1"/>
  <c r="E1980" i="1"/>
  <c r="D1980" i="1"/>
  <c r="C1980" i="1"/>
  <c r="B1980" i="1"/>
  <c r="S1826" i="1"/>
  <c r="R1826" i="1"/>
  <c r="Q1826" i="1"/>
  <c r="E1826" i="1"/>
  <c r="D1826" i="1"/>
  <c r="C1826" i="1"/>
  <c r="B1826" i="1"/>
  <c r="S2277" i="1"/>
  <c r="R2277" i="1"/>
  <c r="Q2277" i="1"/>
  <c r="E2277" i="1"/>
  <c r="D2277" i="1"/>
  <c r="C2277" i="1"/>
  <c r="B2277" i="1"/>
  <c r="R1346" i="1"/>
  <c r="Q1346" i="1"/>
  <c r="E1346" i="1"/>
  <c r="D1346" i="1"/>
  <c r="C1346" i="1"/>
  <c r="B1346" i="1"/>
  <c r="R1345" i="1"/>
  <c r="Q1345" i="1"/>
  <c r="E1345" i="1"/>
  <c r="D1345" i="1"/>
  <c r="C1345" i="1"/>
  <c r="B1345" i="1"/>
  <c r="R1344" i="1"/>
  <c r="Q1344" i="1"/>
  <c r="E1344" i="1"/>
  <c r="D1344" i="1"/>
  <c r="C1344" i="1"/>
  <c r="B1344" i="1"/>
  <c r="R1343" i="1"/>
  <c r="Q1343" i="1"/>
  <c r="E1343" i="1"/>
  <c r="D1343" i="1"/>
  <c r="C1343" i="1"/>
  <c r="B1343" i="1"/>
  <c r="S1825" i="1"/>
  <c r="R1825" i="1"/>
  <c r="Q1825" i="1"/>
  <c r="E1825" i="1"/>
  <c r="D1825" i="1"/>
  <c r="C1825" i="1"/>
  <c r="B1825" i="1"/>
  <c r="S2276" i="1"/>
  <c r="R2276" i="1"/>
  <c r="Q2276" i="1"/>
  <c r="E2276" i="1"/>
  <c r="D2276" i="1"/>
  <c r="C2276" i="1"/>
  <c r="B2276" i="1"/>
  <c r="S2275" i="1"/>
  <c r="R2275" i="1"/>
  <c r="Q2275" i="1"/>
  <c r="E2275" i="1"/>
  <c r="D2275" i="1"/>
  <c r="C2275" i="1"/>
  <c r="B2275" i="1"/>
  <c r="S1883" i="1"/>
  <c r="R1883" i="1"/>
  <c r="Q1883" i="1"/>
  <c r="E1883" i="1"/>
  <c r="D1883" i="1"/>
  <c r="C1883" i="1"/>
  <c r="B1883" i="1"/>
  <c r="S1882" i="1"/>
  <c r="R1882" i="1"/>
  <c r="Q1882" i="1"/>
  <c r="E1882" i="1"/>
  <c r="D1882" i="1"/>
  <c r="C1882" i="1"/>
  <c r="B1882" i="1"/>
  <c r="S1881" i="1"/>
  <c r="R1881" i="1"/>
  <c r="Q1881" i="1"/>
  <c r="E1881" i="1"/>
  <c r="D1881" i="1"/>
  <c r="C1881" i="1"/>
  <c r="B1881" i="1"/>
  <c r="S1880" i="1"/>
  <c r="R1880" i="1"/>
  <c r="Q1880" i="1"/>
  <c r="E1880" i="1"/>
  <c r="D1880" i="1"/>
  <c r="C1880" i="1"/>
  <c r="B1880" i="1"/>
  <c r="S2350" i="1"/>
  <c r="R2350" i="1"/>
  <c r="Q2350" i="1"/>
  <c r="E2350" i="1"/>
  <c r="D2350" i="1"/>
  <c r="C2350" i="1"/>
  <c r="B2350" i="1"/>
  <c r="S2349" i="1"/>
  <c r="R2349" i="1"/>
  <c r="Q2349" i="1"/>
  <c r="E2349" i="1"/>
  <c r="D2349" i="1"/>
  <c r="C2349" i="1"/>
  <c r="B2349" i="1"/>
  <c r="S2312" i="1"/>
  <c r="R2312" i="1"/>
  <c r="Q2312" i="1"/>
  <c r="E2312" i="1"/>
  <c r="D2312" i="1"/>
  <c r="C2312" i="1"/>
  <c r="B2312" i="1"/>
  <c r="S2311" i="1"/>
  <c r="R2311" i="1"/>
  <c r="Q2311" i="1"/>
  <c r="E2311" i="1"/>
  <c r="D2311" i="1"/>
  <c r="C2311" i="1"/>
  <c r="B2311" i="1"/>
  <c r="S2288" i="1"/>
  <c r="R2288" i="1"/>
  <c r="Q2288" i="1"/>
  <c r="E2288" i="1"/>
  <c r="D2288" i="1"/>
  <c r="C2288" i="1"/>
  <c r="B2288" i="1"/>
  <c r="S2098" i="1"/>
  <c r="R2098" i="1"/>
  <c r="Q2098" i="1"/>
  <c r="E2098" i="1"/>
  <c r="D2098" i="1"/>
  <c r="C2098" i="1"/>
  <c r="B2098" i="1"/>
  <c r="S2379" i="1"/>
  <c r="R2379" i="1"/>
  <c r="Q2379" i="1"/>
  <c r="E2379" i="1"/>
  <c r="D2379" i="1"/>
  <c r="C2379" i="1"/>
  <c r="B2379" i="1"/>
  <c r="S2228" i="1"/>
  <c r="R2228" i="1"/>
  <c r="Q2228" i="1"/>
  <c r="E2228" i="1"/>
  <c r="D2228" i="1"/>
  <c r="C2228" i="1"/>
  <c r="B2228" i="1"/>
  <c r="S1939" i="1" l="1"/>
  <c r="R1939" i="1"/>
  <c r="Q1939" i="1"/>
  <c r="E1939" i="1"/>
  <c r="D1939" i="1"/>
  <c r="C1939" i="1"/>
  <c r="B1939" i="1"/>
  <c r="S2376" i="1" l="1"/>
  <c r="R2376" i="1"/>
  <c r="Q2376" i="1"/>
  <c r="E2376" i="1"/>
  <c r="D2376" i="1"/>
  <c r="C2376" i="1"/>
  <c r="B2376" i="1"/>
  <c r="S2034" i="1"/>
  <c r="R2034" i="1"/>
  <c r="Q2034" i="1"/>
  <c r="E2034" i="1"/>
  <c r="D2034" i="1"/>
  <c r="C2034" i="1"/>
  <c r="B2034" i="1"/>
  <c r="S2033" i="1"/>
  <c r="R2033" i="1"/>
  <c r="Q2033" i="1"/>
  <c r="E2033" i="1"/>
  <c r="D2033" i="1"/>
  <c r="C2033" i="1"/>
  <c r="B2033" i="1"/>
  <c r="S2032" i="1"/>
  <c r="R2032" i="1"/>
  <c r="Q2032" i="1"/>
  <c r="E2032" i="1"/>
  <c r="D2032" i="1"/>
  <c r="C2032" i="1"/>
  <c r="B2032" i="1"/>
  <c r="S2031" i="1"/>
  <c r="R2031" i="1"/>
  <c r="Q2031" i="1"/>
  <c r="E2031" i="1"/>
  <c r="D2031" i="1"/>
  <c r="C2031" i="1"/>
  <c r="B2031" i="1"/>
  <c r="S1879" i="1"/>
  <c r="R1879" i="1"/>
  <c r="Q1879" i="1"/>
  <c r="E1879" i="1"/>
  <c r="D1879" i="1"/>
  <c r="C1879" i="1"/>
  <c r="B1879" i="1"/>
  <c r="R1436" i="1"/>
  <c r="Q1436" i="1"/>
  <c r="E1436" i="1"/>
  <c r="D1436" i="1"/>
  <c r="C1436" i="1"/>
  <c r="B1436" i="1"/>
  <c r="S1938" i="1"/>
  <c r="R1938" i="1"/>
  <c r="Q1938" i="1"/>
  <c r="E1938" i="1"/>
  <c r="D1938" i="1"/>
  <c r="C1938" i="1"/>
  <c r="B1938" i="1"/>
  <c r="S1937" i="1"/>
  <c r="R1937" i="1"/>
  <c r="Q1937" i="1"/>
  <c r="E1937" i="1"/>
  <c r="D1937" i="1"/>
  <c r="C1937" i="1"/>
  <c r="B1937" i="1"/>
  <c r="S1979" i="1"/>
  <c r="R1979" i="1"/>
  <c r="Q1979" i="1"/>
  <c r="E1979" i="1"/>
  <c r="D1979" i="1"/>
  <c r="C1979" i="1"/>
  <c r="B1979" i="1"/>
  <c r="S1978" i="1"/>
  <c r="R1978" i="1"/>
  <c r="Q1978" i="1"/>
  <c r="E1978" i="1"/>
  <c r="D1978" i="1"/>
  <c r="C1978" i="1"/>
  <c r="B1978" i="1"/>
  <c r="S1977" i="1"/>
  <c r="R1977" i="1"/>
  <c r="Q1977" i="1"/>
  <c r="E1977" i="1"/>
  <c r="D1977" i="1"/>
  <c r="C1977" i="1"/>
  <c r="B1977" i="1"/>
  <c r="S1976" i="1"/>
  <c r="R1976" i="1"/>
  <c r="Q1976" i="1"/>
  <c r="E1976" i="1"/>
  <c r="D1976" i="1"/>
  <c r="C1976" i="1"/>
  <c r="B1976" i="1"/>
  <c r="S1975" i="1"/>
  <c r="R1975" i="1"/>
  <c r="Q1975" i="1"/>
  <c r="E1975" i="1"/>
  <c r="D1975" i="1"/>
  <c r="C1975" i="1"/>
  <c r="B1975" i="1"/>
  <c r="R1383" i="1"/>
  <c r="Q1383" i="1"/>
  <c r="E1383" i="1"/>
  <c r="D1383" i="1"/>
  <c r="C1383" i="1"/>
  <c r="B1383" i="1"/>
  <c r="R1382" i="1"/>
  <c r="Q1382" i="1"/>
  <c r="E1382" i="1"/>
  <c r="D1382" i="1"/>
  <c r="C1382" i="1"/>
  <c r="B1382" i="1"/>
  <c r="R1381" i="1"/>
  <c r="Q1381" i="1"/>
  <c r="E1381" i="1"/>
  <c r="D1381" i="1"/>
  <c r="C1381" i="1"/>
  <c r="B1381" i="1"/>
  <c r="R1380" i="1"/>
  <c r="Q1380" i="1"/>
  <c r="E1380" i="1"/>
  <c r="D1380" i="1"/>
  <c r="C1380" i="1"/>
  <c r="B1380" i="1"/>
  <c r="R1379" i="1"/>
  <c r="Q1379" i="1"/>
  <c r="E1379" i="1"/>
  <c r="D1379" i="1"/>
  <c r="C1379" i="1"/>
  <c r="B1379" i="1"/>
  <c r="R1378" i="1"/>
  <c r="Q1378" i="1"/>
  <c r="E1378" i="1"/>
  <c r="D1378" i="1"/>
  <c r="C1378" i="1"/>
  <c r="B1378" i="1"/>
  <c r="R1377" i="1"/>
  <c r="Q1377" i="1"/>
  <c r="E1377" i="1"/>
  <c r="D1377" i="1"/>
  <c r="C1377" i="1"/>
  <c r="B1377" i="1"/>
  <c r="R1376" i="1"/>
  <c r="Q1376" i="1"/>
  <c r="E1376" i="1"/>
  <c r="D1376" i="1"/>
  <c r="C1376" i="1"/>
  <c r="B1376" i="1"/>
  <c r="R1375" i="1"/>
  <c r="Q1375" i="1"/>
  <c r="E1375" i="1"/>
  <c r="D1375" i="1"/>
  <c r="C1375" i="1"/>
  <c r="B1375" i="1"/>
  <c r="R1374" i="1"/>
  <c r="Q1374" i="1"/>
  <c r="E1374" i="1"/>
  <c r="D1374" i="1"/>
  <c r="C1374" i="1"/>
  <c r="B1374" i="1"/>
  <c r="R1373" i="1"/>
  <c r="Q1373" i="1"/>
  <c r="E1373" i="1"/>
  <c r="D1373" i="1"/>
  <c r="C1373" i="1"/>
  <c r="B1373" i="1"/>
  <c r="S2029" i="1"/>
  <c r="R2029" i="1"/>
  <c r="Q2029" i="1"/>
  <c r="E2029" i="1"/>
  <c r="D2029" i="1"/>
  <c r="C2029" i="1"/>
  <c r="B2029" i="1"/>
  <c r="S2028" i="1"/>
  <c r="R2028" i="1"/>
  <c r="Q2028" i="1"/>
  <c r="E2028" i="1"/>
  <c r="D2028" i="1"/>
  <c r="C2028" i="1"/>
  <c r="B2028" i="1"/>
  <c r="S2027" i="1"/>
  <c r="R2027" i="1"/>
  <c r="Q2027" i="1"/>
  <c r="E2027" i="1"/>
  <c r="D2027" i="1"/>
  <c r="C2027" i="1"/>
  <c r="B2027" i="1"/>
  <c r="S1936" i="1"/>
  <c r="R1936" i="1"/>
  <c r="Q1936" i="1"/>
  <c r="E1936" i="1"/>
  <c r="D1936" i="1"/>
  <c r="C1936" i="1"/>
  <c r="B1936" i="1"/>
  <c r="S1974" i="1"/>
  <c r="R1974" i="1"/>
  <c r="Q1974" i="1"/>
  <c r="E1974" i="1"/>
  <c r="D1974" i="1"/>
  <c r="C1974" i="1"/>
  <c r="B1974" i="1"/>
  <c r="R1341" i="1"/>
  <c r="Q1341" i="1"/>
  <c r="E1341" i="1"/>
  <c r="D1341" i="1"/>
  <c r="C1341" i="1"/>
  <c r="B1341" i="1"/>
  <c r="R1340" i="1"/>
  <c r="Q1340" i="1"/>
  <c r="E1340" i="1"/>
  <c r="D1340" i="1"/>
  <c r="C1340" i="1"/>
  <c r="B1340" i="1"/>
  <c r="R1339" i="1"/>
  <c r="Q1339" i="1"/>
  <c r="E1339" i="1"/>
  <c r="D1339" i="1"/>
  <c r="C1339" i="1"/>
  <c r="B1339" i="1"/>
  <c r="R1338" i="1"/>
  <c r="Q1338" i="1"/>
  <c r="E1338" i="1"/>
  <c r="D1338" i="1"/>
  <c r="C1338" i="1"/>
  <c r="B1338" i="1"/>
  <c r="R1337" i="1"/>
  <c r="Q1337" i="1"/>
  <c r="E1337" i="1"/>
  <c r="D1337" i="1"/>
  <c r="C1337" i="1"/>
  <c r="B1337" i="1"/>
  <c r="R1336" i="1"/>
  <c r="Q1336" i="1"/>
  <c r="E1336" i="1"/>
  <c r="D1336" i="1"/>
  <c r="C1336" i="1"/>
  <c r="B1336" i="1"/>
  <c r="R1335" i="1"/>
  <c r="Q1335" i="1"/>
  <c r="E1335" i="1"/>
  <c r="D1335" i="1"/>
  <c r="C1335" i="1"/>
  <c r="B1335" i="1"/>
  <c r="S2310" i="1"/>
  <c r="R2310" i="1"/>
  <c r="Q2310" i="1"/>
  <c r="E2310" i="1"/>
  <c r="D2310" i="1"/>
  <c r="C2310" i="1"/>
  <c r="B2310" i="1"/>
  <c r="S1878" i="1"/>
  <c r="R1878" i="1"/>
  <c r="Q1878" i="1"/>
  <c r="E1878" i="1"/>
  <c r="D1878" i="1"/>
  <c r="C1878" i="1"/>
  <c r="B1878" i="1"/>
  <c r="J2274" i="1" l="1"/>
  <c r="J2256" i="1"/>
  <c r="S2274" i="1"/>
  <c r="R2274" i="1"/>
  <c r="Q2274" i="1"/>
  <c r="E2274" i="1"/>
  <c r="D2274" i="1"/>
  <c r="C2274" i="1"/>
  <c r="B2274" i="1"/>
  <c r="B972" i="1"/>
  <c r="R1342" i="1"/>
  <c r="Q1342" i="1"/>
  <c r="E1342" i="1"/>
  <c r="D1342" i="1"/>
  <c r="C1342" i="1"/>
  <c r="B1342" i="1"/>
  <c r="R1698" i="1" l="1"/>
  <c r="Q1698" i="1"/>
  <c r="E1698" i="1"/>
  <c r="D1698" i="1"/>
  <c r="C1698" i="1"/>
  <c r="B1698" i="1"/>
  <c r="J2271" i="1" l="1"/>
  <c r="J2255" i="1"/>
  <c r="S2080" i="1"/>
  <c r="R2080" i="1"/>
  <c r="Q2080" i="1"/>
  <c r="E2080" i="1"/>
  <c r="D2080" i="1"/>
  <c r="C2080" i="1"/>
  <c r="B2080" i="1"/>
  <c r="S2120" i="1"/>
  <c r="R2120" i="1"/>
  <c r="Q2120" i="1"/>
  <c r="E2120" i="1"/>
  <c r="D2120" i="1"/>
  <c r="C2120" i="1"/>
  <c r="B2120" i="1"/>
  <c r="S2119" i="1"/>
  <c r="R2119" i="1"/>
  <c r="Q2119" i="1"/>
  <c r="E2119" i="1"/>
  <c r="D2119" i="1"/>
  <c r="C2119" i="1"/>
  <c r="B2119" i="1"/>
  <c r="S1474" i="1"/>
  <c r="R1474" i="1"/>
  <c r="Q1474" i="1"/>
  <c r="E1474" i="1"/>
  <c r="D1474" i="1"/>
  <c r="C1474" i="1"/>
  <c r="B1474" i="1"/>
  <c r="S2044" i="1"/>
  <c r="R2044" i="1"/>
  <c r="Q2044" i="1"/>
  <c r="E2044" i="1"/>
  <c r="D2044" i="1"/>
  <c r="C2044" i="1"/>
  <c r="B2044" i="1"/>
  <c r="S1475" i="1"/>
  <c r="R1475" i="1"/>
  <c r="Q1475" i="1"/>
  <c r="E1475" i="1"/>
  <c r="D1475" i="1"/>
  <c r="C1475" i="1"/>
  <c r="B1475" i="1"/>
  <c r="S1803" i="1"/>
  <c r="R1803" i="1"/>
  <c r="Q1803" i="1"/>
  <c r="E1803" i="1"/>
  <c r="D1803" i="1"/>
  <c r="C1803" i="1"/>
  <c r="B1803" i="1"/>
  <c r="S1802" i="1"/>
  <c r="R1802" i="1"/>
  <c r="Q1802" i="1"/>
  <c r="E1802" i="1"/>
  <c r="D1802" i="1"/>
  <c r="C1802" i="1"/>
  <c r="B1802" i="1"/>
  <c r="S2128" i="1"/>
  <c r="R2128" i="1"/>
  <c r="Q2128" i="1"/>
  <c r="E2128" i="1"/>
  <c r="D2128" i="1"/>
  <c r="C2128" i="1"/>
  <c r="B2128" i="1"/>
  <c r="S2121" i="1"/>
  <c r="R2121" i="1"/>
  <c r="Q2121" i="1"/>
  <c r="E2121" i="1"/>
  <c r="D2121" i="1"/>
  <c r="C2121" i="1"/>
  <c r="B2121" i="1"/>
  <c r="S2139" i="1"/>
  <c r="R2139" i="1"/>
  <c r="Q2139" i="1"/>
  <c r="E2139" i="1"/>
  <c r="D2139" i="1"/>
  <c r="C2139" i="1"/>
  <c r="B2139" i="1"/>
  <c r="S2079" i="1"/>
  <c r="R2079" i="1"/>
  <c r="Q2079" i="1"/>
  <c r="E2079" i="1"/>
  <c r="D2079" i="1"/>
  <c r="C2079" i="1"/>
  <c r="B2079" i="1"/>
  <c r="S2062" i="1"/>
  <c r="R2062" i="1"/>
  <c r="Q2062" i="1"/>
  <c r="E2062" i="1"/>
  <c r="D2062" i="1"/>
  <c r="C2062" i="1"/>
  <c r="B2062" i="1"/>
  <c r="S2047" i="1"/>
  <c r="R2047" i="1"/>
  <c r="Q2047" i="1"/>
  <c r="E2047" i="1"/>
  <c r="D2047" i="1"/>
  <c r="C2047" i="1"/>
  <c r="B2047" i="1"/>
  <c r="S2046" i="1"/>
  <c r="R2046" i="1"/>
  <c r="Q2046" i="1"/>
  <c r="E2046" i="1"/>
  <c r="D2046" i="1"/>
  <c r="C2046" i="1"/>
  <c r="B2046" i="1"/>
  <c r="S1767" i="1"/>
  <c r="R1767" i="1"/>
  <c r="Q1767" i="1"/>
  <c r="E1767" i="1"/>
  <c r="D1767" i="1"/>
  <c r="C1767" i="1"/>
  <c r="B1767" i="1"/>
  <c r="S2089" i="1"/>
  <c r="R2089" i="1"/>
  <c r="Q2089" i="1"/>
  <c r="E2089" i="1"/>
  <c r="D2089" i="1"/>
  <c r="C2089" i="1"/>
  <c r="B2089" i="1"/>
  <c r="S2087" i="1"/>
  <c r="R2087" i="1"/>
  <c r="Q2087" i="1"/>
  <c r="E2087" i="1"/>
  <c r="D2087" i="1"/>
  <c r="C2087" i="1"/>
  <c r="B2087" i="1"/>
  <c r="S2131" i="1"/>
  <c r="R2131" i="1"/>
  <c r="Q2131" i="1"/>
  <c r="E2131" i="1"/>
  <c r="D2131" i="1"/>
  <c r="C2131" i="1"/>
  <c r="B2131" i="1"/>
  <c r="S1804" i="1"/>
  <c r="R1804" i="1"/>
  <c r="Q1804" i="1"/>
  <c r="E1804" i="1"/>
  <c r="D1804" i="1"/>
  <c r="C1804" i="1"/>
  <c r="B1804" i="1"/>
  <c r="S2059" i="1"/>
  <c r="R2059" i="1"/>
  <c r="Q2059" i="1"/>
  <c r="E2059" i="1"/>
  <c r="D2059" i="1"/>
  <c r="C2059" i="1"/>
  <c r="B2059" i="1"/>
  <c r="S2058" i="1"/>
  <c r="R2058" i="1"/>
  <c r="Q2058" i="1"/>
  <c r="E2058" i="1"/>
  <c r="D2058" i="1"/>
  <c r="C2058" i="1"/>
  <c r="B2058" i="1"/>
  <c r="R1260" i="1"/>
  <c r="Q1260" i="1"/>
  <c r="E1260" i="1"/>
  <c r="D1260" i="1"/>
  <c r="C1260" i="1"/>
  <c r="B1260" i="1"/>
  <c r="R1259" i="1"/>
  <c r="Q1259" i="1"/>
  <c r="E1259" i="1"/>
  <c r="D1259" i="1"/>
  <c r="C1259" i="1"/>
  <c r="B1259" i="1"/>
  <c r="R1188" i="1"/>
  <c r="Q1188" i="1"/>
  <c r="E1188" i="1"/>
  <c r="D1188" i="1"/>
  <c r="C1188" i="1"/>
  <c r="B1188" i="1"/>
  <c r="R1187" i="1"/>
  <c r="Q1187" i="1"/>
  <c r="E1187" i="1"/>
  <c r="D1187" i="1"/>
  <c r="C1187" i="1"/>
  <c r="B1187" i="1"/>
  <c r="S2221" i="1"/>
  <c r="R2221" i="1"/>
  <c r="Q2221" i="1"/>
  <c r="E2221" i="1"/>
  <c r="D2221" i="1"/>
  <c r="C2221" i="1"/>
  <c r="B2221" i="1"/>
  <c r="S1790" i="1"/>
  <c r="R1790" i="1"/>
  <c r="Q1790" i="1"/>
  <c r="E1790" i="1"/>
  <c r="D1790" i="1"/>
  <c r="C1790" i="1"/>
  <c r="B1790" i="1"/>
  <c r="S1786" i="1"/>
  <c r="R1786" i="1"/>
  <c r="Q1786" i="1"/>
  <c r="E1786" i="1"/>
  <c r="D1786" i="1"/>
  <c r="C1786" i="1"/>
  <c r="B1786" i="1"/>
  <c r="S2114" i="1"/>
  <c r="R2114" i="1"/>
  <c r="Q2114" i="1"/>
  <c r="E2114" i="1"/>
  <c r="D2114" i="1"/>
  <c r="B2114" i="1"/>
  <c r="S2113" i="1"/>
  <c r="R2113" i="1"/>
  <c r="Q2113" i="1"/>
  <c r="E2113" i="1"/>
  <c r="D2113" i="1"/>
  <c r="B2113" i="1"/>
  <c r="S2370" i="1"/>
  <c r="R2370" i="1"/>
  <c r="Q2370" i="1"/>
  <c r="E2370" i="1"/>
  <c r="D2370" i="1"/>
  <c r="C2370" i="1"/>
  <c r="B2370" i="1"/>
  <c r="S2367" i="1"/>
  <c r="R2367" i="1"/>
  <c r="Q2367" i="1"/>
  <c r="E2367" i="1"/>
  <c r="D2367" i="1"/>
  <c r="C2367" i="1"/>
  <c r="B2367" i="1"/>
  <c r="S2366" i="1"/>
  <c r="R2366" i="1"/>
  <c r="Q2366" i="1"/>
  <c r="E2366" i="1"/>
  <c r="D2366" i="1"/>
  <c r="C2366" i="1"/>
  <c r="B2366" i="1"/>
  <c r="S2215" i="1"/>
  <c r="R2215" i="1"/>
  <c r="Q2215" i="1"/>
  <c r="E2215" i="1"/>
  <c r="D2215" i="1"/>
  <c r="C2215" i="1"/>
  <c r="B2215" i="1"/>
  <c r="S2211" i="1"/>
  <c r="R2211" i="1"/>
  <c r="Q2211" i="1"/>
  <c r="E2211" i="1"/>
  <c r="D2211" i="1"/>
  <c r="C2211" i="1"/>
  <c r="B2211" i="1"/>
  <c r="S2207" i="1"/>
  <c r="R2207" i="1"/>
  <c r="Q2207" i="1"/>
  <c r="E2207" i="1"/>
  <c r="D2207" i="1"/>
  <c r="C2207" i="1"/>
  <c r="B2207" i="1"/>
  <c r="S2191" i="1"/>
  <c r="R2191" i="1"/>
  <c r="Q2191" i="1"/>
  <c r="E2191" i="1"/>
  <c r="D2191" i="1"/>
  <c r="C2191" i="1"/>
  <c r="B2191" i="1"/>
  <c r="S2183" i="1"/>
  <c r="R2183" i="1"/>
  <c r="Q2183" i="1"/>
  <c r="E2183" i="1"/>
  <c r="D2183" i="1"/>
  <c r="C2183" i="1"/>
  <c r="B2183" i="1"/>
  <c r="S2156" i="1"/>
  <c r="R2156" i="1"/>
  <c r="Q2156" i="1"/>
  <c r="E2156" i="1"/>
  <c r="D2156" i="1"/>
  <c r="C2156" i="1"/>
  <c r="B2156" i="1"/>
  <c r="S2155" i="1"/>
  <c r="R2155" i="1"/>
  <c r="Q2155" i="1"/>
  <c r="E2155" i="1"/>
  <c r="D2155" i="1"/>
  <c r="C2155" i="1"/>
  <c r="B2155" i="1"/>
  <c r="S2154" i="1"/>
  <c r="R2154" i="1"/>
  <c r="Q2154" i="1"/>
  <c r="E2154" i="1"/>
  <c r="D2154" i="1"/>
  <c r="C2154" i="1"/>
  <c r="B2154" i="1"/>
  <c r="B973" i="1"/>
  <c r="B971" i="1"/>
  <c r="S2338" i="1"/>
  <c r="R2338" i="1"/>
  <c r="Q2338" i="1"/>
  <c r="E2338" i="1"/>
  <c r="D2338" i="1"/>
  <c r="C2338" i="1"/>
  <c r="B2338" i="1"/>
  <c r="S2337" i="1"/>
  <c r="R2337" i="1"/>
  <c r="Q2337" i="1"/>
  <c r="E2337" i="1"/>
  <c r="D2337" i="1"/>
  <c r="C2337" i="1"/>
  <c r="B2337" i="1"/>
  <c r="S2336" i="1"/>
  <c r="R2336" i="1"/>
  <c r="Q2336" i="1"/>
  <c r="E2336" i="1"/>
  <c r="D2336" i="1"/>
  <c r="C2336" i="1"/>
  <c r="B2336" i="1"/>
  <c r="S2354" i="1"/>
  <c r="R2354" i="1"/>
  <c r="Q2354" i="1"/>
  <c r="E2354" i="1"/>
  <c r="D2354" i="1"/>
  <c r="C2354" i="1"/>
  <c r="B2354" i="1"/>
  <c r="S2351" i="1"/>
  <c r="R2351" i="1"/>
  <c r="Q2351" i="1"/>
  <c r="E2351" i="1"/>
  <c r="D2351" i="1"/>
  <c r="C2351" i="1"/>
  <c r="B2351" i="1"/>
  <c r="S2348" i="1"/>
  <c r="R2348" i="1"/>
  <c r="Q2348" i="1"/>
  <c r="E2348" i="1"/>
  <c r="D2348" i="1"/>
  <c r="C2348" i="1"/>
  <c r="B2348" i="1"/>
  <c r="S1827" i="1"/>
  <c r="R1827" i="1"/>
  <c r="Q1827" i="1"/>
  <c r="E1827" i="1"/>
  <c r="D1827" i="1"/>
  <c r="C1827" i="1"/>
  <c r="B1827" i="1"/>
  <c r="S1824" i="1"/>
  <c r="R1824" i="1"/>
  <c r="Q1824" i="1"/>
  <c r="E1824" i="1"/>
  <c r="D1824" i="1"/>
  <c r="C1824" i="1"/>
  <c r="B1824" i="1"/>
  <c r="S2081" i="1"/>
  <c r="R2081" i="1"/>
  <c r="Q2081" i="1"/>
  <c r="E2081" i="1"/>
  <c r="D2081" i="1"/>
  <c r="C2081" i="1"/>
  <c r="B2081" i="1"/>
  <c r="S2105" i="1"/>
  <c r="R2105" i="1"/>
  <c r="Q2105" i="1"/>
  <c r="E2105" i="1"/>
  <c r="D2105" i="1"/>
  <c r="C2105" i="1"/>
  <c r="B2105" i="1"/>
  <c r="R1384" i="1"/>
  <c r="Q1384" i="1"/>
  <c r="E1384" i="1"/>
  <c r="D1384" i="1"/>
  <c r="C1384" i="1"/>
  <c r="B1384" i="1"/>
  <c r="R1367" i="1"/>
  <c r="Q1367" i="1"/>
  <c r="E1367" i="1"/>
  <c r="D1367" i="1"/>
  <c r="C1367" i="1"/>
  <c r="B1367" i="1"/>
  <c r="S2035" i="1"/>
  <c r="R2035" i="1"/>
  <c r="Q2035" i="1"/>
  <c r="E2035" i="1"/>
  <c r="D2035" i="1"/>
  <c r="C2035" i="1"/>
  <c r="B2035" i="1"/>
  <c r="S2030" i="1"/>
  <c r="R2030" i="1"/>
  <c r="Q2030" i="1"/>
  <c r="E2030" i="1"/>
  <c r="D2030" i="1"/>
  <c r="C2030" i="1"/>
  <c r="B2030" i="1"/>
  <c r="S2026" i="1"/>
  <c r="R2026" i="1"/>
  <c r="Q2026" i="1"/>
  <c r="E2026" i="1"/>
  <c r="D2026" i="1"/>
  <c r="C2026" i="1"/>
  <c r="B2026" i="1"/>
  <c r="S1981" i="1"/>
  <c r="R1981" i="1"/>
  <c r="Q1981" i="1"/>
  <c r="E1981" i="1"/>
  <c r="D1981" i="1"/>
  <c r="C1981" i="1"/>
  <c r="B1981" i="1"/>
  <c r="S1973" i="1"/>
  <c r="R1973" i="1"/>
  <c r="Q1973" i="1"/>
  <c r="E1973" i="1"/>
  <c r="D1973" i="1"/>
  <c r="C1973" i="1"/>
  <c r="B1973" i="1"/>
  <c r="R1647" i="1"/>
  <c r="Q1647" i="1"/>
  <c r="E1647" i="1"/>
  <c r="D1647" i="1"/>
  <c r="C1647" i="1"/>
  <c r="B1647" i="1"/>
  <c r="R1697" i="1"/>
  <c r="Q1697" i="1"/>
  <c r="E1697" i="1"/>
  <c r="D1697" i="1"/>
  <c r="C1697" i="1"/>
  <c r="B1697" i="1"/>
  <c r="S1886" i="1"/>
  <c r="R1886" i="1"/>
  <c r="Q1886" i="1"/>
  <c r="E1886" i="1"/>
  <c r="D1886" i="1"/>
  <c r="C1886" i="1"/>
  <c r="B1886" i="1"/>
  <c r="S1877" i="1"/>
  <c r="R1877" i="1"/>
  <c r="Q1877" i="1"/>
  <c r="E1877" i="1"/>
  <c r="D1877" i="1"/>
  <c r="C1877" i="1"/>
  <c r="B1877" i="1"/>
  <c r="S1940" i="1"/>
  <c r="R1940" i="1"/>
  <c r="Q1940" i="1"/>
  <c r="E1940" i="1"/>
  <c r="D1940" i="1"/>
  <c r="C1940" i="1"/>
  <c r="B1940" i="1"/>
  <c r="S1935" i="1"/>
  <c r="R1935" i="1"/>
  <c r="Q1935" i="1"/>
  <c r="E1935" i="1"/>
  <c r="D1935" i="1"/>
  <c r="C1935" i="1"/>
  <c r="B1935" i="1"/>
  <c r="S2078" i="1"/>
  <c r="R2078" i="1"/>
  <c r="Q2078" i="1"/>
  <c r="E2078" i="1"/>
  <c r="D2078" i="1"/>
  <c r="C2078" i="1"/>
  <c r="B2078" i="1"/>
  <c r="S2097" i="1"/>
  <c r="R2097" i="1"/>
  <c r="Q2097" i="1"/>
  <c r="E2097" i="1"/>
  <c r="D2097" i="1"/>
  <c r="C2097" i="1"/>
  <c r="B2097" i="1"/>
  <c r="S2096" i="1"/>
  <c r="R2096" i="1"/>
  <c r="Q2096" i="1"/>
  <c r="E2096" i="1"/>
  <c r="D2096" i="1"/>
  <c r="C2096" i="1"/>
  <c r="B2096" i="1"/>
  <c r="S2141" i="1"/>
  <c r="E2141" i="1"/>
  <c r="D2141" i="1"/>
  <c r="C2141" i="1"/>
  <c r="B2141" i="1"/>
  <c r="S2134" i="1"/>
  <c r="E2134" i="1"/>
  <c r="D2134" i="1"/>
  <c r="C2134" i="1"/>
  <c r="B2134" i="1"/>
  <c r="S2434" i="1"/>
  <c r="E2434" i="1"/>
  <c r="D2434" i="1"/>
  <c r="C2434" i="1"/>
  <c r="B2434" i="1"/>
  <c r="R2238" i="1"/>
  <c r="Q2238" i="1"/>
  <c r="E2238" i="1"/>
  <c r="D2238" i="1"/>
  <c r="C2238" i="1"/>
  <c r="B2238" i="1"/>
  <c r="R1484" i="1"/>
  <c r="Q1484" i="1"/>
  <c r="E1484" i="1"/>
  <c r="D1484" i="1"/>
  <c r="C1484" i="1"/>
  <c r="B1484" i="1"/>
  <c r="R2133" i="1"/>
  <c r="Q2133" i="1"/>
  <c r="E2133" i="1"/>
  <c r="D2133" i="1"/>
  <c r="C2133" i="1"/>
  <c r="B2133" i="1"/>
  <c r="R2132" i="1"/>
  <c r="Q2132" i="1"/>
  <c r="E2132" i="1"/>
  <c r="D2132" i="1"/>
  <c r="C2132" i="1"/>
  <c r="B2132" i="1"/>
  <c r="S2236" i="1"/>
  <c r="R2236" i="1"/>
  <c r="Q2236" i="1"/>
  <c r="E2236" i="1"/>
  <c r="D2236" i="1"/>
  <c r="C2236" i="1"/>
  <c r="B2236" i="1"/>
  <c r="S2142" i="1"/>
  <c r="R2142" i="1"/>
  <c r="Q2142" i="1"/>
  <c r="E2142" i="1"/>
  <c r="D2142" i="1"/>
  <c r="C2142" i="1"/>
  <c r="B2142" i="1"/>
  <c r="S2135" i="1"/>
  <c r="R2135" i="1"/>
  <c r="Q2135" i="1"/>
  <c r="E2135" i="1"/>
  <c r="D2135" i="1"/>
  <c r="C2135" i="1"/>
  <c r="B2135" i="1"/>
  <c r="S2436" i="1"/>
  <c r="R2436" i="1"/>
  <c r="Q2436" i="1"/>
  <c r="E2436" i="1"/>
  <c r="D2436" i="1"/>
  <c r="C2436" i="1"/>
  <c r="B2436" i="1"/>
  <c r="S2325" i="1"/>
  <c r="R2325" i="1"/>
  <c r="Q2325" i="1"/>
  <c r="E2325" i="1"/>
  <c r="D2325" i="1"/>
  <c r="C2325" i="1"/>
  <c r="B2325" i="1"/>
  <c r="S2321" i="1"/>
  <c r="R2321" i="1"/>
  <c r="Q2321" i="1"/>
  <c r="E2321" i="1"/>
  <c r="D2321" i="1"/>
  <c r="C2321" i="1"/>
  <c r="B2321" i="1"/>
  <c r="S1765" i="1"/>
  <c r="R1765" i="1"/>
  <c r="Q1765" i="1"/>
  <c r="E1765" i="1"/>
  <c r="D1765" i="1"/>
  <c r="C1765" i="1"/>
  <c r="B1765" i="1"/>
  <c r="S2322" i="1"/>
  <c r="R2322" i="1"/>
  <c r="Q2322" i="1"/>
  <c r="E2322" i="1"/>
  <c r="D2322" i="1"/>
  <c r="C2322" i="1"/>
  <c r="B2322" i="1"/>
  <c r="S2318" i="1"/>
  <c r="R2318" i="1"/>
  <c r="Q2318" i="1"/>
  <c r="E2318" i="1"/>
  <c r="D2318" i="1"/>
  <c r="C2318" i="1"/>
  <c r="B2318" i="1"/>
  <c r="S2163" i="1"/>
  <c r="R2163" i="1"/>
  <c r="Q2163" i="1"/>
  <c r="E2163" i="1"/>
  <c r="D2163" i="1"/>
  <c r="C2163" i="1"/>
  <c r="B2163" i="1"/>
  <c r="S2162" i="1"/>
  <c r="R2162" i="1"/>
  <c r="Q2162" i="1"/>
  <c r="E2162" i="1"/>
  <c r="D2162" i="1"/>
  <c r="C2162" i="1"/>
  <c r="B2162" i="1"/>
  <c r="S2161" i="1"/>
  <c r="R2161" i="1"/>
  <c r="Q2161" i="1"/>
  <c r="E2161" i="1"/>
  <c r="D2161" i="1"/>
  <c r="C2161" i="1"/>
  <c r="B2161" i="1"/>
  <c r="S2377" i="1"/>
  <c r="R2377" i="1"/>
  <c r="Q2377" i="1"/>
  <c r="E2377" i="1"/>
  <c r="D2377" i="1"/>
  <c r="C2377" i="1"/>
  <c r="B2377" i="1"/>
  <c r="S2375" i="1"/>
  <c r="R2375" i="1"/>
  <c r="Q2375" i="1"/>
  <c r="E2375" i="1"/>
  <c r="D2375" i="1"/>
  <c r="C2375" i="1"/>
  <c r="B2375" i="1"/>
  <c r="S2385" i="1"/>
  <c r="R2385" i="1"/>
  <c r="Q2385" i="1"/>
  <c r="E2385" i="1"/>
  <c r="D2385" i="1"/>
  <c r="C2385" i="1"/>
  <c r="B2385" i="1"/>
  <c r="S2071" i="1"/>
  <c r="R2071" i="1"/>
  <c r="Q2071" i="1"/>
  <c r="E2071" i="1"/>
  <c r="D2071" i="1"/>
  <c r="C2071" i="1"/>
  <c r="B2071" i="1"/>
  <c r="S2070" i="1"/>
  <c r="R2070" i="1"/>
  <c r="Q2070" i="1"/>
  <c r="E2070" i="1"/>
  <c r="D2070" i="1"/>
  <c r="C2070" i="1"/>
  <c r="B2070" i="1"/>
  <c r="S2227" i="1"/>
  <c r="R2227" i="1"/>
  <c r="Q2227" i="1"/>
  <c r="E2227" i="1"/>
  <c r="D2227" i="1"/>
  <c r="C2227" i="1"/>
  <c r="B2227" i="1"/>
  <c r="S2226" i="1"/>
  <c r="R2226" i="1"/>
  <c r="Q2226" i="1"/>
  <c r="E2226" i="1"/>
  <c r="D2226" i="1"/>
  <c r="C2226" i="1"/>
  <c r="B2226" i="1"/>
  <c r="S2150" i="1"/>
  <c r="R2150" i="1"/>
  <c r="Q2150" i="1"/>
  <c r="E2150" i="1"/>
  <c r="D2150" i="1"/>
  <c r="C2150" i="1"/>
  <c r="B2150" i="1"/>
  <c r="R1460" i="1"/>
  <c r="Q1460" i="1"/>
  <c r="E1460" i="1"/>
  <c r="D1460" i="1"/>
  <c r="C1460" i="1"/>
  <c r="B1460" i="1"/>
  <c r="R1459" i="1"/>
  <c r="Q1459" i="1"/>
  <c r="E1459" i="1"/>
  <c r="D1459" i="1"/>
  <c r="C1459" i="1"/>
  <c r="B1459" i="1"/>
  <c r="S1795" i="1"/>
  <c r="R1795" i="1"/>
  <c r="Q1795" i="1"/>
  <c r="E1795" i="1"/>
  <c r="D1795" i="1"/>
  <c r="C1795" i="1"/>
  <c r="B1795" i="1"/>
  <c r="S2219" i="1"/>
  <c r="R2219" i="1"/>
  <c r="Q2219" i="1"/>
  <c r="E2219" i="1"/>
  <c r="D2219" i="1"/>
  <c r="C2219" i="1"/>
  <c r="B2219" i="1"/>
  <c r="R1469" i="1"/>
  <c r="Q1469" i="1"/>
  <c r="E1469" i="1"/>
  <c r="D1469" i="1"/>
  <c r="C1469" i="1"/>
  <c r="B1469" i="1"/>
  <c r="R1468" i="1"/>
  <c r="Q1468" i="1"/>
  <c r="E1468" i="1"/>
  <c r="D1468" i="1"/>
  <c r="C1468" i="1"/>
  <c r="B1468" i="1"/>
  <c r="R1483" i="1" l="1"/>
  <c r="Q1483" i="1"/>
  <c r="E1483" i="1"/>
  <c r="D1483" i="1"/>
  <c r="C1483" i="1"/>
  <c r="B1483" i="1"/>
  <c r="S2235" i="1"/>
  <c r="R2235" i="1"/>
  <c r="Q2235" i="1"/>
  <c r="E2235" i="1"/>
  <c r="D2235" i="1"/>
  <c r="C2235" i="1"/>
  <c r="B2235" i="1"/>
  <c r="R1478" i="1"/>
  <c r="Q1478" i="1"/>
  <c r="E1478" i="1"/>
  <c r="D1478" i="1"/>
  <c r="C1478" i="1"/>
  <c r="B1478" i="1"/>
  <c r="R1750" i="1" l="1"/>
  <c r="Q1750" i="1"/>
  <c r="E1750" i="1"/>
  <c r="D1750" i="1"/>
  <c r="C1750" i="1"/>
  <c r="B1750" i="1"/>
  <c r="R1696" i="1"/>
  <c r="Q1696" i="1"/>
  <c r="E1696" i="1"/>
  <c r="D1696" i="1"/>
  <c r="C1696" i="1"/>
  <c r="B1696" i="1"/>
  <c r="R1695" i="1"/>
  <c r="Q1695" i="1"/>
  <c r="E1695" i="1"/>
  <c r="D1695" i="1"/>
  <c r="C1695" i="1"/>
  <c r="B1695" i="1"/>
  <c r="R1694" i="1"/>
  <c r="Q1694" i="1"/>
  <c r="E1694" i="1"/>
  <c r="D1694" i="1"/>
  <c r="C1694" i="1"/>
  <c r="B1694" i="1"/>
  <c r="S2206" i="1"/>
  <c r="R2206" i="1"/>
  <c r="Q2206" i="1"/>
  <c r="E2206" i="1"/>
  <c r="D2206" i="1"/>
  <c r="C2206" i="1"/>
  <c r="B2206" i="1"/>
  <c r="S2205" i="1"/>
  <c r="R2205" i="1"/>
  <c r="Q2205" i="1"/>
  <c r="E2205" i="1"/>
  <c r="D2205" i="1"/>
  <c r="C2205" i="1"/>
  <c r="B2205" i="1"/>
  <c r="S2182" i="1"/>
  <c r="R2182" i="1"/>
  <c r="Q2182" i="1"/>
  <c r="E2182" i="1"/>
  <c r="D2182" i="1"/>
  <c r="C2182" i="1"/>
  <c r="B2182" i="1"/>
  <c r="S2181" i="1"/>
  <c r="R2181" i="1"/>
  <c r="Q2181" i="1"/>
  <c r="E2181" i="1"/>
  <c r="D2181" i="1"/>
  <c r="C2181" i="1"/>
  <c r="B2181" i="1"/>
  <c r="S2180" i="1"/>
  <c r="R2180" i="1"/>
  <c r="Q2180" i="1"/>
  <c r="E2180" i="1"/>
  <c r="D2180" i="1"/>
  <c r="C2180" i="1"/>
  <c r="B2180" i="1"/>
  <c r="S2179" i="1"/>
  <c r="R2179" i="1"/>
  <c r="Q2179" i="1"/>
  <c r="E2179" i="1"/>
  <c r="D2179" i="1"/>
  <c r="C2179" i="1"/>
  <c r="B2179" i="1"/>
  <c r="S2122" i="1"/>
  <c r="R2122" i="1"/>
  <c r="Q2122" i="1"/>
  <c r="E2122" i="1"/>
  <c r="D2122" i="1"/>
  <c r="C2122" i="1"/>
  <c r="B2122" i="1"/>
  <c r="S2279" i="1"/>
  <c r="R2279" i="1"/>
  <c r="Q2279" i="1"/>
  <c r="E2279" i="1"/>
  <c r="D2279" i="1"/>
  <c r="C2279" i="1"/>
  <c r="B2279" i="1"/>
  <c r="S2273" i="1"/>
  <c r="R2273" i="1"/>
  <c r="Q2273" i="1"/>
  <c r="E2273" i="1"/>
  <c r="D2273" i="1"/>
  <c r="C2273" i="1"/>
  <c r="B2273" i="1"/>
  <c r="S2258" i="1"/>
  <c r="R2258" i="1"/>
  <c r="Q2258" i="1"/>
  <c r="E2258" i="1"/>
  <c r="D2258" i="1"/>
  <c r="C2258" i="1"/>
  <c r="B2258" i="1"/>
  <c r="S2256" i="1"/>
  <c r="R2256" i="1"/>
  <c r="Q2256" i="1"/>
  <c r="E2256" i="1"/>
  <c r="D2256" i="1"/>
  <c r="C2256" i="1"/>
  <c r="B2256" i="1"/>
  <c r="S1829" i="1" l="1"/>
  <c r="R1829" i="1"/>
  <c r="Q1829" i="1"/>
  <c r="E1829" i="1"/>
  <c r="D1829" i="1"/>
  <c r="C1829" i="1"/>
  <c r="B1829" i="1"/>
  <c r="S2272" i="1"/>
  <c r="R2272" i="1"/>
  <c r="Q2272" i="1"/>
  <c r="E2272" i="1"/>
  <c r="D2272" i="1"/>
  <c r="C2272" i="1"/>
  <c r="B2272" i="1"/>
  <c r="R1646" i="1"/>
  <c r="Q1646" i="1"/>
  <c r="E1646" i="1"/>
  <c r="D1646" i="1"/>
  <c r="C1646" i="1"/>
  <c r="B1646" i="1"/>
  <c r="R1645" i="1"/>
  <c r="Q1645" i="1"/>
  <c r="E1645" i="1"/>
  <c r="D1645" i="1"/>
  <c r="C1645" i="1"/>
  <c r="B1645" i="1"/>
  <c r="R1692" i="1"/>
  <c r="Q1692" i="1"/>
  <c r="E1692" i="1"/>
  <c r="D1692" i="1"/>
  <c r="C1692" i="1"/>
  <c r="B1692" i="1"/>
  <c r="R1691" i="1"/>
  <c r="Q1691" i="1"/>
  <c r="E1691" i="1"/>
  <c r="D1691" i="1"/>
  <c r="C1691" i="1"/>
  <c r="B1691" i="1"/>
  <c r="R1690" i="1"/>
  <c r="Q1690" i="1"/>
  <c r="E1690" i="1"/>
  <c r="D1690" i="1"/>
  <c r="C1690" i="1"/>
  <c r="B1690" i="1"/>
  <c r="R1689" i="1"/>
  <c r="Q1689" i="1"/>
  <c r="E1689" i="1"/>
  <c r="D1689" i="1"/>
  <c r="C1689" i="1"/>
  <c r="B1689" i="1"/>
  <c r="R1688" i="1"/>
  <c r="Q1688" i="1"/>
  <c r="E1688" i="1"/>
  <c r="D1688" i="1"/>
  <c r="C1688" i="1"/>
  <c r="B1688" i="1"/>
  <c r="R1687" i="1"/>
  <c r="Q1687" i="1"/>
  <c r="E1687" i="1"/>
  <c r="D1687" i="1"/>
  <c r="C1687" i="1"/>
  <c r="B1687" i="1"/>
  <c r="R1686" i="1"/>
  <c r="Q1686" i="1"/>
  <c r="E1686" i="1"/>
  <c r="D1686" i="1"/>
  <c r="C1686" i="1"/>
  <c r="B1686" i="1"/>
  <c r="R1685" i="1"/>
  <c r="Q1685" i="1"/>
  <c r="E1685" i="1"/>
  <c r="D1685" i="1"/>
  <c r="C1685" i="1"/>
  <c r="B1685" i="1"/>
  <c r="R1684" i="1"/>
  <c r="Q1684" i="1"/>
  <c r="E1684" i="1"/>
  <c r="D1684" i="1"/>
  <c r="C1684" i="1"/>
  <c r="B1684" i="1"/>
  <c r="R1683" i="1"/>
  <c r="Q1683" i="1"/>
  <c r="E1683" i="1"/>
  <c r="D1683" i="1"/>
  <c r="C1683" i="1"/>
  <c r="B1683" i="1"/>
  <c r="R1682" i="1"/>
  <c r="Q1682" i="1"/>
  <c r="E1682" i="1"/>
  <c r="D1682" i="1"/>
  <c r="C1682" i="1"/>
  <c r="B1682" i="1"/>
  <c r="R1681" i="1"/>
  <c r="Q1681" i="1"/>
  <c r="E1681" i="1"/>
  <c r="D1681" i="1"/>
  <c r="C1681" i="1"/>
  <c r="B1681" i="1"/>
  <c r="R1680" i="1"/>
  <c r="Q1680" i="1"/>
  <c r="E1680" i="1"/>
  <c r="D1680" i="1"/>
  <c r="C1680" i="1"/>
  <c r="B1680" i="1"/>
  <c r="R1679" i="1"/>
  <c r="Q1679" i="1"/>
  <c r="E1679" i="1"/>
  <c r="D1679" i="1"/>
  <c r="C1679" i="1"/>
  <c r="B1679" i="1"/>
  <c r="S2384" i="1" l="1"/>
  <c r="R2384" i="1"/>
  <c r="Q2384" i="1"/>
  <c r="E2384" i="1"/>
  <c r="D2384" i="1"/>
  <c r="C2384" i="1"/>
  <c r="B2384" i="1"/>
  <c r="S2383" i="1"/>
  <c r="R2383" i="1"/>
  <c r="Q2383" i="1"/>
  <c r="E2383" i="1"/>
  <c r="D2383" i="1"/>
  <c r="C2383" i="1"/>
  <c r="B2383" i="1"/>
  <c r="S1785" i="1"/>
  <c r="R1785" i="1"/>
  <c r="Q1785" i="1"/>
  <c r="E1785" i="1"/>
  <c r="D1785" i="1"/>
  <c r="C1785" i="1"/>
  <c r="B1785" i="1"/>
  <c r="S1784" i="1"/>
  <c r="R1784" i="1"/>
  <c r="Q1784" i="1"/>
  <c r="E1784" i="1"/>
  <c r="D1784" i="1"/>
  <c r="C1784" i="1"/>
  <c r="B1784" i="1"/>
  <c r="S2271" i="1"/>
  <c r="R2271" i="1"/>
  <c r="Q2271" i="1"/>
  <c r="E2271" i="1"/>
  <c r="D2271" i="1"/>
  <c r="C2271" i="1"/>
  <c r="B2271" i="1"/>
  <c r="R1644" i="1"/>
  <c r="Q1644" i="1"/>
  <c r="E1644" i="1"/>
  <c r="D1644" i="1"/>
  <c r="C1644" i="1"/>
  <c r="B1644" i="1"/>
  <c r="R1643" i="1"/>
  <c r="Q1643" i="1"/>
  <c r="E1643" i="1"/>
  <c r="D1643" i="1"/>
  <c r="C1643" i="1"/>
  <c r="B1643" i="1"/>
  <c r="R1642" i="1"/>
  <c r="Q1642" i="1"/>
  <c r="E1642" i="1"/>
  <c r="D1642" i="1"/>
  <c r="C1642" i="1"/>
  <c r="B1642" i="1"/>
  <c r="R1693" i="1"/>
  <c r="Q1693" i="1"/>
  <c r="E1693" i="1"/>
  <c r="D1693" i="1"/>
  <c r="C1693" i="1"/>
  <c r="B1693" i="1"/>
  <c r="R1678" i="1"/>
  <c r="Q1678" i="1"/>
  <c r="E1678" i="1"/>
  <c r="D1678" i="1"/>
  <c r="C1678" i="1"/>
  <c r="B1678" i="1"/>
  <c r="R1677" i="1"/>
  <c r="Q1677" i="1"/>
  <c r="E1677" i="1"/>
  <c r="D1677" i="1"/>
  <c r="C1677" i="1"/>
  <c r="B1677" i="1"/>
  <c r="R1676" i="1"/>
  <c r="Q1676" i="1"/>
  <c r="E1676" i="1"/>
  <c r="D1676" i="1"/>
  <c r="C1676" i="1"/>
  <c r="B1676" i="1"/>
  <c r="R1675" i="1"/>
  <c r="Q1675" i="1"/>
  <c r="E1675" i="1"/>
  <c r="D1675" i="1"/>
  <c r="C1675" i="1"/>
  <c r="B1675" i="1"/>
  <c r="R1674" i="1"/>
  <c r="Q1674" i="1"/>
  <c r="E1674" i="1"/>
  <c r="D1674" i="1"/>
  <c r="C1674" i="1"/>
  <c r="B1674" i="1"/>
  <c r="R1673" i="1"/>
  <c r="Q1673" i="1"/>
  <c r="E1673" i="1"/>
  <c r="D1673" i="1"/>
  <c r="C1673" i="1"/>
  <c r="B1673" i="1"/>
  <c r="R1672" i="1"/>
  <c r="Q1672" i="1"/>
  <c r="E1672" i="1"/>
  <c r="D1672" i="1"/>
  <c r="C1672" i="1"/>
  <c r="B1672" i="1"/>
  <c r="R1671" i="1"/>
  <c r="Q1671" i="1"/>
  <c r="E1671" i="1"/>
  <c r="D1671" i="1"/>
  <c r="C1671" i="1"/>
  <c r="B1671" i="1"/>
  <c r="R1641" i="1"/>
  <c r="Q1641" i="1"/>
  <c r="E1641" i="1"/>
  <c r="D1641" i="1"/>
  <c r="C1641" i="1"/>
  <c r="B1641" i="1"/>
  <c r="R1670" i="1"/>
  <c r="Q1670" i="1"/>
  <c r="E1670" i="1"/>
  <c r="D1670" i="1"/>
  <c r="C1670" i="1"/>
  <c r="B1670" i="1"/>
  <c r="R1669" i="1"/>
  <c r="Q1669" i="1"/>
  <c r="E1669" i="1"/>
  <c r="D1669" i="1"/>
  <c r="C1669" i="1"/>
  <c r="B1669" i="1"/>
  <c r="R1668" i="1"/>
  <c r="Q1668" i="1"/>
  <c r="E1668" i="1"/>
  <c r="D1668" i="1"/>
  <c r="C1668" i="1"/>
  <c r="B1668" i="1"/>
  <c r="C908" i="1" l="1"/>
  <c r="C786" i="1"/>
  <c r="C672" i="1"/>
  <c r="C597" i="1"/>
  <c r="C436" i="1"/>
  <c r="C323" i="1"/>
  <c r="C212" i="1"/>
  <c r="C99" i="1"/>
  <c r="Q1823" i="1"/>
  <c r="R1823" i="1"/>
  <c r="S1823" i="1"/>
  <c r="B1823" i="1"/>
  <c r="C1823" i="1"/>
  <c r="D1823" i="1"/>
  <c r="E1823" i="1"/>
  <c r="Q2112" i="1"/>
  <c r="R2112" i="1"/>
  <c r="S2112" i="1"/>
  <c r="B2112" i="1"/>
  <c r="D2112" i="1"/>
  <c r="E2112" i="1"/>
  <c r="R1392" i="1"/>
  <c r="Q1392" i="1"/>
  <c r="E1392" i="1"/>
  <c r="D1392" i="1"/>
  <c r="C1392" i="1"/>
  <c r="B1392" i="1"/>
  <c r="R1391" i="1"/>
  <c r="Q1391" i="1"/>
  <c r="E1391" i="1"/>
  <c r="D1391" i="1"/>
  <c r="C1391" i="1"/>
  <c r="B1391" i="1"/>
  <c r="R1390" i="1"/>
  <c r="Q1390" i="1"/>
  <c r="E1390" i="1"/>
  <c r="D1390" i="1"/>
  <c r="C1390" i="1"/>
  <c r="B1390" i="1"/>
  <c r="S2025" i="1"/>
  <c r="R2025" i="1"/>
  <c r="Q2025" i="1"/>
  <c r="E2025" i="1"/>
  <c r="D2025" i="1"/>
  <c r="C2025" i="1"/>
  <c r="B2025" i="1"/>
  <c r="S2024" i="1"/>
  <c r="R2024" i="1"/>
  <c r="Q2024" i="1"/>
  <c r="E2024" i="1"/>
  <c r="D2024" i="1"/>
  <c r="C2024" i="1"/>
  <c r="B2024" i="1"/>
  <c r="S2023" i="1"/>
  <c r="R2023" i="1"/>
  <c r="Q2023" i="1"/>
  <c r="E2023" i="1"/>
  <c r="D2023" i="1"/>
  <c r="C2023" i="1"/>
  <c r="B2023" i="1"/>
  <c r="S1933" i="1"/>
  <c r="R1933" i="1"/>
  <c r="Q1933" i="1"/>
  <c r="E1933" i="1"/>
  <c r="D1933" i="1"/>
  <c r="C1933" i="1"/>
  <c r="B1933" i="1"/>
  <c r="S1764" i="1"/>
  <c r="R1764" i="1"/>
  <c r="Q1764" i="1"/>
  <c r="E1764" i="1"/>
  <c r="D1764" i="1"/>
  <c r="C1764" i="1"/>
  <c r="B1764" i="1"/>
  <c r="S2317" i="1"/>
  <c r="R2317" i="1"/>
  <c r="Q2317" i="1"/>
  <c r="E2317" i="1"/>
  <c r="D2317" i="1"/>
  <c r="C2317" i="1"/>
  <c r="B2317" i="1"/>
  <c r="S2347" i="1"/>
  <c r="R2347" i="1"/>
  <c r="Q2347" i="1"/>
  <c r="E2347" i="1"/>
  <c r="D2347" i="1"/>
  <c r="C2347" i="1"/>
  <c r="B2347" i="1"/>
  <c r="S2346" i="1"/>
  <c r="R2346" i="1"/>
  <c r="Q2346" i="1"/>
  <c r="E2346" i="1"/>
  <c r="D2346" i="1"/>
  <c r="C2346" i="1"/>
  <c r="B2346" i="1"/>
  <c r="S2345" i="1"/>
  <c r="R2345" i="1"/>
  <c r="Q2345" i="1"/>
  <c r="E2345" i="1"/>
  <c r="D2345" i="1"/>
  <c r="C2345" i="1"/>
  <c r="B2345" i="1"/>
  <c r="S2344" i="1"/>
  <c r="R2344" i="1"/>
  <c r="Q2344" i="1"/>
  <c r="E2344" i="1"/>
  <c r="D2344" i="1"/>
  <c r="C2344" i="1"/>
  <c r="B2344" i="1"/>
  <c r="S2343" i="1"/>
  <c r="R2343" i="1"/>
  <c r="Q2343" i="1"/>
  <c r="E2343" i="1"/>
  <c r="D2343" i="1"/>
  <c r="C2343" i="1"/>
  <c r="B2343" i="1"/>
  <c r="S2022" i="1"/>
  <c r="R2022" i="1"/>
  <c r="Q2022" i="1"/>
  <c r="E2022" i="1"/>
  <c r="D2022" i="1"/>
  <c r="C2022" i="1"/>
  <c r="B2022" i="1"/>
  <c r="S2021" i="1"/>
  <c r="R2021" i="1"/>
  <c r="Q2021" i="1"/>
  <c r="E2021" i="1"/>
  <c r="D2021" i="1"/>
  <c r="C2021" i="1"/>
  <c r="B2021" i="1"/>
  <c r="S2020" i="1"/>
  <c r="R2020" i="1"/>
  <c r="Q2020" i="1"/>
  <c r="E2020" i="1"/>
  <c r="D2020" i="1"/>
  <c r="C2020" i="1"/>
  <c r="B2020" i="1"/>
  <c r="S2019" i="1"/>
  <c r="R2019" i="1"/>
  <c r="Q2019" i="1"/>
  <c r="E2019" i="1"/>
  <c r="D2019" i="1"/>
  <c r="C2019" i="1"/>
  <c r="B2019" i="1"/>
  <c r="R1667" i="1"/>
  <c r="Q1667" i="1"/>
  <c r="E1667" i="1"/>
  <c r="D1667" i="1"/>
  <c r="C1667" i="1"/>
  <c r="B1667" i="1"/>
  <c r="S1934" i="1"/>
  <c r="R1934" i="1"/>
  <c r="Q1934" i="1"/>
  <c r="E1934" i="1"/>
  <c r="D1934" i="1"/>
  <c r="C1934" i="1"/>
  <c r="B1934" i="1"/>
  <c r="R1334" i="1"/>
  <c r="Q1334" i="1"/>
  <c r="E1334" i="1"/>
  <c r="D1334" i="1"/>
  <c r="C1334" i="1"/>
  <c r="B1334" i="1"/>
  <c r="R1333" i="1"/>
  <c r="Q1333" i="1"/>
  <c r="E1333" i="1"/>
  <c r="D1333" i="1"/>
  <c r="C1333" i="1"/>
  <c r="B1333" i="1"/>
  <c r="R1332" i="1"/>
  <c r="Q1332" i="1"/>
  <c r="E1332" i="1"/>
  <c r="D1332" i="1"/>
  <c r="C1332" i="1"/>
  <c r="B1332" i="1"/>
  <c r="R1331" i="1"/>
  <c r="Q1331" i="1"/>
  <c r="E1331" i="1"/>
  <c r="D1331" i="1"/>
  <c r="C1331" i="1"/>
  <c r="B1331" i="1"/>
  <c r="S2218" i="1"/>
  <c r="R2218" i="1"/>
  <c r="Q2218" i="1"/>
  <c r="E2218" i="1"/>
  <c r="D2218" i="1"/>
  <c r="C2218" i="1"/>
  <c r="B2218" i="1"/>
  <c r="S2270" i="1"/>
  <c r="R2270" i="1"/>
  <c r="Q2270" i="1"/>
  <c r="E2270" i="1"/>
  <c r="D2270" i="1"/>
  <c r="C2270" i="1"/>
  <c r="B2270" i="1"/>
  <c r="S2269" i="1"/>
  <c r="R2269" i="1"/>
  <c r="Q2269" i="1"/>
  <c r="E2269" i="1"/>
  <c r="D2269" i="1"/>
  <c r="C2269" i="1"/>
  <c r="B2269" i="1"/>
  <c r="B970" i="1"/>
  <c r="S2229" i="1"/>
  <c r="R2229" i="1"/>
  <c r="Q2229" i="1"/>
  <c r="E2229" i="1"/>
  <c r="D2229" i="1"/>
  <c r="C2229" i="1"/>
  <c r="B2229" i="1"/>
  <c r="S1932" i="1"/>
  <c r="R1932" i="1"/>
  <c r="Q1932" i="1"/>
  <c r="E1932" i="1"/>
  <c r="D1932" i="1"/>
  <c r="C1932" i="1"/>
  <c r="B1932" i="1"/>
  <c r="S1931" i="1"/>
  <c r="R1931" i="1"/>
  <c r="Q1931" i="1"/>
  <c r="E1931" i="1"/>
  <c r="D1931" i="1"/>
  <c r="C1931" i="1"/>
  <c r="B1931" i="1"/>
  <c r="S1972" i="1"/>
  <c r="R1972" i="1"/>
  <c r="Q1972" i="1"/>
  <c r="E1972" i="1"/>
  <c r="D1972" i="1"/>
  <c r="C1972" i="1"/>
  <c r="B1972" i="1"/>
  <c r="S1971" i="1"/>
  <c r="R1971" i="1"/>
  <c r="Q1971" i="1"/>
  <c r="E1971" i="1"/>
  <c r="D1971" i="1"/>
  <c r="C1971" i="1"/>
  <c r="B1971" i="1"/>
  <c r="S1970" i="1"/>
  <c r="R1970" i="1"/>
  <c r="Q1970" i="1"/>
  <c r="E1970" i="1"/>
  <c r="D1970" i="1"/>
  <c r="C1970" i="1"/>
  <c r="B1970" i="1"/>
  <c r="S2255" i="1"/>
  <c r="R2255" i="1"/>
  <c r="Q2255" i="1"/>
  <c r="E2255" i="1"/>
  <c r="D2255" i="1"/>
  <c r="C2255" i="1"/>
  <c r="B2255" i="1"/>
  <c r="S2335" i="1"/>
  <c r="R2335" i="1"/>
  <c r="Q2335" i="1"/>
  <c r="E2335" i="1"/>
  <c r="D2335" i="1"/>
  <c r="C2335" i="1"/>
  <c r="B2335" i="1"/>
  <c r="S1930" i="1" l="1"/>
  <c r="R1930" i="1"/>
  <c r="Q1930" i="1"/>
  <c r="E1930" i="1"/>
  <c r="D1930" i="1"/>
  <c r="C1930" i="1"/>
  <c r="B1930" i="1"/>
  <c r="S1929" i="1"/>
  <c r="R1929" i="1"/>
  <c r="Q1929" i="1"/>
  <c r="E1929" i="1"/>
  <c r="D1929" i="1"/>
  <c r="C1929" i="1"/>
  <c r="B1929" i="1"/>
  <c r="S1928" i="1"/>
  <c r="R1928" i="1"/>
  <c r="Q1928" i="1"/>
  <c r="E1928" i="1"/>
  <c r="D1928" i="1"/>
  <c r="C1928" i="1"/>
  <c r="B1928" i="1"/>
  <c r="S1820" i="1"/>
  <c r="R1820" i="1"/>
  <c r="Q1820" i="1"/>
  <c r="E1820" i="1"/>
  <c r="D1820" i="1"/>
  <c r="C1820" i="1"/>
  <c r="B1820" i="1"/>
  <c r="S2268" i="1"/>
  <c r="R2268" i="1"/>
  <c r="Q2268" i="1"/>
  <c r="E2268" i="1"/>
  <c r="D2268" i="1"/>
  <c r="C2268" i="1"/>
  <c r="B2268" i="1"/>
  <c r="R1458" i="1"/>
  <c r="Q1458" i="1"/>
  <c r="E1458" i="1"/>
  <c r="D1458" i="1"/>
  <c r="C1458" i="1"/>
  <c r="B1458" i="1"/>
  <c r="S2374" i="1"/>
  <c r="R2374" i="1"/>
  <c r="Q2374" i="1"/>
  <c r="E2374" i="1"/>
  <c r="D2374" i="1"/>
  <c r="C2374" i="1"/>
  <c r="B2374" i="1"/>
  <c r="R1640" i="1"/>
  <c r="Q1640" i="1"/>
  <c r="E1640" i="1"/>
  <c r="D1640" i="1"/>
  <c r="C1640" i="1"/>
  <c r="B1640" i="1"/>
  <c r="S2069" i="1"/>
  <c r="R2069" i="1"/>
  <c r="Q2069" i="1"/>
  <c r="E2069" i="1"/>
  <c r="D2069" i="1"/>
  <c r="C2069" i="1"/>
  <c r="B2069" i="1"/>
  <c r="S1927" i="1"/>
  <c r="R1927" i="1"/>
  <c r="Q1927" i="1"/>
  <c r="E1927" i="1"/>
  <c r="D1927" i="1"/>
  <c r="C1927" i="1"/>
  <c r="B1927" i="1"/>
  <c r="S1969" i="1"/>
  <c r="R1969" i="1"/>
  <c r="Q1969" i="1"/>
  <c r="E1969" i="1"/>
  <c r="D1969" i="1"/>
  <c r="C1969" i="1"/>
  <c r="B1969" i="1"/>
  <c r="S1968" i="1"/>
  <c r="R1968" i="1"/>
  <c r="Q1968" i="1"/>
  <c r="E1968" i="1"/>
  <c r="D1968" i="1"/>
  <c r="C1968" i="1"/>
  <c r="B1968" i="1"/>
  <c r="S2260" i="1" l="1"/>
  <c r="R2260" i="1"/>
  <c r="Q2260" i="1"/>
  <c r="E2260" i="1"/>
  <c r="D2260" i="1"/>
  <c r="C2260" i="1"/>
  <c r="B2260" i="1"/>
  <c r="S1876" i="1"/>
  <c r="R1876" i="1"/>
  <c r="Q1876" i="1"/>
  <c r="E1876" i="1"/>
  <c r="D1876" i="1"/>
  <c r="C1876" i="1"/>
  <c r="B1876" i="1"/>
  <c r="S1875" i="1"/>
  <c r="R1875" i="1"/>
  <c r="Q1875" i="1"/>
  <c r="E1875" i="1"/>
  <c r="D1875" i="1"/>
  <c r="C1875" i="1"/>
  <c r="B1875" i="1"/>
  <c r="S1874" i="1"/>
  <c r="R1874" i="1"/>
  <c r="Q1874" i="1"/>
  <c r="E1874" i="1"/>
  <c r="D1874" i="1"/>
  <c r="C1874" i="1"/>
  <c r="B1874" i="1"/>
  <c r="S1873" i="1"/>
  <c r="R1873" i="1"/>
  <c r="Q1873" i="1"/>
  <c r="E1873" i="1"/>
  <c r="D1873" i="1"/>
  <c r="C1873" i="1"/>
  <c r="B1873" i="1"/>
  <c r="S1872" i="1"/>
  <c r="R1872" i="1"/>
  <c r="Q1872" i="1"/>
  <c r="E1872" i="1"/>
  <c r="D1872" i="1"/>
  <c r="C1872" i="1"/>
  <c r="B1872" i="1"/>
  <c r="S1871" i="1"/>
  <c r="R1871" i="1"/>
  <c r="Q1871" i="1"/>
  <c r="E1871" i="1"/>
  <c r="D1871" i="1"/>
  <c r="C1871" i="1"/>
  <c r="B1871" i="1"/>
  <c r="S1870" i="1"/>
  <c r="R1870" i="1"/>
  <c r="Q1870" i="1"/>
  <c r="E1870" i="1"/>
  <c r="D1870" i="1"/>
  <c r="C1870" i="1"/>
  <c r="B1870" i="1"/>
  <c r="R1435" i="1"/>
  <c r="Q1435" i="1"/>
  <c r="E1435" i="1"/>
  <c r="D1435" i="1"/>
  <c r="C1435" i="1"/>
  <c r="B1435" i="1"/>
  <c r="S1967" i="1"/>
  <c r="R1967" i="1"/>
  <c r="Q1967" i="1"/>
  <c r="E1967" i="1"/>
  <c r="D1967" i="1"/>
  <c r="C1967" i="1"/>
  <c r="B1967" i="1"/>
  <c r="S2365" i="1"/>
  <c r="R2365" i="1"/>
  <c r="Q2365" i="1"/>
  <c r="E2365" i="1"/>
  <c r="D2365" i="1"/>
  <c r="C2365" i="1"/>
  <c r="B2365" i="1"/>
  <c r="S2055" i="1"/>
  <c r="R2055" i="1"/>
  <c r="Q2055" i="1"/>
  <c r="E2055" i="1"/>
  <c r="D2055" i="1"/>
  <c r="C2055" i="1"/>
  <c r="B2055" i="1"/>
  <c r="S2267" i="1"/>
  <c r="R2267" i="1"/>
  <c r="Q2267" i="1"/>
  <c r="E2267" i="1"/>
  <c r="D2267" i="1"/>
  <c r="C2267" i="1"/>
  <c r="B2267" i="1"/>
  <c r="S2077" i="1"/>
  <c r="R2077" i="1"/>
  <c r="Q2077" i="1"/>
  <c r="E2077" i="1"/>
  <c r="D2077" i="1"/>
  <c r="C2077" i="1"/>
  <c r="B2077" i="1"/>
  <c r="I2239" i="1"/>
  <c r="S2234" i="1"/>
  <c r="R2234" i="1"/>
  <c r="Q2234" i="1"/>
  <c r="E2234" i="1"/>
  <c r="D2234" i="1"/>
  <c r="C2234" i="1"/>
  <c r="B2234" i="1"/>
  <c r="S2085" i="1" l="1"/>
  <c r="R2085" i="1"/>
  <c r="Q2085" i="1"/>
  <c r="E2085" i="1"/>
  <c r="D2085" i="1"/>
  <c r="C2085" i="1"/>
  <c r="B2085" i="1"/>
  <c r="S2382" i="1"/>
  <c r="R2382" i="1"/>
  <c r="Q2382" i="1"/>
  <c r="E2382" i="1"/>
  <c r="D2382" i="1"/>
  <c r="C2382" i="1"/>
  <c r="B2382" i="1"/>
  <c r="S2381" i="1"/>
  <c r="R2381" i="1"/>
  <c r="Q2381" i="1"/>
  <c r="E2381" i="1"/>
  <c r="D2381" i="1"/>
  <c r="C2381" i="1"/>
  <c r="B2381" i="1"/>
  <c r="S2334" i="1"/>
  <c r="R2334" i="1"/>
  <c r="Q2334" i="1"/>
  <c r="E2334" i="1"/>
  <c r="D2334" i="1"/>
  <c r="C2334" i="1"/>
  <c r="B2334" i="1"/>
  <c r="B2439" i="1" l="1"/>
  <c r="S2439" i="1"/>
  <c r="Q2095" i="1" l="1"/>
  <c r="R2095" i="1"/>
  <c r="S2095" i="1"/>
  <c r="B2095" i="1"/>
  <c r="C2095" i="1"/>
  <c r="D2095" i="1"/>
  <c r="E2095" i="1"/>
  <c r="B968" i="1"/>
  <c r="B969" i="1"/>
  <c r="R1186" i="1" l="1"/>
  <c r="Q1186" i="1"/>
  <c r="E1186" i="1"/>
  <c r="D1186" i="1"/>
  <c r="C1186" i="1"/>
  <c r="B1186" i="1"/>
  <c r="S2290" i="1"/>
  <c r="R2290" i="1"/>
  <c r="Q2290" i="1"/>
  <c r="E2290" i="1"/>
  <c r="D2290" i="1"/>
  <c r="C2290" i="1"/>
  <c r="B2290" i="1"/>
  <c r="R1625" i="1"/>
  <c r="Q1625" i="1"/>
  <c r="E1625" i="1"/>
  <c r="D1625" i="1"/>
  <c r="C1625" i="1"/>
  <c r="B1625" i="1"/>
  <c r="S1926" i="1"/>
  <c r="R1926" i="1"/>
  <c r="Q1926" i="1"/>
  <c r="E1926" i="1"/>
  <c r="D1926" i="1"/>
  <c r="C1926" i="1"/>
  <c r="B1926" i="1"/>
  <c r="R1666" i="1"/>
  <c r="Q1666" i="1"/>
  <c r="E1666" i="1"/>
  <c r="D1666" i="1"/>
  <c r="C1666" i="1"/>
  <c r="B1666" i="1"/>
  <c r="R1626" i="1"/>
  <c r="Q1626" i="1"/>
  <c r="E1626" i="1"/>
  <c r="D1626" i="1"/>
  <c r="C1626" i="1"/>
  <c r="B1626" i="1"/>
  <c r="R1624" i="1"/>
  <c r="Q1624" i="1"/>
  <c r="E1624" i="1"/>
  <c r="D1624" i="1"/>
  <c r="C1624" i="1"/>
  <c r="B1624" i="1"/>
  <c r="R1623" i="1"/>
  <c r="Q1623" i="1"/>
  <c r="E1623" i="1"/>
  <c r="D1623" i="1"/>
  <c r="C1623" i="1"/>
  <c r="B1623" i="1"/>
  <c r="R1622" i="1"/>
  <c r="Q1622" i="1"/>
  <c r="E1622" i="1"/>
  <c r="D1622" i="1"/>
  <c r="C1622" i="1"/>
  <c r="B1622" i="1"/>
  <c r="R1621" i="1"/>
  <c r="Q1621" i="1"/>
  <c r="E1621" i="1"/>
  <c r="D1621" i="1"/>
  <c r="C1621" i="1"/>
  <c r="B1621" i="1"/>
  <c r="R1620" i="1"/>
  <c r="Q1620" i="1"/>
  <c r="E1620" i="1"/>
  <c r="D1620" i="1"/>
  <c r="C1620" i="1"/>
  <c r="B1620" i="1"/>
  <c r="S2104" i="1"/>
  <c r="R2104" i="1"/>
  <c r="Q2104" i="1"/>
  <c r="E2104" i="1"/>
  <c r="D2104" i="1"/>
  <c r="C2104" i="1"/>
  <c r="B2104" i="1"/>
  <c r="R1619" i="1" l="1"/>
  <c r="Q1619" i="1"/>
  <c r="E1619" i="1"/>
  <c r="D1619" i="1"/>
  <c r="C1619" i="1"/>
  <c r="B1619" i="1"/>
  <c r="R1618" i="1"/>
  <c r="Q1618" i="1"/>
  <c r="E1618" i="1"/>
  <c r="D1618" i="1"/>
  <c r="C1618" i="1"/>
  <c r="B1618" i="1"/>
  <c r="S1822" i="1" l="1"/>
  <c r="R1822" i="1"/>
  <c r="Q1822" i="1"/>
  <c r="E1822" i="1"/>
  <c r="D1822" i="1"/>
  <c r="C1822" i="1"/>
  <c r="B1822" i="1"/>
  <c r="R1639" i="1"/>
  <c r="Q1639" i="1"/>
  <c r="E1639" i="1"/>
  <c r="D1639" i="1"/>
  <c r="C1639" i="1"/>
  <c r="B1639" i="1"/>
  <c r="R1617" i="1"/>
  <c r="Q1617" i="1"/>
  <c r="E1617" i="1"/>
  <c r="D1617" i="1"/>
  <c r="C1617" i="1"/>
  <c r="B1617" i="1"/>
  <c r="R1616" i="1"/>
  <c r="Q1616" i="1"/>
  <c r="E1616" i="1"/>
  <c r="D1616" i="1"/>
  <c r="C1616" i="1"/>
  <c r="B1616" i="1"/>
  <c r="R1615" i="1"/>
  <c r="Q1615" i="1"/>
  <c r="E1615" i="1"/>
  <c r="D1615" i="1"/>
  <c r="C1615" i="1"/>
  <c r="B1615" i="1"/>
  <c r="R1614" i="1"/>
  <c r="Q1614" i="1"/>
  <c r="E1614" i="1"/>
  <c r="D1614" i="1"/>
  <c r="C1614" i="1"/>
  <c r="B1614" i="1"/>
  <c r="R1613" i="1"/>
  <c r="Q1613" i="1"/>
  <c r="E1613" i="1"/>
  <c r="D1613" i="1"/>
  <c r="C1613" i="1"/>
  <c r="B1613" i="1"/>
  <c r="R1612" i="1"/>
  <c r="Q1612" i="1"/>
  <c r="E1612" i="1"/>
  <c r="D1612" i="1"/>
  <c r="C1612" i="1"/>
  <c r="B1612" i="1"/>
  <c r="R1638" i="1"/>
  <c r="Q1638" i="1"/>
  <c r="E1638" i="1"/>
  <c r="D1638" i="1"/>
  <c r="C1638" i="1"/>
  <c r="B1638" i="1"/>
  <c r="R1637" i="1"/>
  <c r="Q1637" i="1"/>
  <c r="E1637" i="1"/>
  <c r="D1637" i="1"/>
  <c r="C1637" i="1"/>
  <c r="B1637" i="1"/>
  <c r="R1611" i="1"/>
  <c r="Q1611" i="1"/>
  <c r="E1611" i="1"/>
  <c r="D1611" i="1"/>
  <c r="C1611" i="1"/>
  <c r="B1611" i="1"/>
  <c r="R1610" i="1"/>
  <c r="Q1610" i="1"/>
  <c r="E1610" i="1"/>
  <c r="D1610" i="1"/>
  <c r="C1610" i="1"/>
  <c r="B1610" i="1"/>
  <c r="R1609" i="1"/>
  <c r="Q1609" i="1"/>
  <c r="E1609" i="1"/>
  <c r="D1609" i="1"/>
  <c r="C1609" i="1"/>
  <c r="B1609" i="1"/>
  <c r="S2372" i="1" l="1"/>
  <c r="R2372" i="1"/>
  <c r="Q2372" i="1"/>
  <c r="E2372" i="1"/>
  <c r="D2372" i="1"/>
  <c r="C2372" i="1"/>
  <c r="B2372" i="1"/>
  <c r="S2266" i="1"/>
  <c r="R2266" i="1"/>
  <c r="Q2266" i="1"/>
  <c r="E2266" i="1"/>
  <c r="D2266" i="1"/>
  <c r="C2266" i="1"/>
  <c r="B2266" i="1"/>
  <c r="R1636" i="1"/>
  <c r="Q1636" i="1"/>
  <c r="E1636" i="1"/>
  <c r="D1636" i="1"/>
  <c r="C1636" i="1"/>
  <c r="B1636" i="1"/>
  <c r="R1635" i="1"/>
  <c r="Q1635" i="1"/>
  <c r="E1635" i="1"/>
  <c r="D1635" i="1"/>
  <c r="C1635" i="1"/>
  <c r="B1635" i="1"/>
  <c r="R1608" i="1"/>
  <c r="Q1608" i="1"/>
  <c r="E1608" i="1"/>
  <c r="D1608" i="1"/>
  <c r="C1608" i="1"/>
  <c r="B1608" i="1"/>
  <c r="R1607" i="1"/>
  <c r="Q1607" i="1"/>
  <c r="E1607" i="1"/>
  <c r="D1607" i="1"/>
  <c r="C1607" i="1"/>
  <c r="B1607" i="1"/>
  <c r="R1606" i="1"/>
  <c r="Q1606" i="1"/>
  <c r="E1606" i="1"/>
  <c r="D1606" i="1"/>
  <c r="C1606" i="1"/>
  <c r="B1606" i="1"/>
  <c r="R1605" i="1"/>
  <c r="Q1605" i="1"/>
  <c r="E1605" i="1"/>
  <c r="D1605" i="1"/>
  <c r="C1605" i="1"/>
  <c r="B1605" i="1"/>
  <c r="R1604" i="1"/>
  <c r="Q1604" i="1"/>
  <c r="E1604" i="1"/>
  <c r="D1604" i="1"/>
  <c r="C1604" i="1"/>
  <c r="B1604" i="1"/>
  <c r="R1603" i="1"/>
  <c r="Q1603" i="1"/>
  <c r="E1603" i="1"/>
  <c r="D1603" i="1"/>
  <c r="C1603" i="1"/>
  <c r="B1603" i="1"/>
  <c r="R1602" i="1"/>
  <c r="Q1602" i="1"/>
  <c r="E1602" i="1"/>
  <c r="D1602" i="1"/>
  <c r="C1602" i="1"/>
  <c r="B1602" i="1"/>
  <c r="S1783" i="1" l="1"/>
  <c r="R1783" i="1"/>
  <c r="Q1783" i="1"/>
  <c r="E1783" i="1"/>
  <c r="D1783" i="1"/>
  <c r="C1783" i="1"/>
  <c r="B1783" i="1"/>
  <c r="R1634" i="1"/>
  <c r="Q1634" i="1"/>
  <c r="E1634" i="1"/>
  <c r="D1634" i="1"/>
  <c r="C1634" i="1"/>
  <c r="B1634" i="1"/>
  <c r="R1601" i="1"/>
  <c r="Q1601" i="1"/>
  <c r="E1601" i="1"/>
  <c r="D1601" i="1"/>
  <c r="C1601" i="1"/>
  <c r="B1601" i="1"/>
  <c r="R1600" i="1"/>
  <c r="Q1600" i="1"/>
  <c r="E1600" i="1"/>
  <c r="D1600" i="1"/>
  <c r="C1600" i="1"/>
  <c r="B1600" i="1"/>
  <c r="S1925" i="1"/>
  <c r="R1925" i="1"/>
  <c r="Q1925" i="1"/>
  <c r="E1925" i="1"/>
  <c r="D1925" i="1"/>
  <c r="C1925" i="1"/>
  <c r="B1925" i="1"/>
  <c r="S1924" i="1"/>
  <c r="R1924" i="1"/>
  <c r="Q1924" i="1"/>
  <c r="E1924" i="1"/>
  <c r="D1924" i="1"/>
  <c r="C1924" i="1"/>
  <c r="B1924" i="1"/>
  <c r="S1923" i="1"/>
  <c r="R1923" i="1"/>
  <c r="Q1923" i="1"/>
  <c r="E1923" i="1"/>
  <c r="D1923" i="1"/>
  <c r="C1923" i="1"/>
  <c r="B1923" i="1"/>
  <c r="S1816" i="1"/>
  <c r="R1816" i="1"/>
  <c r="Q1816" i="1"/>
  <c r="E1816" i="1"/>
  <c r="D1816" i="1"/>
  <c r="C1816" i="1"/>
  <c r="B1816" i="1"/>
  <c r="S2203" i="1"/>
  <c r="R2203" i="1"/>
  <c r="Q2203" i="1"/>
  <c r="E2203" i="1"/>
  <c r="D2203" i="1"/>
  <c r="C2203" i="1"/>
  <c r="B2203" i="1"/>
  <c r="S2202" i="1"/>
  <c r="R2202" i="1"/>
  <c r="Q2202" i="1"/>
  <c r="E2202" i="1"/>
  <c r="D2202" i="1"/>
  <c r="C2202" i="1"/>
  <c r="B2202" i="1"/>
  <c r="S2201" i="1"/>
  <c r="R2201" i="1"/>
  <c r="Q2201" i="1"/>
  <c r="E2201" i="1"/>
  <c r="D2201" i="1"/>
  <c r="C2201" i="1"/>
  <c r="B2201" i="1"/>
  <c r="S2177" i="1"/>
  <c r="R2177" i="1"/>
  <c r="Q2177" i="1"/>
  <c r="E2177" i="1"/>
  <c r="D2177" i="1"/>
  <c r="C2177" i="1"/>
  <c r="B2177" i="1"/>
  <c r="S2176" i="1"/>
  <c r="R2176" i="1"/>
  <c r="Q2176" i="1"/>
  <c r="E2176" i="1"/>
  <c r="D2176" i="1"/>
  <c r="C2176" i="1"/>
  <c r="B2176" i="1"/>
  <c r="S2175" i="1"/>
  <c r="R2175" i="1"/>
  <c r="Q2175" i="1"/>
  <c r="E2175" i="1"/>
  <c r="D2175" i="1"/>
  <c r="C2175" i="1"/>
  <c r="B2175" i="1"/>
  <c r="R1330" i="1"/>
  <c r="Q1330" i="1"/>
  <c r="E1330" i="1"/>
  <c r="D1330" i="1"/>
  <c r="C1330" i="1"/>
  <c r="B1330" i="1"/>
  <c r="S1922" i="1"/>
  <c r="R1922" i="1"/>
  <c r="Q1922" i="1"/>
  <c r="E1922" i="1"/>
  <c r="D1922" i="1"/>
  <c r="C1922" i="1"/>
  <c r="B1922" i="1"/>
  <c r="I2340" i="1"/>
  <c r="J2339" i="1"/>
  <c r="J2340" i="1" s="1"/>
  <c r="S2341" i="1"/>
  <c r="R2341" i="1"/>
  <c r="Q2341" i="1"/>
  <c r="E2341" i="1"/>
  <c r="D2341" i="1"/>
  <c r="C2341" i="1"/>
  <c r="B2341" i="1"/>
  <c r="S2340" i="1"/>
  <c r="R2340" i="1"/>
  <c r="Q2340" i="1"/>
  <c r="E2340" i="1"/>
  <c r="D2340" i="1"/>
  <c r="C2340" i="1"/>
  <c r="B2340" i="1"/>
  <c r="S1821" i="1"/>
  <c r="R1821" i="1"/>
  <c r="Q1821" i="1"/>
  <c r="E1821" i="1"/>
  <c r="D1821" i="1"/>
  <c r="C1821" i="1"/>
  <c r="B1821" i="1"/>
  <c r="S2264" i="1"/>
  <c r="R2264" i="1"/>
  <c r="Q2264" i="1"/>
  <c r="E2264" i="1"/>
  <c r="D2264" i="1"/>
  <c r="C2264" i="1"/>
  <c r="B2264" i="1"/>
  <c r="S2263" i="1"/>
  <c r="R2263" i="1"/>
  <c r="Q2263" i="1"/>
  <c r="E2263" i="1"/>
  <c r="D2263" i="1"/>
  <c r="C2263" i="1"/>
  <c r="B2263" i="1"/>
  <c r="S1869" i="1"/>
  <c r="R1869" i="1"/>
  <c r="Q1869" i="1"/>
  <c r="E1869" i="1"/>
  <c r="D1869" i="1"/>
  <c r="C1869" i="1"/>
  <c r="B1869" i="1"/>
  <c r="S1868" i="1"/>
  <c r="R1868" i="1"/>
  <c r="Q1868" i="1"/>
  <c r="E1868" i="1"/>
  <c r="D1868" i="1"/>
  <c r="C1868" i="1"/>
  <c r="B1868" i="1"/>
  <c r="S1921" i="1"/>
  <c r="R1921" i="1"/>
  <c r="Q1921" i="1"/>
  <c r="E1921" i="1"/>
  <c r="D1921" i="1"/>
  <c r="C1921" i="1"/>
  <c r="B1921" i="1"/>
  <c r="S1920" i="1"/>
  <c r="R1920" i="1"/>
  <c r="Q1920" i="1"/>
  <c r="E1920" i="1"/>
  <c r="D1920" i="1"/>
  <c r="C1920" i="1"/>
  <c r="B1920" i="1"/>
  <c r="D873" i="1"/>
  <c r="D749" i="1"/>
  <c r="D634" i="1"/>
  <c r="D521" i="1"/>
  <c r="D400" i="1"/>
  <c r="D399" i="1"/>
  <c r="D178" i="1"/>
  <c r="R1329" i="1" l="1"/>
  <c r="Q1329" i="1"/>
  <c r="E1329" i="1"/>
  <c r="D1329" i="1"/>
  <c r="C1329" i="1"/>
  <c r="B1329" i="1"/>
  <c r="R1328" i="1"/>
  <c r="Q1328" i="1"/>
  <c r="E1328" i="1"/>
  <c r="D1328" i="1"/>
  <c r="C1328" i="1"/>
  <c r="B1328" i="1"/>
  <c r="R1327" i="1"/>
  <c r="Q1327" i="1"/>
  <c r="E1327" i="1"/>
  <c r="D1327" i="1"/>
  <c r="C1327" i="1"/>
  <c r="B1327" i="1"/>
  <c r="R1326" i="1"/>
  <c r="Q1326" i="1"/>
  <c r="E1326" i="1"/>
  <c r="D1326" i="1"/>
  <c r="C1326" i="1"/>
  <c r="B1326" i="1"/>
  <c r="R1325" i="1"/>
  <c r="Q1325" i="1"/>
  <c r="E1325" i="1"/>
  <c r="D1325" i="1"/>
  <c r="C1325" i="1"/>
  <c r="B1325" i="1"/>
  <c r="R1324" i="1"/>
  <c r="Q1324" i="1"/>
  <c r="E1324" i="1"/>
  <c r="D1324" i="1"/>
  <c r="C1324" i="1"/>
  <c r="B1324" i="1"/>
  <c r="S1867" i="1"/>
  <c r="R1867" i="1"/>
  <c r="Q1867" i="1"/>
  <c r="E1867" i="1"/>
  <c r="D1867" i="1"/>
  <c r="C1867" i="1"/>
  <c r="B1867" i="1"/>
  <c r="S1866" i="1"/>
  <c r="R1866" i="1"/>
  <c r="Q1866" i="1"/>
  <c r="E1866" i="1"/>
  <c r="D1866" i="1"/>
  <c r="C1866" i="1"/>
  <c r="B1866" i="1"/>
  <c r="S1865" i="1"/>
  <c r="R1865" i="1"/>
  <c r="Q1865" i="1"/>
  <c r="E1865" i="1"/>
  <c r="D1865" i="1"/>
  <c r="C1865" i="1"/>
  <c r="B1865" i="1"/>
  <c r="R1598" i="1"/>
  <c r="Q1598" i="1"/>
  <c r="E1598" i="1"/>
  <c r="D1598" i="1"/>
  <c r="C1598" i="1"/>
  <c r="B1598" i="1"/>
  <c r="S2129" i="1"/>
  <c r="R2129" i="1"/>
  <c r="Q2129" i="1"/>
  <c r="E2129" i="1"/>
  <c r="D2129" i="1"/>
  <c r="C2129" i="1"/>
  <c r="B2129" i="1"/>
  <c r="S1965" i="1"/>
  <c r="R1965" i="1"/>
  <c r="Q1965" i="1"/>
  <c r="E1965" i="1"/>
  <c r="D1965" i="1"/>
  <c r="C1965" i="1"/>
  <c r="B1965" i="1"/>
  <c r="S2164" i="1"/>
  <c r="R2164" i="1"/>
  <c r="Q2164" i="1"/>
  <c r="E2164" i="1"/>
  <c r="D2164" i="1"/>
  <c r="C2164" i="1"/>
  <c r="B2164" i="1"/>
  <c r="S2118" i="1"/>
  <c r="R2118" i="1"/>
  <c r="Q2118" i="1"/>
  <c r="E2118" i="1"/>
  <c r="D2118" i="1"/>
  <c r="C2118" i="1"/>
  <c r="B2118" i="1"/>
  <c r="C632" i="1"/>
  <c r="S2010" i="1" l="1"/>
  <c r="R2010" i="1"/>
  <c r="Q2010" i="1"/>
  <c r="E2010" i="1"/>
  <c r="D2010" i="1"/>
  <c r="C2010" i="1"/>
  <c r="B2010" i="1"/>
  <c r="S2054" i="1"/>
  <c r="R2054" i="1"/>
  <c r="Q2054" i="1"/>
  <c r="E2054" i="1"/>
  <c r="D2054" i="1"/>
  <c r="C2054" i="1"/>
  <c r="B2054" i="1"/>
  <c r="S2053" i="1"/>
  <c r="R2053" i="1"/>
  <c r="Q2053" i="1"/>
  <c r="E2053" i="1"/>
  <c r="D2053" i="1"/>
  <c r="C2053" i="1"/>
  <c r="B2053" i="1"/>
  <c r="S2262" i="1"/>
  <c r="R2262" i="1"/>
  <c r="Q2262" i="1"/>
  <c r="E2262" i="1"/>
  <c r="D2262" i="1"/>
  <c r="C2262" i="1"/>
  <c r="B2262" i="1"/>
  <c r="R1434" i="1"/>
  <c r="Q1434" i="1"/>
  <c r="E1434" i="1"/>
  <c r="D1434" i="1"/>
  <c r="C1434" i="1"/>
  <c r="B1434" i="1"/>
  <c r="S1919" i="1"/>
  <c r="R1919" i="1"/>
  <c r="Q1919" i="1"/>
  <c r="E1919" i="1"/>
  <c r="D1919" i="1"/>
  <c r="C1919" i="1"/>
  <c r="B1919" i="1"/>
  <c r="R1457" i="1" l="1"/>
  <c r="Q1457" i="1"/>
  <c r="E1457" i="1"/>
  <c r="D1457" i="1"/>
  <c r="C1457" i="1"/>
  <c r="B1457" i="1"/>
  <c r="S2265" i="1"/>
  <c r="R2265" i="1"/>
  <c r="Q2265" i="1"/>
  <c r="E2265" i="1"/>
  <c r="D2265" i="1"/>
  <c r="C2265" i="1"/>
  <c r="B2265" i="1"/>
  <c r="S1864" i="1"/>
  <c r="R1864" i="1"/>
  <c r="Q1864" i="1"/>
  <c r="E1864" i="1"/>
  <c r="D1864" i="1"/>
  <c r="C1864" i="1"/>
  <c r="B1864" i="1"/>
  <c r="S1863" i="1"/>
  <c r="R1863" i="1"/>
  <c r="Q1863" i="1"/>
  <c r="E1863" i="1"/>
  <c r="D1863" i="1"/>
  <c r="C1863" i="1"/>
  <c r="B1863" i="1"/>
  <c r="S1918" i="1"/>
  <c r="R1918" i="1"/>
  <c r="Q1918" i="1"/>
  <c r="E1918" i="1"/>
  <c r="D1918" i="1"/>
  <c r="C1918" i="1"/>
  <c r="B1918" i="1"/>
  <c r="S1917" i="1"/>
  <c r="R1917" i="1"/>
  <c r="Q1917" i="1"/>
  <c r="E1917" i="1"/>
  <c r="D1917" i="1"/>
  <c r="C1917" i="1"/>
  <c r="B1917" i="1"/>
  <c r="S1862" i="1"/>
  <c r="R1862" i="1"/>
  <c r="Q1862" i="1"/>
  <c r="E1862" i="1"/>
  <c r="D1862" i="1"/>
  <c r="C1862" i="1"/>
  <c r="B1862" i="1"/>
  <c r="S1861" i="1"/>
  <c r="R1861" i="1"/>
  <c r="Q1861" i="1"/>
  <c r="E1861" i="1"/>
  <c r="D1861" i="1"/>
  <c r="C1861" i="1"/>
  <c r="B1861" i="1"/>
  <c r="S1916" i="1"/>
  <c r="R1916" i="1"/>
  <c r="Q1916" i="1"/>
  <c r="E1916" i="1"/>
  <c r="D1916" i="1"/>
  <c r="C1916" i="1"/>
  <c r="B1916" i="1"/>
  <c r="S2333" i="1" l="1"/>
  <c r="R2333" i="1"/>
  <c r="Q2333" i="1"/>
  <c r="E2333" i="1"/>
  <c r="D2333" i="1"/>
  <c r="C2333" i="1"/>
  <c r="B2333" i="1"/>
  <c r="R1323" i="1"/>
  <c r="Q1323" i="1"/>
  <c r="E1323" i="1"/>
  <c r="D1323" i="1"/>
  <c r="C1323" i="1"/>
  <c r="B1323" i="1"/>
  <c r="R1372" i="1"/>
  <c r="Q1372" i="1"/>
  <c r="E1372" i="1"/>
  <c r="D1372" i="1"/>
  <c r="C1372" i="1"/>
  <c r="B1372" i="1"/>
  <c r="R1393" i="1" l="1"/>
  <c r="Q1393" i="1"/>
  <c r="E1393" i="1"/>
  <c r="D1393" i="1"/>
  <c r="C1393" i="1"/>
  <c r="B1393" i="1"/>
  <c r="R1371" i="1"/>
  <c r="Q1371" i="1"/>
  <c r="E1371" i="1"/>
  <c r="D1371" i="1"/>
  <c r="C1371" i="1"/>
  <c r="B1371" i="1"/>
  <c r="R1370" i="1"/>
  <c r="Q1370" i="1"/>
  <c r="E1370" i="1"/>
  <c r="D1370" i="1"/>
  <c r="C1370" i="1"/>
  <c r="B1370" i="1"/>
  <c r="R1369" i="1"/>
  <c r="Q1369" i="1"/>
  <c r="E1369" i="1"/>
  <c r="D1369" i="1"/>
  <c r="C1369" i="1"/>
  <c r="B1369" i="1"/>
  <c r="B967" i="1"/>
  <c r="S1964" i="1"/>
  <c r="R1964" i="1"/>
  <c r="Q1964" i="1"/>
  <c r="E1964" i="1"/>
  <c r="D1964" i="1"/>
  <c r="C1964" i="1"/>
  <c r="B1964" i="1"/>
  <c r="R1321" i="1"/>
  <c r="Q1321" i="1"/>
  <c r="E1321" i="1"/>
  <c r="D1321" i="1"/>
  <c r="C1321" i="1"/>
  <c r="B1321" i="1"/>
  <c r="R1320" i="1"/>
  <c r="Q1320" i="1"/>
  <c r="E1320" i="1"/>
  <c r="D1320" i="1"/>
  <c r="C1320" i="1"/>
  <c r="B1320" i="1"/>
  <c r="R1319" i="1"/>
  <c r="Q1319" i="1"/>
  <c r="E1319" i="1"/>
  <c r="D1319" i="1"/>
  <c r="C1319" i="1"/>
  <c r="B1319" i="1"/>
  <c r="R1318" i="1"/>
  <c r="Q1318" i="1"/>
  <c r="E1318" i="1"/>
  <c r="D1318" i="1"/>
  <c r="C1318" i="1"/>
  <c r="B1318" i="1"/>
  <c r="R1317" i="1"/>
  <c r="Q1317" i="1"/>
  <c r="E1317" i="1"/>
  <c r="D1317" i="1"/>
  <c r="C1317" i="1"/>
  <c r="B1317" i="1"/>
  <c r="R1316" i="1"/>
  <c r="Q1316" i="1"/>
  <c r="E1316" i="1"/>
  <c r="D1316" i="1"/>
  <c r="C1316" i="1"/>
  <c r="B1316" i="1"/>
  <c r="R1315" i="1"/>
  <c r="Q1315" i="1"/>
  <c r="E1315" i="1"/>
  <c r="D1315" i="1"/>
  <c r="C1315" i="1"/>
  <c r="B1315" i="1"/>
  <c r="R1314" i="1"/>
  <c r="Q1314" i="1"/>
  <c r="E1314" i="1"/>
  <c r="D1314" i="1"/>
  <c r="C1314" i="1"/>
  <c r="B1314" i="1"/>
  <c r="R1313" i="1"/>
  <c r="Q1313" i="1"/>
  <c r="E1313" i="1"/>
  <c r="D1313" i="1"/>
  <c r="C1313" i="1"/>
  <c r="B1313" i="1"/>
  <c r="R1312" i="1"/>
  <c r="Q1312" i="1"/>
  <c r="E1312" i="1"/>
  <c r="D1312" i="1"/>
  <c r="C1312" i="1"/>
  <c r="B1312" i="1"/>
  <c r="R1311" i="1"/>
  <c r="Q1311" i="1"/>
  <c r="E1311" i="1"/>
  <c r="D1311" i="1"/>
  <c r="C1311" i="1"/>
  <c r="B1311" i="1"/>
  <c r="R1310" i="1"/>
  <c r="Q1310" i="1"/>
  <c r="E1310" i="1"/>
  <c r="D1310" i="1"/>
  <c r="C1310" i="1"/>
  <c r="B1310" i="1"/>
  <c r="R1309" i="1"/>
  <c r="Q1309" i="1"/>
  <c r="E1309" i="1"/>
  <c r="D1309" i="1"/>
  <c r="C1309" i="1"/>
  <c r="B1309" i="1"/>
  <c r="R1308" i="1"/>
  <c r="Q1308" i="1"/>
  <c r="E1308" i="1"/>
  <c r="D1308" i="1"/>
  <c r="C1308" i="1"/>
  <c r="B1308" i="1"/>
  <c r="B966" i="1"/>
  <c r="R1185" i="1"/>
  <c r="Q1185" i="1"/>
  <c r="E1185" i="1"/>
  <c r="D1185" i="1"/>
  <c r="C1185" i="1"/>
  <c r="B1185" i="1"/>
  <c r="S1915" i="1"/>
  <c r="R1915" i="1"/>
  <c r="Q1915" i="1"/>
  <c r="E1915" i="1"/>
  <c r="D1915" i="1"/>
  <c r="C1915" i="1"/>
  <c r="B1915" i="1"/>
  <c r="S1914" i="1"/>
  <c r="R1914" i="1"/>
  <c r="Q1914" i="1"/>
  <c r="E1914" i="1"/>
  <c r="D1914" i="1"/>
  <c r="C1914" i="1"/>
  <c r="B1914" i="1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2116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1833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9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1019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1191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10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245" i="1"/>
  <c r="B1184" i="1"/>
  <c r="B2157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22" i="1"/>
  <c r="B1368" i="1"/>
  <c r="B1394" i="1"/>
  <c r="B1395" i="1"/>
  <c r="B1396" i="1"/>
  <c r="B1183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2297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62" i="1"/>
  <c r="B1463" i="1"/>
  <c r="B1464" i="1"/>
  <c r="B1467" i="1"/>
  <c r="B1726" i="1"/>
  <c r="B1470" i="1"/>
  <c r="B1471" i="1"/>
  <c r="B1472" i="1"/>
  <c r="B1473" i="1"/>
  <c r="B2237" i="1"/>
  <c r="B1479" i="1"/>
  <c r="B1480" i="1"/>
  <c r="B1481" i="1"/>
  <c r="B1482" i="1"/>
  <c r="B2140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9" i="1"/>
  <c r="B1627" i="1"/>
  <c r="B1628" i="1"/>
  <c r="B1629" i="1"/>
  <c r="B1630" i="1"/>
  <c r="B1631" i="1"/>
  <c r="B1632" i="1"/>
  <c r="B1633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232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97" i="1"/>
  <c r="B1798" i="1"/>
  <c r="B1799" i="1"/>
  <c r="B1800" i="1"/>
  <c r="B1801" i="1"/>
  <c r="B1806" i="1"/>
  <c r="B1807" i="1"/>
  <c r="B1808" i="1"/>
  <c r="B1809" i="1"/>
  <c r="B1810" i="1"/>
  <c r="B1811" i="1"/>
  <c r="B1812" i="1"/>
  <c r="B1813" i="1"/>
  <c r="B1814" i="1"/>
  <c r="B1815" i="1"/>
  <c r="B1817" i="1"/>
  <c r="B1818" i="1"/>
  <c r="B1819" i="1"/>
  <c r="B1832" i="1"/>
  <c r="B141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6" i="1"/>
  <c r="B2007" i="1"/>
  <c r="B2008" i="1"/>
  <c r="B2009" i="1"/>
  <c r="B2011" i="1"/>
  <c r="B2012" i="1"/>
  <c r="B2013" i="1"/>
  <c r="B2014" i="1"/>
  <c r="B2015" i="1"/>
  <c r="B2016" i="1"/>
  <c r="B2017" i="1"/>
  <c r="B2018" i="1"/>
  <c r="B2036" i="1"/>
  <c r="B2037" i="1"/>
  <c r="B2038" i="1"/>
  <c r="B2039" i="1"/>
  <c r="B2040" i="1"/>
  <c r="B2041" i="1"/>
  <c r="B2042" i="1"/>
  <c r="B2043" i="1"/>
  <c r="B1477" i="1"/>
  <c r="B2048" i="1"/>
  <c r="B2049" i="1"/>
  <c r="B2050" i="1"/>
  <c r="B2051" i="1"/>
  <c r="B2052" i="1"/>
  <c r="B2056" i="1"/>
  <c r="B2057" i="1"/>
  <c r="B1485" i="1"/>
  <c r="B2063" i="1"/>
  <c r="B2064" i="1"/>
  <c r="B2065" i="1"/>
  <c r="B2066" i="1"/>
  <c r="B2067" i="1"/>
  <c r="B2068" i="1"/>
  <c r="B2073" i="1"/>
  <c r="B2074" i="1"/>
  <c r="B2075" i="1"/>
  <c r="B2076" i="1"/>
  <c r="B2082" i="1"/>
  <c r="B2083" i="1"/>
  <c r="B2084" i="1"/>
  <c r="B2090" i="1"/>
  <c r="B2091" i="1"/>
  <c r="B2092" i="1"/>
  <c r="B2093" i="1"/>
  <c r="B2094" i="1"/>
  <c r="B2100" i="1"/>
  <c r="B2101" i="1"/>
  <c r="B2102" i="1"/>
  <c r="B2103" i="1"/>
  <c r="B2108" i="1"/>
  <c r="B2109" i="1"/>
  <c r="B2110" i="1"/>
  <c r="B2111" i="1"/>
  <c r="B2115" i="1"/>
  <c r="B2223" i="1"/>
  <c r="B2117" i="1"/>
  <c r="B2123" i="1"/>
  <c r="B2124" i="1"/>
  <c r="B2125" i="1"/>
  <c r="B2126" i="1"/>
  <c r="B2086" i="1"/>
  <c r="B2130" i="1"/>
  <c r="B2099" i="1"/>
  <c r="B2136" i="1"/>
  <c r="B2137" i="1"/>
  <c r="B2138" i="1"/>
  <c r="B2143" i="1"/>
  <c r="B2144" i="1"/>
  <c r="B2145" i="1"/>
  <c r="B2146" i="1"/>
  <c r="B2147" i="1"/>
  <c r="B2151" i="1"/>
  <c r="B2152" i="1"/>
  <c r="B2153" i="1"/>
  <c r="B977" i="1"/>
  <c r="B2158" i="1"/>
  <c r="B2159" i="1"/>
  <c r="B2160" i="1"/>
  <c r="B2107" i="1"/>
  <c r="B2165" i="1"/>
  <c r="B2166" i="1"/>
  <c r="B2167" i="1"/>
  <c r="B2168" i="1"/>
  <c r="B2169" i="1"/>
  <c r="B2170" i="1"/>
  <c r="B2171" i="1"/>
  <c r="B2172" i="1"/>
  <c r="B2173" i="1"/>
  <c r="B2174" i="1"/>
  <c r="B2178" i="1"/>
  <c r="B2192" i="1"/>
  <c r="B2193" i="1"/>
  <c r="B2194" i="1"/>
  <c r="B2195" i="1"/>
  <c r="B2196" i="1"/>
  <c r="B2197" i="1"/>
  <c r="B2198" i="1"/>
  <c r="B2199" i="1"/>
  <c r="B2200" i="1"/>
  <c r="B2204" i="1"/>
  <c r="B2216" i="1"/>
  <c r="B2217" i="1"/>
  <c r="B2222" i="1"/>
  <c r="B815" i="1"/>
  <c r="B2224" i="1"/>
  <c r="B2225" i="1"/>
  <c r="B2239" i="1"/>
  <c r="B2231" i="1"/>
  <c r="B2232" i="1"/>
  <c r="B2233" i="1"/>
  <c r="B2430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82" i="1"/>
  <c r="B2259" i="1"/>
  <c r="B2261" i="1"/>
  <c r="B2320" i="1"/>
  <c r="B2289" i="1"/>
  <c r="B2291" i="1"/>
  <c r="B2292" i="1"/>
  <c r="B2293" i="1"/>
  <c r="B2294" i="1"/>
  <c r="B2295" i="1"/>
  <c r="B2296" i="1"/>
  <c r="B13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3" i="1"/>
  <c r="B2314" i="1"/>
  <c r="B2315" i="1"/>
  <c r="B2316" i="1"/>
  <c r="B2435" i="1"/>
  <c r="B2323" i="1"/>
  <c r="B2324" i="1"/>
  <c r="B2437" i="1"/>
  <c r="B2329" i="1"/>
  <c r="B2330" i="1"/>
  <c r="B2331" i="1"/>
  <c r="B2332" i="1"/>
  <c r="B2339" i="1"/>
  <c r="B2342" i="1"/>
  <c r="B2355" i="1"/>
  <c r="B2356" i="1"/>
  <c r="B2357" i="1"/>
  <c r="B2358" i="1"/>
  <c r="B2359" i="1"/>
  <c r="B2360" i="1"/>
  <c r="B2361" i="1"/>
  <c r="B2362" i="1"/>
  <c r="B2363" i="1"/>
  <c r="B2364" i="1"/>
  <c r="B2371" i="1"/>
  <c r="B2373" i="1"/>
  <c r="B2380" i="1"/>
  <c r="B2424" i="1"/>
  <c r="B2425" i="1"/>
  <c r="B2426" i="1"/>
  <c r="B2427" i="1"/>
  <c r="B2428" i="1"/>
  <c r="B2429" i="1"/>
  <c r="B2230" i="1"/>
  <c r="B2431" i="1"/>
  <c r="B2432" i="1"/>
  <c r="B2433" i="1"/>
  <c r="B2257" i="1"/>
  <c r="B2438" i="1"/>
  <c r="C1013" i="1" l="1"/>
  <c r="C1014" i="1"/>
  <c r="C1015" i="1"/>
  <c r="C1016" i="1"/>
  <c r="C1017" i="1"/>
  <c r="C1018" i="1"/>
  <c r="C110" i="1"/>
  <c r="C1020" i="1"/>
  <c r="C1021" i="1"/>
  <c r="C1022" i="1"/>
  <c r="C1023" i="1"/>
  <c r="C1024" i="1"/>
  <c r="C1025" i="1"/>
  <c r="C1026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6" i="1"/>
  <c r="C1177" i="1"/>
  <c r="C1178" i="1"/>
  <c r="C1179" i="1"/>
  <c r="C1180" i="1"/>
  <c r="C1181" i="1"/>
  <c r="C1182" i="1"/>
  <c r="C245" i="1"/>
  <c r="C1184" i="1"/>
  <c r="C2157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22" i="1"/>
  <c r="C1368" i="1"/>
  <c r="C1394" i="1"/>
  <c r="C1395" i="1"/>
  <c r="C1396" i="1"/>
  <c r="C1183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2297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7" i="1"/>
  <c r="C1428" i="1"/>
  <c r="C1429" i="1"/>
  <c r="C1430" i="1"/>
  <c r="C1431" i="1"/>
  <c r="C1432" i="1"/>
  <c r="C1433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62" i="1"/>
  <c r="C1463" i="1"/>
  <c r="C1464" i="1"/>
  <c r="C1467" i="1"/>
  <c r="C1726" i="1"/>
  <c r="C1470" i="1"/>
  <c r="C1471" i="1"/>
  <c r="C1472" i="1"/>
  <c r="C1473" i="1"/>
  <c r="C2237" i="1"/>
  <c r="C1479" i="1"/>
  <c r="C1480" i="1"/>
  <c r="C1481" i="1"/>
  <c r="C1482" i="1"/>
  <c r="C2140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9" i="1"/>
  <c r="C1627" i="1"/>
  <c r="C1628" i="1"/>
  <c r="C1629" i="1"/>
  <c r="C1630" i="1"/>
  <c r="C1631" i="1"/>
  <c r="C1632" i="1"/>
  <c r="C1633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232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97" i="1"/>
  <c r="C1798" i="1"/>
  <c r="C1799" i="1"/>
  <c r="C1800" i="1"/>
  <c r="C1801" i="1"/>
  <c r="C1806" i="1"/>
  <c r="C1807" i="1"/>
  <c r="C1808" i="1"/>
  <c r="C1809" i="1"/>
  <c r="C1810" i="1"/>
  <c r="C1811" i="1"/>
  <c r="C1812" i="1"/>
  <c r="C1813" i="1"/>
  <c r="C1814" i="1"/>
  <c r="C1815" i="1"/>
  <c r="C1817" i="1"/>
  <c r="C1818" i="1"/>
  <c r="C1819" i="1"/>
  <c r="C1832" i="1"/>
  <c r="C141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6" i="1"/>
  <c r="C2007" i="1"/>
  <c r="C2008" i="1"/>
  <c r="C2009" i="1"/>
  <c r="C2011" i="1"/>
  <c r="C2012" i="1"/>
  <c r="C2013" i="1"/>
  <c r="C2014" i="1"/>
  <c r="C2015" i="1"/>
  <c r="C2016" i="1"/>
  <c r="C2017" i="1"/>
  <c r="C2018" i="1"/>
  <c r="C2036" i="1"/>
  <c r="C2037" i="1"/>
  <c r="C2038" i="1"/>
  <c r="C2039" i="1"/>
  <c r="C2040" i="1"/>
  <c r="C2041" i="1"/>
  <c r="C2042" i="1"/>
  <c r="C2043" i="1"/>
  <c r="C1477" i="1"/>
  <c r="C2048" i="1"/>
  <c r="C2049" i="1"/>
  <c r="C2050" i="1"/>
  <c r="C2051" i="1"/>
  <c r="C2052" i="1"/>
  <c r="C2056" i="1"/>
  <c r="C2057" i="1"/>
  <c r="C1485" i="1"/>
  <c r="C2063" i="1"/>
  <c r="C2064" i="1"/>
  <c r="C2065" i="1"/>
  <c r="C2066" i="1"/>
  <c r="C2067" i="1"/>
  <c r="C2068" i="1"/>
  <c r="C2073" i="1"/>
  <c r="C2074" i="1"/>
  <c r="C2075" i="1"/>
  <c r="C2076" i="1"/>
  <c r="C2082" i="1"/>
  <c r="C2083" i="1"/>
  <c r="C2084" i="1"/>
  <c r="C2090" i="1"/>
  <c r="C2091" i="1"/>
  <c r="C2092" i="1"/>
  <c r="C2093" i="1"/>
  <c r="C2094" i="1"/>
  <c r="C2100" i="1"/>
  <c r="C2101" i="1"/>
  <c r="C2102" i="1"/>
  <c r="C2103" i="1"/>
  <c r="C2108" i="1"/>
  <c r="C2223" i="1"/>
  <c r="C2117" i="1"/>
  <c r="C2123" i="1"/>
  <c r="C2124" i="1"/>
  <c r="C2125" i="1"/>
  <c r="C2126" i="1"/>
  <c r="C2086" i="1"/>
  <c r="C2130" i="1"/>
  <c r="C2099" i="1"/>
  <c r="C2136" i="1"/>
  <c r="C2137" i="1"/>
  <c r="C2138" i="1"/>
  <c r="C2143" i="1"/>
  <c r="C2144" i="1"/>
  <c r="C2145" i="1"/>
  <c r="C2146" i="1"/>
  <c r="C2147" i="1"/>
  <c r="C2151" i="1"/>
  <c r="C2152" i="1"/>
  <c r="C2153" i="1"/>
  <c r="C977" i="1"/>
  <c r="C2158" i="1"/>
  <c r="C2159" i="1"/>
  <c r="C2160" i="1"/>
  <c r="C2107" i="1"/>
  <c r="C2165" i="1"/>
  <c r="C2166" i="1"/>
  <c r="C2167" i="1"/>
  <c r="C2168" i="1"/>
  <c r="C2169" i="1"/>
  <c r="C2170" i="1"/>
  <c r="C2171" i="1"/>
  <c r="C2172" i="1"/>
  <c r="C2173" i="1"/>
  <c r="C2174" i="1"/>
  <c r="C2178" i="1"/>
  <c r="C2192" i="1"/>
  <c r="C2193" i="1"/>
  <c r="C2194" i="1"/>
  <c r="C2195" i="1"/>
  <c r="C2196" i="1"/>
  <c r="C2197" i="1"/>
  <c r="C2198" i="1"/>
  <c r="C2199" i="1"/>
  <c r="C2200" i="1"/>
  <c r="C2204" i="1"/>
  <c r="C2216" i="1"/>
  <c r="C2217" i="1"/>
  <c r="C2222" i="1"/>
  <c r="C815" i="1"/>
  <c r="C2224" i="1"/>
  <c r="C2225" i="1"/>
  <c r="C2239" i="1"/>
  <c r="C2231" i="1"/>
  <c r="C2232" i="1"/>
  <c r="C2233" i="1"/>
  <c r="C2430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82" i="1"/>
  <c r="C2259" i="1"/>
  <c r="C2261" i="1"/>
  <c r="C2320" i="1"/>
  <c r="C2289" i="1"/>
  <c r="C2291" i="1"/>
  <c r="C2292" i="1"/>
  <c r="C2293" i="1"/>
  <c r="C2294" i="1"/>
  <c r="C2295" i="1"/>
  <c r="C2296" i="1"/>
  <c r="C13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3" i="1"/>
  <c r="C2314" i="1"/>
  <c r="C2315" i="1"/>
  <c r="C2316" i="1"/>
  <c r="C2435" i="1"/>
  <c r="C2323" i="1"/>
  <c r="C2324" i="1"/>
  <c r="C2437" i="1"/>
  <c r="C2329" i="1"/>
  <c r="C2330" i="1"/>
  <c r="C2331" i="1"/>
  <c r="C2332" i="1"/>
  <c r="C2339" i="1"/>
  <c r="C2342" i="1"/>
  <c r="C2355" i="1"/>
  <c r="C2356" i="1"/>
  <c r="C2357" i="1"/>
  <c r="C2358" i="1"/>
  <c r="C2359" i="1"/>
  <c r="C2360" i="1"/>
  <c r="C2361" i="1"/>
  <c r="C2362" i="1"/>
  <c r="C2363" i="1"/>
  <c r="C2364" i="1"/>
  <c r="C2371" i="1"/>
  <c r="C2373" i="1"/>
  <c r="C2380" i="1"/>
  <c r="C2424" i="1"/>
  <c r="C2425" i="1"/>
  <c r="C2426" i="1"/>
  <c r="C2427" i="1"/>
  <c r="C2428" i="1"/>
  <c r="C2429" i="1"/>
  <c r="C2230" i="1"/>
  <c r="C2431" i="1"/>
  <c r="C2432" i="1"/>
  <c r="C2433" i="1"/>
  <c r="C2257" i="1"/>
  <c r="C2438" i="1"/>
  <c r="D1013" i="1"/>
  <c r="D1014" i="1"/>
  <c r="D1015" i="1"/>
  <c r="D1016" i="1"/>
  <c r="D1017" i="1"/>
  <c r="D1018" i="1"/>
  <c r="D110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245" i="1"/>
  <c r="D1184" i="1"/>
  <c r="D2157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22" i="1"/>
  <c r="D1368" i="1"/>
  <c r="D1394" i="1"/>
  <c r="D1395" i="1"/>
  <c r="D1396" i="1"/>
  <c r="D1183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2297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62" i="1"/>
  <c r="D1463" i="1"/>
  <c r="D1464" i="1"/>
  <c r="D1467" i="1"/>
  <c r="D1726" i="1"/>
  <c r="D1470" i="1"/>
  <c r="D1471" i="1"/>
  <c r="D1472" i="1"/>
  <c r="D1473" i="1"/>
  <c r="D2237" i="1"/>
  <c r="D1479" i="1"/>
  <c r="D1480" i="1"/>
  <c r="D1481" i="1"/>
  <c r="D1482" i="1"/>
  <c r="D2140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9" i="1"/>
  <c r="D1627" i="1"/>
  <c r="D1628" i="1"/>
  <c r="D1629" i="1"/>
  <c r="D1630" i="1"/>
  <c r="D1631" i="1"/>
  <c r="D1632" i="1"/>
  <c r="D1633" i="1"/>
  <c r="D1751" i="1"/>
  <c r="D1752" i="1"/>
  <c r="D1753" i="1"/>
  <c r="D1754" i="1"/>
  <c r="D1755" i="1"/>
  <c r="D1756" i="1"/>
  <c r="D1758" i="1"/>
  <c r="D1759" i="1"/>
  <c r="D1760" i="1"/>
  <c r="D1761" i="1"/>
  <c r="D1762" i="1"/>
  <c r="D1763" i="1"/>
  <c r="D232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97" i="1"/>
  <c r="D1798" i="1"/>
  <c r="D1799" i="1"/>
  <c r="D1800" i="1"/>
  <c r="D1801" i="1"/>
  <c r="D1806" i="1"/>
  <c r="D1807" i="1"/>
  <c r="D1808" i="1"/>
  <c r="D1809" i="1"/>
  <c r="D1810" i="1"/>
  <c r="D1811" i="1"/>
  <c r="D1812" i="1"/>
  <c r="D1813" i="1"/>
  <c r="D1814" i="1"/>
  <c r="D1815" i="1"/>
  <c r="D1817" i="1"/>
  <c r="D1818" i="1"/>
  <c r="D1819" i="1"/>
  <c r="D1832" i="1"/>
  <c r="D141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6" i="1"/>
  <c r="D2007" i="1"/>
  <c r="D2008" i="1"/>
  <c r="D2009" i="1"/>
  <c r="D2011" i="1"/>
  <c r="D2012" i="1"/>
  <c r="D2013" i="1"/>
  <c r="D2014" i="1"/>
  <c r="D2015" i="1"/>
  <c r="D2016" i="1"/>
  <c r="D2017" i="1"/>
  <c r="D2018" i="1"/>
  <c r="D2036" i="1"/>
  <c r="D2037" i="1"/>
  <c r="D2038" i="1"/>
  <c r="D2039" i="1"/>
  <c r="D2040" i="1"/>
  <c r="D2041" i="1"/>
  <c r="D2042" i="1"/>
  <c r="D2043" i="1"/>
  <c r="D1477" i="1"/>
  <c r="D2048" i="1"/>
  <c r="D2049" i="1"/>
  <c r="D2050" i="1"/>
  <c r="D2051" i="1"/>
  <c r="D2052" i="1"/>
  <c r="D2056" i="1"/>
  <c r="D2057" i="1"/>
  <c r="D1485" i="1"/>
  <c r="D2063" i="1"/>
  <c r="D2064" i="1"/>
  <c r="D2065" i="1"/>
  <c r="D2066" i="1"/>
  <c r="D2067" i="1"/>
  <c r="D2068" i="1"/>
  <c r="D2073" i="1"/>
  <c r="D2074" i="1"/>
  <c r="D2075" i="1"/>
  <c r="D2076" i="1"/>
  <c r="D2082" i="1"/>
  <c r="D2083" i="1"/>
  <c r="D2084" i="1"/>
  <c r="D2090" i="1"/>
  <c r="D2091" i="1"/>
  <c r="D2092" i="1"/>
  <c r="D2093" i="1"/>
  <c r="D2094" i="1"/>
  <c r="D2100" i="1"/>
  <c r="D2101" i="1"/>
  <c r="D2102" i="1"/>
  <c r="D2103" i="1"/>
  <c r="D2108" i="1"/>
  <c r="D2109" i="1"/>
  <c r="D2110" i="1"/>
  <c r="D2111" i="1"/>
  <c r="D2115" i="1"/>
  <c r="D2223" i="1"/>
  <c r="D2117" i="1"/>
  <c r="D2123" i="1"/>
  <c r="D2124" i="1"/>
  <c r="D2125" i="1"/>
  <c r="D2126" i="1"/>
  <c r="D2086" i="1"/>
  <c r="D2130" i="1"/>
  <c r="D2099" i="1"/>
  <c r="D2136" i="1"/>
  <c r="D2137" i="1"/>
  <c r="D2138" i="1"/>
  <c r="D2143" i="1"/>
  <c r="D2144" i="1"/>
  <c r="D2145" i="1"/>
  <c r="D2146" i="1"/>
  <c r="D2147" i="1"/>
  <c r="D2151" i="1"/>
  <c r="D2152" i="1"/>
  <c r="D2153" i="1"/>
  <c r="D977" i="1"/>
  <c r="D2158" i="1"/>
  <c r="D2159" i="1"/>
  <c r="D2160" i="1"/>
  <c r="D2107" i="1"/>
  <c r="D2165" i="1"/>
  <c r="D2166" i="1"/>
  <c r="D2167" i="1"/>
  <c r="D2168" i="1"/>
  <c r="D2169" i="1"/>
  <c r="D2170" i="1"/>
  <c r="D2171" i="1"/>
  <c r="D2172" i="1"/>
  <c r="D2173" i="1"/>
  <c r="D2174" i="1"/>
  <c r="D2178" i="1"/>
  <c r="D2192" i="1"/>
  <c r="D2193" i="1"/>
  <c r="D2194" i="1"/>
  <c r="D2195" i="1"/>
  <c r="D2196" i="1"/>
  <c r="D2197" i="1"/>
  <c r="D2198" i="1"/>
  <c r="D2199" i="1"/>
  <c r="D2200" i="1"/>
  <c r="D2204" i="1"/>
  <c r="D2216" i="1"/>
  <c r="D2217" i="1"/>
  <c r="D2222" i="1"/>
  <c r="D815" i="1"/>
  <c r="D2224" i="1"/>
  <c r="D2225" i="1"/>
  <c r="D2239" i="1"/>
  <c r="D2231" i="1"/>
  <c r="D2232" i="1"/>
  <c r="D2233" i="1"/>
  <c r="D2430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82" i="1"/>
  <c r="D2259" i="1"/>
  <c r="D2261" i="1"/>
  <c r="D2320" i="1"/>
  <c r="D2289" i="1"/>
  <c r="D2291" i="1"/>
  <c r="D2292" i="1"/>
  <c r="D2293" i="1"/>
  <c r="D2294" i="1"/>
  <c r="D2295" i="1"/>
  <c r="D2296" i="1"/>
  <c r="D13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3" i="1"/>
  <c r="D2314" i="1"/>
  <c r="D2315" i="1"/>
  <c r="D2316" i="1"/>
  <c r="D2435" i="1"/>
  <c r="D2323" i="1"/>
  <c r="D2324" i="1"/>
  <c r="D2437" i="1"/>
  <c r="D2329" i="1"/>
  <c r="D2330" i="1"/>
  <c r="D2331" i="1"/>
  <c r="D2332" i="1"/>
  <c r="D2339" i="1"/>
  <c r="D2342" i="1"/>
  <c r="D2355" i="1"/>
  <c r="D2356" i="1"/>
  <c r="D2357" i="1"/>
  <c r="D2358" i="1"/>
  <c r="D2359" i="1"/>
  <c r="D2360" i="1"/>
  <c r="D2361" i="1"/>
  <c r="D2362" i="1"/>
  <c r="D2363" i="1"/>
  <c r="D2364" i="1"/>
  <c r="D2371" i="1"/>
  <c r="D2373" i="1"/>
  <c r="D2380" i="1"/>
  <c r="D2424" i="1"/>
  <c r="D2425" i="1"/>
  <c r="D2426" i="1"/>
  <c r="D2427" i="1"/>
  <c r="D2428" i="1"/>
  <c r="D2429" i="1"/>
  <c r="D2230" i="1"/>
  <c r="D2431" i="1"/>
  <c r="D2432" i="1"/>
  <c r="D2433" i="1"/>
  <c r="D2257" i="1"/>
  <c r="D2438" i="1"/>
  <c r="S2297" i="1"/>
  <c r="S1756" i="1"/>
  <c r="S1758" i="1"/>
  <c r="S1759" i="1"/>
  <c r="S1760" i="1"/>
  <c r="S1761" i="1"/>
  <c r="S1762" i="1"/>
  <c r="S1763" i="1"/>
  <c r="S232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97" i="1"/>
  <c r="S1798" i="1"/>
  <c r="S1799" i="1"/>
  <c r="S1800" i="1"/>
  <c r="S1801" i="1"/>
  <c r="S1806" i="1"/>
  <c r="S1807" i="1"/>
  <c r="S1808" i="1"/>
  <c r="S1809" i="1"/>
  <c r="S1810" i="1"/>
  <c r="S1811" i="1"/>
  <c r="S1812" i="1"/>
  <c r="S1813" i="1"/>
  <c r="S1814" i="1"/>
  <c r="S1815" i="1"/>
  <c r="S1817" i="1"/>
  <c r="S1818" i="1"/>
  <c r="S1819" i="1"/>
  <c r="S1832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6" i="1"/>
  <c r="S2007" i="1"/>
  <c r="S2008" i="1"/>
  <c r="S2009" i="1"/>
  <c r="S2011" i="1"/>
  <c r="S2012" i="1"/>
  <c r="S2013" i="1"/>
  <c r="S2014" i="1"/>
  <c r="S2015" i="1"/>
  <c r="S2016" i="1"/>
  <c r="S2017" i="1"/>
  <c r="S2018" i="1"/>
  <c r="S2036" i="1"/>
  <c r="S2037" i="1"/>
  <c r="S2038" i="1"/>
  <c r="S2039" i="1"/>
  <c r="S2040" i="1"/>
  <c r="S2041" i="1"/>
  <c r="S2042" i="1"/>
  <c r="S2043" i="1"/>
  <c r="S1477" i="1"/>
  <c r="S2048" i="1"/>
  <c r="S2049" i="1"/>
  <c r="S2050" i="1"/>
  <c r="S2051" i="1"/>
  <c r="S2052" i="1"/>
  <c r="S2056" i="1"/>
  <c r="S2057" i="1"/>
  <c r="S1485" i="1"/>
  <c r="S2063" i="1"/>
  <c r="S2064" i="1"/>
  <c r="S2065" i="1"/>
  <c r="S2066" i="1"/>
  <c r="S2067" i="1"/>
  <c r="S2068" i="1"/>
  <c r="S2073" i="1"/>
  <c r="S2074" i="1"/>
  <c r="S2075" i="1"/>
  <c r="S2076" i="1"/>
  <c r="S2082" i="1"/>
  <c r="S2083" i="1"/>
  <c r="S2084" i="1"/>
  <c r="S2090" i="1"/>
  <c r="S2091" i="1"/>
  <c r="S2092" i="1"/>
  <c r="S2093" i="1"/>
  <c r="S2094" i="1"/>
  <c r="S2100" i="1"/>
  <c r="S2101" i="1"/>
  <c r="S2102" i="1"/>
  <c r="S2103" i="1"/>
  <c r="S2108" i="1"/>
  <c r="S2109" i="1"/>
  <c r="S2110" i="1"/>
  <c r="S2111" i="1"/>
  <c r="S2115" i="1"/>
  <c r="S2223" i="1"/>
  <c r="S2117" i="1"/>
  <c r="S2123" i="1"/>
  <c r="S2124" i="1"/>
  <c r="S2125" i="1"/>
  <c r="S2126" i="1"/>
  <c r="S2086" i="1"/>
  <c r="S2130" i="1"/>
  <c r="S2099" i="1"/>
  <c r="S2136" i="1"/>
  <c r="S2137" i="1"/>
  <c r="S2138" i="1"/>
  <c r="S2143" i="1"/>
  <c r="S2144" i="1"/>
  <c r="S2145" i="1"/>
  <c r="S2146" i="1"/>
  <c r="S2147" i="1"/>
  <c r="S2151" i="1"/>
  <c r="S2152" i="1"/>
  <c r="S2153" i="1"/>
  <c r="S977" i="1"/>
  <c r="S2158" i="1"/>
  <c r="S2159" i="1"/>
  <c r="S2160" i="1"/>
  <c r="S2107" i="1"/>
  <c r="S2165" i="1"/>
  <c r="S2166" i="1"/>
  <c r="S2167" i="1"/>
  <c r="S2168" i="1"/>
  <c r="S2169" i="1"/>
  <c r="S2170" i="1"/>
  <c r="S2171" i="1"/>
  <c r="S2172" i="1"/>
  <c r="S2173" i="1"/>
  <c r="S2174" i="1"/>
  <c r="S2178" i="1"/>
  <c r="S2192" i="1"/>
  <c r="S2193" i="1"/>
  <c r="S2194" i="1"/>
  <c r="S2195" i="1"/>
  <c r="S2196" i="1"/>
  <c r="S2197" i="1"/>
  <c r="S2198" i="1"/>
  <c r="S2199" i="1"/>
  <c r="S2200" i="1"/>
  <c r="S2204" i="1"/>
  <c r="S2216" i="1"/>
  <c r="S2217" i="1"/>
  <c r="S2222" i="1"/>
  <c r="S2224" i="1"/>
  <c r="S2225" i="1"/>
  <c r="S2239" i="1"/>
  <c r="S2231" i="1"/>
  <c r="S2232" i="1"/>
  <c r="S2233" i="1"/>
  <c r="S2430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82" i="1"/>
  <c r="S2259" i="1"/>
  <c r="S2261" i="1"/>
  <c r="S2320" i="1"/>
  <c r="S2289" i="1"/>
  <c r="S2291" i="1"/>
  <c r="S2292" i="1"/>
  <c r="S2293" i="1"/>
  <c r="S2294" i="1"/>
  <c r="S2295" i="1"/>
  <c r="S2296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3" i="1"/>
  <c r="S2314" i="1"/>
  <c r="S2315" i="1"/>
  <c r="S2316" i="1"/>
  <c r="S2435" i="1"/>
  <c r="S2323" i="1"/>
  <c r="S2324" i="1"/>
  <c r="S2437" i="1"/>
  <c r="S2329" i="1"/>
  <c r="S2330" i="1"/>
  <c r="S2331" i="1"/>
  <c r="S2332" i="1"/>
  <c r="S2339" i="1"/>
  <c r="S2342" i="1"/>
  <c r="S2355" i="1"/>
  <c r="S2356" i="1"/>
  <c r="S2357" i="1"/>
  <c r="S2358" i="1"/>
  <c r="S2359" i="1"/>
  <c r="S2360" i="1"/>
  <c r="S2361" i="1"/>
  <c r="S2362" i="1"/>
  <c r="S2363" i="1"/>
  <c r="S2364" i="1"/>
  <c r="S2371" i="1"/>
  <c r="S2373" i="1"/>
  <c r="S2380" i="1"/>
  <c r="S2424" i="1"/>
  <c r="S2425" i="1"/>
  <c r="S2426" i="1"/>
  <c r="S2427" i="1"/>
  <c r="S2428" i="1"/>
  <c r="S2429" i="1"/>
  <c r="S2230" i="1"/>
  <c r="S2431" i="1"/>
  <c r="S2432" i="1"/>
  <c r="S2433" i="1"/>
  <c r="S2257" i="1"/>
  <c r="S2438" i="1"/>
  <c r="R1013" i="1"/>
  <c r="R1014" i="1"/>
  <c r="R1015" i="1"/>
  <c r="R1016" i="1"/>
  <c r="R1017" i="1"/>
  <c r="R1018" i="1"/>
  <c r="R110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245" i="1"/>
  <c r="R1184" i="1"/>
  <c r="R2157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22" i="1"/>
  <c r="R1368" i="1"/>
  <c r="R1394" i="1"/>
  <c r="R1395" i="1"/>
  <c r="R1396" i="1"/>
  <c r="R1183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2297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62" i="1"/>
  <c r="R1463" i="1"/>
  <c r="R1464" i="1"/>
  <c r="R1467" i="1"/>
  <c r="R1726" i="1"/>
  <c r="R1470" i="1"/>
  <c r="R1471" i="1"/>
  <c r="R1472" i="1"/>
  <c r="R1473" i="1"/>
  <c r="R2237" i="1"/>
  <c r="R1479" i="1"/>
  <c r="R1480" i="1"/>
  <c r="R1481" i="1"/>
  <c r="R1482" i="1"/>
  <c r="R2140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9" i="1"/>
  <c r="R1627" i="1"/>
  <c r="R1628" i="1"/>
  <c r="R1629" i="1"/>
  <c r="R1630" i="1"/>
  <c r="R1631" i="1"/>
  <c r="R1632" i="1"/>
  <c r="R1633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232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97" i="1"/>
  <c r="R1798" i="1"/>
  <c r="R1799" i="1"/>
  <c r="R1800" i="1"/>
  <c r="R1801" i="1"/>
  <c r="R1806" i="1"/>
  <c r="R1807" i="1"/>
  <c r="R1808" i="1"/>
  <c r="R1809" i="1"/>
  <c r="R1810" i="1"/>
  <c r="R1811" i="1"/>
  <c r="R1812" i="1"/>
  <c r="R1813" i="1"/>
  <c r="R1814" i="1"/>
  <c r="R1815" i="1"/>
  <c r="R1817" i="1"/>
  <c r="R1818" i="1"/>
  <c r="R1819" i="1"/>
  <c r="R1832" i="1"/>
  <c r="R141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6" i="1"/>
  <c r="R2007" i="1"/>
  <c r="R2008" i="1"/>
  <c r="R2009" i="1"/>
  <c r="R2011" i="1"/>
  <c r="R2012" i="1"/>
  <c r="R2013" i="1"/>
  <c r="R2014" i="1"/>
  <c r="R2015" i="1"/>
  <c r="R2016" i="1"/>
  <c r="R2017" i="1"/>
  <c r="R2018" i="1"/>
  <c r="R2036" i="1"/>
  <c r="R2037" i="1"/>
  <c r="R2038" i="1"/>
  <c r="R2039" i="1"/>
  <c r="R2040" i="1"/>
  <c r="R2041" i="1"/>
  <c r="R2042" i="1"/>
  <c r="R2043" i="1"/>
  <c r="R1477" i="1"/>
  <c r="R2048" i="1"/>
  <c r="R2049" i="1"/>
  <c r="R2050" i="1"/>
  <c r="R2051" i="1"/>
  <c r="R2052" i="1"/>
  <c r="R2056" i="1"/>
  <c r="R2057" i="1"/>
  <c r="R1485" i="1"/>
  <c r="R2063" i="1"/>
  <c r="R2064" i="1"/>
  <c r="R2065" i="1"/>
  <c r="R2066" i="1"/>
  <c r="R2067" i="1"/>
  <c r="R2068" i="1"/>
  <c r="R2073" i="1"/>
  <c r="R2074" i="1"/>
  <c r="R2075" i="1"/>
  <c r="R2076" i="1"/>
  <c r="R2082" i="1"/>
  <c r="R2083" i="1"/>
  <c r="R2084" i="1"/>
  <c r="R2090" i="1"/>
  <c r="R2091" i="1"/>
  <c r="R2092" i="1"/>
  <c r="R2093" i="1"/>
  <c r="R2094" i="1"/>
  <c r="R2100" i="1"/>
  <c r="R2101" i="1"/>
  <c r="R2102" i="1"/>
  <c r="R2103" i="1"/>
  <c r="R2108" i="1"/>
  <c r="R2109" i="1"/>
  <c r="R2110" i="1"/>
  <c r="R2111" i="1"/>
  <c r="R2115" i="1"/>
  <c r="R2223" i="1"/>
  <c r="R2117" i="1"/>
  <c r="R2123" i="1"/>
  <c r="R2124" i="1"/>
  <c r="R2125" i="1"/>
  <c r="R2126" i="1"/>
  <c r="R2086" i="1"/>
  <c r="R2130" i="1"/>
  <c r="R2099" i="1"/>
  <c r="R2136" i="1"/>
  <c r="R2137" i="1"/>
  <c r="R2138" i="1"/>
  <c r="R2143" i="1"/>
  <c r="R2144" i="1"/>
  <c r="R2145" i="1"/>
  <c r="R2146" i="1"/>
  <c r="R2147" i="1"/>
  <c r="R2151" i="1"/>
  <c r="R2152" i="1"/>
  <c r="R2153" i="1"/>
  <c r="R977" i="1"/>
  <c r="R2158" i="1"/>
  <c r="R2159" i="1"/>
  <c r="R2160" i="1"/>
  <c r="R2107" i="1"/>
  <c r="R2165" i="1"/>
  <c r="R2166" i="1"/>
  <c r="R2167" i="1"/>
  <c r="R2168" i="1"/>
  <c r="R2169" i="1"/>
  <c r="R2170" i="1"/>
  <c r="R2171" i="1"/>
  <c r="R2172" i="1"/>
  <c r="R2173" i="1"/>
  <c r="R2174" i="1"/>
  <c r="R2178" i="1"/>
  <c r="R2192" i="1"/>
  <c r="R2193" i="1"/>
  <c r="R2194" i="1"/>
  <c r="R2195" i="1"/>
  <c r="R2196" i="1"/>
  <c r="R2197" i="1"/>
  <c r="R2198" i="1"/>
  <c r="R2199" i="1"/>
  <c r="R2200" i="1"/>
  <c r="R2204" i="1"/>
  <c r="R2216" i="1"/>
  <c r="R2217" i="1"/>
  <c r="R2222" i="1"/>
  <c r="R815" i="1"/>
  <c r="R2224" i="1"/>
  <c r="R2225" i="1"/>
  <c r="R2239" i="1"/>
  <c r="R2231" i="1"/>
  <c r="R2232" i="1"/>
  <c r="R2233" i="1"/>
  <c r="R2430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82" i="1"/>
  <c r="R2259" i="1"/>
  <c r="R2261" i="1"/>
  <c r="R2320" i="1"/>
  <c r="R2289" i="1"/>
  <c r="R2291" i="1"/>
  <c r="R2292" i="1"/>
  <c r="R2293" i="1"/>
  <c r="R2294" i="1"/>
  <c r="R2295" i="1"/>
  <c r="R2296" i="1"/>
  <c r="R13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3" i="1"/>
  <c r="R2314" i="1"/>
  <c r="R2315" i="1"/>
  <c r="R2316" i="1"/>
  <c r="R2435" i="1"/>
  <c r="R2323" i="1"/>
  <c r="R2324" i="1"/>
  <c r="R2437" i="1"/>
  <c r="R2329" i="1"/>
  <c r="R2330" i="1"/>
  <c r="R2331" i="1"/>
  <c r="R2332" i="1"/>
  <c r="R2339" i="1"/>
  <c r="R2342" i="1"/>
  <c r="R2355" i="1"/>
  <c r="R2356" i="1"/>
  <c r="R2357" i="1"/>
  <c r="R2358" i="1"/>
  <c r="R2359" i="1"/>
  <c r="R2360" i="1"/>
  <c r="R2361" i="1"/>
  <c r="R2362" i="1"/>
  <c r="R2363" i="1"/>
  <c r="R2364" i="1"/>
  <c r="R2371" i="1"/>
  <c r="R2373" i="1"/>
  <c r="R2380" i="1"/>
  <c r="R2424" i="1"/>
  <c r="R2425" i="1"/>
  <c r="R2426" i="1"/>
  <c r="R2427" i="1"/>
  <c r="R2428" i="1"/>
  <c r="R2429" i="1"/>
  <c r="Q1013" i="1"/>
  <c r="Q1014" i="1"/>
  <c r="Q1015" i="1"/>
  <c r="Q1016" i="1"/>
  <c r="Q1017" i="1"/>
  <c r="Q1018" i="1"/>
  <c r="Q110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245" i="1"/>
  <c r="Q1184" i="1"/>
  <c r="Q2157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22" i="1"/>
  <c r="Q1368" i="1"/>
  <c r="Q1394" i="1"/>
  <c r="Q1395" i="1"/>
  <c r="Q1396" i="1"/>
  <c r="Q1183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2297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62" i="1"/>
  <c r="Q1463" i="1"/>
  <c r="Q1464" i="1"/>
  <c r="Q1467" i="1"/>
  <c r="Q1726" i="1"/>
  <c r="Q1470" i="1"/>
  <c r="Q1471" i="1"/>
  <c r="Q1472" i="1"/>
  <c r="Q1473" i="1"/>
  <c r="Q2237" i="1"/>
  <c r="Q1479" i="1"/>
  <c r="Q1480" i="1"/>
  <c r="Q1481" i="1"/>
  <c r="Q1482" i="1"/>
  <c r="Q2140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9" i="1"/>
  <c r="Q1627" i="1"/>
  <c r="Q1628" i="1"/>
  <c r="Q1629" i="1"/>
  <c r="Q1630" i="1"/>
  <c r="Q1631" i="1"/>
  <c r="Q1632" i="1"/>
  <c r="Q1633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232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97" i="1"/>
  <c r="Q1798" i="1"/>
  <c r="Q1799" i="1"/>
  <c r="Q1800" i="1"/>
  <c r="Q1801" i="1"/>
  <c r="Q1806" i="1"/>
  <c r="Q1807" i="1"/>
  <c r="Q1808" i="1"/>
  <c r="Q1809" i="1"/>
  <c r="Q1810" i="1"/>
  <c r="Q1811" i="1"/>
  <c r="Q1812" i="1"/>
  <c r="Q1813" i="1"/>
  <c r="Q1814" i="1"/>
  <c r="Q1815" i="1"/>
  <c r="Q1817" i="1"/>
  <c r="Q1818" i="1"/>
  <c r="Q1819" i="1"/>
  <c r="Q1832" i="1"/>
  <c r="Q141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6" i="1"/>
  <c r="Q2007" i="1"/>
  <c r="Q2008" i="1"/>
  <c r="Q2009" i="1"/>
  <c r="Q2011" i="1"/>
  <c r="Q2012" i="1"/>
  <c r="Q2013" i="1"/>
  <c r="Q2014" i="1"/>
  <c r="Q2015" i="1"/>
  <c r="Q2016" i="1"/>
  <c r="Q2017" i="1"/>
  <c r="Q2018" i="1"/>
  <c r="Q2036" i="1"/>
  <c r="Q2037" i="1"/>
  <c r="Q2038" i="1"/>
  <c r="Q2039" i="1"/>
  <c r="Q2040" i="1"/>
  <c r="Q2041" i="1"/>
  <c r="Q2042" i="1"/>
  <c r="Q2043" i="1"/>
  <c r="Q1477" i="1"/>
  <c r="Q2048" i="1"/>
  <c r="Q2049" i="1"/>
  <c r="Q2050" i="1"/>
  <c r="Q2051" i="1"/>
  <c r="Q2052" i="1"/>
  <c r="Q2056" i="1"/>
  <c r="Q2057" i="1"/>
  <c r="Q1485" i="1"/>
  <c r="Q2063" i="1"/>
  <c r="Q2064" i="1"/>
  <c r="Q2065" i="1"/>
  <c r="Q2066" i="1"/>
  <c r="Q2067" i="1"/>
  <c r="Q2068" i="1"/>
  <c r="Q2073" i="1"/>
  <c r="Q2074" i="1"/>
  <c r="Q2075" i="1"/>
  <c r="Q2076" i="1"/>
  <c r="Q2082" i="1"/>
  <c r="Q2083" i="1"/>
  <c r="Q2084" i="1"/>
  <c r="Q2090" i="1"/>
  <c r="Q2091" i="1"/>
  <c r="Q2092" i="1"/>
  <c r="Q2093" i="1"/>
  <c r="Q2094" i="1"/>
  <c r="Q2100" i="1"/>
  <c r="Q2101" i="1"/>
  <c r="Q2102" i="1"/>
  <c r="Q2103" i="1"/>
  <c r="Q2108" i="1"/>
  <c r="Q2109" i="1"/>
  <c r="Q2110" i="1"/>
  <c r="Q2111" i="1"/>
  <c r="Q2115" i="1"/>
  <c r="Q2223" i="1"/>
  <c r="Q2117" i="1"/>
  <c r="Q2123" i="1"/>
  <c r="Q2124" i="1"/>
  <c r="Q2125" i="1"/>
  <c r="Q2126" i="1"/>
  <c r="Q2086" i="1"/>
  <c r="Q2130" i="1"/>
  <c r="Q2099" i="1"/>
  <c r="Q2136" i="1"/>
  <c r="Q2137" i="1"/>
  <c r="Q2138" i="1"/>
  <c r="Q2143" i="1"/>
  <c r="Q2144" i="1"/>
  <c r="Q2145" i="1"/>
  <c r="Q2146" i="1"/>
  <c r="Q2147" i="1"/>
  <c r="Q2151" i="1"/>
  <c r="Q2152" i="1"/>
  <c r="Q2153" i="1"/>
  <c r="Q977" i="1"/>
  <c r="Q2158" i="1"/>
  <c r="Q2159" i="1"/>
  <c r="Q2160" i="1"/>
  <c r="Q2107" i="1"/>
  <c r="Q2165" i="1"/>
  <c r="Q2166" i="1"/>
  <c r="Q2167" i="1"/>
  <c r="Q2168" i="1"/>
  <c r="Q2169" i="1"/>
  <c r="Q2170" i="1"/>
  <c r="Q2171" i="1"/>
  <c r="Q2172" i="1"/>
  <c r="Q2173" i="1"/>
  <c r="Q2174" i="1"/>
  <c r="Q2178" i="1"/>
  <c r="Q2192" i="1"/>
  <c r="Q2193" i="1"/>
  <c r="Q2194" i="1"/>
  <c r="Q2195" i="1"/>
  <c r="Q2196" i="1"/>
  <c r="Q2197" i="1"/>
  <c r="Q2198" i="1"/>
  <c r="Q2199" i="1"/>
  <c r="Q2200" i="1"/>
  <c r="Q2204" i="1"/>
  <c r="Q2216" i="1"/>
  <c r="Q2217" i="1"/>
  <c r="Q2222" i="1"/>
  <c r="Q815" i="1"/>
  <c r="Q2224" i="1"/>
  <c r="Q2225" i="1"/>
  <c r="Q2239" i="1"/>
  <c r="Q2231" i="1"/>
  <c r="Q2232" i="1"/>
  <c r="Q2233" i="1"/>
  <c r="Q2430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82" i="1"/>
  <c r="Q2259" i="1"/>
  <c r="Q2261" i="1"/>
  <c r="Q2320" i="1"/>
  <c r="Q2289" i="1"/>
  <c r="Q2291" i="1"/>
  <c r="Q2292" i="1"/>
  <c r="Q2293" i="1"/>
  <c r="Q2294" i="1"/>
  <c r="Q2295" i="1"/>
  <c r="Q2296" i="1"/>
  <c r="Q13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3" i="1"/>
  <c r="Q2314" i="1"/>
  <c r="Q2315" i="1"/>
  <c r="Q2316" i="1"/>
  <c r="Q2435" i="1"/>
  <c r="Q2323" i="1"/>
  <c r="Q2324" i="1"/>
  <c r="Q2437" i="1"/>
  <c r="Q2329" i="1"/>
  <c r="Q2330" i="1"/>
  <c r="Q2331" i="1"/>
  <c r="Q2332" i="1"/>
  <c r="Q2339" i="1"/>
  <c r="Q2342" i="1"/>
  <c r="Q2355" i="1"/>
  <c r="Q2356" i="1"/>
  <c r="Q2357" i="1"/>
  <c r="Q2358" i="1"/>
  <c r="Q2359" i="1"/>
  <c r="Q2360" i="1"/>
  <c r="Q2361" i="1"/>
  <c r="Q2362" i="1"/>
  <c r="Q2363" i="1"/>
  <c r="Q2364" i="1"/>
  <c r="Q2371" i="1"/>
  <c r="Q2373" i="1"/>
  <c r="Q2380" i="1"/>
  <c r="Q2424" i="1"/>
  <c r="Q2425" i="1"/>
  <c r="Q2426" i="1"/>
  <c r="Q2427" i="1"/>
  <c r="Q2428" i="1"/>
  <c r="Q2429" i="1"/>
  <c r="E1013" i="1"/>
  <c r="E1014" i="1"/>
  <c r="E1015" i="1"/>
  <c r="E1016" i="1"/>
  <c r="E1017" i="1"/>
  <c r="E1018" i="1"/>
  <c r="E110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245" i="1"/>
  <c r="E1184" i="1"/>
  <c r="E2157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22" i="1"/>
  <c r="E1368" i="1"/>
  <c r="E1394" i="1"/>
  <c r="E1395" i="1"/>
  <c r="E1396" i="1"/>
  <c r="E1183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2297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62" i="1"/>
  <c r="E1463" i="1"/>
  <c r="E1464" i="1"/>
  <c r="E1467" i="1"/>
  <c r="E1726" i="1"/>
  <c r="E1470" i="1"/>
  <c r="E1471" i="1"/>
  <c r="E1472" i="1"/>
  <c r="E1473" i="1"/>
  <c r="E2237" i="1"/>
  <c r="E1479" i="1"/>
  <c r="E1480" i="1"/>
  <c r="E1481" i="1"/>
  <c r="E1482" i="1"/>
  <c r="E2140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9" i="1"/>
  <c r="E1627" i="1"/>
  <c r="E1628" i="1"/>
  <c r="E1629" i="1"/>
  <c r="E1630" i="1"/>
  <c r="E1631" i="1"/>
  <c r="E1632" i="1"/>
  <c r="E1633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232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97" i="1"/>
  <c r="E1798" i="1"/>
  <c r="E1799" i="1"/>
  <c r="E1800" i="1"/>
  <c r="E1801" i="1"/>
  <c r="E1806" i="1"/>
  <c r="E1807" i="1"/>
  <c r="E1808" i="1"/>
  <c r="E1809" i="1"/>
  <c r="E1810" i="1"/>
  <c r="E1811" i="1"/>
  <c r="E1812" i="1"/>
  <c r="E1813" i="1"/>
  <c r="E1814" i="1"/>
  <c r="E1815" i="1"/>
  <c r="E1817" i="1"/>
  <c r="E1818" i="1"/>
  <c r="E1819" i="1"/>
  <c r="E1832" i="1"/>
  <c r="E141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6" i="1"/>
  <c r="E2007" i="1"/>
  <c r="E2008" i="1"/>
  <c r="E2009" i="1"/>
  <c r="E2011" i="1"/>
  <c r="E2012" i="1"/>
  <c r="E2013" i="1"/>
  <c r="E2014" i="1"/>
  <c r="E2015" i="1"/>
  <c r="E2016" i="1"/>
  <c r="E2017" i="1"/>
  <c r="E2018" i="1"/>
  <c r="E2036" i="1"/>
  <c r="E2037" i="1"/>
  <c r="E2038" i="1"/>
  <c r="E2039" i="1"/>
  <c r="E2040" i="1"/>
  <c r="E2041" i="1"/>
  <c r="E2042" i="1"/>
  <c r="E2043" i="1"/>
  <c r="E1477" i="1"/>
  <c r="E2048" i="1"/>
  <c r="E2049" i="1"/>
  <c r="E2050" i="1"/>
  <c r="E2051" i="1"/>
  <c r="E2052" i="1"/>
  <c r="E2056" i="1"/>
  <c r="E2057" i="1"/>
  <c r="E1485" i="1"/>
  <c r="E2063" i="1"/>
  <c r="E2064" i="1"/>
  <c r="E2065" i="1"/>
  <c r="E2066" i="1"/>
  <c r="E2067" i="1"/>
  <c r="E2068" i="1"/>
  <c r="E2073" i="1"/>
  <c r="E2074" i="1"/>
  <c r="E2075" i="1"/>
  <c r="E2076" i="1"/>
  <c r="E2082" i="1"/>
  <c r="E2083" i="1"/>
  <c r="E2084" i="1"/>
  <c r="E2090" i="1"/>
  <c r="E2091" i="1"/>
  <c r="E2092" i="1"/>
  <c r="E2093" i="1"/>
  <c r="E2094" i="1"/>
  <c r="E2100" i="1"/>
  <c r="E2101" i="1"/>
  <c r="E2102" i="1"/>
  <c r="E2103" i="1"/>
  <c r="E2108" i="1"/>
  <c r="E2109" i="1"/>
  <c r="E2110" i="1"/>
  <c r="E2111" i="1"/>
  <c r="E2115" i="1"/>
  <c r="E2223" i="1"/>
  <c r="E2117" i="1"/>
  <c r="E2123" i="1"/>
  <c r="E2124" i="1"/>
  <c r="E2125" i="1"/>
  <c r="E2126" i="1"/>
  <c r="E2086" i="1"/>
  <c r="E2130" i="1"/>
  <c r="E2099" i="1"/>
  <c r="E2136" i="1"/>
  <c r="E2137" i="1"/>
  <c r="E2138" i="1"/>
  <c r="E2143" i="1"/>
  <c r="E2144" i="1"/>
  <c r="E2145" i="1"/>
  <c r="E2146" i="1"/>
  <c r="E2147" i="1"/>
  <c r="E2151" i="1"/>
  <c r="E2152" i="1"/>
  <c r="E2153" i="1"/>
  <c r="E977" i="1"/>
  <c r="E2158" i="1"/>
  <c r="E2159" i="1"/>
  <c r="E2160" i="1"/>
  <c r="E2107" i="1"/>
  <c r="E2165" i="1"/>
  <c r="E2166" i="1"/>
  <c r="E2167" i="1"/>
  <c r="E2168" i="1"/>
  <c r="E2169" i="1"/>
  <c r="E2170" i="1"/>
  <c r="E2171" i="1"/>
  <c r="E2172" i="1"/>
  <c r="E2173" i="1"/>
  <c r="E2174" i="1"/>
  <c r="E2178" i="1"/>
  <c r="E2192" i="1"/>
  <c r="E2193" i="1"/>
  <c r="E2194" i="1"/>
  <c r="E2195" i="1"/>
  <c r="E2196" i="1"/>
  <c r="E2197" i="1"/>
  <c r="E2198" i="1"/>
  <c r="E2199" i="1"/>
  <c r="E2200" i="1"/>
  <c r="E2204" i="1"/>
  <c r="E2216" i="1"/>
  <c r="E2217" i="1"/>
  <c r="E2222" i="1"/>
  <c r="E815" i="1"/>
  <c r="E2224" i="1"/>
  <c r="E2225" i="1"/>
  <c r="E2239" i="1"/>
  <c r="E2231" i="1"/>
  <c r="E2232" i="1"/>
  <c r="E2233" i="1"/>
  <c r="E2430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82" i="1"/>
  <c r="E2259" i="1"/>
  <c r="E2261" i="1"/>
  <c r="E2320" i="1"/>
  <c r="E2289" i="1"/>
  <c r="E2291" i="1"/>
  <c r="E2292" i="1"/>
  <c r="E2293" i="1"/>
  <c r="E2294" i="1"/>
  <c r="E2295" i="1"/>
  <c r="E2296" i="1"/>
  <c r="E13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3" i="1"/>
  <c r="E2314" i="1"/>
  <c r="E2315" i="1"/>
  <c r="E2316" i="1"/>
  <c r="E2435" i="1"/>
  <c r="E2323" i="1"/>
  <c r="E2324" i="1"/>
  <c r="E2437" i="1"/>
  <c r="E2329" i="1"/>
  <c r="E2330" i="1"/>
  <c r="E2331" i="1"/>
  <c r="E2332" i="1"/>
  <c r="E2339" i="1"/>
  <c r="E2342" i="1"/>
  <c r="E2355" i="1"/>
  <c r="E2356" i="1"/>
  <c r="E2357" i="1"/>
  <c r="E2358" i="1"/>
  <c r="E2359" i="1"/>
  <c r="E2360" i="1"/>
  <c r="E2361" i="1"/>
  <c r="E2362" i="1"/>
  <c r="E2363" i="1"/>
  <c r="E2364" i="1"/>
  <c r="E2371" i="1"/>
  <c r="E2373" i="1"/>
  <c r="E2380" i="1"/>
  <c r="E2424" i="1"/>
  <c r="E2425" i="1"/>
  <c r="E2426" i="1"/>
  <c r="E2427" i="1"/>
  <c r="E2428" i="1"/>
  <c r="E2429" i="1"/>
  <c r="E2230" i="1"/>
  <c r="E2431" i="1"/>
  <c r="E2432" i="1"/>
  <c r="E2433" i="1"/>
  <c r="E2257" i="1"/>
  <c r="E2438" i="1"/>
  <c r="K2320" i="1" l="1"/>
  <c r="I2259" i="1" l="1"/>
  <c r="I1032" i="1" l="1"/>
  <c r="I2440" i="1" s="1"/>
  <c r="I2136" i="1" l="1"/>
  <c r="K1112" i="1" l="1"/>
  <c r="K1119" i="1"/>
  <c r="K1026" i="1" l="1"/>
  <c r="K103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tc={3DA4E858-2032-4AF7-A36E-A61DFD1E3B92}</author>
    <author>tc={F66D161D-6244-4173-BC39-62C5E4A662C7}</author>
    <author>tc={9C93BCB4-39C9-4D01-893E-3B96D0B85494}</author>
    <author>tc={2C7AB8A2-D6E6-4B39-9B50-D589A3EBEAF8}</author>
    <author>tc={E4FAA158-3F80-4A18-AEA0-7655E9AAB0FA}</author>
    <author>tc={286B912C-CDFC-4DAF-A53C-9CF51D2E2DC7}</author>
    <author>tc={1C6FCDD2-1196-4187-9F5C-D5A05B9EE21A}</author>
    <author>tc={C723B6A7-3444-44C4-873F-48CB7AFCFE23}</author>
    <author>tc={66B75883-523E-49B7-9DE0-D55981A7040D}</author>
    <author>tc={1162825E-A601-4DD5-8A83-A354AE8DD0F4}</author>
    <author>tc={2DA6A828-B3BB-449B-AAEA-6C5011F0C8B5}</author>
    <author>tc={A7D300A3-4179-4FAB-A8D4-8DBDC6868A66}</author>
    <author>tc={3446EE87-8AC0-47A2-9DF4-754817D1418A}</author>
    <author>tc={0D2B74A5-7CBF-49BA-8BD2-A0BC59E32E4B}</author>
    <author>tc={429D2FCA-4493-49EA-8565-4B3502256E10}</author>
    <author>tc={2BFDC455-78C6-424B-9CF8-D1492491EF81}</author>
    <author>tc={8C68DF42-7A5E-48CC-B608-22CD3250CAC3}</author>
    <author>tc={ACF097CE-4196-4C07-8332-F4274AABEEC0}</author>
    <author>tc={477D6702-ABEE-408A-8EE2-66B3A691630C}</author>
    <author>tc={98704FE2-8356-4ABA-AF7F-9EC6BA6BAA90}</author>
    <author>tc={CBB7DD59-D1DC-434C-AAE5-1106F38B9DA6}</author>
    <author>tc={5AA43B68-6D4A-4678-8C3D-C901607E47C1}</author>
    <author>tc={50440141-7A09-4B41-92A6-00DA55EEAF41}</author>
    <author>tc={DC2C9C43-CA09-4C92-A57E-324D145844E5}</author>
    <author>tc={1581EFB5-D83A-4886-9C53-52CF6F322B9B}</author>
    <author>tc={73A969FF-9DC8-4109-BAAC-1D7A363B365E}</author>
    <author>tc={02430380-44AD-4606-82A5-F8CA9419F194}</author>
    <author>tc={54CB89EE-B8CC-40D1-B6B1-07F8A80C3E27}</author>
    <author>tc={00D034BA-B4CF-42D3-A936-8135EAD26426}</author>
    <author>tc={360C8E26-7C97-4AA8-A8DC-E1F5B9AA57D5}</author>
    <author>tc={52684642-9B02-472A-9A6E-17B0A4B45CDF}</author>
    <author>tc={052325F6-10AB-4F82-9D75-A412B9421EEE}</author>
    <author>tc={C86C3879-90F6-43F6-8852-C70DFD0C3FA7}</author>
    <author>tc={F2954A2D-5B79-4D2B-A4EC-D221859309FC}</author>
    <author>tc={0C87EBE1-2EC6-4C97-BDCE-D8747173F39C}</author>
    <author>tc={8FF5AFA7-14BD-400D-ACD0-6BE6708FD4FD}</author>
    <author>tc={3BECB962-8362-480C-8F91-CF59E764E5DE}</author>
    <author>tc={4C931E45-2072-45BB-A188-C95661FA0429}</author>
    <author>tc={EC9F82A1-745B-493A-948C-E4BB1CE501C6}</author>
    <author>tc={368D843B-6B6A-41C4-88CB-382D28A4ABCE}</author>
    <author>tc={214A2E37-D214-4426-8873-3331AC00A006}</author>
    <author>tc={87F0F93F-BDF0-489B-BDC3-339DFD30CE4F}</author>
    <author>tc={24383FB8-7EE9-4464-A5F8-9D089E44A582}</author>
    <author>tc={54C5C105-C34A-477E-B87D-873ED4F8AD5A}</author>
    <author>tc={D594F8CA-D380-4F88-8032-E3599BAB2CC5}</author>
    <author>tc={E388AD25-7C75-463A-98F5-B6DCA01EA5DE}</author>
    <author>tc={B26C7E6B-EAC3-47DB-A94E-081143E5FB45}</author>
    <author>tc={97421DF0-9053-41FD-BFC9-E7DA6D3BE01B}</author>
    <author>tc={701CC272-D38D-45D1-B4C6-603514892590}</author>
    <author>tc={3FC62921-2837-4B67-8DDA-3E296862ECB1}</author>
    <author>tc={09F2BB93-6B24-4633-B921-91BB0952A629}</author>
    <author>tc={0475B7A5-E158-42E3-91BD-B3745C43226F}</author>
    <author>tc={F976B88D-C906-4F93-AFC9-04CDDCB81F1B}</author>
    <author>tc={F08B81D5-CDA8-48ED-A048-39EFEAA6D391}</author>
    <author>tc={686D1687-020B-4D9B-BA6C-5B084B5B4256}</author>
    <author>tc={D0EEDCDE-F322-45CC-B32C-014F7EAEDA60}</author>
    <author>tc={4C7F3629-6ACC-4AB9-BEA3-AAB9DC68BB3C}</author>
    <author>tc={2B8D7B0E-F1D1-44BE-8C29-43BB2050FD02}</author>
    <author>tc={F0F6FC49-522F-4528-8BEB-6D9025017312}</author>
    <author>tc={BF6E7FFF-712B-48FB-88C2-CA655992BC1B}</author>
    <author>tc={46999DC6-E79A-484B-9B9A-3AADD019479D}</author>
    <author>tc={F9FC81A1-B731-4BE8-AC02-2BDFBE500EC3}</author>
    <author>tc={349C83B6-9DF2-4107-BAFB-2FF1EF877B55}</author>
    <author>tc={B2D56717-9CE0-43F5-BCB9-1C07630333C7}</author>
    <author>tc={9783A2AC-8BD3-4783-AFEB-1BC211DF67E5}</author>
    <author>tc={3B4EEFD3-E746-4BB0-BDC7-3005892BD04A}</author>
    <author>tc={42DDB5FC-6E2B-4995-A89C-DA5BA9152185}</author>
    <author>tc={79F026BD-92DB-4814-93DF-EA31C69ED982}</author>
    <author>tc={BAC2AA61-611E-4A01-A1CA-49550B9B2AC1}</author>
    <author>tc={59D02851-9A69-4216-8A5E-6CB579A41DFF}</author>
    <author>tc={D3BCFBFF-2432-4E3D-A276-E8B33FBD2E0F}</author>
    <author>tc={AFBC7BD2-5E5A-4CE7-820C-75D909FC8A36}</author>
    <author>tc={8EC9088E-3BC9-490D-9C1B-8C51859C53A0}</author>
    <author>tc={DF486F05-E5D6-4D12-AFB9-446025D614F0}</author>
    <author>tc={EB608017-CB6A-4B11-9D78-1B9568C1132F}</author>
    <author>tc={86F0A132-6DC3-440A-9F93-4165DD50481A}</author>
    <author>tc={EA815585-ACCF-4A0B-8DF2-0B6B43B4F606}</author>
    <author>tc={28812886-D691-4937-8EA5-FB29DD083353}</author>
    <author>tc={CB36A994-F1C4-4373-82B3-75279A1FEEE1}</author>
    <author>tc={57C8B684-DEEF-4ADF-8259-AE91E6FBF4A2}</author>
    <author>tc={B4312618-D775-47C7-9604-0BCF58A68E2E}</author>
    <author>tc={CB59AB0F-BF5C-4790-931E-E79483BA03C6}</author>
    <author>tc={1C80D633-520C-425B-A8D4-730337B1171D}</author>
    <author>tc={9E6E98AC-4A63-4C9A-8EFB-6F15E3B9575B}</author>
    <author>tc={CDCBA47A-2CBE-4C05-94CB-86EA732466CE}</author>
    <author>tc={1A6632B7-376F-42B0-AED2-F6B0BF655204}</author>
    <author>tc={613745DA-19DC-4E20-B594-F49DBF1B0546}</author>
    <author>tc={AAD6AFE2-B307-4B77-BC10-65FA4704CA77}</author>
    <author>tc={866DB337-9CAE-400A-B491-25BAE6BCBB62}</author>
    <author>tc={D77BDC90-C2AD-4872-BA80-535712079C48}</author>
    <author>tc={181F0BB9-D2CA-4815-9F68-5969EB6DF7F2}</author>
    <author>tc={75D9F5FF-067E-42EB-BAE4-311142E83789}</author>
    <author>tc={F99B9BD9-D3FF-4874-BE25-6D18EF243AA5}</author>
    <author>tc={5DA04FA8-A8D2-4B67-99B9-FB81AA00E697}</author>
    <author>tc={92D431A8-D033-420D-9A30-7506C16E4CAC}</author>
    <author>tc={B93FEB84-BF8D-467E-AF7F-6E55169FE0EA}</author>
    <author>tc={3DD5CAC4-D358-4F2E-AF63-042A7E86F4D2}</author>
    <author>tc={D8A79059-5B53-4C00-A943-786AFC419FB1}</author>
    <author>tc={39621FCC-38E4-47DC-97F6-1F3126DAB05E}</author>
    <author>tc={8DD96F19-2C7C-46F2-8F45-087E3CC0B3B6}</author>
    <author>tc={B93C09EC-245A-4F1A-81B9-82C69C25F4D6}</author>
    <author>tc={077F1B25-36D0-4CD0-9FC8-49BF303C965E}</author>
    <author>tc={2718A1F1-ACBE-44FE-8E63-80213ECC354C}</author>
    <author>tc={82F98833-0D23-40FB-ACD9-686CB262F7A1}</author>
    <author>tc={D680A1AC-561C-44C0-9196-BF5A30E1163A}</author>
    <author>tc={5C7D5F91-ECF5-43B9-8CD2-EB39A8A88DF2}</author>
    <author>tc={B58F4170-08FC-4BD4-988A-18827E7B75B5}</author>
    <author>tc={65D3D93A-580F-4E41-9EBE-353CB91B65FB}</author>
    <author>tc={6243884A-8278-493A-82B4-BA5A5351E963}</author>
    <author>tc={AE4B1990-1382-47A9-9F1A-4008BD919087}</author>
    <author>tc={6B78F055-97AE-4E2D-9C93-1B247E8B0FE0}</author>
    <author>tc={FB35799A-131B-44FA-ACD3-A9B0D215BABB}</author>
    <author>tc={968335EE-8ABF-4A4F-A79B-19CCFBA9BE5C}</author>
    <author>tc={4CAE9872-CFE2-40AB-A0DE-E5E1D94DE2F4}</author>
    <author>tc={33FF4A21-A1C9-4E1D-AE8B-78648F474678}</author>
    <author>tc={10324095-8381-4CA8-B410-57BB5E1B7522}</author>
    <author>tc={4F0E9949-698B-4E57-8582-FA544F944F44}</author>
    <author>tc={37F9D90C-139C-4963-AC40-FB498D7D91D0}</author>
    <author>tc={3AEBE4D2-3AD5-4FEF-B56D-EBD35AAA900B}</author>
    <author>tc={E399F134-DDAF-47C0-A6A2-8AEACDA4C89C}</author>
    <author>tc={B60CD406-D9AD-4526-B835-95FE8B630AAE}</author>
    <author>tc={939E333D-58FD-41AB-83BF-1FB5E8BFCB8E}</author>
    <author>tc={4B475A2A-1C40-460D-A289-EC15B2516391}</author>
    <author>tc={5749D38A-B8DC-460C-8F0B-E3ABF6255EF7}</author>
    <author>tc={F4D0E07D-0A48-4321-909D-5044CF5BDF42}</author>
    <author>tc={65F6436E-CC71-415C-8D55-EEB28195811F}</author>
    <author>tc={BD8D558A-1DE6-4691-A833-79943371F2EE}</author>
    <author>tc={A48A9A48-58B3-4436-AF09-BB5D2C555B12}</author>
    <author>tc={066196A8-97E2-4269-9CE9-138EF342253C}</author>
    <author>tc={E0249C58-DFB8-49D2-AFEC-58083688D593}</author>
    <author>tc={8A71AE59-32FD-4EDD-9DB9-85185F48583C}</author>
    <author>tc={0D693115-22E6-4CD3-B1B3-F457243988BE}</author>
    <author>tc={1CD915AF-FD19-49BE-B0A3-BB6BC6A3611A}</author>
    <author>tc={7C517E3D-A648-4B41-BA1F-4C5B1154889A}</author>
    <author>tc={72EA84E5-651A-4857-9F54-0EFD7C15F77E}</author>
    <author>tc={92F81C31-D984-4C4E-A929-A9C85983FC4D}</author>
    <author>tc={40D7AA0A-39A2-4739-8C4C-45146DF37E8D}</author>
    <author>tc={C6CD9756-52C4-4522-9E05-4F38FDDC956A}</author>
    <author>tc={0F51AC4B-7C34-4ACB-848B-A62B56D2A4A4}</author>
    <author>tc={24B31657-308D-41E9-A6BC-0F569CACA12C}</author>
    <author>tc={751B5B7F-B754-4C02-9EE6-CE25E5DD7D40}</author>
    <author>tc={95970FA6-B968-4276-9489-3891F33804FF}</author>
    <author>tc={A5A11F78-42A4-48BB-AAE4-2554214BD06B}</author>
    <author>tc={51B32E5B-321A-4C3A-88A3-5BE68F9C4F21}</author>
    <author>tc={64248C29-AA95-4E53-9F17-7D9B9A725828}</author>
    <author>tc={EF605E47-EFF2-4A23-A837-ABBDB3A85BA5}</author>
    <author>tc={2BB28A11-4393-4EE2-8825-2C3C5964802F}</author>
    <author>tc={A2F5DFB8-2830-46A1-ABBC-88D5AADE35EC}</author>
    <author>tc={4BC26688-400F-4A38-AF88-24E91C67022B}</author>
    <author>tc={C5F2D709-E564-49B2-87AC-1DAB98233242}</author>
    <author>tc={17D1A26B-4911-49D5-BBA5-92D70EB7A3E3}</author>
    <author>tc={8AEDA471-6709-4BDA-97EE-68BCC7664871}</author>
    <author>tc={2C857250-316B-48A8-ACAF-04C384FD38F6}</author>
    <author>tc={7D4CA016-B681-4A85-A8AC-10ED5EA4A7B2}</author>
    <author>tc={12A29439-DF2C-40D1-A4BF-ECC7989A7637}</author>
  </authors>
  <commentList>
    <comment ref="H11" authorId="0" shapeId="0" xr:uid="{3DA4E858-2032-4AF7-A36E-A61DFD1E3B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TRSP</t>
      </text>
    </comment>
    <comment ref="H34" authorId="1" shapeId="0" xr:uid="{F66D161D-6244-4173-BC39-62C5E4A662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
Responder:
    SECRETARIA DA FAZENDA DO ESTADO DA BAHIA - NF8394, COMPETÊNCIA: MAIO/24 A ABRIL/25 - REAJUSTE</t>
      </text>
    </comment>
    <comment ref="H35" authorId="2" shapeId="0" xr:uid="{9C93BCB4-39C9-4D01-893E-3B96D0B854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
Responder:
    SECRETARIA DA FAZENDA DO ESTADO DA BAHIA - NF8395, COMPETÊNCIA: MAIO/24 A ABRIL/25 - REAJUSTE</t>
      </text>
    </comment>
    <comment ref="H36" authorId="3" shapeId="0" xr:uid="{2C7AB8A2-D6E6-4B39-9B50-D589A3EBEA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H37" authorId="4" shapeId="0" xr:uid="{E4FAA158-3F80-4A18-AEA0-7655E9AAB0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H38" authorId="5" shapeId="0" xr:uid="{286B912C-CDFC-4DAF-A53C-9CF51D2E2D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H39" authorId="6" shapeId="0" xr:uid="{1C6FCDD2-1196-4187-9F5C-D5A05B9EE2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H40" authorId="7" shapeId="0" xr:uid="{C723B6A7-3444-44C4-873F-48CB7AFCFE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H41" authorId="8" shapeId="0" xr:uid="{66B75883-523E-49B7-9DE0-D55981A704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H42" authorId="9" shapeId="0" xr:uid="{1162825E-A601-4DD5-8A83-A354AE8DD0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H47" authorId="10" shapeId="0" xr:uid="{2DA6A828-B3BB-449B-AAEA-6C5011F0C8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DEZEMBRO/24 - PROJETO</t>
      </text>
    </comment>
    <comment ref="H48" authorId="11" shapeId="0" xr:uid="{A7D300A3-4179-4FAB-A8D4-8DBDC6868A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DEZEMBRO/24 - PROJETO</t>
      </text>
    </comment>
    <comment ref="H49" authorId="12" shapeId="0" xr:uid="{3446EE87-8AC0-47A2-9DF4-754817D141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colocar na projeção 2025</t>
      </text>
    </comment>
    <comment ref="O50" authorId="13" shapeId="0" xr:uid="{0D2B74A5-7CBF-49BA-8BD2-A0BC59E32E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I65" authorId="14" shapeId="0" xr:uid="{429D2FCA-4493-49EA-8565-4B3502256E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Commit</t>
      </text>
    </comment>
    <comment ref="H78" authorId="15" shapeId="0" xr:uid="{2BFDC455-78C6-424B-9CF8-D1492491EF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I96" authorId="16" shapeId="0" xr:uid="{8C68DF42-7A5E-48CC-B608-22CD3250CA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Serviço adicional</t>
      </text>
    </comment>
    <comment ref="I104" authorId="17" shapeId="0" xr:uid="{ACF097CE-4196-4C07-8332-F4274AABEE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PARTE 2</t>
      </text>
    </comment>
    <comment ref="O137" authorId="18" shapeId="0" xr:uid="{477D6702-ABEE-408A-8EE2-66B3A69163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I185" authorId="19" shapeId="0" xr:uid="{98704FE2-8356-4ABA-AF7F-9EC6BA6BAA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7 dias, valor completo será de 2.300</t>
      </text>
    </comment>
    <comment ref="H190" authorId="20" shapeId="0" xr:uid="{CBB7DD59-D1DC-434C-AAE5-1106F38B9D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O236" authorId="21" shapeId="0" xr:uid="{5AA43B68-6D4A-4678-8C3D-C901607E47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237" authorId="22" shapeId="0" xr:uid="{50440141-7A09-4B41-92A6-00DA55EEAF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238" authorId="23" shapeId="0" xr:uid="{DC2C9C43-CA09-4C92-A57E-324D145844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239" authorId="24" shapeId="0" xr:uid="{1581EFB5-D83A-4886-9C53-52CF6F322B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249" authorId="25" shapeId="0" xr:uid="{73A969FF-9DC8-4109-BAAC-1D7A363B36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353" authorId="26" shapeId="0" xr:uid="{02430380-44AD-4606-82A5-F8CA9419F1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354" authorId="27" shapeId="0" xr:uid="{54CB89EE-B8CC-40D1-B6B1-07F8A80C3E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355" authorId="28" shapeId="0" xr:uid="{00D034BA-B4CF-42D3-A936-8135EAD264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356" authorId="29" shapeId="0" xr:uid="{360C8E26-7C97-4AA8-A8DC-E1F5B9AA57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368" authorId="30" shapeId="0" xr:uid="{52684642-9B02-472A-9A6E-17B0A4B45C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H397" authorId="31" shapeId="0" xr:uid="{052325F6-10AB-4F82-9D75-A412B9421E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Acho que é Abril
Responder:
    No formulário de fat. Está Março/25</t>
      </text>
    </comment>
    <comment ref="O462" authorId="32" shapeId="0" xr:uid="{C86C3879-90F6-43F6-8852-C70DFD0C3F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463" authorId="33" shapeId="0" xr:uid="{F2954A2D-5B79-4D2B-A4EC-D221859309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464" authorId="34" shapeId="0" xr:uid="{0C87EBE1-2EC6-4C97-BDCE-D8747173F3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465" authorId="35" shapeId="0" xr:uid="{8FF5AFA7-14BD-400D-ACD0-6BE6708FD4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466" authorId="36" shapeId="0" xr:uid="{3BECB962-8362-480C-8F91-CF59E764E5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478" authorId="37" shapeId="0" xr:uid="{4C931E45-2072-45BB-A188-C95661FA04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529" authorId="38" shapeId="0" xr:uid="{EC9F82A1-745B-493A-948C-E4BB1CE501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Contato com Jeane em 13/05/25, informei sobre o CC novo mas pediu para que deixasse no 1290.</t>
      </text>
    </comment>
    <comment ref="I558" authorId="39" shapeId="0" xr:uid="{368D843B-6B6A-41C4-88CB-382D28A4ABC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R$ 115.451,80 referente à diferença e projeção de despesas do exercício de 2024 (periodo de janeiro a dezembro de 2024)  e  R$ 41.789,44 , referente à projeção despesas do exercício de 2025 (periodo janeiro a abril 2025)- </t>
      </text>
    </comment>
    <comment ref="O580" authorId="40" shapeId="0" xr:uid="{214A2E37-D214-4426-8873-3331AC00A0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581" authorId="41" shapeId="0" xr:uid="{87F0F93F-BDF0-489B-BDC3-339DFD30CE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582" authorId="42" shapeId="0" xr:uid="{24383FB8-7EE9-4464-A5F8-9D089E44A5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583" authorId="43" shapeId="0" xr:uid="{54C5C105-C34A-477E-B87D-873ED4F8AD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584" authorId="44" shapeId="0" xr:uid="{D594F8CA-D380-4F88-8032-E3599BAB2C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585" authorId="45" shapeId="0" xr:uid="{E388AD25-7C75-463A-98F5-B6DCA01EA5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I588" authorId="46" shapeId="0" xr:uid="{B26C7E6B-EAC3-47DB-A94E-081143E5FB4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CONTRATUAL
ABRIL/25
Saldo da vigência anterior:
Fev =42.582,75
Mar =76226,92
Abr = 76226,92
*Conciliadores Nov: 85.077 </t>
      </text>
    </comment>
    <comment ref="O600" authorId="47" shapeId="0" xr:uid="{97421DF0-9053-41FD-BFC9-E7DA6D3BE0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H646" authorId="48" shapeId="0" xr:uid="{701CC272-D38D-45D1-B4C6-6035148925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MAIO/25 - RETROATIVO</t>
      </text>
    </comment>
    <comment ref="H675" authorId="49" shapeId="0" xr:uid="{3FC62921-2837-4B67-8DDA-3E296862EC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Rogerio: Recebimento retroativo abr2024 a 2025
Responder:
    COMPETÊNCIA: MAIO/25 - REAJUSTE</t>
      </text>
    </comment>
    <comment ref="O699" authorId="50" shapeId="0" xr:uid="{09F2BB93-6B24-4633-B921-91BB0952A6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700" authorId="51" shapeId="0" xr:uid="{0475B7A5-E158-42E3-91BD-B3745C4322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701" authorId="52" shapeId="0" xr:uid="{F976B88D-C906-4F93-AFC9-04CDDCB81F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702" authorId="53" shapeId="0" xr:uid="{F08B81D5-CDA8-48ED-A048-39EFEAA6D3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H718" authorId="54" shapeId="0" xr:uid="{686D1687-020B-4D9B-BA6C-5B084B5B42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JUNHO/25 - PROJETO</t>
      </text>
    </comment>
    <comment ref="O720" authorId="55" shapeId="0" xr:uid="{D0EEDCDE-F322-45CC-B32C-014F7EAEDA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J766" authorId="56" shapeId="0" xr:uid="{4C7F3629-6ACC-4AB9-BEA3-AAB9DC68BB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Glosa 2.316,11</t>
      </text>
    </comment>
    <comment ref="I799" authorId="57" shapeId="0" xr:uid="{2B8D7B0E-F1D1-44BE-8C29-43BB2050FD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I800" authorId="58" shapeId="0" xr:uid="{F0F6FC49-522F-4528-8BEB-6D90250173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O816" authorId="59" shapeId="0" xr:uid="{BF6E7FFF-712B-48FB-88C2-CA655992BC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817" authorId="60" shapeId="0" xr:uid="{46999DC6-E79A-484B-9B9A-3AADD01947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818" authorId="61" shapeId="0" xr:uid="{F9FC81A1-B731-4BE8-AC02-2BDFBE500E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819" authorId="62" shapeId="0" xr:uid="{349C83B6-9DF2-4107-BAFB-2FF1EF877B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837" authorId="63" shapeId="0" xr:uid="{B2D56717-9CE0-43F5-BCB9-1C07630333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838" authorId="64" shapeId="0" xr:uid="{9783A2AC-8BD3-4783-AFEB-1BC211DF67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839" authorId="65" shapeId="0" xr:uid="{3B4EEFD3-E746-4BB0-BDC7-3005892BD0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840" authorId="66" shapeId="0" xr:uid="{42DDB5FC-6E2B-4995-A89C-DA5BA91521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H887" authorId="67" shapeId="0" xr:uid="{79F026BD-92DB-4814-93DF-EA31C69ED9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REAJUSTE JANEIRO A JUNHO/25</t>
      </text>
    </comment>
    <comment ref="H950" authorId="68" shapeId="0" xr:uid="{BAC2AA61-611E-4A01-A1CA-49550B9B2A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JULHO/25 - PARTE 01</t>
      </text>
    </comment>
    <comment ref="H951" authorId="69" shapeId="0" xr:uid="{59D02851-9A69-4216-8A5E-6CB579A41D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(Aditivo:5º Termo de Aditamento)
período de 28/07/2025 a 31/07/2025.</t>
      </text>
    </comment>
    <comment ref="O978" authorId="70" shapeId="0" xr:uid="{D3BCFBFF-2432-4E3D-A276-E8B33FBD2E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979" authorId="71" shapeId="0" xr:uid="{AFBC7BD2-5E5A-4CE7-820C-75D909FC8A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980" authorId="72" shapeId="0" xr:uid="{8EC9088E-3BC9-490D-9C1B-8C51859C53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981" authorId="73" shapeId="0" xr:uid="{DF486F05-E5D6-4D12-AFB9-446025D614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1115" authorId="74" shapeId="0" xr:uid="{EB608017-CB6A-4B11-9D78-1B9568C113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1116" authorId="75" shapeId="0" xr:uid="{86F0A132-6DC3-440A-9F93-4165DD5048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1117" authorId="76" shapeId="0" xr:uid="{EA815585-ACCF-4A0B-8DF2-0B6B43B4F6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1118" authorId="77" shapeId="0" xr:uid="{28812886-D691-4937-8EA5-FB29DD0833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H1178" authorId="78" shapeId="0" xr:uid="{CB36A994-F1C4-4373-82B3-75279A1FEEE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NOVEMBRO/24 A DEZ/24 - REAJUSTE </t>
      </text>
    </comment>
    <comment ref="H1179" authorId="79" shapeId="0" xr:uid="{57C8B684-DEEF-4ADF-8259-AE91E6FBF4A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JANEIRO/25 A MAIO/25 - REAJUSTE </t>
      </text>
    </comment>
    <comment ref="H1180" authorId="80" shapeId="0" xr:uid="{B4312618-D775-47C7-9604-0BCF58A68E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SETEMBRO/25 - UST</t>
      </text>
    </comment>
    <comment ref="L1188" authorId="81" shapeId="0" xr:uid="{CB59AB0F-BF5C-4790-931E-E79483BA03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Cliente paga com 60 dias</t>
      </text>
    </comment>
    <comment ref="O1263" authorId="82" shapeId="0" xr:uid="{1C80D633-520C-425B-A8D4-730337B117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1264" authorId="83" shapeId="0" xr:uid="{9E6E98AC-4A63-4C9A-8EFB-6F15E3B957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1265" authorId="84" shapeId="0" xr:uid="{CDCBA47A-2CBE-4C05-94CB-86EA732466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1266" authorId="85" shapeId="0" xr:uid="{1A6632B7-376F-42B0-AED2-F6B0BF6552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H1415" authorId="86" shapeId="0" xr:uid="{613745DA-19DC-4E20-B594-F49DBF1B05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OUTUBRO/25 - UST</t>
      </text>
    </comment>
    <comment ref="H1420" authorId="87" shapeId="0" xr:uid="{AAD6AFE2-B307-4B77-BC10-65FA4704CA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- JUN/25 A SET/25</t>
      </text>
    </comment>
    <comment ref="H1470" authorId="88" shapeId="0" xr:uid="{866DB337-9CAE-400A-B491-25BAE6BCBB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OUTUBRO -  REAJUSTE SP1</t>
      </text>
    </comment>
    <comment ref="H1471" authorId="89" shapeId="0" xr:uid="{D77BDC90-C2AD-4872-BA80-535712079C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 -  REAJUSTE SP0</t>
      </text>
    </comment>
    <comment ref="H1475" authorId="90" shapeId="0" xr:uid="{181F0BB9-D2CA-4815-9F68-5969EB6DF7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Prestação de serviço ao GLPI /Inventário de ativos, realizado no mês de abril/26.</t>
      </text>
    </comment>
    <comment ref="H1763" authorId="91" shapeId="0" xr:uid="{75D9F5FF-067E-42EB-BAE4-311142E837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I1766" authorId="92" shapeId="0" xr:uid="{F99B9BD9-D3FF-4874-BE25-6D18EF243AA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2k projeto de ativos
</t>
      </text>
    </comment>
    <comment ref="H1804" authorId="93" shapeId="0" xr:uid="{5DA04FA8-A8D2-4B67-99B9-FB81AA00E6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 MARÇO/26</t>
      </text>
    </comment>
    <comment ref="H1805" authorId="94" shapeId="0" xr:uid="{92D431A8-D033-420D-9A30-7506C16E4C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O1807" authorId="95" shapeId="0" xr:uid="{B93FEB84-BF8D-467E-AF7F-6E55169FE0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1808" authorId="96" shapeId="0" xr:uid="{3DD5CAC4-D358-4F2E-AF63-042A7E86F4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1809" authorId="97" shapeId="0" xr:uid="{D8A79059-5B53-4C00-A943-786AFC419F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1810" authorId="98" shapeId="0" xr:uid="{39621FCC-38E4-47DC-97F6-1F3126DAB0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1811" authorId="99" shapeId="0" xr:uid="{8DD96F19-2C7C-46F2-8F45-087E3CC0B3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1812" authorId="100" shapeId="0" xr:uid="{B93C09EC-245A-4F1A-81B9-82C69C25F4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1813" authorId="101" shapeId="0" xr:uid="{077F1B25-36D0-4CD0-9FC8-49BF303C96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O1814" authorId="102" shapeId="0" xr:uid="{2718A1F1-ACBE-44FE-8E63-80213ECC35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I2038" authorId="103" shapeId="0" xr:uid="{82F98833-0D23-40FB-ACD9-686CB262F7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</t>
      </text>
    </comment>
    <comment ref="I2040" authorId="104" shapeId="0" xr:uid="{D680A1AC-561C-44C0-9196-BF5A30E116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108k + 1,5% reequilibrio</t>
      </text>
    </comment>
    <comment ref="H2042" authorId="105" shapeId="0" xr:uid="{5C7D5F91-ECF5-43B9-8CD2-EB39A8A88D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H2045" authorId="106" shapeId="0" xr:uid="{B58F4170-08FC-4BD4-988A-18827E7B75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maio/25</t>
      </text>
    </comment>
    <comment ref="I2046" authorId="107" shapeId="0" xr:uid="{65D3D93A-580F-4E41-9EBE-353CB91B65F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 de pagamento antecipado 
</t>
      </text>
    </comment>
    <comment ref="I2049" authorId="108" shapeId="0" xr:uid="{6243884A-8278-493A-82B4-BA5A5351E9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referente a UST disponível no contrato que precisa ser abatido do que foi realmente faturado + retroativo do reequilibrio que ainda não foi dado entrada</t>
      </text>
    </comment>
    <comment ref="I2050" authorId="109" shapeId="0" xr:uid="{AE4B1990-1382-47A9-9F1A-4008BD9190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referente a UST disponível no contrato que precisa ser abatido do que foi realmente faturado + retroativo do reequilibrio que ainda não foi dado entrada</t>
      </text>
    </comment>
    <comment ref="I2051" authorId="110" shapeId="0" xr:uid="{6B78F055-97AE-4E2D-9C93-1B247E8B0F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NOVEMBRO UST</t>
      </text>
    </comment>
    <comment ref="H2053" authorId="111" shapeId="0" xr:uid="{FB35799A-131B-44FA-ACD3-A9B0D215BA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 DEZEMBRO</t>
      </text>
    </comment>
    <comment ref="H2055" authorId="112" shapeId="0" xr:uid="{968335EE-8ABF-4A4F-A79B-19CCFBA9BE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H2056" authorId="113" shapeId="0" xr:uid="{4CAE9872-CFE2-40AB-A0DE-E5E1D94DE2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H2066" authorId="114" shapeId="0" xr:uid="{33FF4A21-A1C9-4E1D-AE8B-78648F47467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Parcial dezembro</t>
      </text>
    </comment>
    <comment ref="I2074" authorId="115" shapeId="0" xr:uid="{10324095-8381-4CA8-B410-57BB5E1B75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Mensal + reajuste</t>
      </text>
    </comment>
    <comment ref="H2076" authorId="116" shapeId="0" xr:uid="{4F0E9949-698B-4E57-8582-FA544F944F4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Retroativo período de 28/10/25 a 30/04/2026. </t>
      </text>
    </comment>
    <comment ref="H2086" authorId="117" shapeId="0" xr:uid="{37F9D90C-139C-4963-AC40-FB498D7D91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I2094" authorId="118" shapeId="0" xr:uid="{3AEBE4D2-3AD5-4FEF-B56D-EBD35AAA90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</t>
      </text>
    </comment>
    <comment ref="J2121" authorId="119" shapeId="0" xr:uid="{E399F134-DDAF-47C0-A6A2-8AEACDA4C8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Glosa 1.931,63. Recebido 218.282,06</t>
      </text>
    </comment>
    <comment ref="I2123" authorId="120" shapeId="0" xr:uid="{B60CD406-D9AD-4526-B835-95FE8B630A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Rogério Gordilho:
- 26k retroativo - alto risco
- previsão de reajuste de 5,5%</t>
      </text>
    </comment>
    <comment ref="H2124" authorId="121" shapeId="0" xr:uid="{939E333D-58FD-41AB-83BF-1FB5E8BFCB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I2124" authorId="122" shapeId="0" xr:uid="{4B475A2A-1C40-460D-A289-EC15B25163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Rogério Gordilho:
- 26k retroativo - alto risco
- previsão de reajuste de 5,5%</t>
      </text>
    </comment>
    <comment ref="H2126" authorId="123" shapeId="0" xr:uid="{5749D38A-B8DC-460C-8F0B-E3ABF6255E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I2128" authorId="124" shapeId="0" xr:uid="{F4D0E07D-0A48-4321-909D-5044CF5BDF4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contratual retroativo ao período de janeiro a abril/2026 = R$36.839,68 </t>
      </text>
    </comment>
    <comment ref="I2136" authorId="125" shapeId="0" xr:uid="{65F6436E-CC71-415C-8D55-EEB2819581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Rogério Gordilho:
- 26k retroativo - alto risco
- previsão de reajuste de 5,5%</t>
      </text>
    </comment>
    <comment ref="H2138" authorId="126" shapeId="0" xr:uid="{BD8D558A-1DE6-4691-A833-79943371F2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I2170" authorId="127" shapeId="0" xr:uid="{A48A9A48-58B3-4436-AF09-BB5D2C555B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Parcial Dezembro</t>
      </text>
    </comment>
    <comment ref="H2171" authorId="128" shapeId="0" xr:uid="{066196A8-97E2-4269-9CE9-138EF34225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H2172" authorId="129" shapeId="0" xr:uid="{E0249C58-DFB8-49D2-AFEC-58083688D5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H2173" authorId="130" shapeId="0" xr:uid="{8A71AE59-32FD-4EDD-9DB9-85185F4858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H2174" authorId="131" shapeId="0" xr:uid="{0D693115-22E6-4CD3-B1B3-F457243988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I2201" authorId="132" shapeId="0" xr:uid="{1CD915AF-FD19-49BE-B0A3-BB6BC6A361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I2202" authorId="133" shapeId="0" xr:uid="{7C517E3D-A648-4B41-BA1F-4C5B115488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I2203" authorId="134" shapeId="0" xr:uid="{72EA84E5-651A-4857-9F54-0EFD7C15F7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I2204" authorId="135" shapeId="0" xr:uid="{92F81C31-D984-4C4E-A929-A9C85983FC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I2229" authorId="136" shapeId="0" xr:uid="{40D7AA0A-39A2-4739-8C4C-45146DF37E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mensal reajustado conforme reequilibrio + diferença de reequilibrio de jan/25 a mai/26</t>
      </text>
    </comment>
    <comment ref="I2233" authorId="137" shapeId="0" xr:uid="{C6CD9756-52C4-4522-9E05-4F38FDDC95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Lizandra Serra Pimenta:
Reequilibrio: 53.139
Reajuste antigo: 607.000
Reajuste atual: 111.798</t>
      </text>
    </comment>
    <comment ref="H2239" authorId="138" shapeId="0" xr:uid="{0F51AC4B-7C34-4ACB-848B-A62B56D2A4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</t>
      </text>
    </comment>
    <comment ref="H2242" authorId="139" shapeId="0" xr:uid="{24B31657-308D-41E9-A6BC-0F569CACA1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H2243" authorId="140" shapeId="0" xr:uid="{751B5B7F-B754-4C02-9EE6-CE25E5DD7D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H2246" authorId="141" shapeId="0" xr:uid="{95970FA6-B968-4276-9489-3891F33804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I2254" authorId="142" shapeId="0" xr:uid="{A5A11F78-42A4-48BB-AAE4-2554214BD0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ANTONIO: 357k reequilíbrio esta na PGE, risco alto.
Responder:
    100k faturado em 12/12 maior que o previsto do mês (sem o reeq.)
Responder:
    PROJETO OS</t>
      </text>
    </comment>
    <comment ref="G2255" authorId="143" shapeId="0" xr:uid="{51B32E5B-321A-4C3A-88A3-5BE68F9C4F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Avisar a WAGNER quando for paga.</t>
      </text>
    </comment>
    <comment ref="I2259" authorId="144" shapeId="0" xr:uid="{64248C29-AA95-4E53-9F17-7D9B9A7258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ANTONIO: 357k reequilíbrio esta na PGE, risco alto.
Responder:
    100k faturado em 12/12 maior que o previsto do mês (sem o reeq.)</t>
      </text>
    </comment>
    <comment ref="G2271" authorId="145" shapeId="0" xr:uid="{EF605E47-EFF2-4A23-A837-ABBDB3A85B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Avisar a WAGNER quando for paga.</t>
      </text>
    </comment>
    <comment ref="H2289" authorId="146" shapeId="0" xr:uid="{2BB28A11-4393-4EE2-8825-2C3C596480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H2315" authorId="147" shapeId="0" xr:uid="{A2F5DFB8-2830-46A1-ABBC-88D5AADE35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I2322" authorId="148" shapeId="0" xr:uid="{4BC26688-400F-4A38-AF88-24E91C6702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Período 29 a 31/03</t>
      </text>
    </comment>
    <comment ref="I2328" authorId="149" shapeId="0" xr:uid="{C5F2D709-E564-49B2-87AC-1DAB982332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Período 01 a 28/03</t>
      </text>
    </comment>
    <comment ref="I2369" authorId="150" shapeId="0" xr:uid="{17D1A26B-4911-49D5-BBA5-92D70EB7A3E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Racional do retroativos reajuste 2026:
Janeiro: R$ 1.302,00 
Fevereiro: R$ 1.302,00 
Março: R$ 1.302,00 
Abril: R$ 1.302,00 
Total de: R$ 5.208,00
</t>
      </text>
    </comment>
    <comment ref="H2431" authorId="151" shapeId="0" xr:uid="{8AEDA471-6709-4BDA-97EE-68BCC76648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  <comment ref="H2432" authorId="152" shapeId="0" xr:uid="{2C857250-316B-48A8-ACAF-04C384FD38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  <comment ref="H2433" authorId="153" shapeId="0" xr:uid="{7D4CA016-B681-4A85-A8AC-10ED5EA4A7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  <comment ref="H2434" authorId="154" shapeId="0" xr:uid="{12A29439-DF2C-40D1-A4BF-ECC7989A76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tc={8AC96938-198C-4EA1-8EED-90B2E4EF4FD6}</author>
  </authors>
  <commentList>
    <comment ref="E36" authorId="0" shapeId="0" xr:uid="{8AC96938-198C-4EA1-8EED-90B2E4EF4F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 MARÇO/26</t>
      </text>
    </comment>
  </commentList>
</comments>
</file>

<file path=xl/sharedStrings.xml><?xml version="1.0" encoding="utf-8"?>
<sst xmlns="http://schemas.openxmlformats.org/spreadsheetml/2006/main" count="12727" uniqueCount="760">
  <si>
    <t>A RECEBER</t>
  </si>
  <si>
    <t>SIM</t>
  </si>
  <si>
    <t>FATURADO - A RECEBER</t>
  </si>
  <si>
    <t>FURNAS</t>
  </si>
  <si>
    <t>SABESP</t>
  </si>
  <si>
    <t xml:space="preserve"> FUNCEF</t>
  </si>
  <si>
    <t>IPLAN</t>
  </si>
  <si>
    <t>UFBA</t>
  </si>
  <si>
    <t>MOOHTECH</t>
  </si>
  <si>
    <t>DESATIVADO</t>
  </si>
  <si>
    <t>RECUPERAÇÃO JUDICIAL</t>
  </si>
  <si>
    <t>OI</t>
  </si>
  <si>
    <t>INEMA</t>
  </si>
  <si>
    <t>ITAU</t>
  </si>
  <si>
    <t>IBAMETRO</t>
  </si>
  <si>
    <t>SEC-BA</t>
  </si>
  <si>
    <t>AXIA</t>
  </si>
  <si>
    <t>SEBRAE</t>
  </si>
  <si>
    <t>SEFAZ_BA</t>
  </si>
  <si>
    <t>TJ_BA</t>
  </si>
  <si>
    <t>EMBASA</t>
  </si>
  <si>
    <t>FICO</t>
  </si>
  <si>
    <t>CARREFOUR</t>
  </si>
  <si>
    <t>PORTO_SEGURO</t>
  </si>
  <si>
    <t>SERASA</t>
  </si>
  <si>
    <t>RENDIMENTO</t>
  </si>
  <si>
    <t>DPE</t>
  </si>
  <si>
    <t>CC</t>
  </si>
  <si>
    <t>Excecutivo</t>
  </si>
  <si>
    <t>Grupo Cliente</t>
  </si>
  <si>
    <t>CLIENTE</t>
  </si>
  <si>
    <t>ATAKAREJO</t>
  </si>
  <si>
    <t>RITA ANDRADE</t>
  </si>
  <si>
    <t>DETRAN</t>
  </si>
  <si>
    <t>JOSÉ NETO</t>
  </si>
  <si>
    <t>FAPESB</t>
  </si>
  <si>
    <t>BRACELL</t>
  </si>
  <si>
    <t>MV</t>
  </si>
  <si>
    <t>ANDRÉ MOTA</t>
  </si>
  <si>
    <t>PETZ</t>
  </si>
  <si>
    <t>SANTANDER</t>
  </si>
  <si>
    <t>VR</t>
  </si>
  <si>
    <t>COMPASS</t>
  </si>
  <si>
    <t>SETTA</t>
  </si>
  <si>
    <t>GNC</t>
  </si>
  <si>
    <t>UNIPAR</t>
  </si>
  <si>
    <t>ENTREPAY</t>
  </si>
  <si>
    <t>SABESP - SD 2025 (1501)</t>
  </si>
  <si>
    <t>SEFAZ - BA ADS (1518)</t>
  </si>
  <si>
    <t>PREV . PAG</t>
  </si>
  <si>
    <t>STATUS</t>
  </si>
  <si>
    <t>RODRIGO CORUMBA</t>
  </si>
  <si>
    <t>BRADESCO</t>
  </si>
  <si>
    <t>SAFRA</t>
  </si>
  <si>
    <t>VOTORANTIM</t>
  </si>
  <si>
    <t>ADS</t>
  </si>
  <si>
    <t>BRADESCO_SEGUROS</t>
  </si>
  <si>
    <t>BPS</t>
  </si>
  <si>
    <t>CSA</t>
  </si>
  <si>
    <t>OP1</t>
  </si>
  <si>
    <t>LIZANDRA PIMENTA</t>
  </si>
  <si>
    <t>BU</t>
  </si>
  <si>
    <t>OP2</t>
  </si>
  <si>
    <t>MP_BA</t>
  </si>
  <si>
    <t>CYRO SALVATORE</t>
  </si>
  <si>
    <t>ANTONIO ALVES</t>
  </si>
  <si>
    <t>JOSÉ NETO COELHO</t>
  </si>
  <si>
    <t>EVANDRO BRAGA</t>
  </si>
  <si>
    <t>OP4</t>
  </si>
  <si>
    <t>CLOUD SERVICES (1389)</t>
  </si>
  <si>
    <t>ROGERIO GORDILHO</t>
  </si>
  <si>
    <t>OP</t>
  </si>
  <si>
    <t>OP3</t>
  </si>
  <si>
    <t xml:space="preserve">EXE AUCTIONS  </t>
  </si>
  <si>
    <t xml:space="preserve">ODONTOPREV </t>
  </si>
  <si>
    <t>BNP</t>
  </si>
  <si>
    <t>GAS_BRASILIANO</t>
  </si>
  <si>
    <t>NIVALDO AMORIM</t>
  </si>
  <si>
    <t>CENTRO_CUSTOS</t>
  </si>
  <si>
    <t>CONTRATO</t>
  </si>
  <si>
    <t>VERTICAL</t>
  </si>
  <si>
    <t>EXECUTIVO</t>
  </si>
  <si>
    <t>Dr_OPE</t>
  </si>
  <si>
    <t>SETOR</t>
  </si>
  <si>
    <t>DIRETORIA (1101)</t>
  </si>
  <si>
    <t>ADM/FIN</t>
  </si>
  <si>
    <t>ATIVO</t>
  </si>
  <si>
    <t>TX_ADM</t>
  </si>
  <si>
    <t>ALL</t>
  </si>
  <si>
    <t>PAULO MARCELO</t>
  </si>
  <si>
    <t>CORPORATIVO</t>
  </si>
  <si>
    <t>DIRETOR MARIO BRITO (1102)</t>
  </si>
  <si>
    <t>INATIVO</t>
  </si>
  <si>
    <t>FINANCEIRO (1103)</t>
  </si>
  <si>
    <t>ADMINISTRATIVO (1104)</t>
  </si>
  <si>
    <t>DEPARTAMENTO PESSOAL (DP) (1105)</t>
  </si>
  <si>
    <t>RH</t>
  </si>
  <si>
    <t>VIVIANE SANTOS</t>
  </si>
  <si>
    <t>QUALIDADE (1109)</t>
  </si>
  <si>
    <t>QUALIDADE</t>
  </si>
  <si>
    <t>APOIO COMERCIAL (1110)</t>
  </si>
  <si>
    <t>COMERCIAL</t>
  </si>
  <si>
    <t>AQUISIÇÕES PT SOLUTIS (1111)</t>
  </si>
  <si>
    <t>AQUIS_ESTACAO</t>
  </si>
  <si>
    <t>TALENT ACQUISITION (1114)</t>
  </si>
  <si>
    <t>MARKETING (1116)</t>
  </si>
  <si>
    <t>MKT</t>
  </si>
  <si>
    <t>DEBORA LIMA</t>
  </si>
  <si>
    <t>RECURSO INTERNO (1117)</t>
  </si>
  <si>
    <t>TI INTERNA CORPORATIVA (1118)</t>
  </si>
  <si>
    <t>TI_PLAT_CORP</t>
  </si>
  <si>
    <t>CDO – PRÉ VENDA (1119)</t>
  </si>
  <si>
    <t>CDO (1136)</t>
  </si>
  <si>
    <t>PSU (1139)</t>
  </si>
  <si>
    <t>MARIO AMERICO</t>
  </si>
  <si>
    <t>FS (1140)</t>
  </si>
  <si>
    <t>LUIS RICARDO MARTORELLI</t>
  </si>
  <si>
    <t>MS (1141)</t>
  </si>
  <si>
    <t>DCX (1142)</t>
  </si>
  <si>
    <t>ADS (1143)</t>
  </si>
  <si>
    <t>CPS (1144)</t>
  </si>
  <si>
    <t>CSA (1145)</t>
  </si>
  <si>
    <t>SALESFORCE (1146)</t>
  </si>
  <si>
    <t>PORT_FORMACAO</t>
  </si>
  <si>
    <t>TM Telecom/Mídia (1147)</t>
  </si>
  <si>
    <t>INFRA DIGITAL (1149)</t>
  </si>
  <si>
    <t>DPO - Proteção de Dados (1150)</t>
  </si>
  <si>
    <t>RPA (1151)</t>
  </si>
  <si>
    <t>D&amp;A (1152)</t>
  </si>
  <si>
    <t>BUSINESS PARTNER (BP) (1153)</t>
  </si>
  <si>
    <t>REMUNERAÇÃO &amp; BENEFÍCIOS (R&amp;B) (1154)</t>
  </si>
  <si>
    <t>PEOPLE ENGAGEMENT (1155)</t>
  </si>
  <si>
    <t>TIC (1156)</t>
  </si>
  <si>
    <t>TIC</t>
  </si>
  <si>
    <t>ACADEMY (1157)</t>
  </si>
  <si>
    <t>MANOEL NETO</t>
  </si>
  <si>
    <t>GESTÃO DE RH </t>
  </si>
  <si>
    <t>SOLUTIS LABS (1159)</t>
  </si>
  <si>
    <t>ANA PAULA BRAUN</t>
  </si>
  <si>
    <t>IV (1160)</t>
  </si>
  <si>
    <t>ESTRUTURAÇÃO FINANCIAL SERVICES (1161)</t>
  </si>
  <si>
    <t>CONSELHO (1162)</t>
  </si>
  <si>
    <t>CONSELHO</t>
  </si>
  <si>
    <t>PLATAFORMA CORPORATIVA (1163)</t>
  </si>
  <si>
    <t>PRODUTOS DIGITAIS (1164)</t>
  </si>
  <si>
    <t>PRÁTICA IA (1167)</t>
  </si>
  <si>
    <t>DESENVOLVIMENTO HUMANO ORGANIZACIONAL (DHO) (1170)</t>
  </si>
  <si>
    <t>UTILITIES (1171)</t>
  </si>
  <si>
    <t>CONVÊNIO UFBA (1172)</t>
  </si>
  <si>
    <t>DIRETORIA OPERAÇÕES – OP02 (1173)</t>
  </si>
  <si>
    <t>DIR_OPE</t>
  </si>
  <si>
    <t>DESPESAS GERAIS ESCRITÓRIO (1199)</t>
  </si>
  <si>
    <t>RECEITA TAXA ADMINISTRAÇÃO (6102)</t>
  </si>
  <si>
    <t>CRÉDITO</t>
  </si>
  <si>
    <t>RECEITA POSTO DE TRABALHO (6103)</t>
  </si>
  <si>
    <t>REPASSE P/DESP. OPERACIONAIS - PJ (6118)</t>
  </si>
  <si>
    <t>TRANSF. IMPOSTO S/FATURAMENTO (6119)</t>
  </si>
  <si>
    <t>PROCESSOS TRABALHISTAS (6120)</t>
  </si>
  <si>
    <t>CENTROS_CSA</t>
  </si>
  <si>
    <t>CUSTO_INDIRETO</t>
  </si>
  <si>
    <t>OPERAÇÕES</t>
  </si>
  <si>
    <t>OVERHEAD DE OPERAÇÕES (1201)</t>
  </si>
  <si>
    <t>COMERCIAL APLIC (1202)</t>
  </si>
  <si>
    <t>CENTRO DE COMPETÊNCIA APLICAÇÕES (1203)</t>
  </si>
  <si>
    <t>CENTRO DE DESENVOLVIMENTO (1204)</t>
  </si>
  <si>
    <t>SEFAZ - PMS Outsourcing (1205)</t>
  </si>
  <si>
    <t>EBAL APLICAÇÃO (1206)</t>
  </si>
  <si>
    <t>TJ - BA SUSTENTAÇÃO (1207)</t>
  </si>
  <si>
    <t>SECULT (1208)</t>
  </si>
  <si>
    <t>INVESTIMENTOS (1209)</t>
  </si>
  <si>
    <t>SEFAZ - PMS FSW (1210)</t>
  </si>
  <si>
    <t>SISTEMAS INTERNOS (1211)</t>
  </si>
  <si>
    <t>MANUTENÇÃO GIROWEB (1212)</t>
  </si>
  <si>
    <t>CONCREMAT (1213)</t>
  </si>
  <si>
    <t>DEFENSORIA - BA (1214)</t>
  </si>
  <si>
    <t>PRODEB (1215)</t>
  </si>
  <si>
    <t>PRODEB</t>
  </si>
  <si>
    <t>ATI - Aplicações (1216)</t>
  </si>
  <si>
    <t>TJ - BA N3 (1217)</t>
  </si>
  <si>
    <t>SABESP FSW - APLICAÇÃO (1218)</t>
  </si>
  <si>
    <t>CEPROMAT (MT) (1219)</t>
  </si>
  <si>
    <t>TJ - BA FSW (1220)</t>
  </si>
  <si>
    <t>SABESP - MONITORAMENTO (1221)</t>
  </si>
  <si>
    <t>UT</t>
  </si>
  <si>
    <t>AGILE DEV STUDIO (1222)</t>
  </si>
  <si>
    <t>KARINA MELO</t>
  </si>
  <si>
    <t>TJ - BA GOVERNANÇA (1223)</t>
  </si>
  <si>
    <t>UFBA FSW (1224)</t>
  </si>
  <si>
    <t>LE BISCUIT (1225)</t>
  </si>
  <si>
    <t xml:space="preserve">LE_BISCUIT </t>
  </si>
  <si>
    <t>UFBA CENTRAL DE SERVIÇOS (1226)</t>
  </si>
  <si>
    <t>SEC CENTRAL DE SERVIÇOS (1227)</t>
  </si>
  <si>
    <t>ENSEADA INDUSTRIA NAVAL (1228)</t>
  </si>
  <si>
    <t>ELETRONUCLEAR (1229)</t>
  </si>
  <si>
    <t>FAPESB (1230)</t>
  </si>
  <si>
    <t>PS</t>
  </si>
  <si>
    <t>CONSULTECH - MOURA DUBEAX (1231)</t>
  </si>
  <si>
    <t>AXIA N1 - MONITORAMENTO (1233)</t>
  </si>
  <si>
    <t>AERONAUTICA (1234)</t>
  </si>
  <si>
    <t>STUDIO RJ (1235)</t>
  </si>
  <si>
    <t>SEFAZ - MT (1236)</t>
  </si>
  <si>
    <t>SEC SISTEMAS (1237)</t>
  </si>
  <si>
    <t>DETRAN - BA (1238)</t>
  </si>
  <si>
    <t xml:space="preserve">DETRAN-BA </t>
  </si>
  <si>
    <t>SEC N3 (1239)</t>
  </si>
  <si>
    <t>TRF RJ (1240)</t>
  </si>
  <si>
    <t>TRF</t>
  </si>
  <si>
    <t>TJ - BA SERVICE DESK (1241)</t>
  </si>
  <si>
    <t>BAHIA GÁS (1242)</t>
  </si>
  <si>
    <t xml:space="preserve">BAHIA GÁS </t>
  </si>
  <si>
    <t>TRF - RJ Apoio (1243)</t>
  </si>
  <si>
    <t>SEBRAE-SP Sistemas (1244)</t>
  </si>
  <si>
    <t>EMBASA - Aplicações (1245)</t>
  </si>
  <si>
    <t>EBAL SD N1 e N2 (1246)</t>
  </si>
  <si>
    <t>IBAMETRO (1247)</t>
  </si>
  <si>
    <t>SEBRAE-SP Service Desk (1248)</t>
  </si>
  <si>
    <t>FURNAS - CONSULTORIA (1250)</t>
  </si>
  <si>
    <t>EUROP ASSISTANCE - ADS (1251)</t>
  </si>
  <si>
    <t>EUROP</t>
  </si>
  <si>
    <t>SUBVISA (1252)</t>
  </si>
  <si>
    <t>SEOP (1253)</t>
  </si>
  <si>
    <t>SME (1254)</t>
  </si>
  <si>
    <t>SMS (1255)</t>
  </si>
  <si>
    <t>SMASDH (1256)</t>
  </si>
  <si>
    <t>PROCON (1257)</t>
  </si>
  <si>
    <t>SMF (1258)</t>
  </si>
  <si>
    <t>SABESP - STUDIO MICROSOFT (1259)</t>
  </si>
  <si>
    <t>PETZ - ADS (1260)</t>
  </si>
  <si>
    <t>MS</t>
  </si>
  <si>
    <t>LE BISCUIT - SERVICE DESK (1261)</t>
  </si>
  <si>
    <t>BANCO RENDIMENTO ADS (1262)</t>
  </si>
  <si>
    <t>FS</t>
  </si>
  <si>
    <t>STUDIO SALESFORCE (1263)</t>
  </si>
  <si>
    <t>LE BISCUIT - MARKETING (1264)</t>
  </si>
  <si>
    <t>PREMIERPET (1265)</t>
  </si>
  <si>
    <t>PREMIERPET</t>
  </si>
  <si>
    <t>LE BISCUIT - LICENÇA SALESFORCE (1266)</t>
  </si>
  <si>
    <t>AGILE DEV STUDIO OP (1267)</t>
  </si>
  <si>
    <t>BANCO SANTANDER Agile Studio (1268)</t>
  </si>
  <si>
    <t>BANCO RENDIMENTO MONITORING CSA (1269)</t>
  </si>
  <si>
    <t>BUONNY - SP (1270)</t>
  </si>
  <si>
    <t>BUONNY</t>
  </si>
  <si>
    <t>SEC SD (1271)</t>
  </si>
  <si>
    <t>LE BISCUIT - SALESFORCE EXTENSÃO (1272)</t>
  </si>
  <si>
    <t>TJ - BA DIGITAL SUPPORT (1273)</t>
  </si>
  <si>
    <t>BRADESCO - PROJETOS (1274)</t>
  </si>
  <si>
    <t>VR (1275)</t>
  </si>
  <si>
    <t>SEC - BA SISTEMAS IND (1276)</t>
  </si>
  <si>
    <t>TJ - BA CPROD (1277)</t>
  </si>
  <si>
    <t>MP - RJ (1278)</t>
  </si>
  <si>
    <t>MP_RJ</t>
  </si>
  <si>
    <t>LE BISCUIT - CONSULTORIA SALESFORCE (1279)</t>
  </si>
  <si>
    <t>SF - MILLENA MOVEIS (1280)</t>
  </si>
  <si>
    <t xml:space="preserve"> MILLENA MOVEIS</t>
  </si>
  <si>
    <t>MV Sistemas RPA (1281)</t>
  </si>
  <si>
    <t>MV Sistemas</t>
  </si>
  <si>
    <t>SF - MV Sistemas (1282)</t>
  </si>
  <si>
    <t>ELETROBRAS - N1 (1283)</t>
  </si>
  <si>
    <t>EUROP - DC (1284)</t>
  </si>
  <si>
    <t>BRADESCO - EXPERIENCE (1285)</t>
  </si>
  <si>
    <t>PETZ - DC (1286)</t>
  </si>
  <si>
    <t>TJ - BA SISTEMAS (1287)</t>
  </si>
  <si>
    <t>SEC BA SISTEMAS  (1288)</t>
  </si>
  <si>
    <t>SEC N3 NOVO (1289)</t>
  </si>
  <si>
    <t>EMBASA - NOVO (1290)</t>
  </si>
  <si>
    <t>ELETROBRAS REMOTE SERVICE (1291)</t>
  </si>
  <si>
    <t>BRADESCO - SEGUROS (1292)</t>
  </si>
  <si>
    <t>BRADESCO - INDIRETOS (1293)</t>
  </si>
  <si>
    <t>BRADESCO - DS 2 (1294)</t>
  </si>
  <si>
    <t>OUTPOST ARQUITETURA (1295)</t>
  </si>
  <si>
    <t>FELIPE MACHADO</t>
  </si>
  <si>
    <t>ELETROBRAS DIGITAL SUPORT (1296)</t>
  </si>
  <si>
    <t>SF - MV MELHORIAS (1297)</t>
  </si>
  <si>
    <t>SEBRAE-SP DC NOVO (1298)</t>
  </si>
  <si>
    <t>SEC SIGEDUC (1299)</t>
  </si>
  <si>
    <t>ELETROBRAS RS NOVO (1300)</t>
  </si>
  <si>
    <t>DIRETORIA DE INTEGRAÇÃO (1301)</t>
  </si>
  <si>
    <t>COMERCIAL DE INTEGRAÇÃO (1302)</t>
  </si>
  <si>
    <t>CENTRO DE COMPETÊNCIA INFRA (1303)</t>
  </si>
  <si>
    <t>PRÉ-VENDA INTEGRAÇÃO (1304)</t>
  </si>
  <si>
    <t>EBAL N1 e N2 (1305)</t>
  </si>
  <si>
    <t>SABESP - CARAGUA (1306)</t>
  </si>
  <si>
    <t>INTEGRAÇÃO (1307)</t>
  </si>
  <si>
    <t>TJ - BA N2 (1308)</t>
  </si>
  <si>
    <t>OI - REDE GOVERNO - BA (1309)</t>
  </si>
  <si>
    <t>INVESTIMENTO INFRA (1310)</t>
  </si>
  <si>
    <t>SEFAZ - BA EMERGENCIAL (1311)</t>
  </si>
  <si>
    <t>INFRA DIGITAL E SECURITY (1312)</t>
  </si>
  <si>
    <t>OI - REDE GOVERNO - SE (1313)</t>
  </si>
  <si>
    <t>DIGITAL SUPPORT (1314)</t>
  </si>
  <si>
    <t>CS - N1 (1315)</t>
  </si>
  <si>
    <t>CS - N2 REMOTO (1316)</t>
  </si>
  <si>
    <t>DIGITAL OPERATION (1317)</t>
  </si>
  <si>
    <t>TI INTERNA - INFRA (1318)</t>
  </si>
  <si>
    <t>WIRELESS (1319)</t>
  </si>
  <si>
    <t>DEFENSORIA INFRA (1320)</t>
  </si>
  <si>
    <t>FURNAS - INFRA (1321)</t>
  </si>
  <si>
    <t>EBAL N3 (1322)</t>
  </si>
  <si>
    <t>SEFAZ - BA SERVICE DESK (1323)</t>
  </si>
  <si>
    <t>SEFAZ - BA OPERAÇÃO (1324)</t>
  </si>
  <si>
    <t>DIVERSOS CLIENTES (1325)</t>
  </si>
  <si>
    <t>CS - N2 CAMPO MOVEL (1326)</t>
  </si>
  <si>
    <t>INEMA N1 E N2 (1327)</t>
  </si>
  <si>
    <t>OI - SASC - BA (1328)</t>
  </si>
  <si>
    <t>DIGITAL MONITORING (1329)</t>
  </si>
  <si>
    <t>CS - N2 CAMPO FIXO (1330)</t>
  </si>
  <si>
    <t>IRDEB (1331)</t>
  </si>
  <si>
    <t>IRDEB</t>
  </si>
  <si>
    <t>OI - COGEL (1332)</t>
  </si>
  <si>
    <t>FURNAS - POLO REGIONAIS (1333)</t>
  </si>
  <si>
    <t>SERVICE TOOLS (1334)</t>
  </si>
  <si>
    <t>PRODESP (1335)</t>
  </si>
  <si>
    <t>SESAB - Secretaria de Saúde da Bahia (1336)</t>
  </si>
  <si>
    <t>SEFAZ - BA SISTEMAS (1337)</t>
  </si>
  <si>
    <t>FULLMETER (1338)</t>
  </si>
  <si>
    <t>FURNAS - FÁBRICA (1339)</t>
  </si>
  <si>
    <t>SABESP - SUPORTE CA (1340)</t>
  </si>
  <si>
    <t>INTEGRAÇÃO SABESP (1341)</t>
  </si>
  <si>
    <t>SEFAZ SEGMENTAÇÃO REDE (1342)</t>
  </si>
  <si>
    <t>eZVida – SESI (1343)</t>
  </si>
  <si>
    <t>EMBASA - Operação (1344)</t>
  </si>
  <si>
    <t>NOS INNOVATORS (1345)</t>
  </si>
  <si>
    <t>GESTÃO DE INFRAESTRUTURA (1346)</t>
  </si>
  <si>
    <t>WiFi ESCOLAS SEC/BA (1347)</t>
  </si>
  <si>
    <t>MP - BA (1348)</t>
  </si>
  <si>
    <t>REMOTE SERVICES (1349)</t>
  </si>
  <si>
    <t>FIELD SERVICES (1350)</t>
  </si>
  <si>
    <t>ADMINISTRATIVE SUPPORT (1351)</t>
  </si>
  <si>
    <t>SEFAZ - BA N3 (1352)</t>
  </si>
  <si>
    <t>QUALITY ASSURANCE (1353)</t>
  </si>
  <si>
    <t>BRADESCO - MOBILE (1354)</t>
  </si>
  <si>
    <t>CEABS - ADS (1355)</t>
  </si>
  <si>
    <t>CEABS</t>
  </si>
  <si>
    <t>BANCO SANTANDER ORACLE (1356)</t>
  </si>
  <si>
    <t>BANCO SAFRA Alocações (1357)</t>
  </si>
  <si>
    <t>INEMA N3 (1358)</t>
  </si>
  <si>
    <t>BANCO SICOOB CECRES (1359)</t>
  </si>
  <si>
    <t xml:space="preserve">SICOOB </t>
  </si>
  <si>
    <t>SERASA EXPERIAN (1360)</t>
  </si>
  <si>
    <t>FURNAS - MONITORAÇÃO (1361)</t>
  </si>
  <si>
    <t>OI - SERVICE DESK (1362)</t>
  </si>
  <si>
    <t>BANCO BV - VOTORANTIM (1363)</t>
  </si>
  <si>
    <t>FURNAS - CSC N2 (1364)</t>
  </si>
  <si>
    <t>BANCO BV - CONSULTORIA SALESFORCE (1365)</t>
  </si>
  <si>
    <t>BANCO BV</t>
  </si>
  <si>
    <t>SABESP - SD (1366)</t>
  </si>
  <si>
    <t>BANCO BV - LICENÇA SALESFORCE (1367)</t>
  </si>
  <si>
    <t>BANCO SANTANDER Iterfall (1368)</t>
  </si>
  <si>
    <t>PEFISA – Agile Studio (1369)</t>
  </si>
  <si>
    <t>PEFISA</t>
  </si>
  <si>
    <t>SEFAZ - BA DEV (1370)</t>
  </si>
  <si>
    <t>ASSESSO INFORMÁTICA - SP (1371)</t>
  </si>
  <si>
    <t>ASSESSO INFORMÁTICA</t>
  </si>
  <si>
    <t>DIGITAL CENTER (1372)</t>
  </si>
  <si>
    <t>SERVICE AUTOMATION (1373)</t>
  </si>
  <si>
    <t>BMG (1374)</t>
  </si>
  <si>
    <t>BMG</t>
  </si>
  <si>
    <t>SF - MARKETING (1375)</t>
  </si>
  <si>
    <t>SEBRAE-SP Digital Center (1376)</t>
  </si>
  <si>
    <t>HITSS – ADS (1377)</t>
  </si>
  <si>
    <t>HITSS</t>
  </si>
  <si>
    <t>SF – FUNCEF (1378)</t>
  </si>
  <si>
    <t>SF - MILLENA MOVEIS Mkt (1379)</t>
  </si>
  <si>
    <t>LE BISCUIT - SERVICE CLOUD (1380)</t>
  </si>
  <si>
    <t>PAGUE MENOS – DIGITAL MONITORING (1381)</t>
  </si>
  <si>
    <t xml:space="preserve">PAGUE MENOS </t>
  </si>
  <si>
    <t>TEMPO ASSIST - DC (1382)</t>
  </si>
  <si>
    <t>SF - REDECARD (1383)</t>
  </si>
  <si>
    <t>REDECARD</t>
  </si>
  <si>
    <t>CEABS - DC (1384)</t>
  </si>
  <si>
    <t>BANCO VOLKS (1385)</t>
  </si>
  <si>
    <t>SEFAZ - BA SD EMERGENCIAL (1386)</t>
  </si>
  <si>
    <t>SERASA DC (1387)</t>
  </si>
  <si>
    <t>SABESP - NETCONTROL (1388)</t>
  </si>
  <si>
    <t>OI - DIGITAL SUPORT (1390)</t>
  </si>
  <si>
    <t>BRADESCO - DS (1391)</t>
  </si>
  <si>
    <t>BRADESCO - SEGUROS INDIRETOS (1392)</t>
  </si>
  <si>
    <t>DETRAN - N3 (1393)</t>
  </si>
  <si>
    <t>SEFAZ - BA DIGITAL CENTER (1394)</t>
  </si>
  <si>
    <t>BANCO ITAU (1395)</t>
  </si>
  <si>
    <t>BRADESCO - FICO (1396)</t>
  </si>
  <si>
    <t>NATURA (1397)</t>
  </si>
  <si>
    <t>NATURA</t>
  </si>
  <si>
    <t>COMPASS (1398)</t>
  </si>
  <si>
    <t>SUPORTE SOFTWARE (1399)</t>
  </si>
  <si>
    <t>SABESP - MICROSOFT NOVO (1400)</t>
  </si>
  <si>
    <t>COMERCIAL OPERAÇÕES (1401)</t>
  </si>
  <si>
    <t>COMERCIAL CONSULTORIA (1402)</t>
  </si>
  <si>
    <t>CENTRO DE COMPETÊNCIA CONSULTORIA (1403)</t>
  </si>
  <si>
    <t>PDI OTP (1404)</t>
  </si>
  <si>
    <t>ARENAS (1405)</t>
  </si>
  <si>
    <t>SEGURANÇA (1407)</t>
  </si>
  <si>
    <t>CODASP (1408)</t>
  </si>
  <si>
    <t>MIDIA BUSINESS (1409)</t>
  </si>
  <si>
    <t>INTEGRAÇÃO ARENAS (1410)</t>
  </si>
  <si>
    <t>OPERAÇÃO ARENA FONTE NOVA (1411)</t>
  </si>
  <si>
    <t>OPERAÇÃO ARENA FONTE NOVA</t>
  </si>
  <si>
    <t>PDI PROPERTIES (1412)</t>
  </si>
  <si>
    <t>OPERAÇÃO ARENA PERNAMBUCO (1413)</t>
  </si>
  <si>
    <t>ARENAS</t>
  </si>
  <si>
    <t>OPERAÇÃO MARACANÃ (1414)</t>
  </si>
  <si>
    <t>OPERAÇÃO ARENA DAS DUNAS (1415)</t>
  </si>
  <si>
    <t>FIDELIDADE ODB (1416)</t>
  </si>
  <si>
    <t>CCR METRÔ (1417)</t>
  </si>
  <si>
    <t>CERIMONIAS CARIOCAS – Olimpíadas 2016 (1418)</t>
  </si>
  <si>
    <t>DC - COGEL (1419)</t>
  </si>
  <si>
    <t>DC - COGEL</t>
  </si>
  <si>
    <t>VERTEX (1420)</t>
  </si>
  <si>
    <t>SICOOB (1421)</t>
  </si>
  <si>
    <t>BANCO MAXIMA - SEGURANÇA (1422)</t>
  </si>
  <si>
    <t>NEXTIA (1423)</t>
  </si>
  <si>
    <t>NEXTIA</t>
  </si>
  <si>
    <t>SJDHDS - Ba (1424)</t>
  </si>
  <si>
    <t>SJDHDS</t>
  </si>
  <si>
    <t>CIELO (1425)</t>
  </si>
  <si>
    <t>SEFAZ - PMS_DEV. (1426)</t>
  </si>
  <si>
    <t>SEFAZ_PMS</t>
  </si>
  <si>
    <t>SECOM – Service Desk (1427)</t>
  </si>
  <si>
    <t>ANP - RenovaBio (1428)</t>
  </si>
  <si>
    <t>ANP</t>
  </si>
  <si>
    <t>FAPESB INFRA (1429)</t>
  </si>
  <si>
    <t>SICOOB-CECRES AppD (1430)</t>
  </si>
  <si>
    <t>DIRETORIA OPERAÇÕES SP (1431)</t>
  </si>
  <si>
    <t>A ALOCAR (1432)</t>
  </si>
  <si>
    <t>PRODEB Projeto MDS (1433)</t>
  </si>
  <si>
    <t>LE BISCUIT INFRA DIGITAL (1434)</t>
  </si>
  <si>
    <t>ROCK COMUNICAÇÕES (1435)</t>
  </si>
  <si>
    <t>ROCK COMUNICAÇÃO</t>
  </si>
  <si>
    <t>LE BISCUIT - LE CONSULTORES (1436)</t>
  </si>
  <si>
    <t>DC-COGEL 2020 (1437)</t>
  </si>
  <si>
    <t>DC-COGEL</t>
  </si>
  <si>
    <t>LE BISCUIT – RPA (1438)</t>
  </si>
  <si>
    <t>MOOHTECH - ADS (1439)</t>
  </si>
  <si>
    <t>WATERFY (1440)</t>
  </si>
  <si>
    <t xml:space="preserve">WATERFY </t>
  </si>
  <si>
    <t>VR - STARTUP ASSESSMENT (1441)</t>
  </si>
  <si>
    <t>SOTREQ (PJ1126) (1442)</t>
  </si>
  <si>
    <t xml:space="preserve">SOTREQ </t>
  </si>
  <si>
    <t>SF - GRANADO (1443)</t>
  </si>
  <si>
    <t>GRAMADO</t>
  </si>
  <si>
    <t>SF - INFORMAR SAÚDE (1444)</t>
  </si>
  <si>
    <t>INFORMAR SAÚDE</t>
  </si>
  <si>
    <t>FOXCONN - AGRUSTICK (1445)</t>
  </si>
  <si>
    <t>FOXCONN</t>
  </si>
  <si>
    <t>STATE_GRID (1446)</t>
  </si>
  <si>
    <t>STATE_GRID</t>
  </si>
  <si>
    <t>ADS - CUSTOS INDIRETOS (1447)</t>
  </si>
  <si>
    <t>ADS - CAPACITY (1448)</t>
  </si>
  <si>
    <t>CSA - CUSTOS INDIRETOS (1449)</t>
  </si>
  <si>
    <t>CSA - CAPACITY (1450)</t>
  </si>
  <si>
    <t>SF - MARJOM COLCHÕES (1451)</t>
  </si>
  <si>
    <t>MARJOM</t>
  </si>
  <si>
    <t>BPS – SALESFORCE CUSTOS INDIRETOS (1452)</t>
  </si>
  <si>
    <t>BPS - CAPACITY (1453)</t>
  </si>
  <si>
    <t>LE BISCUIT - ATENDIMENTO SAC (1454)</t>
  </si>
  <si>
    <t>ATAKAREJO N3 (1455)</t>
  </si>
  <si>
    <t>SF - MARJOM COLCHÕES SERVICE CLOUD (1456)</t>
  </si>
  <si>
    <t>SF - SALCOMP SALES CLOUD (1457)</t>
  </si>
  <si>
    <t>SALCOMP</t>
  </si>
  <si>
    <t>SF - ITAU (1458)</t>
  </si>
  <si>
    <t>SF - NATUZZI SERVICE CLOUD (1459)</t>
  </si>
  <si>
    <t>NATUZZI</t>
  </si>
  <si>
    <t>SF - SETTA SALES CLOUD (1460)</t>
  </si>
  <si>
    <t>SF - MASTER FINANCIAL SERVICE CLOUD (1461)</t>
  </si>
  <si>
    <t>MASTER</t>
  </si>
  <si>
    <t>GAS BRASILIANO (1462)</t>
  </si>
  <si>
    <t>SF - MASTER FINANCIAL MARKETING CLOUD (1463)</t>
  </si>
  <si>
    <t>MASTER ATENDIMENTO SERVICE CLOUD (1464)</t>
  </si>
  <si>
    <t>ADS – MASTER PERFIS (1465)</t>
  </si>
  <si>
    <t>SF - ITAU SALES CLOUD  (1466)</t>
  </si>
  <si>
    <t>SF - NAÇÃO (1467)</t>
  </si>
  <si>
    <t>Nação</t>
  </si>
  <si>
    <t>SF - SETTA MELHORIAS (1468)</t>
  </si>
  <si>
    <t>Outros Clientes de CSA (1469)</t>
  </si>
  <si>
    <t>OUTROS_CLIENTES</t>
  </si>
  <si>
    <t>GNC (1470)</t>
  </si>
  <si>
    <t>OBSERVABILITY (1471)</t>
  </si>
  <si>
    <t>FICO (1472)</t>
  </si>
  <si>
    <t>MP - BA I (1473)</t>
  </si>
  <si>
    <t>BRADESCO DS2 (CSA) (1474)</t>
  </si>
  <si>
    <t>FAPESB Sustentação (1475)</t>
  </si>
  <si>
    <t>DPE - BA Digital Center (1476)</t>
  </si>
  <si>
    <t>BPS – FICO CUSTOS INDIRETOS (1477)</t>
  </si>
  <si>
    <t>BANKLY (ADS) (1478)</t>
  </si>
  <si>
    <t>VR - Salesforce (1479)</t>
  </si>
  <si>
    <t>Entrepay ADS Alocação (1480)</t>
  </si>
  <si>
    <t>SANTANDER ESFERA (1481)</t>
  </si>
  <si>
    <t>REAL GRANDEZA (1482)</t>
  </si>
  <si>
    <t>UNIPAR (1483)</t>
  </si>
  <si>
    <t>BRADESCO - SEGUROS (BPS) (1484)</t>
  </si>
  <si>
    <t>PORTO SEGURO – ADS - Alocações (1485)</t>
  </si>
  <si>
    <t>PORTO SEGURO – CSA (1486)</t>
  </si>
  <si>
    <t>PORTO SEGURO – BPS (1487)</t>
  </si>
  <si>
    <t>BPS – FICO CAPACITY (1488)</t>
  </si>
  <si>
    <t>BANCO CARREFOUR (1489)</t>
  </si>
  <si>
    <t>EMBASA - Sustentação ITSM (1490)</t>
  </si>
  <si>
    <t>BNP Cardif (1491</t>
  </si>
  <si>
    <t>OUTPOST DADOS (1492)</t>
  </si>
  <si>
    <t>LEANDRO CORREIA</t>
  </si>
  <si>
    <t>SANTANDER CSA (1493)</t>
  </si>
  <si>
    <t>SANTANDER BPS (1494)</t>
  </si>
  <si>
    <t>BPS - CUSTOS INDIRETOS GERAL (1495)</t>
  </si>
  <si>
    <t>FICO - ITAÚ (1496)</t>
  </si>
  <si>
    <t>ATAKAREJO - PROJETOS (1497)</t>
  </si>
  <si>
    <t>ODONTOPREV - ADS (1498)</t>
  </si>
  <si>
    <t>BRACELL (1499)</t>
  </si>
  <si>
    <t>SERASA (BPS) (1500)</t>
  </si>
  <si>
    <t>BANCO RENDIMENTO SRE (1502)</t>
  </si>
  <si>
    <t>ENTREPAY-ADS-Projeto Data-Lake (1503)</t>
  </si>
  <si>
    <t>ENTREPAY-ADS-Projeto API (1504)</t>
  </si>
  <si>
    <t>ENTREPAY-CSA (1505)</t>
  </si>
  <si>
    <t>PORTO SEGURO – BPS – DYNAMICS (1506)</t>
  </si>
  <si>
    <t>BRADESCO SEGUROS (ADS) – BS2 (1507)</t>
  </si>
  <si>
    <t>BRADESCO SEGUROS (BPS) – BS2 (1508)</t>
  </si>
  <si>
    <t>SOCIOAMBIENTAL (1509)</t>
  </si>
  <si>
    <t>SOCIOAMBIENTAL</t>
  </si>
  <si>
    <t>INTEGRIDADE / GOVERNANÇA (1510)</t>
  </si>
  <si>
    <t xml:space="preserve">INTEGRIDADE / GOVERNANÇA </t>
  </si>
  <si>
    <t>EXE AUCTIONS  (1511)</t>
  </si>
  <si>
    <t>BRADESCO SEGUROS (CSA) – BS2 (1512)</t>
  </si>
  <si>
    <t>SERASA (CONTROLE - FC) (1513)</t>
  </si>
  <si>
    <t>TJ - BA SISTEMAS EMERGENCIAL (1514)</t>
  </si>
  <si>
    <t>ELETROBRAS - AXIA N3 (1515)</t>
  </si>
  <si>
    <t>PROJETO START ADS (1516)</t>
  </si>
  <si>
    <t>PROJETO START RH (1517)</t>
  </si>
  <si>
    <t>ELETROBRAS - AXIA Monitoramento (1519)</t>
  </si>
  <si>
    <t>SABESP  - BPS (1520)</t>
  </si>
  <si>
    <t>SANTANDER - CNPJ VR FASE 1 (1521)</t>
  </si>
  <si>
    <t>SANTANDER - MIGRAÇÃO ROBOS TOOLS FASE 1 (1522)</t>
  </si>
  <si>
    <t>SANTANDER - MODERNIZAÇÃO - APLICAÇÕES TERMO QUITAÇÃO (1523)</t>
  </si>
  <si>
    <t>ADS - OUTPOST STUDIO.AI (1524)</t>
  </si>
  <si>
    <t>TJ - BA (3134)</t>
  </si>
  <si>
    <t>LE BISCUIT (3135)</t>
  </si>
  <si>
    <t>BANCO RENDIMENTO (3136)</t>
  </si>
  <si>
    <t>OI SERVICE DESK (3137)</t>
  </si>
  <si>
    <t>OI REDE GOVERNO (3138)</t>
  </si>
  <si>
    <t>OI REDE BAHIA (3139)</t>
  </si>
  <si>
    <t>EMBASA (3140)</t>
  </si>
  <si>
    <t>MP - BA (3141)</t>
  </si>
  <si>
    <t>SABESP (3142)</t>
  </si>
  <si>
    <t>SEC (3143)</t>
  </si>
  <si>
    <t>SEBRAE - SP (3144)</t>
  </si>
  <si>
    <t>MP - RJ (3145)</t>
  </si>
  <si>
    <t>SOLUTIS (3146)</t>
  </si>
  <si>
    <t>ELETROBRAS (3147)</t>
  </si>
  <si>
    <t>SEFAZ - BA (3148)</t>
  </si>
  <si>
    <t>DIGOP - SEBRAE-SP (3149)</t>
  </si>
  <si>
    <t>DIGOP - ATAKAREJO (3150)</t>
  </si>
  <si>
    <t>DIGOP - SERV COMPARTILHADO (3151)</t>
  </si>
  <si>
    <t>DIGOP - TI INTERNA (3152)</t>
  </si>
  <si>
    <t>DIGOP - SEC BA (3153)</t>
  </si>
  <si>
    <t>DIGOP - TJ BA (3154)</t>
  </si>
  <si>
    <t>DIGOP - SEFAZ BA (3155)</t>
  </si>
  <si>
    <t>DIGOP - BANCO RENDIMENTO (3156)</t>
  </si>
  <si>
    <t>DIGOP - DETRAN-BA MAINFRAME (3157)</t>
  </si>
  <si>
    <t>DIGOP - COMPASS (3158)</t>
  </si>
  <si>
    <t>COMPASS (3159)</t>
  </si>
  <si>
    <t>DM - SHARED TEAM (3160)</t>
  </si>
  <si>
    <t>DM - ELETROBRÁS (3161)</t>
  </si>
  <si>
    <t>DM - SEFAZ BA (3162)</t>
  </si>
  <si>
    <t>DMO - BANCO RENDIMENTO (3163)</t>
  </si>
  <si>
    <t>DMO - TJ BA (3164)</t>
  </si>
  <si>
    <t>DPE (3165)</t>
  </si>
  <si>
    <t>DIGOP - DPE BA (3166)</t>
  </si>
  <si>
    <t>UNIPAR (3186)</t>
  </si>
  <si>
    <t>GNC (3167)</t>
  </si>
  <si>
    <t>FIELD SP (3169)</t>
  </si>
  <si>
    <t>PROGRAMA START (3170</t>
  </si>
  <si>
    <t xml:space="preserve">EVENTOS (1526)
</t>
  </si>
  <si>
    <t>DATA ANALYTICS (1531)</t>
  </si>
  <si>
    <t xml:space="preserve"> </t>
  </si>
  <si>
    <t>MÊS SERVIÇO</t>
  </si>
  <si>
    <t>A FATURAR</t>
  </si>
  <si>
    <t>Local</t>
  </si>
  <si>
    <t>TIPO</t>
  </si>
  <si>
    <t>NFE</t>
  </si>
  <si>
    <t>VL. FATURADO</t>
  </si>
  <si>
    <t>VL. LIQ. PRV.</t>
  </si>
  <si>
    <t>EMISSÃO</t>
  </si>
  <si>
    <t>DATA PAG.</t>
  </si>
  <si>
    <t>Risco</t>
  </si>
  <si>
    <t>NIVEL RISCO</t>
  </si>
  <si>
    <t>Vertical</t>
  </si>
  <si>
    <t>Diretor de Operações</t>
  </si>
  <si>
    <t>SATUS 2</t>
  </si>
  <si>
    <t>META</t>
  </si>
  <si>
    <t>SERVIÇO</t>
  </si>
  <si>
    <t>EM ABERTO</t>
  </si>
  <si>
    <t>PAGO</t>
  </si>
  <si>
    <t>Não existe</t>
  </si>
  <si>
    <t>Entrepay (1480)</t>
  </si>
  <si>
    <t>PORTO SEGURO – ADS (1485)</t>
  </si>
  <si>
    <t>BANCO SAFRA (1357)</t>
  </si>
  <si>
    <t>4423</t>
  </si>
  <si>
    <t>4424</t>
  </si>
  <si>
    <t>4425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</si>
  <si>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</si>
  <si>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</si>
  <si>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</si>
  <si>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</si>
  <si>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</si>
  <si>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</si>
  <si>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</si>
  <si>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</si>
  <si>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</si>
  <si>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</si>
  <si>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</si>
  <si>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4806</t>
  </si>
  <si>
    <t>4807</t>
  </si>
  <si>
    <t>4808</t>
  </si>
  <si>
    <t>4809</t>
  </si>
  <si>
    <t>4833</t>
  </si>
  <si>
    <t>4832</t>
  </si>
  <si>
    <t>4836</t>
  </si>
  <si>
    <t>4837</t>
  </si>
  <si>
    <t>4835</t>
  </si>
  <si>
    <t>4842</t>
  </si>
  <si>
    <t>4937</t>
  </si>
  <si>
    <t>4938</t>
  </si>
  <si>
    <t>4939</t>
  </si>
  <si>
    <t>4940</t>
  </si>
  <si>
    <t>4811</t>
  </si>
  <si>
    <t>4812</t>
  </si>
  <si>
    <t>4813</t>
  </si>
  <si>
    <t>4814</t>
  </si>
  <si>
    <t>4631</t>
  </si>
  <si>
    <t>4641</t>
  </si>
  <si>
    <t>4645</t>
  </si>
  <si>
    <t>4664</t>
  </si>
  <si>
    <t>4665</t>
  </si>
  <si>
    <t>4675</t>
  </si>
  <si>
    <t>4677</t>
  </si>
  <si>
    <t>4663</t>
  </si>
  <si>
    <t>4634</t>
  </si>
  <si>
    <t>4666</t>
  </si>
  <si>
    <t>4667</t>
  </si>
  <si>
    <t>4643</t>
  </si>
  <si>
    <t>4644</t>
  </si>
  <si>
    <t>4668</t>
  </si>
  <si>
    <t>4669</t>
  </si>
  <si>
    <t>4674</t>
  </si>
  <si>
    <t>4679</t>
  </si>
  <si>
    <t>4681</t>
  </si>
  <si>
    <t>4686</t>
  </si>
  <si>
    <t>4687</t>
  </si>
  <si>
    <t>4688</t>
  </si>
  <si>
    <t>4690</t>
  </si>
  <si>
    <t>4689</t>
  </si>
  <si>
    <t>4740</t>
  </si>
  <si>
    <t>4743</t>
  </si>
  <si>
    <t>4744</t>
  </si>
  <si>
    <t>4747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</si>
  <si>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</si>
  <si>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</si>
  <si>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</si>
  <si>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</si>
  <si>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</si>
  <si>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</si>
  <si>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</si>
  <si>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</si>
  <si>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</si>
  <si>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</si>
  <si>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</si>
  <si>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4778</t>
  </si>
  <si>
    <t>4872</t>
  </si>
  <si>
    <t>4874</t>
  </si>
  <si>
    <t>4875</t>
  </si>
  <si>
    <t>4876</t>
  </si>
  <si>
    <t>4877</t>
  </si>
  <si>
    <t>4879</t>
  </si>
  <si>
    <t>4878</t>
  </si>
  <si>
    <t>4886</t>
  </si>
  <si>
    <t>4887</t>
  </si>
  <si>
    <t>4888</t>
  </si>
  <si>
    <t>4889</t>
  </si>
  <si>
    <t>4891</t>
  </si>
  <si>
    <t>4892</t>
  </si>
  <si>
    <t>4896</t>
  </si>
  <si>
    <t>4898</t>
  </si>
  <si>
    <t>4899</t>
  </si>
  <si>
    <t>4900</t>
  </si>
  <si>
    <t>4901</t>
  </si>
  <si>
    <t>4902</t>
  </si>
  <si>
    <t>4739</t>
  </si>
  <si>
    <t>4745</t>
  </si>
  <si>
    <t>4746</t>
  </si>
  <si>
    <t>4978</t>
  </si>
  <si>
    <t>4979</t>
  </si>
  <si>
    <t>4980</t>
  </si>
  <si>
    <t>4981</t>
  </si>
  <si>
    <t>4982</t>
  </si>
  <si>
    <t>4984</t>
  </si>
  <si>
    <t>4985</t>
  </si>
  <si>
    <t>4986</t>
  </si>
  <si>
    <t>4989</t>
  </si>
  <si>
    <t>4993</t>
  </si>
  <si>
    <t>4995</t>
  </si>
  <si>
    <t>5004</t>
  </si>
  <si>
    <t>4991</t>
  </si>
  <si>
    <t>4992</t>
  </si>
  <si>
    <t>4996</t>
  </si>
  <si>
    <t>5000</t>
  </si>
  <si>
    <t>5002</t>
  </si>
  <si>
    <t>4994</t>
  </si>
  <si>
    <t>5003</t>
  </si>
  <si>
    <t>5005</t>
  </si>
  <si>
    <t>4990</t>
  </si>
  <si>
    <t>4997</t>
  </si>
  <si>
    <t>5001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</si>
  <si>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</si>
  <si>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</si>
  <si>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</si>
  <si>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</si>
  <si>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</si>
  <si>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</si>
  <si>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</si>
  <si>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</si>
  <si>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</si>
  <si>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</si>
  <si>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</si>
  <si>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5053</t>
  </si>
  <si>
    <t>UNIPAR_SD-OPS (1533)</t>
  </si>
  <si>
    <t>SANTANDER - PROJETO SATI ULTRA (1534)</t>
  </si>
  <si>
    <t>IBAMETRO DS (1525)</t>
  </si>
  <si>
    <t>5131</t>
  </si>
  <si>
    <t>5132</t>
  </si>
  <si>
    <t>5133</t>
  </si>
  <si>
    <t>5134</t>
  </si>
  <si>
    <t>5135</t>
  </si>
  <si>
    <t>5136</t>
  </si>
  <si>
    <t>5137</t>
  </si>
  <si>
    <t>5138</t>
  </si>
  <si>
    <t>Total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</si>
  <si>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</si>
  <si>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</si>
  <si>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</si>
  <si>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</si>
  <si>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</si>
  <si>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</si>
  <si>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</si>
  <si>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</si>
  <si>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</si>
  <si>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</si>
  <si>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</si>
  <si>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</si>
  <si>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</si>
  <si>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</si>
  <si>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</si>
  <si>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</si>
  <si>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5184</t>
  </si>
  <si>
    <t>5186</t>
  </si>
  <si>
    <t>5188</t>
  </si>
  <si>
    <t>5189</t>
  </si>
  <si>
    <t>5190</t>
  </si>
  <si>
    <t>5191</t>
  </si>
  <si>
    <t>IR</t>
  </si>
  <si>
    <t>CSL</t>
  </si>
  <si>
    <t>Vencimento</t>
  </si>
  <si>
    <t>Alto</t>
  </si>
  <si>
    <t>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</si>
</sst>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mmm\-yy;@"/>
    <numFmt numFmtId="165" formatCode="_-* #,##0_-;\-* #,##0_-;_-* &quot;-&quot;??_-;_-@_-"/>
    <numFmt numFmtId="166" formatCode="dd/mm/yy;@"/>
    <numFmt numFmtId="167" formatCode="_(* #,##0_);_(* \(#,##0\);_(* &quot;-&quot;??_);_(@_)"/>
    <numFmt numFmtId="168" formatCode="0.0000%"/>
    <numFmt numFmtId="169" formatCode="_(* #,##0.0000000_);_(* \(#,##0.0000000\);_(* &quot;-&quot;??_);_(@_)"/>
    <numFmt numFmtId="170" formatCode="_-* #,##0.0000_-;\-* #,##0.0000_-;_-* &quot;-&quot;??_-;_-@_-"/>
    <numFmt numFmtId="171" formatCode="_(* #,##0.0000_);_(* \(#,##0.0000\);_(* &quot;-&quot;??_);_(@_)"/>
    <numFmt numFmtId="172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8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10" borderId="0" applyNumberFormat="0" applyBorder="0" applyAlignment="0" applyProtection="0"/>
    <xf numFmtId="0" fontId="1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12" borderId="0" applyNumberFormat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1" fillId="0" borderId="0"/>
    <xf numFmtId="0" fontId="1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17" borderId="0" applyNumberFormat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5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166" fontId="0" fillId="0" borderId="0" xfId="4" applyNumberFormat="1" applyFont="1" applyFill="1" applyAlignment="1"/>
    <xf numFmtId="43" fontId="0" fillId="0" borderId="0" xfId="0" applyNumberFormat="1"/>
    <xf numFmtId="167" fontId="0" fillId="0" borderId="0" xfId="0" applyNumberFormat="1"/>
    <xf numFmtId="1" fontId="0" fillId="0" borderId="0" xfId="2" applyNumberFormat="1" applyFont="1" applyAlignment="1"/>
    <xf numFmtId="164" fontId="0" fillId="5" borderId="0" xfId="0" applyNumberFormat="1" applyFill="1"/>
    <xf numFmtId="165" fontId="0" fillId="0" borderId="0" xfId="2" applyNumberFormat="1" applyFont="1" applyFill="1" applyAlignment="1"/>
    <xf numFmtId="166" fontId="0" fillId="0" borderId="0" xfId="0" applyNumberFormat="1"/>
    <xf numFmtId="164" fontId="0" fillId="0" borderId="0" xfId="0" applyNumberFormat="1"/>
    <xf numFmtId="1" fontId="0" fillId="0" borderId="0" xfId="2" applyNumberFormat="1" applyFont="1" applyFill="1" applyAlignment="1"/>
    <xf numFmtId="43" fontId="2" fillId="0" borderId="0" xfId="2" applyFont="1" applyFill="1" applyAlignment="1"/>
    <xf numFmtId="164" fontId="0" fillId="3" borderId="0" xfId="0" applyNumberFormat="1" applyFill="1"/>
    <xf numFmtId="166" fontId="0" fillId="0" borderId="1" xfId="0" applyNumberFormat="1" applyBorder="1"/>
    <xf numFmtId="43" fontId="0" fillId="0" borderId="0" xfId="2" applyFont="1" applyFill="1" applyAlignment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Font="1"/>
    <xf numFmtId="1" fontId="0" fillId="0" borderId="0" xfId="2" applyNumberFormat="1" applyFont="1"/>
    <xf numFmtId="43" fontId="2" fillId="0" borderId="0" xfId="2" applyFont="1"/>
    <xf numFmtId="43" fontId="0" fillId="0" borderId="0" xfId="2" applyFont="1"/>
    <xf numFmtId="165" fontId="0" fillId="0" borderId="0" xfId="3" applyNumberFormat="1" applyFont="1"/>
    <xf numFmtId="166" fontId="0" fillId="0" borderId="0" xfId="4" applyNumberFormat="1" applyFont="1"/>
    <xf numFmtId="0" fontId="0" fillId="7" borderId="0" xfId="0" applyFill="1"/>
    <xf numFmtId="2" fontId="0" fillId="0" borderId="0" xfId="0" applyNumberFormat="1"/>
    <xf numFmtId="2" fontId="0" fillId="0" borderId="0" xfId="2" applyNumberFormat="1" applyFont="1" applyFill="1" applyAlignment="1"/>
    <xf numFmtId="0" fontId="0" fillId="0" borderId="1" xfId="0" applyBorder="1" applyAlignment="1">
      <alignment horizontal="center"/>
    </xf>
    <xf numFmtId="43" fontId="2" fillId="0" borderId="0" xfId="6" applyFont="1" applyFill="1" applyAlignment="1">
      <alignment horizontal="left" indent="2"/>
    </xf>
    <xf numFmtId="43" fontId="2" fillId="0" borderId="0" xfId="6" applyFont="1" applyAlignment="1">
      <alignment horizontal="left" indent="2"/>
    </xf>
    <xf numFmtId="166" fontId="2" fillId="0" borderId="0" xfId="0" applyNumberFormat="1" applyFont="1" applyAlignment="1">
      <alignment horizontal="center"/>
    </xf>
    <xf numFmtId="43" fontId="2" fillId="0" borderId="0" xfId="6" applyFont="1" applyFill="1" applyAlignment="1">
      <alignment horizontal="left" indent="3"/>
    </xf>
    <xf numFmtId="165" fontId="2" fillId="0" borderId="0" xfId="6" applyNumberFormat="1" applyFont="1" applyAlignment="1">
      <alignment horizontal="left" indent="2"/>
    </xf>
    <xf numFmtId="43" fontId="0" fillId="0" borderId="0" xfId="3" applyFont="1"/>
    <xf numFmtId="4" fontId="0" fillId="0" borderId="0" xfId="2" applyNumberFormat="1" applyFont="1"/>
    <xf numFmtId="43" fontId="2" fillId="0" borderId="0" xfId="6" applyFont="1" applyAlignment="1">
      <alignment horizontal="left" indent="3"/>
    </xf>
    <xf numFmtId="43" fontId="2" fillId="0" borderId="0" xfId="6" applyFont="1" applyFill="1" applyAlignment="1">
      <alignment horizontal="left" indent="4"/>
    </xf>
    <xf numFmtId="165" fontId="0" fillId="3" borderId="0" xfId="2" applyNumberFormat="1" applyFont="1" applyFill="1"/>
    <xf numFmtId="165" fontId="0" fillId="0" borderId="0" xfId="2" applyNumberFormat="1" applyFont="1" applyAlignment="1">
      <alignment horizontal="right"/>
    </xf>
    <xf numFmtId="3" fontId="0" fillId="0" borderId="0" xfId="2" applyNumberFormat="1" applyFont="1" applyFill="1" applyAlignment="1"/>
    <xf numFmtId="14" fontId="0" fillId="0" borderId="1" xfId="0" applyNumberFormat="1" applyBorder="1"/>
    <xf numFmtId="43" fontId="2" fillId="0" borderId="0" xfId="6" applyFont="1" applyAlignment="1">
      <alignment horizontal="left" indent="4"/>
    </xf>
    <xf numFmtId="3" fontId="0" fillId="0" borderId="0" xfId="2" applyNumberFormat="1" applyFont="1"/>
    <xf numFmtId="165" fontId="0" fillId="13" borderId="0" xfId="2" applyNumberFormat="1" applyFont="1" applyFill="1"/>
    <xf numFmtId="164" fontId="0" fillId="13" borderId="0" xfId="0" applyNumberFormat="1" applyFill="1"/>
    <xf numFmtId="164" fontId="0" fillId="6" borderId="0" xfId="0" applyNumberFormat="1" applyFill="1"/>
    <xf numFmtId="14" fontId="0" fillId="3" borderId="0" xfId="0" applyNumberFormat="1" applyFill="1"/>
    <xf numFmtId="165" fontId="2" fillId="0" borderId="0" xfId="6" applyNumberFormat="1" applyFont="1" applyFill="1" applyAlignment="1">
      <alignment horizontal="center"/>
    </xf>
    <xf numFmtId="165" fontId="2" fillId="0" borderId="0" xfId="6" applyNumberFormat="1" applyFont="1" applyFill="1" applyAlignment="1">
      <alignment horizontal="left" indent="2"/>
    </xf>
    <xf numFmtId="165" fontId="0" fillId="0" borderId="0" xfId="2" applyNumberFormat="1" applyFont="1" applyAlignment="1">
      <alignment horizontal="left" indent="2"/>
    </xf>
    <xf numFmtId="165" fontId="2" fillId="0" borderId="0" xfId="6" applyNumberFormat="1" applyFont="1" applyAlignment="1">
      <alignment horizontal="left" indent="3"/>
    </xf>
    <xf numFmtId="165" fontId="0" fillId="3" borderId="0" xfId="0" applyNumberFormat="1" applyFill="1"/>
    <xf numFmtId="0" fontId="6" fillId="0" borderId="0" xfId="0" applyFont="1"/>
    <xf numFmtId="165" fontId="13" fillId="4" borderId="0" xfId="6" applyNumberFormat="1" applyFont="1" applyFill="1" applyAlignment="1">
      <alignment horizontal="right"/>
    </xf>
    <xf numFmtId="164" fontId="6" fillId="5" borderId="0" xfId="0" applyNumberFormat="1" applyFont="1" applyFill="1"/>
    <xf numFmtId="165" fontId="6" fillId="0" borderId="0" xfId="2" applyNumberFormat="1" applyFont="1" applyFill="1" applyAlignment="1"/>
    <xf numFmtId="14" fontId="6" fillId="0" borderId="0" xfId="0" applyNumberFormat="1" applyFont="1"/>
    <xf numFmtId="166" fontId="6" fillId="0" borderId="0" xfId="0" applyNumberFormat="1" applyFont="1"/>
    <xf numFmtId="0" fontId="6" fillId="0" borderId="0" xfId="0" applyFont="1" applyAlignment="1">
      <alignment horizontal="center"/>
    </xf>
    <xf numFmtId="43" fontId="0" fillId="6" borderId="0" xfId="2" applyFont="1" applyFill="1"/>
    <xf numFmtId="164" fontId="0" fillId="9" borderId="0" xfId="0" applyNumberFormat="1" applyFill="1"/>
    <xf numFmtId="165" fontId="2" fillId="0" borderId="0" xfId="6" applyNumberFormat="1" applyFont="1" applyAlignment="1">
      <alignment horizontal="center"/>
    </xf>
    <xf numFmtId="164" fontId="0" fillId="18" borderId="0" xfId="0" applyNumberFormat="1" applyFill="1"/>
    <xf numFmtId="165" fontId="0" fillId="0" borderId="0" xfId="2" applyNumberFormat="1" applyFont="1" applyFill="1" applyAlignment="1">
      <alignment horizontal="right"/>
    </xf>
    <xf numFmtId="3" fontId="0" fillId="0" borderId="0" xfId="2" applyNumberFormat="1" applyFont="1" applyAlignment="1">
      <alignment horizontal="right"/>
    </xf>
    <xf numFmtId="0" fontId="8" fillId="0" borderId="0" xfId="45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3" xfId="45" applyFont="1" applyFill="1" applyBorder="1" applyAlignment="1">
      <alignment horizontal="left"/>
    </xf>
    <xf numFmtId="0" fontId="8" fillId="0" borderId="4" xfId="0" applyFont="1" applyBorder="1" applyAlignment="1">
      <alignment horizontal="left"/>
    </xf>
    <xf numFmtId="0" fontId="15" fillId="0" borderId="4" xfId="45" applyFont="1" applyFill="1" applyBorder="1" applyAlignment="1">
      <alignment horizontal="left"/>
    </xf>
    <xf numFmtId="0" fontId="8" fillId="0" borderId="3" xfId="45" applyFont="1" applyFill="1" applyBorder="1" applyAlignment="1">
      <alignment horizontal="left"/>
    </xf>
    <xf numFmtId="0" fontId="8" fillId="0" borderId="4" xfId="45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164" fontId="0" fillId="11" borderId="0" xfId="0" applyNumberFormat="1" applyFill="1"/>
    <xf numFmtId="165" fontId="0" fillId="11" borderId="0" xfId="2" applyNumberFormat="1" applyFont="1" applyFill="1"/>
    <xf numFmtId="14" fontId="0" fillId="11" borderId="0" xfId="0" applyNumberFormat="1" applyFill="1"/>
    <xf numFmtId="0" fontId="0" fillId="14" borderId="0" xfId="0" applyFill="1"/>
    <xf numFmtId="166" fontId="5" fillId="11" borderId="0" xfId="0" applyNumberFormat="1" applyFont="1" applyFill="1"/>
    <xf numFmtId="166" fontId="5" fillId="0" borderId="0" xfId="0" applyNumberFormat="1" applyFont="1"/>
    <xf numFmtId="165" fontId="5" fillId="0" borderId="0" xfId="2" applyNumberFormat="1" applyFont="1" applyFill="1" applyAlignment="1"/>
    <xf numFmtId="166" fontId="5" fillId="0" borderId="1" xfId="0" applyNumberFormat="1" applyFont="1" applyBorder="1"/>
    <xf numFmtId="166" fontId="5" fillId="7" borderId="0" xfId="0" applyNumberFormat="1" applyFont="1" applyFill="1"/>
    <xf numFmtId="4" fontId="0" fillId="0" borderId="0" xfId="0" applyNumberFormat="1" applyAlignment="1">
      <alignment horizontal="right"/>
    </xf>
    <xf numFmtId="43" fontId="0" fillId="15" borderId="0" xfId="2" applyFont="1" applyFill="1"/>
    <xf numFmtId="1" fontId="0" fillId="7" borderId="0" xfId="2" applyNumberFormat="1" applyFont="1" applyFill="1"/>
    <xf numFmtId="164" fontId="0" fillId="7" borderId="0" xfId="0" applyNumberFormat="1" applyFill="1"/>
    <xf numFmtId="43" fontId="0" fillId="7" borderId="0" xfId="2" applyFont="1" applyFill="1"/>
    <xf numFmtId="165" fontId="0" fillId="7" borderId="0" xfId="2" applyNumberFormat="1" applyFont="1" applyFill="1"/>
    <xf numFmtId="14" fontId="0" fillId="7" borderId="0" xfId="0" applyNumberFormat="1" applyFill="1"/>
    <xf numFmtId="166" fontId="0" fillId="7" borderId="0" xfId="0" applyNumberFormat="1" applyFill="1"/>
    <xf numFmtId="0" fontId="9" fillId="19" borderId="0" xfId="0" applyFont="1" applyFill="1" applyAlignment="1">
      <alignment horizontal="left" vertical="center" wrapText="1"/>
    </xf>
    <xf numFmtId="0" fontId="9" fillId="20" borderId="0" xfId="0" applyFont="1" applyFill="1" applyAlignment="1">
      <alignment horizontal="left" vertical="center" wrapText="1"/>
    </xf>
    <xf numFmtId="1" fontId="0" fillId="3" borderId="0" xfId="6" applyNumberFormat="1" applyFont="1" applyFill="1" applyAlignment="1">
      <alignment horizontal="right"/>
    </xf>
    <xf numFmtId="1" fontId="0" fillId="0" borderId="0" xfId="6" applyNumberFormat="1" applyFont="1" applyAlignment="1"/>
    <xf numFmtId="1" fontId="0" fillId="0" borderId="0" xfId="6" applyNumberFormat="1" applyFont="1" applyAlignment="1">
      <alignment horizontal="right"/>
    </xf>
    <xf numFmtId="1" fontId="0" fillId="0" borderId="0" xfId="6" applyNumberFormat="1" applyFont="1" applyFill="1" applyAlignment="1"/>
    <xf numFmtId="1" fontId="0" fillId="6" borderId="0" xfId="6" applyNumberFormat="1" applyFont="1" applyFill="1" applyAlignment="1"/>
    <xf numFmtId="1" fontId="0" fillId="0" borderId="0" xfId="6" applyNumberFormat="1" applyFont="1"/>
    <xf numFmtId="1" fontId="0" fillId="7" borderId="0" xfId="6" applyNumberFormat="1" applyFont="1" applyFill="1" applyAlignment="1">
      <alignment horizontal="right"/>
    </xf>
    <xf numFmtId="1" fontId="0" fillId="6" borderId="0" xfId="6" applyNumberFormat="1" applyFont="1" applyFill="1"/>
    <xf numFmtId="1" fontId="0" fillId="3" borderId="0" xfId="6" applyNumberFormat="1" applyFont="1" applyFill="1"/>
    <xf numFmtId="0" fontId="12" fillId="0" borderId="0" xfId="0" applyFont="1"/>
    <xf numFmtId="164" fontId="0" fillId="4" borderId="0" xfId="0" applyNumberFormat="1" applyFill="1"/>
    <xf numFmtId="165" fontId="0" fillId="0" borderId="0" xfId="6" applyNumberFormat="1" applyFont="1"/>
    <xf numFmtId="0" fontId="15" fillId="0" borderId="4" xfId="0" applyFont="1" applyBorder="1" applyAlignment="1">
      <alignment horizontal="left"/>
    </xf>
    <xf numFmtId="165" fontId="1" fillId="0" borderId="0" xfId="2" applyNumberFormat="1" applyFont="1"/>
    <xf numFmtId="0" fontId="16" fillId="3" borderId="0" xfId="0" applyFont="1" applyFill="1" applyAlignment="1">
      <alignment horizontal="center"/>
    </xf>
    <xf numFmtId="166" fontId="5" fillId="0" borderId="0" xfId="2" applyNumberFormat="1" applyFont="1" applyFill="1" applyAlignment="1"/>
    <xf numFmtId="166" fontId="2" fillId="0" borderId="0" xfId="2" applyNumberFormat="1" applyFont="1" applyFill="1" applyAlignment="1">
      <alignment horizontal="center"/>
    </xf>
    <xf numFmtId="166" fontId="2" fillId="0" borderId="0" xfId="0" applyNumberFormat="1" applyFont="1" applyAlignment="1">
      <alignment horizontal="left" indent="1"/>
    </xf>
    <xf numFmtId="166" fontId="2" fillId="0" borderId="0" xfId="0" applyNumberFormat="1" applyFont="1"/>
    <xf numFmtId="1" fontId="0" fillId="3" borderId="0" xfId="2" applyNumberFormat="1" applyFont="1" applyFill="1" applyAlignment="1"/>
    <xf numFmtId="0" fontId="0" fillId="3" borderId="0" xfId="0" applyFill="1"/>
    <xf numFmtId="1" fontId="0" fillId="3" borderId="0" xfId="6" applyNumberFormat="1" applyFont="1" applyFill="1" applyAlignment="1"/>
    <xf numFmtId="166" fontId="5" fillId="3" borderId="0" xfId="0" applyNumberFormat="1" applyFont="1" applyFill="1"/>
    <xf numFmtId="166" fontId="0" fillId="3" borderId="0" xfId="4" applyNumberFormat="1" applyFont="1" applyFill="1" applyAlignment="1"/>
    <xf numFmtId="14" fontId="2" fillId="3" borderId="0" xfId="0" applyNumberFormat="1" applyFont="1" applyFill="1" applyAlignment="1">
      <alignment horizontal="center"/>
    </xf>
    <xf numFmtId="165" fontId="2" fillId="3" borderId="0" xfId="6" applyNumberFormat="1" applyFont="1" applyFill="1" applyAlignment="1">
      <alignment horizontal="left" indent="2"/>
    </xf>
    <xf numFmtId="43" fontId="2" fillId="3" borderId="0" xfId="2" applyFont="1" applyFill="1" applyAlignment="1"/>
    <xf numFmtId="164" fontId="0" fillId="21" borderId="0" xfId="0" applyNumberFormat="1" applyFill="1"/>
    <xf numFmtId="1" fontId="0" fillId="7" borderId="0" xfId="6" applyNumberFormat="1" applyFont="1" applyFill="1" applyAlignment="1"/>
    <xf numFmtId="1" fontId="0" fillId="13" borderId="0" xfId="6" applyNumberFormat="1" applyFont="1" applyFill="1" applyAlignment="1"/>
    <xf numFmtId="1" fontId="0" fillId="14" borderId="0" xfId="6" applyNumberFormat="1" applyFont="1" applyFill="1" applyAlignment="1">
      <alignment horizontal="right"/>
    </xf>
    <xf numFmtId="1" fontId="0" fillId="8" borderId="0" xfId="6" applyNumberFormat="1" applyFont="1" applyFill="1" applyAlignment="1"/>
    <xf numFmtId="10" fontId="0" fillId="0" borderId="0" xfId="1" applyNumberFormat="1" applyFont="1"/>
    <xf numFmtId="10" fontId="0" fillId="0" borderId="0" xfId="0" applyNumberFormat="1"/>
    <xf numFmtId="168" fontId="0" fillId="0" borderId="0" xfId="1" applyNumberFormat="1" applyFont="1"/>
    <xf numFmtId="164" fontId="0" fillId="15" borderId="0" xfId="0" applyNumberFormat="1" applyFill="1"/>
    <xf numFmtId="4" fontId="0" fillId="0" borderId="0" xfId="0" applyNumberFormat="1"/>
    <xf numFmtId="169" fontId="0" fillId="0" borderId="0" xfId="0" applyNumberFormat="1"/>
    <xf numFmtId="170" fontId="0" fillId="0" borderId="0" xfId="0" applyNumberFormat="1"/>
    <xf numFmtId="165" fontId="0" fillId="18" borderId="0" xfId="2" applyNumberFormat="1" applyFont="1" applyFill="1"/>
    <xf numFmtId="171" fontId="0" fillId="0" borderId="0" xfId="0" applyNumberFormat="1"/>
    <xf numFmtId="16" fontId="0" fillId="0" borderId="0" xfId="0" applyNumberFormat="1"/>
    <xf numFmtId="166" fontId="5" fillId="16" borderId="0" xfId="0" applyNumberFormat="1" applyFont="1" applyFill="1"/>
    <xf numFmtId="1" fontId="0" fillId="14" borderId="0" xfId="6" applyNumberFormat="1" applyFont="1" applyFill="1" applyAlignment="1"/>
    <xf numFmtId="1" fontId="0" fillId="16" borderId="0" xfId="6" applyNumberFormat="1" applyFont="1" applyFill="1" applyAlignment="1"/>
    <xf numFmtId="1" fontId="0" fillId="16" borderId="0" xfId="0" applyNumberFormat="1" applyFill="1"/>
    <xf numFmtId="43" fontId="2" fillId="0" borderId="0" xfId="0" applyNumberFormat="1" applyFont="1"/>
    <xf numFmtId="1" fontId="0" fillId="0" borderId="0" xfId="0" applyNumberFormat="1"/>
    <xf numFmtId="14" fontId="5" fillId="0" borderId="0" xfId="2" applyNumberFormat="1" applyFont="1" applyFill="1" applyAlignment="1"/>
    <xf numFmtId="172" fontId="0" fillId="0" borderId="0" xfId="0" applyNumberFormat="1"/>
    <xf numFmtId="43" fontId="0" fillId="3" borderId="0" xfId="2" applyFont="1" applyFill="1"/>
    <xf numFmtId="1" fontId="0" fillId="22" borderId="0" xfId="6" applyNumberFormat="1" applyFont="1" applyFill="1" applyAlignment="1">
      <alignment horizontal="right"/>
    </xf>
    <xf numFmtId="43" fontId="0" fillId="0" borderId="0" xfId="6" applyFont="1"/>
    <xf numFmtId="0" fontId="18" fillId="23" borderId="5" xfId="0" applyFont="1" applyFill="1" applyBorder="1"/>
    <xf numFmtId="0" fontId="5" fillId="0" borderId="2" xfId="0" applyFont="1" applyBorder="1" applyAlignment="1">
      <alignment horizontal="left"/>
    </xf>
    <xf numFmtId="165" fontId="5" fillId="0" borderId="2" xfId="0" applyNumberFormat="1" applyFont="1" applyBorder="1"/>
    <xf numFmtId="0" fontId="0" fillId="0" borderId="2" xfId="0" applyBorder="1" applyAlignment="1">
      <alignment horizontal="left"/>
    </xf>
    <xf numFmtId="165" fontId="0" fillId="0" borderId="2" xfId="0" applyNumberFormat="1" applyBorder="1"/>
    <xf numFmtId="0" fontId="0" fillId="2" borderId="1" xfId="0" applyFill="1" applyBorder="1"/>
    <xf numFmtId="0" fontId="0" fillId="0" borderId="1" xfId="0" applyBorder="1"/>
    <xf numFmtId="0" fontId="18" fillId="23" borderId="1" xfId="0" applyFont="1" applyFill="1" applyBorder="1"/>
    <xf numFmtId="0" fontId="19" fillId="23" borderId="1" xfId="0" applyFont="1" applyFill="1" applyBorder="1"/>
    <xf numFmtId="165" fontId="20" fillId="4" borderId="1" xfId="6" applyNumberFormat="1" applyFont="1" applyFill="1" applyBorder="1" applyAlignment="1">
      <alignment horizontal="right"/>
    </xf>
    <xf numFmtId="164" fontId="19" fillId="5" borderId="1" xfId="0" applyNumberFormat="1" applyFont="1" applyFill="1" applyBorder="1"/>
    <xf numFmtId="165" fontId="19" fillId="23" borderId="1" xfId="2" applyNumberFormat="1" applyFont="1" applyFill="1" applyBorder="1" applyAlignment="1"/>
    <xf numFmtId="14" fontId="19" fillId="23" borderId="1" xfId="0" applyNumberFormat="1" applyFont="1" applyFill="1" applyBorder="1"/>
    <xf numFmtId="1" fontId="0" fillId="2" borderId="1" xfId="6" applyNumberFormat="1" applyFont="1" applyFill="1" applyBorder="1" applyAlignment="1">
      <alignment horizontal="right"/>
    </xf>
    <xf numFmtId="164" fontId="0" fillId="2" borderId="1" xfId="0" applyNumberFormat="1" applyFill="1" applyBorder="1"/>
    <xf numFmtId="165" fontId="0" fillId="3" borderId="1" xfId="2" applyNumberFormat="1" applyFont="1" applyFill="1" applyBorder="1"/>
    <xf numFmtId="165" fontId="0" fillId="2" borderId="1" xfId="2" applyNumberFormat="1" applyFont="1" applyFill="1" applyBorder="1"/>
    <xf numFmtId="14" fontId="0" fillId="2" borderId="1" xfId="0" applyNumberFormat="1" applyFill="1" applyBorder="1"/>
    <xf numFmtId="1" fontId="0" fillId="0" borderId="1" xfId="6" applyNumberFormat="1" applyFont="1" applyBorder="1" applyAlignment="1">
      <alignment horizontal="right"/>
    </xf>
    <xf numFmtId="164" fontId="0" fillId="0" borderId="1" xfId="0" applyNumberFormat="1" applyBorder="1"/>
    <xf numFmtId="43" fontId="0" fillId="3" borderId="1" xfId="2" applyFont="1" applyFill="1" applyBorder="1"/>
    <xf numFmtId="165" fontId="0" fillId="0" borderId="1" xfId="2" applyNumberFormat="1" applyFont="1" applyBorder="1"/>
    <xf numFmtId="43" fontId="0" fillId="0" borderId="1" xfId="2" applyFont="1" applyBorder="1"/>
    <xf numFmtId="1" fontId="0" fillId="2" borderId="1" xfId="6" applyNumberFormat="1" applyFont="1" applyFill="1" applyBorder="1" applyAlignment="1"/>
    <xf numFmtId="43" fontId="0" fillId="2" borderId="1" xfId="2" applyFont="1" applyFill="1" applyBorder="1"/>
    <xf numFmtId="1" fontId="0" fillId="3" borderId="1" xfId="6" applyNumberFormat="1" applyFont="1" applyFill="1" applyBorder="1"/>
    <xf numFmtId="164" fontId="0" fillId="0" borderId="0" xfId="0" applyNumberFormat="1" applyAlignment="1">
      <alignment horizontal="right"/>
    </xf>
  </cellXfs>
  <cellStyles count="48">
    <cellStyle name="60% - Ênfase3 2" xfId="20" xr:uid="{B2E45479-FAED-4D65-A8A8-092016EDF7FD}"/>
    <cellStyle name="Comma 2" xfId="8" xr:uid="{6D1281B6-2530-4966-814D-0BB8A7443DD8}"/>
    <cellStyle name="Currency 2" xfId="9" xr:uid="{C8E55730-0D6A-4DE5-8958-D0DEB873009D}"/>
    <cellStyle name="Ênfase3 2" xfId="10" xr:uid="{57F24690-79F0-4EDC-B8DA-453104D7AA8C}"/>
    <cellStyle name="Moeda 2" xfId="47" xr:uid="{8D5A801E-7AA0-44A1-AF3A-4A438327DDC8}"/>
    <cellStyle name="Normal" xfId="0" builtinId="0"/>
    <cellStyle name="Normal 2" xfId="11" xr:uid="{C65E88DA-6592-434D-97F4-510A2936BBA5}"/>
    <cellStyle name="Normal 2 2" xfId="25" xr:uid="{7217FA77-3397-4173-A749-872F6B0619FE}"/>
    <cellStyle name="Normal 3" xfId="12" xr:uid="{CE01EF3E-13D9-4EDE-9279-1EB12FAAED94}"/>
    <cellStyle name="Normal 3 2" xfId="26" xr:uid="{8FCC677A-C7E2-4D98-83D6-EEDCE881435D}"/>
    <cellStyle name="Normal 4" xfId="17" xr:uid="{2F32DD14-5974-44F0-8556-5AFF0C7EA32B}"/>
    <cellStyle name="Normal 4 2" xfId="22" xr:uid="{E74B7E90-E83E-4925-B2A9-F1391B9BFCB0}"/>
    <cellStyle name="Normal 4 3" xfId="27" xr:uid="{C0EA39EF-C5E0-4C30-847B-C0F82C4650A7}"/>
    <cellStyle name="Porcentagem" xfId="1" builtinId="5"/>
    <cellStyle name="Porcentagem 2" xfId="13" xr:uid="{CD5EF209-5C60-4434-A185-F51AA6C0D2B6}"/>
    <cellStyle name="Porcentagem 2 2 2" xfId="21" xr:uid="{888A5291-D255-412C-8234-A5B3B9E1F2B7}"/>
    <cellStyle name="Porcentagem 3" xfId="14" xr:uid="{3921E475-5607-4481-800F-9E4C27707162}"/>
    <cellStyle name="Ruim" xfId="45" builtinId="27"/>
    <cellStyle name="Separador de milhares 2" xfId="46" xr:uid="{243D8F56-D4FC-4D7A-B3D9-0B01009E6F8A}"/>
    <cellStyle name="Vírgula" xfId="6" builtinId="3"/>
    <cellStyle name="Vírgula 2" xfId="7" xr:uid="{8DAAADED-BEF6-4009-9D56-33A3B801C8D0}"/>
    <cellStyle name="Vírgula 2 13" xfId="24" xr:uid="{950289A6-BDDB-42B0-895A-FFF1296D3AE2}"/>
    <cellStyle name="Vírgula 2 13 2" xfId="37" xr:uid="{0320B86C-70B7-411C-A959-8E98DEB86A08}"/>
    <cellStyle name="Vírgula 2 2" xfId="19" xr:uid="{BDDF919B-05AF-4664-B536-D955DCE3D138}"/>
    <cellStyle name="Vírgula 2 2 2" xfId="18" xr:uid="{71AE070D-BF39-4693-94BC-FD6FB688A23E}"/>
    <cellStyle name="Vírgula 2 2 2 2" xfId="23" xr:uid="{58044EAC-1CF4-47A4-846D-A02D11B576C3}"/>
    <cellStyle name="Vírgula 2 2 2 2 2" xfId="36" xr:uid="{DCA45C21-A97D-4F2A-8D10-46EEEB3563EE}"/>
    <cellStyle name="Vírgula 2 2 3" xfId="35" xr:uid="{3393C1C9-9E5D-42E6-B0AD-FAE27B049CE9}"/>
    <cellStyle name="Vírgula 3" xfId="15" xr:uid="{CC01CD6C-1909-4521-8DB5-E26D386DD08A}"/>
    <cellStyle name="Vírgula 3 2" xfId="2" xr:uid="{D25B88C5-9682-4D47-BFDF-9EF187055F09}"/>
    <cellStyle name="Vírgula 3 2 2" xfId="3" xr:uid="{B4B0E00D-46F1-4506-A444-1A04976D154E}"/>
    <cellStyle name="Vírgula 3 2 2 2" xfId="40" xr:uid="{F3D2B0E4-7009-4129-8D7B-B813AAD140AD}"/>
    <cellStyle name="Vírgula 3 2 2 3" xfId="30" xr:uid="{6C92460A-F946-409A-B6C7-B97936DD94EC}"/>
    <cellStyle name="Vírgula 3 2 3" xfId="5" xr:uid="{1459E03E-7DD6-4934-A73E-D5014C0BC1E4}"/>
    <cellStyle name="Vírgula 3 2 3 2" xfId="42" xr:uid="{5EB2F143-19A6-469E-A8ED-06EF4CA4AB49}"/>
    <cellStyle name="Vírgula 3 2 3 3" xfId="32" xr:uid="{974BDCED-2810-442F-AC85-98A029A14FC2}"/>
    <cellStyle name="Vírgula 3 2 4" xfId="39" xr:uid="{E87E7118-B957-4EFD-B0B6-243C16939D9A}"/>
    <cellStyle name="Vírgula 3 2 5" xfId="29" xr:uid="{8F30A0F6-EA3D-433E-97ED-E4FDDF3D00F5}"/>
    <cellStyle name="Vírgula 3 3" xfId="38" xr:uid="{C8ED1AE6-39D3-4D68-986B-FA5B9A0470C2}"/>
    <cellStyle name="Vírgula 3 4" xfId="28" xr:uid="{BA15D141-5069-479F-AD41-B887F3B85BFA}"/>
    <cellStyle name="Vírgula 4" xfId="33" xr:uid="{C14B6BBB-C294-41C8-A990-9113C74BB448}"/>
    <cellStyle name="Vírgula 4 2" xfId="43" xr:uid="{CB51217A-A094-4672-B6A0-8ABF3DAECFEF}"/>
    <cellStyle name="Vírgula 5" xfId="34" xr:uid="{77D68A88-93B3-453C-A357-F20B3C36E3E8}"/>
    <cellStyle name="Vírgula 6" xfId="44" xr:uid="{737409C7-440E-4A67-99AD-118BED114832}"/>
    <cellStyle name="Vírgula 7" xfId="16" xr:uid="{A4B4941D-4946-481F-A8E5-4390EE2E2D57}"/>
    <cellStyle name="Vírgula 9 2 2" xfId="4" xr:uid="{EC8A83A8-D1F6-4388-9D4E-7DD5FB697F03}"/>
    <cellStyle name="Vírgula 9 2 2 2" xfId="41" xr:uid="{C8E502C4-5C0C-4934-BFF6-14C7B777B9B0}"/>
    <cellStyle name="Vírgula 9 2 2 3" xfId="31" xr:uid="{E1EBD2F9-0133-44DC-8842-7F45277182A5}"/>
  </cellStyles>
  <dxfs count="79"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numFmt numFmtId="166" formatCode="dd/mm/yy;@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  <alignment horizontal="center" vertical="bottom" textRotation="0" wrapText="0" indent="0" justifyLastLine="0" shrinkToFit="0" readingOrder="0"/>
    </dxf>
    <dxf>
      <numFmt numFmtId="166" formatCode="dd/mm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/mm/yy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/mm/yy;@"/>
    </dxf>
    <dxf>
      <font>
        <b/>
      </font>
      <numFmt numFmtId="166" formatCode="dd/mm/yy;@"/>
      <alignment horizontal="general" vertical="bottom" textRotation="0" wrapText="0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numFmt numFmtId="164" formatCode="[$-416]mmm\-yy;@"/>
      <alignment horizontal="right" vertical="bottom" textRotation="0" wrapText="0" indent="0" justifyLastLine="0" shrinkToFit="0" readingOrder="0"/>
    </dxf>
    <dxf>
      <numFmt numFmtId="164" formatCode="[$-416]mmm\-yy;@"/>
      <alignment horizontal="general" vertical="bottom" textRotation="0" wrapText="0" indent="0" justifyLastLine="0" shrinkToFit="0" readingOrder="0"/>
    </dxf>
    <dxf>
      <numFmt numFmtId="1" formatCode="0"/>
    </dxf>
    <dxf>
      <numFmt numFmtId="1" formatCode="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" formatCode="0"/>
    </dxf>
    <dxf>
      <numFmt numFmtId="1" formatCode="0"/>
      <alignment horizontal="general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general" vertical="bottom" textRotation="0" wrapText="0" indent="0" justifyLastLine="0" shrinkToFit="0" readingOrder="0"/>
    </dxf>
    <dxf>
      <numFmt numFmtId="166" formatCode="dd/mm/yy;@"/>
    </dxf>
  </dxfs>
  <tableStyles count="0" defaultTableStyle="TableStyleMedium2" defaultPivotStyle="PivotStyleLight16"/>
  <colors>
    <mruColors>
      <color rgb="FF5A82CA"/>
      <color rgb="FFECF0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tonio Carlos da Costa Alves Junior" id="{508ED0A5-28C6-4BD0-BA76-F59BC2385554}" userId="S::antonio.alves@solutis.com.br::d165caa1-67ec-4576-8f3a-4fc03e3a3a15" providerId="AD"/>
  <person displayName="Evandro Goncalves Braga" id="{98DC1C35-8413-4FD6-AF8B-976297C30AC6}" userId="S::evandro.braga@solutis.com.br::26b54e86-40cb-4ed5-9d7c-206a599ba3f9" providerId="AD"/>
  <person displayName="Vitor Guimaraes Esteves" id="{67D415DC-73B9-4445-A002-91A513CC875D}" userId="S::vitor.esteves@solutis.com.br::1c35a8d0-97cf-49d6-b655-fd7b635dac1e" providerId="AD"/>
  <person displayName="Gisele Cerqueira Conceicao" id="{E0F4F622-67A1-4BAE-AC1D-4359BE6B1935}" userId="S::gisele.conceicao@solutis.com.br::a044c758-f0ec-4df5-9aac-2222c5c2f3d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CEE88F-378C-4292-B472-EE23718FB10B}" name="Tabela1" displayName="Tabela1" ref="A1:W2440" totalsRowCount="1" totalsRowDxfId="78">
  <autoFilter ref="A1:W2439" xr:uid="{DCCEE88F-378C-4292-B472-EE23718FB10B}"/>
  <tableColumns count="23">
    <tableColumn id="5" xr3:uid="{F1048976-94C3-4982-AFA9-D4633558AD4B}" name="CC" dataDxfId="77" totalsRowDxfId="76" dataCellStyle="Vírgula 3 2"/>
    <tableColumn id="20" xr3:uid="{D0BDB600-F8D6-429C-84C9-85A8008FB1BE}" name="Local" dataDxfId="75" totalsRowDxfId="74">
      <calculatedColumnFormula>IFERROR(VLOOKUP(Tabela1[[#This Row],[CC]],#REF!,5,0),"")</calculatedColumnFormula>
    </tableColumn>
    <tableColumn id="1" xr3:uid="{32C29382-E2DD-410B-98B3-5678ED7AE8E8}" name="Excecutivo" dataDxfId="73" totalsRowDxfId="72" dataCellStyle="Vírgula 3 2"/>
    <tableColumn id="3" xr3:uid="{EFDC3046-70E5-414C-8526-4B3D95075D98}" name="Grupo Cliente" dataDxfId="71"/>
    <tableColumn id="4" xr3:uid="{078B8197-3BE4-405B-861F-1E1A723F659A}" name="CLIENTE" dataDxfId="70"/>
    <tableColumn id="6" xr3:uid="{60ADBFC2-5D3B-4B14-8BEE-9C0C5D2B7AAC}" name="TIPO" dataDxfId="69"/>
    <tableColumn id="2" xr3:uid="{4A15B0D5-F405-4726-9E3A-77278BB56FC9}" name="NFE" dataDxfId="68" totalsRowDxfId="67"/>
    <tableColumn id="7" xr3:uid="{BCD00B94-FADB-44FC-93CA-E5721C660E5F}" name="MÊS SERVIÇO" totalsRowLabel="Total" dataDxfId="66" totalsRowDxfId="65"/>
    <tableColumn id="8" xr3:uid="{23111A35-9BD6-4A7D-8F80-7283F4983548}" name="VL. FATURADO" totalsRowFunction="sum" dataDxfId="64" totalsRowDxfId="63" dataCellStyle="Vírgula 3 2"/>
    <tableColumn id="9" xr3:uid="{78EF7201-9048-448B-AE8F-7EDFE36149C8}" name="VL. LIQ. PRV." dataDxfId="62" totalsRowDxfId="61" dataCellStyle="Vírgula 3 2"/>
    <tableColumn id="10" xr3:uid="{F884EBB5-4165-4884-9A2E-244FE784B46B}" name="EMISSÃO" dataDxfId="60" totalsRowDxfId="59"/>
    <tableColumn id="11" xr3:uid="{7E3D4EDA-266F-4B94-9873-DD18655990C9}" name="PREV . PAG" dataDxfId="58" totalsRowDxfId="57" dataCellStyle="Vírgula 3 2"/>
    <tableColumn id="12" xr3:uid="{FD976058-E649-4011-B3E8-6B9C85D5DEDB}" name="DATA PAG." dataDxfId="56" totalsRowDxfId="55" dataCellStyle="Vírgula 9 2 2"/>
    <tableColumn id="13" xr3:uid="{F324E08B-167F-4927-BB32-51B020F3CDF3}" name="STATUS" dataDxfId="54" totalsRowDxfId="53"/>
    <tableColumn id="14" xr3:uid="{CAE1579F-7B0B-4176-9B3B-AB19DED6402D}" name="Risco" dataDxfId="52" totalsRowDxfId="51"/>
    <tableColumn id="15" xr3:uid="{661775A8-B353-42FF-91D1-A37D4F3E2FC1}" name="NIVEL RISCO" dataDxfId="50" totalsRowDxfId="49" dataCellStyle="Vírgula 3 2"/>
    <tableColumn id="16" xr3:uid="{36E07746-2238-4B6E-B0A5-939A6A2D6E1D}" name="BU" dataDxfId="48" totalsRowDxfId="47"/>
    <tableColumn id="17" xr3:uid="{4E40F205-10E7-4454-963E-05018D9F2B48}" name="Vertical" dataDxfId="46"/>
    <tableColumn id="21" xr3:uid="{DD16D295-81BB-4044-812C-91087D263D81}" name="Diretor de Operações" dataDxfId="45" totalsRowDxfId="44">
      <calculatedColumnFormula>IFERROR(VLOOKUP(Tabela1[[#This Row],[CC]],CC!$A$1:$H$403,8,0),"")</calculatedColumnFormula>
    </tableColumn>
    <tableColumn id="18" xr3:uid="{D04837F4-28EB-4328-BC97-1B3CD0893DC7}" name="A RECEBER"/>
    <tableColumn id="19" xr3:uid="{6A93EE6E-F758-443A-849D-6BFA93C8FBE9}" name="SATUS 2"/>
    <tableColumn id="22" xr3:uid="{BF02D496-06CA-4D61-B471-BB4A8AA06DE7}" name="META" dataDxfId="43" totalsRowDxfId="42"/>
    <tableColumn id="23" xr3:uid="{3112C04C-5494-4C7B-8584-4A7CD00FF65E}" name="Vencimento" dataDxfId="41" totalsRowDxfId="4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1" dT="2025-09-10T12:29:47.38" personId="{67D415DC-73B9-4445-A002-91A513CC875D}" id="{3DA4E858-2032-4AF7-A36E-A61DFD1E3B92}">
    <text>TRSP</text>
  </threadedComment>
  <threadedComment ref="H34" dT="2024-11-07T00:19:21.47" personId="{508ED0A5-28C6-4BD0-BA76-F59BC2385554}" id="{F66D161D-6244-4173-BC39-62C5E4A662C7}">
    <text>Diferença reajuste</text>
  </threadedComment>
  <threadedComment ref="H34" dT="2025-06-27T10:40:20.32" personId="{67D415DC-73B9-4445-A002-91A513CC875D}" id="{7C77080E-B3A0-4310-B5C6-048EF438C0AC}" parentId="{F66D161D-6244-4173-BC39-62C5E4A662C7}">
    <text>SECRETARIA DA FAZENDA DO ESTADO DA BAHIA - NF8394, COMPETÊNCIA: MAIO/24 A ABRIL/25 - REAJUSTE</text>
  </threadedComment>
  <threadedComment ref="H35" dT="2024-11-07T00:19:21.47" personId="{508ED0A5-28C6-4BD0-BA76-F59BC2385554}" id="{9C93BCB4-39C9-4D01-893E-3B96D0B85494}">
    <text>Diferença reajuste</text>
  </threadedComment>
  <threadedComment ref="H35" dT="2025-06-27T10:40:24.15" personId="{67D415DC-73B9-4445-A002-91A513CC875D}" id="{58570DAA-4633-484C-BDA3-3C3D376B95CE}" parentId="{9C93BCB4-39C9-4D01-893E-3B96D0B85494}">
    <text>SECRETARIA DA FAZENDA DO ESTADO DA BAHIA - NF8395, COMPETÊNCIA: MAIO/24 A ABRIL/25 - REAJUSTE</text>
  </threadedComment>
  <threadedComment ref="H36" dT="2024-11-07T00:19:21.47" personId="{508ED0A5-28C6-4BD0-BA76-F59BC2385554}" id="{2C7AB8A2-D6E6-4B39-9B50-D589A3EBEAF8}">
    <text>Diferença reajuste</text>
  </threadedComment>
  <threadedComment ref="H37" dT="2024-11-07T00:19:21.47" personId="{508ED0A5-28C6-4BD0-BA76-F59BC2385554}" id="{E4FAA158-3F80-4A18-AEA0-7655E9AAB0FA}">
    <text>Diferença reajuste</text>
  </threadedComment>
  <threadedComment ref="H38" dT="2024-11-07T00:19:21.47" personId="{508ED0A5-28C6-4BD0-BA76-F59BC2385554}" id="{286B912C-CDFC-4DAF-A53C-9CF51D2E2DC7}">
    <text>Diferença reajuste</text>
  </threadedComment>
  <threadedComment ref="H39" dT="2024-11-07T00:19:21.47" personId="{508ED0A5-28C6-4BD0-BA76-F59BC2385554}" id="{1C6FCDD2-1196-4187-9F5C-D5A05B9EE21A}">
    <text>Diferença reajuste</text>
  </threadedComment>
  <threadedComment ref="H40" dT="2024-11-07T00:19:21.47" personId="{508ED0A5-28C6-4BD0-BA76-F59BC2385554}" id="{C723B6A7-3444-44C4-873F-48CB7AFCFE23}">
    <text>Diferença reajuste</text>
  </threadedComment>
  <threadedComment ref="H41" dT="2024-11-07T00:19:21.47" personId="{508ED0A5-28C6-4BD0-BA76-F59BC2385554}" id="{66B75883-523E-49B7-9DE0-D55981A7040D}">
    <text>Diferença reajuste</text>
  </threadedComment>
  <threadedComment ref="H42" dT="2024-11-07T00:19:21.47" personId="{508ED0A5-28C6-4BD0-BA76-F59BC2385554}" id="{1162825E-A601-4DD5-8A83-A354AE8DD0F4}">
    <text>Diferença reajuste</text>
  </threadedComment>
  <threadedComment ref="H47" dT="2025-01-07T11:28:36.78" personId="{67D415DC-73B9-4445-A002-91A513CC875D}" id="{2DA6A828-B3BB-449B-AAEA-6C5011F0C8B5}">
    <text>COMPETÊNCIA: DEZEMBRO/24 - PROJETO</text>
  </threadedComment>
  <threadedComment ref="H48" dT="2025-01-07T11:28:40.25" personId="{67D415DC-73B9-4445-A002-91A513CC875D}" id="{A7D300A3-4179-4FAB-A8D4-8DBDC6868A66}">
    <text>COMPETÊNCIA: DEZEMBRO/24 - PROJETO</text>
  </threadedComment>
  <threadedComment ref="H49" dT="2025-04-22T19:16:28.63" personId="{E0F4F622-67A1-4BAE-AC1D-4359BE6B1935}" id="{3446EE87-8AC0-47A2-9DF4-754817D1418A}">
    <text>Não colocar na projeção 2025</text>
  </threadedComment>
  <threadedComment ref="O50" dT="2023-10-11T15:05:58.35" personId="{67D415DC-73B9-4445-A002-91A513CC875D}" id="{0D2B74A5-7CBF-49BA-8BD2-A0BC59E32E4B}">
    <text>Risco de 1M</text>
  </threadedComment>
  <threadedComment ref="I65" dT="2024-10-24T12:01:50.84" personId="{E0F4F622-67A1-4BAE-AC1D-4359BE6B1935}" id="{429D2FCA-4493-49EA-8565-4B3502256E10}">
    <text>Commit</text>
  </threadedComment>
  <threadedComment ref="H78" dT="2025-01-14T11:13:51.46" personId="{67D415DC-73B9-4445-A002-91A513CC875D}" id="{2BFDC455-78C6-424B-9CF8-D1492491EF81}">
    <text>UST</text>
  </threadedComment>
  <threadedComment ref="I96" dT="2025-02-04T12:17:40.62" personId="{67D415DC-73B9-4445-A002-91A513CC875D}" id="{8C68DF42-7A5E-48CC-B608-22CD3250CAC3}">
    <text>Serviço adicional</text>
  </threadedComment>
  <threadedComment ref="I104" dT="2025-01-27T11:22:24.29" personId="{67D415DC-73B9-4445-A002-91A513CC875D}" id="{ACF097CE-4196-4C07-8332-F4274AABEEC0}">
    <text>PARTE 2</text>
  </threadedComment>
  <threadedComment ref="O137" dT="2023-10-11T15:05:58.35" personId="{67D415DC-73B9-4445-A002-91A513CC875D}" id="{477D6702-ABEE-408A-8EE2-66B3A691630C}">
    <text>Risco de 1M</text>
  </threadedComment>
  <threadedComment ref="I185" dT="2025-02-11T13:26:40.05" personId="{67D415DC-73B9-4445-A002-91A513CC875D}" id="{98704FE2-8356-4ABA-AF7F-9EC6BA6BAA90}">
    <text>7 dias, valor completo será de 2.300</text>
  </threadedComment>
  <threadedComment ref="H190" dT="2025-02-11T11:24:01.76" personId="{67D415DC-73B9-4445-A002-91A513CC875D}" id="{CBB7DD59-D1DC-434C-AAE5-1106F38B9DA6}">
    <text>UST</text>
  </threadedComment>
  <threadedComment ref="O236" dT="2023-10-11T15:05:58.35" personId="{67D415DC-73B9-4445-A002-91A513CC875D}" id="{5AA43B68-6D4A-4678-8C3D-C901607E47C1}">
    <text>Risco de 1M</text>
  </threadedComment>
  <threadedComment ref="O237" dT="2023-10-11T15:05:58.35" personId="{67D415DC-73B9-4445-A002-91A513CC875D}" id="{50440141-7A09-4B41-92A6-00DA55EEAF41}">
    <text>Risco de 1M</text>
  </threadedComment>
  <threadedComment ref="O238" dT="2023-10-11T15:05:58.35" personId="{67D415DC-73B9-4445-A002-91A513CC875D}" id="{DC2C9C43-CA09-4C92-A57E-324D145844E5}">
    <text>Risco de 1M</text>
  </threadedComment>
  <threadedComment ref="O239" dT="2023-10-11T15:05:58.35" personId="{67D415DC-73B9-4445-A002-91A513CC875D}" id="{1581EFB5-D83A-4886-9C53-52CF6F322B9B}">
    <text>Risco de 1M</text>
  </threadedComment>
  <threadedComment ref="O249" dT="2023-10-11T15:05:58.35" personId="{67D415DC-73B9-4445-A002-91A513CC875D}" id="{73A969FF-9DC8-4109-BAAC-1D7A363B365E}">
    <text>Risco de 1M</text>
  </threadedComment>
  <threadedComment ref="O353" dT="2023-10-11T15:05:58.35" personId="{67D415DC-73B9-4445-A002-91A513CC875D}" id="{02430380-44AD-4606-82A5-F8CA9419F194}">
    <text>Risco de 1M</text>
  </threadedComment>
  <threadedComment ref="O354" dT="2023-10-11T15:05:58.35" personId="{67D415DC-73B9-4445-A002-91A513CC875D}" id="{54CB89EE-B8CC-40D1-B6B1-07F8A80C3E27}">
    <text>Risco de 1M</text>
  </threadedComment>
  <threadedComment ref="O355" dT="2023-10-11T15:05:58.35" personId="{67D415DC-73B9-4445-A002-91A513CC875D}" id="{00D034BA-B4CF-42D3-A936-8135EAD26426}">
    <text>Risco de 1M</text>
  </threadedComment>
  <threadedComment ref="O356" dT="2023-10-11T15:05:58.35" personId="{67D415DC-73B9-4445-A002-91A513CC875D}" id="{360C8E26-7C97-4AA8-A8DC-E1F5B9AA57D5}">
    <text>Risco de 1M</text>
  </threadedComment>
  <threadedComment ref="O368" dT="2023-10-11T15:05:58.35" personId="{67D415DC-73B9-4445-A002-91A513CC875D}" id="{52684642-9B02-472A-9A6E-17B0A4B45CDF}">
    <text>Risco de 1M</text>
  </threadedComment>
  <threadedComment ref="H397" dT="2025-08-10T19:38:08.04" personId="{98DC1C35-8413-4FD6-AF8B-976297C30AC6}" id="{052325F6-10AB-4F82-9D75-A412B9421EEE}">
    <text>Acho que é Abril</text>
  </threadedComment>
  <threadedComment ref="H397" dT="2025-08-28T11:46:28.82" personId="{67D415DC-73B9-4445-A002-91A513CC875D}" id="{0DBE749C-1CA5-4BB1-A153-1AFAA1B846DA}" parentId="{052325F6-10AB-4F82-9D75-A412B9421EEE}">
    <text>No formulário de fat. Está Março/25</text>
  </threadedComment>
  <threadedComment ref="O462" dT="2023-10-11T15:05:58.35" personId="{67D415DC-73B9-4445-A002-91A513CC875D}" id="{C86C3879-90F6-43F6-8852-C70DFD0C3FA7}">
    <text>Risco de 1M</text>
  </threadedComment>
  <threadedComment ref="O463" dT="2023-10-11T15:05:58.35" personId="{67D415DC-73B9-4445-A002-91A513CC875D}" id="{F2954A2D-5B79-4D2B-A4EC-D221859309FC}">
    <text>Risco de 1M</text>
  </threadedComment>
  <threadedComment ref="O464" dT="2023-10-11T15:05:58.35" personId="{67D415DC-73B9-4445-A002-91A513CC875D}" id="{0C87EBE1-2EC6-4C97-BDCE-D8747173F39C}">
    <text>Risco de 1M</text>
  </threadedComment>
  <threadedComment ref="O465" dT="2023-10-11T15:05:58.35" personId="{67D415DC-73B9-4445-A002-91A513CC875D}" id="{8FF5AFA7-14BD-400D-ACD0-6BE6708FD4FD}">
    <text>Risco de 1M</text>
  </threadedComment>
  <threadedComment ref="O466" dT="2023-10-11T15:05:58.35" personId="{67D415DC-73B9-4445-A002-91A513CC875D}" id="{3BECB962-8362-480C-8F91-CF59E764E5DE}">
    <text>Risco de 1M</text>
  </threadedComment>
  <threadedComment ref="O478" dT="2023-10-11T15:05:58.35" personId="{67D415DC-73B9-4445-A002-91A513CC875D}" id="{4C931E45-2072-45BB-A188-C95661FA0429}">
    <text>Risco de 1M</text>
  </threadedComment>
  <threadedComment ref="G529" dT="2025-05-13T11:44:56.85" personId="{67D415DC-73B9-4445-A002-91A513CC875D}" id="{EC9F82A1-745B-493A-948C-E4BB1CE501C6}">
    <text>Contato com Jeane em 13/05/25, informei sobre o CC novo mas pediu para que deixasse no 1290.</text>
  </threadedComment>
  <threadedComment ref="I558" dT="2025-05-23T11:38:20.49" personId="{67D415DC-73B9-4445-A002-91A513CC875D}" id="{368D843B-6B6A-41C4-88CB-382D28A4ABCE}">
    <text xml:space="preserve"> COMPETÊNCIA: R$ 115.451,80 referente à diferença e projeção de despesas do exercício de 2024 (periodo de janeiro a dezembro de 2024)  e  R$ 41.789,44 , referente à projeção despesas do exercício de 2025 (periodo janeiro a abril 2025)- </text>
  </threadedComment>
  <threadedComment ref="O580" dT="2023-10-11T15:05:58.35" personId="{67D415DC-73B9-4445-A002-91A513CC875D}" id="{214A2E37-D214-4426-8873-3331AC00A006}">
    <text>Risco de 1M</text>
  </threadedComment>
  <threadedComment ref="O581" dT="2023-10-11T15:05:58.35" personId="{67D415DC-73B9-4445-A002-91A513CC875D}" id="{87F0F93F-BDF0-489B-BDC3-339DFD30CE4F}">
    <text>Risco de 1M</text>
  </threadedComment>
  <threadedComment ref="O582" dT="2023-10-11T15:05:58.35" personId="{67D415DC-73B9-4445-A002-91A513CC875D}" id="{24383FB8-7EE9-4464-A5F8-9D089E44A582}">
    <text>Risco de 1M</text>
  </threadedComment>
  <threadedComment ref="O583" dT="2023-10-11T15:05:58.35" personId="{67D415DC-73B9-4445-A002-91A513CC875D}" id="{54C5C105-C34A-477E-B87D-873ED4F8AD5A}">
    <text>Risco de 1M</text>
  </threadedComment>
  <threadedComment ref="O584" dT="2023-10-11T15:05:58.35" personId="{67D415DC-73B9-4445-A002-91A513CC875D}" id="{D594F8CA-D380-4F88-8032-E3599BAB2CC5}">
    <text>Risco de 1M</text>
  </threadedComment>
  <threadedComment ref="O585" dT="2023-10-11T15:05:58.35" personId="{67D415DC-73B9-4445-A002-91A513CC875D}" id="{E388AD25-7C75-463A-98F5-B6DCA01EA5DE}">
    <text>Risco de 1M</text>
  </threadedComment>
  <threadedComment ref="I588" dT="2025-04-09T12:33:07.85" personId="{67D415DC-73B9-4445-A002-91A513CC875D}" id="{B26C7E6B-EAC3-47DB-A94E-081143E5FB45}">
    <text xml:space="preserve">REAJUSTE CONTRATUAL
ABRIL/25
Saldo da vigência anterior:
Fev =42.582,75
Mar =76226,92
Abr = 76226,92
*Conciliadores Nov: 85.077 </text>
  </threadedComment>
  <threadedComment ref="O600" dT="2023-10-11T15:05:58.35" personId="{67D415DC-73B9-4445-A002-91A513CC875D}" id="{97421DF0-9053-41FD-BFC9-E7DA6D3BE01B}">
    <text>Risco de 1M</text>
  </threadedComment>
  <threadedComment ref="H646" dT="2025-06-11T11:52:05.88" personId="{67D415DC-73B9-4445-A002-91A513CC875D}" id="{701CC272-D38D-45D1-B4C6-603514892590}">
    <text xml:space="preserve"> COMPETÊNCIA: MAIO/25 - RETROATIVO</text>
  </threadedComment>
  <threadedComment ref="H675" dT="2025-04-10T17:48:03.06" personId="{67D415DC-73B9-4445-A002-91A513CC875D}" id="{3FC62921-2837-4B67-8DDA-3E296862ECB1}">
    <text>Rogerio: Recebimento retroativo abr2024 a 2025</text>
  </threadedComment>
  <threadedComment ref="H675" dT="2025-06-12T11:24:15.85" personId="{67D415DC-73B9-4445-A002-91A513CC875D}" id="{4A3F6062-3FE5-421B-AF1C-E3F795F8028C}" parentId="{3FC62921-2837-4B67-8DDA-3E296862ECB1}">
    <text>COMPETÊNCIA: MAIO/25 - REAJUSTE</text>
  </threadedComment>
  <threadedComment ref="O699" dT="2023-10-11T15:05:58.35" personId="{67D415DC-73B9-4445-A002-91A513CC875D}" id="{09F2BB93-6B24-4633-B921-91BB0952A629}">
    <text>Risco de 1M</text>
  </threadedComment>
  <threadedComment ref="O700" dT="2023-10-11T15:05:58.35" personId="{67D415DC-73B9-4445-A002-91A513CC875D}" id="{0475B7A5-E158-42E3-91BD-B3745C43226F}">
    <text>Risco de 1M</text>
  </threadedComment>
  <threadedComment ref="O701" dT="2023-10-11T15:05:58.35" personId="{67D415DC-73B9-4445-A002-91A513CC875D}" id="{F976B88D-C906-4F93-AFC9-04CDDCB81F1B}">
    <text>Risco de 1M</text>
  </threadedComment>
  <threadedComment ref="O702" dT="2023-10-11T15:05:58.35" personId="{67D415DC-73B9-4445-A002-91A513CC875D}" id="{F08B81D5-CDA8-48ED-A048-39EFEAA6D391}">
    <text>Risco de 1M</text>
  </threadedComment>
  <threadedComment ref="H718" dT="2025-07-09T11:52:50.00" personId="{67D415DC-73B9-4445-A002-91A513CC875D}" id="{686D1687-020B-4D9B-BA6C-5B084B5B4256}">
    <text xml:space="preserve"> COMPETÊNCIA: JUNHO/25 - PROJETO</text>
  </threadedComment>
  <threadedComment ref="O720" dT="2023-10-11T15:05:58.35" personId="{67D415DC-73B9-4445-A002-91A513CC875D}" id="{D0EEDCDE-F322-45CC-B32C-014F7EAEDA60}">
    <text>Risco de 1M</text>
  </threadedComment>
  <threadedComment ref="J766" dT="2025-08-18T11:50:50.17" personId="{67D415DC-73B9-4445-A002-91A513CC875D}" id="{4C7F3629-6ACC-4AB9-BEA3-AAB9DC68BB3C}">
    <text>Glosa 2.316,11</text>
  </threadedComment>
  <threadedComment ref="I799" dT="2025-07-24T17:44:09.23" personId="{67D415DC-73B9-4445-A002-91A513CC875D}" id="{2B8D7B0E-F1D1-44BE-8C29-43BB2050FD02}">
    <text xml:space="preserve"> COMPETÊNCIA: OUTUBRO/25 - REAJUSTE</text>
  </threadedComment>
  <threadedComment ref="I800" dT="2025-07-24T17:44:09.23" personId="{67D415DC-73B9-4445-A002-91A513CC875D}" id="{F0F6FC49-522F-4528-8BEB-6D9025017312}">
    <text xml:space="preserve"> COMPETÊNCIA: OUTUBRO/25 - REAJUSTE</text>
  </threadedComment>
  <threadedComment ref="O816" dT="2023-10-11T15:05:58.35" personId="{67D415DC-73B9-4445-A002-91A513CC875D}" id="{BF6E7FFF-712B-48FB-88C2-CA655992BC1B}">
    <text>Risco de 1M</text>
  </threadedComment>
  <threadedComment ref="O817" dT="2023-10-11T15:05:58.35" personId="{67D415DC-73B9-4445-A002-91A513CC875D}" id="{46999DC6-E79A-484B-9B9A-3AADD019479D}">
    <text>Risco de 1M</text>
  </threadedComment>
  <threadedComment ref="O818" dT="2023-10-11T15:05:58.35" personId="{67D415DC-73B9-4445-A002-91A513CC875D}" id="{F9FC81A1-B731-4BE8-AC02-2BDFBE500EC3}">
    <text>Risco de 1M</text>
  </threadedComment>
  <threadedComment ref="O819" dT="2023-10-11T15:05:58.35" personId="{67D415DC-73B9-4445-A002-91A513CC875D}" id="{349C83B6-9DF2-4107-BAFB-2FF1EF877B55}">
    <text>Risco de 1M</text>
  </threadedComment>
  <threadedComment ref="O837" dT="2023-10-11T15:05:58.35" personId="{67D415DC-73B9-4445-A002-91A513CC875D}" id="{B2D56717-9CE0-43F5-BCB9-1C07630333C7}">
    <text>Risco de 1M</text>
  </threadedComment>
  <threadedComment ref="O838" dT="2023-10-11T15:05:58.35" personId="{67D415DC-73B9-4445-A002-91A513CC875D}" id="{9783A2AC-8BD3-4783-AFEB-1BC211DF67E5}">
    <text>Risco de 1M</text>
  </threadedComment>
  <threadedComment ref="O839" dT="2023-10-11T15:05:58.35" personId="{67D415DC-73B9-4445-A002-91A513CC875D}" id="{3B4EEFD3-E746-4BB0-BDC7-3005892BD04A}">
    <text>Risco de 1M</text>
  </threadedComment>
  <threadedComment ref="O840" dT="2023-10-11T15:05:58.35" personId="{67D415DC-73B9-4445-A002-91A513CC875D}" id="{42DDB5FC-6E2B-4995-A89C-DA5BA9152185}">
    <text>Risco de 1M</text>
  </threadedComment>
  <threadedComment ref="H887" dT="2025-09-02T11:41:22.61" personId="{67D415DC-73B9-4445-A002-91A513CC875D}" id="{79F026BD-92DB-4814-93DF-EA31C69ED982}">
    <text>COMPETÊNCIA: REAJUSTE JANEIRO A JUNHO/25</text>
  </threadedComment>
  <threadedComment ref="H950" dT="2025-09-10T12:24:36.24" personId="{67D415DC-73B9-4445-A002-91A513CC875D}" id="{BAC2AA61-611E-4A01-A1CA-49550B9B2AC1}">
    <text>COMPETÊNCIA: JULHO/25 - PARTE 01</text>
  </threadedComment>
  <threadedComment ref="H951" dT="2025-08-19T11:23:38.37" personId="{67D415DC-73B9-4445-A002-91A513CC875D}" id="{59D02851-9A69-4216-8A5E-6CB579A41DFF}">
    <text xml:space="preserve"> (Aditivo:5º Termo de Aditamento)
período de 28/07/2025 a 31/07/2025.</text>
  </threadedComment>
  <threadedComment ref="O978" dT="2023-10-11T15:05:58.35" personId="{67D415DC-73B9-4445-A002-91A513CC875D}" id="{D3BCFBFF-2432-4E3D-A276-E8B33FBD2E0F}">
    <text>Risco de 1M</text>
  </threadedComment>
  <threadedComment ref="O979" dT="2023-10-11T15:05:58.35" personId="{67D415DC-73B9-4445-A002-91A513CC875D}" id="{AFBC7BD2-5E5A-4CE7-820C-75D909FC8A36}">
    <text>Risco de 1M</text>
  </threadedComment>
  <threadedComment ref="O980" dT="2023-10-11T15:05:58.35" personId="{67D415DC-73B9-4445-A002-91A513CC875D}" id="{8EC9088E-3BC9-490D-9C1B-8C51859C53A0}">
    <text>Risco de 1M</text>
  </threadedComment>
  <threadedComment ref="O981" dT="2023-10-11T15:05:58.35" personId="{67D415DC-73B9-4445-A002-91A513CC875D}" id="{DF486F05-E5D6-4D12-AFB9-446025D614F0}">
    <text>Risco de 1M</text>
  </threadedComment>
  <threadedComment ref="O1115" dT="2023-10-11T15:05:58.35" personId="{67D415DC-73B9-4445-A002-91A513CC875D}" id="{EB608017-CB6A-4B11-9D78-1B9568C1132F}">
    <text>Risco de 1M</text>
  </threadedComment>
  <threadedComment ref="O1116" dT="2023-10-11T15:05:58.35" personId="{67D415DC-73B9-4445-A002-91A513CC875D}" id="{86F0A132-6DC3-440A-9F93-4165DD50481A}">
    <text>Risco de 1M</text>
  </threadedComment>
  <threadedComment ref="O1117" dT="2023-10-11T15:05:58.35" personId="{67D415DC-73B9-4445-A002-91A513CC875D}" id="{EA815585-ACCF-4A0B-8DF2-0B6B43B4F606}">
    <text>Risco de 1M</text>
  </threadedComment>
  <threadedComment ref="O1118" dT="2023-10-11T15:05:58.35" personId="{67D415DC-73B9-4445-A002-91A513CC875D}" id="{28812886-D691-4937-8EA5-FB29DD083353}">
    <text>Risco de 1M</text>
  </threadedComment>
  <threadedComment ref="H1178" dT="2025-10-14T11:23:34.17" personId="{67D415DC-73B9-4445-A002-91A513CC875D}" id="{CB36A994-F1C4-4373-82B3-75279A1FEEE1}">
    <text xml:space="preserve">COMPETÊNCIA: NOVEMBRO/24 A DEZ/24 - REAJUSTE </text>
  </threadedComment>
  <threadedComment ref="H1179" dT="2025-10-14T11:23:44.91" personId="{67D415DC-73B9-4445-A002-91A513CC875D}" id="{57C8B684-DEEF-4ADF-8259-AE91E6FBF4A2}">
    <text xml:space="preserve">COMPETÊNCIA: JANEIRO/25 A MAIO/25 - REAJUSTE </text>
  </threadedComment>
  <threadedComment ref="H1180" dT="2025-10-14T11:23:57.66" personId="{67D415DC-73B9-4445-A002-91A513CC875D}" id="{B4312618-D775-47C7-9604-0BCF58A68E2E}">
    <text>SETEMBRO/25 - UST</text>
  </threadedComment>
  <threadedComment ref="L1188" dT="2026-05-21T13:18:14.35" personId="{67D415DC-73B9-4445-A002-91A513CC875D}" id="{CB59AB0F-BF5C-4790-931E-E79483BA03C6}">
    <text>Cliente paga com 60 dias</text>
  </threadedComment>
  <threadedComment ref="O1263" dT="2023-10-11T15:05:58.35" personId="{67D415DC-73B9-4445-A002-91A513CC875D}" id="{1C80D633-520C-425B-A8D4-730337B1171D}">
    <text>Risco de 1M</text>
  </threadedComment>
  <threadedComment ref="O1264" dT="2023-10-11T15:05:58.35" personId="{67D415DC-73B9-4445-A002-91A513CC875D}" id="{9E6E98AC-4A63-4C9A-8EFB-6F15E3B9575B}">
    <text>Risco de 1M</text>
  </threadedComment>
  <threadedComment ref="O1265" dT="2023-10-11T15:05:58.35" personId="{67D415DC-73B9-4445-A002-91A513CC875D}" id="{CDCBA47A-2CBE-4C05-94CB-86EA732466CE}">
    <text>Risco de 1M</text>
  </threadedComment>
  <threadedComment ref="O1266" dT="2023-10-11T15:05:58.35" personId="{67D415DC-73B9-4445-A002-91A513CC875D}" id="{1A6632B7-376F-42B0-AED2-F6B0BF655204}">
    <text>Risco de 1M</text>
  </threadedComment>
  <threadedComment ref="H1415" dT="2025-11-11T11:15:59.63" personId="{67D415DC-73B9-4445-A002-91A513CC875D}" id="{613745DA-19DC-4E20-B594-F49DBF1B0546}">
    <text xml:space="preserve"> OUTUBRO/25 - UST</text>
  </threadedComment>
  <threadedComment ref="H1420" dT="2025-11-07T11:19:33.85" personId="{67D415DC-73B9-4445-A002-91A513CC875D}" id="{AAD6AFE2-B307-4B77-BC10-65FA4704CA77}">
    <text>REAJUSTE - JUN/25 A SET/25</text>
  </threadedComment>
  <threadedComment ref="H1470" dT="2025-10-02T11:27:44.28" personId="{67D415DC-73B9-4445-A002-91A513CC875D}" id="{866DB337-9CAE-400A-B491-25BAE6BCBB62}">
    <text>COMPETÊNCIA: OUTUBRO -  REAJUSTE SP1</text>
  </threadedComment>
  <threadedComment ref="H1471" dT="2025-10-02T11:27:58.22" personId="{67D415DC-73B9-4445-A002-91A513CC875D}" id="{D77BDC90-C2AD-4872-BA80-535712079C48}">
    <text xml:space="preserve"> COMPETÊNCIA: OUTUBRO -  REAJUSTE SP0</text>
  </threadedComment>
  <threadedComment ref="H1475" dT="2026-05-25T11:31:31.11" personId="{67D415DC-73B9-4445-A002-91A513CC875D}" id="{181F0BB9-D2CA-4815-9F68-5969EB6DF7F2}">
    <text>Prestação de serviço ao GLPI /Inventário de ativos, realizado no mês de abril/26.</text>
  </threadedComment>
  <threadedComment ref="H1763" dT="2026-01-15T13:07:08.92" personId="{67D415DC-73B9-4445-A002-91A513CC875D}" id="{75D9F5FF-067E-42EB-BAE4-311142E83789}">
    <text>REONERACAO</text>
  </threadedComment>
  <threadedComment ref="I1766" dT="2026-04-13T20:15:03.83" personId="{67D415DC-73B9-4445-A002-91A513CC875D}" id="{F99B9BD9-D3FF-4874-BE25-6D18EF243AA5}">
    <text xml:space="preserve">2k projeto de ativos
</text>
  </threadedComment>
  <threadedComment ref="H1804" dT="2026-05-18T11:31:18.22" personId="{67D415DC-73B9-4445-A002-91A513CC875D}" id="{5DA04FA8-A8D2-4B67-99B9-FB81AA00E697}">
    <text>UST MARÇO/26</text>
  </threadedComment>
  <threadedComment ref="H1805" dT="2026-05-25T11:33:07.39" personId="{67D415DC-73B9-4445-A002-91A513CC875D}" id="{92D431A8-D033-420D-9A30-7506C16E4CAC}">
    <text>UST</text>
  </threadedComment>
  <threadedComment ref="O1807" dT="2023-10-11T15:05:58.35" personId="{67D415DC-73B9-4445-A002-91A513CC875D}" id="{B93FEB84-BF8D-467E-AF7F-6E55169FE0EA}">
    <text>Risco de 1M</text>
  </threadedComment>
  <threadedComment ref="O1808" dT="2023-10-11T15:05:58.35" personId="{67D415DC-73B9-4445-A002-91A513CC875D}" id="{3DD5CAC4-D358-4F2E-AF63-042A7E86F4D2}">
    <text>Risco de 1M</text>
  </threadedComment>
  <threadedComment ref="O1809" dT="2023-10-11T15:05:58.35" personId="{67D415DC-73B9-4445-A002-91A513CC875D}" id="{D8A79059-5B53-4C00-A943-786AFC419FB1}">
    <text>Risco de 1M</text>
  </threadedComment>
  <threadedComment ref="O1810" dT="2023-10-11T15:05:58.35" personId="{67D415DC-73B9-4445-A002-91A513CC875D}" id="{39621FCC-38E4-47DC-97F6-1F3126DAB05E}">
    <text>Risco de 1M</text>
  </threadedComment>
  <threadedComment ref="O1811" dT="2023-10-11T15:05:58.35" personId="{67D415DC-73B9-4445-A002-91A513CC875D}" id="{8DD96F19-2C7C-46F2-8F45-087E3CC0B3B6}">
    <text>Risco de 1M</text>
  </threadedComment>
  <threadedComment ref="O1812" dT="2023-10-11T15:05:58.35" personId="{67D415DC-73B9-4445-A002-91A513CC875D}" id="{B93C09EC-245A-4F1A-81B9-82C69C25F4D6}">
    <text>Risco de 1M</text>
  </threadedComment>
  <threadedComment ref="O1813" dT="2023-10-11T15:05:58.35" personId="{67D415DC-73B9-4445-A002-91A513CC875D}" id="{077F1B25-36D0-4CD0-9FC8-49BF303C965E}">
    <text>Risco de 1M</text>
  </threadedComment>
  <threadedComment ref="O1814" dT="2023-10-11T15:05:58.35" personId="{67D415DC-73B9-4445-A002-91A513CC875D}" id="{2718A1F1-ACBE-44FE-8E63-80213ECC354C}">
    <text>Risco de 1M</text>
  </threadedComment>
  <threadedComment ref="I2038" dT="2025-10-09T19:27:22.65" personId="{67D415DC-73B9-4445-A002-91A513CC875D}" id="{82F98833-0D23-40FB-ACD9-686CB262F7A1}">
    <text>REAJUSTE</text>
  </threadedComment>
  <threadedComment ref="I2040" dT="2025-10-09T19:27:22.65" personId="{67D415DC-73B9-4445-A002-91A513CC875D}" id="{D680A1AC-561C-44C0-9196-BF5A30E1163A}">
    <text>retroativo 108k + 1,5% reequilibrio</text>
  </threadedComment>
  <threadedComment ref="H2042" dT="2026-01-15T13:03:05.94" personId="{67D415DC-73B9-4445-A002-91A513CC875D}" id="{5C7D5F91-ECF5-43B9-8CD2-EB39A8A88DF2}">
    <text>REONERACAO</text>
  </threadedComment>
  <threadedComment ref="H2045" dT="2026-05-22T11:57:35.06" personId="{67D415DC-73B9-4445-A002-91A513CC875D}" id="{B58F4170-08FC-4BD4-988A-18827E7B75B5}">
    <text>Retroativo maio/25</text>
  </threadedComment>
  <threadedComment ref="I2046" dT="2026-04-13T20:15:14.98" personId="{67D415DC-73B9-4445-A002-91A513CC875D}" id="{65D3D93A-580F-4E41-9EBE-353CB91B65FB}">
    <text xml:space="preserve">pedido de pagamento antecipado 
</text>
  </threadedComment>
  <threadedComment ref="I2049" dT="2025-10-02T12:52:28.82" personId="{67D415DC-73B9-4445-A002-91A513CC875D}" id="{6243884A-8278-493A-82B4-BA5A5351E963}">
    <text>Valor referente a UST disponível no contrato que precisa ser abatido do que foi realmente faturado + retroativo do reequilibrio que ainda não foi dado entrada</text>
  </threadedComment>
  <threadedComment ref="I2050" dT="2025-10-02T12:52:28.82" personId="{67D415DC-73B9-4445-A002-91A513CC875D}" id="{AE4B1990-1382-47A9-9F1A-4008BD919087}">
    <text>Valor referente a UST disponível no contrato que precisa ser abatido do que foi realmente faturado + retroativo do reequilibrio que ainda não foi dado entrada</text>
  </threadedComment>
  <threadedComment ref="I2051" dT="2025-10-02T12:52:28.82" personId="{67D415DC-73B9-4445-A002-91A513CC875D}" id="{6B78F055-97AE-4E2D-9C93-1B247E8B0FE0}">
    <text>NOVEMBRO UST</text>
  </threadedComment>
  <threadedComment ref="H2053" dT="2026-03-03T12:46:16.25" personId="{67D415DC-73B9-4445-A002-91A513CC875D}" id="{FB35799A-131B-44FA-ACD3-A9B0D215BABB}">
    <text>UST DEZEMBRO</text>
  </threadedComment>
  <threadedComment ref="H2055" dT="2026-03-09T11:31:37.29" personId="{67D415DC-73B9-4445-A002-91A513CC875D}" id="{968335EE-8ABF-4A4F-A79B-19CCFBA9BE5C}">
    <text>ust</text>
  </threadedComment>
  <threadedComment ref="H2056" dT="2026-01-15T13:03:50.04" personId="{67D415DC-73B9-4445-A002-91A513CC875D}" id="{4CAE9872-CFE2-40AB-A0DE-E5E1D94DE2F4}">
    <text>REONERACAO</text>
  </threadedComment>
  <threadedComment ref="H2066" dT="2025-12-18T12:29:19.31" personId="{67D415DC-73B9-4445-A002-91A513CC875D}" id="{33FF4A21-A1C9-4E1D-AE8B-78648F474678}">
    <text>Parcial dezembro</text>
  </threadedComment>
  <threadedComment ref="I2074" dT="2025-10-09T19:24:38.93" personId="{67D415DC-73B9-4445-A002-91A513CC875D}" id="{10324095-8381-4CA8-B410-57BB5E1B7522}">
    <text>Mensal + reajuste</text>
  </threadedComment>
  <threadedComment ref="H2076" dT="2026-01-15T13:04:26.93" personId="{67D415DC-73B9-4445-A002-91A513CC875D}" id="{4F0E9949-698B-4E57-8582-FA544F944F44}">
    <text xml:space="preserve">Reajuste Retroativo período de 28/10/25 a 30/04/2026. </text>
  </threadedComment>
  <threadedComment ref="H2086" dT="2026-01-15T13:05:33.25" personId="{67D415DC-73B9-4445-A002-91A513CC875D}" id="{37F9D90C-139C-4963-AC40-FB498D7D91D0}">
    <text>REONERACAO</text>
  </threadedComment>
  <threadedComment ref="I2094" dT="2026-01-13T13:42:46.62" personId="{67D415DC-73B9-4445-A002-91A513CC875D}" id="{3AEBE4D2-3AD5-4FEF-B56D-EBD35AAA900B}">
    <text>RETROATIVO</text>
  </threadedComment>
  <threadedComment ref="J2121" dT="2026-05-20T11:38:00.45" personId="{67D415DC-73B9-4445-A002-91A513CC875D}" id="{E399F134-DDAF-47C0-A6A2-8AEACDA4C89C}">
    <text>Glosa 1.931,63. Recebido 218.282,06</text>
  </threadedComment>
  <threadedComment ref="I2123" dT="2025-10-09T19:23:25.85" personId="{67D415DC-73B9-4445-A002-91A513CC875D}" id="{B60CD406-D9AD-4526-B835-95FE8B630AAE}">
    <text>Rogério Gordilho:
- 26k retroativo - alto risco
- previsão de reajuste de 5,5%</text>
  </threadedComment>
  <threadedComment ref="H2124" dT="2025-12-11T10:52:30.37" personId="{67D415DC-73B9-4445-A002-91A513CC875D}" id="{939E333D-58FD-41AB-83BF-1FB5E8BFCB8E}">
    <text>UST</text>
  </threadedComment>
  <threadedComment ref="I2124" dT="2025-10-09T19:23:25.85" personId="{67D415DC-73B9-4445-A002-91A513CC875D}" id="{4B475A2A-1C40-460D-A289-EC15B2516391}">
    <text>Rogério Gordilho:
- 26k retroativo - alto risco
- previsão de reajuste de 5,5%</text>
  </threadedComment>
  <threadedComment ref="H2126" dT="2026-01-19T11:26:34.69" personId="{67D415DC-73B9-4445-A002-91A513CC875D}" id="{5749D38A-B8DC-460C-8F0B-E3ABF6255EF7}">
    <text>UST</text>
  </threadedComment>
  <threadedComment ref="I2128" dT="2026-06-09T13:30:07.25" personId="{67D415DC-73B9-4445-A002-91A513CC875D}" id="{F4D0E07D-0A48-4321-909D-5044CF5BDF42}">
    <text xml:space="preserve">reajuste contratual retroativo ao período de janeiro a abril/2026 = R$36.839,68 </text>
  </threadedComment>
  <threadedComment ref="I2136" dT="2025-10-09T19:23:25.85" personId="{67D415DC-73B9-4445-A002-91A513CC875D}" id="{65F6436E-CC71-415C-8D55-EEB28195811F}">
    <text>Rogério Gordilho:
- 26k retroativo - alto risco
- previsão de reajuste de 5,5%</text>
  </threadedComment>
  <threadedComment ref="H2138" dT="2026-01-15T13:06:01.57" personId="{67D415DC-73B9-4445-A002-91A513CC875D}" id="{BD8D558A-1DE6-4691-A833-79943371F2EE}">
    <text>REONERACAO</text>
  </threadedComment>
  <threadedComment ref="I2170" dT="2025-12-16T11:33:30.26" personId="{67D415DC-73B9-4445-A002-91A513CC875D}" id="{A48A9A48-58B3-4436-AF09-BB5D2C555B12}">
    <text>Parcial Dezembro</text>
  </threadedComment>
  <threadedComment ref="H2171" dT="2026-01-13T17:14:58.17" personId="{67D415DC-73B9-4445-A002-91A513CC875D}" id="{066196A8-97E2-4269-9CE9-138EF342253C}">
    <text>Corumba: Saída do JULIEN -28k sem reposição e antecipacao de 83k para dez/2025</text>
  </threadedComment>
  <threadedComment ref="H2172" dT="2026-01-13T17:14:58.17" personId="{67D415DC-73B9-4445-A002-91A513CC875D}" id="{E0249C58-DFB8-49D2-AFEC-58083688D593}">
    <text>Corumba: Saída do JULIEN -28k sem reposição e antecipacao de 83k para dez/2025</text>
  </threadedComment>
  <threadedComment ref="H2173" dT="2026-01-13T17:14:58.17" personId="{67D415DC-73B9-4445-A002-91A513CC875D}" id="{8A71AE59-32FD-4EDD-9DB9-85185F48583C}">
    <text>Corumba: Saída do JULIEN -28k sem reposição e antecipacao de 83k para dez/2025</text>
  </threadedComment>
  <threadedComment ref="H2174" dT="2026-01-13T17:14:58.17" personId="{67D415DC-73B9-4445-A002-91A513CC875D}" id="{0D693115-22E6-4CD3-B1B3-F457243988BE}">
    <text>Corumba: Saída do JULIEN -28k sem reposição e antecipacao de 83k para dez/2025</text>
  </threadedComment>
  <threadedComment ref="I2201" dT="2026-01-13T17:17:30.80" personId="{67D415DC-73B9-4445-A002-91A513CC875D}" id="{1CD915AF-FD19-49BE-B0A3-BB6BC6A3611A}">
    <text>Redução contratual por redução de time (Kamoi + 2)</text>
  </threadedComment>
  <threadedComment ref="I2202" dT="2026-01-13T17:17:30.80" personId="{67D415DC-73B9-4445-A002-91A513CC875D}" id="{7C517E3D-A648-4B41-BA1F-4C5B1154889A}">
    <text>Redução contratual por redução de time (Kamoi + 2)</text>
  </threadedComment>
  <threadedComment ref="I2203" dT="2026-01-13T17:17:30.80" personId="{67D415DC-73B9-4445-A002-91A513CC875D}" id="{72EA84E5-651A-4857-9F54-0EFD7C15F77E}">
    <text>Redução contratual por redução de time (Kamoi + 2)</text>
  </threadedComment>
  <threadedComment ref="I2204" dT="2026-01-13T17:17:30.80" personId="{67D415DC-73B9-4445-A002-91A513CC875D}" id="{92F81C31-D984-4C4E-A929-A9C85983FC4D}">
    <text>Redução contratual por redução de time (Kamoi + 2)</text>
  </threadedComment>
  <threadedComment ref="I2229" dT="2026-04-13T19:07:33.01" personId="{67D415DC-73B9-4445-A002-91A513CC875D}" id="{40D7AA0A-39A2-4739-8C4C-45146DF37E8D}">
    <text>valor mensal reajustado conforme reequilibrio + diferença de reequilibrio de jan/25 a mai/26</text>
  </threadedComment>
  <threadedComment ref="I2233" dT="2025-10-09T18:07:48.92" personId="{67D415DC-73B9-4445-A002-91A513CC875D}" id="{C6CD9756-52C4-4522-9E05-4F38FDDC956A}">
    <text>Lizandra Serra Pimenta:
Reequilibrio: 53.139
Reajuste antigo: 607.000
Reajuste atual: 111.798</text>
  </threadedComment>
  <threadedComment ref="H2239" dT="2024-10-11T19:23:14.86" personId="{E0F4F622-67A1-4BAE-AC1D-4359BE6B1935}" id="{0F51AC4B-7C34-4ACB-848B-A62B56D2A4A4}">
    <text>reajuste</text>
  </threadedComment>
  <threadedComment ref="H2242" dT="2025-12-02T11:28:27.17" personId="{67D415DC-73B9-4445-A002-91A513CC875D}" id="{24B31657-308D-41E9-A6BC-0F569CACA12C}">
    <text xml:space="preserve"> COMPETÊNCIA: OUTUBRO/25 - REAJUSTE</text>
  </threadedComment>
  <threadedComment ref="H2243" dT="2025-12-02T11:28:27.17" personId="{67D415DC-73B9-4445-A002-91A513CC875D}" id="{751B5B7F-B754-4C02-9EE6-CE25E5DD7D40}">
    <text xml:space="preserve"> COMPETÊNCIA: OUTUBRO/25 - REAJUSTE</text>
  </threadedComment>
  <threadedComment ref="H2246" dT="2025-12-10T12:23:45.86" personId="{67D415DC-73B9-4445-A002-91A513CC875D}" id="{95970FA6-B968-4276-9489-3891F33804FF}">
    <text xml:space="preserve"> COMPETÊNCIA: OUTUBRO/25 - REAJUSTE</text>
  </threadedComment>
  <threadedComment ref="I2254" dT="2025-10-09T14:20:52.58" personId="{67D415DC-73B9-4445-A002-91A513CC875D}" id="{A5A11F78-42A4-48BB-AAE4-2554214BD06B}">
    <text>ANTONIO: 357k reequilíbrio esta na PGE, risco alto.</text>
  </threadedComment>
  <threadedComment ref="I2254" dT="2025-12-15T11:19:54.74" personId="{67D415DC-73B9-4445-A002-91A513CC875D}" id="{C24F0241-7B19-4CAA-9207-87C9B3151950}" parentId="{A5A11F78-42A4-48BB-AAE4-2554214BD06B}">
    <text>100k faturado em 12/12 maior que o previsto do mês (sem o reeq.)</text>
  </threadedComment>
  <threadedComment ref="I2254" dT="2025-12-18T12:30:37.99" personId="{67D415DC-73B9-4445-A002-91A513CC875D}" id="{7043B7CA-D027-447B-B794-909EB3337BD1}" parentId="{A5A11F78-42A4-48BB-AAE4-2554214BD06B}">
    <text>PROJETO OS</text>
  </threadedComment>
  <threadedComment ref="G2255" dT="2026-03-12T11:50:08.75" personId="{67D415DC-73B9-4445-A002-91A513CC875D}" id="{51B32E5B-321A-4C3A-88A3-5BE68F9C4F21}">
    <text>Avisar a WAGNER quando for paga.</text>
  </threadedComment>
  <threadedComment ref="I2259" dT="2025-10-09T14:20:52.58" personId="{67D415DC-73B9-4445-A002-91A513CC875D}" id="{64248C29-AA95-4E53-9F17-7D9B9A725828}">
    <text>ANTONIO: 357k reequilíbrio esta na PGE, risco alto.</text>
  </threadedComment>
  <threadedComment ref="I2259" dT="2025-12-15T11:19:54.74" personId="{67D415DC-73B9-4445-A002-91A513CC875D}" id="{9E4C4158-D543-4A47-AD8B-F1405A627906}" parentId="{64248C29-AA95-4E53-9F17-7D9B9A725828}">
    <text>100k faturado em 12/12 maior que o previsto do mês (sem o reeq.)</text>
  </threadedComment>
  <threadedComment ref="G2271" dT="2026-03-12T11:50:08.75" personId="{67D415DC-73B9-4445-A002-91A513CC875D}" id="{EF605E47-EFF2-4A23-A837-ABBDB3A85BA5}">
    <text>Avisar a WAGNER quando for paga.</text>
  </threadedComment>
  <threadedComment ref="H2289" dT="2026-01-15T13:06:32.28" personId="{67D415DC-73B9-4445-A002-91A513CC875D}" id="{2BB28A11-4393-4EE2-8825-2C3C5964802F}">
    <text>REONERACAO</text>
  </threadedComment>
  <threadedComment ref="H2315" dT="2026-01-15T13:08:05.73" personId="{67D415DC-73B9-4445-A002-91A513CC875D}" id="{A2F5DFB8-2830-46A1-ABBC-88D5AADE35EC}">
    <text>REONERACAO</text>
  </threadedComment>
  <threadedComment ref="I2322" dT="2026-05-08T11:47:00.28" personId="{67D415DC-73B9-4445-A002-91A513CC875D}" id="{4BC26688-400F-4A38-AF88-24E91C67022B}">
    <text>Período 29 a 31/03</text>
  </threadedComment>
  <threadedComment ref="I2328" dT="2026-05-08T11:46:48.56" personId="{67D415DC-73B9-4445-A002-91A513CC875D}" id="{C5F2D709-E564-49B2-87AC-1DAB98233242}">
    <text>Período 01 a 28/03</text>
  </threadedComment>
  <threadedComment ref="I2369" dT="2026-06-09T13:15:08.29" personId="{67D415DC-73B9-4445-A002-91A513CC875D}" id="{17D1A26B-4911-49D5-BBA5-92D70EB7A3E3}">
    <text xml:space="preserve">Racional do retroativos reajuste 2026:
Janeiro: R$ 1.302,00 
Fevereiro: R$ 1.302,00 
Março: R$ 1.302,00 
Abril: R$ 1.302,00 
Total de: R$ 5.208,00
</text>
  </threadedComment>
  <threadedComment ref="H2431" dT="2026-01-15T13:00:00.69" personId="{67D415DC-73B9-4445-A002-91A513CC875D}" id="{8AEDA471-6709-4BDA-97EE-68BCC7664871}">
    <text>REONERAÇAO</text>
  </threadedComment>
  <threadedComment ref="H2432" dT="2026-01-15T13:00:00.69" personId="{67D415DC-73B9-4445-A002-91A513CC875D}" id="{2C857250-316B-48A8-ACAF-04C384FD38F6}">
    <text>REONERAÇAO</text>
  </threadedComment>
  <threadedComment ref="H2433" dT="2026-01-15T13:00:00.69" personId="{67D415DC-73B9-4445-A002-91A513CC875D}" id="{7D4CA016-B681-4A85-A8AC-10ED5EA4A7B2}">
    <text>REONERAÇAO</text>
  </threadedComment>
  <threadedComment ref="H2434" dT="2026-01-15T13:00:00.69" personId="{67D415DC-73B9-4445-A002-91A513CC875D}" id="{12A29439-DF2C-40D1-A4BF-ECC7989A7637}">
    <text>REONERAÇAO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36" dT="2026-05-18T11:31:18.22" personId="{67D415DC-73B9-4445-A002-91A513CC875D}" id="{8AC96938-198C-4EA1-8EED-90B2E4EF4FD6}">
    <text>UST MARÇO/26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6D6B29-1B8A-422C-A0B6-3F36F8C189DD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df003311-d7fc-4978-bcbe-5bf86f3bcdb8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E2BD-FEA1-469D-854C-C58656270CF5}">
  <dimension ref="A1:L416"/>
  <sheetViews>
    <sheetView showGridLines="0" topLeftCell="A391" workbookViewId="0">
      <selection sqref="A1:I415"/>
    </sheetView>
  </sheetViews>
  <sheetFormatPr defaultColWidth="8.88671875" defaultRowHeight="14.4" x14ac:dyDescent="0.3"/>
  <cols>
    <col min="1" max="1" width="9.6640625" bestFit="1" customWidth="1"/>
    <col min="2" max="2" width="54.6640625" bestFit="1" customWidth="1"/>
    <col min="3" max="3" width="25.6640625" bestFit="1" customWidth="1"/>
    <col min="4" max="4" width="9.6640625" bestFit="1" customWidth="1"/>
    <col min="5" max="5" width="7.33203125" bestFit="1" customWidth="1"/>
    <col min="6" max="6" width="9.6640625" bestFit="1" customWidth="1"/>
    <col min="7" max="7" width="22.33203125" bestFit="1" customWidth="1"/>
    <col min="8" max="9" width="12.33203125" bestFit="1" customWidth="1"/>
    <col min="10" max="16384" width="8.88671875" style="1"/>
  </cols>
  <sheetData>
    <row r="1" spans="1:9" s="72" customFormat="1" ht="33" customHeight="1" x14ac:dyDescent="0.3">
      <c r="A1" s="103" t="s">
        <v>78</v>
      </c>
      <c r="B1" s="103" t="s">
        <v>79</v>
      </c>
      <c r="C1" s="104" t="s">
        <v>30</v>
      </c>
      <c r="D1" s="104" t="s">
        <v>50</v>
      </c>
      <c r="E1" s="103" t="s">
        <v>61</v>
      </c>
      <c r="F1" s="103" t="s">
        <v>80</v>
      </c>
      <c r="G1" s="103" t="s">
        <v>81</v>
      </c>
      <c r="H1" s="103" t="s">
        <v>82</v>
      </c>
      <c r="I1" s="103" t="s">
        <v>83</v>
      </c>
    </row>
    <row r="2" spans="1:9" s="73" customFormat="1" ht="13.8" x14ac:dyDescent="0.3">
      <c r="A2" s="78">
        <v>1101</v>
      </c>
      <c r="B2" s="78" t="s">
        <v>84</v>
      </c>
      <c r="C2" s="78" t="s">
        <v>85</v>
      </c>
      <c r="D2" s="78" t="s">
        <v>86</v>
      </c>
      <c r="E2" s="78" t="s">
        <v>87</v>
      </c>
      <c r="F2" s="78" t="s">
        <v>88</v>
      </c>
      <c r="G2" s="78" t="s">
        <v>89</v>
      </c>
      <c r="H2" s="78" t="s">
        <v>71</v>
      </c>
      <c r="I2" s="78" t="s">
        <v>90</v>
      </c>
    </row>
    <row r="3" spans="1:9" x14ac:dyDescent="0.3">
      <c r="A3" s="79">
        <v>1102</v>
      </c>
      <c r="B3" s="79" t="s">
        <v>91</v>
      </c>
      <c r="C3" s="79" t="s">
        <v>9</v>
      </c>
      <c r="D3" s="79" t="s">
        <v>92</v>
      </c>
      <c r="E3" s="79"/>
      <c r="F3" s="79"/>
      <c r="G3" s="79"/>
      <c r="H3" s="79"/>
      <c r="I3" s="79" t="s">
        <v>90</v>
      </c>
    </row>
    <row r="4" spans="1:9" s="73" customFormat="1" ht="13.8" x14ac:dyDescent="0.3">
      <c r="A4" s="78">
        <v>1103</v>
      </c>
      <c r="B4" s="78" t="s">
        <v>93</v>
      </c>
      <c r="C4" s="78" t="s">
        <v>85</v>
      </c>
      <c r="D4" s="78" t="s">
        <v>86</v>
      </c>
      <c r="E4" s="78" t="s">
        <v>87</v>
      </c>
      <c r="F4" s="78" t="s">
        <v>88</v>
      </c>
      <c r="G4" s="78" t="s">
        <v>38</v>
      </c>
      <c r="H4" s="78" t="s">
        <v>71</v>
      </c>
      <c r="I4" s="78" t="s">
        <v>90</v>
      </c>
    </row>
    <row r="5" spans="1:9" s="73" customFormat="1" ht="13.8" x14ac:dyDescent="0.3">
      <c r="A5" s="78">
        <v>1104</v>
      </c>
      <c r="B5" s="78" t="s">
        <v>94</v>
      </c>
      <c r="C5" s="78" t="s">
        <v>85</v>
      </c>
      <c r="D5" s="78" t="s">
        <v>86</v>
      </c>
      <c r="E5" s="78" t="s">
        <v>87</v>
      </c>
      <c r="F5" s="78" t="s">
        <v>88</v>
      </c>
      <c r="G5" s="78" t="s">
        <v>38</v>
      </c>
      <c r="H5" s="78" t="s">
        <v>71</v>
      </c>
      <c r="I5" s="78" t="s">
        <v>90</v>
      </c>
    </row>
    <row r="6" spans="1:9" s="73" customFormat="1" ht="13.8" x14ac:dyDescent="0.3">
      <c r="A6" s="78">
        <v>1105</v>
      </c>
      <c r="B6" s="78" t="s">
        <v>95</v>
      </c>
      <c r="C6" s="78" t="s">
        <v>96</v>
      </c>
      <c r="D6" s="78" t="s">
        <v>86</v>
      </c>
      <c r="E6" s="78" t="s">
        <v>87</v>
      </c>
      <c r="F6" s="78" t="s">
        <v>88</v>
      </c>
      <c r="G6" s="78" t="s">
        <v>97</v>
      </c>
      <c r="H6" s="78" t="s">
        <v>71</v>
      </c>
      <c r="I6" s="78" t="s">
        <v>90</v>
      </c>
    </row>
    <row r="7" spans="1:9" s="73" customFormat="1" ht="13.8" x14ac:dyDescent="0.3">
      <c r="A7" s="78">
        <v>1109</v>
      </c>
      <c r="B7" s="78" t="s">
        <v>98</v>
      </c>
      <c r="C7" s="78" t="s">
        <v>99</v>
      </c>
      <c r="D7" s="78" t="s">
        <v>86</v>
      </c>
      <c r="E7" s="78" t="s">
        <v>87</v>
      </c>
      <c r="F7" s="78" t="s">
        <v>88</v>
      </c>
      <c r="G7" s="78" t="s">
        <v>67</v>
      </c>
      <c r="H7" s="78" t="s">
        <v>71</v>
      </c>
      <c r="I7" s="78" t="s">
        <v>90</v>
      </c>
    </row>
    <row r="8" spans="1:9" s="73" customFormat="1" ht="13.8" x14ac:dyDescent="0.3">
      <c r="A8" s="78">
        <v>1110</v>
      </c>
      <c r="B8" s="78" t="s">
        <v>100</v>
      </c>
      <c r="C8" s="78" t="s">
        <v>101</v>
      </c>
      <c r="D8" s="78" t="s">
        <v>86</v>
      </c>
      <c r="E8" s="78" t="s">
        <v>87</v>
      </c>
      <c r="F8" s="78" t="s">
        <v>88</v>
      </c>
      <c r="G8" s="78" t="s">
        <v>38</v>
      </c>
      <c r="H8" s="78" t="s">
        <v>71</v>
      </c>
      <c r="I8" s="78" t="s">
        <v>90</v>
      </c>
    </row>
    <row r="9" spans="1:9" s="73" customFormat="1" ht="13.8" x14ac:dyDescent="0.3">
      <c r="A9" s="78">
        <v>1111</v>
      </c>
      <c r="B9" s="78" t="s">
        <v>102</v>
      </c>
      <c r="C9" s="78" t="s">
        <v>103</v>
      </c>
      <c r="D9" s="78" t="s">
        <v>86</v>
      </c>
      <c r="E9" s="78" t="s">
        <v>87</v>
      </c>
      <c r="F9" s="78" t="s">
        <v>88</v>
      </c>
      <c r="G9" s="78" t="s">
        <v>38</v>
      </c>
      <c r="H9" s="78" t="s">
        <v>71</v>
      </c>
      <c r="I9" s="78" t="s">
        <v>90</v>
      </c>
    </row>
    <row r="10" spans="1:9" s="73" customFormat="1" ht="13.8" x14ac:dyDescent="0.3">
      <c r="A10" s="78">
        <v>1114</v>
      </c>
      <c r="B10" s="78" t="s">
        <v>104</v>
      </c>
      <c r="C10" s="78" t="s">
        <v>96</v>
      </c>
      <c r="D10" s="78" t="s">
        <v>86</v>
      </c>
      <c r="E10" s="78" t="s">
        <v>87</v>
      </c>
      <c r="F10" s="78" t="s">
        <v>88</v>
      </c>
      <c r="G10" s="78" t="s">
        <v>97</v>
      </c>
      <c r="H10" s="78" t="s">
        <v>71</v>
      </c>
      <c r="I10" s="78" t="s">
        <v>90</v>
      </c>
    </row>
    <row r="11" spans="1:9" s="73" customFormat="1" ht="13.8" x14ac:dyDescent="0.3">
      <c r="A11" s="78">
        <v>1116</v>
      </c>
      <c r="B11" s="78" t="s">
        <v>105</v>
      </c>
      <c r="C11" s="78" t="s">
        <v>106</v>
      </c>
      <c r="D11" s="78" t="s">
        <v>86</v>
      </c>
      <c r="E11" s="78" t="s">
        <v>87</v>
      </c>
      <c r="F11" s="78" t="s">
        <v>88</v>
      </c>
      <c r="G11" s="78" t="s">
        <v>107</v>
      </c>
      <c r="H11" s="78" t="s">
        <v>71</v>
      </c>
      <c r="I11" s="78" t="s">
        <v>90</v>
      </c>
    </row>
    <row r="12" spans="1:9" s="73" customFormat="1" ht="13.8" x14ac:dyDescent="0.3">
      <c r="A12" s="78">
        <v>1117</v>
      </c>
      <c r="B12" s="78" t="s">
        <v>108</v>
      </c>
      <c r="C12" s="78" t="s">
        <v>85</v>
      </c>
      <c r="D12" s="78" t="s">
        <v>86</v>
      </c>
      <c r="E12" s="78" t="s">
        <v>87</v>
      </c>
      <c r="F12" s="78" t="s">
        <v>88</v>
      </c>
      <c r="G12" s="78" t="s">
        <v>97</v>
      </c>
      <c r="H12" s="78" t="s">
        <v>71</v>
      </c>
      <c r="I12" s="78" t="s">
        <v>90</v>
      </c>
    </row>
    <row r="13" spans="1:9" s="73" customFormat="1" ht="13.8" x14ac:dyDescent="0.3">
      <c r="A13" s="78">
        <v>1118</v>
      </c>
      <c r="B13" s="78" t="s">
        <v>109</v>
      </c>
      <c r="C13" s="78" t="s">
        <v>110</v>
      </c>
      <c r="D13" s="78" t="s">
        <v>86</v>
      </c>
      <c r="E13" s="78" t="s">
        <v>87</v>
      </c>
      <c r="F13" s="78" t="s">
        <v>88</v>
      </c>
      <c r="G13" s="78" t="s">
        <v>38</v>
      </c>
      <c r="H13" s="78" t="s">
        <v>71</v>
      </c>
      <c r="I13" s="78" t="s">
        <v>90</v>
      </c>
    </row>
    <row r="14" spans="1:9" x14ac:dyDescent="0.3">
      <c r="A14" s="80">
        <v>1119</v>
      </c>
      <c r="B14" s="80" t="s">
        <v>111</v>
      </c>
      <c r="C14" s="79" t="s">
        <v>9</v>
      </c>
      <c r="D14" s="79" t="s">
        <v>92</v>
      </c>
      <c r="E14" s="79"/>
      <c r="F14" s="79"/>
      <c r="G14" s="80"/>
      <c r="H14" s="79"/>
      <c r="I14" s="79" t="s">
        <v>90</v>
      </c>
    </row>
    <row r="15" spans="1:9" x14ac:dyDescent="0.3">
      <c r="A15" s="80">
        <v>1136</v>
      </c>
      <c r="B15" s="80" t="s">
        <v>112</v>
      </c>
      <c r="C15" s="79" t="s">
        <v>9</v>
      </c>
      <c r="D15" s="79" t="s">
        <v>92</v>
      </c>
      <c r="E15" s="79"/>
      <c r="F15" s="79"/>
      <c r="G15" s="80"/>
      <c r="H15" s="79"/>
      <c r="I15" s="79" t="s">
        <v>90</v>
      </c>
    </row>
    <row r="16" spans="1:9" s="73" customFormat="1" ht="13.8" x14ac:dyDescent="0.3">
      <c r="A16" s="78">
        <v>1139</v>
      </c>
      <c r="B16" s="78" t="s">
        <v>113</v>
      </c>
      <c r="C16" s="78" t="s">
        <v>101</v>
      </c>
      <c r="D16" s="78" t="s">
        <v>86</v>
      </c>
      <c r="E16" s="78" t="s">
        <v>87</v>
      </c>
      <c r="F16" s="78" t="s">
        <v>88</v>
      </c>
      <c r="G16" s="78" t="s">
        <v>114</v>
      </c>
      <c r="H16" s="78" t="s">
        <v>71</v>
      </c>
      <c r="I16" s="78" t="s">
        <v>90</v>
      </c>
    </row>
    <row r="17" spans="1:9" s="73" customFormat="1" ht="13.8" x14ac:dyDescent="0.3">
      <c r="A17" s="78">
        <v>1140</v>
      </c>
      <c r="B17" s="78" t="s">
        <v>115</v>
      </c>
      <c r="C17" s="78" t="s">
        <v>101</v>
      </c>
      <c r="D17" s="78" t="s">
        <v>86</v>
      </c>
      <c r="E17" s="78" t="s">
        <v>87</v>
      </c>
      <c r="F17" s="78" t="s">
        <v>88</v>
      </c>
      <c r="G17" s="78" t="s">
        <v>116</v>
      </c>
      <c r="H17" s="78" t="s">
        <v>71</v>
      </c>
      <c r="I17" s="78" t="s">
        <v>90</v>
      </c>
    </row>
    <row r="18" spans="1:9" s="73" customFormat="1" ht="13.8" x14ac:dyDescent="0.3">
      <c r="A18" s="78">
        <v>1141</v>
      </c>
      <c r="B18" s="78" t="s">
        <v>117</v>
      </c>
      <c r="C18" s="78" t="s">
        <v>101</v>
      </c>
      <c r="D18" s="78" t="s">
        <v>86</v>
      </c>
      <c r="E18" s="78" t="s">
        <v>87</v>
      </c>
      <c r="F18" s="78" t="s">
        <v>88</v>
      </c>
      <c r="G18" s="78" t="s">
        <v>89</v>
      </c>
      <c r="H18" s="78" t="s">
        <v>71</v>
      </c>
      <c r="I18" s="78" t="s">
        <v>90</v>
      </c>
    </row>
    <row r="19" spans="1:9" x14ac:dyDescent="0.3">
      <c r="A19" s="80">
        <v>1142</v>
      </c>
      <c r="B19" s="79" t="s">
        <v>118</v>
      </c>
      <c r="C19" s="79" t="s">
        <v>9</v>
      </c>
      <c r="D19" s="79" t="s">
        <v>92</v>
      </c>
      <c r="E19" s="79"/>
      <c r="F19" s="79"/>
      <c r="G19" s="80"/>
      <c r="H19" s="79"/>
      <c r="I19" s="79" t="s">
        <v>90</v>
      </c>
    </row>
    <row r="20" spans="1:9" x14ac:dyDescent="0.3">
      <c r="A20" s="80">
        <v>1143</v>
      </c>
      <c r="B20" s="79" t="s">
        <v>119</v>
      </c>
      <c r="C20" s="79" t="s">
        <v>9</v>
      </c>
      <c r="D20" s="79" t="s">
        <v>92</v>
      </c>
      <c r="E20" s="79"/>
      <c r="F20" s="79"/>
      <c r="G20" s="80"/>
      <c r="H20" s="79"/>
      <c r="I20" s="79" t="s">
        <v>90</v>
      </c>
    </row>
    <row r="21" spans="1:9" x14ac:dyDescent="0.3">
      <c r="A21" s="80">
        <v>1144</v>
      </c>
      <c r="B21" s="79" t="s">
        <v>120</v>
      </c>
      <c r="C21" s="79" t="s">
        <v>9</v>
      </c>
      <c r="D21" s="79" t="s">
        <v>92</v>
      </c>
      <c r="E21" s="79"/>
      <c r="F21" s="79"/>
      <c r="G21" s="80"/>
      <c r="H21" s="79"/>
      <c r="I21" s="79" t="s">
        <v>90</v>
      </c>
    </row>
    <row r="22" spans="1:9" x14ac:dyDescent="0.3">
      <c r="A22" s="78">
        <v>1145</v>
      </c>
      <c r="B22" s="79" t="s">
        <v>121</v>
      </c>
      <c r="C22" s="79" t="s">
        <v>101</v>
      </c>
      <c r="D22" s="79" t="s">
        <v>92</v>
      </c>
      <c r="E22" s="79"/>
      <c r="F22" s="79"/>
      <c r="G22" s="79"/>
      <c r="H22" s="79"/>
      <c r="I22" s="79" t="s">
        <v>90</v>
      </c>
    </row>
    <row r="23" spans="1:9" s="73" customFormat="1" ht="13.8" x14ac:dyDescent="0.3">
      <c r="A23" s="78">
        <v>1146</v>
      </c>
      <c r="B23" s="78" t="s">
        <v>122</v>
      </c>
      <c r="C23" s="78" t="s">
        <v>123</v>
      </c>
      <c r="D23" s="78" t="s">
        <v>86</v>
      </c>
      <c r="E23" s="78" t="s">
        <v>87</v>
      </c>
      <c r="F23" s="78" t="s">
        <v>88</v>
      </c>
      <c r="G23" s="78" t="s">
        <v>77</v>
      </c>
      <c r="H23" s="78" t="s">
        <v>71</v>
      </c>
      <c r="I23" s="78" t="s">
        <v>90</v>
      </c>
    </row>
    <row r="24" spans="1:9" x14ac:dyDescent="0.3">
      <c r="A24" s="80">
        <v>1147</v>
      </c>
      <c r="B24" s="79" t="s">
        <v>124</v>
      </c>
      <c r="C24" s="79" t="s">
        <v>9</v>
      </c>
      <c r="D24" s="79" t="s">
        <v>92</v>
      </c>
      <c r="E24" s="79"/>
      <c r="F24" s="79"/>
      <c r="G24" s="80"/>
      <c r="H24" s="79"/>
      <c r="I24" s="79" t="s">
        <v>90</v>
      </c>
    </row>
    <row r="25" spans="1:9" x14ac:dyDescent="0.3">
      <c r="A25" s="80">
        <v>1149</v>
      </c>
      <c r="B25" s="79" t="s">
        <v>125</v>
      </c>
      <c r="C25" s="79" t="s">
        <v>9</v>
      </c>
      <c r="D25" s="79" t="s">
        <v>92</v>
      </c>
      <c r="E25" s="79"/>
      <c r="F25" s="79"/>
      <c r="G25" s="80"/>
      <c r="H25" s="79"/>
      <c r="I25" s="79" t="s">
        <v>90</v>
      </c>
    </row>
    <row r="26" spans="1:9" s="73" customFormat="1" ht="13.8" x14ac:dyDescent="0.3">
      <c r="A26" s="78">
        <v>1150</v>
      </c>
      <c r="B26" s="78" t="s">
        <v>126</v>
      </c>
      <c r="C26" s="78" t="s">
        <v>85</v>
      </c>
      <c r="D26" s="78" t="s">
        <v>86</v>
      </c>
      <c r="E26" s="78" t="s">
        <v>87</v>
      </c>
      <c r="F26" s="78" t="s">
        <v>88</v>
      </c>
      <c r="G26" s="78" t="s">
        <v>38</v>
      </c>
      <c r="H26" s="78" t="s">
        <v>71</v>
      </c>
      <c r="I26" s="78" t="s">
        <v>90</v>
      </c>
    </row>
    <row r="27" spans="1:9" x14ac:dyDescent="0.3">
      <c r="A27" s="80">
        <v>1151</v>
      </c>
      <c r="B27" s="79" t="s">
        <v>127</v>
      </c>
      <c r="C27" s="79" t="s">
        <v>9</v>
      </c>
      <c r="D27" s="79" t="s">
        <v>92</v>
      </c>
      <c r="E27" s="79"/>
      <c r="F27" s="79"/>
      <c r="G27" s="80"/>
      <c r="H27" s="79"/>
      <c r="I27" s="79" t="s">
        <v>90</v>
      </c>
    </row>
    <row r="28" spans="1:9" x14ac:dyDescent="0.3">
      <c r="A28" s="80">
        <v>1152</v>
      </c>
      <c r="B28" s="79" t="s">
        <v>128</v>
      </c>
      <c r="C28" s="79" t="s">
        <v>9</v>
      </c>
      <c r="D28" s="79" t="s">
        <v>92</v>
      </c>
      <c r="E28" s="79"/>
      <c r="F28" s="79"/>
      <c r="G28" s="80"/>
      <c r="H28" s="79"/>
      <c r="I28" s="79" t="s">
        <v>90</v>
      </c>
    </row>
    <row r="29" spans="1:9" s="73" customFormat="1" ht="13.8" x14ac:dyDescent="0.3">
      <c r="A29" s="78">
        <v>1153</v>
      </c>
      <c r="B29" s="78" t="s">
        <v>129</v>
      </c>
      <c r="C29" s="78" t="s">
        <v>96</v>
      </c>
      <c r="D29" s="78" t="s">
        <v>86</v>
      </c>
      <c r="E29" s="78" t="s">
        <v>87</v>
      </c>
      <c r="F29" s="78" t="s">
        <v>88</v>
      </c>
      <c r="G29" s="78" t="s">
        <v>97</v>
      </c>
      <c r="H29" s="78" t="s">
        <v>71</v>
      </c>
      <c r="I29" s="78" t="s">
        <v>90</v>
      </c>
    </row>
    <row r="30" spans="1:9" x14ac:dyDescent="0.3">
      <c r="A30" s="79">
        <v>1154</v>
      </c>
      <c r="B30" s="79" t="s">
        <v>130</v>
      </c>
      <c r="C30" s="79" t="s">
        <v>9</v>
      </c>
      <c r="D30" s="79" t="s">
        <v>92</v>
      </c>
      <c r="E30" s="79"/>
      <c r="F30" s="79"/>
      <c r="G30" s="79"/>
      <c r="H30" s="79"/>
      <c r="I30" s="79" t="s">
        <v>90</v>
      </c>
    </row>
    <row r="31" spans="1:9" s="73" customFormat="1" ht="13.8" x14ac:dyDescent="0.3">
      <c r="A31" s="78">
        <v>1155</v>
      </c>
      <c r="B31" s="78" t="s">
        <v>131</v>
      </c>
      <c r="C31" s="78" t="s">
        <v>106</v>
      </c>
      <c r="D31" s="78" t="s">
        <v>86</v>
      </c>
      <c r="E31" s="78" t="s">
        <v>87</v>
      </c>
      <c r="F31" s="78" t="s">
        <v>88</v>
      </c>
      <c r="G31" s="78" t="s">
        <v>107</v>
      </c>
      <c r="H31" s="78" t="s">
        <v>71</v>
      </c>
      <c r="I31" s="78" t="s">
        <v>90</v>
      </c>
    </row>
    <row r="32" spans="1:9" s="73" customFormat="1" ht="13.8" x14ac:dyDescent="0.3">
      <c r="A32" s="78">
        <v>1156</v>
      </c>
      <c r="B32" s="78" t="s">
        <v>132</v>
      </c>
      <c r="C32" s="78" t="s">
        <v>133</v>
      </c>
      <c r="D32" s="78" t="s">
        <v>86</v>
      </c>
      <c r="E32" s="78" t="s">
        <v>87</v>
      </c>
      <c r="F32" s="78" t="s">
        <v>88</v>
      </c>
      <c r="G32" s="78" t="s">
        <v>38</v>
      </c>
      <c r="H32" s="78" t="s">
        <v>71</v>
      </c>
      <c r="I32" s="78" t="s">
        <v>90</v>
      </c>
    </row>
    <row r="33" spans="1:9" s="73" customFormat="1" ht="13.8" x14ac:dyDescent="0.3">
      <c r="A33" s="78">
        <v>1157</v>
      </c>
      <c r="B33" s="78" t="s">
        <v>134</v>
      </c>
      <c r="C33" s="78" t="s">
        <v>123</v>
      </c>
      <c r="D33" s="78" t="s">
        <v>86</v>
      </c>
      <c r="E33" s="78" t="s">
        <v>87</v>
      </c>
      <c r="F33" s="78" t="s">
        <v>88</v>
      </c>
      <c r="G33" s="78" t="s">
        <v>135</v>
      </c>
      <c r="H33" s="78" t="s">
        <v>71</v>
      </c>
      <c r="I33" s="78" t="s">
        <v>90</v>
      </c>
    </row>
    <row r="34" spans="1:9" s="73" customFormat="1" ht="13.8" x14ac:dyDescent="0.3">
      <c r="A34" s="78">
        <v>1158</v>
      </c>
      <c r="B34" s="78" t="s">
        <v>136</v>
      </c>
      <c r="C34" s="78" t="s">
        <v>96</v>
      </c>
      <c r="D34" s="78" t="s">
        <v>86</v>
      </c>
      <c r="E34" s="78" t="s">
        <v>87</v>
      </c>
      <c r="F34" s="78" t="s">
        <v>88</v>
      </c>
      <c r="G34" s="78" t="s">
        <v>97</v>
      </c>
      <c r="H34" s="78" t="s">
        <v>71</v>
      </c>
      <c r="I34" s="78" t="s">
        <v>90</v>
      </c>
    </row>
    <row r="35" spans="1:9" s="73" customFormat="1" ht="13.8" x14ac:dyDescent="0.3">
      <c r="A35" s="78">
        <v>1159</v>
      </c>
      <c r="B35" s="78" t="s">
        <v>137</v>
      </c>
      <c r="C35" s="78" t="s">
        <v>123</v>
      </c>
      <c r="D35" s="78" t="s">
        <v>86</v>
      </c>
      <c r="E35" s="78" t="s">
        <v>87</v>
      </c>
      <c r="F35" s="78" t="s">
        <v>88</v>
      </c>
      <c r="G35" s="78" t="s">
        <v>138</v>
      </c>
      <c r="H35" s="78" t="s">
        <v>71</v>
      </c>
      <c r="I35" s="78" t="s">
        <v>90</v>
      </c>
    </row>
    <row r="36" spans="1:9" s="73" customFormat="1" ht="13.8" x14ac:dyDescent="0.3">
      <c r="A36" s="78">
        <v>1160</v>
      </c>
      <c r="B36" s="78" t="s">
        <v>139</v>
      </c>
      <c r="C36" s="78" t="s">
        <v>101</v>
      </c>
      <c r="D36" s="78" t="s">
        <v>86</v>
      </c>
      <c r="E36" s="78" t="s">
        <v>87</v>
      </c>
      <c r="F36" s="78" t="s">
        <v>88</v>
      </c>
      <c r="G36" s="78" t="s">
        <v>89</v>
      </c>
      <c r="H36" s="78" t="s">
        <v>71</v>
      </c>
      <c r="I36" s="78" t="s">
        <v>90</v>
      </c>
    </row>
    <row r="37" spans="1:9" x14ac:dyDescent="0.3">
      <c r="A37" s="78">
        <v>1161</v>
      </c>
      <c r="B37" s="79" t="s">
        <v>140</v>
      </c>
      <c r="C37" s="79" t="s">
        <v>101</v>
      </c>
      <c r="D37" s="79" t="s">
        <v>92</v>
      </c>
      <c r="E37" s="79"/>
      <c r="F37" s="79"/>
      <c r="G37" s="79"/>
      <c r="H37" s="79"/>
      <c r="I37" s="79" t="s">
        <v>90</v>
      </c>
    </row>
    <row r="38" spans="1:9" s="73" customFormat="1" ht="13.8" x14ac:dyDescent="0.3">
      <c r="A38" s="78">
        <v>1162</v>
      </c>
      <c r="B38" s="78" t="s">
        <v>141</v>
      </c>
      <c r="C38" s="78" t="s">
        <v>142</v>
      </c>
      <c r="D38" s="78" t="s">
        <v>86</v>
      </c>
      <c r="E38" s="78" t="s">
        <v>87</v>
      </c>
      <c r="F38" s="78" t="s">
        <v>88</v>
      </c>
      <c r="G38" s="78" t="s">
        <v>38</v>
      </c>
      <c r="H38" s="78" t="s">
        <v>71</v>
      </c>
      <c r="I38" s="78" t="s">
        <v>90</v>
      </c>
    </row>
    <row r="39" spans="1:9" s="73" customFormat="1" ht="13.8" x14ac:dyDescent="0.3">
      <c r="A39" s="78">
        <v>1163</v>
      </c>
      <c r="B39" s="78" t="s">
        <v>143</v>
      </c>
      <c r="C39" s="78" t="s">
        <v>110</v>
      </c>
      <c r="D39" s="78" t="s">
        <v>86</v>
      </c>
      <c r="E39" s="78" t="s">
        <v>87</v>
      </c>
      <c r="F39" s="78" t="s">
        <v>88</v>
      </c>
      <c r="G39" s="78" t="s">
        <v>38</v>
      </c>
      <c r="H39" s="78" t="s">
        <v>71</v>
      </c>
      <c r="I39" s="78" t="s">
        <v>90</v>
      </c>
    </row>
    <row r="40" spans="1:9" s="73" customFormat="1" ht="13.8" x14ac:dyDescent="0.3">
      <c r="A40" s="78">
        <v>1164</v>
      </c>
      <c r="B40" s="78" t="s">
        <v>144</v>
      </c>
      <c r="C40" s="78" t="s">
        <v>123</v>
      </c>
      <c r="D40" s="78" t="s">
        <v>86</v>
      </c>
      <c r="E40" s="78" t="s">
        <v>87</v>
      </c>
      <c r="F40" s="78" t="s">
        <v>88</v>
      </c>
      <c r="G40" s="78" t="s">
        <v>77</v>
      </c>
      <c r="H40" s="78" t="s">
        <v>71</v>
      </c>
      <c r="I40" s="78" t="s">
        <v>90</v>
      </c>
    </row>
    <row r="41" spans="1:9" s="73" customFormat="1" ht="13.8" x14ac:dyDescent="0.3">
      <c r="A41" s="78">
        <v>1167</v>
      </c>
      <c r="B41" s="78" t="s">
        <v>145</v>
      </c>
      <c r="C41" s="78" t="s">
        <v>123</v>
      </c>
      <c r="D41" s="78" t="s">
        <v>86</v>
      </c>
      <c r="E41" s="78" t="s">
        <v>87</v>
      </c>
      <c r="F41" s="78" t="s">
        <v>88</v>
      </c>
      <c r="G41" s="78" t="s">
        <v>138</v>
      </c>
      <c r="H41" s="78" t="s">
        <v>71</v>
      </c>
      <c r="I41" s="78" t="s">
        <v>90</v>
      </c>
    </row>
    <row r="42" spans="1:9" s="73" customFormat="1" ht="13.8" x14ac:dyDescent="0.3">
      <c r="A42" s="78">
        <v>1170</v>
      </c>
      <c r="B42" s="78" t="s">
        <v>146</v>
      </c>
      <c r="C42" s="78" t="s">
        <v>96</v>
      </c>
      <c r="D42" s="78" t="s">
        <v>86</v>
      </c>
      <c r="E42" s="78" t="s">
        <v>87</v>
      </c>
      <c r="F42" s="78" t="s">
        <v>88</v>
      </c>
      <c r="G42" s="78" t="s">
        <v>97</v>
      </c>
      <c r="H42" s="78" t="s">
        <v>71</v>
      </c>
      <c r="I42" s="78" t="s">
        <v>90</v>
      </c>
    </row>
    <row r="43" spans="1:9" s="73" customFormat="1" ht="13.8" x14ac:dyDescent="0.3">
      <c r="A43" s="78">
        <v>1171</v>
      </c>
      <c r="B43" s="78" t="s">
        <v>147</v>
      </c>
      <c r="C43" s="78" t="s">
        <v>101</v>
      </c>
      <c r="D43" s="78" t="s">
        <v>86</v>
      </c>
      <c r="E43" s="78" t="s">
        <v>87</v>
      </c>
      <c r="F43" s="78" t="s">
        <v>88</v>
      </c>
      <c r="G43" s="78" t="s">
        <v>114</v>
      </c>
      <c r="H43" s="78" t="s">
        <v>71</v>
      </c>
      <c r="I43" s="78" t="s">
        <v>90</v>
      </c>
    </row>
    <row r="44" spans="1:9" s="73" customFormat="1" ht="13.8" x14ac:dyDescent="0.3">
      <c r="A44" s="78">
        <v>1172</v>
      </c>
      <c r="B44" s="78" t="s">
        <v>148</v>
      </c>
      <c r="C44" s="78" t="s">
        <v>123</v>
      </c>
      <c r="D44" s="78" t="s">
        <v>86</v>
      </c>
      <c r="E44" s="78" t="s">
        <v>87</v>
      </c>
      <c r="F44" s="78" t="s">
        <v>88</v>
      </c>
      <c r="G44" s="78" t="s">
        <v>77</v>
      </c>
      <c r="H44" s="78" t="s">
        <v>71</v>
      </c>
      <c r="I44" s="78" t="s">
        <v>90</v>
      </c>
    </row>
    <row r="45" spans="1:9" s="73" customFormat="1" ht="13.8" x14ac:dyDescent="0.3">
      <c r="A45" s="78">
        <v>1173</v>
      </c>
      <c r="B45" s="78" t="s">
        <v>149</v>
      </c>
      <c r="C45" s="78" t="s">
        <v>150</v>
      </c>
      <c r="D45" s="78" t="s">
        <v>86</v>
      </c>
      <c r="E45" s="78" t="s">
        <v>55</v>
      </c>
      <c r="F45" s="78" t="s">
        <v>88</v>
      </c>
      <c r="G45" s="78" t="s">
        <v>51</v>
      </c>
      <c r="H45" s="78" t="s">
        <v>71</v>
      </c>
      <c r="I45" s="78" t="s">
        <v>90</v>
      </c>
    </row>
    <row r="46" spans="1:9" s="73" customFormat="1" ht="13.8" x14ac:dyDescent="0.3">
      <c r="A46" s="78">
        <v>1199</v>
      </c>
      <c r="B46" s="78" t="s">
        <v>151</v>
      </c>
      <c r="C46" s="78" t="s">
        <v>85</v>
      </c>
      <c r="D46" s="78" t="s">
        <v>86</v>
      </c>
      <c r="E46" s="78" t="s">
        <v>87</v>
      </c>
      <c r="F46" s="78" t="s">
        <v>88</v>
      </c>
      <c r="G46" s="78" t="s">
        <v>38</v>
      </c>
      <c r="H46" s="78" t="s">
        <v>71</v>
      </c>
      <c r="I46" s="78" t="s">
        <v>90</v>
      </c>
    </row>
    <row r="47" spans="1:9" s="73" customFormat="1" ht="13.8" x14ac:dyDescent="0.3">
      <c r="A47" s="81">
        <v>6102</v>
      </c>
      <c r="B47" s="78" t="s">
        <v>152</v>
      </c>
      <c r="C47" s="78" t="s">
        <v>153</v>
      </c>
      <c r="D47" s="78" t="s">
        <v>86</v>
      </c>
      <c r="E47" s="78" t="s">
        <v>87</v>
      </c>
      <c r="F47" s="78" t="s">
        <v>88</v>
      </c>
      <c r="G47" s="78" t="s">
        <v>38</v>
      </c>
      <c r="H47" s="78" t="s">
        <v>71</v>
      </c>
      <c r="I47" s="78" t="s">
        <v>90</v>
      </c>
    </row>
    <row r="48" spans="1:9" s="73" customFormat="1" ht="13.8" x14ac:dyDescent="0.3">
      <c r="A48" s="81">
        <v>6103</v>
      </c>
      <c r="B48" s="78" t="s">
        <v>154</v>
      </c>
      <c r="C48" s="78" t="s">
        <v>153</v>
      </c>
      <c r="D48" s="78" t="s">
        <v>86</v>
      </c>
      <c r="E48" s="78" t="s">
        <v>87</v>
      </c>
      <c r="F48" s="78" t="s">
        <v>88</v>
      </c>
      <c r="G48" s="78" t="s">
        <v>38</v>
      </c>
      <c r="H48" s="78" t="s">
        <v>71</v>
      </c>
      <c r="I48" s="78" t="s">
        <v>90</v>
      </c>
    </row>
    <row r="49" spans="1:9" x14ac:dyDescent="0.3">
      <c r="A49" s="81">
        <v>6118</v>
      </c>
      <c r="B49" s="79" t="s">
        <v>155</v>
      </c>
      <c r="C49" s="79" t="s">
        <v>101</v>
      </c>
      <c r="D49" s="79" t="s">
        <v>92</v>
      </c>
      <c r="E49" s="79"/>
      <c r="F49" s="79"/>
      <c r="G49" s="79"/>
      <c r="H49" s="79"/>
      <c r="I49" s="79" t="s">
        <v>90</v>
      </c>
    </row>
    <row r="50" spans="1:9" s="73" customFormat="1" ht="13.8" x14ac:dyDescent="0.3">
      <c r="A50" s="81">
        <v>6119</v>
      </c>
      <c r="B50" s="81" t="s">
        <v>156</v>
      </c>
      <c r="C50" s="78" t="s">
        <v>85</v>
      </c>
      <c r="D50" s="78" t="s">
        <v>86</v>
      </c>
      <c r="E50" s="78" t="s">
        <v>87</v>
      </c>
      <c r="F50" s="78" t="s">
        <v>88</v>
      </c>
      <c r="G50" s="78" t="s">
        <v>38</v>
      </c>
      <c r="H50" s="78" t="s">
        <v>71</v>
      </c>
      <c r="I50" s="78" t="s">
        <v>90</v>
      </c>
    </row>
    <row r="51" spans="1:9" s="73" customFormat="1" ht="13.8" x14ac:dyDescent="0.3">
      <c r="A51" s="81">
        <v>6120</v>
      </c>
      <c r="B51" s="81" t="s">
        <v>157</v>
      </c>
      <c r="C51" s="78" t="s">
        <v>85</v>
      </c>
      <c r="D51" s="78" t="s">
        <v>86</v>
      </c>
      <c r="E51" s="78" t="s">
        <v>87</v>
      </c>
      <c r="F51" s="78" t="s">
        <v>88</v>
      </c>
      <c r="G51" s="78" t="s">
        <v>97</v>
      </c>
      <c r="H51" s="78" t="s">
        <v>71</v>
      </c>
      <c r="I51" s="78" t="s">
        <v>90</v>
      </c>
    </row>
    <row r="52" spans="1:9" s="74" customFormat="1" x14ac:dyDescent="0.3">
      <c r="A52" s="81">
        <v>9900</v>
      </c>
      <c r="B52" t="s">
        <v>158</v>
      </c>
      <c r="C52" s="84" t="s">
        <v>159</v>
      </c>
      <c r="D52" s="78" t="s">
        <v>86</v>
      </c>
      <c r="E52" s="78" t="s">
        <v>58</v>
      </c>
      <c r="F52" s="84" t="s">
        <v>88</v>
      </c>
      <c r="G52" s="84" t="s">
        <v>67</v>
      </c>
      <c r="H52" s="78" t="s">
        <v>71</v>
      </c>
      <c r="I52" s="78" t="s">
        <v>160</v>
      </c>
    </row>
    <row r="53" spans="1:9" s="74" customFormat="1" ht="13.8" x14ac:dyDescent="0.3">
      <c r="A53" s="80">
        <v>1201</v>
      </c>
      <c r="B53" s="80" t="s">
        <v>161</v>
      </c>
      <c r="C53" s="80" t="s">
        <v>159</v>
      </c>
      <c r="D53" s="79" t="s">
        <v>92</v>
      </c>
      <c r="E53" s="79"/>
      <c r="F53" s="79"/>
      <c r="G53" s="80"/>
      <c r="H53" s="80"/>
      <c r="I53" s="79" t="s">
        <v>160</v>
      </c>
    </row>
    <row r="54" spans="1:9" s="74" customFormat="1" ht="13.8" x14ac:dyDescent="0.3">
      <c r="A54" s="80">
        <v>1202</v>
      </c>
      <c r="B54" s="80" t="s">
        <v>162</v>
      </c>
      <c r="C54" s="79" t="s">
        <v>9</v>
      </c>
      <c r="D54" s="79" t="s">
        <v>92</v>
      </c>
      <c r="E54" s="80"/>
      <c r="F54" s="80"/>
      <c r="G54" s="80"/>
      <c r="H54" s="80"/>
      <c r="I54" s="79" t="s">
        <v>160</v>
      </c>
    </row>
    <row r="55" spans="1:9" s="74" customFormat="1" ht="13.8" x14ac:dyDescent="0.3">
      <c r="A55" s="80">
        <v>1203</v>
      </c>
      <c r="B55" s="80" t="s">
        <v>163</v>
      </c>
      <c r="C55" s="79" t="s">
        <v>9</v>
      </c>
      <c r="D55" s="79" t="s">
        <v>92</v>
      </c>
      <c r="E55" s="80"/>
      <c r="F55" s="80"/>
      <c r="G55" s="80"/>
      <c r="H55" s="80"/>
      <c r="I55" s="79" t="s">
        <v>160</v>
      </c>
    </row>
    <row r="56" spans="1:9" s="74" customFormat="1" ht="13.8" x14ac:dyDescent="0.3">
      <c r="A56" s="80">
        <v>1204</v>
      </c>
      <c r="B56" s="80" t="s">
        <v>164</v>
      </c>
      <c r="C56" s="79" t="s">
        <v>9</v>
      </c>
      <c r="D56" s="79" t="s">
        <v>92</v>
      </c>
      <c r="E56" s="80"/>
      <c r="F56" s="80"/>
      <c r="G56" s="80"/>
      <c r="H56" s="80"/>
      <c r="I56" s="79" t="s">
        <v>160</v>
      </c>
    </row>
    <row r="57" spans="1:9" s="74" customFormat="1" ht="13.8" x14ac:dyDescent="0.3">
      <c r="A57" s="80">
        <v>1205</v>
      </c>
      <c r="B57" s="80" t="s">
        <v>165</v>
      </c>
      <c r="C57" s="79" t="s">
        <v>9</v>
      </c>
      <c r="D57" s="79" t="s">
        <v>92</v>
      </c>
      <c r="E57" s="80"/>
      <c r="F57" s="80"/>
      <c r="G57" s="80"/>
      <c r="H57" s="80"/>
      <c r="I57" s="79" t="s">
        <v>160</v>
      </c>
    </row>
    <row r="58" spans="1:9" s="74" customFormat="1" ht="13.8" x14ac:dyDescent="0.3">
      <c r="A58" s="80">
        <v>1206</v>
      </c>
      <c r="B58" s="80" t="s">
        <v>166</v>
      </c>
      <c r="C58" s="79" t="s">
        <v>9</v>
      </c>
      <c r="D58" s="79" t="s">
        <v>92</v>
      </c>
      <c r="E58" s="80"/>
      <c r="F58" s="80"/>
      <c r="G58" s="80"/>
      <c r="H58" s="80"/>
      <c r="I58" s="79" t="s">
        <v>160</v>
      </c>
    </row>
    <row r="59" spans="1:9" s="74" customFormat="1" ht="13.8" x14ac:dyDescent="0.3">
      <c r="A59" s="82">
        <v>1207</v>
      </c>
      <c r="B59" s="82" t="s">
        <v>167</v>
      </c>
      <c r="C59" s="117" t="s">
        <v>19</v>
      </c>
      <c r="D59" s="79" t="s">
        <v>92</v>
      </c>
      <c r="E59" s="79"/>
      <c r="F59" s="79"/>
      <c r="G59" s="82"/>
      <c r="H59" s="82"/>
      <c r="I59" s="79" t="s">
        <v>160</v>
      </c>
    </row>
    <row r="60" spans="1:9" s="74" customFormat="1" ht="13.8" x14ac:dyDescent="0.3">
      <c r="A60" s="82">
        <v>1208</v>
      </c>
      <c r="B60" s="82" t="s">
        <v>168</v>
      </c>
      <c r="C60" s="79" t="s">
        <v>9</v>
      </c>
      <c r="D60" s="79" t="s">
        <v>92</v>
      </c>
      <c r="E60" s="82"/>
      <c r="F60" s="82"/>
      <c r="G60" s="82"/>
      <c r="H60" s="82"/>
      <c r="I60" s="79" t="s">
        <v>160</v>
      </c>
    </row>
    <row r="61" spans="1:9" s="74" customFormat="1" ht="13.8" x14ac:dyDescent="0.3">
      <c r="A61" s="82">
        <v>1209</v>
      </c>
      <c r="B61" s="82" t="s">
        <v>169</v>
      </c>
      <c r="C61" s="79" t="s">
        <v>9</v>
      </c>
      <c r="D61" s="79" t="s">
        <v>92</v>
      </c>
      <c r="E61" s="82"/>
      <c r="F61" s="82"/>
      <c r="G61" s="82"/>
      <c r="H61" s="82"/>
      <c r="I61" s="79" t="s">
        <v>160</v>
      </c>
    </row>
    <row r="62" spans="1:9" s="74" customFormat="1" ht="13.8" x14ac:dyDescent="0.3">
      <c r="A62" s="82">
        <v>1210</v>
      </c>
      <c r="B62" s="82" t="s">
        <v>170</v>
      </c>
      <c r="C62" s="79" t="s">
        <v>9</v>
      </c>
      <c r="D62" s="79" t="s">
        <v>92</v>
      </c>
      <c r="E62" s="82"/>
      <c r="F62" s="82"/>
      <c r="G62" s="82"/>
      <c r="H62" s="82"/>
      <c r="I62" s="79" t="s">
        <v>160</v>
      </c>
    </row>
    <row r="63" spans="1:9" s="74" customFormat="1" ht="13.8" x14ac:dyDescent="0.3">
      <c r="A63" s="82">
        <v>1211</v>
      </c>
      <c r="B63" s="82" t="s">
        <v>171</v>
      </c>
      <c r="C63" s="79" t="s">
        <v>9</v>
      </c>
      <c r="D63" s="79" t="s">
        <v>92</v>
      </c>
      <c r="E63" s="82"/>
      <c r="F63" s="82"/>
      <c r="G63" s="82"/>
      <c r="H63" s="82"/>
      <c r="I63" s="79" t="s">
        <v>160</v>
      </c>
    </row>
    <row r="64" spans="1:9" s="74" customFormat="1" ht="13.8" x14ac:dyDescent="0.3">
      <c r="A64" s="80">
        <v>1212</v>
      </c>
      <c r="B64" s="80" t="s">
        <v>172</v>
      </c>
      <c r="C64" s="79" t="s">
        <v>9</v>
      </c>
      <c r="D64" s="79" t="s">
        <v>92</v>
      </c>
      <c r="E64" s="80"/>
      <c r="F64" s="80"/>
      <c r="G64" s="80"/>
      <c r="H64" s="80"/>
      <c r="I64" s="79" t="s">
        <v>160</v>
      </c>
    </row>
    <row r="65" spans="1:9" s="74" customFormat="1" ht="13.8" x14ac:dyDescent="0.3">
      <c r="A65" s="80">
        <v>1213</v>
      </c>
      <c r="B65" s="80" t="s">
        <v>173</v>
      </c>
      <c r="C65" s="79" t="s">
        <v>9</v>
      </c>
      <c r="D65" s="79" t="s">
        <v>92</v>
      </c>
      <c r="E65" s="80"/>
      <c r="F65" s="80"/>
      <c r="G65" s="80"/>
      <c r="H65" s="80"/>
      <c r="I65" s="79" t="s">
        <v>160</v>
      </c>
    </row>
    <row r="66" spans="1:9" s="74" customFormat="1" ht="13.8" x14ac:dyDescent="0.3">
      <c r="A66" s="80">
        <v>1214</v>
      </c>
      <c r="B66" s="80" t="s">
        <v>174</v>
      </c>
      <c r="C66" s="79" t="s">
        <v>9</v>
      </c>
      <c r="D66" s="79" t="s">
        <v>92</v>
      </c>
      <c r="E66" s="80"/>
      <c r="F66" s="80"/>
      <c r="G66" s="80"/>
      <c r="H66" s="80"/>
      <c r="I66" s="79" t="s">
        <v>160</v>
      </c>
    </row>
    <row r="67" spans="1:9" s="74" customFormat="1" ht="13.8" x14ac:dyDescent="0.3">
      <c r="A67" s="82">
        <v>1215</v>
      </c>
      <c r="B67" s="82" t="s">
        <v>175</v>
      </c>
      <c r="C67" s="79" t="s">
        <v>176</v>
      </c>
      <c r="D67" s="79" t="s">
        <v>92</v>
      </c>
      <c r="E67" s="79"/>
      <c r="F67" s="79"/>
      <c r="G67" s="79"/>
      <c r="H67" s="79"/>
      <c r="I67" s="79" t="s">
        <v>90</v>
      </c>
    </row>
    <row r="68" spans="1:9" s="74" customFormat="1" ht="13.8" x14ac:dyDescent="0.3">
      <c r="A68" s="82">
        <v>1216</v>
      </c>
      <c r="B68" s="82" t="s">
        <v>177</v>
      </c>
      <c r="C68" s="79" t="s">
        <v>9</v>
      </c>
      <c r="D68" s="79" t="s">
        <v>92</v>
      </c>
      <c r="E68" s="82"/>
      <c r="F68" s="82"/>
      <c r="G68" s="82"/>
      <c r="H68" s="82"/>
      <c r="I68" s="79" t="s">
        <v>160</v>
      </c>
    </row>
    <row r="69" spans="1:9" s="74" customFormat="1" ht="13.8" x14ac:dyDescent="0.3">
      <c r="A69" s="82">
        <v>1217</v>
      </c>
      <c r="B69" s="82" t="s">
        <v>178</v>
      </c>
      <c r="C69" s="117" t="s">
        <v>19</v>
      </c>
      <c r="D69" s="79" t="s">
        <v>92</v>
      </c>
      <c r="E69" s="79"/>
      <c r="F69" s="79"/>
      <c r="G69" s="82"/>
      <c r="H69" s="82"/>
      <c r="I69" s="79" t="s">
        <v>160</v>
      </c>
    </row>
    <row r="70" spans="1:9" s="74" customFormat="1" ht="13.8" x14ac:dyDescent="0.3">
      <c r="A70" s="82">
        <v>1218</v>
      </c>
      <c r="B70" s="82" t="s">
        <v>179</v>
      </c>
      <c r="C70" s="82" t="s">
        <v>4</v>
      </c>
      <c r="D70" s="79" t="s">
        <v>92</v>
      </c>
      <c r="E70" s="79"/>
      <c r="F70" s="79"/>
      <c r="G70" s="82"/>
      <c r="H70" s="82"/>
      <c r="I70" s="79" t="s">
        <v>160</v>
      </c>
    </row>
    <row r="71" spans="1:9" s="74" customFormat="1" ht="13.8" x14ac:dyDescent="0.3">
      <c r="A71" s="82">
        <v>1219</v>
      </c>
      <c r="B71" s="82" t="s">
        <v>180</v>
      </c>
      <c r="C71" s="79" t="s">
        <v>9</v>
      </c>
      <c r="D71" s="79" t="s">
        <v>92</v>
      </c>
      <c r="E71" s="82"/>
      <c r="F71" s="82"/>
      <c r="G71" s="82"/>
      <c r="H71" s="82"/>
      <c r="I71" s="79" t="s">
        <v>160</v>
      </c>
    </row>
    <row r="72" spans="1:9" s="73" customFormat="1" ht="13.8" x14ac:dyDescent="0.3">
      <c r="A72" s="82">
        <v>1220</v>
      </c>
      <c r="B72" s="82" t="s">
        <v>181</v>
      </c>
      <c r="C72" s="117" t="s">
        <v>19</v>
      </c>
      <c r="D72" s="79" t="s">
        <v>92</v>
      </c>
      <c r="E72" s="79"/>
      <c r="F72" s="79"/>
      <c r="G72" s="82"/>
      <c r="H72" s="82"/>
      <c r="I72" s="79" t="s">
        <v>160</v>
      </c>
    </row>
    <row r="73" spans="1:9" s="73" customFormat="1" ht="13.8" x14ac:dyDescent="0.3">
      <c r="A73" s="83">
        <v>1221</v>
      </c>
      <c r="B73" s="83" t="s">
        <v>182</v>
      </c>
      <c r="C73" s="78" t="s">
        <v>4</v>
      </c>
      <c r="D73" s="78" t="s">
        <v>86</v>
      </c>
      <c r="E73" s="78" t="s">
        <v>58</v>
      </c>
      <c r="F73" s="78" t="s">
        <v>183</v>
      </c>
      <c r="G73" s="78" t="s">
        <v>64</v>
      </c>
      <c r="H73" s="78" t="s">
        <v>59</v>
      </c>
      <c r="I73" s="78" t="s">
        <v>160</v>
      </c>
    </row>
    <row r="74" spans="1:9" s="74" customFormat="1" ht="13.8" x14ac:dyDescent="0.3">
      <c r="A74" s="84">
        <v>1222</v>
      </c>
      <c r="B74" s="84" t="s">
        <v>184</v>
      </c>
      <c r="C74" s="84" t="s">
        <v>159</v>
      </c>
      <c r="D74" s="84" t="s">
        <v>86</v>
      </c>
      <c r="E74" s="78" t="s">
        <v>55</v>
      </c>
      <c r="F74" s="84" t="s">
        <v>88</v>
      </c>
      <c r="G74" s="84" t="s">
        <v>185</v>
      </c>
      <c r="H74" s="78" t="s">
        <v>71</v>
      </c>
      <c r="I74" s="78" t="s">
        <v>160</v>
      </c>
    </row>
    <row r="75" spans="1:9" s="74" customFormat="1" ht="13.8" x14ac:dyDescent="0.3">
      <c r="A75" s="82">
        <v>1223</v>
      </c>
      <c r="B75" s="82" t="s">
        <v>186</v>
      </c>
      <c r="C75" s="117" t="s">
        <v>19</v>
      </c>
      <c r="D75" s="79" t="s">
        <v>92</v>
      </c>
      <c r="E75" s="79"/>
      <c r="F75" s="79"/>
      <c r="G75" s="82"/>
      <c r="H75" s="82"/>
      <c r="I75" s="79" t="s">
        <v>160</v>
      </c>
    </row>
    <row r="76" spans="1:9" s="74" customFormat="1" ht="13.8" x14ac:dyDescent="0.3">
      <c r="A76" s="82">
        <v>1224</v>
      </c>
      <c r="B76" s="82" t="s">
        <v>187</v>
      </c>
      <c r="C76" s="79" t="s">
        <v>9</v>
      </c>
      <c r="D76" s="79" t="s">
        <v>92</v>
      </c>
      <c r="E76" s="82"/>
      <c r="F76" s="82"/>
      <c r="G76" s="82"/>
      <c r="H76" s="82"/>
      <c r="I76" s="79" t="s">
        <v>160</v>
      </c>
    </row>
    <row r="77" spans="1:9" s="74" customFormat="1" ht="13.8" x14ac:dyDescent="0.3">
      <c r="A77" s="82">
        <v>1225</v>
      </c>
      <c r="B77" s="82" t="s">
        <v>188</v>
      </c>
      <c r="C77" s="82" t="s">
        <v>189</v>
      </c>
      <c r="D77" s="79" t="s">
        <v>92</v>
      </c>
      <c r="E77" s="79"/>
      <c r="F77" s="79"/>
      <c r="G77" s="82"/>
      <c r="H77" s="82"/>
      <c r="I77" s="79" t="s">
        <v>160</v>
      </c>
    </row>
    <row r="78" spans="1:9" s="74" customFormat="1" ht="13.8" x14ac:dyDescent="0.3">
      <c r="A78" s="82">
        <v>1226</v>
      </c>
      <c r="B78" s="82" t="s">
        <v>190</v>
      </c>
      <c r="C78" s="79" t="s">
        <v>7</v>
      </c>
      <c r="D78" s="79" t="s">
        <v>92</v>
      </c>
      <c r="E78" s="79"/>
      <c r="F78" s="79"/>
      <c r="G78" s="82"/>
      <c r="H78" s="82"/>
      <c r="I78" s="79" t="s">
        <v>160</v>
      </c>
    </row>
    <row r="79" spans="1:9" s="74" customFormat="1" ht="13.8" x14ac:dyDescent="0.3">
      <c r="A79" s="80">
        <v>1227</v>
      </c>
      <c r="B79" s="80" t="s">
        <v>191</v>
      </c>
      <c r="C79" s="80" t="s">
        <v>15</v>
      </c>
      <c r="D79" s="79" t="s">
        <v>92</v>
      </c>
      <c r="E79" s="79"/>
      <c r="F79" s="79"/>
      <c r="G79" s="80"/>
      <c r="H79" s="80"/>
      <c r="I79" s="79" t="s">
        <v>160</v>
      </c>
    </row>
    <row r="80" spans="1:9" s="74" customFormat="1" ht="13.8" x14ac:dyDescent="0.3">
      <c r="A80" s="82">
        <v>1228</v>
      </c>
      <c r="B80" s="82" t="s">
        <v>192</v>
      </c>
      <c r="C80" s="79" t="s">
        <v>9</v>
      </c>
      <c r="D80" s="79" t="s">
        <v>92</v>
      </c>
      <c r="E80" s="82"/>
      <c r="F80" s="82"/>
      <c r="G80" s="82"/>
      <c r="H80" s="82"/>
      <c r="I80" s="79" t="s">
        <v>160</v>
      </c>
    </row>
    <row r="81" spans="1:9" s="73" customFormat="1" ht="13.8" x14ac:dyDescent="0.3">
      <c r="A81" s="82">
        <v>1229</v>
      </c>
      <c r="B81" s="82" t="s">
        <v>193</v>
      </c>
      <c r="C81" s="79" t="s">
        <v>16</v>
      </c>
      <c r="D81" s="79" t="s">
        <v>92</v>
      </c>
      <c r="E81" s="79"/>
      <c r="F81" s="79"/>
      <c r="G81" s="82"/>
      <c r="H81" s="82"/>
      <c r="I81" s="79" t="s">
        <v>160</v>
      </c>
    </row>
    <row r="82" spans="1:9" s="74" customFormat="1" ht="13.8" x14ac:dyDescent="0.3">
      <c r="A82" s="84">
        <v>1230</v>
      </c>
      <c r="B82" s="84" t="s">
        <v>194</v>
      </c>
      <c r="C82" s="84" t="s">
        <v>35</v>
      </c>
      <c r="D82" s="84" t="s">
        <v>86</v>
      </c>
      <c r="E82" s="78" t="s">
        <v>55</v>
      </c>
      <c r="F82" s="78" t="s">
        <v>195</v>
      </c>
      <c r="G82" s="81" t="s">
        <v>60</v>
      </c>
      <c r="H82" s="78" t="s">
        <v>72</v>
      </c>
      <c r="I82" s="78" t="s">
        <v>160</v>
      </c>
    </row>
    <row r="83" spans="1:9" s="73" customFormat="1" ht="13.8" x14ac:dyDescent="0.3">
      <c r="A83" s="82">
        <v>1231</v>
      </c>
      <c r="B83" s="82" t="s">
        <v>196</v>
      </c>
      <c r="C83" s="79" t="s">
        <v>9</v>
      </c>
      <c r="D83" s="79" t="s">
        <v>92</v>
      </c>
      <c r="E83" s="82"/>
      <c r="F83" s="82"/>
      <c r="G83" s="82"/>
      <c r="H83" s="82"/>
      <c r="I83" s="79" t="s">
        <v>160</v>
      </c>
    </row>
    <row r="84" spans="1:9" s="74" customFormat="1" ht="13.8" x14ac:dyDescent="0.3">
      <c r="A84" s="81">
        <v>1233</v>
      </c>
      <c r="B84" s="81" t="s">
        <v>197</v>
      </c>
      <c r="C84" s="78" t="s">
        <v>16</v>
      </c>
      <c r="D84" s="81" t="s">
        <v>86</v>
      </c>
      <c r="E84" s="78" t="s">
        <v>58</v>
      </c>
      <c r="F84" s="78" t="s">
        <v>183</v>
      </c>
      <c r="G84" s="84" t="s">
        <v>34</v>
      </c>
      <c r="H84" s="78" t="s">
        <v>62</v>
      </c>
      <c r="I84" s="78" t="s">
        <v>160</v>
      </c>
    </row>
    <row r="85" spans="1:9" s="74" customFormat="1" ht="13.8" x14ac:dyDescent="0.3">
      <c r="A85" s="82">
        <v>1234</v>
      </c>
      <c r="B85" s="82" t="s">
        <v>198</v>
      </c>
      <c r="C85" s="79" t="s">
        <v>9</v>
      </c>
      <c r="D85" s="79" t="s">
        <v>92</v>
      </c>
      <c r="E85" s="82"/>
      <c r="F85" s="82"/>
      <c r="G85" s="82"/>
      <c r="H85" s="82"/>
      <c r="I85" s="79" t="s">
        <v>160</v>
      </c>
    </row>
    <row r="86" spans="1:9" s="74" customFormat="1" ht="13.8" x14ac:dyDescent="0.3">
      <c r="A86" s="80">
        <v>1235</v>
      </c>
      <c r="B86" s="80" t="s">
        <v>199</v>
      </c>
      <c r="C86" s="80" t="s">
        <v>6</v>
      </c>
      <c r="D86" s="79" t="s">
        <v>92</v>
      </c>
      <c r="E86" s="79" t="s">
        <v>55</v>
      </c>
      <c r="F86" s="79" t="s">
        <v>195</v>
      </c>
      <c r="G86" s="80"/>
      <c r="H86" s="80"/>
      <c r="I86" s="79" t="s">
        <v>160</v>
      </c>
    </row>
    <row r="87" spans="1:9" s="74" customFormat="1" ht="13.8" x14ac:dyDescent="0.3">
      <c r="A87" s="82">
        <v>1236</v>
      </c>
      <c r="B87" s="82" t="s">
        <v>200</v>
      </c>
      <c r="C87" s="79" t="s">
        <v>9</v>
      </c>
      <c r="D87" s="79" t="s">
        <v>92</v>
      </c>
      <c r="E87" s="82"/>
      <c r="F87" s="82"/>
      <c r="G87" s="82"/>
      <c r="H87" s="82"/>
      <c r="I87" s="79" t="s">
        <v>160</v>
      </c>
    </row>
    <row r="88" spans="1:9" s="74" customFormat="1" ht="13.8" x14ac:dyDescent="0.3">
      <c r="A88" s="80">
        <v>1237</v>
      </c>
      <c r="B88" s="80" t="s">
        <v>201</v>
      </c>
      <c r="C88" s="80" t="s">
        <v>15</v>
      </c>
      <c r="D88" s="79" t="s">
        <v>92</v>
      </c>
      <c r="E88" s="79"/>
      <c r="F88" s="79"/>
      <c r="G88" s="80"/>
      <c r="H88" s="80"/>
      <c r="I88" s="79" t="s">
        <v>160</v>
      </c>
    </row>
    <row r="89" spans="1:9" s="74" customFormat="1" ht="13.8" x14ac:dyDescent="0.3">
      <c r="A89" s="82">
        <v>1238</v>
      </c>
      <c r="B89" s="82" t="s">
        <v>202</v>
      </c>
      <c r="C89" s="79" t="s">
        <v>203</v>
      </c>
      <c r="D89" s="79" t="s">
        <v>92</v>
      </c>
      <c r="E89" s="79"/>
      <c r="F89" s="79"/>
      <c r="G89" s="82"/>
      <c r="H89" s="82"/>
      <c r="I89" s="79" t="s">
        <v>160</v>
      </c>
    </row>
    <row r="90" spans="1:9" s="74" customFormat="1" ht="13.8" x14ac:dyDescent="0.3">
      <c r="A90" s="82">
        <v>1239</v>
      </c>
      <c r="B90" s="82" t="s">
        <v>204</v>
      </c>
      <c r="C90" s="80" t="s">
        <v>15</v>
      </c>
      <c r="D90" s="79" t="s">
        <v>92</v>
      </c>
      <c r="E90" s="79"/>
      <c r="F90" s="79"/>
      <c r="G90" s="82"/>
      <c r="H90" s="82"/>
      <c r="I90" s="79" t="s">
        <v>160</v>
      </c>
    </row>
    <row r="91" spans="1:9" s="74" customFormat="1" ht="13.8" x14ac:dyDescent="0.3">
      <c r="A91" s="82">
        <v>1240</v>
      </c>
      <c r="B91" s="82" t="s">
        <v>205</v>
      </c>
      <c r="C91" s="79" t="s">
        <v>206</v>
      </c>
      <c r="D91" s="79" t="s">
        <v>92</v>
      </c>
      <c r="E91" s="79"/>
      <c r="F91" s="79"/>
      <c r="G91" s="82"/>
      <c r="H91" s="82"/>
      <c r="I91" s="79" t="s">
        <v>160</v>
      </c>
    </row>
    <row r="92" spans="1:9" s="74" customFormat="1" ht="13.8" x14ac:dyDescent="0.3">
      <c r="A92" s="82">
        <v>1241</v>
      </c>
      <c r="B92" s="82" t="s">
        <v>207</v>
      </c>
      <c r="C92" s="117" t="s">
        <v>19</v>
      </c>
      <c r="D92" s="79" t="s">
        <v>92</v>
      </c>
      <c r="E92" s="79"/>
      <c r="F92" s="79"/>
      <c r="G92" s="82"/>
      <c r="H92" s="82"/>
      <c r="I92" s="79" t="s">
        <v>160</v>
      </c>
    </row>
    <row r="93" spans="1:9" s="74" customFormat="1" ht="13.8" x14ac:dyDescent="0.3">
      <c r="A93" s="82">
        <v>1242</v>
      </c>
      <c r="B93" s="82" t="s">
        <v>208</v>
      </c>
      <c r="C93" s="82" t="s">
        <v>209</v>
      </c>
      <c r="D93" s="79" t="s">
        <v>92</v>
      </c>
      <c r="E93" s="79"/>
      <c r="F93" s="79"/>
      <c r="G93" s="82"/>
      <c r="H93" s="82"/>
      <c r="I93" s="79" t="s">
        <v>160</v>
      </c>
    </row>
    <row r="94" spans="1:9" s="74" customFormat="1" ht="13.8" x14ac:dyDescent="0.3">
      <c r="A94" s="82">
        <v>1243</v>
      </c>
      <c r="B94" s="82" t="s">
        <v>210</v>
      </c>
      <c r="C94" s="117" t="s">
        <v>206</v>
      </c>
      <c r="D94" s="79" t="s">
        <v>92</v>
      </c>
      <c r="E94" s="79"/>
      <c r="F94" s="79"/>
      <c r="G94" s="82"/>
      <c r="H94" s="82"/>
      <c r="I94" s="79" t="s">
        <v>160</v>
      </c>
    </row>
    <row r="95" spans="1:9" s="74" customFormat="1" ht="13.8" x14ac:dyDescent="0.3">
      <c r="A95" s="82">
        <v>1244</v>
      </c>
      <c r="B95" s="82" t="s">
        <v>211</v>
      </c>
      <c r="C95" s="82" t="s">
        <v>17</v>
      </c>
      <c r="D95" s="79" t="s">
        <v>92</v>
      </c>
      <c r="E95" s="79"/>
      <c r="F95" s="79"/>
      <c r="G95" s="82"/>
      <c r="H95" s="82"/>
      <c r="I95" s="79" t="s">
        <v>160</v>
      </c>
    </row>
    <row r="96" spans="1:9" s="74" customFormat="1" ht="13.8" x14ac:dyDescent="0.3">
      <c r="A96" s="82">
        <v>1245</v>
      </c>
      <c r="B96" s="82" t="s">
        <v>212</v>
      </c>
      <c r="C96" s="82" t="s">
        <v>20</v>
      </c>
      <c r="D96" s="79" t="s">
        <v>92</v>
      </c>
      <c r="E96" s="79"/>
      <c r="F96" s="79"/>
      <c r="G96" s="82"/>
      <c r="H96" s="82"/>
      <c r="I96" s="79" t="s">
        <v>160</v>
      </c>
    </row>
    <row r="97" spans="1:9" s="73" customFormat="1" ht="13.8" x14ac:dyDescent="0.3">
      <c r="A97" s="82">
        <v>1246</v>
      </c>
      <c r="B97" s="82" t="s">
        <v>213</v>
      </c>
      <c r="C97" s="79" t="s">
        <v>9</v>
      </c>
      <c r="D97" s="79" t="s">
        <v>92</v>
      </c>
      <c r="E97" s="82"/>
      <c r="F97" s="82"/>
      <c r="G97" s="82"/>
      <c r="H97" s="82"/>
      <c r="I97" s="79" t="s">
        <v>160</v>
      </c>
    </row>
    <row r="98" spans="1:9" s="73" customFormat="1" ht="13.8" x14ac:dyDescent="0.3">
      <c r="A98" s="84">
        <v>1247</v>
      </c>
      <c r="B98" s="84" t="s">
        <v>214</v>
      </c>
      <c r="C98" s="84" t="s">
        <v>14</v>
      </c>
      <c r="D98" s="84" t="s">
        <v>86</v>
      </c>
      <c r="E98" s="78" t="s">
        <v>58</v>
      </c>
      <c r="F98" s="78" t="s">
        <v>195</v>
      </c>
      <c r="G98" s="84" t="s">
        <v>70</v>
      </c>
      <c r="H98" s="78" t="s">
        <v>68</v>
      </c>
      <c r="I98" s="78" t="s">
        <v>160</v>
      </c>
    </row>
    <row r="99" spans="1:9" s="74" customFormat="1" ht="13.8" x14ac:dyDescent="0.3">
      <c r="A99" s="84">
        <v>1248</v>
      </c>
      <c r="B99" s="84" t="s">
        <v>215</v>
      </c>
      <c r="C99" s="84" t="s">
        <v>17</v>
      </c>
      <c r="D99" s="84" t="s">
        <v>86</v>
      </c>
      <c r="E99" s="78" t="s">
        <v>58</v>
      </c>
      <c r="F99" s="78" t="s">
        <v>195</v>
      </c>
      <c r="G99" s="84" t="s">
        <v>34</v>
      </c>
      <c r="H99" s="78" t="s">
        <v>62</v>
      </c>
      <c r="I99" s="78" t="s">
        <v>160</v>
      </c>
    </row>
    <row r="100" spans="1:9" s="74" customFormat="1" ht="13.8" x14ac:dyDescent="0.3">
      <c r="A100" s="82">
        <v>1250</v>
      </c>
      <c r="B100" s="82" t="s">
        <v>216</v>
      </c>
      <c r="C100" s="82" t="s">
        <v>9</v>
      </c>
      <c r="D100" s="79" t="s">
        <v>92</v>
      </c>
      <c r="E100" s="82"/>
      <c r="F100" s="82"/>
      <c r="G100" s="82"/>
      <c r="H100" s="82"/>
      <c r="I100" s="79" t="s">
        <v>160</v>
      </c>
    </row>
    <row r="101" spans="1:9" s="74" customFormat="1" ht="13.8" x14ac:dyDescent="0.3">
      <c r="A101" s="82">
        <v>1251</v>
      </c>
      <c r="B101" s="82" t="s">
        <v>217</v>
      </c>
      <c r="C101" s="82" t="s">
        <v>218</v>
      </c>
      <c r="D101" s="79" t="s">
        <v>92</v>
      </c>
      <c r="E101" s="79"/>
      <c r="F101" s="79"/>
      <c r="G101" s="82"/>
      <c r="H101" s="82"/>
      <c r="I101" s="79" t="s">
        <v>160</v>
      </c>
    </row>
    <row r="102" spans="1:9" s="74" customFormat="1" ht="13.8" x14ac:dyDescent="0.3">
      <c r="A102" s="82">
        <v>1252</v>
      </c>
      <c r="B102" s="82" t="s">
        <v>219</v>
      </c>
      <c r="C102" s="82" t="s">
        <v>6</v>
      </c>
      <c r="D102" s="79" t="s">
        <v>92</v>
      </c>
      <c r="E102" s="79"/>
      <c r="F102" s="79"/>
      <c r="G102" s="82"/>
      <c r="H102" s="82"/>
      <c r="I102" s="79" t="s">
        <v>160</v>
      </c>
    </row>
    <row r="103" spans="1:9" s="74" customFormat="1" ht="13.8" x14ac:dyDescent="0.3">
      <c r="A103" s="82">
        <v>1253</v>
      </c>
      <c r="B103" s="82" t="s">
        <v>220</v>
      </c>
      <c r="C103" s="82" t="s">
        <v>6</v>
      </c>
      <c r="D103" s="79" t="s">
        <v>92</v>
      </c>
      <c r="E103" s="79"/>
      <c r="F103" s="79"/>
      <c r="G103" s="82"/>
      <c r="H103" s="82"/>
      <c r="I103" s="79" t="s">
        <v>160</v>
      </c>
    </row>
    <row r="104" spans="1:9" s="74" customFormat="1" ht="13.8" x14ac:dyDescent="0.3">
      <c r="A104" s="82">
        <v>1254</v>
      </c>
      <c r="B104" s="82" t="s">
        <v>221</v>
      </c>
      <c r="C104" s="82" t="s">
        <v>6</v>
      </c>
      <c r="D104" s="79" t="s">
        <v>92</v>
      </c>
      <c r="E104" s="79"/>
      <c r="F104" s="79"/>
      <c r="G104" s="82"/>
      <c r="H104" s="82"/>
      <c r="I104" s="79" t="s">
        <v>160</v>
      </c>
    </row>
    <row r="105" spans="1:9" s="74" customFormat="1" ht="13.8" x14ac:dyDescent="0.3">
      <c r="A105" s="82">
        <v>1255</v>
      </c>
      <c r="B105" s="82" t="s">
        <v>222</v>
      </c>
      <c r="C105" s="82" t="s">
        <v>6</v>
      </c>
      <c r="D105" s="79" t="s">
        <v>92</v>
      </c>
      <c r="E105" s="79"/>
      <c r="F105" s="79"/>
      <c r="G105" s="82"/>
      <c r="H105" s="82"/>
      <c r="I105" s="79" t="s">
        <v>160</v>
      </c>
    </row>
    <row r="106" spans="1:9" s="74" customFormat="1" ht="13.8" x14ac:dyDescent="0.3">
      <c r="A106" s="82">
        <v>1256</v>
      </c>
      <c r="B106" s="82" t="s">
        <v>223</v>
      </c>
      <c r="C106" s="82" t="s">
        <v>6</v>
      </c>
      <c r="D106" s="79" t="s">
        <v>92</v>
      </c>
      <c r="E106" s="79"/>
      <c r="F106" s="79"/>
      <c r="G106" s="82"/>
      <c r="H106" s="82"/>
      <c r="I106" s="79" t="s">
        <v>160</v>
      </c>
    </row>
    <row r="107" spans="1:9" s="74" customFormat="1" ht="13.8" x14ac:dyDescent="0.3">
      <c r="A107" s="82">
        <v>1257</v>
      </c>
      <c r="B107" s="82" t="s">
        <v>224</v>
      </c>
      <c r="C107" s="82" t="s">
        <v>6</v>
      </c>
      <c r="D107" s="79" t="s">
        <v>92</v>
      </c>
      <c r="E107" s="79"/>
      <c r="F107" s="79"/>
      <c r="G107" s="82"/>
      <c r="H107" s="82"/>
      <c r="I107" s="79" t="s">
        <v>160</v>
      </c>
    </row>
    <row r="108" spans="1:9" s="73" customFormat="1" ht="13.8" x14ac:dyDescent="0.3">
      <c r="A108" s="82">
        <v>1258</v>
      </c>
      <c r="B108" s="82" t="s">
        <v>225</v>
      </c>
      <c r="C108" s="82" t="s">
        <v>6</v>
      </c>
      <c r="D108" s="79" t="s">
        <v>92</v>
      </c>
      <c r="E108" s="79"/>
      <c r="F108" s="79"/>
      <c r="G108" s="82"/>
      <c r="H108" s="82"/>
      <c r="I108" s="79" t="s">
        <v>160</v>
      </c>
    </row>
    <row r="109" spans="1:9" s="73" customFormat="1" ht="13.8" x14ac:dyDescent="0.3">
      <c r="A109" s="84">
        <v>1259</v>
      </c>
      <c r="B109" s="84" t="s">
        <v>226</v>
      </c>
      <c r="C109" s="78" t="s">
        <v>4</v>
      </c>
      <c r="D109" s="78" t="s">
        <v>86</v>
      </c>
      <c r="E109" s="78" t="s">
        <v>55</v>
      </c>
      <c r="F109" s="78" t="s">
        <v>183</v>
      </c>
      <c r="G109" s="78" t="s">
        <v>64</v>
      </c>
      <c r="H109" s="78" t="s">
        <v>59</v>
      </c>
      <c r="I109" s="78" t="s">
        <v>160</v>
      </c>
    </row>
    <row r="110" spans="1:9" s="74" customFormat="1" ht="13.8" x14ac:dyDescent="0.3">
      <c r="A110" s="84">
        <v>1260</v>
      </c>
      <c r="B110" s="84" t="s">
        <v>227</v>
      </c>
      <c r="C110" s="78" t="s">
        <v>39</v>
      </c>
      <c r="D110" s="78" t="s">
        <v>86</v>
      </c>
      <c r="E110" s="78" t="s">
        <v>55</v>
      </c>
      <c r="F110" s="78" t="s">
        <v>228</v>
      </c>
      <c r="G110" s="78" t="s">
        <v>51</v>
      </c>
      <c r="H110" s="78" t="s">
        <v>62</v>
      </c>
      <c r="I110" s="78" t="s">
        <v>160</v>
      </c>
    </row>
    <row r="111" spans="1:9" s="73" customFormat="1" ht="13.8" x14ac:dyDescent="0.3">
      <c r="A111" s="82">
        <v>1261</v>
      </c>
      <c r="B111" s="82" t="s">
        <v>229</v>
      </c>
      <c r="C111" s="82" t="s">
        <v>189</v>
      </c>
      <c r="D111" s="79" t="s">
        <v>92</v>
      </c>
      <c r="E111" s="79" t="s">
        <v>58</v>
      </c>
      <c r="F111" s="79" t="s">
        <v>228</v>
      </c>
      <c r="G111" s="82"/>
      <c r="H111" s="82"/>
      <c r="I111" s="79" t="s">
        <v>160</v>
      </c>
    </row>
    <row r="112" spans="1:9" s="73" customFormat="1" ht="13.8" x14ac:dyDescent="0.3">
      <c r="A112" s="84">
        <v>1262</v>
      </c>
      <c r="B112" s="84" t="s">
        <v>230</v>
      </c>
      <c r="C112" s="84" t="s">
        <v>25</v>
      </c>
      <c r="D112" s="84" t="s">
        <v>86</v>
      </c>
      <c r="E112" s="78" t="s">
        <v>55</v>
      </c>
      <c r="F112" s="78" t="s">
        <v>231</v>
      </c>
      <c r="G112" s="78" t="s">
        <v>51</v>
      </c>
      <c r="H112" s="78" t="s">
        <v>62</v>
      </c>
      <c r="I112" s="78" t="s">
        <v>160</v>
      </c>
    </row>
    <row r="113" spans="1:9" s="74" customFormat="1" ht="13.8" x14ac:dyDescent="0.3">
      <c r="A113" s="84">
        <v>1263</v>
      </c>
      <c r="B113" s="84" t="s">
        <v>232</v>
      </c>
      <c r="C113" s="84" t="s">
        <v>159</v>
      </c>
      <c r="D113" s="84" t="s">
        <v>86</v>
      </c>
      <c r="E113" s="78" t="s">
        <v>57</v>
      </c>
      <c r="F113" s="84" t="s">
        <v>88</v>
      </c>
      <c r="G113" s="78" t="s">
        <v>77</v>
      </c>
      <c r="H113" s="78" t="s">
        <v>71</v>
      </c>
      <c r="I113" s="78" t="s">
        <v>160</v>
      </c>
    </row>
    <row r="114" spans="1:9" s="74" customFormat="1" ht="13.8" x14ac:dyDescent="0.3">
      <c r="A114" s="82">
        <v>1264</v>
      </c>
      <c r="B114" s="82" t="s">
        <v>233</v>
      </c>
      <c r="C114" s="82" t="s">
        <v>189</v>
      </c>
      <c r="D114" s="79" t="s">
        <v>92</v>
      </c>
      <c r="E114" s="79"/>
      <c r="F114" s="79"/>
      <c r="G114" s="82"/>
      <c r="H114" s="82"/>
      <c r="I114" s="79" t="s">
        <v>160</v>
      </c>
    </row>
    <row r="115" spans="1:9" s="74" customFormat="1" ht="13.8" x14ac:dyDescent="0.3">
      <c r="A115" s="82">
        <v>1265</v>
      </c>
      <c r="B115" s="82" t="s">
        <v>234</v>
      </c>
      <c r="C115" s="82" t="s">
        <v>235</v>
      </c>
      <c r="D115" s="79" t="s">
        <v>92</v>
      </c>
      <c r="E115" s="79"/>
      <c r="F115" s="79"/>
      <c r="G115" s="82"/>
      <c r="H115" s="82"/>
      <c r="I115" s="79" t="s">
        <v>160</v>
      </c>
    </row>
    <row r="116" spans="1:9" s="73" customFormat="1" ht="13.8" x14ac:dyDescent="0.3">
      <c r="A116" s="82">
        <v>1266</v>
      </c>
      <c r="B116" s="82" t="s">
        <v>236</v>
      </c>
      <c r="C116" s="82" t="s">
        <v>189</v>
      </c>
      <c r="D116" s="79" t="s">
        <v>92</v>
      </c>
      <c r="E116" s="79"/>
      <c r="F116" s="79"/>
      <c r="G116" s="82"/>
      <c r="H116" s="82"/>
      <c r="I116" s="79" t="s">
        <v>160</v>
      </c>
    </row>
    <row r="117" spans="1:9" s="73" customFormat="1" ht="13.8" x14ac:dyDescent="0.3">
      <c r="A117" s="84">
        <v>1267</v>
      </c>
      <c r="B117" s="84" t="s">
        <v>237</v>
      </c>
      <c r="C117" s="84" t="s">
        <v>159</v>
      </c>
      <c r="D117" s="84" t="s">
        <v>86</v>
      </c>
      <c r="E117" s="78" t="s">
        <v>55</v>
      </c>
      <c r="F117" s="84" t="s">
        <v>88</v>
      </c>
      <c r="G117" s="84" t="s">
        <v>185</v>
      </c>
      <c r="H117" s="78" t="s">
        <v>71</v>
      </c>
      <c r="I117" s="78" t="s">
        <v>160</v>
      </c>
    </row>
    <row r="118" spans="1:9" s="73" customFormat="1" ht="13.8" x14ac:dyDescent="0.3">
      <c r="A118" s="84">
        <v>1268</v>
      </c>
      <c r="B118" s="84" t="s">
        <v>238</v>
      </c>
      <c r="C118" s="84" t="s">
        <v>40</v>
      </c>
      <c r="D118" s="84" t="s">
        <v>86</v>
      </c>
      <c r="E118" s="78" t="s">
        <v>55</v>
      </c>
      <c r="F118" s="78" t="s">
        <v>231</v>
      </c>
      <c r="G118" s="78" t="s">
        <v>51</v>
      </c>
      <c r="H118" s="78" t="s">
        <v>62</v>
      </c>
      <c r="I118" s="78" t="s">
        <v>160</v>
      </c>
    </row>
    <row r="119" spans="1:9" s="74" customFormat="1" ht="13.8" x14ac:dyDescent="0.3">
      <c r="A119" s="84">
        <v>1269</v>
      </c>
      <c r="B119" s="84" t="s">
        <v>239</v>
      </c>
      <c r="C119" s="84" t="s">
        <v>25</v>
      </c>
      <c r="D119" s="84" t="s">
        <v>86</v>
      </c>
      <c r="E119" s="78" t="s">
        <v>58</v>
      </c>
      <c r="F119" s="78" t="s">
        <v>231</v>
      </c>
      <c r="G119" s="78" t="s">
        <v>51</v>
      </c>
      <c r="H119" s="78" t="s">
        <v>62</v>
      </c>
      <c r="I119" s="78" t="s">
        <v>160</v>
      </c>
    </row>
    <row r="120" spans="1:9" s="73" customFormat="1" ht="13.8" x14ac:dyDescent="0.3">
      <c r="A120" s="82">
        <v>1270</v>
      </c>
      <c r="B120" s="82" t="s">
        <v>240</v>
      </c>
      <c r="C120" s="79" t="s">
        <v>241</v>
      </c>
      <c r="D120" s="79" t="s">
        <v>92</v>
      </c>
      <c r="E120" s="79"/>
      <c r="F120" s="79"/>
      <c r="G120" s="82"/>
      <c r="H120" s="82"/>
      <c r="I120" s="79" t="s">
        <v>160</v>
      </c>
    </row>
    <row r="121" spans="1:9" s="74" customFormat="1" ht="13.8" x14ac:dyDescent="0.3">
      <c r="A121" s="84">
        <v>1271</v>
      </c>
      <c r="B121" s="84" t="s">
        <v>242</v>
      </c>
      <c r="C121" s="83" t="s">
        <v>15</v>
      </c>
      <c r="D121" s="84" t="s">
        <v>86</v>
      </c>
      <c r="E121" s="78" t="s">
        <v>58</v>
      </c>
      <c r="F121" s="78" t="s">
        <v>195</v>
      </c>
      <c r="G121" s="84" t="s">
        <v>60</v>
      </c>
      <c r="H121" s="78" t="s">
        <v>72</v>
      </c>
      <c r="I121" s="78" t="s">
        <v>160</v>
      </c>
    </row>
    <row r="122" spans="1:9" s="73" customFormat="1" ht="13.8" x14ac:dyDescent="0.3">
      <c r="A122" s="82">
        <v>1272</v>
      </c>
      <c r="B122" s="82" t="s">
        <v>243</v>
      </c>
      <c r="C122" s="82" t="s">
        <v>189</v>
      </c>
      <c r="D122" s="79" t="s">
        <v>92</v>
      </c>
      <c r="E122" s="79"/>
      <c r="F122" s="79"/>
      <c r="G122" s="82"/>
      <c r="H122" s="82"/>
      <c r="I122" s="79" t="s">
        <v>160</v>
      </c>
    </row>
    <row r="123" spans="1:9" s="73" customFormat="1" ht="13.8" x14ac:dyDescent="0.3">
      <c r="A123" s="81">
        <v>1273</v>
      </c>
      <c r="B123" s="81" t="s">
        <v>244</v>
      </c>
      <c r="C123" s="81" t="s">
        <v>19</v>
      </c>
      <c r="D123" s="81" t="s">
        <v>86</v>
      </c>
      <c r="E123" s="78" t="s">
        <v>58</v>
      </c>
      <c r="F123" s="78" t="s">
        <v>195</v>
      </c>
      <c r="G123" s="81" t="s">
        <v>60</v>
      </c>
      <c r="H123" s="78" t="s">
        <v>72</v>
      </c>
      <c r="I123" s="78" t="s">
        <v>160</v>
      </c>
    </row>
    <row r="124" spans="1:9" s="73" customFormat="1" ht="13.8" x14ac:dyDescent="0.3">
      <c r="A124" s="84">
        <v>1274</v>
      </c>
      <c r="B124" s="84" t="s">
        <v>245</v>
      </c>
      <c r="C124" s="78" t="s">
        <v>52</v>
      </c>
      <c r="D124" s="78" t="s">
        <v>86</v>
      </c>
      <c r="E124" s="78" t="s">
        <v>55</v>
      </c>
      <c r="F124" s="78" t="s">
        <v>231</v>
      </c>
      <c r="G124" s="78" t="s">
        <v>32</v>
      </c>
      <c r="H124" s="78" t="s">
        <v>59</v>
      </c>
      <c r="I124" s="78" t="s">
        <v>160</v>
      </c>
    </row>
    <row r="125" spans="1:9" s="74" customFormat="1" ht="13.8" x14ac:dyDescent="0.3">
      <c r="A125" s="84">
        <v>1275</v>
      </c>
      <c r="B125" s="84" t="s">
        <v>246</v>
      </c>
      <c r="C125" s="84" t="s">
        <v>41</v>
      </c>
      <c r="D125" s="84" t="s">
        <v>86</v>
      </c>
      <c r="E125" s="78" t="s">
        <v>55</v>
      </c>
      <c r="F125" s="78" t="s">
        <v>231</v>
      </c>
      <c r="G125" s="78" t="s">
        <v>51</v>
      </c>
      <c r="H125" s="78" t="s">
        <v>62</v>
      </c>
      <c r="I125" s="78" t="s">
        <v>160</v>
      </c>
    </row>
    <row r="126" spans="1:9" s="73" customFormat="1" ht="13.8" x14ac:dyDescent="0.3">
      <c r="A126" s="82">
        <v>1276</v>
      </c>
      <c r="B126" s="82" t="s">
        <v>247</v>
      </c>
      <c r="C126" s="80" t="s">
        <v>15</v>
      </c>
      <c r="D126" s="79" t="s">
        <v>92</v>
      </c>
      <c r="E126" s="79"/>
      <c r="F126" s="79"/>
      <c r="G126" s="82"/>
      <c r="H126" s="82"/>
      <c r="I126" s="79" t="s">
        <v>160</v>
      </c>
    </row>
    <row r="127" spans="1:9" s="73" customFormat="1" ht="13.8" x14ac:dyDescent="0.3">
      <c r="A127" s="81">
        <v>1277</v>
      </c>
      <c r="B127" s="81" t="s">
        <v>248</v>
      </c>
      <c r="C127" s="81" t="s">
        <v>19</v>
      </c>
      <c r="D127" s="81" t="s">
        <v>86</v>
      </c>
      <c r="E127" s="78" t="s">
        <v>58</v>
      </c>
      <c r="F127" s="78" t="s">
        <v>195</v>
      </c>
      <c r="G127" s="81" t="s">
        <v>60</v>
      </c>
      <c r="H127" s="78" t="s">
        <v>72</v>
      </c>
      <c r="I127" s="78" t="s">
        <v>160</v>
      </c>
    </row>
    <row r="128" spans="1:9" s="74" customFormat="1" ht="13.8" x14ac:dyDescent="0.3">
      <c r="A128" s="84">
        <v>1278</v>
      </c>
      <c r="B128" s="84" t="s">
        <v>249</v>
      </c>
      <c r="C128" s="84" t="s">
        <v>250</v>
      </c>
      <c r="D128" s="84" t="s">
        <v>86</v>
      </c>
      <c r="E128" s="78" t="s">
        <v>58</v>
      </c>
      <c r="F128" s="78" t="s">
        <v>195</v>
      </c>
      <c r="G128" s="84" t="s">
        <v>66</v>
      </c>
      <c r="H128" s="78" t="s">
        <v>62</v>
      </c>
      <c r="I128" s="78" t="s">
        <v>160</v>
      </c>
    </row>
    <row r="129" spans="1:9" s="74" customFormat="1" ht="13.8" x14ac:dyDescent="0.3">
      <c r="A129" s="82">
        <v>1279</v>
      </c>
      <c r="B129" s="82" t="s">
        <v>251</v>
      </c>
      <c r="C129" s="82" t="s">
        <v>189</v>
      </c>
      <c r="D129" s="79" t="s">
        <v>92</v>
      </c>
      <c r="E129" s="79"/>
      <c r="F129" s="79"/>
      <c r="G129" s="82"/>
      <c r="H129" s="82"/>
      <c r="I129" s="79" t="s">
        <v>160</v>
      </c>
    </row>
    <row r="130" spans="1:9" s="74" customFormat="1" ht="13.8" x14ac:dyDescent="0.3">
      <c r="A130" s="82">
        <v>1280</v>
      </c>
      <c r="B130" s="82" t="s">
        <v>252</v>
      </c>
      <c r="C130" s="79" t="s">
        <v>253</v>
      </c>
      <c r="D130" s="79" t="s">
        <v>92</v>
      </c>
      <c r="E130" s="79"/>
      <c r="F130" s="79"/>
      <c r="G130" s="82"/>
      <c r="H130" s="82"/>
      <c r="I130" s="79" t="s">
        <v>160</v>
      </c>
    </row>
    <row r="131" spans="1:9" s="74" customFormat="1" ht="13.8" x14ac:dyDescent="0.3">
      <c r="A131" s="82">
        <v>1281</v>
      </c>
      <c r="B131" s="82" t="s">
        <v>254</v>
      </c>
      <c r="C131" s="82" t="s">
        <v>255</v>
      </c>
      <c r="D131" s="79" t="s">
        <v>92</v>
      </c>
      <c r="E131" s="79"/>
      <c r="F131" s="79"/>
      <c r="G131" s="82"/>
      <c r="H131" s="82"/>
      <c r="I131" s="79" t="s">
        <v>160</v>
      </c>
    </row>
    <row r="132" spans="1:9" s="74" customFormat="1" ht="13.8" x14ac:dyDescent="0.3">
      <c r="A132" s="82">
        <v>1282</v>
      </c>
      <c r="B132" s="82" t="s">
        <v>256</v>
      </c>
      <c r="C132" s="82" t="s">
        <v>255</v>
      </c>
      <c r="D132" s="79" t="s">
        <v>92</v>
      </c>
      <c r="E132" s="79"/>
      <c r="F132" s="79"/>
      <c r="G132" s="82"/>
      <c r="H132" s="82"/>
      <c r="I132" s="79" t="s">
        <v>160</v>
      </c>
    </row>
    <row r="133" spans="1:9" s="74" customFormat="1" ht="13.8" x14ac:dyDescent="0.3">
      <c r="A133" s="82">
        <v>1283</v>
      </c>
      <c r="B133" s="82" t="s">
        <v>257</v>
      </c>
      <c r="C133" s="79" t="s">
        <v>16</v>
      </c>
      <c r="D133" s="79" t="s">
        <v>92</v>
      </c>
      <c r="E133" s="79"/>
      <c r="F133" s="79"/>
      <c r="G133" s="82"/>
      <c r="H133" s="82"/>
      <c r="I133" s="79" t="s">
        <v>160</v>
      </c>
    </row>
    <row r="134" spans="1:9" s="73" customFormat="1" ht="13.8" x14ac:dyDescent="0.3">
      <c r="A134" s="82">
        <v>1284</v>
      </c>
      <c r="B134" s="82" t="s">
        <v>258</v>
      </c>
      <c r="C134" s="82" t="s">
        <v>218</v>
      </c>
      <c r="D134" s="79" t="s">
        <v>92</v>
      </c>
      <c r="E134" s="79"/>
      <c r="F134" s="79"/>
      <c r="G134" s="82"/>
      <c r="H134" s="82"/>
      <c r="I134" s="79" t="s">
        <v>160</v>
      </c>
    </row>
    <row r="135" spans="1:9" s="73" customFormat="1" ht="13.8" x14ac:dyDescent="0.3">
      <c r="A135" s="84">
        <v>1285</v>
      </c>
      <c r="B135" s="84" t="s">
        <v>259</v>
      </c>
      <c r="C135" s="78" t="s">
        <v>52</v>
      </c>
      <c r="D135" s="78" t="s">
        <v>86</v>
      </c>
      <c r="E135" s="78" t="s">
        <v>55</v>
      </c>
      <c r="F135" s="78" t="s">
        <v>231</v>
      </c>
      <c r="G135" s="78" t="s">
        <v>32</v>
      </c>
      <c r="H135" s="78" t="s">
        <v>59</v>
      </c>
      <c r="I135" s="78" t="s">
        <v>160</v>
      </c>
    </row>
    <row r="136" spans="1:9" s="73" customFormat="1" ht="13.8" x14ac:dyDescent="0.3">
      <c r="A136" s="82">
        <v>1286</v>
      </c>
      <c r="B136" s="82" t="s">
        <v>260</v>
      </c>
      <c r="C136" s="82" t="s">
        <v>39</v>
      </c>
      <c r="D136" s="82" t="s">
        <v>92</v>
      </c>
      <c r="E136" s="79" t="s">
        <v>58</v>
      </c>
      <c r="F136" s="79" t="s">
        <v>231</v>
      </c>
      <c r="G136" s="78" t="s">
        <v>51</v>
      </c>
      <c r="H136" s="78" t="s">
        <v>62</v>
      </c>
      <c r="I136" s="78" t="s">
        <v>160</v>
      </c>
    </row>
    <row r="137" spans="1:9" s="73" customFormat="1" ht="13.8" x14ac:dyDescent="0.3">
      <c r="A137" s="81">
        <v>1287</v>
      </c>
      <c r="B137" s="81" t="s">
        <v>261</v>
      </c>
      <c r="C137" s="81" t="s">
        <v>19</v>
      </c>
      <c r="D137" s="81" t="s">
        <v>86</v>
      </c>
      <c r="E137" s="78" t="s">
        <v>55</v>
      </c>
      <c r="F137" s="78" t="s">
        <v>195</v>
      </c>
      <c r="G137" s="81" t="s">
        <v>60</v>
      </c>
      <c r="H137" s="78" t="s">
        <v>72</v>
      </c>
      <c r="I137" s="78" t="s">
        <v>160</v>
      </c>
    </row>
    <row r="138" spans="1:9" s="73" customFormat="1" ht="13.8" x14ac:dyDescent="0.3">
      <c r="A138" s="84">
        <v>1288</v>
      </c>
      <c r="B138" s="84" t="s">
        <v>262</v>
      </c>
      <c r="C138" s="83" t="s">
        <v>15</v>
      </c>
      <c r="D138" s="84" t="s">
        <v>86</v>
      </c>
      <c r="E138" s="78" t="s">
        <v>55</v>
      </c>
      <c r="F138" s="78" t="s">
        <v>195</v>
      </c>
      <c r="G138" s="84" t="s">
        <v>60</v>
      </c>
      <c r="H138" s="78" t="s">
        <v>72</v>
      </c>
      <c r="I138" s="78" t="s">
        <v>160</v>
      </c>
    </row>
    <row r="139" spans="1:9" s="73" customFormat="1" ht="13.8" x14ac:dyDescent="0.3">
      <c r="A139" s="84">
        <v>1289</v>
      </c>
      <c r="B139" s="84" t="s">
        <v>263</v>
      </c>
      <c r="C139" s="83" t="s">
        <v>15</v>
      </c>
      <c r="D139" s="84" t="s">
        <v>86</v>
      </c>
      <c r="E139" s="78" t="s">
        <v>58</v>
      </c>
      <c r="F139" s="78" t="s">
        <v>195</v>
      </c>
      <c r="G139" s="84" t="s">
        <v>60</v>
      </c>
      <c r="H139" s="78" t="s">
        <v>72</v>
      </c>
      <c r="I139" s="78" t="s">
        <v>160</v>
      </c>
    </row>
    <row r="140" spans="1:9" s="73" customFormat="1" ht="13.8" x14ac:dyDescent="0.3">
      <c r="A140" s="84">
        <v>1290</v>
      </c>
      <c r="B140" s="84" t="s">
        <v>264</v>
      </c>
      <c r="C140" s="84" t="s">
        <v>20</v>
      </c>
      <c r="D140" s="84" t="s">
        <v>86</v>
      </c>
      <c r="E140" s="78" t="s">
        <v>58</v>
      </c>
      <c r="F140" s="78" t="s">
        <v>183</v>
      </c>
      <c r="G140" s="84" t="s">
        <v>70</v>
      </c>
      <c r="H140" s="78" t="s">
        <v>68</v>
      </c>
      <c r="I140" s="78" t="s">
        <v>160</v>
      </c>
    </row>
    <row r="141" spans="1:9" s="119" customFormat="1" ht="13.8" x14ac:dyDescent="0.3">
      <c r="A141" s="81">
        <v>1291</v>
      </c>
      <c r="B141" s="81" t="s">
        <v>265</v>
      </c>
      <c r="C141" s="78" t="s">
        <v>16</v>
      </c>
      <c r="D141" s="81" t="s">
        <v>86</v>
      </c>
      <c r="E141" s="78" t="s">
        <v>58</v>
      </c>
      <c r="F141" s="78" t="s">
        <v>183</v>
      </c>
      <c r="G141" s="84" t="s">
        <v>34</v>
      </c>
      <c r="H141" s="78" t="s">
        <v>62</v>
      </c>
      <c r="I141" s="78" t="s">
        <v>160</v>
      </c>
    </row>
    <row r="142" spans="1:9" s="73" customFormat="1" ht="13.8" x14ac:dyDescent="0.3">
      <c r="A142" s="84">
        <v>1292</v>
      </c>
      <c r="B142" s="84" t="s">
        <v>266</v>
      </c>
      <c r="C142" s="78" t="s">
        <v>56</v>
      </c>
      <c r="D142" s="78" t="s">
        <v>86</v>
      </c>
      <c r="E142" s="78" t="s">
        <v>55</v>
      </c>
      <c r="F142" s="78" t="s">
        <v>231</v>
      </c>
      <c r="G142" s="78" t="s">
        <v>32</v>
      </c>
      <c r="H142" s="78" t="s">
        <v>59</v>
      </c>
      <c r="I142" s="78" t="s">
        <v>160</v>
      </c>
    </row>
    <row r="143" spans="1:9" s="73" customFormat="1" ht="13.8" x14ac:dyDescent="0.3">
      <c r="A143" s="84">
        <v>1293</v>
      </c>
      <c r="B143" s="84" t="s">
        <v>267</v>
      </c>
      <c r="C143" s="78" t="s">
        <v>52</v>
      </c>
      <c r="D143" s="78" t="s">
        <v>86</v>
      </c>
      <c r="E143" s="78" t="s">
        <v>55</v>
      </c>
      <c r="F143" s="78" t="s">
        <v>231</v>
      </c>
      <c r="G143" s="78" t="s">
        <v>32</v>
      </c>
      <c r="H143" s="78" t="s">
        <v>59</v>
      </c>
      <c r="I143" s="78" t="s">
        <v>160</v>
      </c>
    </row>
    <row r="144" spans="1:9" s="73" customFormat="1" ht="13.8" x14ac:dyDescent="0.3">
      <c r="A144" s="84">
        <v>1294</v>
      </c>
      <c r="B144" s="84" t="s">
        <v>268</v>
      </c>
      <c r="C144" s="78" t="s">
        <v>52</v>
      </c>
      <c r="D144" s="78" t="s">
        <v>86</v>
      </c>
      <c r="E144" s="78" t="s">
        <v>55</v>
      </c>
      <c r="F144" s="78" t="s">
        <v>231</v>
      </c>
      <c r="G144" s="78" t="s">
        <v>32</v>
      </c>
      <c r="H144" s="78" t="s">
        <v>59</v>
      </c>
      <c r="I144" s="78" t="s">
        <v>160</v>
      </c>
    </row>
    <row r="145" spans="1:9" s="73" customFormat="1" ht="13.8" x14ac:dyDescent="0.3">
      <c r="A145" s="84">
        <v>1295</v>
      </c>
      <c r="B145" s="84" t="s">
        <v>269</v>
      </c>
      <c r="C145" s="84" t="s">
        <v>159</v>
      </c>
      <c r="D145" s="84" t="s">
        <v>86</v>
      </c>
      <c r="E145" s="78" t="s">
        <v>55</v>
      </c>
      <c r="F145" s="84" t="s">
        <v>88</v>
      </c>
      <c r="G145" s="84" t="s">
        <v>270</v>
      </c>
      <c r="H145" s="78" t="s">
        <v>71</v>
      </c>
      <c r="I145" s="78" t="s">
        <v>160</v>
      </c>
    </row>
    <row r="146" spans="1:9" s="74" customFormat="1" ht="13.8" x14ac:dyDescent="0.3">
      <c r="A146" s="84">
        <v>1296</v>
      </c>
      <c r="B146" s="84" t="s">
        <v>271</v>
      </c>
      <c r="C146" s="78" t="s">
        <v>16</v>
      </c>
      <c r="D146" s="84" t="s">
        <v>86</v>
      </c>
      <c r="E146" s="78" t="s">
        <v>58</v>
      </c>
      <c r="F146" s="78" t="s">
        <v>183</v>
      </c>
      <c r="G146" s="84" t="s">
        <v>34</v>
      </c>
      <c r="H146" s="78" t="s">
        <v>62</v>
      </c>
      <c r="I146" s="78" t="s">
        <v>160</v>
      </c>
    </row>
    <row r="147" spans="1:9" s="73" customFormat="1" ht="13.8" x14ac:dyDescent="0.3">
      <c r="A147" s="82">
        <v>1297</v>
      </c>
      <c r="B147" s="84" t="s">
        <v>272</v>
      </c>
      <c r="C147" s="82" t="s">
        <v>37</v>
      </c>
      <c r="D147" s="79" t="s">
        <v>92</v>
      </c>
      <c r="E147" s="79"/>
      <c r="F147" s="79"/>
      <c r="G147" s="82"/>
      <c r="H147" s="82"/>
      <c r="I147" s="79" t="s">
        <v>160</v>
      </c>
    </row>
    <row r="148" spans="1:9" s="73" customFormat="1" ht="13.8" x14ac:dyDescent="0.3">
      <c r="A148" s="84">
        <v>1298</v>
      </c>
      <c r="B148" s="84" t="s">
        <v>273</v>
      </c>
      <c r="C148" s="84" t="s">
        <v>17</v>
      </c>
      <c r="D148" s="84" t="s">
        <v>86</v>
      </c>
      <c r="E148" s="78" t="s">
        <v>58</v>
      </c>
      <c r="F148" s="78" t="s">
        <v>195</v>
      </c>
      <c r="G148" s="84" t="s">
        <v>34</v>
      </c>
      <c r="H148" s="78" t="s">
        <v>62</v>
      </c>
      <c r="I148" s="78" t="s">
        <v>160</v>
      </c>
    </row>
    <row r="149" spans="1:9" s="73" customFormat="1" ht="13.8" x14ac:dyDescent="0.3">
      <c r="A149" s="84">
        <v>1299</v>
      </c>
      <c r="B149" s="84" t="s">
        <v>274</v>
      </c>
      <c r="C149" s="83" t="s">
        <v>15</v>
      </c>
      <c r="D149" s="84" t="s">
        <v>86</v>
      </c>
      <c r="E149" s="78" t="s">
        <v>55</v>
      </c>
      <c r="F149" s="78" t="s">
        <v>195</v>
      </c>
      <c r="G149" s="84" t="s">
        <v>60</v>
      </c>
      <c r="H149" s="78" t="s">
        <v>72</v>
      </c>
      <c r="I149" s="78" t="s">
        <v>160</v>
      </c>
    </row>
    <row r="150" spans="1:9" s="74" customFormat="1" ht="13.8" x14ac:dyDescent="0.3">
      <c r="A150" s="84">
        <v>1300</v>
      </c>
      <c r="B150" s="84" t="s">
        <v>275</v>
      </c>
      <c r="C150" s="78" t="s">
        <v>16</v>
      </c>
      <c r="D150" s="84" t="s">
        <v>86</v>
      </c>
      <c r="E150" s="78" t="s">
        <v>58</v>
      </c>
      <c r="F150" s="78" t="s">
        <v>183</v>
      </c>
      <c r="G150" s="84" t="s">
        <v>34</v>
      </c>
      <c r="H150" s="78" t="s">
        <v>62</v>
      </c>
      <c r="I150" s="78" t="s">
        <v>160</v>
      </c>
    </row>
    <row r="151" spans="1:9" s="74" customFormat="1" ht="13.8" x14ac:dyDescent="0.3">
      <c r="A151" s="82">
        <v>1301</v>
      </c>
      <c r="B151" s="84" t="s">
        <v>276</v>
      </c>
      <c r="C151" s="79" t="s">
        <v>9</v>
      </c>
      <c r="D151" s="79" t="s">
        <v>92</v>
      </c>
      <c r="E151" s="82"/>
      <c r="F151" s="82"/>
      <c r="G151" s="82"/>
      <c r="H151" s="82"/>
      <c r="I151" s="79" t="s">
        <v>160</v>
      </c>
    </row>
    <row r="152" spans="1:9" s="74" customFormat="1" ht="13.8" x14ac:dyDescent="0.3">
      <c r="A152" s="82">
        <v>1302</v>
      </c>
      <c r="B152" s="84" t="s">
        <v>277</v>
      </c>
      <c r="C152" s="79" t="s">
        <v>9</v>
      </c>
      <c r="D152" s="79" t="s">
        <v>92</v>
      </c>
      <c r="E152" s="82"/>
      <c r="F152" s="82"/>
      <c r="G152" s="82"/>
      <c r="H152" s="82"/>
      <c r="I152" s="79" t="s">
        <v>160</v>
      </c>
    </row>
    <row r="153" spans="1:9" s="74" customFormat="1" ht="13.8" x14ac:dyDescent="0.3">
      <c r="A153" s="82">
        <v>1303</v>
      </c>
      <c r="B153" s="84" t="s">
        <v>278</v>
      </c>
      <c r="C153" s="79" t="s">
        <v>9</v>
      </c>
      <c r="D153" s="79" t="s">
        <v>92</v>
      </c>
      <c r="E153" s="82"/>
      <c r="F153" s="82"/>
      <c r="G153" s="82"/>
      <c r="H153" s="82"/>
      <c r="I153" s="79" t="s">
        <v>160</v>
      </c>
    </row>
    <row r="154" spans="1:9" s="74" customFormat="1" ht="13.8" x14ac:dyDescent="0.3">
      <c r="A154" s="82">
        <v>1304</v>
      </c>
      <c r="B154" s="84" t="s">
        <v>279</v>
      </c>
      <c r="C154" s="79" t="s">
        <v>9</v>
      </c>
      <c r="D154" s="79" t="s">
        <v>92</v>
      </c>
      <c r="E154" s="82"/>
      <c r="F154" s="82"/>
      <c r="G154" s="82"/>
      <c r="H154" s="82"/>
      <c r="I154" s="79" t="s">
        <v>160</v>
      </c>
    </row>
    <row r="155" spans="1:9" s="74" customFormat="1" ht="13.8" x14ac:dyDescent="0.3">
      <c r="A155" s="82">
        <v>1305</v>
      </c>
      <c r="B155" s="84" t="s">
        <v>280</v>
      </c>
      <c r="C155" s="79" t="s">
        <v>9</v>
      </c>
      <c r="D155" s="79" t="s">
        <v>92</v>
      </c>
      <c r="E155" s="82"/>
      <c r="F155" s="82"/>
      <c r="G155" s="82"/>
      <c r="H155" s="82"/>
      <c r="I155" s="79" t="s">
        <v>160</v>
      </c>
    </row>
    <row r="156" spans="1:9" s="74" customFormat="1" ht="13.8" x14ac:dyDescent="0.3">
      <c r="A156" s="82">
        <v>1306</v>
      </c>
      <c r="B156" s="84" t="s">
        <v>281</v>
      </c>
      <c r="C156" s="82" t="s">
        <v>9</v>
      </c>
      <c r="D156" s="79" t="s">
        <v>92</v>
      </c>
      <c r="E156" s="82"/>
      <c r="F156" s="82"/>
      <c r="G156" s="82"/>
      <c r="H156" s="82"/>
      <c r="I156" s="79" t="s">
        <v>160</v>
      </c>
    </row>
    <row r="157" spans="1:9" s="74" customFormat="1" ht="13.8" x14ac:dyDescent="0.3">
      <c r="A157" s="82">
        <v>1307</v>
      </c>
      <c r="B157" s="84" t="s">
        <v>282</v>
      </c>
      <c r="C157" s="79" t="s">
        <v>9</v>
      </c>
      <c r="D157" s="79" t="s">
        <v>92</v>
      </c>
      <c r="E157" s="82"/>
      <c r="F157" s="82"/>
      <c r="G157" s="82"/>
      <c r="H157" s="82"/>
      <c r="I157" s="79" t="s">
        <v>160</v>
      </c>
    </row>
    <row r="158" spans="1:9" s="74" customFormat="1" ht="13.8" x14ac:dyDescent="0.3">
      <c r="A158" s="82">
        <v>1308</v>
      </c>
      <c r="B158" s="84" t="s">
        <v>283</v>
      </c>
      <c r="C158" s="117" t="s">
        <v>19</v>
      </c>
      <c r="D158" s="79" t="s">
        <v>92</v>
      </c>
      <c r="E158" s="79"/>
      <c r="F158" s="79"/>
      <c r="G158" s="82"/>
      <c r="H158" s="82"/>
      <c r="I158" s="79" t="s">
        <v>160</v>
      </c>
    </row>
    <row r="159" spans="1:9" s="74" customFormat="1" ht="13.8" x14ac:dyDescent="0.3">
      <c r="A159" s="82">
        <v>1309</v>
      </c>
      <c r="B159" s="84" t="s">
        <v>284</v>
      </c>
      <c r="C159" s="117" t="s">
        <v>11</v>
      </c>
      <c r="D159" s="79" t="s">
        <v>92</v>
      </c>
      <c r="E159" s="79"/>
      <c r="F159" s="79"/>
      <c r="G159" s="82"/>
      <c r="H159" s="82"/>
      <c r="I159" s="79" t="s">
        <v>160</v>
      </c>
    </row>
    <row r="160" spans="1:9" s="74" customFormat="1" ht="13.8" x14ac:dyDescent="0.3">
      <c r="A160" s="82">
        <v>1310</v>
      </c>
      <c r="B160" s="84" t="s">
        <v>285</v>
      </c>
      <c r="C160" s="79" t="s">
        <v>9</v>
      </c>
      <c r="D160" s="79" t="s">
        <v>92</v>
      </c>
      <c r="E160" s="82"/>
      <c r="F160" s="82"/>
      <c r="G160" s="82"/>
      <c r="H160" s="82"/>
      <c r="I160" s="79" t="s">
        <v>160</v>
      </c>
    </row>
    <row r="161" spans="1:9" s="73" customFormat="1" ht="13.8" x14ac:dyDescent="0.3">
      <c r="A161" s="82">
        <v>1311</v>
      </c>
      <c r="B161" s="84" t="s">
        <v>286</v>
      </c>
      <c r="C161" s="79" t="s">
        <v>9</v>
      </c>
      <c r="D161" s="79" t="s">
        <v>92</v>
      </c>
      <c r="E161" s="82"/>
      <c r="F161" s="82"/>
      <c r="G161" s="82"/>
      <c r="H161" s="82"/>
      <c r="I161" s="79" t="s">
        <v>160</v>
      </c>
    </row>
    <row r="162" spans="1:9" s="74" customFormat="1" ht="13.8" x14ac:dyDescent="0.3">
      <c r="A162" s="84">
        <v>1312</v>
      </c>
      <c r="B162" s="84" t="s">
        <v>287</v>
      </c>
      <c r="C162" s="84" t="s">
        <v>159</v>
      </c>
      <c r="D162" s="84" t="s">
        <v>86</v>
      </c>
      <c r="E162" s="78" t="s">
        <v>58</v>
      </c>
      <c r="F162" s="84" t="s">
        <v>88</v>
      </c>
      <c r="G162" s="78" t="s">
        <v>67</v>
      </c>
      <c r="H162" s="78" t="s">
        <v>71</v>
      </c>
      <c r="I162" s="78" t="s">
        <v>160</v>
      </c>
    </row>
    <row r="163" spans="1:9" s="73" customFormat="1" ht="13.8" x14ac:dyDescent="0.3">
      <c r="A163" s="82">
        <v>1313</v>
      </c>
      <c r="B163" s="84" t="s">
        <v>288</v>
      </c>
      <c r="C163" s="117" t="s">
        <v>11</v>
      </c>
      <c r="D163" s="79" t="s">
        <v>92</v>
      </c>
      <c r="E163" s="79"/>
      <c r="F163" s="79"/>
      <c r="G163" s="82"/>
      <c r="H163" s="82"/>
      <c r="I163" s="79" t="s">
        <v>160</v>
      </c>
    </row>
    <row r="164" spans="1:9" s="74" customFormat="1" ht="13.8" x14ac:dyDescent="0.3">
      <c r="A164" s="84">
        <v>1314</v>
      </c>
      <c r="B164" s="84" t="s">
        <v>289</v>
      </c>
      <c r="C164" s="84" t="s">
        <v>159</v>
      </c>
      <c r="D164" s="84" t="s">
        <v>86</v>
      </c>
      <c r="E164" s="78" t="s">
        <v>58</v>
      </c>
      <c r="F164" s="84" t="s">
        <v>88</v>
      </c>
      <c r="G164" s="78" t="s">
        <v>67</v>
      </c>
      <c r="H164" s="78" t="s">
        <v>71</v>
      </c>
      <c r="I164" s="78" t="s">
        <v>160</v>
      </c>
    </row>
    <row r="165" spans="1:9" s="74" customFormat="1" ht="13.8" x14ac:dyDescent="0.3">
      <c r="A165" s="82">
        <v>1315</v>
      </c>
      <c r="B165" s="84" t="s">
        <v>290</v>
      </c>
      <c r="C165" s="79" t="s">
        <v>9</v>
      </c>
      <c r="D165" s="79" t="s">
        <v>92</v>
      </c>
      <c r="E165" s="82"/>
      <c r="F165" s="82"/>
      <c r="G165" s="82"/>
      <c r="H165" s="82"/>
      <c r="I165" s="79" t="s">
        <v>160</v>
      </c>
    </row>
    <row r="166" spans="1:9" s="73" customFormat="1" ht="13.8" x14ac:dyDescent="0.3">
      <c r="A166" s="82">
        <v>1316</v>
      </c>
      <c r="B166" s="84" t="s">
        <v>291</v>
      </c>
      <c r="C166" s="79" t="s">
        <v>9</v>
      </c>
      <c r="D166" s="79" t="s">
        <v>92</v>
      </c>
      <c r="E166" s="82"/>
      <c r="F166" s="82"/>
      <c r="G166" s="82"/>
      <c r="H166" s="82"/>
      <c r="I166" s="79" t="s">
        <v>160</v>
      </c>
    </row>
    <row r="167" spans="1:9" s="74" customFormat="1" ht="13.8" x14ac:dyDescent="0.3">
      <c r="A167" s="84">
        <v>1317</v>
      </c>
      <c r="B167" s="84" t="s">
        <v>292</v>
      </c>
      <c r="C167" s="84" t="s">
        <v>159</v>
      </c>
      <c r="D167" s="84" t="s">
        <v>86</v>
      </c>
      <c r="E167" s="78" t="s">
        <v>58</v>
      </c>
      <c r="F167" s="84" t="s">
        <v>88</v>
      </c>
      <c r="G167" s="78" t="s">
        <v>67</v>
      </c>
      <c r="H167" s="78" t="s">
        <v>71</v>
      </c>
      <c r="I167" s="78" t="s">
        <v>160</v>
      </c>
    </row>
    <row r="168" spans="1:9" s="74" customFormat="1" ht="13.8" x14ac:dyDescent="0.3">
      <c r="A168" s="82">
        <v>1318</v>
      </c>
      <c r="B168" s="84" t="s">
        <v>293</v>
      </c>
      <c r="C168" s="79" t="s">
        <v>9</v>
      </c>
      <c r="D168" s="79" t="s">
        <v>92</v>
      </c>
      <c r="E168" s="82"/>
      <c r="F168" s="82"/>
      <c r="G168" s="82"/>
      <c r="H168" s="82"/>
      <c r="I168" s="79" t="s">
        <v>160</v>
      </c>
    </row>
    <row r="169" spans="1:9" s="74" customFormat="1" ht="13.8" x14ac:dyDescent="0.3">
      <c r="A169" s="82">
        <v>1319</v>
      </c>
      <c r="B169" s="84" t="s">
        <v>294</v>
      </c>
      <c r="C169" s="79" t="s">
        <v>9</v>
      </c>
      <c r="D169" s="79" t="s">
        <v>92</v>
      </c>
      <c r="E169" s="82"/>
      <c r="F169" s="82"/>
      <c r="G169" s="82"/>
      <c r="H169" s="82"/>
      <c r="I169" s="79" t="s">
        <v>160</v>
      </c>
    </row>
    <row r="170" spans="1:9" s="74" customFormat="1" ht="13.8" x14ac:dyDescent="0.3">
      <c r="A170" s="82">
        <v>1320</v>
      </c>
      <c r="B170" s="84" t="s">
        <v>295</v>
      </c>
      <c r="C170" s="79" t="s">
        <v>9</v>
      </c>
      <c r="D170" s="79" t="s">
        <v>92</v>
      </c>
      <c r="E170" s="82"/>
      <c r="F170" s="82"/>
      <c r="G170" s="82"/>
      <c r="H170" s="82"/>
      <c r="I170" s="79" t="s">
        <v>160</v>
      </c>
    </row>
    <row r="171" spans="1:9" s="74" customFormat="1" ht="13.8" x14ac:dyDescent="0.3">
      <c r="A171" s="117">
        <v>1321</v>
      </c>
      <c r="B171" s="84" t="s">
        <v>296</v>
      </c>
      <c r="C171" s="79" t="s">
        <v>3</v>
      </c>
      <c r="D171" s="79" t="s">
        <v>92</v>
      </c>
      <c r="E171" s="79"/>
      <c r="F171" s="79"/>
      <c r="G171" s="82"/>
      <c r="H171" s="82"/>
      <c r="I171" s="79" t="s">
        <v>160</v>
      </c>
    </row>
    <row r="172" spans="1:9" s="74" customFormat="1" ht="13.8" x14ac:dyDescent="0.3">
      <c r="A172" s="82">
        <v>1322</v>
      </c>
      <c r="B172" s="84" t="s">
        <v>297</v>
      </c>
      <c r="C172" s="82" t="s">
        <v>9</v>
      </c>
      <c r="D172" s="79" t="s">
        <v>92</v>
      </c>
      <c r="E172" s="82"/>
      <c r="F172" s="82"/>
      <c r="G172" s="82"/>
      <c r="H172" s="82"/>
      <c r="I172" s="79" t="s">
        <v>160</v>
      </c>
    </row>
    <row r="173" spans="1:9" s="74" customFormat="1" ht="13.8" x14ac:dyDescent="0.3">
      <c r="A173" s="82">
        <v>1323</v>
      </c>
      <c r="B173" s="84" t="s">
        <v>298</v>
      </c>
      <c r="C173" s="82" t="s">
        <v>18</v>
      </c>
      <c r="D173" s="79" t="s">
        <v>92</v>
      </c>
      <c r="E173" s="79"/>
      <c r="F173" s="79"/>
      <c r="G173" s="82"/>
      <c r="H173" s="82"/>
      <c r="I173" s="79" t="s">
        <v>160</v>
      </c>
    </row>
    <row r="174" spans="1:9" s="74" customFormat="1" ht="13.8" x14ac:dyDescent="0.3">
      <c r="A174" s="82">
        <v>1324</v>
      </c>
      <c r="B174" s="84" t="s">
        <v>299</v>
      </c>
      <c r="C174" s="82" t="s">
        <v>9</v>
      </c>
      <c r="D174" s="79" t="s">
        <v>92</v>
      </c>
      <c r="E174" s="82"/>
      <c r="F174" s="82"/>
      <c r="G174" s="82"/>
      <c r="H174" s="82"/>
      <c r="I174" s="79" t="s">
        <v>160</v>
      </c>
    </row>
    <row r="175" spans="1:9" s="74" customFormat="1" ht="13.8" x14ac:dyDescent="0.3">
      <c r="A175" s="82">
        <v>1325</v>
      </c>
      <c r="B175" s="84" t="s">
        <v>300</v>
      </c>
      <c r="C175" s="82" t="s">
        <v>9</v>
      </c>
      <c r="D175" s="79" t="s">
        <v>92</v>
      </c>
      <c r="E175" s="82"/>
      <c r="F175" s="82"/>
      <c r="G175" s="82"/>
      <c r="H175" s="82"/>
      <c r="I175" s="79" t="s">
        <v>160</v>
      </c>
    </row>
    <row r="176" spans="1:9" s="74" customFormat="1" ht="13.8" x14ac:dyDescent="0.3">
      <c r="A176" s="82">
        <v>1326</v>
      </c>
      <c r="B176" s="84" t="s">
        <v>301</v>
      </c>
      <c r="C176" s="82" t="s">
        <v>9</v>
      </c>
      <c r="D176" s="79" t="s">
        <v>92</v>
      </c>
      <c r="E176" s="82"/>
      <c r="F176" s="82"/>
      <c r="G176" s="82"/>
      <c r="H176" s="82"/>
      <c r="I176" s="79" t="s">
        <v>160</v>
      </c>
    </row>
    <row r="177" spans="1:9" s="74" customFormat="1" ht="13.8" x14ac:dyDescent="0.3">
      <c r="A177" s="82">
        <v>1327</v>
      </c>
      <c r="B177" s="84" t="s">
        <v>302</v>
      </c>
      <c r="C177" s="82" t="s">
        <v>9</v>
      </c>
      <c r="D177" s="79" t="s">
        <v>92</v>
      </c>
      <c r="E177" s="82"/>
      <c r="F177" s="82"/>
      <c r="G177" s="82"/>
      <c r="H177" s="82"/>
      <c r="I177" s="79" t="s">
        <v>160</v>
      </c>
    </row>
    <row r="178" spans="1:9" s="73" customFormat="1" ht="13.8" x14ac:dyDescent="0.3">
      <c r="A178" s="82">
        <v>1328</v>
      </c>
      <c r="B178" s="84" t="s">
        <v>303</v>
      </c>
      <c r="C178" s="117" t="s">
        <v>11</v>
      </c>
      <c r="D178" s="79" t="s">
        <v>92</v>
      </c>
      <c r="E178" s="79"/>
      <c r="F178" s="79"/>
      <c r="G178" s="82"/>
      <c r="H178" s="82"/>
      <c r="I178" s="79" t="s">
        <v>160</v>
      </c>
    </row>
    <row r="179" spans="1:9" s="74" customFormat="1" ht="13.8" x14ac:dyDescent="0.3">
      <c r="A179" s="84">
        <v>1329</v>
      </c>
      <c r="B179" s="84" t="s">
        <v>304</v>
      </c>
      <c r="C179" s="84" t="s">
        <v>159</v>
      </c>
      <c r="D179" s="84" t="s">
        <v>86</v>
      </c>
      <c r="E179" s="78" t="s">
        <v>58</v>
      </c>
      <c r="F179" s="84" t="s">
        <v>88</v>
      </c>
      <c r="G179" s="78" t="s">
        <v>67</v>
      </c>
      <c r="H179" s="78" t="s">
        <v>71</v>
      </c>
      <c r="I179" s="78" t="s">
        <v>160</v>
      </c>
    </row>
    <row r="180" spans="1:9" s="74" customFormat="1" ht="13.8" x14ac:dyDescent="0.3">
      <c r="A180" s="82">
        <v>1330</v>
      </c>
      <c r="B180" s="84" t="s">
        <v>305</v>
      </c>
      <c r="C180" s="82" t="s">
        <v>9</v>
      </c>
      <c r="D180" s="79" t="s">
        <v>92</v>
      </c>
      <c r="E180" s="82"/>
      <c r="F180" s="82"/>
      <c r="G180" s="82"/>
      <c r="H180" s="82"/>
      <c r="I180" s="79" t="s">
        <v>160</v>
      </c>
    </row>
    <row r="181" spans="1:9" s="74" customFormat="1" ht="13.8" x14ac:dyDescent="0.3">
      <c r="A181" s="82">
        <v>1331</v>
      </c>
      <c r="B181" s="84" t="s">
        <v>306</v>
      </c>
      <c r="C181" s="82" t="s">
        <v>307</v>
      </c>
      <c r="D181" s="79" t="s">
        <v>92</v>
      </c>
      <c r="E181" s="79"/>
      <c r="F181" s="79"/>
      <c r="G181" s="82"/>
      <c r="H181" s="82"/>
      <c r="I181" s="79" t="s">
        <v>160</v>
      </c>
    </row>
    <row r="182" spans="1:9" s="74" customFormat="1" ht="13.8" x14ac:dyDescent="0.3">
      <c r="A182" s="82">
        <v>1332</v>
      </c>
      <c r="B182" s="84" t="s">
        <v>308</v>
      </c>
      <c r="C182" s="117" t="s">
        <v>11</v>
      </c>
      <c r="D182" s="79" t="s">
        <v>92</v>
      </c>
      <c r="E182" s="79"/>
      <c r="F182" s="79"/>
      <c r="G182" s="82"/>
      <c r="H182" s="82"/>
      <c r="I182" s="79" t="s">
        <v>160</v>
      </c>
    </row>
    <row r="183" spans="1:9" s="73" customFormat="1" ht="13.8" x14ac:dyDescent="0.3">
      <c r="A183" s="82">
        <v>1333</v>
      </c>
      <c r="B183" s="84" t="s">
        <v>309</v>
      </c>
      <c r="C183" s="79" t="s">
        <v>3</v>
      </c>
      <c r="D183" s="79" t="s">
        <v>92</v>
      </c>
      <c r="E183" s="79"/>
      <c r="F183" s="79"/>
      <c r="G183" s="82"/>
      <c r="H183" s="82"/>
      <c r="I183" s="79" t="s">
        <v>160</v>
      </c>
    </row>
    <row r="184" spans="1:9" s="74" customFormat="1" ht="13.8" x14ac:dyDescent="0.3">
      <c r="A184" s="84">
        <v>1334</v>
      </c>
      <c r="B184" s="84" t="s">
        <v>310</v>
      </c>
      <c r="C184" s="84" t="s">
        <v>159</v>
      </c>
      <c r="D184" s="84" t="s">
        <v>86</v>
      </c>
      <c r="E184" s="78" t="s">
        <v>58</v>
      </c>
      <c r="F184" s="84" t="s">
        <v>88</v>
      </c>
      <c r="G184" s="78" t="s">
        <v>67</v>
      </c>
      <c r="H184" s="78" t="s">
        <v>71</v>
      </c>
      <c r="I184" s="78" t="s">
        <v>160</v>
      </c>
    </row>
    <row r="185" spans="1:9" s="74" customFormat="1" ht="13.8" x14ac:dyDescent="0.3">
      <c r="A185" s="82">
        <v>1335</v>
      </c>
      <c r="B185" s="84" t="s">
        <v>311</v>
      </c>
      <c r="C185" s="82" t="s">
        <v>9</v>
      </c>
      <c r="D185" s="79" t="s">
        <v>92</v>
      </c>
      <c r="E185" s="82"/>
      <c r="F185" s="82"/>
      <c r="G185" s="82"/>
      <c r="H185" s="82"/>
      <c r="I185" s="79" t="s">
        <v>160</v>
      </c>
    </row>
    <row r="186" spans="1:9" s="74" customFormat="1" ht="13.8" x14ac:dyDescent="0.3">
      <c r="A186" s="82">
        <v>1336</v>
      </c>
      <c r="B186" s="84" t="s">
        <v>312</v>
      </c>
      <c r="C186" s="82" t="s">
        <v>9</v>
      </c>
      <c r="D186" s="79" t="s">
        <v>92</v>
      </c>
      <c r="E186" s="82"/>
      <c r="F186" s="82"/>
      <c r="G186" s="82"/>
      <c r="H186" s="82"/>
      <c r="I186" s="79" t="s">
        <v>160</v>
      </c>
    </row>
    <row r="187" spans="1:9" s="74" customFormat="1" ht="13.8" x14ac:dyDescent="0.3">
      <c r="A187" s="82">
        <v>1337</v>
      </c>
      <c r="B187" s="84" t="s">
        <v>313</v>
      </c>
      <c r="C187" s="82" t="s">
        <v>18</v>
      </c>
      <c r="D187" s="79" t="s">
        <v>92</v>
      </c>
      <c r="E187" s="79"/>
      <c r="F187" s="79"/>
      <c r="G187" s="82"/>
      <c r="H187" s="82"/>
      <c r="I187" s="79" t="s">
        <v>160</v>
      </c>
    </row>
    <row r="188" spans="1:9" s="74" customFormat="1" ht="13.8" x14ac:dyDescent="0.3">
      <c r="A188" s="82">
        <v>1338</v>
      </c>
      <c r="B188" s="84" t="s">
        <v>314</v>
      </c>
      <c r="C188" s="82" t="s">
        <v>9</v>
      </c>
      <c r="D188" s="79" t="s">
        <v>92</v>
      </c>
      <c r="E188" s="82"/>
      <c r="F188" s="82"/>
      <c r="G188" s="82"/>
      <c r="H188" s="82"/>
      <c r="I188" s="79" t="s">
        <v>160</v>
      </c>
    </row>
    <row r="189" spans="1:9" s="74" customFormat="1" ht="13.8" x14ac:dyDescent="0.3">
      <c r="A189" s="82">
        <v>1339</v>
      </c>
      <c r="B189" s="84" t="s">
        <v>315</v>
      </c>
      <c r="C189" s="79" t="s">
        <v>3</v>
      </c>
      <c r="D189" s="79" t="s">
        <v>92</v>
      </c>
      <c r="E189" s="79"/>
      <c r="F189" s="79"/>
      <c r="G189" s="82"/>
      <c r="H189" s="82"/>
      <c r="I189" s="79" t="s">
        <v>160</v>
      </c>
    </row>
    <row r="190" spans="1:9" s="74" customFormat="1" ht="13.8" x14ac:dyDescent="0.3">
      <c r="A190" s="82">
        <v>1340</v>
      </c>
      <c r="B190" s="84" t="s">
        <v>316</v>
      </c>
      <c r="C190" s="82" t="s">
        <v>9</v>
      </c>
      <c r="D190" s="79" t="s">
        <v>92</v>
      </c>
      <c r="E190" s="82"/>
      <c r="F190" s="82"/>
      <c r="G190" s="82"/>
      <c r="H190" s="82"/>
      <c r="I190" s="79" t="s">
        <v>160</v>
      </c>
    </row>
    <row r="191" spans="1:9" s="74" customFormat="1" ht="13.8" x14ac:dyDescent="0.3">
      <c r="A191" s="82">
        <v>1341</v>
      </c>
      <c r="B191" s="84" t="s">
        <v>317</v>
      </c>
      <c r="C191" s="82" t="s">
        <v>4</v>
      </c>
      <c r="D191" s="79" t="s">
        <v>92</v>
      </c>
      <c r="E191" s="79" t="s">
        <v>58</v>
      </c>
      <c r="F191" s="79" t="s">
        <v>183</v>
      </c>
      <c r="G191" s="80"/>
      <c r="H191" s="82" t="s">
        <v>59</v>
      </c>
      <c r="I191" s="79" t="s">
        <v>160</v>
      </c>
    </row>
    <row r="192" spans="1:9" s="74" customFormat="1" ht="13.8" x14ac:dyDescent="0.3">
      <c r="A192" s="82">
        <v>1342</v>
      </c>
      <c r="B192" s="84" t="s">
        <v>318</v>
      </c>
      <c r="C192" s="82" t="s">
        <v>9</v>
      </c>
      <c r="D192" s="79" t="s">
        <v>92</v>
      </c>
      <c r="E192" s="82"/>
      <c r="F192" s="82"/>
      <c r="G192" s="82"/>
      <c r="H192" s="82"/>
      <c r="I192" s="79" t="s">
        <v>160</v>
      </c>
    </row>
    <row r="193" spans="1:9" s="74" customFormat="1" ht="13.8" x14ac:dyDescent="0.3">
      <c r="A193" s="82">
        <v>1343</v>
      </c>
      <c r="B193" s="84" t="s">
        <v>319</v>
      </c>
      <c r="C193" s="82" t="s">
        <v>9</v>
      </c>
      <c r="D193" s="79" t="s">
        <v>92</v>
      </c>
      <c r="E193" s="82"/>
      <c r="F193" s="82"/>
      <c r="G193" s="82"/>
      <c r="H193" s="82"/>
      <c r="I193" s="79" t="s">
        <v>160</v>
      </c>
    </row>
    <row r="194" spans="1:9" s="74" customFormat="1" ht="13.8" x14ac:dyDescent="0.3">
      <c r="A194" s="82">
        <v>1344</v>
      </c>
      <c r="B194" s="84" t="s">
        <v>320</v>
      </c>
      <c r="C194" s="82" t="s">
        <v>20</v>
      </c>
      <c r="D194" s="79" t="s">
        <v>92</v>
      </c>
      <c r="E194" s="79"/>
      <c r="F194" s="79"/>
      <c r="G194" s="82"/>
      <c r="H194" s="82"/>
      <c r="I194" s="79" t="s">
        <v>160</v>
      </c>
    </row>
    <row r="195" spans="1:9" s="73" customFormat="1" ht="13.8" x14ac:dyDescent="0.3">
      <c r="A195" s="82">
        <v>1345</v>
      </c>
      <c r="B195" s="84" t="s">
        <v>321</v>
      </c>
      <c r="C195" s="82" t="s">
        <v>9</v>
      </c>
      <c r="D195" s="79" t="s">
        <v>92</v>
      </c>
      <c r="E195" s="82"/>
      <c r="F195" s="82"/>
      <c r="G195" s="82"/>
      <c r="H195" s="82"/>
      <c r="I195" s="79" t="s">
        <v>160</v>
      </c>
    </row>
    <row r="196" spans="1:9" s="74" customFormat="1" ht="13.8" x14ac:dyDescent="0.3">
      <c r="A196" s="84">
        <v>1346</v>
      </c>
      <c r="B196" s="84" t="s">
        <v>322</v>
      </c>
      <c r="C196" s="84" t="s">
        <v>159</v>
      </c>
      <c r="D196" s="84" t="s">
        <v>86</v>
      </c>
      <c r="E196" s="78" t="s">
        <v>58</v>
      </c>
      <c r="F196" s="84" t="s">
        <v>88</v>
      </c>
      <c r="G196" s="78" t="s">
        <v>67</v>
      </c>
      <c r="H196" s="78" t="s">
        <v>71</v>
      </c>
      <c r="I196" s="78" t="s">
        <v>160</v>
      </c>
    </row>
    <row r="197" spans="1:9" s="73" customFormat="1" ht="13.8" x14ac:dyDescent="0.3">
      <c r="A197" s="82">
        <v>1347</v>
      </c>
      <c r="B197" s="84" t="s">
        <v>323</v>
      </c>
      <c r="C197" s="82" t="s">
        <v>9</v>
      </c>
      <c r="D197" s="79" t="s">
        <v>92</v>
      </c>
      <c r="E197" s="82"/>
      <c r="F197" s="82"/>
      <c r="G197" s="82"/>
      <c r="H197" s="82"/>
      <c r="I197" s="79" t="s">
        <v>160</v>
      </c>
    </row>
    <row r="198" spans="1:9" s="73" customFormat="1" ht="13.8" x14ac:dyDescent="0.3">
      <c r="A198" s="84">
        <v>1348</v>
      </c>
      <c r="B198" s="84" t="s">
        <v>324</v>
      </c>
      <c r="C198" s="84" t="s">
        <v>63</v>
      </c>
      <c r="D198" s="84" t="s">
        <v>86</v>
      </c>
      <c r="E198" s="78" t="s">
        <v>58</v>
      </c>
      <c r="F198" s="78" t="s">
        <v>195</v>
      </c>
      <c r="G198" s="84" t="s">
        <v>70</v>
      </c>
      <c r="H198" s="78" t="s">
        <v>68</v>
      </c>
      <c r="I198" s="78" t="s">
        <v>160</v>
      </c>
    </row>
    <row r="199" spans="1:9" s="73" customFormat="1" ht="13.8" x14ac:dyDescent="0.3">
      <c r="A199" s="84">
        <v>1349</v>
      </c>
      <c r="B199" s="84" t="s">
        <v>325</v>
      </c>
      <c r="C199" s="84" t="s">
        <v>159</v>
      </c>
      <c r="D199" s="84" t="s">
        <v>86</v>
      </c>
      <c r="E199" s="78" t="s">
        <v>58</v>
      </c>
      <c r="F199" s="84" t="s">
        <v>88</v>
      </c>
      <c r="G199" s="78" t="s">
        <v>67</v>
      </c>
      <c r="H199" s="78" t="s">
        <v>71</v>
      </c>
      <c r="I199" s="78" t="s">
        <v>160</v>
      </c>
    </row>
    <row r="200" spans="1:9" s="73" customFormat="1" ht="13.8" x14ac:dyDescent="0.3">
      <c r="A200" s="84">
        <v>1350</v>
      </c>
      <c r="B200" s="84" t="s">
        <v>326</v>
      </c>
      <c r="C200" s="84" t="s">
        <v>159</v>
      </c>
      <c r="D200" s="84" t="s">
        <v>86</v>
      </c>
      <c r="E200" s="78" t="s">
        <v>58</v>
      </c>
      <c r="F200" s="84" t="s">
        <v>88</v>
      </c>
      <c r="G200" s="78" t="s">
        <v>67</v>
      </c>
      <c r="H200" s="78" t="s">
        <v>71</v>
      </c>
      <c r="I200" s="78" t="s">
        <v>160</v>
      </c>
    </row>
    <row r="201" spans="1:9" s="74" customFormat="1" ht="13.8" x14ac:dyDescent="0.3">
      <c r="A201" s="84">
        <v>1351</v>
      </c>
      <c r="B201" s="84" t="s">
        <v>327</v>
      </c>
      <c r="C201" s="84" t="s">
        <v>159</v>
      </c>
      <c r="D201" s="84" t="s">
        <v>86</v>
      </c>
      <c r="E201" s="78" t="s">
        <v>58</v>
      </c>
      <c r="F201" s="84" t="s">
        <v>88</v>
      </c>
      <c r="G201" s="78" t="s">
        <v>67</v>
      </c>
      <c r="H201" s="78" t="s">
        <v>71</v>
      </c>
      <c r="I201" s="78" t="s">
        <v>160</v>
      </c>
    </row>
    <row r="202" spans="1:9" s="73" customFormat="1" ht="13.8" x14ac:dyDescent="0.3">
      <c r="A202" s="82">
        <v>1352</v>
      </c>
      <c r="B202" s="84" t="s">
        <v>328</v>
      </c>
      <c r="C202" s="82" t="s">
        <v>18</v>
      </c>
      <c r="D202" s="79" t="s">
        <v>92</v>
      </c>
      <c r="E202" s="79"/>
      <c r="F202" s="79"/>
      <c r="G202" s="82"/>
      <c r="H202" s="82"/>
      <c r="I202" s="79" t="s">
        <v>160</v>
      </c>
    </row>
    <row r="203" spans="1:9" s="73" customFormat="1" ht="13.8" x14ac:dyDescent="0.3">
      <c r="A203" s="84">
        <v>1353</v>
      </c>
      <c r="B203" s="84" t="s">
        <v>329</v>
      </c>
      <c r="C203" s="84" t="s">
        <v>159</v>
      </c>
      <c r="D203" s="84" t="s">
        <v>86</v>
      </c>
      <c r="E203" s="78" t="s">
        <v>58</v>
      </c>
      <c r="F203" s="84" t="s">
        <v>88</v>
      </c>
      <c r="G203" s="78" t="s">
        <v>67</v>
      </c>
      <c r="H203" s="78" t="s">
        <v>71</v>
      </c>
      <c r="I203" s="78" t="s">
        <v>160</v>
      </c>
    </row>
    <row r="204" spans="1:9" s="74" customFormat="1" ht="13.8" x14ac:dyDescent="0.3">
      <c r="A204" s="84">
        <v>1354</v>
      </c>
      <c r="B204" s="84" t="s">
        <v>330</v>
      </c>
      <c r="C204" s="78" t="s">
        <v>52</v>
      </c>
      <c r="D204" s="78" t="s">
        <v>86</v>
      </c>
      <c r="E204" s="78" t="s">
        <v>55</v>
      </c>
      <c r="F204" s="78" t="s">
        <v>231</v>
      </c>
      <c r="G204" s="78" t="s">
        <v>32</v>
      </c>
      <c r="H204" s="78" t="s">
        <v>59</v>
      </c>
      <c r="I204" s="78" t="s">
        <v>160</v>
      </c>
    </row>
    <row r="205" spans="1:9" s="73" customFormat="1" ht="13.8" x14ac:dyDescent="0.3">
      <c r="A205" s="82">
        <v>1355</v>
      </c>
      <c r="B205" s="84" t="s">
        <v>331</v>
      </c>
      <c r="C205" s="82" t="s">
        <v>332</v>
      </c>
      <c r="D205" s="79" t="s">
        <v>92</v>
      </c>
      <c r="E205" s="79"/>
      <c r="F205" s="79"/>
      <c r="G205" s="82"/>
      <c r="H205" s="82"/>
      <c r="I205" s="79" t="s">
        <v>160</v>
      </c>
    </row>
    <row r="206" spans="1:9" s="73" customFormat="1" ht="13.8" x14ac:dyDescent="0.3">
      <c r="A206" s="84">
        <v>1356</v>
      </c>
      <c r="B206" s="84" t="s">
        <v>333</v>
      </c>
      <c r="C206" s="84" t="s">
        <v>40</v>
      </c>
      <c r="D206" s="84" t="s">
        <v>86</v>
      </c>
      <c r="E206" s="78" t="s">
        <v>55</v>
      </c>
      <c r="F206" s="78" t="s">
        <v>231</v>
      </c>
      <c r="G206" s="78" t="s">
        <v>51</v>
      </c>
      <c r="H206" s="78" t="s">
        <v>62</v>
      </c>
      <c r="I206" s="78" t="s">
        <v>160</v>
      </c>
    </row>
    <row r="207" spans="1:9" s="73" customFormat="1" ht="13.8" x14ac:dyDescent="0.3">
      <c r="A207" s="84">
        <v>1357</v>
      </c>
      <c r="B207" s="84" t="s">
        <v>334</v>
      </c>
      <c r="C207" s="84" t="s">
        <v>53</v>
      </c>
      <c r="D207" s="84" t="s">
        <v>86</v>
      </c>
      <c r="E207" s="78" t="s">
        <v>55</v>
      </c>
      <c r="F207" s="78" t="s">
        <v>231</v>
      </c>
      <c r="G207" s="78" t="s">
        <v>51</v>
      </c>
      <c r="H207" s="78" t="s">
        <v>62</v>
      </c>
      <c r="I207" s="78" t="s">
        <v>160</v>
      </c>
    </row>
    <row r="208" spans="1:9" s="74" customFormat="1" ht="13.8" x14ac:dyDescent="0.3">
      <c r="A208" s="81">
        <v>1358</v>
      </c>
      <c r="B208" s="84" t="s">
        <v>335</v>
      </c>
      <c r="C208" s="81" t="s">
        <v>12</v>
      </c>
      <c r="D208" s="81" t="s">
        <v>86</v>
      </c>
      <c r="E208" s="78" t="s">
        <v>58</v>
      </c>
      <c r="F208" s="78" t="s">
        <v>195</v>
      </c>
      <c r="G208" s="81" t="s">
        <v>70</v>
      </c>
      <c r="H208" s="78" t="s">
        <v>68</v>
      </c>
      <c r="I208" s="78" t="s">
        <v>160</v>
      </c>
    </row>
    <row r="209" spans="1:9" s="73" customFormat="1" ht="13.8" x14ac:dyDescent="0.3">
      <c r="A209" s="82">
        <v>1359</v>
      </c>
      <c r="B209" s="84" t="s">
        <v>336</v>
      </c>
      <c r="C209" s="82" t="s">
        <v>337</v>
      </c>
      <c r="D209" s="79" t="s">
        <v>92</v>
      </c>
      <c r="E209" s="79"/>
      <c r="F209" s="79"/>
      <c r="G209" s="82"/>
      <c r="H209" s="82"/>
      <c r="I209" s="79" t="s">
        <v>160</v>
      </c>
    </row>
    <row r="210" spans="1:9" s="74" customFormat="1" ht="13.8" x14ac:dyDescent="0.3">
      <c r="A210" s="84">
        <v>1360</v>
      </c>
      <c r="B210" s="84" t="s">
        <v>338</v>
      </c>
      <c r="C210" s="78" t="s">
        <v>24</v>
      </c>
      <c r="D210" s="78" t="s">
        <v>86</v>
      </c>
      <c r="E210" s="78" t="s">
        <v>55</v>
      </c>
      <c r="F210" s="78" t="s">
        <v>231</v>
      </c>
      <c r="G210" s="78" t="s">
        <v>32</v>
      </c>
      <c r="H210" s="78" t="s">
        <v>59</v>
      </c>
      <c r="I210" s="78" t="s">
        <v>160</v>
      </c>
    </row>
    <row r="211" spans="1:9" s="74" customFormat="1" ht="13.8" x14ac:dyDescent="0.3">
      <c r="A211" s="82">
        <v>1361</v>
      </c>
      <c r="B211" s="84" t="s">
        <v>339</v>
      </c>
      <c r="C211" s="79" t="s">
        <v>3</v>
      </c>
      <c r="D211" s="79" t="s">
        <v>92</v>
      </c>
      <c r="E211" s="79"/>
      <c r="F211" s="79"/>
      <c r="G211" s="82"/>
      <c r="H211" s="82"/>
      <c r="I211" s="79" t="s">
        <v>160</v>
      </c>
    </row>
    <row r="212" spans="1:9" x14ac:dyDescent="0.3">
      <c r="A212" s="82">
        <v>1362</v>
      </c>
      <c r="B212" s="84" t="s">
        <v>340</v>
      </c>
      <c r="C212" s="117" t="s">
        <v>11</v>
      </c>
      <c r="D212" s="79" t="s">
        <v>92</v>
      </c>
      <c r="E212" s="79"/>
      <c r="F212" s="79"/>
      <c r="G212" s="82"/>
      <c r="H212" s="82"/>
      <c r="I212" s="79" t="s">
        <v>160</v>
      </c>
    </row>
    <row r="213" spans="1:9" s="74" customFormat="1" ht="13.8" x14ac:dyDescent="0.3">
      <c r="A213" s="82">
        <v>1363</v>
      </c>
      <c r="B213" s="84" t="s">
        <v>341</v>
      </c>
      <c r="C213" s="82" t="s">
        <v>25</v>
      </c>
      <c r="D213" s="78" t="s">
        <v>92</v>
      </c>
      <c r="E213" s="82" t="s">
        <v>55</v>
      </c>
      <c r="F213" s="82" t="s">
        <v>231</v>
      </c>
      <c r="G213" s="82"/>
      <c r="H213" s="78"/>
      <c r="I213" s="78" t="s">
        <v>160</v>
      </c>
    </row>
    <row r="214" spans="1:9" x14ac:dyDescent="0.3">
      <c r="A214" s="82">
        <v>1364</v>
      </c>
      <c r="B214" s="84" t="s">
        <v>342</v>
      </c>
      <c r="C214" s="82" t="s">
        <v>3</v>
      </c>
      <c r="D214" s="79" t="s">
        <v>92</v>
      </c>
      <c r="E214" s="79"/>
      <c r="F214" s="79"/>
      <c r="G214" s="82"/>
      <c r="H214" s="82"/>
      <c r="I214" s="79" t="s">
        <v>160</v>
      </c>
    </row>
    <row r="215" spans="1:9" s="73" customFormat="1" ht="13.8" x14ac:dyDescent="0.3">
      <c r="A215" s="82">
        <v>1365</v>
      </c>
      <c r="B215" s="84" t="s">
        <v>343</v>
      </c>
      <c r="C215" s="82" t="s">
        <v>344</v>
      </c>
      <c r="D215" s="78" t="s">
        <v>92</v>
      </c>
      <c r="E215" s="78"/>
      <c r="F215" s="78"/>
      <c r="G215" s="82"/>
      <c r="H215" s="78"/>
      <c r="I215" s="78" t="s">
        <v>160</v>
      </c>
    </row>
    <row r="216" spans="1:9" x14ac:dyDescent="0.3">
      <c r="A216" s="82">
        <v>1366</v>
      </c>
      <c r="B216" s="82" t="s">
        <v>345</v>
      </c>
      <c r="C216" s="79" t="s">
        <v>4</v>
      </c>
      <c r="D216" s="79" t="s">
        <v>92</v>
      </c>
      <c r="E216" s="79" t="s">
        <v>58</v>
      </c>
      <c r="F216" s="79" t="s">
        <v>183</v>
      </c>
      <c r="G216" s="79" t="s">
        <v>64</v>
      </c>
      <c r="H216" s="79" t="s">
        <v>59</v>
      </c>
      <c r="I216" s="79" t="s">
        <v>160</v>
      </c>
    </row>
    <row r="217" spans="1:9" s="73" customFormat="1" ht="13.8" x14ac:dyDescent="0.3">
      <c r="A217" s="82">
        <v>1367</v>
      </c>
      <c r="B217" s="84" t="s">
        <v>346</v>
      </c>
      <c r="C217" s="82" t="s">
        <v>344</v>
      </c>
      <c r="D217" s="78" t="s">
        <v>92</v>
      </c>
      <c r="E217" s="78"/>
      <c r="F217" s="82"/>
      <c r="G217" s="82"/>
      <c r="H217" s="78"/>
      <c r="I217" s="78" t="s">
        <v>160</v>
      </c>
    </row>
    <row r="218" spans="1:9" s="74" customFormat="1" ht="13.8" x14ac:dyDescent="0.3">
      <c r="A218" s="84">
        <v>1368</v>
      </c>
      <c r="B218" s="84" t="s">
        <v>347</v>
      </c>
      <c r="C218" s="84" t="s">
        <v>40</v>
      </c>
      <c r="D218" s="84" t="s">
        <v>86</v>
      </c>
      <c r="E218" s="78" t="s">
        <v>55</v>
      </c>
      <c r="F218" s="78" t="s">
        <v>231</v>
      </c>
      <c r="G218" s="78" t="s">
        <v>51</v>
      </c>
      <c r="H218" s="78" t="s">
        <v>62</v>
      </c>
      <c r="I218" s="78" t="s">
        <v>160</v>
      </c>
    </row>
    <row r="219" spans="1:9" s="74" customFormat="1" ht="13.8" x14ac:dyDescent="0.3">
      <c r="A219" s="82">
        <v>1369</v>
      </c>
      <c r="B219" s="84" t="s">
        <v>348</v>
      </c>
      <c r="C219" s="82" t="s">
        <v>349</v>
      </c>
      <c r="D219" s="79" t="s">
        <v>92</v>
      </c>
      <c r="E219" s="79"/>
      <c r="F219" s="79"/>
      <c r="G219" s="82"/>
      <c r="H219" s="82"/>
      <c r="I219" s="79" t="s">
        <v>160</v>
      </c>
    </row>
    <row r="220" spans="1:9" s="74" customFormat="1" ht="13.8" x14ac:dyDescent="0.3">
      <c r="A220" s="82">
        <v>1370</v>
      </c>
      <c r="B220" s="84" t="s">
        <v>350</v>
      </c>
      <c r="C220" s="82" t="s">
        <v>18</v>
      </c>
      <c r="D220" s="79" t="s">
        <v>92</v>
      </c>
      <c r="E220" s="79"/>
      <c r="F220" s="79"/>
      <c r="G220" s="82"/>
      <c r="H220" s="82"/>
      <c r="I220" s="79" t="s">
        <v>160</v>
      </c>
    </row>
    <row r="221" spans="1:9" s="73" customFormat="1" ht="13.8" x14ac:dyDescent="0.3">
      <c r="A221" s="82">
        <v>1371</v>
      </c>
      <c r="B221" s="84" t="s">
        <v>351</v>
      </c>
      <c r="C221" s="82" t="s">
        <v>352</v>
      </c>
      <c r="D221" s="79" t="s">
        <v>92</v>
      </c>
      <c r="E221" s="79"/>
      <c r="F221" s="79"/>
      <c r="G221" s="82"/>
      <c r="H221" s="82"/>
      <c r="I221" s="79" t="s">
        <v>160</v>
      </c>
    </row>
    <row r="222" spans="1:9" s="73" customFormat="1" ht="13.8" x14ac:dyDescent="0.3">
      <c r="A222" s="84">
        <v>1372</v>
      </c>
      <c r="B222" s="84" t="s">
        <v>353</v>
      </c>
      <c r="C222" s="84" t="s">
        <v>159</v>
      </c>
      <c r="D222" s="84" t="s">
        <v>86</v>
      </c>
      <c r="E222" s="78" t="s">
        <v>58</v>
      </c>
      <c r="F222" s="84" t="s">
        <v>88</v>
      </c>
      <c r="G222" s="78" t="s">
        <v>67</v>
      </c>
      <c r="H222" s="78" t="s">
        <v>71</v>
      </c>
      <c r="I222" s="78" t="s">
        <v>160</v>
      </c>
    </row>
    <row r="223" spans="1:9" s="74" customFormat="1" ht="13.8" x14ac:dyDescent="0.3">
      <c r="A223" s="84">
        <v>1373</v>
      </c>
      <c r="B223" s="84" t="s">
        <v>354</v>
      </c>
      <c r="C223" s="84" t="s">
        <v>159</v>
      </c>
      <c r="D223" s="84" t="s">
        <v>86</v>
      </c>
      <c r="E223" s="78" t="s">
        <v>58</v>
      </c>
      <c r="F223" s="84" t="s">
        <v>88</v>
      </c>
      <c r="G223" s="78" t="s">
        <v>67</v>
      </c>
      <c r="H223" s="78" t="s">
        <v>71</v>
      </c>
      <c r="I223" s="78" t="s">
        <v>160</v>
      </c>
    </row>
    <row r="224" spans="1:9" s="74" customFormat="1" ht="13.8" x14ac:dyDescent="0.3">
      <c r="A224" s="82">
        <v>1374</v>
      </c>
      <c r="B224" s="84" t="s">
        <v>355</v>
      </c>
      <c r="C224" s="82" t="s">
        <v>356</v>
      </c>
      <c r="D224" s="79" t="s">
        <v>92</v>
      </c>
      <c r="E224" s="79"/>
      <c r="F224" s="79"/>
      <c r="G224" s="82"/>
      <c r="H224" s="82"/>
      <c r="I224" s="79" t="s">
        <v>160</v>
      </c>
    </row>
    <row r="225" spans="1:9" s="74" customFormat="1" ht="13.8" x14ac:dyDescent="0.3">
      <c r="A225" s="82">
        <v>1375</v>
      </c>
      <c r="B225" s="84" t="s">
        <v>357</v>
      </c>
      <c r="C225" s="82" t="s">
        <v>9</v>
      </c>
      <c r="D225" s="79" t="s">
        <v>92</v>
      </c>
      <c r="E225" s="82"/>
      <c r="F225" s="82"/>
      <c r="G225" s="82"/>
      <c r="H225" s="82"/>
      <c r="I225" s="79" t="s">
        <v>160</v>
      </c>
    </row>
    <row r="226" spans="1:9" s="74" customFormat="1" ht="13.8" x14ac:dyDescent="0.3">
      <c r="A226" s="82">
        <v>1376</v>
      </c>
      <c r="B226" s="84" t="s">
        <v>358</v>
      </c>
      <c r="C226" s="82" t="s">
        <v>17</v>
      </c>
      <c r="D226" s="79" t="s">
        <v>92</v>
      </c>
      <c r="E226" s="79"/>
      <c r="F226" s="79"/>
      <c r="G226" s="82"/>
      <c r="H226" s="82"/>
      <c r="I226" s="79" t="s">
        <v>160</v>
      </c>
    </row>
    <row r="227" spans="1:9" s="73" customFormat="1" ht="13.8" x14ac:dyDescent="0.3">
      <c r="A227" s="82">
        <v>1377</v>
      </c>
      <c r="B227" s="84" t="s">
        <v>359</v>
      </c>
      <c r="C227" s="82" t="s">
        <v>360</v>
      </c>
      <c r="D227" s="79" t="s">
        <v>92</v>
      </c>
      <c r="E227" s="79"/>
      <c r="F227" s="79"/>
      <c r="G227" s="82"/>
      <c r="H227" s="82"/>
      <c r="I227" s="79" t="s">
        <v>160</v>
      </c>
    </row>
    <row r="228" spans="1:9" s="74" customFormat="1" ht="13.8" x14ac:dyDescent="0.3">
      <c r="A228" s="82">
        <v>1378</v>
      </c>
      <c r="B228" s="82" t="s">
        <v>361</v>
      </c>
      <c r="C228" s="82" t="s">
        <v>5</v>
      </c>
      <c r="D228" s="79" t="s">
        <v>92</v>
      </c>
      <c r="E228" s="79" t="s">
        <v>57</v>
      </c>
      <c r="F228" s="79" t="s">
        <v>231</v>
      </c>
      <c r="G228" s="79"/>
      <c r="H228" s="79" t="s">
        <v>62</v>
      </c>
      <c r="I228" s="79" t="s">
        <v>160</v>
      </c>
    </row>
    <row r="229" spans="1:9" s="74" customFormat="1" ht="13.8" x14ac:dyDescent="0.3">
      <c r="A229" s="82">
        <v>1379</v>
      </c>
      <c r="B229" s="84" t="s">
        <v>362</v>
      </c>
      <c r="C229" s="79" t="s">
        <v>253</v>
      </c>
      <c r="D229" s="79" t="s">
        <v>92</v>
      </c>
      <c r="E229" s="79"/>
      <c r="F229" s="79"/>
      <c r="G229" s="82"/>
      <c r="H229" s="82"/>
      <c r="I229" s="79" t="s">
        <v>160</v>
      </c>
    </row>
    <row r="230" spans="1:9" s="74" customFormat="1" ht="13.8" x14ac:dyDescent="0.3">
      <c r="A230" s="82">
        <v>1380</v>
      </c>
      <c r="B230" s="84" t="s">
        <v>363</v>
      </c>
      <c r="C230" s="82" t="s">
        <v>189</v>
      </c>
      <c r="D230" s="79" t="s">
        <v>92</v>
      </c>
      <c r="E230" s="79"/>
      <c r="F230" s="79"/>
      <c r="G230" s="82"/>
      <c r="H230" s="82"/>
      <c r="I230" s="79" t="s">
        <v>160</v>
      </c>
    </row>
    <row r="231" spans="1:9" s="74" customFormat="1" ht="13.8" x14ac:dyDescent="0.3">
      <c r="A231" s="82">
        <v>1381</v>
      </c>
      <c r="B231" s="84" t="s">
        <v>364</v>
      </c>
      <c r="C231" s="82" t="s">
        <v>365</v>
      </c>
      <c r="D231" s="79" t="s">
        <v>92</v>
      </c>
      <c r="E231" s="79"/>
      <c r="F231" s="79"/>
      <c r="G231" s="82"/>
      <c r="H231" s="82"/>
      <c r="I231" s="79" t="s">
        <v>160</v>
      </c>
    </row>
    <row r="232" spans="1:9" s="74" customFormat="1" ht="13.8" x14ac:dyDescent="0.3">
      <c r="A232" s="82">
        <v>1382</v>
      </c>
      <c r="B232" s="84" t="s">
        <v>366</v>
      </c>
      <c r="C232" s="82" t="s">
        <v>9</v>
      </c>
      <c r="D232" s="79" t="s">
        <v>92</v>
      </c>
      <c r="E232" s="82"/>
      <c r="F232" s="82"/>
      <c r="G232" s="82"/>
      <c r="H232" s="82"/>
      <c r="I232" s="79" t="s">
        <v>160</v>
      </c>
    </row>
    <row r="233" spans="1:9" s="74" customFormat="1" ht="13.8" x14ac:dyDescent="0.3">
      <c r="A233" s="82">
        <v>1383</v>
      </c>
      <c r="B233" s="84" t="s">
        <v>367</v>
      </c>
      <c r="C233" s="82" t="s">
        <v>368</v>
      </c>
      <c r="D233" s="79" t="s">
        <v>92</v>
      </c>
      <c r="E233" s="79"/>
      <c r="F233" s="79"/>
      <c r="G233" s="82"/>
      <c r="H233" s="82"/>
      <c r="I233" s="79" t="s">
        <v>160</v>
      </c>
    </row>
    <row r="234" spans="1:9" s="74" customFormat="1" ht="13.8" x14ac:dyDescent="0.3">
      <c r="A234" s="82">
        <v>1384</v>
      </c>
      <c r="B234" s="84" t="s">
        <v>369</v>
      </c>
      <c r="C234" s="82" t="s">
        <v>332</v>
      </c>
      <c r="D234" s="79" t="s">
        <v>92</v>
      </c>
      <c r="E234" s="79"/>
      <c r="F234" s="79"/>
      <c r="G234" s="82"/>
      <c r="H234" s="82"/>
      <c r="I234" s="79" t="s">
        <v>160</v>
      </c>
    </row>
    <row r="235" spans="1:9" s="74" customFormat="1" ht="13.8" x14ac:dyDescent="0.3">
      <c r="A235" s="82">
        <v>1385</v>
      </c>
      <c r="B235" s="84" t="s">
        <v>370</v>
      </c>
      <c r="C235" s="82" t="s">
        <v>9</v>
      </c>
      <c r="D235" s="79" t="s">
        <v>92</v>
      </c>
      <c r="E235" s="82"/>
      <c r="F235" s="82"/>
      <c r="G235" s="82"/>
      <c r="H235" s="82"/>
      <c r="I235" s="79" t="s">
        <v>160</v>
      </c>
    </row>
    <row r="236" spans="1:9" s="73" customFormat="1" ht="13.8" x14ac:dyDescent="0.3">
      <c r="A236" s="82">
        <v>1386</v>
      </c>
      <c r="B236" s="84" t="s">
        <v>371</v>
      </c>
      <c r="C236" s="82" t="s">
        <v>18</v>
      </c>
      <c r="D236" s="79" t="s">
        <v>92</v>
      </c>
      <c r="E236" s="79"/>
      <c r="F236" s="79"/>
      <c r="G236" s="82"/>
      <c r="H236" s="82"/>
      <c r="I236" s="79" t="s">
        <v>160</v>
      </c>
    </row>
    <row r="237" spans="1:9" s="73" customFormat="1" ht="13.8" x14ac:dyDescent="0.3">
      <c r="A237" s="84">
        <v>1387</v>
      </c>
      <c r="B237" s="84" t="s">
        <v>372</v>
      </c>
      <c r="C237" s="78" t="s">
        <v>24</v>
      </c>
      <c r="D237" s="78" t="s">
        <v>86</v>
      </c>
      <c r="E237" s="78" t="s">
        <v>58</v>
      </c>
      <c r="F237" s="78" t="s">
        <v>231</v>
      </c>
      <c r="G237" s="78" t="s">
        <v>32</v>
      </c>
      <c r="H237" s="78" t="s">
        <v>59</v>
      </c>
      <c r="I237" s="78" t="s">
        <v>160</v>
      </c>
    </row>
    <row r="238" spans="1:9" s="73" customFormat="1" ht="13.8" x14ac:dyDescent="0.3">
      <c r="A238" s="84">
        <v>1388</v>
      </c>
      <c r="B238" s="84" t="s">
        <v>373</v>
      </c>
      <c r="C238" s="78" t="s">
        <v>4</v>
      </c>
      <c r="D238" s="78" t="s">
        <v>86</v>
      </c>
      <c r="E238" s="78" t="s">
        <v>55</v>
      </c>
      <c r="F238" s="78" t="s">
        <v>183</v>
      </c>
      <c r="G238" s="78" t="s">
        <v>64</v>
      </c>
      <c r="H238" s="78" t="s">
        <v>59</v>
      </c>
      <c r="I238" s="78" t="s">
        <v>160</v>
      </c>
    </row>
    <row r="239" spans="1:9" s="73" customFormat="1" ht="13.8" x14ac:dyDescent="0.3">
      <c r="A239" s="84">
        <v>1389</v>
      </c>
      <c r="B239" s="84" t="s">
        <v>69</v>
      </c>
      <c r="C239" s="84" t="s">
        <v>159</v>
      </c>
      <c r="D239" s="84" t="s">
        <v>86</v>
      </c>
      <c r="E239" s="78" t="s">
        <v>58</v>
      </c>
      <c r="F239" s="84" t="s">
        <v>88</v>
      </c>
      <c r="G239" s="78" t="s">
        <v>67</v>
      </c>
      <c r="H239" s="78" t="s">
        <v>71</v>
      </c>
      <c r="I239" s="78" t="s">
        <v>160</v>
      </c>
    </row>
    <row r="240" spans="1:9" s="73" customFormat="1" ht="13.8" x14ac:dyDescent="0.3">
      <c r="A240" s="81">
        <v>1390</v>
      </c>
      <c r="B240" s="84" t="s">
        <v>374</v>
      </c>
      <c r="C240" s="81" t="s">
        <v>11</v>
      </c>
      <c r="D240" s="81" t="s">
        <v>86</v>
      </c>
      <c r="E240" s="78" t="s">
        <v>58</v>
      </c>
      <c r="F240" s="78" t="s">
        <v>183</v>
      </c>
      <c r="G240" s="84" t="s">
        <v>34</v>
      </c>
      <c r="H240" s="78" t="s">
        <v>62</v>
      </c>
      <c r="I240" s="78" t="s">
        <v>160</v>
      </c>
    </row>
    <row r="241" spans="1:9" s="73" customFormat="1" ht="13.8" x14ac:dyDescent="0.3">
      <c r="A241" s="84">
        <v>1391</v>
      </c>
      <c r="B241" s="84" t="s">
        <v>375</v>
      </c>
      <c r="C241" s="78" t="s">
        <v>52</v>
      </c>
      <c r="D241" s="78" t="s">
        <v>86</v>
      </c>
      <c r="E241" s="78" t="s">
        <v>55</v>
      </c>
      <c r="F241" s="78" t="s">
        <v>231</v>
      </c>
      <c r="G241" s="78" t="s">
        <v>32</v>
      </c>
      <c r="H241" s="78" t="s">
        <v>59</v>
      </c>
      <c r="I241" s="78" t="s">
        <v>160</v>
      </c>
    </row>
    <row r="242" spans="1:9" s="73" customFormat="1" ht="13.8" x14ac:dyDescent="0.3">
      <c r="A242" s="84">
        <v>1392</v>
      </c>
      <c r="B242" s="84" t="s">
        <v>376</v>
      </c>
      <c r="C242" s="78" t="s">
        <v>56</v>
      </c>
      <c r="D242" s="78" t="s">
        <v>86</v>
      </c>
      <c r="E242" s="78" t="s">
        <v>55</v>
      </c>
      <c r="F242" s="78" t="s">
        <v>231</v>
      </c>
      <c r="G242" s="78" t="s">
        <v>32</v>
      </c>
      <c r="H242" s="78" t="s">
        <v>59</v>
      </c>
      <c r="I242" s="78" t="s">
        <v>160</v>
      </c>
    </row>
    <row r="243" spans="1:9" s="73" customFormat="1" ht="13.8" x14ac:dyDescent="0.3">
      <c r="A243" s="84">
        <v>1393</v>
      </c>
      <c r="B243" s="84" t="s">
        <v>377</v>
      </c>
      <c r="C243" s="84" t="s">
        <v>203</v>
      </c>
      <c r="D243" s="84" t="s">
        <v>86</v>
      </c>
      <c r="E243" s="78" t="s">
        <v>58</v>
      </c>
      <c r="F243" s="78" t="s">
        <v>195</v>
      </c>
      <c r="G243" s="84" t="s">
        <v>70</v>
      </c>
      <c r="H243" s="78" t="s">
        <v>68</v>
      </c>
      <c r="I243" s="78" t="s">
        <v>160</v>
      </c>
    </row>
    <row r="244" spans="1:9" s="73" customFormat="1" ht="13.8" x14ac:dyDescent="0.3">
      <c r="A244" s="84">
        <v>1394</v>
      </c>
      <c r="B244" s="84" t="s">
        <v>378</v>
      </c>
      <c r="C244" s="84" t="s">
        <v>18</v>
      </c>
      <c r="D244" s="84" t="s">
        <v>86</v>
      </c>
      <c r="E244" s="78" t="s">
        <v>58</v>
      </c>
      <c r="F244" s="78" t="s">
        <v>195</v>
      </c>
      <c r="G244" s="84" t="s">
        <v>65</v>
      </c>
      <c r="H244" s="78" t="s">
        <v>68</v>
      </c>
      <c r="I244" s="78" t="s">
        <v>160</v>
      </c>
    </row>
    <row r="245" spans="1:9" s="73" customFormat="1" ht="13.8" x14ac:dyDescent="0.3">
      <c r="A245" s="84">
        <v>1395</v>
      </c>
      <c r="B245" s="84" t="s">
        <v>379</v>
      </c>
      <c r="C245" s="78" t="s">
        <v>13</v>
      </c>
      <c r="D245" s="78" t="s">
        <v>86</v>
      </c>
      <c r="E245" s="78" t="s">
        <v>55</v>
      </c>
      <c r="F245" s="78" t="s">
        <v>231</v>
      </c>
      <c r="G245" s="78" t="s">
        <v>51</v>
      </c>
      <c r="H245" s="78" t="s">
        <v>62</v>
      </c>
      <c r="I245" s="78" t="s">
        <v>160</v>
      </c>
    </row>
    <row r="246" spans="1:9" s="73" customFormat="1" ht="13.8" x14ac:dyDescent="0.3">
      <c r="A246" s="84">
        <v>1396</v>
      </c>
      <c r="B246" s="84" t="s">
        <v>380</v>
      </c>
      <c r="C246" s="84" t="s">
        <v>52</v>
      </c>
      <c r="D246" s="84" t="s">
        <v>86</v>
      </c>
      <c r="E246" s="78" t="s">
        <v>57</v>
      </c>
      <c r="F246" s="78" t="s">
        <v>231</v>
      </c>
      <c r="G246" s="78" t="s">
        <v>32</v>
      </c>
      <c r="H246" s="78" t="s">
        <v>59</v>
      </c>
      <c r="I246" s="78" t="s">
        <v>160</v>
      </c>
    </row>
    <row r="247" spans="1:9" s="73" customFormat="1" ht="13.8" x14ac:dyDescent="0.3">
      <c r="A247" s="84">
        <v>1397</v>
      </c>
      <c r="B247" s="84" t="s">
        <v>381</v>
      </c>
      <c r="C247" s="78" t="s">
        <v>382</v>
      </c>
      <c r="D247" s="78" t="s">
        <v>86</v>
      </c>
      <c r="E247" s="78" t="s">
        <v>55</v>
      </c>
      <c r="F247" s="78" t="s">
        <v>228</v>
      </c>
      <c r="G247" s="78"/>
      <c r="H247" s="78" t="s">
        <v>62</v>
      </c>
      <c r="I247" s="78" t="s">
        <v>160</v>
      </c>
    </row>
    <row r="248" spans="1:9" s="73" customFormat="1" ht="13.8" x14ac:dyDescent="0.3">
      <c r="A248" s="84">
        <v>1398</v>
      </c>
      <c r="B248" s="84" t="s">
        <v>383</v>
      </c>
      <c r="C248" s="84" t="s">
        <v>42</v>
      </c>
      <c r="D248" s="84" t="s">
        <v>86</v>
      </c>
      <c r="E248" s="78" t="s">
        <v>58</v>
      </c>
      <c r="F248" s="78" t="s">
        <v>183</v>
      </c>
      <c r="G248" s="84" t="s">
        <v>51</v>
      </c>
      <c r="H248" s="78" t="s">
        <v>62</v>
      </c>
      <c r="I248" s="78" t="s">
        <v>160</v>
      </c>
    </row>
    <row r="249" spans="1:9" s="73" customFormat="1" ht="13.8" x14ac:dyDescent="0.3">
      <c r="A249" s="84">
        <v>1399</v>
      </c>
      <c r="B249" s="84" t="s">
        <v>384</v>
      </c>
      <c r="C249" s="84" t="s">
        <v>159</v>
      </c>
      <c r="D249" s="84" t="s">
        <v>86</v>
      </c>
      <c r="E249" s="78" t="s">
        <v>58</v>
      </c>
      <c r="F249" s="84" t="s">
        <v>88</v>
      </c>
      <c r="G249" s="78" t="s">
        <v>67</v>
      </c>
      <c r="H249" s="78" t="s">
        <v>71</v>
      </c>
      <c r="I249" s="78" t="s">
        <v>160</v>
      </c>
    </row>
    <row r="250" spans="1:9" s="74" customFormat="1" ht="13.8" x14ac:dyDescent="0.3">
      <c r="A250" s="84">
        <v>1400</v>
      </c>
      <c r="B250" s="84" t="s">
        <v>385</v>
      </c>
      <c r="C250" s="78" t="s">
        <v>4</v>
      </c>
      <c r="D250" s="78" t="s">
        <v>86</v>
      </c>
      <c r="E250" s="78" t="s">
        <v>55</v>
      </c>
      <c r="F250" s="78" t="s">
        <v>183</v>
      </c>
      <c r="G250" s="78" t="s">
        <v>64</v>
      </c>
      <c r="H250" s="78" t="s">
        <v>59</v>
      </c>
      <c r="I250" s="78" t="s">
        <v>160</v>
      </c>
    </row>
    <row r="251" spans="1:9" s="74" customFormat="1" ht="13.8" x14ac:dyDescent="0.3">
      <c r="A251" s="82">
        <v>1401</v>
      </c>
      <c r="B251" s="82" t="s">
        <v>386</v>
      </c>
      <c r="C251" s="82" t="s">
        <v>9</v>
      </c>
      <c r="D251" s="79" t="s">
        <v>92</v>
      </c>
      <c r="E251" s="82"/>
      <c r="F251" s="82"/>
      <c r="G251" s="82"/>
      <c r="H251" s="82"/>
      <c r="I251" s="79" t="s">
        <v>160</v>
      </c>
    </row>
    <row r="252" spans="1:9" s="74" customFormat="1" ht="13.8" x14ac:dyDescent="0.3">
      <c r="A252" s="82">
        <v>1402</v>
      </c>
      <c r="B252" s="82" t="s">
        <v>387</v>
      </c>
      <c r="C252" s="82" t="s">
        <v>9</v>
      </c>
      <c r="D252" s="79" t="s">
        <v>92</v>
      </c>
      <c r="E252" s="82"/>
      <c r="F252" s="82"/>
      <c r="G252" s="82"/>
      <c r="H252" s="82"/>
      <c r="I252" s="79" t="s">
        <v>160</v>
      </c>
    </row>
    <row r="253" spans="1:9" s="74" customFormat="1" ht="13.8" x14ac:dyDescent="0.3">
      <c r="A253" s="82">
        <v>1403</v>
      </c>
      <c r="B253" s="82" t="s">
        <v>388</v>
      </c>
      <c r="C253" s="82" t="s">
        <v>9</v>
      </c>
      <c r="D253" s="79" t="s">
        <v>92</v>
      </c>
      <c r="E253" s="82"/>
      <c r="F253" s="82"/>
      <c r="G253" s="82"/>
      <c r="H253" s="82"/>
      <c r="I253" s="79" t="s">
        <v>160</v>
      </c>
    </row>
    <row r="254" spans="1:9" s="74" customFormat="1" ht="13.8" x14ac:dyDescent="0.3">
      <c r="A254" s="82">
        <v>1404</v>
      </c>
      <c r="B254" s="82" t="s">
        <v>389</v>
      </c>
      <c r="C254" s="82" t="s">
        <v>9</v>
      </c>
      <c r="D254" s="79" t="s">
        <v>92</v>
      </c>
      <c r="E254" s="82"/>
      <c r="F254" s="82"/>
      <c r="G254" s="82"/>
      <c r="H254" s="82"/>
      <c r="I254" s="79" t="s">
        <v>160</v>
      </c>
    </row>
    <row r="255" spans="1:9" s="74" customFormat="1" ht="13.8" x14ac:dyDescent="0.3">
      <c r="A255" s="82">
        <v>1405</v>
      </c>
      <c r="B255" s="82" t="s">
        <v>390</v>
      </c>
      <c r="C255" s="82" t="s">
        <v>9</v>
      </c>
      <c r="D255" s="79" t="s">
        <v>92</v>
      </c>
      <c r="E255" s="82"/>
      <c r="F255" s="82"/>
      <c r="G255" s="82"/>
      <c r="H255" s="82"/>
      <c r="I255" s="79" t="s">
        <v>160</v>
      </c>
    </row>
    <row r="256" spans="1:9" s="74" customFormat="1" ht="13.8" x14ac:dyDescent="0.3">
      <c r="A256" s="82">
        <v>1407</v>
      </c>
      <c r="B256" s="82" t="s">
        <v>391</v>
      </c>
      <c r="C256" s="82" t="s">
        <v>9</v>
      </c>
      <c r="D256" s="79" t="s">
        <v>92</v>
      </c>
      <c r="E256" s="82"/>
      <c r="F256" s="82"/>
      <c r="G256" s="82"/>
      <c r="H256" s="82"/>
      <c r="I256" s="79" t="s">
        <v>160</v>
      </c>
    </row>
    <row r="257" spans="1:9" s="74" customFormat="1" ht="13.8" x14ac:dyDescent="0.3">
      <c r="A257" s="82">
        <v>1408</v>
      </c>
      <c r="B257" s="82" t="s">
        <v>392</v>
      </c>
      <c r="C257" s="82" t="s">
        <v>9</v>
      </c>
      <c r="D257" s="79" t="s">
        <v>92</v>
      </c>
      <c r="E257" s="82"/>
      <c r="F257" s="82"/>
      <c r="G257" s="82"/>
      <c r="H257" s="82"/>
      <c r="I257" s="79" t="s">
        <v>160</v>
      </c>
    </row>
    <row r="258" spans="1:9" s="74" customFormat="1" ht="13.8" x14ac:dyDescent="0.3">
      <c r="A258" s="82">
        <v>1409</v>
      </c>
      <c r="B258" s="82" t="s">
        <v>393</v>
      </c>
      <c r="C258" s="82" t="s">
        <v>9</v>
      </c>
      <c r="D258" s="79" t="s">
        <v>92</v>
      </c>
      <c r="E258" s="82"/>
      <c r="F258" s="82"/>
      <c r="G258" s="82"/>
      <c r="H258" s="82"/>
      <c r="I258" s="79" t="s">
        <v>160</v>
      </c>
    </row>
    <row r="259" spans="1:9" s="74" customFormat="1" ht="13.8" x14ac:dyDescent="0.3">
      <c r="A259" s="82">
        <v>1410</v>
      </c>
      <c r="B259" s="82" t="s">
        <v>394</v>
      </c>
      <c r="C259" s="82" t="s">
        <v>9</v>
      </c>
      <c r="D259" s="79" t="s">
        <v>92</v>
      </c>
      <c r="E259" s="82"/>
      <c r="F259" s="82"/>
      <c r="G259" s="82"/>
      <c r="H259" s="82"/>
      <c r="I259" s="79" t="s">
        <v>160</v>
      </c>
    </row>
    <row r="260" spans="1:9" s="74" customFormat="1" ht="13.8" x14ac:dyDescent="0.3">
      <c r="A260" s="82">
        <v>1411</v>
      </c>
      <c r="B260" s="82" t="s">
        <v>395</v>
      </c>
      <c r="C260" s="82" t="s">
        <v>396</v>
      </c>
      <c r="D260" s="79" t="s">
        <v>92</v>
      </c>
      <c r="E260" s="79"/>
      <c r="F260" s="79"/>
      <c r="G260" s="82"/>
      <c r="H260" s="82"/>
      <c r="I260" s="79" t="s">
        <v>160</v>
      </c>
    </row>
    <row r="261" spans="1:9" s="74" customFormat="1" ht="13.8" x14ac:dyDescent="0.3">
      <c r="A261" s="82">
        <v>1412</v>
      </c>
      <c r="B261" s="82" t="s">
        <v>397</v>
      </c>
      <c r="C261" s="82" t="s">
        <v>9</v>
      </c>
      <c r="D261" s="79" t="s">
        <v>92</v>
      </c>
      <c r="E261" s="82"/>
      <c r="F261" s="82"/>
      <c r="G261" s="82"/>
      <c r="H261" s="82"/>
      <c r="I261" s="79" t="s">
        <v>160</v>
      </c>
    </row>
    <row r="262" spans="1:9" s="74" customFormat="1" ht="13.8" x14ac:dyDescent="0.3">
      <c r="A262" s="82">
        <v>1413</v>
      </c>
      <c r="B262" s="82" t="s">
        <v>398</v>
      </c>
      <c r="C262" s="82" t="s">
        <v>399</v>
      </c>
      <c r="D262" s="79" t="s">
        <v>92</v>
      </c>
      <c r="E262" s="79"/>
      <c r="F262" s="79"/>
      <c r="G262" s="82"/>
      <c r="H262" s="82"/>
      <c r="I262" s="79" t="s">
        <v>160</v>
      </c>
    </row>
    <row r="263" spans="1:9" s="74" customFormat="1" ht="13.8" x14ac:dyDescent="0.3">
      <c r="A263" s="82">
        <v>1414</v>
      </c>
      <c r="B263" s="82" t="s">
        <v>400</v>
      </c>
      <c r="C263" s="82" t="s">
        <v>9</v>
      </c>
      <c r="D263" s="79" t="s">
        <v>92</v>
      </c>
      <c r="E263" s="82"/>
      <c r="F263" s="82"/>
      <c r="G263" s="82"/>
      <c r="H263" s="82"/>
      <c r="I263" s="79" t="s">
        <v>160</v>
      </c>
    </row>
    <row r="264" spans="1:9" s="74" customFormat="1" ht="13.8" x14ac:dyDescent="0.3">
      <c r="A264" s="82">
        <v>1415</v>
      </c>
      <c r="B264" s="82" t="s">
        <v>401</v>
      </c>
      <c r="C264" s="82" t="s">
        <v>9</v>
      </c>
      <c r="D264" s="79" t="s">
        <v>92</v>
      </c>
      <c r="E264" s="82"/>
      <c r="F264" s="82"/>
      <c r="G264" s="82"/>
      <c r="H264" s="82"/>
      <c r="I264" s="79" t="s">
        <v>160</v>
      </c>
    </row>
    <row r="265" spans="1:9" s="74" customFormat="1" ht="13.8" x14ac:dyDescent="0.3">
      <c r="A265" s="82">
        <v>1416</v>
      </c>
      <c r="B265" s="82" t="s">
        <v>402</v>
      </c>
      <c r="C265" s="82" t="s">
        <v>9</v>
      </c>
      <c r="D265" s="79" t="s">
        <v>92</v>
      </c>
      <c r="E265" s="82"/>
      <c r="F265" s="82"/>
      <c r="G265" s="82"/>
      <c r="H265" s="82"/>
      <c r="I265" s="79" t="s">
        <v>160</v>
      </c>
    </row>
    <row r="266" spans="1:9" s="74" customFormat="1" ht="13.8" x14ac:dyDescent="0.3">
      <c r="A266" s="82">
        <v>1417</v>
      </c>
      <c r="B266" s="82" t="s">
        <v>403</v>
      </c>
      <c r="C266" s="82" t="s">
        <v>9</v>
      </c>
      <c r="D266" s="79" t="s">
        <v>92</v>
      </c>
      <c r="E266" s="82"/>
      <c r="F266" s="82"/>
      <c r="G266" s="82"/>
      <c r="H266" s="82"/>
      <c r="I266" s="79" t="s">
        <v>160</v>
      </c>
    </row>
    <row r="267" spans="1:9" s="74" customFormat="1" ht="13.8" x14ac:dyDescent="0.3">
      <c r="A267" s="82">
        <v>1418</v>
      </c>
      <c r="B267" s="82" t="s">
        <v>404</v>
      </c>
      <c r="C267" s="82" t="s">
        <v>9</v>
      </c>
      <c r="D267" s="79" t="s">
        <v>92</v>
      </c>
      <c r="E267" s="82"/>
      <c r="F267" s="82"/>
      <c r="G267" s="82"/>
      <c r="H267" s="82"/>
      <c r="I267" s="79" t="s">
        <v>160</v>
      </c>
    </row>
    <row r="268" spans="1:9" s="74" customFormat="1" ht="13.8" x14ac:dyDescent="0.3">
      <c r="A268" s="82">
        <v>1419</v>
      </c>
      <c r="B268" s="82" t="s">
        <v>405</v>
      </c>
      <c r="C268" s="82" t="s">
        <v>406</v>
      </c>
      <c r="D268" s="79" t="s">
        <v>92</v>
      </c>
      <c r="E268" s="79"/>
      <c r="F268" s="79"/>
      <c r="G268" s="82"/>
      <c r="H268" s="82"/>
      <c r="I268" s="79" t="s">
        <v>160</v>
      </c>
    </row>
    <row r="269" spans="1:9" s="74" customFormat="1" ht="13.8" x14ac:dyDescent="0.3">
      <c r="A269" s="82">
        <v>1420</v>
      </c>
      <c r="B269" s="82" t="s">
        <v>407</v>
      </c>
      <c r="C269" s="82" t="s">
        <v>9</v>
      </c>
      <c r="D269" s="79" t="s">
        <v>92</v>
      </c>
      <c r="E269" s="82"/>
      <c r="F269" s="82"/>
      <c r="G269" s="82"/>
      <c r="H269" s="82"/>
      <c r="I269" s="79" t="s">
        <v>160</v>
      </c>
    </row>
    <row r="270" spans="1:9" s="74" customFormat="1" ht="13.8" x14ac:dyDescent="0.3">
      <c r="A270" s="82">
        <v>1421</v>
      </c>
      <c r="B270" s="82" t="s">
        <v>408</v>
      </c>
      <c r="C270" s="82" t="s">
        <v>9</v>
      </c>
      <c r="D270" s="79" t="s">
        <v>92</v>
      </c>
      <c r="E270" s="82"/>
      <c r="F270" s="82"/>
      <c r="G270" s="82"/>
      <c r="H270" s="82"/>
      <c r="I270" s="79" t="s">
        <v>160</v>
      </c>
    </row>
    <row r="271" spans="1:9" s="74" customFormat="1" ht="13.8" x14ac:dyDescent="0.3">
      <c r="A271" s="82">
        <v>1422</v>
      </c>
      <c r="B271" s="82" t="s">
        <v>409</v>
      </c>
      <c r="C271" s="82" t="s">
        <v>9</v>
      </c>
      <c r="D271" s="79" t="s">
        <v>92</v>
      </c>
      <c r="E271" s="82"/>
      <c r="F271" s="82"/>
      <c r="G271" s="82"/>
      <c r="H271" s="82"/>
      <c r="I271" s="79" t="s">
        <v>160</v>
      </c>
    </row>
    <row r="272" spans="1:9" s="74" customFormat="1" ht="13.8" x14ac:dyDescent="0.3">
      <c r="A272" s="82">
        <v>1423</v>
      </c>
      <c r="B272" s="82" t="s">
        <v>410</v>
      </c>
      <c r="C272" s="82" t="s">
        <v>411</v>
      </c>
      <c r="D272" s="79" t="s">
        <v>92</v>
      </c>
      <c r="E272" s="79" t="s">
        <v>55</v>
      </c>
      <c r="F272" s="79" t="s">
        <v>231</v>
      </c>
      <c r="G272" s="82"/>
      <c r="H272" s="82"/>
      <c r="I272" s="79" t="s">
        <v>160</v>
      </c>
    </row>
    <row r="273" spans="1:9" s="74" customFormat="1" ht="13.8" x14ac:dyDescent="0.3">
      <c r="A273" s="82">
        <v>1424</v>
      </c>
      <c r="B273" s="82" t="s">
        <v>412</v>
      </c>
      <c r="C273" s="82" t="s">
        <v>413</v>
      </c>
      <c r="D273" s="79" t="s">
        <v>92</v>
      </c>
      <c r="E273" s="79"/>
      <c r="F273" s="79"/>
      <c r="G273" s="82"/>
      <c r="H273" s="82"/>
      <c r="I273" s="79" t="s">
        <v>160</v>
      </c>
    </row>
    <row r="274" spans="1:9" s="73" customFormat="1" ht="13.8" x14ac:dyDescent="0.3">
      <c r="A274" s="82">
        <v>1425</v>
      </c>
      <c r="B274" s="82" t="s">
        <v>414</v>
      </c>
      <c r="C274" s="82" t="s">
        <v>9</v>
      </c>
      <c r="D274" s="79" t="s">
        <v>92</v>
      </c>
      <c r="E274" s="82"/>
      <c r="F274" s="82"/>
      <c r="G274" s="82"/>
      <c r="H274" s="82"/>
      <c r="I274" s="79" t="s">
        <v>160</v>
      </c>
    </row>
    <row r="275" spans="1:9" s="74" customFormat="1" ht="13.8" x14ac:dyDescent="0.3">
      <c r="A275" s="84">
        <v>1426</v>
      </c>
      <c r="B275" s="84" t="s">
        <v>415</v>
      </c>
      <c r="C275" s="84" t="s">
        <v>416</v>
      </c>
      <c r="D275" s="84" t="s">
        <v>86</v>
      </c>
      <c r="E275" s="78" t="s">
        <v>55</v>
      </c>
      <c r="F275" s="78" t="s">
        <v>231</v>
      </c>
      <c r="G275" s="84" t="s">
        <v>60</v>
      </c>
      <c r="H275" s="78" t="s">
        <v>72</v>
      </c>
      <c r="I275" s="78" t="s">
        <v>160</v>
      </c>
    </row>
    <row r="276" spans="1:9" s="74" customFormat="1" ht="13.8" x14ac:dyDescent="0.3">
      <c r="A276" s="82">
        <v>1427</v>
      </c>
      <c r="B276" s="82" t="s">
        <v>417</v>
      </c>
      <c r="C276" s="82" t="s">
        <v>9</v>
      </c>
      <c r="D276" s="79" t="s">
        <v>92</v>
      </c>
      <c r="E276" s="82"/>
      <c r="F276" s="82"/>
      <c r="G276" s="82"/>
      <c r="H276" s="82"/>
      <c r="I276" s="79" t="s">
        <v>160</v>
      </c>
    </row>
    <row r="277" spans="1:9" s="74" customFormat="1" ht="13.8" x14ac:dyDescent="0.3">
      <c r="A277" s="82">
        <v>1428</v>
      </c>
      <c r="B277" s="82" t="s">
        <v>418</v>
      </c>
      <c r="C277" s="82" t="s">
        <v>419</v>
      </c>
      <c r="D277" s="79" t="s">
        <v>92</v>
      </c>
      <c r="E277" s="79"/>
      <c r="F277" s="79"/>
      <c r="G277" s="82"/>
      <c r="H277" s="82"/>
      <c r="I277" s="79" t="s">
        <v>160</v>
      </c>
    </row>
    <row r="278" spans="1:9" s="74" customFormat="1" ht="13.8" x14ac:dyDescent="0.3">
      <c r="A278" s="82">
        <v>1429</v>
      </c>
      <c r="B278" s="82" t="s">
        <v>420</v>
      </c>
      <c r="C278" s="82" t="s">
        <v>35</v>
      </c>
      <c r="D278" s="79" t="s">
        <v>92</v>
      </c>
      <c r="E278" s="79"/>
      <c r="F278" s="79"/>
      <c r="G278" s="82"/>
      <c r="H278" s="82"/>
      <c r="I278" s="79" t="s">
        <v>160</v>
      </c>
    </row>
    <row r="279" spans="1:9" s="73" customFormat="1" ht="13.8" x14ac:dyDescent="0.3">
      <c r="A279" s="82">
        <v>1430</v>
      </c>
      <c r="B279" s="82" t="s">
        <v>421</v>
      </c>
      <c r="C279" s="82" t="s">
        <v>337</v>
      </c>
      <c r="D279" s="79" t="s">
        <v>92</v>
      </c>
      <c r="E279" s="79"/>
      <c r="F279" s="79"/>
      <c r="G279" s="82"/>
      <c r="H279" s="82"/>
      <c r="I279" s="79" t="s">
        <v>160</v>
      </c>
    </row>
    <row r="280" spans="1:9" s="74" customFormat="1" ht="13.8" x14ac:dyDescent="0.3">
      <c r="A280" s="84">
        <v>1431</v>
      </c>
      <c r="B280" s="84" t="s">
        <v>422</v>
      </c>
      <c r="C280" s="84" t="s">
        <v>159</v>
      </c>
      <c r="D280" s="84" t="s">
        <v>86</v>
      </c>
      <c r="E280" s="78" t="s">
        <v>55</v>
      </c>
      <c r="F280" s="84" t="s">
        <v>88</v>
      </c>
      <c r="G280" s="78" t="s">
        <v>138</v>
      </c>
      <c r="H280" s="78" t="s">
        <v>71</v>
      </c>
      <c r="I280" s="78" t="s">
        <v>160</v>
      </c>
    </row>
    <row r="281" spans="1:9" s="73" customFormat="1" ht="13.8" x14ac:dyDescent="0.3">
      <c r="A281" s="82">
        <v>1432</v>
      </c>
      <c r="B281" s="82" t="s">
        <v>423</v>
      </c>
      <c r="C281" s="82" t="s">
        <v>9</v>
      </c>
      <c r="D281" s="79" t="s">
        <v>92</v>
      </c>
      <c r="E281" s="82"/>
      <c r="F281" s="82"/>
      <c r="G281" s="82"/>
      <c r="H281" s="82"/>
      <c r="I281" s="79" t="s">
        <v>160</v>
      </c>
    </row>
    <row r="282" spans="1:9" s="74" customFormat="1" ht="13.8" x14ac:dyDescent="0.3">
      <c r="A282" s="84">
        <v>1433</v>
      </c>
      <c r="B282" s="84" t="s">
        <v>424</v>
      </c>
      <c r="C282" s="84" t="s">
        <v>176</v>
      </c>
      <c r="D282" s="84" t="s">
        <v>86</v>
      </c>
      <c r="E282" s="78" t="s">
        <v>58</v>
      </c>
      <c r="F282" s="78" t="s">
        <v>195</v>
      </c>
      <c r="G282" s="84" t="s">
        <v>66</v>
      </c>
      <c r="H282" s="78" t="s">
        <v>62</v>
      </c>
      <c r="I282" s="78" t="s">
        <v>160</v>
      </c>
    </row>
    <row r="283" spans="1:9" s="74" customFormat="1" ht="13.8" x14ac:dyDescent="0.3">
      <c r="A283" s="82">
        <v>1434</v>
      </c>
      <c r="B283" s="82" t="s">
        <v>425</v>
      </c>
      <c r="C283" s="82" t="s">
        <v>189</v>
      </c>
      <c r="D283" s="79" t="s">
        <v>92</v>
      </c>
      <c r="E283" s="79"/>
      <c r="F283" s="79"/>
      <c r="G283" s="82"/>
      <c r="H283" s="82"/>
      <c r="I283" s="79" t="s">
        <v>160</v>
      </c>
    </row>
    <row r="284" spans="1:9" s="74" customFormat="1" ht="13.8" x14ac:dyDescent="0.3">
      <c r="A284" s="82">
        <v>1435</v>
      </c>
      <c r="B284" s="82" t="s">
        <v>426</v>
      </c>
      <c r="C284" s="82" t="s">
        <v>427</v>
      </c>
      <c r="D284" s="79" t="s">
        <v>92</v>
      </c>
      <c r="E284" s="79"/>
      <c r="F284" s="79"/>
      <c r="G284" s="79"/>
      <c r="H284" s="82"/>
      <c r="I284" s="79" t="s">
        <v>160</v>
      </c>
    </row>
    <row r="285" spans="1:9" s="74" customFormat="1" ht="13.8" x14ac:dyDescent="0.3">
      <c r="A285" s="82">
        <v>1436</v>
      </c>
      <c r="B285" s="82" t="s">
        <v>428</v>
      </c>
      <c r="C285" s="82" t="s">
        <v>189</v>
      </c>
      <c r="D285" s="79" t="s">
        <v>92</v>
      </c>
      <c r="E285" s="79"/>
      <c r="F285" s="79"/>
      <c r="G285" s="82"/>
      <c r="H285" s="82"/>
      <c r="I285" s="79" t="s">
        <v>160</v>
      </c>
    </row>
    <row r="286" spans="1:9" s="74" customFormat="1" ht="13.8" x14ac:dyDescent="0.3">
      <c r="A286" s="82">
        <v>1437</v>
      </c>
      <c r="B286" s="82" t="s">
        <v>429</v>
      </c>
      <c r="C286" s="82" t="s">
        <v>430</v>
      </c>
      <c r="D286" s="79" t="s">
        <v>92</v>
      </c>
      <c r="E286" s="79"/>
      <c r="F286" s="79"/>
      <c r="G286" s="82"/>
      <c r="H286" s="82"/>
      <c r="I286" s="79" t="s">
        <v>160</v>
      </c>
    </row>
    <row r="287" spans="1:9" s="74" customFormat="1" ht="13.8" x14ac:dyDescent="0.3">
      <c r="A287" s="82">
        <v>1438</v>
      </c>
      <c r="B287" s="82" t="s">
        <v>431</v>
      </c>
      <c r="C287" s="82" t="s">
        <v>189</v>
      </c>
      <c r="D287" s="79" t="s">
        <v>92</v>
      </c>
      <c r="E287" s="79"/>
      <c r="F287" s="79"/>
      <c r="G287" s="82"/>
      <c r="H287" s="82"/>
      <c r="I287" s="79" t="s">
        <v>160</v>
      </c>
    </row>
    <row r="288" spans="1:9" s="74" customFormat="1" ht="13.8" x14ac:dyDescent="0.3">
      <c r="A288" s="82">
        <v>1439</v>
      </c>
      <c r="B288" s="82" t="s">
        <v>432</v>
      </c>
      <c r="C288" s="82" t="s">
        <v>8</v>
      </c>
      <c r="D288" s="79" t="s">
        <v>92</v>
      </c>
      <c r="E288" s="79"/>
      <c r="F288" s="79"/>
      <c r="G288" s="82"/>
      <c r="H288" s="82"/>
      <c r="I288" s="79" t="s">
        <v>160</v>
      </c>
    </row>
    <row r="289" spans="1:9" s="18" customFormat="1" x14ac:dyDescent="0.3">
      <c r="A289" s="82">
        <v>1440</v>
      </c>
      <c r="B289" s="82" t="s">
        <v>433</v>
      </c>
      <c r="C289" s="82" t="s">
        <v>434</v>
      </c>
      <c r="D289" s="79" t="s">
        <v>92</v>
      </c>
      <c r="E289" s="79"/>
      <c r="F289" s="79"/>
      <c r="G289" s="82"/>
      <c r="H289" s="82"/>
      <c r="I289" s="79" t="s">
        <v>160</v>
      </c>
    </row>
    <row r="290" spans="1:9" s="74" customFormat="1" ht="13.8" x14ac:dyDescent="0.3">
      <c r="A290" s="82">
        <v>1441</v>
      </c>
      <c r="B290" s="82" t="s">
        <v>435</v>
      </c>
      <c r="C290" s="82" t="s">
        <v>41</v>
      </c>
      <c r="D290" s="78" t="s">
        <v>92</v>
      </c>
      <c r="E290" s="78"/>
      <c r="F290" s="78"/>
      <c r="G290" s="79"/>
      <c r="H290" s="78"/>
      <c r="I290" s="78" t="s">
        <v>160</v>
      </c>
    </row>
    <row r="291" spans="1:9" s="74" customFormat="1" ht="13.8" x14ac:dyDescent="0.3">
      <c r="A291" s="82">
        <v>1442</v>
      </c>
      <c r="B291" s="82" t="s">
        <v>436</v>
      </c>
      <c r="C291" s="82" t="s">
        <v>437</v>
      </c>
      <c r="D291" s="79" t="s">
        <v>92</v>
      </c>
      <c r="E291" s="79"/>
      <c r="F291" s="79"/>
      <c r="G291" s="82"/>
      <c r="H291" s="82"/>
      <c r="I291" s="79" t="s">
        <v>160</v>
      </c>
    </row>
    <row r="292" spans="1:9" s="74" customFormat="1" ht="13.8" x14ac:dyDescent="0.3">
      <c r="A292" s="82">
        <v>1443</v>
      </c>
      <c r="B292" s="82" t="s">
        <v>438</v>
      </c>
      <c r="C292" s="82" t="s">
        <v>439</v>
      </c>
      <c r="D292" s="79" t="s">
        <v>92</v>
      </c>
      <c r="E292" s="79"/>
      <c r="F292" s="79"/>
      <c r="G292" s="82"/>
      <c r="H292" s="82"/>
      <c r="I292" s="79" t="s">
        <v>160</v>
      </c>
    </row>
    <row r="293" spans="1:9" s="74" customFormat="1" ht="13.8" x14ac:dyDescent="0.3">
      <c r="A293" s="82">
        <v>1444</v>
      </c>
      <c r="B293" s="82" t="s">
        <v>440</v>
      </c>
      <c r="C293" s="82" t="s">
        <v>441</v>
      </c>
      <c r="D293" s="79" t="s">
        <v>92</v>
      </c>
      <c r="E293" s="79"/>
      <c r="F293" s="79"/>
      <c r="G293" s="82"/>
      <c r="H293" s="82"/>
      <c r="I293" s="79" t="s">
        <v>160</v>
      </c>
    </row>
    <row r="294" spans="1:9" s="74" customFormat="1" ht="13.8" x14ac:dyDescent="0.3">
      <c r="A294" s="82">
        <v>1445</v>
      </c>
      <c r="B294" s="82" t="s">
        <v>442</v>
      </c>
      <c r="C294" s="82" t="s">
        <v>443</v>
      </c>
      <c r="D294" s="79" t="s">
        <v>92</v>
      </c>
      <c r="E294" s="82"/>
      <c r="F294" s="79"/>
      <c r="G294" s="82"/>
      <c r="H294" s="82"/>
      <c r="I294" s="79" t="s">
        <v>160</v>
      </c>
    </row>
    <row r="295" spans="1:9" s="73" customFormat="1" ht="13.8" x14ac:dyDescent="0.3">
      <c r="A295" s="82">
        <v>1446</v>
      </c>
      <c r="B295" s="82" t="s">
        <v>444</v>
      </c>
      <c r="C295" s="82" t="s">
        <v>445</v>
      </c>
      <c r="D295" s="79" t="s">
        <v>92</v>
      </c>
      <c r="E295" s="79"/>
      <c r="F295" s="79"/>
      <c r="G295" s="82"/>
      <c r="H295" s="82"/>
      <c r="I295" s="79" t="s">
        <v>160</v>
      </c>
    </row>
    <row r="296" spans="1:9" s="73" customFormat="1" ht="13.8" x14ac:dyDescent="0.3">
      <c r="A296" s="84">
        <v>1447</v>
      </c>
      <c r="B296" s="84" t="s">
        <v>446</v>
      </c>
      <c r="C296" s="84" t="s">
        <v>159</v>
      </c>
      <c r="D296" s="84" t="s">
        <v>86</v>
      </c>
      <c r="E296" s="78" t="s">
        <v>55</v>
      </c>
      <c r="F296" s="84" t="s">
        <v>88</v>
      </c>
      <c r="G296" s="78" t="s">
        <v>138</v>
      </c>
      <c r="H296" s="78" t="s">
        <v>71</v>
      </c>
      <c r="I296" s="78" t="s">
        <v>160</v>
      </c>
    </row>
    <row r="297" spans="1:9" s="73" customFormat="1" ht="13.8" x14ac:dyDescent="0.3">
      <c r="A297" s="84">
        <v>1448</v>
      </c>
      <c r="B297" s="84" t="s">
        <v>447</v>
      </c>
      <c r="C297" s="84" t="s">
        <v>159</v>
      </c>
      <c r="D297" s="84" t="s">
        <v>86</v>
      </c>
      <c r="E297" s="78" t="s">
        <v>55</v>
      </c>
      <c r="F297" s="84" t="s">
        <v>88</v>
      </c>
      <c r="G297" s="78" t="s">
        <v>138</v>
      </c>
      <c r="H297" s="78" t="s">
        <v>71</v>
      </c>
      <c r="I297" s="78" t="s">
        <v>160</v>
      </c>
    </row>
    <row r="298" spans="1:9" s="73" customFormat="1" ht="13.8" x14ac:dyDescent="0.3">
      <c r="A298" s="84">
        <v>1449</v>
      </c>
      <c r="B298" s="84" t="s">
        <v>448</v>
      </c>
      <c r="C298" s="84" t="s">
        <v>159</v>
      </c>
      <c r="D298" s="84" t="s">
        <v>86</v>
      </c>
      <c r="E298" s="78" t="s">
        <v>58</v>
      </c>
      <c r="F298" s="84" t="s">
        <v>88</v>
      </c>
      <c r="G298" s="78" t="s">
        <v>67</v>
      </c>
      <c r="H298" s="78" t="s">
        <v>71</v>
      </c>
      <c r="I298" s="78" t="s">
        <v>160</v>
      </c>
    </row>
    <row r="299" spans="1:9" s="74" customFormat="1" ht="13.8" x14ac:dyDescent="0.3">
      <c r="A299" s="84">
        <v>1450</v>
      </c>
      <c r="B299" s="84" t="s">
        <v>449</v>
      </c>
      <c r="C299" s="84" t="s">
        <v>159</v>
      </c>
      <c r="D299" s="84" t="s">
        <v>86</v>
      </c>
      <c r="E299" s="78" t="s">
        <v>58</v>
      </c>
      <c r="F299" s="84" t="s">
        <v>88</v>
      </c>
      <c r="G299" s="78" t="s">
        <v>67</v>
      </c>
      <c r="H299" s="78" t="s">
        <v>71</v>
      </c>
      <c r="I299" s="78" t="s">
        <v>160</v>
      </c>
    </row>
    <row r="300" spans="1:9" s="73" customFormat="1" ht="13.8" x14ac:dyDescent="0.3">
      <c r="A300" s="82">
        <v>1451</v>
      </c>
      <c r="B300" s="82" t="s">
        <v>450</v>
      </c>
      <c r="C300" s="82" t="s">
        <v>451</v>
      </c>
      <c r="D300" s="79" t="s">
        <v>92</v>
      </c>
      <c r="E300" s="79"/>
      <c r="F300" s="79"/>
      <c r="G300" s="82"/>
      <c r="H300" s="82"/>
      <c r="I300" s="79" t="s">
        <v>160</v>
      </c>
    </row>
    <row r="301" spans="1:9" s="73" customFormat="1" ht="13.8" x14ac:dyDescent="0.3">
      <c r="A301" s="84">
        <v>1452</v>
      </c>
      <c r="B301" s="84" t="s">
        <v>452</v>
      </c>
      <c r="C301" s="84" t="s">
        <v>159</v>
      </c>
      <c r="D301" s="84" t="s">
        <v>86</v>
      </c>
      <c r="E301" s="78" t="s">
        <v>57</v>
      </c>
      <c r="F301" s="84" t="s">
        <v>88</v>
      </c>
      <c r="G301" s="78" t="s">
        <v>77</v>
      </c>
      <c r="H301" s="78" t="s">
        <v>71</v>
      </c>
      <c r="I301" s="78" t="s">
        <v>160</v>
      </c>
    </row>
    <row r="302" spans="1:9" s="74" customFormat="1" ht="13.8" x14ac:dyDescent="0.3">
      <c r="A302" s="84">
        <v>1453</v>
      </c>
      <c r="B302" s="84" t="s">
        <v>453</v>
      </c>
      <c r="C302" s="84" t="s">
        <v>159</v>
      </c>
      <c r="D302" s="84" t="s">
        <v>86</v>
      </c>
      <c r="E302" s="78" t="s">
        <v>57</v>
      </c>
      <c r="F302" s="84" t="s">
        <v>88</v>
      </c>
      <c r="G302" s="78" t="s">
        <v>77</v>
      </c>
      <c r="H302" s="78" t="s">
        <v>71</v>
      </c>
      <c r="I302" s="78" t="s">
        <v>160</v>
      </c>
    </row>
    <row r="303" spans="1:9" s="73" customFormat="1" ht="13.8" x14ac:dyDescent="0.3">
      <c r="A303" s="82">
        <v>1454</v>
      </c>
      <c r="B303" s="82" t="s">
        <v>454</v>
      </c>
      <c r="C303" s="82" t="s">
        <v>189</v>
      </c>
      <c r="D303" s="79" t="s">
        <v>92</v>
      </c>
      <c r="E303" s="79"/>
      <c r="F303" s="79"/>
      <c r="G303" s="82"/>
      <c r="H303" s="82"/>
      <c r="I303" s="79" t="s">
        <v>160</v>
      </c>
    </row>
    <row r="304" spans="1:9" s="74" customFormat="1" ht="13.8" x14ac:dyDescent="0.3">
      <c r="A304" s="84">
        <v>1455</v>
      </c>
      <c r="B304" s="84" t="s">
        <v>455</v>
      </c>
      <c r="C304" s="84" t="s">
        <v>31</v>
      </c>
      <c r="D304" s="84" t="s">
        <v>86</v>
      </c>
      <c r="E304" s="78" t="s">
        <v>58</v>
      </c>
      <c r="F304" s="78" t="s">
        <v>228</v>
      </c>
      <c r="G304" s="84" t="s">
        <v>70</v>
      </c>
      <c r="H304" s="78" t="s">
        <v>68</v>
      </c>
      <c r="I304" s="78" t="s">
        <v>160</v>
      </c>
    </row>
    <row r="305" spans="1:9" s="74" customFormat="1" ht="13.8" x14ac:dyDescent="0.3">
      <c r="A305" s="82">
        <v>1456</v>
      </c>
      <c r="B305" s="82" t="s">
        <v>456</v>
      </c>
      <c r="C305" s="82" t="s">
        <v>451</v>
      </c>
      <c r="D305" s="79" t="s">
        <v>92</v>
      </c>
      <c r="E305" s="79"/>
      <c r="F305" s="79"/>
      <c r="G305" s="82"/>
      <c r="H305" s="82"/>
      <c r="I305" s="79" t="s">
        <v>160</v>
      </c>
    </row>
    <row r="306" spans="1:9" s="73" customFormat="1" ht="13.8" x14ac:dyDescent="0.3">
      <c r="A306" s="82">
        <v>1457</v>
      </c>
      <c r="B306" s="82" t="s">
        <v>457</v>
      </c>
      <c r="C306" s="82" t="s">
        <v>458</v>
      </c>
      <c r="D306" s="79" t="s">
        <v>92</v>
      </c>
      <c r="E306" s="79"/>
      <c r="F306" s="79"/>
      <c r="G306" s="82"/>
      <c r="H306" s="82"/>
      <c r="I306" s="79" t="s">
        <v>160</v>
      </c>
    </row>
    <row r="307" spans="1:9" s="74" customFormat="1" ht="13.8" x14ac:dyDescent="0.3">
      <c r="A307" s="84">
        <v>1458</v>
      </c>
      <c r="B307" s="84" t="s">
        <v>459</v>
      </c>
      <c r="C307" s="78" t="s">
        <v>13</v>
      </c>
      <c r="D307" s="78" t="s">
        <v>86</v>
      </c>
      <c r="E307" s="78" t="s">
        <v>57</v>
      </c>
      <c r="F307" s="78" t="s">
        <v>231</v>
      </c>
      <c r="G307" s="78" t="s">
        <v>51</v>
      </c>
      <c r="H307" s="78" t="s">
        <v>62</v>
      </c>
      <c r="I307" s="78" t="s">
        <v>160</v>
      </c>
    </row>
    <row r="308" spans="1:9" s="74" customFormat="1" ht="13.8" x14ac:dyDescent="0.3">
      <c r="A308" s="82">
        <v>1459</v>
      </c>
      <c r="B308" s="82" t="s">
        <v>460</v>
      </c>
      <c r="C308" s="82" t="s">
        <v>461</v>
      </c>
      <c r="D308" s="79" t="s">
        <v>92</v>
      </c>
      <c r="E308" s="79"/>
      <c r="F308" s="79"/>
      <c r="G308" s="82"/>
      <c r="H308" s="82"/>
      <c r="I308" s="79" t="s">
        <v>160</v>
      </c>
    </row>
    <row r="309" spans="1:9" s="18" customFormat="1" x14ac:dyDescent="0.3">
      <c r="A309" s="82">
        <v>1460</v>
      </c>
      <c r="B309" s="82" t="s">
        <v>462</v>
      </c>
      <c r="C309" s="82" t="s">
        <v>43</v>
      </c>
      <c r="D309" s="79" t="s">
        <v>92</v>
      </c>
      <c r="E309" s="79"/>
      <c r="F309" s="79"/>
      <c r="G309" s="79"/>
      <c r="H309" s="82"/>
      <c r="I309" s="79" t="s">
        <v>160</v>
      </c>
    </row>
    <row r="310" spans="1:9" s="73" customFormat="1" ht="13.8" x14ac:dyDescent="0.3">
      <c r="A310" s="82">
        <v>1461</v>
      </c>
      <c r="B310" s="82" t="s">
        <v>463</v>
      </c>
      <c r="C310" s="82" t="s">
        <v>464</v>
      </c>
      <c r="D310" s="78" t="s">
        <v>92</v>
      </c>
      <c r="E310" s="78"/>
      <c r="F310" s="78"/>
      <c r="G310" s="79"/>
      <c r="H310" s="78"/>
      <c r="I310" s="78" t="s">
        <v>160</v>
      </c>
    </row>
    <row r="311" spans="1:9" s="18" customFormat="1" x14ac:dyDescent="0.3">
      <c r="A311" s="84">
        <v>1462</v>
      </c>
      <c r="B311" s="84" t="s">
        <v>465</v>
      </c>
      <c r="C311" s="84" t="s">
        <v>42</v>
      </c>
      <c r="D311" s="84" t="s">
        <v>86</v>
      </c>
      <c r="E311" s="78" t="s">
        <v>58</v>
      </c>
      <c r="F311" s="78" t="s">
        <v>183</v>
      </c>
      <c r="G311" s="78" t="s">
        <v>67</v>
      </c>
      <c r="H311" s="78" t="s">
        <v>62</v>
      </c>
      <c r="I311" s="78" t="s">
        <v>160</v>
      </c>
    </row>
    <row r="312" spans="1:9" s="18" customFormat="1" x14ac:dyDescent="0.3">
      <c r="A312" s="82">
        <v>1463</v>
      </c>
      <c r="B312" s="82" t="s">
        <v>466</v>
      </c>
      <c r="C312" s="82" t="s">
        <v>464</v>
      </c>
      <c r="D312" s="78" t="s">
        <v>92</v>
      </c>
      <c r="E312" s="78"/>
      <c r="F312" s="78"/>
      <c r="G312" s="79"/>
      <c r="H312" s="78"/>
      <c r="I312" s="78" t="s">
        <v>160</v>
      </c>
    </row>
    <row r="313" spans="1:9" s="75" customFormat="1" x14ac:dyDescent="0.3">
      <c r="A313" s="82">
        <v>1464</v>
      </c>
      <c r="B313" s="82" t="s">
        <v>467</v>
      </c>
      <c r="C313" s="82" t="s">
        <v>464</v>
      </c>
      <c r="D313" s="78" t="s">
        <v>92</v>
      </c>
      <c r="E313" s="78"/>
      <c r="F313" s="78"/>
      <c r="G313" s="79"/>
      <c r="H313" s="78"/>
      <c r="I313" s="78" t="s">
        <v>160</v>
      </c>
    </row>
    <row r="314" spans="1:9" s="73" customFormat="1" ht="13.8" x14ac:dyDescent="0.3">
      <c r="A314" s="82">
        <v>1465</v>
      </c>
      <c r="B314" s="82" t="s">
        <v>468</v>
      </c>
      <c r="C314" s="79" t="s">
        <v>464</v>
      </c>
      <c r="D314" s="79" t="s">
        <v>92</v>
      </c>
      <c r="E314" s="79" t="s">
        <v>55</v>
      </c>
      <c r="F314" s="79" t="s">
        <v>231</v>
      </c>
      <c r="G314" s="79" t="s">
        <v>51</v>
      </c>
      <c r="H314" s="79" t="s">
        <v>62</v>
      </c>
      <c r="I314" s="79" t="s">
        <v>160</v>
      </c>
    </row>
    <row r="315" spans="1:9" s="18" customFormat="1" x14ac:dyDescent="0.3">
      <c r="A315" s="84">
        <v>1466</v>
      </c>
      <c r="B315" s="84" t="s">
        <v>469</v>
      </c>
      <c r="C315" s="78" t="s">
        <v>13</v>
      </c>
      <c r="D315" s="78" t="s">
        <v>86</v>
      </c>
      <c r="E315" s="78" t="s">
        <v>57</v>
      </c>
      <c r="F315" s="78" t="s">
        <v>231</v>
      </c>
      <c r="G315" s="78" t="s">
        <v>51</v>
      </c>
      <c r="H315" s="78" t="s">
        <v>62</v>
      </c>
      <c r="I315" s="78" t="s">
        <v>160</v>
      </c>
    </row>
    <row r="316" spans="1:9" s="74" customFormat="1" ht="13.8" x14ac:dyDescent="0.3">
      <c r="A316" s="82">
        <v>1467</v>
      </c>
      <c r="B316" s="82" t="s">
        <v>470</v>
      </c>
      <c r="C316" s="82" t="s">
        <v>471</v>
      </c>
      <c r="D316" s="78" t="s">
        <v>92</v>
      </c>
      <c r="E316" s="78"/>
      <c r="F316" s="78"/>
      <c r="G316" s="79"/>
      <c r="H316" s="78"/>
      <c r="I316" s="78" t="s">
        <v>160</v>
      </c>
    </row>
    <row r="317" spans="1:9" s="73" customFormat="1" ht="13.8" x14ac:dyDescent="0.3">
      <c r="A317" s="82">
        <v>1468</v>
      </c>
      <c r="B317" s="82" t="s">
        <v>472</v>
      </c>
      <c r="C317" s="82" t="s">
        <v>43</v>
      </c>
      <c r="D317" s="79" t="s">
        <v>92</v>
      </c>
      <c r="E317" s="79" t="s">
        <v>57</v>
      </c>
      <c r="F317" s="79" t="s">
        <v>228</v>
      </c>
      <c r="G317" s="82"/>
      <c r="H317" s="82"/>
      <c r="I317" s="79" t="s">
        <v>160</v>
      </c>
    </row>
    <row r="318" spans="1:9" s="73" customFormat="1" ht="13.8" x14ac:dyDescent="0.3">
      <c r="A318" s="84">
        <v>1469</v>
      </c>
      <c r="B318" s="84" t="s">
        <v>473</v>
      </c>
      <c r="C318" s="84" t="s">
        <v>474</v>
      </c>
      <c r="D318" s="84" t="s">
        <v>86</v>
      </c>
      <c r="E318" s="78" t="s">
        <v>58</v>
      </c>
      <c r="F318" s="78" t="s">
        <v>195</v>
      </c>
      <c r="G318" s="78" t="s">
        <v>67</v>
      </c>
      <c r="H318" s="78" t="s">
        <v>71</v>
      </c>
      <c r="I318" s="78" t="s">
        <v>160</v>
      </c>
    </row>
    <row r="319" spans="1:9" s="73" customFormat="1" ht="13.8" x14ac:dyDescent="0.3">
      <c r="A319" s="84">
        <v>1470</v>
      </c>
      <c r="B319" s="84" t="s">
        <v>475</v>
      </c>
      <c r="C319" s="84" t="s">
        <v>44</v>
      </c>
      <c r="D319" s="84" t="s">
        <v>86</v>
      </c>
      <c r="E319" s="78" t="s">
        <v>58</v>
      </c>
      <c r="F319" s="78" t="s">
        <v>228</v>
      </c>
      <c r="G319" s="84" t="s">
        <v>70</v>
      </c>
      <c r="H319" s="78" t="s">
        <v>68</v>
      </c>
      <c r="I319" s="78" t="s">
        <v>160</v>
      </c>
    </row>
    <row r="320" spans="1:9" s="73" customFormat="1" ht="13.8" x14ac:dyDescent="0.3">
      <c r="A320" s="84">
        <v>1471</v>
      </c>
      <c r="B320" s="84" t="s">
        <v>476</v>
      </c>
      <c r="C320" s="84" t="s">
        <v>159</v>
      </c>
      <c r="D320" s="84" t="s">
        <v>86</v>
      </c>
      <c r="E320" s="78" t="s">
        <v>58</v>
      </c>
      <c r="F320" s="84" t="s">
        <v>88</v>
      </c>
      <c r="G320" s="78" t="s">
        <v>67</v>
      </c>
      <c r="H320" s="78" t="s">
        <v>71</v>
      </c>
      <c r="I320" s="78" t="s">
        <v>160</v>
      </c>
    </row>
    <row r="321" spans="1:9" s="73" customFormat="1" ht="13.8" x14ac:dyDescent="0.3">
      <c r="A321" s="84">
        <v>1472</v>
      </c>
      <c r="B321" s="84" t="s">
        <v>477</v>
      </c>
      <c r="C321" s="84" t="s">
        <v>21</v>
      </c>
      <c r="D321" s="84" t="s">
        <v>86</v>
      </c>
      <c r="E321" s="78" t="s">
        <v>57</v>
      </c>
      <c r="F321" s="78" t="s">
        <v>231</v>
      </c>
      <c r="G321" s="78" t="s">
        <v>32</v>
      </c>
      <c r="H321" s="78" t="s">
        <v>59</v>
      </c>
      <c r="I321" s="78" t="s">
        <v>160</v>
      </c>
    </row>
    <row r="322" spans="1:9" s="73" customFormat="1" ht="13.8" x14ac:dyDescent="0.3">
      <c r="A322" s="84">
        <v>1473</v>
      </c>
      <c r="B322" s="84" t="s">
        <v>478</v>
      </c>
      <c r="C322" s="84" t="s">
        <v>63</v>
      </c>
      <c r="D322" s="84" t="s">
        <v>86</v>
      </c>
      <c r="E322" s="78" t="s">
        <v>58</v>
      </c>
      <c r="F322" s="78" t="s">
        <v>195</v>
      </c>
      <c r="G322" s="84" t="s">
        <v>70</v>
      </c>
      <c r="H322" s="78" t="s">
        <v>68</v>
      </c>
      <c r="I322" s="78" t="s">
        <v>160</v>
      </c>
    </row>
    <row r="323" spans="1:9" s="73" customFormat="1" ht="13.8" x14ac:dyDescent="0.3">
      <c r="A323" s="84">
        <v>1474</v>
      </c>
      <c r="B323" s="84" t="s">
        <v>479</v>
      </c>
      <c r="C323" s="78" t="s">
        <v>52</v>
      </c>
      <c r="D323" s="78" t="s">
        <v>86</v>
      </c>
      <c r="E323" s="78" t="s">
        <v>58</v>
      </c>
      <c r="F323" s="78" t="s">
        <v>231</v>
      </c>
      <c r="G323" s="78" t="s">
        <v>32</v>
      </c>
      <c r="H323" s="78" t="s">
        <v>59</v>
      </c>
      <c r="I323" s="78" t="s">
        <v>160</v>
      </c>
    </row>
    <row r="324" spans="1:9" s="73" customFormat="1" ht="13.8" x14ac:dyDescent="0.3">
      <c r="A324" s="84">
        <v>1475</v>
      </c>
      <c r="B324" s="84" t="s">
        <v>480</v>
      </c>
      <c r="C324" s="84" t="s">
        <v>35</v>
      </c>
      <c r="D324" s="84" t="s">
        <v>86</v>
      </c>
      <c r="E324" s="78" t="s">
        <v>55</v>
      </c>
      <c r="F324" s="78" t="s">
        <v>195</v>
      </c>
      <c r="G324" s="84" t="s">
        <v>60</v>
      </c>
      <c r="H324" s="78" t="s">
        <v>72</v>
      </c>
      <c r="I324" s="78" t="s">
        <v>160</v>
      </c>
    </row>
    <row r="325" spans="1:9" s="73" customFormat="1" ht="13.8" x14ac:dyDescent="0.3">
      <c r="A325" s="84">
        <v>1476</v>
      </c>
      <c r="B325" s="84" t="s">
        <v>481</v>
      </c>
      <c r="C325" s="84" t="s">
        <v>26</v>
      </c>
      <c r="D325" s="84" t="s">
        <v>86</v>
      </c>
      <c r="E325" s="78" t="s">
        <v>58</v>
      </c>
      <c r="F325" s="78" t="s">
        <v>195</v>
      </c>
      <c r="G325" s="84" t="s">
        <v>70</v>
      </c>
      <c r="H325" s="78" t="s">
        <v>68</v>
      </c>
      <c r="I325" s="78" t="s">
        <v>160</v>
      </c>
    </row>
    <row r="326" spans="1:9" s="73" customFormat="1" ht="13.8" x14ac:dyDescent="0.3">
      <c r="A326" s="84">
        <v>1477</v>
      </c>
      <c r="B326" s="84" t="s">
        <v>482</v>
      </c>
      <c r="C326" s="84" t="s">
        <v>159</v>
      </c>
      <c r="D326" s="84" t="s">
        <v>86</v>
      </c>
      <c r="E326" s="78" t="s">
        <v>57</v>
      </c>
      <c r="F326" s="84" t="s">
        <v>88</v>
      </c>
      <c r="G326" s="78" t="s">
        <v>77</v>
      </c>
      <c r="H326" s="78" t="s">
        <v>71</v>
      </c>
      <c r="I326" s="78" t="s">
        <v>160</v>
      </c>
    </row>
    <row r="327" spans="1:9" s="73" customFormat="1" ht="13.8" x14ac:dyDescent="0.3">
      <c r="A327" s="84">
        <v>1478</v>
      </c>
      <c r="B327" s="84" t="s">
        <v>483</v>
      </c>
      <c r="C327" s="78" t="s">
        <v>54</v>
      </c>
      <c r="D327" s="78" t="s">
        <v>86</v>
      </c>
      <c r="E327" s="78" t="s">
        <v>55</v>
      </c>
      <c r="F327" s="78" t="s">
        <v>231</v>
      </c>
      <c r="G327" s="78" t="s">
        <v>32</v>
      </c>
      <c r="H327" s="78" t="s">
        <v>59</v>
      </c>
      <c r="I327" s="78" t="s">
        <v>160</v>
      </c>
    </row>
    <row r="328" spans="1:9" s="73" customFormat="1" ht="13.8" x14ac:dyDescent="0.3">
      <c r="A328" s="84">
        <v>1479</v>
      </c>
      <c r="B328" s="84" t="s">
        <v>484</v>
      </c>
      <c r="C328" s="84" t="s">
        <v>41</v>
      </c>
      <c r="D328" s="84" t="s">
        <v>86</v>
      </c>
      <c r="E328" s="78" t="s">
        <v>57</v>
      </c>
      <c r="F328" s="78" t="s">
        <v>231</v>
      </c>
      <c r="G328" s="78" t="s">
        <v>51</v>
      </c>
      <c r="H328" s="78" t="s">
        <v>62</v>
      </c>
      <c r="I328" s="78" t="s">
        <v>160</v>
      </c>
    </row>
    <row r="329" spans="1:9" s="73" customFormat="1" ht="13.8" x14ac:dyDescent="0.3">
      <c r="A329" s="84">
        <v>1480</v>
      </c>
      <c r="B329" s="84" t="s">
        <v>485</v>
      </c>
      <c r="C329" s="78" t="s">
        <v>46</v>
      </c>
      <c r="D329" s="78" t="s">
        <v>86</v>
      </c>
      <c r="E329" s="78" t="s">
        <v>55</v>
      </c>
      <c r="F329" s="78" t="s">
        <v>231</v>
      </c>
      <c r="G329" s="78" t="s">
        <v>51</v>
      </c>
      <c r="H329" s="78" t="s">
        <v>62</v>
      </c>
      <c r="I329" s="78" t="s">
        <v>160</v>
      </c>
    </row>
    <row r="330" spans="1:9" s="73" customFormat="1" ht="13.8" x14ac:dyDescent="0.3">
      <c r="A330" s="84">
        <v>1481</v>
      </c>
      <c r="B330" s="84" t="s">
        <v>486</v>
      </c>
      <c r="C330" s="84" t="s">
        <v>40</v>
      </c>
      <c r="D330" s="84" t="s">
        <v>86</v>
      </c>
      <c r="E330" s="78" t="s">
        <v>55</v>
      </c>
      <c r="F330" s="78" t="s">
        <v>231</v>
      </c>
      <c r="G330" s="78" t="s">
        <v>51</v>
      </c>
      <c r="H330" s="78" t="s">
        <v>62</v>
      </c>
      <c r="I330" s="78" t="s">
        <v>160</v>
      </c>
    </row>
    <row r="331" spans="1:9" s="73" customFormat="1" ht="13.8" x14ac:dyDescent="0.3">
      <c r="A331" s="84">
        <v>1482</v>
      </c>
      <c r="B331" s="84" t="s">
        <v>487</v>
      </c>
      <c r="C331" s="78" t="s">
        <v>16</v>
      </c>
      <c r="D331" s="84" t="s">
        <v>86</v>
      </c>
      <c r="E331" s="78" t="s">
        <v>58</v>
      </c>
      <c r="F331" s="78" t="s">
        <v>183</v>
      </c>
      <c r="G331" s="84" t="s">
        <v>34</v>
      </c>
      <c r="H331" s="78" t="s">
        <v>62</v>
      </c>
      <c r="I331" s="78" t="s">
        <v>160</v>
      </c>
    </row>
    <row r="332" spans="1:9" s="73" customFormat="1" ht="13.8" x14ac:dyDescent="0.3">
      <c r="A332" s="84">
        <v>1483</v>
      </c>
      <c r="B332" s="84" t="s">
        <v>488</v>
      </c>
      <c r="C332" s="84" t="s">
        <v>45</v>
      </c>
      <c r="D332" s="84" t="s">
        <v>86</v>
      </c>
      <c r="E332" s="78" t="s">
        <v>58</v>
      </c>
      <c r="F332" s="78" t="s">
        <v>228</v>
      </c>
      <c r="G332" s="84" t="s">
        <v>51</v>
      </c>
      <c r="H332" s="78" t="s">
        <v>62</v>
      </c>
      <c r="I332" s="78" t="s">
        <v>160</v>
      </c>
    </row>
    <row r="333" spans="1:9" s="73" customFormat="1" ht="13.8" x14ac:dyDescent="0.3">
      <c r="A333" s="84">
        <v>1533</v>
      </c>
      <c r="B333" s="84" t="s">
        <v>721</v>
      </c>
      <c r="C333" s="84" t="s">
        <v>45</v>
      </c>
      <c r="D333" s="84" t="s">
        <v>86</v>
      </c>
      <c r="E333" s="78" t="s">
        <v>58</v>
      </c>
      <c r="F333" s="78" t="s">
        <v>228</v>
      </c>
      <c r="G333" s="84" t="s">
        <v>51</v>
      </c>
      <c r="H333" s="78" t="s">
        <v>62</v>
      </c>
      <c r="I333" s="78" t="s">
        <v>160</v>
      </c>
    </row>
    <row r="334" spans="1:9" s="73" customFormat="1" ht="13.8" x14ac:dyDescent="0.3">
      <c r="A334" s="84">
        <v>1484</v>
      </c>
      <c r="B334" s="84" t="s">
        <v>489</v>
      </c>
      <c r="C334" s="78" t="s">
        <v>56</v>
      </c>
      <c r="D334" s="78" t="s">
        <v>86</v>
      </c>
      <c r="E334" s="78" t="s">
        <v>57</v>
      </c>
      <c r="F334" s="78" t="s">
        <v>231</v>
      </c>
      <c r="G334" s="78" t="s">
        <v>32</v>
      </c>
      <c r="H334" s="78" t="s">
        <v>59</v>
      </c>
      <c r="I334" s="78" t="s">
        <v>160</v>
      </c>
    </row>
    <row r="335" spans="1:9" s="73" customFormat="1" ht="13.8" x14ac:dyDescent="0.3">
      <c r="A335" s="84">
        <v>1485</v>
      </c>
      <c r="B335" s="84" t="s">
        <v>490</v>
      </c>
      <c r="C335" s="78" t="s">
        <v>23</v>
      </c>
      <c r="D335" s="84" t="s">
        <v>86</v>
      </c>
      <c r="E335" s="78" t="s">
        <v>55</v>
      </c>
      <c r="F335" s="78" t="s">
        <v>231</v>
      </c>
      <c r="G335" s="78" t="s">
        <v>51</v>
      </c>
      <c r="H335" s="78" t="s">
        <v>62</v>
      </c>
      <c r="I335" s="78" t="s">
        <v>160</v>
      </c>
    </row>
    <row r="336" spans="1:9" s="73" customFormat="1" ht="13.8" x14ac:dyDescent="0.3">
      <c r="A336" s="84">
        <v>1486</v>
      </c>
      <c r="B336" s="84" t="s">
        <v>491</v>
      </c>
      <c r="C336" s="78" t="s">
        <v>23</v>
      </c>
      <c r="D336" s="84" t="s">
        <v>86</v>
      </c>
      <c r="E336" s="78" t="s">
        <v>58</v>
      </c>
      <c r="F336" s="78" t="s">
        <v>231</v>
      </c>
      <c r="G336" s="78" t="s">
        <v>51</v>
      </c>
      <c r="H336" s="78" t="s">
        <v>62</v>
      </c>
      <c r="I336" s="78" t="s">
        <v>160</v>
      </c>
    </row>
    <row r="337" spans="1:9" s="73" customFormat="1" ht="13.8" x14ac:dyDescent="0.3">
      <c r="A337" s="84">
        <v>1487</v>
      </c>
      <c r="B337" s="84" t="s">
        <v>492</v>
      </c>
      <c r="C337" s="78" t="s">
        <v>23</v>
      </c>
      <c r="D337" s="84" t="s">
        <v>86</v>
      </c>
      <c r="E337" s="78" t="s">
        <v>57</v>
      </c>
      <c r="F337" s="78" t="s">
        <v>231</v>
      </c>
      <c r="G337" s="78" t="s">
        <v>51</v>
      </c>
      <c r="H337" s="78" t="s">
        <v>62</v>
      </c>
      <c r="I337" s="78" t="s">
        <v>160</v>
      </c>
    </row>
    <row r="338" spans="1:9" s="73" customFormat="1" ht="13.8" x14ac:dyDescent="0.3">
      <c r="A338" s="84">
        <v>1488</v>
      </c>
      <c r="B338" s="84" t="s">
        <v>493</v>
      </c>
      <c r="C338" s="84" t="s">
        <v>159</v>
      </c>
      <c r="D338" s="84" t="s">
        <v>86</v>
      </c>
      <c r="E338" s="78" t="s">
        <v>57</v>
      </c>
      <c r="F338" s="84" t="s">
        <v>88</v>
      </c>
      <c r="G338" s="78" t="s">
        <v>77</v>
      </c>
      <c r="H338" s="78" t="s">
        <v>71</v>
      </c>
      <c r="I338" s="78" t="s">
        <v>160</v>
      </c>
    </row>
    <row r="339" spans="1:9" s="73" customFormat="1" ht="13.8" x14ac:dyDescent="0.3">
      <c r="A339" s="84">
        <v>1489</v>
      </c>
      <c r="B339" s="84" t="s">
        <v>494</v>
      </c>
      <c r="C339" s="78" t="s">
        <v>22</v>
      </c>
      <c r="D339" s="78" t="s">
        <v>86</v>
      </c>
      <c r="E339" s="78" t="s">
        <v>57</v>
      </c>
      <c r="F339" s="78" t="s">
        <v>231</v>
      </c>
      <c r="G339" s="78" t="s">
        <v>51</v>
      </c>
      <c r="H339" s="78" t="s">
        <v>62</v>
      </c>
      <c r="I339" s="78" t="s">
        <v>160</v>
      </c>
    </row>
    <row r="340" spans="1:9" s="73" customFormat="1" ht="13.8" x14ac:dyDescent="0.3">
      <c r="A340" s="84">
        <v>1490</v>
      </c>
      <c r="B340" s="84" t="s">
        <v>495</v>
      </c>
      <c r="C340" s="84" t="s">
        <v>20</v>
      </c>
      <c r="D340" s="84" t="s">
        <v>86</v>
      </c>
      <c r="E340" s="78" t="s">
        <v>58</v>
      </c>
      <c r="F340" s="78" t="s">
        <v>183</v>
      </c>
      <c r="G340" s="84" t="s">
        <v>70</v>
      </c>
      <c r="H340" s="78" t="s">
        <v>68</v>
      </c>
      <c r="I340" s="78" t="s">
        <v>160</v>
      </c>
    </row>
    <row r="341" spans="1:9" s="73" customFormat="1" ht="13.8" x14ac:dyDescent="0.3">
      <c r="A341" s="82">
        <v>1491</v>
      </c>
      <c r="B341" s="82" t="s">
        <v>496</v>
      </c>
      <c r="C341" s="79" t="s">
        <v>75</v>
      </c>
      <c r="D341" s="79" t="s">
        <v>92</v>
      </c>
      <c r="E341" s="79" t="s">
        <v>55</v>
      </c>
      <c r="F341" s="79" t="s">
        <v>231</v>
      </c>
      <c r="G341" s="79" t="s">
        <v>51</v>
      </c>
      <c r="H341" s="79" t="s">
        <v>62</v>
      </c>
      <c r="I341" s="79" t="s">
        <v>160</v>
      </c>
    </row>
    <row r="342" spans="1:9" s="73" customFormat="1" ht="13.8" x14ac:dyDescent="0.3">
      <c r="A342" s="84">
        <v>1492</v>
      </c>
      <c r="B342" s="84" t="s">
        <v>497</v>
      </c>
      <c r="C342" s="84" t="s">
        <v>159</v>
      </c>
      <c r="D342" s="84" t="s">
        <v>86</v>
      </c>
      <c r="E342" s="78" t="s">
        <v>55</v>
      </c>
      <c r="F342" s="84" t="s">
        <v>88</v>
      </c>
      <c r="G342" s="84" t="s">
        <v>498</v>
      </c>
      <c r="H342" s="78" t="s">
        <v>71</v>
      </c>
      <c r="I342" s="78" t="s">
        <v>160</v>
      </c>
    </row>
    <row r="343" spans="1:9" s="73" customFormat="1" ht="13.8" x14ac:dyDescent="0.3">
      <c r="A343" s="84">
        <v>1493</v>
      </c>
      <c r="B343" s="84" t="s">
        <v>499</v>
      </c>
      <c r="C343" s="84" t="s">
        <v>40</v>
      </c>
      <c r="D343" s="84" t="s">
        <v>86</v>
      </c>
      <c r="E343" s="78" t="s">
        <v>58</v>
      </c>
      <c r="F343" s="78" t="s">
        <v>231</v>
      </c>
      <c r="G343" s="78" t="s">
        <v>51</v>
      </c>
      <c r="H343" s="78" t="s">
        <v>62</v>
      </c>
      <c r="I343" s="78" t="s">
        <v>160</v>
      </c>
    </row>
    <row r="344" spans="1:9" s="73" customFormat="1" ht="13.8" x14ac:dyDescent="0.3">
      <c r="A344" s="84">
        <v>1494</v>
      </c>
      <c r="B344" s="84" t="s">
        <v>500</v>
      </c>
      <c r="C344" s="84" t="s">
        <v>40</v>
      </c>
      <c r="D344" s="84" t="s">
        <v>86</v>
      </c>
      <c r="E344" s="78" t="s">
        <v>57</v>
      </c>
      <c r="F344" s="78" t="s">
        <v>231</v>
      </c>
      <c r="G344" s="78" t="s">
        <v>51</v>
      </c>
      <c r="H344" s="78" t="s">
        <v>62</v>
      </c>
      <c r="I344" s="78" t="s">
        <v>160</v>
      </c>
    </row>
    <row r="345" spans="1:9" s="73" customFormat="1" ht="13.8" x14ac:dyDescent="0.3">
      <c r="A345" s="84">
        <v>1495</v>
      </c>
      <c r="B345" s="84" t="s">
        <v>501</v>
      </c>
      <c r="C345" s="84" t="s">
        <v>159</v>
      </c>
      <c r="D345" s="84" t="s">
        <v>86</v>
      </c>
      <c r="E345" s="78" t="s">
        <v>57</v>
      </c>
      <c r="F345" s="84" t="s">
        <v>88</v>
      </c>
      <c r="G345" s="78" t="s">
        <v>77</v>
      </c>
      <c r="H345" s="78" t="s">
        <v>71</v>
      </c>
      <c r="I345" s="78" t="s">
        <v>160</v>
      </c>
    </row>
    <row r="346" spans="1:9" s="73" customFormat="1" ht="13.8" x14ac:dyDescent="0.3">
      <c r="A346" s="84">
        <v>1496</v>
      </c>
      <c r="B346" s="84" t="s">
        <v>502</v>
      </c>
      <c r="C346" s="78" t="s">
        <v>13</v>
      </c>
      <c r="D346" s="78" t="s">
        <v>86</v>
      </c>
      <c r="E346" s="78" t="s">
        <v>57</v>
      </c>
      <c r="F346" s="78" t="s">
        <v>231</v>
      </c>
      <c r="G346" s="78" t="s">
        <v>51</v>
      </c>
      <c r="H346" s="78" t="s">
        <v>62</v>
      </c>
      <c r="I346" s="78" t="s">
        <v>160</v>
      </c>
    </row>
    <row r="347" spans="1:9" s="73" customFormat="1" ht="13.8" x14ac:dyDescent="0.3">
      <c r="A347" s="84">
        <v>1497</v>
      </c>
      <c r="B347" s="84" t="s">
        <v>503</v>
      </c>
      <c r="C347" s="84" t="s">
        <v>31</v>
      </c>
      <c r="D347" s="84" t="s">
        <v>86</v>
      </c>
      <c r="E347" s="78" t="s">
        <v>58</v>
      </c>
      <c r="F347" s="78" t="s">
        <v>228</v>
      </c>
      <c r="G347" s="84" t="s">
        <v>70</v>
      </c>
      <c r="H347" s="78" t="s">
        <v>68</v>
      </c>
      <c r="I347" s="78" t="s">
        <v>160</v>
      </c>
    </row>
    <row r="348" spans="1:9" s="73" customFormat="1" ht="13.8" x14ac:dyDescent="0.3">
      <c r="A348" s="84">
        <v>1498</v>
      </c>
      <c r="B348" s="84" t="s">
        <v>504</v>
      </c>
      <c r="C348" s="78" t="s">
        <v>74</v>
      </c>
      <c r="D348" s="78" t="s">
        <v>86</v>
      </c>
      <c r="E348" s="78" t="s">
        <v>55</v>
      </c>
      <c r="F348" s="78" t="s">
        <v>231</v>
      </c>
      <c r="G348" s="78" t="s">
        <v>32</v>
      </c>
      <c r="H348" s="78" t="s">
        <v>59</v>
      </c>
      <c r="I348" s="78" t="s">
        <v>160</v>
      </c>
    </row>
    <row r="349" spans="1:9" s="73" customFormat="1" ht="13.8" x14ac:dyDescent="0.3">
      <c r="A349" s="84">
        <v>1499</v>
      </c>
      <c r="B349" s="84" t="s">
        <v>505</v>
      </c>
      <c r="C349" s="84" t="s">
        <v>36</v>
      </c>
      <c r="D349" s="84" t="s">
        <v>86</v>
      </c>
      <c r="E349" s="78" t="s">
        <v>55</v>
      </c>
      <c r="F349" s="78" t="s">
        <v>228</v>
      </c>
      <c r="G349" s="84" t="s">
        <v>32</v>
      </c>
      <c r="H349" s="78" t="s">
        <v>59</v>
      </c>
      <c r="I349" s="78" t="s">
        <v>160</v>
      </c>
    </row>
    <row r="350" spans="1:9" s="73" customFormat="1" ht="13.8" x14ac:dyDescent="0.3">
      <c r="A350" s="84">
        <v>1500</v>
      </c>
      <c r="B350" s="84" t="s">
        <v>506</v>
      </c>
      <c r="C350" s="78" t="s">
        <v>24</v>
      </c>
      <c r="D350" s="78" t="s">
        <v>86</v>
      </c>
      <c r="E350" s="78" t="s">
        <v>57</v>
      </c>
      <c r="F350" s="78" t="s">
        <v>231</v>
      </c>
      <c r="G350" s="78" t="s">
        <v>32</v>
      </c>
      <c r="H350" s="78" t="s">
        <v>59</v>
      </c>
      <c r="I350" s="78" t="s">
        <v>160</v>
      </c>
    </row>
    <row r="351" spans="1:9" s="73" customFormat="1" ht="13.8" x14ac:dyDescent="0.3">
      <c r="A351" s="84">
        <v>1501</v>
      </c>
      <c r="B351" s="84" t="s">
        <v>47</v>
      </c>
      <c r="C351" s="78" t="s">
        <v>4</v>
      </c>
      <c r="D351" s="78" t="s">
        <v>86</v>
      </c>
      <c r="E351" s="78" t="s">
        <v>58</v>
      </c>
      <c r="F351" s="78" t="s">
        <v>183</v>
      </c>
      <c r="G351" s="78" t="s">
        <v>64</v>
      </c>
      <c r="H351" s="78" t="s">
        <v>59</v>
      </c>
      <c r="I351" s="78" t="s">
        <v>160</v>
      </c>
    </row>
    <row r="352" spans="1:9" s="73" customFormat="1" ht="13.8" x14ac:dyDescent="0.3">
      <c r="A352" s="84">
        <v>1502</v>
      </c>
      <c r="B352" s="84" t="s">
        <v>507</v>
      </c>
      <c r="C352" s="84" t="s">
        <v>25</v>
      </c>
      <c r="D352" s="84" t="s">
        <v>86</v>
      </c>
      <c r="E352" s="78" t="s">
        <v>55</v>
      </c>
      <c r="F352" s="78" t="s">
        <v>231</v>
      </c>
      <c r="G352" s="78" t="s">
        <v>51</v>
      </c>
      <c r="H352" s="78" t="s">
        <v>62</v>
      </c>
      <c r="I352" s="78" t="s">
        <v>160</v>
      </c>
    </row>
    <row r="353" spans="1:12" s="73" customFormat="1" ht="13.8" x14ac:dyDescent="0.3">
      <c r="A353" s="84">
        <v>1503</v>
      </c>
      <c r="B353" s="84" t="s">
        <v>508</v>
      </c>
      <c r="C353" s="78" t="s">
        <v>46</v>
      </c>
      <c r="D353" s="78" t="s">
        <v>86</v>
      </c>
      <c r="E353" s="78" t="s">
        <v>55</v>
      </c>
      <c r="F353" s="78" t="s">
        <v>231</v>
      </c>
      <c r="G353" s="78" t="s">
        <v>51</v>
      </c>
      <c r="H353" s="78" t="s">
        <v>62</v>
      </c>
      <c r="I353" s="78" t="s">
        <v>160</v>
      </c>
    </row>
    <row r="354" spans="1:12" s="73" customFormat="1" ht="13.8" x14ac:dyDescent="0.3">
      <c r="A354" s="84">
        <v>1504</v>
      </c>
      <c r="B354" s="84" t="s">
        <v>509</v>
      </c>
      <c r="C354" s="78" t="s">
        <v>46</v>
      </c>
      <c r="D354" s="78" t="s">
        <v>86</v>
      </c>
      <c r="E354" s="78" t="s">
        <v>55</v>
      </c>
      <c r="F354" s="78" t="s">
        <v>231</v>
      </c>
      <c r="G354" s="78" t="s">
        <v>51</v>
      </c>
      <c r="H354" s="78" t="s">
        <v>62</v>
      </c>
      <c r="I354" s="78" t="s">
        <v>160</v>
      </c>
    </row>
    <row r="355" spans="1:12" s="73" customFormat="1" ht="13.8" x14ac:dyDescent="0.3">
      <c r="A355" s="84">
        <v>1505</v>
      </c>
      <c r="B355" s="84" t="s">
        <v>510</v>
      </c>
      <c r="C355" s="78" t="s">
        <v>46</v>
      </c>
      <c r="D355" s="78" t="s">
        <v>86</v>
      </c>
      <c r="E355" s="78" t="s">
        <v>58</v>
      </c>
      <c r="F355" s="78" t="s">
        <v>231</v>
      </c>
      <c r="G355" s="78" t="s">
        <v>51</v>
      </c>
      <c r="H355" s="78" t="s">
        <v>62</v>
      </c>
      <c r="I355" s="78" t="s">
        <v>160</v>
      </c>
    </row>
    <row r="356" spans="1:12" s="73" customFormat="1" ht="13.8" x14ac:dyDescent="0.3">
      <c r="A356" s="84">
        <v>1506</v>
      </c>
      <c r="B356" s="84" t="s">
        <v>511</v>
      </c>
      <c r="C356" s="78" t="s">
        <v>23</v>
      </c>
      <c r="D356" s="84" t="s">
        <v>86</v>
      </c>
      <c r="E356" s="78" t="s">
        <v>57</v>
      </c>
      <c r="F356" s="78" t="s">
        <v>231</v>
      </c>
      <c r="G356" s="78" t="s">
        <v>51</v>
      </c>
      <c r="H356" s="78" t="s">
        <v>62</v>
      </c>
      <c r="I356" s="78" t="s">
        <v>160</v>
      </c>
    </row>
    <row r="357" spans="1:12" s="73" customFormat="1" ht="13.8" x14ac:dyDescent="0.3">
      <c r="A357" s="84">
        <v>1507</v>
      </c>
      <c r="B357" s="84" t="s">
        <v>512</v>
      </c>
      <c r="C357" s="78" t="s">
        <v>56</v>
      </c>
      <c r="D357" s="78" t="s">
        <v>86</v>
      </c>
      <c r="E357" s="78" t="s">
        <v>55</v>
      </c>
      <c r="F357" s="78" t="s">
        <v>231</v>
      </c>
      <c r="G357" s="78" t="s">
        <v>32</v>
      </c>
      <c r="H357" s="78" t="s">
        <v>59</v>
      </c>
      <c r="I357" s="78" t="s">
        <v>160</v>
      </c>
    </row>
    <row r="358" spans="1:12" s="73" customFormat="1" ht="13.8" x14ac:dyDescent="0.3">
      <c r="A358" s="84">
        <v>1508</v>
      </c>
      <c r="B358" s="84" t="s">
        <v>513</v>
      </c>
      <c r="C358" s="78" t="s">
        <v>56</v>
      </c>
      <c r="D358" s="78" t="s">
        <v>86</v>
      </c>
      <c r="E358" s="78" t="s">
        <v>57</v>
      </c>
      <c r="F358" s="78" t="s">
        <v>231</v>
      </c>
      <c r="G358" s="78" t="s">
        <v>32</v>
      </c>
      <c r="H358" s="78" t="s">
        <v>59</v>
      </c>
      <c r="I358" s="78" t="s">
        <v>160</v>
      </c>
    </row>
    <row r="359" spans="1:12" s="73" customFormat="1" x14ac:dyDescent="0.3">
      <c r="A359" s="84">
        <v>1509</v>
      </c>
      <c r="B359" s="84" t="s">
        <v>514</v>
      </c>
      <c r="C359" s="84" t="s">
        <v>515</v>
      </c>
      <c r="D359" s="84" t="s">
        <v>86</v>
      </c>
      <c r="E359" s="78" t="s">
        <v>87</v>
      </c>
      <c r="F359" s="78" t="s">
        <v>88</v>
      </c>
      <c r="G359" s="78" t="s">
        <v>38</v>
      </c>
      <c r="H359" s="78" t="s">
        <v>71</v>
      </c>
      <c r="I359" s="78" t="s">
        <v>160</v>
      </c>
      <c r="L359" s="75"/>
    </row>
    <row r="360" spans="1:12" s="73" customFormat="1" x14ac:dyDescent="0.3">
      <c r="A360" s="84">
        <v>1510</v>
      </c>
      <c r="B360" s="84" t="s">
        <v>516</v>
      </c>
      <c r="C360" s="84" t="s">
        <v>517</v>
      </c>
      <c r="D360" s="84" t="s">
        <v>86</v>
      </c>
      <c r="E360" s="78" t="s">
        <v>87</v>
      </c>
      <c r="F360" s="78" t="s">
        <v>88</v>
      </c>
      <c r="G360" s="78" t="s">
        <v>38</v>
      </c>
      <c r="H360" s="78" t="s">
        <v>71</v>
      </c>
      <c r="I360" s="78" t="s">
        <v>160</v>
      </c>
      <c r="L360" s="75"/>
    </row>
    <row r="361" spans="1:12" s="73" customFormat="1" x14ac:dyDescent="0.3">
      <c r="A361" s="84">
        <v>1511</v>
      </c>
      <c r="B361" s="84" t="s">
        <v>518</v>
      </c>
      <c r="C361" s="84" t="s">
        <v>73</v>
      </c>
      <c r="D361" s="84" t="s">
        <v>86</v>
      </c>
      <c r="E361" s="78" t="s">
        <v>58</v>
      </c>
      <c r="F361" s="78" t="s">
        <v>195</v>
      </c>
      <c r="G361" s="83" t="s">
        <v>67</v>
      </c>
      <c r="H361" s="78" t="s">
        <v>62</v>
      </c>
      <c r="I361" s="78" t="s">
        <v>160</v>
      </c>
      <c r="L361" s="75"/>
    </row>
    <row r="362" spans="1:12" s="73" customFormat="1" ht="13.8" x14ac:dyDescent="0.3">
      <c r="A362" s="84">
        <v>1512</v>
      </c>
      <c r="B362" s="84" t="s">
        <v>519</v>
      </c>
      <c r="C362" s="78" t="s">
        <v>56</v>
      </c>
      <c r="D362" s="84" t="s">
        <v>86</v>
      </c>
      <c r="E362" s="78" t="s">
        <v>58</v>
      </c>
      <c r="F362" s="78" t="s">
        <v>231</v>
      </c>
      <c r="G362" s="78" t="s">
        <v>32</v>
      </c>
      <c r="H362" s="78" t="s">
        <v>59</v>
      </c>
      <c r="I362" s="78" t="s">
        <v>160</v>
      </c>
      <c r="L362" s="71"/>
    </row>
    <row r="363" spans="1:12" s="73" customFormat="1" ht="13.8" x14ac:dyDescent="0.3">
      <c r="A363" s="84">
        <v>1513</v>
      </c>
      <c r="B363" s="84" t="s">
        <v>520</v>
      </c>
      <c r="C363" s="78" t="s">
        <v>24</v>
      </c>
      <c r="D363" s="84" t="s">
        <v>86</v>
      </c>
      <c r="E363" s="78" t="s">
        <v>55</v>
      </c>
      <c r="F363" s="78" t="s">
        <v>231</v>
      </c>
      <c r="G363" s="78" t="s">
        <v>32</v>
      </c>
      <c r="H363" s="78" t="s">
        <v>59</v>
      </c>
      <c r="I363" s="78" t="s">
        <v>160</v>
      </c>
      <c r="L363" s="71"/>
    </row>
    <row r="364" spans="1:12" s="73" customFormat="1" ht="13.8" x14ac:dyDescent="0.3">
      <c r="A364" s="84">
        <v>1514</v>
      </c>
      <c r="B364" s="84" t="s">
        <v>521</v>
      </c>
      <c r="C364" s="78" t="s">
        <v>19</v>
      </c>
      <c r="D364" s="84" t="s">
        <v>86</v>
      </c>
      <c r="E364" s="78" t="s">
        <v>55</v>
      </c>
      <c r="F364" s="78" t="s">
        <v>195</v>
      </c>
      <c r="G364" s="78" t="s">
        <v>60</v>
      </c>
      <c r="H364" s="78" t="s">
        <v>72</v>
      </c>
      <c r="I364" s="78" t="s">
        <v>160</v>
      </c>
    </row>
    <row r="365" spans="1:12" s="73" customFormat="1" ht="13.8" x14ac:dyDescent="0.3">
      <c r="A365" s="84">
        <v>1515</v>
      </c>
      <c r="B365" s="84" t="s">
        <v>522</v>
      </c>
      <c r="C365" s="78" t="s">
        <v>16</v>
      </c>
      <c r="D365" s="84" t="s">
        <v>86</v>
      </c>
      <c r="E365" s="78" t="s">
        <v>58</v>
      </c>
      <c r="F365" s="78" t="s">
        <v>183</v>
      </c>
      <c r="G365" s="78" t="s">
        <v>34</v>
      </c>
      <c r="H365" s="78" t="s">
        <v>62</v>
      </c>
      <c r="I365" s="78" t="s">
        <v>160</v>
      </c>
    </row>
    <row r="366" spans="1:12" s="73" customFormat="1" ht="13.8" x14ac:dyDescent="0.3">
      <c r="A366" s="84">
        <v>1516</v>
      </c>
      <c r="B366" s="84" t="s">
        <v>523</v>
      </c>
      <c r="C366" s="78" t="s">
        <v>159</v>
      </c>
      <c r="D366" s="84" t="s">
        <v>86</v>
      </c>
      <c r="E366" s="78" t="s">
        <v>55</v>
      </c>
      <c r="F366" s="78" t="s">
        <v>88</v>
      </c>
      <c r="G366" s="78" t="s">
        <v>185</v>
      </c>
      <c r="H366" s="78" t="s">
        <v>71</v>
      </c>
      <c r="I366" s="78" t="s">
        <v>160</v>
      </c>
    </row>
    <row r="367" spans="1:12" s="73" customFormat="1" x14ac:dyDescent="0.3">
      <c r="A367" s="84">
        <v>1517</v>
      </c>
      <c r="B367" s="84" t="s">
        <v>524</v>
      </c>
      <c r="C367" s="78" t="s">
        <v>159</v>
      </c>
      <c r="D367" s="84" t="s">
        <v>86</v>
      </c>
      <c r="E367" s="78" t="s">
        <v>87</v>
      </c>
      <c r="F367" s="78" t="s">
        <v>88</v>
      </c>
      <c r="G367" s="78" t="s">
        <v>97</v>
      </c>
      <c r="H367" s="78" t="s">
        <v>71</v>
      </c>
      <c r="I367" s="78" t="s">
        <v>90</v>
      </c>
      <c r="K367" s="75"/>
    </row>
    <row r="368" spans="1:12" s="73" customFormat="1" ht="13.8" x14ac:dyDescent="0.3">
      <c r="A368" s="84">
        <v>1518</v>
      </c>
      <c r="B368" s="84" t="s">
        <v>48</v>
      </c>
      <c r="C368" s="78" t="s">
        <v>18</v>
      </c>
      <c r="D368" s="84" t="s">
        <v>86</v>
      </c>
      <c r="E368" s="78" t="s">
        <v>55</v>
      </c>
      <c r="F368" s="78" t="s">
        <v>195</v>
      </c>
      <c r="G368" s="78" t="s">
        <v>65</v>
      </c>
      <c r="H368" s="78" t="s">
        <v>68</v>
      </c>
      <c r="I368" s="78" t="s">
        <v>160</v>
      </c>
    </row>
    <row r="369" spans="1:11" s="73" customFormat="1" x14ac:dyDescent="0.3">
      <c r="A369" s="84">
        <v>1519</v>
      </c>
      <c r="B369" s="84" t="s">
        <v>525</v>
      </c>
      <c r="C369" s="78" t="s">
        <v>16</v>
      </c>
      <c r="D369" s="84" t="s">
        <v>86</v>
      </c>
      <c r="E369" s="78" t="s">
        <v>58</v>
      </c>
      <c r="F369" s="78" t="s">
        <v>183</v>
      </c>
      <c r="G369" s="78" t="s">
        <v>34</v>
      </c>
      <c r="H369" s="78" t="s">
        <v>62</v>
      </c>
      <c r="I369" s="78" t="s">
        <v>160</v>
      </c>
      <c r="K369" s="75"/>
    </row>
    <row r="370" spans="1:11" s="73" customFormat="1" x14ac:dyDescent="0.3">
      <c r="A370" s="84">
        <v>1520</v>
      </c>
      <c r="B370" s="84" t="s">
        <v>526</v>
      </c>
      <c r="C370" s="78" t="s">
        <v>4</v>
      </c>
      <c r="D370" s="83" t="s">
        <v>86</v>
      </c>
      <c r="E370" s="78" t="s">
        <v>57</v>
      </c>
      <c r="F370" s="78" t="s">
        <v>183</v>
      </c>
      <c r="G370" s="78" t="s">
        <v>64</v>
      </c>
      <c r="H370" s="78" t="s">
        <v>59</v>
      </c>
      <c r="I370" s="78" t="s">
        <v>160</v>
      </c>
      <c r="K370" s="75"/>
    </row>
    <row r="371" spans="1:11" s="73" customFormat="1" x14ac:dyDescent="0.3">
      <c r="A371" s="84">
        <v>1521</v>
      </c>
      <c r="B371" s="84" t="s">
        <v>527</v>
      </c>
      <c r="C371" s="78" t="s">
        <v>40</v>
      </c>
      <c r="D371" s="83" t="s">
        <v>86</v>
      </c>
      <c r="E371" s="78" t="s">
        <v>55</v>
      </c>
      <c r="F371" s="78" t="s">
        <v>231</v>
      </c>
      <c r="G371" s="78" t="s">
        <v>51</v>
      </c>
      <c r="H371" s="78" t="s">
        <v>62</v>
      </c>
      <c r="I371" s="78" t="s">
        <v>160</v>
      </c>
      <c r="K371" s="75"/>
    </row>
    <row r="372" spans="1:11" s="73" customFormat="1" x14ac:dyDescent="0.3">
      <c r="A372" s="84">
        <v>1522</v>
      </c>
      <c r="B372" s="84" t="s">
        <v>528</v>
      </c>
      <c r="C372" s="78" t="s">
        <v>40</v>
      </c>
      <c r="D372" s="83" t="s">
        <v>86</v>
      </c>
      <c r="E372" s="78" t="s">
        <v>55</v>
      </c>
      <c r="F372" s="78" t="s">
        <v>231</v>
      </c>
      <c r="G372" s="78" t="s">
        <v>51</v>
      </c>
      <c r="H372" s="78" t="s">
        <v>62</v>
      </c>
      <c r="I372" s="78" t="s">
        <v>160</v>
      </c>
      <c r="K372" s="76"/>
    </row>
    <row r="373" spans="1:11" s="73" customFormat="1" x14ac:dyDescent="0.3">
      <c r="A373" s="84">
        <v>1523</v>
      </c>
      <c r="B373" s="84" t="s">
        <v>529</v>
      </c>
      <c r="C373" s="78" t="s">
        <v>40</v>
      </c>
      <c r="D373" s="83" t="s">
        <v>86</v>
      </c>
      <c r="E373" s="78" t="s">
        <v>55</v>
      </c>
      <c r="F373" s="78" t="s">
        <v>231</v>
      </c>
      <c r="G373" s="78" t="s">
        <v>51</v>
      </c>
      <c r="H373" s="78" t="s">
        <v>62</v>
      </c>
      <c r="I373" s="78" t="s">
        <v>160</v>
      </c>
      <c r="K373" s="76"/>
    </row>
    <row r="374" spans="1:11" s="73" customFormat="1" x14ac:dyDescent="0.3">
      <c r="A374" s="84">
        <v>1534</v>
      </c>
      <c r="B374" s="84" t="s">
        <v>722</v>
      </c>
      <c r="C374" s="78" t="s">
        <v>40</v>
      </c>
      <c r="D374" s="83" t="s">
        <v>86</v>
      </c>
      <c r="E374" s="78" t="s">
        <v>55</v>
      </c>
      <c r="F374" s="78" t="s">
        <v>231</v>
      </c>
      <c r="G374" s="78" t="s">
        <v>51</v>
      </c>
      <c r="H374" s="78" t="s">
        <v>62</v>
      </c>
      <c r="I374" s="78" t="s">
        <v>160</v>
      </c>
      <c r="K374" s="76"/>
    </row>
    <row r="375" spans="1:11" s="73" customFormat="1" x14ac:dyDescent="0.3">
      <c r="A375" s="84">
        <v>1524</v>
      </c>
      <c r="B375" s="84" t="s">
        <v>530</v>
      </c>
      <c r="C375" s="84" t="s">
        <v>159</v>
      </c>
      <c r="D375" s="84" t="s">
        <v>86</v>
      </c>
      <c r="E375" s="78" t="s">
        <v>55</v>
      </c>
      <c r="F375" s="84" t="s">
        <v>88</v>
      </c>
      <c r="G375" s="78" t="s">
        <v>138</v>
      </c>
      <c r="H375" s="78" t="s">
        <v>71</v>
      </c>
      <c r="I375" s="78" t="s">
        <v>160</v>
      </c>
      <c r="K375" s="76"/>
    </row>
    <row r="376" spans="1:11" s="73" customFormat="1" x14ac:dyDescent="0.3">
      <c r="A376" s="84">
        <v>1525</v>
      </c>
      <c r="B376" s="84" t="s">
        <v>723</v>
      </c>
      <c r="C376" s="78" t="s">
        <v>14</v>
      </c>
      <c r="D376" s="83" t="s">
        <v>86</v>
      </c>
      <c r="E376" s="78" t="s">
        <v>58</v>
      </c>
      <c r="F376" s="78" t="s">
        <v>195</v>
      </c>
      <c r="G376" s="78" t="s">
        <v>70</v>
      </c>
      <c r="H376" s="78" t="s">
        <v>68</v>
      </c>
      <c r="I376" s="78" t="s">
        <v>160</v>
      </c>
      <c r="K376" s="76"/>
    </row>
    <row r="377" spans="1:11" s="73" customFormat="1" x14ac:dyDescent="0.3">
      <c r="A377" s="84">
        <v>3134</v>
      </c>
      <c r="B377" s="84" t="s">
        <v>531</v>
      </c>
      <c r="C377" s="78" t="s">
        <v>159</v>
      </c>
      <c r="D377" s="78" t="s">
        <v>86</v>
      </c>
      <c r="E377" s="78" t="s">
        <v>58</v>
      </c>
      <c r="F377" s="78" t="s">
        <v>88</v>
      </c>
      <c r="G377" s="78" t="s">
        <v>67</v>
      </c>
      <c r="H377" s="78" t="s">
        <v>71</v>
      </c>
      <c r="I377" s="78" t="s">
        <v>160</v>
      </c>
      <c r="K377" s="75"/>
    </row>
    <row r="378" spans="1:11" s="73" customFormat="1" x14ac:dyDescent="0.3">
      <c r="A378" s="84">
        <v>3135</v>
      </c>
      <c r="B378" s="84" t="s">
        <v>532</v>
      </c>
      <c r="C378" s="78" t="s">
        <v>159</v>
      </c>
      <c r="D378" s="78" t="s">
        <v>86</v>
      </c>
      <c r="E378" s="78" t="s">
        <v>58</v>
      </c>
      <c r="F378" s="78" t="s">
        <v>88</v>
      </c>
      <c r="G378" s="78" t="s">
        <v>67</v>
      </c>
      <c r="H378" s="78" t="s">
        <v>71</v>
      </c>
      <c r="I378" s="78" t="s">
        <v>160</v>
      </c>
      <c r="K378" s="76"/>
    </row>
    <row r="379" spans="1:11" s="73" customFormat="1" x14ac:dyDescent="0.3">
      <c r="A379" s="84">
        <v>3136</v>
      </c>
      <c r="B379" s="84" t="s">
        <v>533</v>
      </c>
      <c r="C379" s="78" t="s">
        <v>159</v>
      </c>
      <c r="D379" s="78" t="s">
        <v>86</v>
      </c>
      <c r="E379" s="78" t="s">
        <v>58</v>
      </c>
      <c r="F379" s="78" t="s">
        <v>88</v>
      </c>
      <c r="G379" s="78" t="s">
        <v>67</v>
      </c>
      <c r="H379" s="78" t="s">
        <v>71</v>
      </c>
      <c r="I379" s="78" t="s">
        <v>160</v>
      </c>
      <c r="K379" s="76"/>
    </row>
    <row r="380" spans="1:11" s="73" customFormat="1" x14ac:dyDescent="0.3">
      <c r="A380" s="84">
        <v>3137</v>
      </c>
      <c r="B380" s="84" t="s">
        <v>534</v>
      </c>
      <c r="C380" s="78" t="s">
        <v>159</v>
      </c>
      <c r="D380" s="78" t="s">
        <v>86</v>
      </c>
      <c r="E380" s="78" t="s">
        <v>58</v>
      </c>
      <c r="F380" s="78" t="s">
        <v>88</v>
      </c>
      <c r="G380" s="78" t="s">
        <v>67</v>
      </c>
      <c r="H380" s="78" t="s">
        <v>71</v>
      </c>
      <c r="I380" s="78" t="s">
        <v>160</v>
      </c>
      <c r="K380" s="75"/>
    </row>
    <row r="381" spans="1:11" s="73" customFormat="1" ht="13.8" x14ac:dyDescent="0.3">
      <c r="A381" s="84">
        <v>3138</v>
      </c>
      <c r="B381" s="84" t="s">
        <v>535</v>
      </c>
      <c r="C381" s="78" t="s">
        <v>159</v>
      </c>
      <c r="D381" s="78" t="s">
        <v>86</v>
      </c>
      <c r="E381" s="78" t="s">
        <v>58</v>
      </c>
      <c r="F381" s="78" t="s">
        <v>88</v>
      </c>
      <c r="G381" s="78" t="s">
        <v>67</v>
      </c>
      <c r="H381" s="78" t="s">
        <v>71</v>
      </c>
      <c r="I381" s="78" t="s">
        <v>160</v>
      </c>
      <c r="K381" s="77"/>
    </row>
    <row r="382" spans="1:11" s="73" customFormat="1" x14ac:dyDescent="0.3">
      <c r="A382" s="84">
        <v>3139</v>
      </c>
      <c r="B382" s="84" t="s">
        <v>536</v>
      </c>
      <c r="C382" s="78" t="s">
        <v>159</v>
      </c>
      <c r="D382" s="78" t="s">
        <v>86</v>
      </c>
      <c r="E382" s="78" t="s">
        <v>58</v>
      </c>
      <c r="F382" s="78" t="s">
        <v>88</v>
      </c>
      <c r="G382" s="78" t="s">
        <v>67</v>
      </c>
      <c r="H382" s="78" t="s">
        <v>71</v>
      </c>
      <c r="I382" s="78" t="s">
        <v>160</v>
      </c>
      <c r="K382" s="76"/>
    </row>
    <row r="383" spans="1:11" s="73" customFormat="1" x14ac:dyDescent="0.3">
      <c r="A383" s="84">
        <v>3140</v>
      </c>
      <c r="B383" s="84" t="s">
        <v>537</v>
      </c>
      <c r="C383" s="78" t="s">
        <v>159</v>
      </c>
      <c r="D383" s="78" t="s">
        <v>86</v>
      </c>
      <c r="E383" s="78" t="s">
        <v>58</v>
      </c>
      <c r="F383" s="78" t="s">
        <v>88</v>
      </c>
      <c r="G383" s="78" t="s">
        <v>67</v>
      </c>
      <c r="H383" s="78" t="s">
        <v>71</v>
      </c>
      <c r="I383" s="78" t="s">
        <v>160</v>
      </c>
      <c r="K383" s="75"/>
    </row>
    <row r="384" spans="1:11" s="73" customFormat="1" ht="13.8" x14ac:dyDescent="0.3">
      <c r="A384" s="84">
        <v>3141</v>
      </c>
      <c r="B384" s="84" t="s">
        <v>538</v>
      </c>
      <c r="C384" s="78" t="s">
        <v>159</v>
      </c>
      <c r="D384" s="78" t="s">
        <v>86</v>
      </c>
      <c r="E384" s="78" t="s">
        <v>58</v>
      </c>
      <c r="F384" s="78" t="s">
        <v>88</v>
      </c>
      <c r="G384" s="78" t="s">
        <v>67</v>
      </c>
      <c r="H384" s="78" t="s">
        <v>71</v>
      </c>
      <c r="I384" s="78" t="s">
        <v>160</v>
      </c>
    </row>
    <row r="385" spans="1:9" s="73" customFormat="1" ht="13.8" x14ac:dyDescent="0.3">
      <c r="A385" s="84">
        <v>3142</v>
      </c>
      <c r="B385" s="84" t="s">
        <v>539</v>
      </c>
      <c r="C385" s="78" t="s">
        <v>159</v>
      </c>
      <c r="D385" s="78" t="s">
        <v>86</v>
      </c>
      <c r="E385" s="78" t="s">
        <v>58</v>
      </c>
      <c r="F385" s="78" t="s">
        <v>88</v>
      </c>
      <c r="G385" s="78" t="s">
        <v>67</v>
      </c>
      <c r="H385" s="78" t="s">
        <v>71</v>
      </c>
      <c r="I385" s="78" t="s">
        <v>160</v>
      </c>
    </row>
    <row r="386" spans="1:9" s="73" customFormat="1" ht="13.8" x14ac:dyDescent="0.3">
      <c r="A386" s="84">
        <v>3143</v>
      </c>
      <c r="B386" s="84" t="s">
        <v>540</v>
      </c>
      <c r="C386" s="78" t="s">
        <v>159</v>
      </c>
      <c r="D386" s="78" t="s">
        <v>86</v>
      </c>
      <c r="E386" s="78" t="s">
        <v>58</v>
      </c>
      <c r="F386" s="78" t="s">
        <v>88</v>
      </c>
      <c r="G386" s="78" t="s">
        <v>67</v>
      </c>
      <c r="H386" s="78" t="s">
        <v>71</v>
      </c>
      <c r="I386" s="78" t="s">
        <v>160</v>
      </c>
    </row>
    <row r="387" spans="1:9" s="73" customFormat="1" ht="13.8" x14ac:dyDescent="0.3">
      <c r="A387" s="84">
        <v>3144</v>
      </c>
      <c r="B387" s="84" t="s">
        <v>541</v>
      </c>
      <c r="C387" s="78" t="s">
        <v>159</v>
      </c>
      <c r="D387" s="78" t="s">
        <v>86</v>
      </c>
      <c r="E387" s="78" t="s">
        <v>58</v>
      </c>
      <c r="F387" s="78" t="s">
        <v>88</v>
      </c>
      <c r="G387" s="78" t="s">
        <v>67</v>
      </c>
      <c r="H387" s="78" t="s">
        <v>71</v>
      </c>
      <c r="I387" s="78" t="s">
        <v>160</v>
      </c>
    </row>
    <row r="388" spans="1:9" s="73" customFormat="1" ht="13.8" x14ac:dyDescent="0.3">
      <c r="A388" s="84">
        <v>3145</v>
      </c>
      <c r="B388" s="84" t="s">
        <v>542</v>
      </c>
      <c r="C388" s="78" t="s">
        <v>159</v>
      </c>
      <c r="D388" s="78" t="s">
        <v>86</v>
      </c>
      <c r="E388" s="78" t="s">
        <v>58</v>
      </c>
      <c r="F388" s="78" t="s">
        <v>88</v>
      </c>
      <c r="G388" s="78" t="s">
        <v>67</v>
      </c>
      <c r="H388" s="78" t="s">
        <v>71</v>
      </c>
      <c r="I388" s="78" t="s">
        <v>160</v>
      </c>
    </row>
    <row r="389" spans="1:9" s="73" customFormat="1" ht="13.8" x14ac:dyDescent="0.3">
      <c r="A389" s="84">
        <v>3146</v>
      </c>
      <c r="B389" s="84" t="s">
        <v>543</v>
      </c>
      <c r="C389" s="78" t="s">
        <v>159</v>
      </c>
      <c r="D389" s="78" t="s">
        <v>86</v>
      </c>
      <c r="E389" s="78" t="s">
        <v>58</v>
      </c>
      <c r="F389" s="78" t="s">
        <v>88</v>
      </c>
      <c r="G389" s="78" t="s">
        <v>67</v>
      </c>
      <c r="H389" s="78" t="s">
        <v>71</v>
      </c>
      <c r="I389" s="78" t="s">
        <v>160</v>
      </c>
    </row>
    <row r="390" spans="1:9" s="73" customFormat="1" ht="13.8" x14ac:dyDescent="0.3">
      <c r="A390" s="84">
        <v>3147</v>
      </c>
      <c r="B390" s="84" t="s">
        <v>544</v>
      </c>
      <c r="C390" s="78" t="s">
        <v>159</v>
      </c>
      <c r="D390" s="78" t="s">
        <v>86</v>
      </c>
      <c r="E390" s="78" t="s">
        <v>58</v>
      </c>
      <c r="F390" s="78" t="s">
        <v>88</v>
      </c>
      <c r="G390" s="78" t="s">
        <v>67</v>
      </c>
      <c r="H390" s="78" t="s">
        <v>71</v>
      </c>
      <c r="I390" s="78" t="s">
        <v>160</v>
      </c>
    </row>
    <row r="391" spans="1:9" s="73" customFormat="1" ht="13.8" x14ac:dyDescent="0.3">
      <c r="A391" s="84">
        <v>3148</v>
      </c>
      <c r="B391" s="84" t="s">
        <v>545</v>
      </c>
      <c r="C391" s="78" t="s">
        <v>159</v>
      </c>
      <c r="D391" s="78" t="s">
        <v>86</v>
      </c>
      <c r="E391" s="78" t="s">
        <v>58</v>
      </c>
      <c r="F391" s="78" t="s">
        <v>88</v>
      </c>
      <c r="G391" s="78" t="s">
        <v>67</v>
      </c>
      <c r="H391" s="78" t="s">
        <v>71</v>
      </c>
      <c r="I391" s="78" t="s">
        <v>160</v>
      </c>
    </row>
    <row r="392" spans="1:9" s="73" customFormat="1" ht="13.8" x14ac:dyDescent="0.3">
      <c r="A392" s="84">
        <v>3149</v>
      </c>
      <c r="B392" s="84" t="s">
        <v>546</v>
      </c>
      <c r="C392" s="78" t="s">
        <v>159</v>
      </c>
      <c r="D392" s="78" t="s">
        <v>86</v>
      </c>
      <c r="E392" s="78" t="s">
        <v>58</v>
      </c>
      <c r="F392" s="78" t="s">
        <v>88</v>
      </c>
      <c r="G392" s="78" t="s">
        <v>67</v>
      </c>
      <c r="H392" s="78" t="s">
        <v>71</v>
      </c>
      <c r="I392" s="78" t="s">
        <v>160</v>
      </c>
    </row>
    <row r="393" spans="1:9" s="73" customFormat="1" ht="13.8" x14ac:dyDescent="0.3">
      <c r="A393" s="84">
        <v>3150</v>
      </c>
      <c r="B393" s="84" t="s">
        <v>547</v>
      </c>
      <c r="C393" s="78" t="s">
        <v>159</v>
      </c>
      <c r="D393" s="78" t="s">
        <v>86</v>
      </c>
      <c r="E393" s="78" t="s">
        <v>58</v>
      </c>
      <c r="F393" s="78" t="s">
        <v>88</v>
      </c>
      <c r="G393" s="78" t="s">
        <v>67</v>
      </c>
      <c r="H393" s="78" t="s">
        <v>71</v>
      </c>
      <c r="I393" s="78" t="s">
        <v>160</v>
      </c>
    </row>
    <row r="394" spans="1:9" s="73" customFormat="1" ht="13.8" x14ac:dyDescent="0.3">
      <c r="A394" s="84">
        <v>3151</v>
      </c>
      <c r="B394" s="84" t="s">
        <v>548</v>
      </c>
      <c r="C394" s="78" t="s">
        <v>159</v>
      </c>
      <c r="D394" s="78" t="s">
        <v>86</v>
      </c>
      <c r="E394" s="78" t="s">
        <v>58</v>
      </c>
      <c r="F394" s="78" t="s">
        <v>88</v>
      </c>
      <c r="G394" s="78" t="s">
        <v>67</v>
      </c>
      <c r="H394" s="78" t="s">
        <v>71</v>
      </c>
      <c r="I394" s="78" t="s">
        <v>160</v>
      </c>
    </row>
    <row r="395" spans="1:9" s="73" customFormat="1" ht="13.8" x14ac:dyDescent="0.3">
      <c r="A395" s="84">
        <v>3152</v>
      </c>
      <c r="B395" s="84" t="s">
        <v>549</v>
      </c>
      <c r="C395" s="78" t="s">
        <v>159</v>
      </c>
      <c r="D395" s="78" t="s">
        <v>86</v>
      </c>
      <c r="E395" s="78" t="s">
        <v>58</v>
      </c>
      <c r="F395" s="78" t="s">
        <v>88</v>
      </c>
      <c r="G395" s="78" t="s">
        <v>67</v>
      </c>
      <c r="H395" s="78" t="s">
        <v>71</v>
      </c>
      <c r="I395" s="78" t="s">
        <v>160</v>
      </c>
    </row>
    <row r="396" spans="1:9" s="73" customFormat="1" ht="13.8" x14ac:dyDescent="0.3">
      <c r="A396" s="84">
        <v>3153</v>
      </c>
      <c r="B396" s="84" t="s">
        <v>550</v>
      </c>
      <c r="C396" s="78" t="s">
        <v>159</v>
      </c>
      <c r="D396" s="78" t="s">
        <v>86</v>
      </c>
      <c r="E396" s="78" t="s">
        <v>58</v>
      </c>
      <c r="F396" s="78" t="s">
        <v>88</v>
      </c>
      <c r="G396" s="78" t="s">
        <v>67</v>
      </c>
      <c r="H396" s="78" t="s">
        <v>71</v>
      </c>
      <c r="I396" s="78" t="s">
        <v>160</v>
      </c>
    </row>
    <row r="397" spans="1:9" s="73" customFormat="1" ht="13.8" x14ac:dyDescent="0.3">
      <c r="A397" s="84">
        <v>3154</v>
      </c>
      <c r="B397" s="84" t="s">
        <v>551</v>
      </c>
      <c r="C397" s="78" t="s">
        <v>159</v>
      </c>
      <c r="D397" s="78" t="s">
        <v>86</v>
      </c>
      <c r="E397" s="78" t="s">
        <v>58</v>
      </c>
      <c r="F397" s="78" t="s">
        <v>88</v>
      </c>
      <c r="G397" s="78" t="s">
        <v>67</v>
      </c>
      <c r="H397" s="78" t="s">
        <v>71</v>
      </c>
      <c r="I397" s="78" t="s">
        <v>160</v>
      </c>
    </row>
    <row r="398" spans="1:9" s="73" customFormat="1" ht="13.8" x14ac:dyDescent="0.3">
      <c r="A398" s="84">
        <v>3155</v>
      </c>
      <c r="B398" s="84" t="s">
        <v>552</v>
      </c>
      <c r="C398" s="78" t="s">
        <v>159</v>
      </c>
      <c r="D398" s="78" t="s">
        <v>86</v>
      </c>
      <c r="E398" s="78" t="s">
        <v>58</v>
      </c>
      <c r="F398" s="78" t="s">
        <v>88</v>
      </c>
      <c r="G398" s="78" t="s">
        <v>67</v>
      </c>
      <c r="H398" s="78" t="s">
        <v>71</v>
      </c>
      <c r="I398" s="78" t="s">
        <v>160</v>
      </c>
    </row>
    <row r="399" spans="1:9" s="73" customFormat="1" ht="13.8" x14ac:dyDescent="0.3">
      <c r="A399" s="84">
        <v>3156</v>
      </c>
      <c r="B399" s="84" t="s">
        <v>553</v>
      </c>
      <c r="C399" s="78" t="s">
        <v>159</v>
      </c>
      <c r="D399" s="78" t="s">
        <v>86</v>
      </c>
      <c r="E399" s="78" t="s">
        <v>58</v>
      </c>
      <c r="F399" s="78" t="s">
        <v>88</v>
      </c>
      <c r="G399" s="78" t="s">
        <v>67</v>
      </c>
      <c r="H399" s="78" t="s">
        <v>71</v>
      </c>
      <c r="I399" s="78" t="s">
        <v>160</v>
      </c>
    </row>
    <row r="400" spans="1:9" s="73" customFormat="1" ht="13.8" x14ac:dyDescent="0.3">
      <c r="A400" s="84">
        <v>3157</v>
      </c>
      <c r="B400" s="84" t="s">
        <v>554</v>
      </c>
      <c r="C400" s="78" t="s">
        <v>159</v>
      </c>
      <c r="D400" s="78" t="s">
        <v>86</v>
      </c>
      <c r="E400" s="78" t="s">
        <v>58</v>
      </c>
      <c r="F400" s="78" t="s">
        <v>88</v>
      </c>
      <c r="G400" s="78" t="s">
        <v>67</v>
      </c>
      <c r="H400" s="78" t="s">
        <v>71</v>
      </c>
      <c r="I400" s="78" t="s">
        <v>160</v>
      </c>
    </row>
    <row r="401" spans="1:9" s="73" customFormat="1" ht="13.8" x14ac:dyDescent="0.3">
      <c r="A401" s="84">
        <v>3158</v>
      </c>
      <c r="B401" s="84" t="s">
        <v>555</v>
      </c>
      <c r="C401" s="78" t="s">
        <v>159</v>
      </c>
      <c r="D401" s="78" t="s">
        <v>86</v>
      </c>
      <c r="E401" s="78" t="s">
        <v>58</v>
      </c>
      <c r="F401" s="78" t="s">
        <v>88</v>
      </c>
      <c r="G401" s="78" t="s">
        <v>67</v>
      </c>
      <c r="H401" s="78" t="s">
        <v>71</v>
      </c>
      <c r="I401" s="78" t="s">
        <v>160</v>
      </c>
    </row>
    <row r="402" spans="1:9" x14ac:dyDescent="0.3">
      <c r="A402" s="84">
        <v>3159</v>
      </c>
      <c r="B402" s="84" t="s">
        <v>556</v>
      </c>
      <c r="C402" s="78" t="s">
        <v>159</v>
      </c>
      <c r="D402" s="78" t="s">
        <v>86</v>
      </c>
      <c r="E402" s="78" t="s">
        <v>58</v>
      </c>
      <c r="F402" s="78" t="s">
        <v>88</v>
      </c>
      <c r="G402" s="78" t="s">
        <v>67</v>
      </c>
      <c r="H402" s="78" t="s">
        <v>71</v>
      </c>
      <c r="I402" s="78" t="s">
        <v>160</v>
      </c>
    </row>
    <row r="403" spans="1:9" x14ac:dyDescent="0.3">
      <c r="A403" s="84">
        <v>3160</v>
      </c>
      <c r="B403" s="84" t="s">
        <v>557</v>
      </c>
      <c r="C403" s="78" t="s">
        <v>159</v>
      </c>
      <c r="D403" s="78" t="s">
        <v>86</v>
      </c>
      <c r="E403" s="78" t="s">
        <v>58</v>
      </c>
      <c r="F403" s="78" t="s">
        <v>88</v>
      </c>
      <c r="G403" s="78" t="s">
        <v>67</v>
      </c>
      <c r="H403" s="78" t="s">
        <v>71</v>
      </c>
      <c r="I403" s="78" t="s">
        <v>160</v>
      </c>
    </row>
    <row r="404" spans="1:9" x14ac:dyDescent="0.3">
      <c r="A404" s="84">
        <v>3161</v>
      </c>
      <c r="B404" s="84" t="s">
        <v>558</v>
      </c>
      <c r="C404" s="78" t="s">
        <v>159</v>
      </c>
      <c r="D404" s="78" t="s">
        <v>86</v>
      </c>
      <c r="E404" s="78" t="s">
        <v>58</v>
      </c>
      <c r="F404" s="78" t="s">
        <v>88</v>
      </c>
      <c r="G404" s="78" t="s">
        <v>67</v>
      </c>
      <c r="H404" s="78" t="s">
        <v>71</v>
      </c>
      <c r="I404" s="78" t="s">
        <v>160</v>
      </c>
    </row>
    <row r="405" spans="1:9" x14ac:dyDescent="0.3">
      <c r="A405" s="84">
        <v>3162</v>
      </c>
      <c r="B405" s="84" t="s">
        <v>559</v>
      </c>
      <c r="C405" s="78" t="s">
        <v>159</v>
      </c>
      <c r="D405" s="78" t="s">
        <v>86</v>
      </c>
      <c r="E405" s="78" t="s">
        <v>58</v>
      </c>
      <c r="F405" s="78" t="s">
        <v>88</v>
      </c>
      <c r="G405" s="78" t="s">
        <v>67</v>
      </c>
      <c r="H405" s="78" t="s">
        <v>71</v>
      </c>
      <c r="I405" s="78" t="s">
        <v>160</v>
      </c>
    </row>
    <row r="406" spans="1:9" x14ac:dyDescent="0.3">
      <c r="A406" s="84">
        <v>3163</v>
      </c>
      <c r="B406" s="84" t="s">
        <v>560</v>
      </c>
      <c r="C406" s="78" t="s">
        <v>159</v>
      </c>
      <c r="D406" s="78" t="s">
        <v>86</v>
      </c>
      <c r="E406" s="78" t="s">
        <v>58</v>
      </c>
      <c r="F406" s="78" t="s">
        <v>88</v>
      </c>
      <c r="G406" s="78" t="s">
        <v>67</v>
      </c>
      <c r="H406" s="78" t="s">
        <v>71</v>
      </c>
      <c r="I406" s="78" t="s">
        <v>160</v>
      </c>
    </row>
    <row r="407" spans="1:9" x14ac:dyDescent="0.3">
      <c r="A407" s="84">
        <v>3164</v>
      </c>
      <c r="B407" s="84" t="s">
        <v>561</v>
      </c>
      <c r="C407" s="78" t="s">
        <v>159</v>
      </c>
      <c r="D407" s="78" t="s">
        <v>86</v>
      </c>
      <c r="E407" s="78" t="s">
        <v>58</v>
      </c>
      <c r="F407" s="78" t="s">
        <v>88</v>
      </c>
      <c r="G407" s="78" t="s">
        <v>67</v>
      </c>
      <c r="H407" s="78" t="s">
        <v>71</v>
      </c>
      <c r="I407" s="78" t="s">
        <v>160</v>
      </c>
    </row>
    <row r="408" spans="1:9" x14ac:dyDescent="0.3">
      <c r="A408" s="84">
        <v>3165</v>
      </c>
      <c r="B408" s="84" t="s">
        <v>562</v>
      </c>
      <c r="C408" s="78" t="s">
        <v>159</v>
      </c>
      <c r="D408" s="78" t="s">
        <v>86</v>
      </c>
      <c r="E408" s="78" t="s">
        <v>58</v>
      </c>
      <c r="F408" s="78" t="s">
        <v>88</v>
      </c>
      <c r="G408" s="78" t="s">
        <v>67</v>
      </c>
      <c r="H408" s="78" t="s">
        <v>71</v>
      </c>
      <c r="I408" s="78" t="s">
        <v>160</v>
      </c>
    </row>
    <row r="409" spans="1:9" x14ac:dyDescent="0.3">
      <c r="A409" s="84">
        <v>3166</v>
      </c>
      <c r="B409" s="84" t="s">
        <v>563</v>
      </c>
      <c r="C409" s="78" t="s">
        <v>159</v>
      </c>
      <c r="D409" s="78" t="s">
        <v>86</v>
      </c>
      <c r="E409" s="78" t="s">
        <v>58</v>
      </c>
      <c r="F409" s="78" t="s">
        <v>88</v>
      </c>
      <c r="G409" s="78" t="s">
        <v>67</v>
      </c>
      <c r="H409" s="78" t="s">
        <v>71</v>
      </c>
      <c r="I409" s="78" t="s">
        <v>160</v>
      </c>
    </row>
    <row r="410" spans="1:9" x14ac:dyDescent="0.3">
      <c r="A410" s="84">
        <v>3168</v>
      </c>
      <c r="B410" s="84" t="s">
        <v>564</v>
      </c>
      <c r="C410" s="78" t="s">
        <v>159</v>
      </c>
      <c r="D410" s="78" t="s">
        <v>86</v>
      </c>
      <c r="E410" s="78" t="s">
        <v>58</v>
      </c>
      <c r="F410" s="78" t="s">
        <v>88</v>
      </c>
      <c r="G410" s="78" t="s">
        <v>67</v>
      </c>
      <c r="H410" s="78" t="s">
        <v>71</v>
      </c>
      <c r="I410" s="78" t="s">
        <v>160</v>
      </c>
    </row>
    <row r="411" spans="1:9" x14ac:dyDescent="0.3">
      <c r="A411" s="84">
        <v>3167</v>
      </c>
      <c r="B411" s="84" t="s">
        <v>565</v>
      </c>
      <c r="C411" s="78" t="s">
        <v>159</v>
      </c>
      <c r="D411" s="78" t="s">
        <v>86</v>
      </c>
      <c r="E411" s="78" t="s">
        <v>58</v>
      </c>
      <c r="F411" s="78" t="s">
        <v>88</v>
      </c>
      <c r="G411" s="78" t="s">
        <v>67</v>
      </c>
      <c r="H411" s="78" t="s">
        <v>71</v>
      </c>
      <c r="I411" s="78" t="s">
        <v>160</v>
      </c>
    </row>
    <row r="412" spans="1:9" x14ac:dyDescent="0.3">
      <c r="A412" s="84">
        <v>3169</v>
      </c>
      <c r="B412" s="84" t="s">
        <v>566</v>
      </c>
      <c r="C412" s="78" t="s">
        <v>159</v>
      </c>
      <c r="D412" s="78" t="s">
        <v>86</v>
      </c>
      <c r="E412" s="78" t="s">
        <v>58</v>
      </c>
      <c r="F412" s="78" t="s">
        <v>88</v>
      </c>
      <c r="G412" s="78" t="s">
        <v>67</v>
      </c>
      <c r="H412" s="78" t="s">
        <v>71</v>
      </c>
      <c r="I412" s="78" t="s">
        <v>160</v>
      </c>
    </row>
    <row r="413" spans="1:9" x14ac:dyDescent="0.3">
      <c r="A413" s="84">
        <v>3170</v>
      </c>
      <c r="B413" t="s">
        <v>567</v>
      </c>
      <c r="C413" t="s">
        <v>159</v>
      </c>
      <c r="D413" t="s">
        <v>86</v>
      </c>
      <c r="E413" t="s">
        <v>58</v>
      </c>
      <c r="F413" t="s">
        <v>88</v>
      </c>
      <c r="G413" t="s">
        <v>67</v>
      </c>
      <c r="H413" t="s">
        <v>71</v>
      </c>
      <c r="I413" t="s">
        <v>160</v>
      </c>
    </row>
    <row r="414" spans="1:9" s="73" customFormat="1" ht="13.8" x14ac:dyDescent="0.3">
      <c r="A414" s="78">
        <v>1526</v>
      </c>
      <c r="B414" s="84" t="s">
        <v>568</v>
      </c>
      <c r="C414" s="78" t="s">
        <v>106</v>
      </c>
      <c r="D414" s="78" t="s">
        <v>86</v>
      </c>
      <c r="E414" s="78" t="s">
        <v>87</v>
      </c>
      <c r="F414" s="78" t="s">
        <v>88</v>
      </c>
      <c r="G414" s="78" t="s">
        <v>107</v>
      </c>
      <c r="H414" s="78" t="s">
        <v>71</v>
      </c>
      <c r="I414" s="78" t="s">
        <v>90</v>
      </c>
    </row>
    <row r="415" spans="1:9" x14ac:dyDescent="0.3">
      <c r="A415" s="78">
        <v>1531</v>
      </c>
      <c r="B415" s="78" t="s">
        <v>569</v>
      </c>
      <c r="C415" s="78" t="s">
        <v>85</v>
      </c>
      <c r="D415" s="78" t="s">
        <v>86</v>
      </c>
      <c r="E415" s="78" t="s">
        <v>87</v>
      </c>
      <c r="F415" s="78" t="s">
        <v>88</v>
      </c>
      <c r="G415" s="78" t="s">
        <v>38</v>
      </c>
      <c r="H415" s="78" t="s">
        <v>71</v>
      </c>
      <c r="I415" s="78" t="s">
        <v>90</v>
      </c>
    </row>
    <row r="416" spans="1:9" x14ac:dyDescent="0.3">
      <c r="G416" t="s">
        <v>570</v>
      </c>
    </row>
  </sheetData>
  <autoFilter ref="A1:I416" xr:uid="{19AFE2BD-FEA1-469D-854C-C58656270CF5}"/>
  <dataValidations count="3">
    <dataValidation type="list" allowBlank="1" showInputMessage="1" showErrorMessage="1" sqref="C376:C412 C2 C26 C29 C16:C18 C353:C358 C22:C23 C67 C73 C109:C110 C216 C237:C238 C250 C350:C351 C124 C135 C204 C142:C144 C323 C241:C242 C210 C327 C314:C315 C339 C245 C307 C346 C341 C329 C334:C337 C348 C247 C31:C51 C4:C13 C362:C364 C366:C368 C414:C415 C370:C374" xr:uid="{573CC6B2-7201-46EB-B329-0825A60EBF16}">
      <formula1>CLIENTE</formula1>
    </dataValidation>
    <dataValidation type="list" allowBlank="1" showInputMessage="1" showErrorMessage="1" sqref="E414:E415 E59 E69:E70 E81:E82 E86 E88:E96 E187 E189 E226:E231 E272:E273 E275 E72:E75 E198:E212 E233:E234 E67 E77:E79 E84 E98:E99 E158:E159 E162:E164 E167 E171 E173 E178:E179 E181:E184 E191 E194 E196 E236:E250 E214:E224 E260 E262 E268 E277:E280 E282:E293 E101:E150 E2:E53 E295:E412" xr:uid="{17705CA3-8879-4B48-9795-70EEA3958BB7}">
      <formula1>BU</formula1>
    </dataValidation>
    <dataValidation type="list" allowBlank="1" showInputMessage="1" showErrorMessage="1" sqref="D2:D73 D75:D81 D83 D85:D97 D100:D111 D114:D116 D120 D122 D126 D129:D135 D147 D151:D161 D163 D165:D166 D168:D178 D180:D183 D185:D195 D197 D202 D204:D205 D209:D217 D219:D221 D250:D274 D276:D279 D281 D283:D295 D300 D377:D412 D312:D317 D305:D310 D224:D238 D350:D351 D124 D142:D144 D241:D242 D323 D334 D357:D358 D327 D339 D245 D346 D341 D329 D353:D355 D348 D247 D303 D414:D415" xr:uid="{1153195F-62F4-4654-A3F2-5CD20866A957}">
      <formula1>STATUS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CB11-DD9B-4851-A14A-F860C9E6C25B}">
  <sheetPr codeName="Planilha10">
    <tabColor rgb="FFFFC000"/>
    <pageSetUpPr fitToPage="1"/>
  </sheetPr>
  <dimension ref="A1:W2461"/>
  <sheetViews>
    <sheetView showGridLines="0" tabSelected="1" zoomScale="90" zoomScaleNormal="90" workbookViewId="0">
      <selection activeCell="E12" sqref="E12"/>
    </sheetView>
  </sheetViews>
  <sheetFormatPr defaultColWidth="9.109375" defaultRowHeight="14.4" x14ac:dyDescent="0.3"/>
  <cols>
    <col min="1" max="2" width="10.109375" style="8" customWidth="1"/>
    <col min="3" max="3" width="17.88671875" customWidth="1"/>
    <col min="4" max="4" width="13.21875" customWidth="1"/>
    <col min="5" max="5" width="36.109375" customWidth="1"/>
    <col min="6" max="6" width="13.33203125" style="23" customWidth="1"/>
    <col min="7" max="7" width="11.109375" style="106" bestFit="1" customWidth="1"/>
    <col min="8" max="8" width="10" customWidth="1"/>
    <col min="9" max="9" width="14.5546875" customWidth="1"/>
    <col min="10" max="10" width="17.44140625" customWidth="1"/>
    <col min="11" max="11" width="13.109375" style="3" customWidth="1"/>
    <col min="12" max="12" width="15.33203125" style="92" customWidth="1"/>
    <col min="13" max="13" width="15" style="22" customWidth="1"/>
    <col min="14" max="14" width="14.6640625" style="32" customWidth="1"/>
    <col min="15" max="15" width="17.109375" style="11" customWidth="1"/>
    <col min="16" max="16" width="13.109375" style="11" customWidth="1"/>
    <col min="17" max="17" width="14" style="11" customWidth="1"/>
    <col min="18" max="19" width="13.44140625" style="1" customWidth="1"/>
    <col min="20" max="20" width="22.44140625" bestFit="1" customWidth="1"/>
    <col min="21" max="21" width="14.109375" bestFit="1" customWidth="1"/>
    <col min="22" max="22" width="28.109375" bestFit="1" customWidth="1"/>
    <col min="23" max="23" width="13" customWidth="1"/>
  </cols>
  <sheetData>
    <row r="1" spans="1:23" ht="14.25" customHeight="1" x14ac:dyDescent="0.3">
      <c r="A1" s="8" t="s">
        <v>27</v>
      </c>
      <c r="B1" s="8" t="s">
        <v>573</v>
      </c>
      <c r="C1" t="s">
        <v>28</v>
      </c>
      <c r="D1" t="s">
        <v>29</v>
      </c>
      <c r="E1" s="58" t="s">
        <v>30</v>
      </c>
      <c r="F1" s="58" t="s">
        <v>574</v>
      </c>
      <c r="G1" s="59" t="s">
        <v>575</v>
      </c>
      <c r="H1" s="60" t="s">
        <v>571</v>
      </c>
      <c r="I1" s="61" t="s">
        <v>576</v>
      </c>
      <c r="J1" s="61" t="s">
        <v>577</v>
      </c>
      <c r="K1" s="62" t="s">
        <v>578</v>
      </c>
      <c r="L1" s="114" t="s">
        <v>49</v>
      </c>
      <c r="M1" s="63" t="s">
        <v>579</v>
      </c>
      <c r="N1" s="64" t="s">
        <v>50</v>
      </c>
      <c r="O1" s="31" t="s">
        <v>580</v>
      </c>
      <c r="P1" t="s">
        <v>581</v>
      </c>
      <c r="Q1" t="s">
        <v>61</v>
      </c>
      <c r="R1" t="s">
        <v>582</v>
      </c>
      <c r="S1" t="s">
        <v>583</v>
      </c>
      <c r="T1" t="s">
        <v>0</v>
      </c>
      <c r="U1" t="s">
        <v>584</v>
      </c>
      <c r="V1" t="s">
        <v>585</v>
      </c>
      <c r="W1" s="158" t="s">
        <v>757</v>
      </c>
    </row>
    <row r="2" spans="1:23" x14ac:dyDescent="0.3">
      <c r="A2" s="8">
        <v>1390</v>
      </c>
      <c r="B2" s="8" t="str">
        <f>IFERROR(VLOOKUP(Tabela1[[#This Row],[CC]],#REF!,5,0),"")</f>
        <v/>
      </c>
      <c r="C2" t="s">
        <v>66</v>
      </c>
      <c r="D2" t="s">
        <v>11</v>
      </c>
      <c r="E2" t="s">
        <v>374</v>
      </c>
      <c r="F2" t="s">
        <v>586</v>
      </c>
      <c r="G2" s="109">
        <v>652</v>
      </c>
      <c r="H2" s="12">
        <v>44927</v>
      </c>
      <c r="I2" s="10">
        <v>33803.85</v>
      </c>
      <c r="J2" s="10">
        <v>32301.82</v>
      </c>
      <c r="K2" s="3">
        <v>44973</v>
      </c>
      <c r="L2" s="93">
        <v>45677</v>
      </c>
      <c r="M2" s="11">
        <v>45678</v>
      </c>
      <c r="N2" s="18" t="s">
        <v>588</v>
      </c>
      <c r="O2" s="34">
        <v>0</v>
      </c>
      <c r="P2"/>
      <c r="Q2" t="s">
        <v>58</v>
      </c>
      <c r="R2" t="s">
        <v>183</v>
      </c>
      <c r="S2" t="str">
        <f>IFERROR(VLOOKUP(Tabela1[[#This Row],[CC]],CC!$A$1:$H$403,8,0),"")</f>
        <v>OP2</v>
      </c>
      <c r="T2" t="s">
        <v>1</v>
      </c>
      <c r="U2" t="s">
        <v>10</v>
      </c>
    </row>
    <row r="3" spans="1:23" x14ac:dyDescent="0.3">
      <c r="A3" s="8">
        <v>1390</v>
      </c>
      <c r="B3" s="8" t="str">
        <f>IFERROR(VLOOKUP(Tabela1[[#This Row],[CC]],#REF!,5,0),"")</f>
        <v/>
      </c>
      <c r="C3" t="s">
        <v>66</v>
      </c>
      <c r="D3" t="s">
        <v>11</v>
      </c>
      <c r="E3" t="s">
        <v>374</v>
      </c>
      <c r="F3" t="s">
        <v>586</v>
      </c>
      <c r="G3" s="106">
        <v>1168</v>
      </c>
      <c r="H3" s="12">
        <v>45536</v>
      </c>
      <c r="I3" s="10">
        <v>185487.39</v>
      </c>
      <c r="J3" s="10">
        <v>163878.10999999999</v>
      </c>
      <c r="K3" s="3">
        <v>45581</v>
      </c>
      <c r="L3" s="93">
        <v>45677</v>
      </c>
      <c r="M3" s="11">
        <v>45679</v>
      </c>
      <c r="N3" s="18" t="s">
        <v>588</v>
      </c>
      <c r="O3" s="34">
        <v>0</v>
      </c>
      <c r="P3"/>
      <c r="Q3" t="s">
        <v>58</v>
      </c>
      <c r="R3" t="s">
        <v>183</v>
      </c>
      <c r="S3" t="str">
        <f>IFERROR(VLOOKUP(Tabela1[[#This Row],[CC]],CC!$A$1:$H$403,8,0),"")</f>
        <v>OP2</v>
      </c>
    </row>
    <row r="4" spans="1:23" x14ac:dyDescent="0.3">
      <c r="A4" s="25">
        <v>1390</v>
      </c>
      <c r="B4" s="25" t="str">
        <f>IFERROR(VLOOKUP(Tabela1[[#This Row],[CC]],#REF!,5,0),"")</f>
        <v/>
      </c>
      <c r="C4" t="s">
        <v>66</v>
      </c>
      <c r="D4" t="s">
        <v>11</v>
      </c>
      <c r="E4" t="s">
        <v>374</v>
      </c>
      <c r="F4" t="s">
        <v>586</v>
      </c>
      <c r="G4" s="110">
        <v>1179</v>
      </c>
      <c r="H4" s="12">
        <v>45566</v>
      </c>
      <c r="I4" s="10">
        <v>184286.01</v>
      </c>
      <c r="J4" s="24">
        <v>162816.69</v>
      </c>
      <c r="K4" s="3">
        <v>45609</v>
      </c>
      <c r="L4" s="93">
        <v>45677</v>
      </c>
      <c r="M4" s="11">
        <v>45679</v>
      </c>
      <c r="N4" s="18" t="s">
        <v>588</v>
      </c>
      <c r="O4" s="35">
        <v>0</v>
      </c>
      <c r="P4"/>
      <c r="Q4" t="s">
        <v>58</v>
      </c>
      <c r="R4" t="s">
        <v>183</v>
      </c>
      <c r="S4" t="str">
        <f>IFERROR(VLOOKUP(Tabela1[[#This Row],[CC]],CC!$A$1:$H$403,8,0),"")</f>
        <v>OP2</v>
      </c>
    </row>
    <row r="5" spans="1:23" x14ac:dyDescent="0.3">
      <c r="A5" s="8">
        <v>1390</v>
      </c>
      <c r="B5" s="8" t="str">
        <f>IFERROR(VLOOKUP(Tabela1[[#This Row],[CC]],#REF!,5,0),"")</f>
        <v/>
      </c>
      <c r="C5" t="s">
        <v>66</v>
      </c>
      <c r="D5" t="s">
        <v>11</v>
      </c>
      <c r="E5" t="s">
        <v>374</v>
      </c>
      <c r="F5" t="s">
        <v>586</v>
      </c>
      <c r="G5" s="106">
        <v>1195</v>
      </c>
      <c r="H5" s="12">
        <v>45597</v>
      </c>
      <c r="I5" s="24">
        <v>184286.01</v>
      </c>
      <c r="J5" s="24">
        <v>162816.69</v>
      </c>
      <c r="K5" s="3">
        <v>45637</v>
      </c>
      <c r="L5" s="93">
        <v>45698</v>
      </c>
      <c r="M5" s="11">
        <v>45698</v>
      </c>
      <c r="N5" s="18" t="s">
        <v>588</v>
      </c>
      <c r="O5" s="34">
        <v>0</v>
      </c>
      <c r="P5"/>
      <c r="Q5" t="s">
        <v>58</v>
      </c>
      <c r="R5" t="s">
        <v>183</v>
      </c>
      <c r="S5" t="str">
        <f>IFERROR(VLOOKUP(Tabela1[[#This Row],[CC]],CC!$A$1:$H$403,8,0),"")</f>
        <v>OP2</v>
      </c>
    </row>
    <row r="6" spans="1:23" x14ac:dyDescent="0.3">
      <c r="A6" s="8">
        <v>1390</v>
      </c>
      <c r="B6" s="8" t="str">
        <f>IFERROR(VLOOKUP(Tabela1[[#This Row],[CC]],#REF!,5,0),"")</f>
        <v/>
      </c>
      <c r="C6" t="s">
        <v>66</v>
      </c>
      <c r="D6" t="s">
        <v>11</v>
      </c>
      <c r="E6" t="s">
        <v>374</v>
      </c>
      <c r="F6" t="s">
        <v>586</v>
      </c>
      <c r="G6" s="109">
        <v>652</v>
      </c>
      <c r="H6" s="12">
        <v>44927</v>
      </c>
      <c r="I6" s="10">
        <v>33803.85</v>
      </c>
      <c r="J6" s="10">
        <v>32301.82</v>
      </c>
      <c r="K6" s="3">
        <v>44973</v>
      </c>
      <c r="L6" s="93">
        <v>45705</v>
      </c>
      <c r="M6" s="11">
        <v>45709</v>
      </c>
      <c r="N6" s="18" t="s">
        <v>588</v>
      </c>
      <c r="O6" s="34">
        <v>0</v>
      </c>
      <c r="P6"/>
      <c r="Q6" t="s">
        <v>58</v>
      </c>
      <c r="R6" t="s">
        <v>183</v>
      </c>
      <c r="S6" t="str">
        <f>IFERROR(VLOOKUP(Tabela1[[#This Row],[CC]],CC!$A$1:$H$403,8,0),"")</f>
        <v>OP2</v>
      </c>
      <c r="T6" t="s">
        <v>1</v>
      </c>
      <c r="U6" t="s">
        <v>10</v>
      </c>
    </row>
    <row r="7" spans="1:23" x14ac:dyDescent="0.3">
      <c r="A7" s="8">
        <v>1390</v>
      </c>
      <c r="B7" s="8" t="str">
        <f>IFERROR(VLOOKUP(Tabela1[[#This Row],[CC]],#REF!,5,0),"")</f>
        <v/>
      </c>
      <c r="C7" t="s">
        <v>66</v>
      </c>
      <c r="D7" t="s">
        <v>11</v>
      </c>
      <c r="E7" t="s">
        <v>374</v>
      </c>
      <c r="F7" t="s">
        <v>586</v>
      </c>
      <c r="G7" s="109">
        <v>652</v>
      </c>
      <c r="H7" s="12">
        <v>44927</v>
      </c>
      <c r="I7" s="10">
        <v>33803.85</v>
      </c>
      <c r="J7" s="10">
        <v>32301.82</v>
      </c>
      <c r="K7" s="3">
        <v>44973</v>
      </c>
      <c r="L7" s="93">
        <v>45733</v>
      </c>
      <c r="M7" s="11">
        <v>45736</v>
      </c>
      <c r="N7" s="18" t="s">
        <v>588</v>
      </c>
      <c r="O7" s="34">
        <v>0</v>
      </c>
      <c r="P7"/>
      <c r="Q7" t="s">
        <v>58</v>
      </c>
      <c r="R7" t="s">
        <v>183</v>
      </c>
      <c r="S7" t="str">
        <f>IFERROR(VLOOKUP(Tabela1[[#This Row],[CC]],CC!$A$1:$H$403,8,0),"")</f>
        <v>OP2</v>
      </c>
      <c r="T7" t="s">
        <v>1</v>
      </c>
      <c r="U7" t="s">
        <v>10</v>
      </c>
    </row>
    <row r="8" spans="1:23" x14ac:dyDescent="0.3">
      <c r="A8" s="8">
        <v>1390</v>
      </c>
      <c r="B8" s="8" t="str">
        <f>IFERROR(VLOOKUP(Tabela1[[#This Row],[CC]],#REF!,5,0),"")</f>
        <v/>
      </c>
      <c r="C8" t="s">
        <v>66</v>
      </c>
      <c r="D8" t="s">
        <v>11</v>
      </c>
      <c r="E8" t="s">
        <v>374</v>
      </c>
      <c r="F8" t="s">
        <v>586</v>
      </c>
      <c r="G8" s="109">
        <v>652</v>
      </c>
      <c r="H8" s="12">
        <v>44927</v>
      </c>
      <c r="I8" s="10">
        <v>33803.85</v>
      </c>
      <c r="J8" s="10">
        <v>32301.82</v>
      </c>
      <c r="K8" s="3">
        <v>44973</v>
      </c>
      <c r="L8" s="93">
        <v>45768</v>
      </c>
      <c r="M8" s="11">
        <v>45769</v>
      </c>
      <c r="N8" s="18" t="s">
        <v>588</v>
      </c>
      <c r="O8" s="34">
        <v>0</v>
      </c>
      <c r="P8"/>
      <c r="Q8" t="s">
        <v>58</v>
      </c>
      <c r="R8" t="s">
        <v>183</v>
      </c>
      <c r="S8" t="str">
        <f>IFERROR(VLOOKUP(Tabela1[[#This Row],[CC]],CC!$A$1:$H$403,8,0),"")</f>
        <v>OP2</v>
      </c>
      <c r="T8" t="s">
        <v>1</v>
      </c>
      <c r="U8" t="s">
        <v>10</v>
      </c>
    </row>
    <row r="9" spans="1:23" x14ac:dyDescent="0.3">
      <c r="A9" s="8">
        <v>1390</v>
      </c>
      <c r="B9" s="8" t="str">
        <f>IFERROR(VLOOKUP(Tabela1[[#This Row],[CC]],#REF!,5,0),"")</f>
        <v/>
      </c>
      <c r="C9" t="s">
        <v>66</v>
      </c>
      <c r="D9" t="s">
        <v>11</v>
      </c>
      <c r="E9" t="s">
        <v>374</v>
      </c>
      <c r="F9" t="s">
        <v>586</v>
      </c>
      <c r="G9" s="109">
        <v>652</v>
      </c>
      <c r="H9" s="12">
        <v>44927</v>
      </c>
      <c r="I9" s="10">
        <v>33803.85</v>
      </c>
      <c r="J9" s="10">
        <v>32301.82</v>
      </c>
      <c r="K9" s="3">
        <v>44973</v>
      </c>
      <c r="L9" s="93">
        <v>45796</v>
      </c>
      <c r="M9" s="11">
        <v>45798</v>
      </c>
      <c r="N9" s="18" t="s">
        <v>588</v>
      </c>
      <c r="O9" s="34"/>
      <c r="P9" s="14"/>
      <c r="Q9" t="s">
        <v>58</v>
      </c>
      <c r="R9" t="s">
        <v>183</v>
      </c>
      <c r="S9" t="str">
        <f>IFERROR(VLOOKUP(Tabela1[[#This Row],[CC]],CC!$A$1:$H$403,8,0),"")</f>
        <v>OP2</v>
      </c>
      <c r="T9" t="s">
        <v>1</v>
      </c>
      <c r="U9" t="s">
        <v>10</v>
      </c>
    </row>
    <row r="10" spans="1:23" x14ac:dyDescent="0.3">
      <c r="A10" s="25">
        <v>1398</v>
      </c>
      <c r="B10" s="25" t="str">
        <f>IFERROR(VLOOKUP(Tabela1[[#This Row],[CC]],#REF!,5,0),"")</f>
        <v/>
      </c>
      <c r="C10" t="s">
        <v>67</v>
      </c>
      <c r="D10" t="s">
        <v>42</v>
      </c>
      <c r="E10" t="s">
        <v>383</v>
      </c>
      <c r="F10" t="s">
        <v>586</v>
      </c>
      <c r="G10" s="107">
        <v>8397</v>
      </c>
      <c r="H10" s="12">
        <v>45778</v>
      </c>
      <c r="I10" s="27">
        <v>275.56</v>
      </c>
      <c r="J10" s="27">
        <v>258.62</v>
      </c>
      <c r="K10" s="3">
        <v>45835</v>
      </c>
      <c r="L10" s="91">
        <v>45964</v>
      </c>
      <c r="M10" s="11">
        <v>45968</v>
      </c>
      <c r="N10" s="18" t="s">
        <v>588</v>
      </c>
      <c r="O10" s="35">
        <v>0</v>
      </c>
      <c r="P10"/>
      <c r="Q10" t="s">
        <v>58</v>
      </c>
      <c r="R10" t="s">
        <v>183</v>
      </c>
      <c r="S10" t="str">
        <f>IFERROR(VLOOKUP(Tabela1[[#This Row],[CC]],CC!$A$1:$H$403,8,0),"")</f>
        <v>OP2</v>
      </c>
    </row>
    <row r="11" spans="1:23" x14ac:dyDescent="0.3">
      <c r="A11" s="25">
        <v>1398</v>
      </c>
      <c r="B11" s="25" t="str">
        <f>IFERROR(VLOOKUP(Tabela1[[#This Row],[CC]],#REF!,5,0),"")</f>
        <v/>
      </c>
      <c r="C11" t="s">
        <v>67</v>
      </c>
      <c r="D11" t="s">
        <v>42</v>
      </c>
      <c r="E11" t="s">
        <v>383</v>
      </c>
      <c r="F11" t="s">
        <v>586</v>
      </c>
      <c r="G11" s="110">
        <v>8506</v>
      </c>
      <c r="H11" s="12">
        <v>45839</v>
      </c>
      <c r="I11" s="27">
        <v>75919.81</v>
      </c>
      <c r="J11" s="24">
        <v>71250.740000000005</v>
      </c>
      <c r="K11" s="3">
        <v>45909</v>
      </c>
      <c r="L11" s="91">
        <v>45971</v>
      </c>
      <c r="M11" s="11">
        <v>45971</v>
      </c>
      <c r="N11" s="18" t="s">
        <v>588</v>
      </c>
      <c r="O11" s="35">
        <v>0</v>
      </c>
      <c r="P11"/>
      <c r="Q11" t="s">
        <v>58</v>
      </c>
      <c r="R11" t="s">
        <v>183</v>
      </c>
      <c r="S11" t="str">
        <f>IFERROR(VLOOKUP(Tabela1[[#This Row],[CC]],CC!$A$1:$H$403,8,0),"")</f>
        <v>OP2</v>
      </c>
    </row>
    <row r="12" spans="1:23" x14ac:dyDescent="0.3">
      <c r="A12" s="25">
        <v>1398</v>
      </c>
      <c r="B12" s="25" t="str">
        <f>IFERROR(VLOOKUP(Tabela1[[#This Row],[CC]],#REF!,5,0),"")</f>
        <v/>
      </c>
      <c r="C12" t="s">
        <v>67</v>
      </c>
      <c r="D12" t="s">
        <v>42</v>
      </c>
      <c r="E12" t="s">
        <v>383</v>
      </c>
      <c r="F12" t="s">
        <v>586</v>
      </c>
      <c r="G12" s="110">
        <v>8566</v>
      </c>
      <c r="H12" s="12">
        <v>45839</v>
      </c>
      <c r="I12" s="27">
        <v>22241.65</v>
      </c>
      <c r="J12" s="27">
        <v>20873.79</v>
      </c>
      <c r="K12" s="3">
        <v>45945</v>
      </c>
      <c r="L12" s="91">
        <v>45999</v>
      </c>
      <c r="M12" s="11">
        <v>46003</v>
      </c>
      <c r="N12" s="18" t="s">
        <v>588</v>
      </c>
      <c r="O12" s="35">
        <v>0</v>
      </c>
      <c r="P12"/>
      <c r="Q12" t="s">
        <v>58</v>
      </c>
      <c r="R12" t="s">
        <v>183</v>
      </c>
      <c r="S12" t="str">
        <f>IFERROR(VLOOKUP(Tabela1[[#This Row],[CC]],CC!$A$1:$H$403,8,0),"")</f>
        <v>OP2</v>
      </c>
    </row>
    <row r="13" spans="1:23" x14ac:dyDescent="0.3">
      <c r="A13" s="25">
        <v>1398</v>
      </c>
      <c r="B13" s="25" t="str">
        <f>IFERROR(VLOOKUP(Tabela1[[#This Row],[CC]],#REF!,5,0),"")</f>
        <v/>
      </c>
      <c r="C13" t="s">
        <v>67</v>
      </c>
      <c r="D13" t="s">
        <v>42</v>
      </c>
      <c r="E13" t="s">
        <v>383</v>
      </c>
      <c r="F13" t="s">
        <v>586</v>
      </c>
      <c r="G13" s="110">
        <v>8488</v>
      </c>
      <c r="H13" s="12">
        <v>45870</v>
      </c>
      <c r="I13" s="27">
        <v>48000</v>
      </c>
      <c r="J13" s="24">
        <v>45048</v>
      </c>
      <c r="K13" s="3">
        <v>45903</v>
      </c>
      <c r="L13" s="91">
        <v>45971</v>
      </c>
      <c r="M13" s="11">
        <v>45973</v>
      </c>
      <c r="N13" s="18" t="s">
        <v>588</v>
      </c>
      <c r="O13" s="35">
        <v>0</v>
      </c>
      <c r="P13"/>
      <c r="Q13" t="s">
        <v>58</v>
      </c>
      <c r="R13" t="s">
        <v>183</v>
      </c>
      <c r="S13" t="str">
        <f>IFERROR(VLOOKUP(Tabela1[[#This Row],[CC]],CC!$A$1:$H$403,8,0),"")</f>
        <v>OP2</v>
      </c>
    </row>
    <row r="14" spans="1:23" x14ac:dyDescent="0.3">
      <c r="A14" s="25">
        <v>1398</v>
      </c>
      <c r="B14" s="25" t="str">
        <f>IFERROR(VLOOKUP(Tabela1[[#This Row],[CC]],#REF!,5,0),"")</f>
        <v/>
      </c>
      <c r="C14" t="s">
        <v>67</v>
      </c>
      <c r="D14" t="s">
        <v>42</v>
      </c>
      <c r="E14" t="s">
        <v>383</v>
      </c>
      <c r="F14" s="89" t="s">
        <v>586</v>
      </c>
      <c r="G14" s="110">
        <v>8524</v>
      </c>
      <c r="H14" s="12">
        <v>45870</v>
      </c>
      <c r="I14" s="27">
        <v>75919.81</v>
      </c>
      <c r="J14" s="24">
        <v>71250.740000000005</v>
      </c>
      <c r="K14" s="3">
        <v>45924</v>
      </c>
      <c r="L14" s="91">
        <v>45985</v>
      </c>
      <c r="M14" s="11">
        <v>45985</v>
      </c>
      <c r="N14" s="18" t="s">
        <v>588</v>
      </c>
      <c r="O14" s="35">
        <v>0</v>
      </c>
      <c r="P14"/>
      <c r="Q14" t="s">
        <v>58</v>
      </c>
      <c r="R14" t="s">
        <v>183</v>
      </c>
      <c r="S14" t="str">
        <f>IFERROR(VLOOKUP(Tabela1[[#This Row],[CC]],CC!$A$1:$H$403,8,0),"")</f>
        <v>OP2</v>
      </c>
    </row>
    <row r="15" spans="1:23" x14ac:dyDescent="0.3">
      <c r="A15" s="25">
        <v>1398</v>
      </c>
      <c r="B15" s="25" t="str">
        <f>IFERROR(VLOOKUP(Tabela1[[#This Row],[CC]],#REF!,5,0),"")</f>
        <v/>
      </c>
      <c r="C15" t="s">
        <v>67</v>
      </c>
      <c r="D15" t="s">
        <v>42</v>
      </c>
      <c r="E15" t="s">
        <v>383</v>
      </c>
      <c r="F15" t="s">
        <v>586</v>
      </c>
      <c r="G15" s="110">
        <v>8529</v>
      </c>
      <c r="H15" s="12">
        <v>45901</v>
      </c>
      <c r="I15" s="27">
        <v>48000</v>
      </c>
      <c r="J15" s="24">
        <v>45048</v>
      </c>
      <c r="K15" s="3">
        <v>45931</v>
      </c>
      <c r="L15" s="91">
        <v>45985</v>
      </c>
      <c r="M15" s="11">
        <v>45989</v>
      </c>
      <c r="N15" s="18" t="s">
        <v>588</v>
      </c>
      <c r="O15" s="35">
        <v>0</v>
      </c>
      <c r="P15"/>
      <c r="Q15" t="s">
        <v>58</v>
      </c>
      <c r="R15" t="s">
        <v>183</v>
      </c>
      <c r="S15" t="str">
        <f>IFERROR(VLOOKUP(Tabela1[[#This Row],[CC]],CC!$A$1:$H$403,8,0),"")</f>
        <v>OP2</v>
      </c>
    </row>
    <row r="16" spans="1:23" x14ac:dyDescent="0.3">
      <c r="A16" s="8">
        <v>1390</v>
      </c>
      <c r="B16" s="8" t="str">
        <f>IFERROR(VLOOKUP(Tabela1[[#This Row],[CC]],#REF!,5,0),"")</f>
        <v/>
      </c>
      <c r="C16" t="s">
        <v>66</v>
      </c>
      <c r="D16" t="s">
        <v>11</v>
      </c>
      <c r="E16" t="s">
        <v>374</v>
      </c>
      <c r="F16" t="s">
        <v>586</v>
      </c>
      <c r="G16" s="106">
        <v>1235</v>
      </c>
      <c r="H16" s="12">
        <v>45658</v>
      </c>
      <c r="I16" s="10">
        <v>191510.84</v>
      </c>
      <c r="J16" s="10">
        <v>169199.83</v>
      </c>
      <c r="K16" s="3">
        <v>45742</v>
      </c>
      <c r="L16" s="91">
        <v>45817</v>
      </c>
      <c r="M16" s="11">
        <v>45821</v>
      </c>
      <c r="N16" s="18" t="s">
        <v>588</v>
      </c>
      <c r="O16" s="34">
        <v>0</v>
      </c>
      <c r="P16"/>
      <c r="Q16" t="s">
        <v>58</v>
      </c>
      <c r="R16" t="s">
        <v>183</v>
      </c>
      <c r="S16" t="str">
        <f>IFERROR(VLOOKUP(Tabela1[[#This Row],[CC]],CC!$A$1:$H$403,8,0),"")</f>
        <v>OP2</v>
      </c>
    </row>
    <row r="17" spans="1:21" x14ac:dyDescent="0.3">
      <c r="A17" s="8">
        <v>1455</v>
      </c>
      <c r="B17" s="8" t="str">
        <f>IFERROR(VLOOKUP(Tabela1[[#This Row],[CC]],#REF!,5,0),"")</f>
        <v/>
      </c>
      <c r="C17" t="s">
        <v>70</v>
      </c>
      <c r="D17" t="s">
        <v>31</v>
      </c>
      <c r="E17" t="s">
        <v>455</v>
      </c>
      <c r="F17" t="s">
        <v>586</v>
      </c>
      <c r="G17" s="108">
        <v>1193</v>
      </c>
      <c r="H17" s="12">
        <v>45566</v>
      </c>
      <c r="I17" s="24">
        <v>3744</v>
      </c>
      <c r="J17" s="27">
        <v>3307.82</v>
      </c>
      <c r="K17" s="3">
        <v>45635</v>
      </c>
      <c r="L17" s="91">
        <v>45663</v>
      </c>
      <c r="M17" s="11">
        <v>45667</v>
      </c>
      <c r="N17" s="21" t="s">
        <v>588</v>
      </c>
      <c r="O17" s="34">
        <v>0</v>
      </c>
      <c r="P17"/>
      <c r="Q17" t="s">
        <v>58</v>
      </c>
      <c r="R17" t="s">
        <v>228</v>
      </c>
      <c r="S17" t="str">
        <f>IFERROR(VLOOKUP(Tabela1[[#This Row],[CC]],CC!$A$1:$H$403,8,0),"")</f>
        <v>OP4</v>
      </c>
    </row>
    <row r="18" spans="1:21" x14ac:dyDescent="0.3">
      <c r="A18" s="25">
        <v>1398</v>
      </c>
      <c r="B18" s="25" t="str">
        <f>IFERROR(VLOOKUP(Tabela1[[#This Row],[CC]],#REF!,5,0),"")</f>
        <v/>
      </c>
      <c r="C18" t="s">
        <v>67</v>
      </c>
      <c r="D18" t="s">
        <v>42</v>
      </c>
      <c r="E18" t="s">
        <v>383</v>
      </c>
      <c r="F18" t="s">
        <v>586</v>
      </c>
      <c r="G18" s="110">
        <v>8081</v>
      </c>
      <c r="H18" s="12">
        <v>45566</v>
      </c>
      <c r="I18" s="24">
        <v>36914.53</v>
      </c>
      <c r="J18" s="27">
        <v>34726.400000000001</v>
      </c>
      <c r="K18" s="3">
        <v>45602</v>
      </c>
      <c r="L18" s="91">
        <v>45663</v>
      </c>
      <c r="M18" s="11">
        <v>45663</v>
      </c>
      <c r="N18" s="18" t="s">
        <v>588</v>
      </c>
      <c r="O18" s="35">
        <v>0</v>
      </c>
      <c r="P18"/>
      <c r="Q18" t="s">
        <v>58</v>
      </c>
      <c r="R18" t="s">
        <v>183</v>
      </c>
      <c r="S18" t="str">
        <f>IFERROR(VLOOKUP(Tabela1[[#This Row],[CC]],CC!$A$1:$H$403,8,0),"")</f>
        <v>OP2</v>
      </c>
    </row>
    <row r="19" spans="1:21" x14ac:dyDescent="0.3">
      <c r="A19" s="25">
        <v>1398</v>
      </c>
      <c r="B19" s="25" t="str">
        <f>IFERROR(VLOOKUP(Tabela1[[#This Row],[CC]],#REF!,5,0),"")</f>
        <v/>
      </c>
      <c r="C19" t="s">
        <v>67</v>
      </c>
      <c r="D19" t="s">
        <v>42</v>
      </c>
      <c r="E19" t="s">
        <v>383</v>
      </c>
      <c r="F19" t="s">
        <v>586</v>
      </c>
      <c r="G19" s="107">
        <v>8082</v>
      </c>
      <c r="H19" s="12">
        <v>45566</v>
      </c>
      <c r="I19" s="24">
        <v>11210.79</v>
      </c>
      <c r="J19" s="24">
        <v>10521.33</v>
      </c>
      <c r="K19" s="3">
        <v>45602</v>
      </c>
      <c r="L19" s="91">
        <v>45663</v>
      </c>
      <c r="M19" s="11">
        <v>45663</v>
      </c>
      <c r="N19" s="18" t="s">
        <v>588</v>
      </c>
      <c r="O19" s="35">
        <v>0</v>
      </c>
      <c r="P19"/>
      <c r="Q19" t="s">
        <v>58</v>
      </c>
      <c r="R19" t="s">
        <v>183</v>
      </c>
      <c r="S19" t="str">
        <f>IFERROR(VLOOKUP(Tabela1[[#This Row],[CC]],CC!$A$1:$H$403,8,0),"")</f>
        <v>OP2</v>
      </c>
    </row>
    <row r="20" spans="1:21" x14ac:dyDescent="0.3">
      <c r="A20" s="25">
        <v>1398</v>
      </c>
      <c r="B20" s="25" t="str">
        <f>IFERROR(VLOOKUP(Tabela1[[#This Row],[CC]],#REF!,5,0),"")</f>
        <v/>
      </c>
      <c r="C20" t="s">
        <v>67</v>
      </c>
      <c r="D20" t="s">
        <v>42</v>
      </c>
      <c r="E20" t="s">
        <v>383</v>
      </c>
      <c r="F20" t="s">
        <v>586</v>
      </c>
      <c r="G20" s="107">
        <v>8117</v>
      </c>
      <c r="H20" s="12">
        <v>45566</v>
      </c>
      <c r="I20" s="24">
        <v>13110.33</v>
      </c>
      <c r="J20" s="27">
        <v>12304.05</v>
      </c>
      <c r="K20" s="3">
        <v>45631</v>
      </c>
      <c r="L20" s="91">
        <v>45684</v>
      </c>
      <c r="M20" s="11">
        <v>45687</v>
      </c>
      <c r="N20" s="18" t="s">
        <v>588</v>
      </c>
      <c r="O20" s="35">
        <v>0</v>
      </c>
      <c r="P20"/>
      <c r="Q20" t="s">
        <v>58</v>
      </c>
      <c r="R20" t="s">
        <v>183</v>
      </c>
      <c r="S20" t="str">
        <f>IFERROR(VLOOKUP(Tabela1[[#This Row],[CC]],CC!$A$1:$H$403,8,0),"")</f>
        <v>OP2</v>
      </c>
    </row>
    <row r="21" spans="1:21" x14ac:dyDescent="0.3">
      <c r="A21" s="25">
        <v>1398</v>
      </c>
      <c r="B21" s="25" t="str">
        <f>IFERROR(VLOOKUP(Tabela1[[#This Row],[CC]],#REF!,5,0),"")</f>
        <v/>
      </c>
      <c r="C21" t="s">
        <v>67</v>
      </c>
      <c r="D21" t="s">
        <v>42</v>
      </c>
      <c r="E21" t="s">
        <v>383</v>
      </c>
      <c r="F21" t="s">
        <v>586</v>
      </c>
      <c r="G21" s="107">
        <v>8537</v>
      </c>
      <c r="H21" s="12">
        <v>45901</v>
      </c>
      <c r="I21" s="27">
        <v>26093.54</v>
      </c>
      <c r="J21" s="24">
        <v>24488.79</v>
      </c>
      <c r="K21" s="3">
        <v>45932</v>
      </c>
      <c r="L21" s="91">
        <v>45964</v>
      </c>
      <c r="M21" s="11">
        <v>45964</v>
      </c>
      <c r="N21" s="18" t="s">
        <v>588</v>
      </c>
      <c r="O21" s="35">
        <v>0</v>
      </c>
      <c r="P21"/>
      <c r="Q21" t="s">
        <v>58</v>
      </c>
      <c r="R21" t="s">
        <v>183</v>
      </c>
      <c r="S21" t="str">
        <f>IFERROR(VLOOKUP(Tabela1[[#This Row],[CC]],CC!$A$1:$H$403,8,0),"")</f>
        <v>OP2</v>
      </c>
    </row>
    <row r="22" spans="1:21" x14ac:dyDescent="0.3">
      <c r="A22" s="8">
        <v>1390</v>
      </c>
      <c r="B22" s="8" t="str">
        <f>IFERROR(VLOOKUP(Tabela1[[#This Row],[CC]],#REF!,5,0),"")</f>
        <v/>
      </c>
      <c r="C22" t="s">
        <v>66</v>
      </c>
      <c r="D22" t="s">
        <v>11</v>
      </c>
      <c r="E22" t="s">
        <v>374</v>
      </c>
      <c r="F22" t="s">
        <v>586</v>
      </c>
      <c r="G22" s="110">
        <v>1253</v>
      </c>
      <c r="H22" s="12">
        <v>45689</v>
      </c>
      <c r="I22" s="10">
        <v>182670.84</v>
      </c>
      <c r="J22" s="10">
        <v>161389.68</v>
      </c>
      <c r="K22" s="3">
        <v>45791</v>
      </c>
      <c r="L22" s="91">
        <v>45852</v>
      </c>
      <c r="M22" s="11">
        <v>45855</v>
      </c>
      <c r="N22" s="18" t="s">
        <v>588</v>
      </c>
      <c r="O22" s="34">
        <v>0</v>
      </c>
      <c r="P22"/>
      <c r="Q22" t="s">
        <v>58</v>
      </c>
      <c r="R22" t="s">
        <v>183</v>
      </c>
      <c r="S22" t="str">
        <f>IFERROR(VLOOKUP(Tabela1[[#This Row],[CC]],CC!$A$1:$H$403,8,0),"")</f>
        <v>OP2</v>
      </c>
    </row>
    <row r="23" spans="1:21" x14ac:dyDescent="0.3">
      <c r="A23" s="8">
        <v>1455</v>
      </c>
      <c r="B23" s="8" t="str">
        <f>IFERROR(VLOOKUP(Tabela1[[#This Row],[CC]],#REF!,5,0),"")</f>
        <v/>
      </c>
      <c r="C23" t="s">
        <v>70</v>
      </c>
      <c r="D23" t="s">
        <v>31</v>
      </c>
      <c r="E23" t="s">
        <v>455</v>
      </c>
      <c r="F23" t="s">
        <v>586</v>
      </c>
      <c r="G23" s="110">
        <v>1192</v>
      </c>
      <c r="H23" s="12">
        <v>45597</v>
      </c>
      <c r="I23" s="24">
        <v>6240</v>
      </c>
      <c r="J23" s="27">
        <v>5513.04</v>
      </c>
      <c r="K23" s="3">
        <v>45635</v>
      </c>
      <c r="L23" s="91">
        <v>45663</v>
      </c>
      <c r="M23" s="11">
        <v>45667</v>
      </c>
      <c r="N23" s="21" t="s">
        <v>588</v>
      </c>
      <c r="O23" s="34">
        <v>0</v>
      </c>
      <c r="P23"/>
      <c r="Q23" t="s">
        <v>58</v>
      </c>
      <c r="R23" t="s">
        <v>228</v>
      </c>
      <c r="S23" t="str">
        <f>IFERROR(VLOOKUP(Tabela1[[#This Row],[CC]],CC!$A$1:$H$403,8,0),"")</f>
        <v>OP4</v>
      </c>
    </row>
    <row r="24" spans="1:21" x14ac:dyDescent="0.3">
      <c r="A24" s="25">
        <v>1292</v>
      </c>
      <c r="B24" s="25" t="str">
        <f>IFERROR(VLOOKUP(Tabela1[[#This Row],[CC]],#REF!,5,0),"")</f>
        <v/>
      </c>
      <c r="C24" t="s">
        <v>32</v>
      </c>
      <c r="D24" t="s">
        <v>56</v>
      </c>
      <c r="E24" t="s">
        <v>266</v>
      </c>
      <c r="F24" t="s">
        <v>586</v>
      </c>
      <c r="G24" s="110">
        <v>3794</v>
      </c>
      <c r="H24" s="12">
        <v>45597</v>
      </c>
      <c r="I24" s="24">
        <v>88281.31</v>
      </c>
      <c r="J24" s="24">
        <v>82852.009999999995</v>
      </c>
      <c r="K24" s="3">
        <v>45694</v>
      </c>
      <c r="L24" s="91">
        <v>45712</v>
      </c>
      <c r="M24" s="11">
        <v>45714</v>
      </c>
      <c r="N24" s="1" t="s">
        <v>588</v>
      </c>
      <c r="O24" s="35">
        <v>0</v>
      </c>
      <c r="P24"/>
      <c r="Q24" t="s">
        <v>55</v>
      </c>
      <c r="R24" t="s">
        <v>231</v>
      </c>
      <c r="S24" t="str">
        <f>IFERROR(VLOOKUP(Tabela1[[#This Row],[CC]],CC!$A$1:$H$403,8,0),"")</f>
        <v>OP1</v>
      </c>
    </row>
    <row r="25" spans="1:21" x14ac:dyDescent="0.3">
      <c r="A25" s="25">
        <v>1398</v>
      </c>
      <c r="B25" s="25" t="str">
        <f>IFERROR(VLOOKUP(Tabela1[[#This Row],[CC]],#REF!,5,0),"")</f>
        <v/>
      </c>
      <c r="C25" t="s">
        <v>67</v>
      </c>
      <c r="D25" t="s">
        <v>42</v>
      </c>
      <c r="E25" t="s">
        <v>383</v>
      </c>
      <c r="F25" t="s">
        <v>586</v>
      </c>
      <c r="G25" s="107">
        <v>8136</v>
      </c>
      <c r="H25" s="12">
        <v>45597</v>
      </c>
      <c r="I25" s="27">
        <v>38316</v>
      </c>
      <c r="J25" s="24">
        <v>35959.57</v>
      </c>
      <c r="K25" s="3">
        <v>45635</v>
      </c>
      <c r="L25" s="91">
        <v>45691</v>
      </c>
      <c r="M25" s="11">
        <v>45695</v>
      </c>
      <c r="N25" s="18" t="s">
        <v>588</v>
      </c>
      <c r="O25" s="35">
        <v>0</v>
      </c>
      <c r="P25"/>
      <c r="Q25" t="s">
        <v>58</v>
      </c>
      <c r="R25" t="s">
        <v>183</v>
      </c>
      <c r="S25" t="str">
        <f>IFERROR(VLOOKUP(Tabela1[[#This Row],[CC]],CC!$A$1:$H$403,8,0),"")</f>
        <v>OP2</v>
      </c>
    </row>
    <row r="26" spans="1:21" x14ac:dyDescent="0.3">
      <c r="A26" s="25">
        <v>1398</v>
      </c>
      <c r="B26" s="25" t="str">
        <f>IFERROR(VLOOKUP(Tabela1[[#This Row],[CC]],#REF!,5,0),"")</f>
        <v/>
      </c>
      <c r="C26" t="s">
        <v>67</v>
      </c>
      <c r="D26" t="s">
        <v>42</v>
      </c>
      <c r="E26" t="s">
        <v>383</v>
      </c>
      <c r="F26" t="s">
        <v>586</v>
      </c>
      <c r="G26" s="107">
        <v>8137</v>
      </c>
      <c r="H26" s="12">
        <v>45597</v>
      </c>
      <c r="I26" s="27">
        <v>11210.79</v>
      </c>
      <c r="J26" s="24">
        <v>10521.33</v>
      </c>
      <c r="K26" s="3">
        <v>45636</v>
      </c>
      <c r="L26" s="91">
        <v>45698</v>
      </c>
      <c r="M26" s="11">
        <v>45698</v>
      </c>
      <c r="N26" s="18" t="s">
        <v>588</v>
      </c>
      <c r="O26" s="35">
        <v>0</v>
      </c>
      <c r="P26"/>
      <c r="Q26" t="s">
        <v>58</v>
      </c>
      <c r="R26" t="s">
        <v>183</v>
      </c>
      <c r="S26" t="str">
        <f>IFERROR(VLOOKUP(Tabela1[[#This Row],[CC]],CC!$A$1:$H$403,8,0),"")</f>
        <v>OP2</v>
      </c>
    </row>
    <row r="27" spans="1:21" x14ac:dyDescent="0.3">
      <c r="A27" s="25">
        <v>1398</v>
      </c>
      <c r="B27" s="25" t="str">
        <f>IFERROR(VLOOKUP(Tabela1[[#This Row],[CC]],#REF!,5,0),"")</f>
        <v/>
      </c>
      <c r="C27" t="s">
        <v>67</v>
      </c>
      <c r="D27" t="s">
        <v>42</v>
      </c>
      <c r="E27" t="s">
        <v>383</v>
      </c>
      <c r="F27" t="s">
        <v>586</v>
      </c>
      <c r="G27" s="107">
        <v>8138</v>
      </c>
      <c r="H27" s="12">
        <v>45597</v>
      </c>
      <c r="I27" s="27">
        <v>36914.53</v>
      </c>
      <c r="J27" s="24">
        <v>35873.1</v>
      </c>
      <c r="K27" s="3">
        <v>45636</v>
      </c>
      <c r="L27" s="91">
        <v>45698</v>
      </c>
      <c r="M27" s="11">
        <v>45698</v>
      </c>
      <c r="N27" s="18" t="s">
        <v>588</v>
      </c>
      <c r="O27" s="35">
        <v>0</v>
      </c>
      <c r="P27"/>
      <c r="Q27" t="s">
        <v>58</v>
      </c>
      <c r="R27" t="s">
        <v>183</v>
      </c>
      <c r="S27" t="str">
        <f>IFERROR(VLOOKUP(Tabela1[[#This Row],[CC]],CC!$A$1:$H$403,8,0),"")</f>
        <v>OP2</v>
      </c>
    </row>
    <row r="28" spans="1:21" x14ac:dyDescent="0.3">
      <c r="A28" s="25">
        <v>1398</v>
      </c>
      <c r="B28" s="25" t="str">
        <f>IFERROR(VLOOKUP(Tabela1[[#This Row],[CC]],#REF!,5,0),"")</f>
        <v/>
      </c>
      <c r="C28" t="s">
        <v>67</v>
      </c>
      <c r="D28" t="s">
        <v>42</v>
      </c>
      <c r="E28" t="s">
        <v>383</v>
      </c>
      <c r="F28" t="s">
        <v>586</v>
      </c>
      <c r="G28" s="107">
        <v>8546</v>
      </c>
      <c r="H28" s="12">
        <v>45901</v>
      </c>
      <c r="I28" s="27">
        <v>75919.81</v>
      </c>
      <c r="J28" s="24">
        <v>71250.740000000005</v>
      </c>
      <c r="K28" s="3">
        <v>45938</v>
      </c>
      <c r="L28" s="91">
        <v>45992</v>
      </c>
      <c r="M28" s="11">
        <v>45996</v>
      </c>
      <c r="N28" s="18" t="s">
        <v>588</v>
      </c>
      <c r="O28" s="35">
        <v>0</v>
      </c>
      <c r="P28"/>
      <c r="Q28" t="s">
        <v>58</v>
      </c>
      <c r="R28" t="s">
        <v>183</v>
      </c>
      <c r="S28" t="str">
        <f>IFERROR(VLOOKUP(Tabela1[[#This Row],[CC]],CC!$A$1:$H$403,8,0),"")</f>
        <v>OP2</v>
      </c>
    </row>
    <row r="29" spans="1:21" x14ac:dyDescent="0.3">
      <c r="A29" s="25">
        <v>1398</v>
      </c>
      <c r="B29" s="25" t="str">
        <f>IFERROR(VLOOKUP(Tabela1[[#This Row],[CC]],#REF!,5,0),"")</f>
        <v/>
      </c>
      <c r="C29" t="s">
        <v>67</v>
      </c>
      <c r="D29" t="s">
        <v>42</v>
      </c>
      <c r="E29" t="s">
        <v>383</v>
      </c>
      <c r="F29" t="s">
        <v>586</v>
      </c>
      <c r="G29" s="107">
        <v>8140</v>
      </c>
      <c r="H29" s="12">
        <v>45597</v>
      </c>
      <c r="I29" s="27">
        <v>13110.33</v>
      </c>
      <c r="J29" s="27">
        <v>12304.04</v>
      </c>
      <c r="K29" s="3">
        <v>45636</v>
      </c>
      <c r="L29" s="91">
        <v>45698</v>
      </c>
      <c r="M29" s="11">
        <v>45699</v>
      </c>
      <c r="N29" s="18" t="s">
        <v>588</v>
      </c>
      <c r="O29" s="35">
        <v>0</v>
      </c>
      <c r="P29"/>
      <c r="Q29" t="s">
        <v>58</v>
      </c>
      <c r="R29" t="s">
        <v>183</v>
      </c>
      <c r="S29" t="str">
        <f>IFERROR(VLOOKUP(Tabela1[[#This Row],[CC]],CC!$A$1:$H$403,8,0),"")</f>
        <v>OP2</v>
      </c>
    </row>
    <row r="30" spans="1:21" x14ac:dyDescent="0.3">
      <c r="A30" s="8">
        <v>1300</v>
      </c>
      <c r="B30" s="8" t="str">
        <f>IFERROR(VLOOKUP(Tabela1[[#This Row],[CC]],#REF!,5,0),"")</f>
        <v/>
      </c>
      <c r="C30" t="s">
        <v>66</v>
      </c>
      <c r="D30" t="s">
        <v>16</v>
      </c>
      <c r="E30" t="s">
        <v>275</v>
      </c>
      <c r="F30" t="s">
        <v>586</v>
      </c>
      <c r="G30" s="110">
        <v>1200</v>
      </c>
      <c r="H30" s="12">
        <v>45597</v>
      </c>
      <c r="I30" s="10">
        <v>305213.15000000002</v>
      </c>
      <c r="J30" s="10">
        <v>275760.08</v>
      </c>
      <c r="K30" s="3">
        <v>45642</v>
      </c>
      <c r="L30" s="91">
        <v>45670</v>
      </c>
      <c r="M30" s="5">
        <v>45672</v>
      </c>
      <c r="N30" s="36" t="s">
        <v>588</v>
      </c>
      <c r="O30" s="37">
        <v>0</v>
      </c>
      <c r="P30" s="14"/>
      <c r="Q30" t="s">
        <v>58</v>
      </c>
      <c r="R30" t="s">
        <v>183</v>
      </c>
      <c r="S30" t="str">
        <f>IFERROR(VLOOKUP(Tabela1[[#This Row],[CC]],CC!$A$1:$H$403,8,0),"")</f>
        <v>OP2</v>
      </c>
    </row>
    <row r="31" spans="1:21" x14ac:dyDescent="0.3">
      <c r="A31" s="8">
        <v>1378</v>
      </c>
      <c r="B31" s="8" t="str">
        <f>IFERROR(VLOOKUP(Tabela1[[#This Row],[CC]],#REF!,5,0),"")</f>
        <v/>
      </c>
      <c r="C31" t="s">
        <v>51</v>
      </c>
      <c r="D31" t="s">
        <v>5</v>
      </c>
      <c r="E31" t="s">
        <v>361</v>
      </c>
      <c r="F31" t="s">
        <v>586</v>
      </c>
      <c r="G31" s="110">
        <v>8160</v>
      </c>
      <c r="H31" s="12">
        <v>45597</v>
      </c>
      <c r="I31" s="10">
        <v>4281.29</v>
      </c>
      <c r="J31" s="10">
        <v>4017.99</v>
      </c>
      <c r="K31" s="3">
        <v>45643</v>
      </c>
      <c r="L31" s="91">
        <v>45663</v>
      </c>
      <c r="M31" s="5">
        <v>45666</v>
      </c>
      <c r="N31" s="36" t="s">
        <v>588</v>
      </c>
      <c r="O31" s="37">
        <v>0</v>
      </c>
      <c r="P31" s="14"/>
      <c r="Q31" t="s">
        <v>57</v>
      </c>
      <c r="R31" t="s">
        <v>231</v>
      </c>
      <c r="S31" t="str">
        <f>IFERROR(VLOOKUP(Tabela1[[#This Row],[CC]],CC!$A$1:$H$403,8,0),"")</f>
        <v>OP2</v>
      </c>
      <c r="T31" t="s">
        <v>1</v>
      </c>
      <c r="U31" t="s">
        <v>2</v>
      </c>
    </row>
    <row r="32" spans="1:21" x14ac:dyDescent="0.3">
      <c r="A32" s="8">
        <v>1390</v>
      </c>
      <c r="B32" s="8" t="str">
        <f>IFERROR(VLOOKUP(Tabela1[[#This Row],[CC]],#REF!,5,0),"")</f>
        <v/>
      </c>
      <c r="C32" t="s">
        <v>66</v>
      </c>
      <c r="D32" t="s">
        <v>11</v>
      </c>
      <c r="E32" t="s">
        <v>374</v>
      </c>
      <c r="F32" t="s">
        <v>586</v>
      </c>
      <c r="G32" s="110">
        <v>1252</v>
      </c>
      <c r="H32" s="12">
        <v>45689</v>
      </c>
      <c r="I32" s="10">
        <v>8840</v>
      </c>
      <c r="J32" s="10">
        <v>7810.14</v>
      </c>
      <c r="K32" s="3">
        <v>45791</v>
      </c>
      <c r="L32" s="91">
        <v>45852</v>
      </c>
      <c r="M32" s="11">
        <v>45855</v>
      </c>
      <c r="N32" s="18" t="s">
        <v>588</v>
      </c>
      <c r="O32" s="34">
        <v>0</v>
      </c>
      <c r="P32"/>
      <c r="Q32" t="s">
        <v>58</v>
      </c>
      <c r="R32" t="s">
        <v>183</v>
      </c>
      <c r="S32" t="str">
        <f>IFERROR(VLOOKUP(Tabela1[[#This Row],[CC]],CC!$A$1:$H$403,8,0),"")</f>
        <v>OP2</v>
      </c>
    </row>
    <row r="33" spans="1:20" x14ac:dyDescent="0.3">
      <c r="A33" s="25">
        <v>1481</v>
      </c>
      <c r="B33" s="25" t="str">
        <f>IFERROR(VLOOKUP(Tabela1[[#This Row],[CC]],#REF!,5,0),"")</f>
        <v/>
      </c>
      <c r="C33" t="s">
        <v>51</v>
      </c>
      <c r="D33" t="s">
        <v>40</v>
      </c>
      <c r="E33" t="s">
        <v>486</v>
      </c>
      <c r="F33" t="s">
        <v>586</v>
      </c>
      <c r="G33" s="110">
        <v>3728</v>
      </c>
      <c r="H33" s="12">
        <v>45597</v>
      </c>
      <c r="I33" s="24">
        <v>75283.92</v>
      </c>
      <c r="J33" s="24">
        <v>70653.960000000006</v>
      </c>
      <c r="K33" s="3">
        <v>45642</v>
      </c>
      <c r="L33" s="91">
        <v>45663</v>
      </c>
      <c r="M33" s="11">
        <v>45667</v>
      </c>
      <c r="N33" s="18" t="s">
        <v>588</v>
      </c>
      <c r="O33" s="35">
        <v>0</v>
      </c>
      <c r="P33"/>
      <c r="Q33" t="s">
        <v>55</v>
      </c>
      <c r="R33" t="s">
        <v>231</v>
      </c>
      <c r="S33" t="str">
        <f>IFERROR(VLOOKUP(Tabela1[[#This Row],[CC]],CC!$A$1:$H$403,8,0),"")</f>
        <v>OP2</v>
      </c>
    </row>
    <row r="34" spans="1:20" x14ac:dyDescent="0.3">
      <c r="A34" s="25">
        <v>1394</v>
      </c>
      <c r="B34" s="25" t="str">
        <f>IFERROR(VLOOKUP(Tabela1[[#This Row],[CC]],#REF!,5,0),"")</f>
        <v/>
      </c>
      <c r="C34" t="s">
        <v>65</v>
      </c>
      <c r="D34" t="s">
        <v>18</v>
      </c>
      <c r="E34" t="s">
        <v>378</v>
      </c>
      <c r="F34" t="s">
        <v>586</v>
      </c>
      <c r="G34" s="110">
        <v>8394</v>
      </c>
      <c r="H34" s="12">
        <v>45597</v>
      </c>
      <c r="I34" s="24">
        <v>52020</v>
      </c>
      <c r="J34" s="24">
        <v>48482.64</v>
      </c>
      <c r="K34" s="3">
        <v>45834</v>
      </c>
      <c r="L34" s="91">
        <v>45859</v>
      </c>
      <c r="M34" s="29">
        <v>45863</v>
      </c>
      <c r="N34" s="36" t="s">
        <v>588</v>
      </c>
      <c r="O34" s="41"/>
      <c r="P34" s="26"/>
      <c r="Q34" t="s">
        <v>58</v>
      </c>
      <c r="R34" t="s">
        <v>195</v>
      </c>
      <c r="S34" t="str">
        <f>IFERROR(VLOOKUP(Tabela1[[#This Row],[CC]],CC!$A$1:$H$403,8,0),"")</f>
        <v>OP4</v>
      </c>
      <c r="T34" t="s">
        <v>589</v>
      </c>
    </row>
    <row r="35" spans="1:20" x14ac:dyDescent="0.3">
      <c r="A35" s="25">
        <v>1394</v>
      </c>
      <c r="B35" s="25" t="str">
        <f>IFERROR(VLOOKUP(Tabela1[[#This Row],[CC]],#REF!,5,0),"")</f>
        <v/>
      </c>
      <c r="C35" t="s">
        <v>65</v>
      </c>
      <c r="D35" t="s">
        <v>18</v>
      </c>
      <c r="E35" t="s">
        <v>378</v>
      </c>
      <c r="F35" t="s">
        <v>586</v>
      </c>
      <c r="G35" s="110">
        <v>8395</v>
      </c>
      <c r="H35" s="12">
        <v>45597</v>
      </c>
      <c r="I35" s="10">
        <v>173413.32</v>
      </c>
      <c r="J35" s="27">
        <v>161621.21</v>
      </c>
      <c r="K35" s="3">
        <v>45834</v>
      </c>
      <c r="L35" s="91">
        <v>45873</v>
      </c>
      <c r="M35" s="29">
        <v>45875</v>
      </c>
      <c r="N35" s="36" t="s">
        <v>588</v>
      </c>
      <c r="O35" s="41"/>
      <c r="P35" s="26"/>
      <c r="Q35" t="s">
        <v>58</v>
      </c>
      <c r="R35" t="s">
        <v>195</v>
      </c>
      <c r="S35" t="str">
        <f>IFERROR(VLOOKUP(Tabela1[[#This Row],[CC]],CC!$A$1:$H$403,8,0),"")</f>
        <v>OP4</v>
      </c>
      <c r="T35" t="s">
        <v>589</v>
      </c>
    </row>
    <row r="36" spans="1:20" x14ac:dyDescent="0.3">
      <c r="A36" s="25">
        <v>1394</v>
      </c>
      <c r="B36" s="25" t="str">
        <f>IFERROR(VLOOKUP(Tabela1[[#This Row],[CC]],#REF!,5,0),"")</f>
        <v/>
      </c>
      <c r="C36" t="s">
        <v>65</v>
      </c>
      <c r="D36" t="s">
        <v>18</v>
      </c>
      <c r="E36" t="s">
        <v>378</v>
      </c>
      <c r="F36" t="s">
        <v>586</v>
      </c>
      <c r="G36" s="110">
        <v>8402</v>
      </c>
      <c r="H36" s="12">
        <v>45597</v>
      </c>
      <c r="I36" s="10">
        <v>77551.97</v>
      </c>
      <c r="J36" s="24">
        <v>72278.44</v>
      </c>
      <c r="K36" s="3">
        <v>45839</v>
      </c>
      <c r="L36" s="91">
        <v>45859</v>
      </c>
      <c r="M36" s="29">
        <v>45861</v>
      </c>
      <c r="N36" s="36" t="s">
        <v>588</v>
      </c>
      <c r="O36" s="41"/>
      <c r="P36" s="26"/>
      <c r="Q36" t="s">
        <v>58</v>
      </c>
      <c r="R36" t="s">
        <v>195</v>
      </c>
      <c r="S36" t="str">
        <f>IFERROR(VLOOKUP(Tabela1[[#This Row],[CC]],CC!$A$1:$H$403,8,0),"")</f>
        <v>OP4</v>
      </c>
      <c r="T36" t="s">
        <v>589</v>
      </c>
    </row>
    <row r="37" spans="1:20" x14ac:dyDescent="0.3">
      <c r="A37" s="25">
        <v>1394</v>
      </c>
      <c r="B37" s="25" t="str">
        <f>IFERROR(VLOOKUP(Tabela1[[#This Row],[CC]],#REF!,5,0),"")</f>
        <v/>
      </c>
      <c r="C37" t="s">
        <v>65</v>
      </c>
      <c r="D37" t="s">
        <v>18</v>
      </c>
      <c r="E37" t="s">
        <v>378</v>
      </c>
      <c r="F37" t="s">
        <v>586</v>
      </c>
      <c r="G37" s="110">
        <v>8404</v>
      </c>
      <c r="H37" s="12">
        <v>45597</v>
      </c>
      <c r="I37" s="10">
        <v>123.48</v>
      </c>
      <c r="J37" s="24">
        <v>115.08</v>
      </c>
      <c r="K37" s="3">
        <v>45839</v>
      </c>
      <c r="L37" s="91">
        <v>45866</v>
      </c>
      <c r="M37" s="29">
        <v>45867</v>
      </c>
      <c r="N37" s="1" t="s">
        <v>588</v>
      </c>
      <c r="O37" s="41"/>
      <c r="P37" s="26"/>
      <c r="Q37" t="s">
        <v>58</v>
      </c>
      <c r="R37" t="s">
        <v>195</v>
      </c>
      <c r="S37" t="str">
        <f>IFERROR(VLOOKUP(Tabela1[[#This Row],[CC]],CC!$A$1:$H$403,8,0),"")</f>
        <v>OP4</v>
      </c>
      <c r="T37" t="s">
        <v>589</v>
      </c>
    </row>
    <row r="38" spans="1:20" x14ac:dyDescent="0.3">
      <c r="A38" s="25">
        <v>1394</v>
      </c>
      <c r="B38" s="25" t="str">
        <f>IFERROR(VLOOKUP(Tabela1[[#This Row],[CC]],#REF!,5,0),"")</f>
        <v/>
      </c>
      <c r="C38" t="s">
        <v>65</v>
      </c>
      <c r="D38" t="s">
        <v>18</v>
      </c>
      <c r="E38" t="s">
        <v>378</v>
      </c>
      <c r="F38" t="s">
        <v>586</v>
      </c>
      <c r="G38" s="110">
        <v>8420</v>
      </c>
      <c r="H38" s="12">
        <v>45597</v>
      </c>
      <c r="I38" s="10">
        <v>47838.29</v>
      </c>
      <c r="J38" s="24">
        <v>44585.279999999999</v>
      </c>
      <c r="K38" s="3">
        <v>45848</v>
      </c>
      <c r="L38" s="91">
        <v>45866</v>
      </c>
      <c r="M38" s="29">
        <v>45868</v>
      </c>
      <c r="N38" s="36" t="s">
        <v>588</v>
      </c>
      <c r="O38" s="41"/>
      <c r="P38" s="26"/>
      <c r="Q38" t="s">
        <v>58</v>
      </c>
      <c r="R38" t="s">
        <v>195</v>
      </c>
      <c r="S38" t="str">
        <f>IFERROR(VLOOKUP(Tabela1[[#This Row],[CC]],CC!$A$1:$H$403,8,0),"")</f>
        <v>OP4</v>
      </c>
      <c r="T38" t="s">
        <v>589</v>
      </c>
    </row>
    <row r="39" spans="1:20" x14ac:dyDescent="0.3">
      <c r="A39" s="25">
        <v>1394</v>
      </c>
      <c r="B39" s="25" t="str">
        <f>IFERROR(VLOOKUP(Tabela1[[#This Row],[CC]],#REF!,5,0),"")</f>
        <v/>
      </c>
      <c r="C39" t="s">
        <v>65</v>
      </c>
      <c r="D39" t="s">
        <v>18</v>
      </c>
      <c r="E39" t="s">
        <v>378</v>
      </c>
      <c r="F39" t="s">
        <v>586</v>
      </c>
      <c r="G39" s="110">
        <v>8421</v>
      </c>
      <c r="H39" s="12">
        <v>45597</v>
      </c>
      <c r="I39" s="10">
        <v>68299.320000000007</v>
      </c>
      <c r="J39" s="24">
        <v>63654.96</v>
      </c>
      <c r="K39" s="3">
        <v>45849</v>
      </c>
      <c r="L39" s="91">
        <v>45870</v>
      </c>
      <c r="M39" s="29">
        <v>45870</v>
      </c>
      <c r="N39" s="36" t="s">
        <v>588</v>
      </c>
      <c r="O39" s="41"/>
      <c r="P39" s="26"/>
      <c r="Q39" t="s">
        <v>58</v>
      </c>
      <c r="R39" t="s">
        <v>195</v>
      </c>
      <c r="S39" t="str">
        <f>IFERROR(VLOOKUP(Tabela1[[#This Row],[CC]],CC!$A$1:$H$403,8,0),"")</f>
        <v>OP4</v>
      </c>
      <c r="T39" t="s">
        <v>589</v>
      </c>
    </row>
    <row r="40" spans="1:20" x14ac:dyDescent="0.3">
      <c r="A40" s="25">
        <v>1394</v>
      </c>
      <c r="B40" s="25" t="str">
        <f>IFERROR(VLOOKUP(Tabela1[[#This Row],[CC]],#REF!,5,0),"")</f>
        <v/>
      </c>
      <c r="C40" t="s">
        <v>65</v>
      </c>
      <c r="D40" t="s">
        <v>18</v>
      </c>
      <c r="E40" t="s">
        <v>378</v>
      </c>
      <c r="F40" t="s">
        <v>586</v>
      </c>
      <c r="G40" s="110">
        <v>8434</v>
      </c>
      <c r="H40" s="12">
        <v>45597</v>
      </c>
      <c r="I40" s="10">
        <v>96756.27</v>
      </c>
      <c r="J40" s="24">
        <v>90176.84</v>
      </c>
      <c r="K40" s="3">
        <v>45855</v>
      </c>
      <c r="L40" s="91">
        <v>45866</v>
      </c>
      <c r="M40" s="29">
        <v>45869</v>
      </c>
      <c r="N40" s="36" t="s">
        <v>588</v>
      </c>
      <c r="O40" s="41"/>
      <c r="P40" s="26"/>
      <c r="Q40" t="s">
        <v>58</v>
      </c>
      <c r="R40" t="s">
        <v>195</v>
      </c>
      <c r="S40" t="str">
        <f>IFERROR(VLOOKUP(Tabela1[[#This Row],[CC]],CC!$A$1:$H$403,8,0),"")</f>
        <v>OP4</v>
      </c>
      <c r="T40" t="s">
        <v>589</v>
      </c>
    </row>
    <row r="41" spans="1:20" x14ac:dyDescent="0.3">
      <c r="A41" s="25">
        <v>1394</v>
      </c>
      <c r="B41" s="25" t="str">
        <f>IFERROR(VLOOKUP(Tabela1[[#This Row],[CC]],#REF!,5,0),"")</f>
        <v/>
      </c>
      <c r="C41" t="s">
        <v>65</v>
      </c>
      <c r="D41" t="s">
        <v>18</v>
      </c>
      <c r="E41" t="s">
        <v>378</v>
      </c>
      <c r="F41" t="s">
        <v>586</v>
      </c>
      <c r="G41" s="110">
        <v>8438</v>
      </c>
      <c r="H41" s="12">
        <v>45597</v>
      </c>
      <c r="I41" s="10">
        <v>135430.28</v>
      </c>
      <c r="J41" s="24">
        <v>126221.02</v>
      </c>
      <c r="K41" s="3">
        <v>45859</v>
      </c>
      <c r="L41" s="91">
        <v>45887</v>
      </c>
      <c r="M41" s="29">
        <v>45887</v>
      </c>
      <c r="N41" s="36" t="s">
        <v>588</v>
      </c>
      <c r="O41" s="41"/>
      <c r="P41" s="26"/>
      <c r="Q41" t="s">
        <v>58</v>
      </c>
      <c r="R41" t="s">
        <v>195</v>
      </c>
      <c r="S41" t="str">
        <f>IFERROR(VLOOKUP(Tabela1[[#This Row],[CC]],CC!$A$1:$H$403,8,0),"")</f>
        <v>OP4</v>
      </c>
      <c r="T41" t="s">
        <v>589</v>
      </c>
    </row>
    <row r="42" spans="1:20" x14ac:dyDescent="0.3">
      <c r="A42" s="8">
        <v>1394</v>
      </c>
      <c r="B42" s="8" t="str">
        <f>IFERROR(VLOOKUP(Tabela1[[#This Row],[CC]],#REF!,5,0),"")</f>
        <v/>
      </c>
      <c r="C42" t="s">
        <v>65</v>
      </c>
      <c r="D42" t="s">
        <v>18</v>
      </c>
      <c r="E42" t="s">
        <v>378</v>
      </c>
      <c r="F42" t="s">
        <v>586</v>
      </c>
      <c r="G42" s="107">
        <v>8436</v>
      </c>
      <c r="H42" s="12">
        <v>45597</v>
      </c>
      <c r="I42" s="10">
        <v>10692.26</v>
      </c>
      <c r="J42" s="27">
        <v>9965.18</v>
      </c>
      <c r="K42" s="3">
        <v>45856</v>
      </c>
      <c r="L42" s="91">
        <v>45873</v>
      </c>
      <c r="M42" s="5">
        <v>45875</v>
      </c>
      <c r="N42" s="21" t="s">
        <v>588</v>
      </c>
      <c r="O42" s="54">
        <v>0</v>
      </c>
      <c r="P42" s="14"/>
      <c r="Q42" t="s">
        <v>58</v>
      </c>
      <c r="R42" t="s">
        <v>195</v>
      </c>
      <c r="S42" t="str">
        <f>IFERROR(VLOOKUP(Tabela1[[#This Row],[CC]],CC!$A$1:$H$403,8,0),"")</f>
        <v>OP4</v>
      </c>
    </row>
    <row r="43" spans="1:20" x14ac:dyDescent="0.3">
      <c r="A43" s="25">
        <v>1360</v>
      </c>
      <c r="B43" s="25" t="str">
        <f>IFERROR(VLOOKUP(Tabela1[[#This Row],[CC]],#REF!,5,0),"")</f>
        <v/>
      </c>
      <c r="C43" t="s">
        <v>32</v>
      </c>
      <c r="D43" t="s">
        <v>24</v>
      </c>
      <c r="E43" t="s">
        <v>338</v>
      </c>
      <c r="F43" t="s">
        <v>586</v>
      </c>
      <c r="G43" s="110">
        <v>3731</v>
      </c>
      <c r="H43" s="12">
        <v>45597</v>
      </c>
      <c r="I43" s="24">
        <v>24312.400000000001</v>
      </c>
      <c r="J43" s="24">
        <v>22817.19</v>
      </c>
      <c r="K43" s="3">
        <v>45644</v>
      </c>
      <c r="L43" s="93">
        <v>45698</v>
      </c>
      <c r="M43" s="16">
        <v>45700</v>
      </c>
      <c r="N43" s="18" t="s">
        <v>588</v>
      </c>
      <c r="O43" s="35"/>
      <c r="P43"/>
      <c r="Q43" t="s">
        <v>55</v>
      </c>
      <c r="R43" t="s">
        <v>231</v>
      </c>
      <c r="S43" t="str">
        <f>IFERROR(VLOOKUP(Tabela1[[#This Row],[CC]],CC!$A$1:$H$403,8,0),"")</f>
        <v>OP1</v>
      </c>
    </row>
    <row r="44" spans="1:20" x14ac:dyDescent="0.3">
      <c r="A44" s="25">
        <v>1483</v>
      </c>
      <c r="B44" s="25" t="str">
        <f>IFERROR(VLOOKUP(Tabela1[[#This Row],[CC]],#REF!,5,0),"")</f>
        <v/>
      </c>
      <c r="C44" t="s">
        <v>67</v>
      </c>
      <c r="D44" t="s">
        <v>45</v>
      </c>
      <c r="E44" t="s">
        <v>488</v>
      </c>
      <c r="F44" t="s">
        <v>586</v>
      </c>
      <c r="G44" s="110">
        <v>8164</v>
      </c>
      <c r="H44" s="12">
        <v>45597</v>
      </c>
      <c r="I44" s="24">
        <v>28856.799999999999</v>
      </c>
      <c r="J44" s="24">
        <v>26062.11</v>
      </c>
      <c r="K44" s="3">
        <v>45645</v>
      </c>
      <c r="L44" s="91">
        <v>45719</v>
      </c>
      <c r="M44" s="11">
        <v>45722</v>
      </c>
      <c r="N44" s="18" t="s">
        <v>588</v>
      </c>
      <c r="O44" s="35">
        <v>0</v>
      </c>
      <c r="P44" s="26"/>
      <c r="Q44" t="s">
        <v>58</v>
      </c>
      <c r="R44" t="s">
        <v>183</v>
      </c>
      <c r="S44" t="str">
        <f>IFERROR(VLOOKUP(Tabela1[[#This Row],[CC]],CC!$A$1:$H$403,8,0),"")</f>
        <v>OP2</v>
      </c>
    </row>
    <row r="45" spans="1:20" x14ac:dyDescent="0.3">
      <c r="A45" s="25">
        <v>1483</v>
      </c>
      <c r="B45" s="25" t="str">
        <f>IFERROR(VLOOKUP(Tabela1[[#This Row],[CC]],#REF!,5,0),"")</f>
        <v/>
      </c>
      <c r="C45" t="s">
        <v>67</v>
      </c>
      <c r="D45" t="s">
        <v>45</v>
      </c>
      <c r="E45" t="s">
        <v>488</v>
      </c>
      <c r="F45" t="s">
        <v>586</v>
      </c>
      <c r="G45" s="110">
        <v>8165</v>
      </c>
      <c r="H45" s="12">
        <v>45597</v>
      </c>
      <c r="I45" s="24">
        <v>53591.199999999997</v>
      </c>
      <c r="J45" s="24">
        <v>48300.35</v>
      </c>
      <c r="K45" s="3">
        <v>45646</v>
      </c>
      <c r="L45" s="91">
        <v>45719</v>
      </c>
      <c r="M45" s="11">
        <v>45722</v>
      </c>
      <c r="N45" s="18" t="s">
        <v>588</v>
      </c>
      <c r="O45" s="35">
        <v>0</v>
      </c>
      <c r="P45" s="26"/>
      <c r="Q45" t="s">
        <v>58</v>
      </c>
      <c r="R45" t="s">
        <v>183</v>
      </c>
      <c r="S45" t="str">
        <f>IFERROR(VLOOKUP(Tabela1[[#This Row],[CC]],CC!$A$1:$H$403,8,0),"")</f>
        <v>OP2</v>
      </c>
    </row>
    <row r="46" spans="1:20" x14ac:dyDescent="0.3">
      <c r="A46" s="8">
        <v>1455</v>
      </c>
      <c r="B46" s="8" t="str">
        <f>IFERROR(VLOOKUP(Tabela1[[#This Row],[CC]],#REF!,5,0),"")</f>
        <v/>
      </c>
      <c r="C46" t="s">
        <v>70</v>
      </c>
      <c r="D46" t="s">
        <v>31</v>
      </c>
      <c r="E46" t="s">
        <v>455</v>
      </c>
      <c r="F46" t="s">
        <v>586</v>
      </c>
      <c r="G46" s="110">
        <v>1203</v>
      </c>
      <c r="H46" s="12">
        <v>45627</v>
      </c>
      <c r="I46" s="24">
        <v>54003.39</v>
      </c>
      <c r="J46" s="24">
        <v>47712</v>
      </c>
      <c r="K46" s="3">
        <v>45659</v>
      </c>
      <c r="L46" s="91">
        <v>45684</v>
      </c>
      <c r="M46" s="11">
        <v>45688</v>
      </c>
      <c r="N46" s="21" t="s">
        <v>588</v>
      </c>
      <c r="O46" s="37"/>
      <c r="P46" s="14"/>
      <c r="Q46" t="s">
        <v>58</v>
      </c>
      <c r="R46" t="s">
        <v>228</v>
      </c>
      <c r="S46" t="str">
        <f>IFERROR(VLOOKUP(Tabela1[[#This Row],[CC]],CC!$A$1:$H$403,8,0),"")</f>
        <v>OP4</v>
      </c>
    </row>
    <row r="47" spans="1:20" x14ac:dyDescent="0.3">
      <c r="A47" s="8">
        <v>1455</v>
      </c>
      <c r="B47" s="8" t="str">
        <f>IFERROR(VLOOKUP(Tabela1[[#This Row],[CC]],#REF!,5,0),"")</f>
        <v/>
      </c>
      <c r="C47" t="s">
        <v>70</v>
      </c>
      <c r="D47" t="s">
        <v>31</v>
      </c>
      <c r="E47" t="s">
        <v>455</v>
      </c>
      <c r="F47" t="s">
        <v>586</v>
      </c>
      <c r="G47" s="110">
        <v>1205</v>
      </c>
      <c r="H47" s="12">
        <v>45627</v>
      </c>
      <c r="I47" s="24">
        <v>2857.25</v>
      </c>
      <c r="J47" s="24">
        <v>2524.38</v>
      </c>
      <c r="K47" s="3">
        <v>45663</v>
      </c>
      <c r="L47" s="91">
        <v>45684</v>
      </c>
      <c r="M47" s="11">
        <v>45688</v>
      </c>
      <c r="N47" s="21" t="s">
        <v>588</v>
      </c>
      <c r="O47" s="37"/>
      <c r="P47" s="14"/>
      <c r="Q47" t="s">
        <v>58</v>
      </c>
      <c r="R47" t="s">
        <v>228</v>
      </c>
      <c r="S47" t="str">
        <f>IFERROR(VLOOKUP(Tabela1[[#This Row],[CC]],CC!$A$1:$H$403,8,0),"")</f>
        <v>OP4</v>
      </c>
    </row>
    <row r="48" spans="1:20" x14ac:dyDescent="0.3">
      <c r="A48" s="8">
        <v>1455</v>
      </c>
      <c r="B48" s="8" t="str">
        <f>IFERROR(VLOOKUP(Tabela1[[#This Row],[CC]],#REF!,5,0),"")</f>
        <v/>
      </c>
      <c r="C48" t="s">
        <v>70</v>
      </c>
      <c r="D48" t="s">
        <v>31</v>
      </c>
      <c r="E48" t="s">
        <v>455</v>
      </c>
      <c r="F48" t="s">
        <v>586</v>
      </c>
      <c r="G48" s="110">
        <v>1204</v>
      </c>
      <c r="H48" s="12">
        <v>45627</v>
      </c>
      <c r="I48" s="24">
        <v>2418</v>
      </c>
      <c r="J48" s="24">
        <v>2136.3000000000002</v>
      </c>
      <c r="K48" s="3">
        <v>45663</v>
      </c>
      <c r="L48" s="91">
        <v>45684</v>
      </c>
      <c r="M48" s="11">
        <v>45688</v>
      </c>
      <c r="N48" s="21" t="s">
        <v>588</v>
      </c>
      <c r="O48" s="37"/>
      <c r="P48" s="14"/>
      <c r="Q48" t="s">
        <v>58</v>
      </c>
      <c r="R48" t="s">
        <v>228</v>
      </c>
      <c r="S48" t="str">
        <f>IFERROR(VLOOKUP(Tabela1[[#This Row],[CC]],CC!$A$1:$H$403,8,0),"")</f>
        <v>OP4</v>
      </c>
    </row>
    <row r="49" spans="1:19" x14ac:dyDescent="0.3">
      <c r="A49" s="25">
        <v>1455</v>
      </c>
      <c r="B49" s="25" t="str">
        <f>IFERROR(VLOOKUP(Tabela1[[#This Row],[CC]],#REF!,5,0),"")</f>
        <v/>
      </c>
      <c r="C49" t="s">
        <v>70</v>
      </c>
      <c r="D49" t="s">
        <v>31</v>
      </c>
      <c r="E49" t="s">
        <v>455</v>
      </c>
      <c r="F49" t="s">
        <v>586</v>
      </c>
      <c r="G49" s="110">
        <v>8273</v>
      </c>
      <c r="H49" s="9">
        <v>45627</v>
      </c>
      <c r="I49" s="24">
        <v>54003.39</v>
      </c>
      <c r="J49" s="24">
        <v>47712</v>
      </c>
      <c r="K49" s="3">
        <v>45748</v>
      </c>
      <c r="L49" s="91">
        <v>45775</v>
      </c>
      <c r="M49" s="11">
        <v>45777</v>
      </c>
      <c r="N49" s="21" t="s">
        <v>588</v>
      </c>
      <c r="O49" s="41"/>
      <c r="P49" s="26"/>
      <c r="Q49" t="s">
        <v>58</v>
      </c>
      <c r="R49" t="s">
        <v>228</v>
      </c>
      <c r="S49" t="str">
        <f>IFERROR(VLOOKUP(Tabela1[[#This Row],[CC]],CC!$A$1:$H$403,8,0),"")</f>
        <v>OP4</v>
      </c>
    </row>
    <row r="50" spans="1:19" x14ac:dyDescent="0.3">
      <c r="A50" s="25">
        <v>1478</v>
      </c>
      <c r="B50" s="25" t="str">
        <f>IFERROR(VLOOKUP(Tabela1[[#This Row],[CC]],#REF!,5,0),"")</f>
        <v/>
      </c>
      <c r="C50" t="s">
        <v>32</v>
      </c>
      <c r="D50" t="s">
        <v>54</v>
      </c>
      <c r="E50" t="s">
        <v>483</v>
      </c>
      <c r="F50" t="s">
        <v>586</v>
      </c>
      <c r="G50" s="110">
        <v>8167</v>
      </c>
      <c r="H50" s="12">
        <v>45627</v>
      </c>
      <c r="I50" s="24">
        <v>231360</v>
      </c>
      <c r="J50" s="24">
        <v>217131.36</v>
      </c>
      <c r="K50" s="3">
        <v>45659</v>
      </c>
      <c r="L50" s="91">
        <v>45663</v>
      </c>
      <c r="M50" s="11">
        <v>45667</v>
      </c>
      <c r="N50" s="18" t="s">
        <v>588</v>
      </c>
      <c r="O50" s="35"/>
      <c r="P50"/>
      <c r="Q50" t="s">
        <v>55</v>
      </c>
      <c r="R50" t="s">
        <v>231</v>
      </c>
      <c r="S50" t="str">
        <f>IFERROR(VLOOKUP(Tabela1[[#This Row],[CC]],CC!$A$1:$H$403,8,0),"")</f>
        <v>OP1</v>
      </c>
    </row>
    <row r="51" spans="1:19" x14ac:dyDescent="0.3">
      <c r="A51" s="8">
        <v>1391</v>
      </c>
      <c r="B51" s="8" t="str">
        <f>IFERROR(VLOOKUP(Tabela1[[#This Row],[CC]],#REF!,5,0),"")</f>
        <v/>
      </c>
      <c r="C51" t="s">
        <v>32</v>
      </c>
      <c r="D51" t="s">
        <v>52</v>
      </c>
      <c r="E51" t="s">
        <v>375</v>
      </c>
      <c r="F51" t="s">
        <v>586</v>
      </c>
      <c r="G51" s="110">
        <v>3740</v>
      </c>
      <c r="H51" s="12">
        <v>45627</v>
      </c>
      <c r="I51" s="28">
        <v>125126.52</v>
      </c>
      <c r="J51" s="28">
        <v>117431.24</v>
      </c>
      <c r="K51" s="3">
        <v>45665</v>
      </c>
      <c r="L51" s="91">
        <v>45677</v>
      </c>
      <c r="M51" s="11">
        <v>45680</v>
      </c>
      <c r="N51" s="33" t="s">
        <v>588</v>
      </c>
      <c r="O51" s="37"/>
      <c r="P51" s="14"/>
      <c r="Q51" t="s">
        <v>55</v>
      </c>
      <c r="R51" t="s">
        <v>231</v>
      </c>
      <c r="S51" t="str">
        <f>IFERROR(VLOOKUP(Tabela1[[#This Row],[CC]],CC!$A$1:$H$403,8,0),"")</f>
        <v>OP1</v>
      </c>
    </row>
    <row r="52" spans="1:19" x14ac:dyDescent="0.3">
      <c r="A52" s="8">
        <v>1391</v>
      </c>
      <c r="B52" s="8" t="str">
        <f>IFERROR(VLOOKUP(Tabela1[[#This Row],[CC]],#REF!,5,0),"")</f>
        <v/>
      </c>
      <c r="C52" t="s">
        <v>32</v>
      </c>
      <c r="D52" t="s">
        <v>52</v>
      </c>
      <c r="E52" t="s">
        <v>375</v>
      </c>
      <c r="F52" t="s">
        <v>586</v>
      </c>
      <c r="G52" s="110">
        <v>3742</v>
      </c>
      <c r="H52" s="12">
        <v>45627</v>
      </c>
      <c r="I52" s="28">
        <v>101943.56</v>
      </c>
      <c r="J52" s="28">
        <v>95674.03</v>
      </c>
      <c r="K52" s="3">
        <v>45665</v>
      </c>
      <c r="L52" s="91">
        <v>45677</v>
      </c>
      <c r="M52" s="11">
        <v>45680</v>
      </c>
      <c r="N52" s="33" t="s">
        <v>588</v>
      </c>
      <c r="O52" s="37"/>
      <c r="P52" s="14"/>
      <c r="Q52" t="s">
        <v>55</v>
      </c>
      <c r="R52" t="s">
        <v>231</v>
      </c>
      <c r="S52" t="str">
        <f>IFERROR(VLOOKUP(Tabela1[[#This Row],[CC]],CC!$A$1:$H$403,8,0),"")</f>
        <v>OP1</v>
      </c>
    </row>
    <row r="53" spans="1:19" x14ac:dyDescent="0.3">
      <c r="A53" s="8">
        <v>1391</v>
      </c>
      <c r="B53" s="8" t="str">
        <f>IFERROR(VLOOKUP(Tabela1[[#This Row],[CC]],#REF!,5,0),"")</f>
        <v/>
      </c>
      <c r="C53" t="s">
        <v>32</v>
      </c>
      <c r="D53" t="s">
        <v>52</v>
      </c>
      <c r="E53" t="s">
        <v>375</v>
      </c>
      <c r="F53" t="s">
        <v>586</v>
      </c>
      <c r="G53" s="110">
        <v>3743</v>
      </c>
      <c r="H53" s="12">
        <v>45627</v>
      </c>
      <c r="I53" s="28">
        <v>221873.85</v>
      </c>
      <c r="J53" s="28">
        <v>208228.61</v>
      </c>
      <c r="K53" s="3">
        <v>45665</v>
      </c>
      <c r="L53" s="91">
        <v>45677</v>
      </c>
      <c r="M53" s="11">
        <v>45680</v>
      </c>
      <c r="N53" s="33" t="s">
        <v>588</v>
      </c>
      <c r="O53" s="37"/>
      <c r="P53" s="14"/>
      <c r="Q53" t="s">
        <v>55</v>
      </c>
      <c r="R53" t="s">
        <v>231</v>
      </c>
      <c r="S53" t="str">
        <f>IFERROR(VLOOKUP(Tabela1[[#This Row],[CC]],CC!$A$1:$H$403,8,0),"")</f>
        <v>OP1</v>
      </c>
    </row>
    <row r="54" spans="1:19" x14ac:dyDescent="0.3">
      <c r="A54" s="8">
        <v>1391</v>
      </c>
      <c r="B54" s="8" t="str">
        <f>IFERROR(VLOOKUP(Tabela1[[#This Row],[CC]],#REF!,5,0),"")</f>
        <v/>
      </c>
      <c r="C54" t="s">
        <v>32</v>
      </c>
      <c r="D54" t="s">
        <v>52</v>
      </c>
      <c r="E54" t="s">
        <v>375</v>
      </c>
      <c r="F54" t="s">
        <v>586</v>
      </c>
      <c r="G54" s="110">
        <v>3744</v>
      </c>
      <c r="H54" s="12">
        <v>45627</v>
      </c>
      <c r="I54" s="28">
        <v>73997.55</v>
      </c>
      <c r="J54" s="28">
        <v>69446.7</v>
      </c>
      <c r="K54" s="3">
        <v>45665</v>
      </c>
      <c r="L54" s="91">
        <v>45677</v>
      </c>
      <c r="M54" s="11">
        <v>45680</v>
      </c>
      <c r="N54" s="33" t="s">
        <v>588</v>
      </c>
      <c r="O54" s="37"/>
      <c r="P54" s="14"/>
      <c r="Q54" t="s">
        <v>55</v>
      </c>
      <c r="R54" t="s">
        <v>231</v>
      </c>
      <c r="S54" t="str">
        <f>IFERROR(VLOOKUP(Tabela1[[#This Row],[CC]],CC!$A$1:$H$403,8,0),"")</f>
        <v>OP1</v>
      </c>
    </row>
    <row r="55" spans="1:19" x14ac:dyDescent="0.3">
      <c r="A55" s="25">
        <v>1294</v>
      </c>
      <c r="B55" s="25" t="str">
        <f>IFERROR(VLOOKUP(Tabela1[[#This Row],[CC]],#REF!,5,0),"")</f>
        <v/>
      </c>
      <c r="C55" t="s">
        <v>32</v>
      </c>
      <c r="D55" t="s">
        <v>52</v>
      </c>
      <c r="E55" t="s">
        <v>268</v>
      </c>
      <c r="F55" t="s">
        <v>586</v>
      </c>
      <c r="G55" s="110">
        <v>3741</v>
      </c>
      <c r="H55" s="12">
        <v>45627</v>
      </c>
      <c r="I55" s="28">
        <v>32371.040000000001</v>
      </c>
      <c r="J55" s="28">
        <v>30380.22</v>
      </c>
      <c r="K55" s="3">
        <v>45665</v>
      </c>
      <c r="L55" s="91">
        <v>45677</v>
      </c>
      <c r="M55" s="11">
        <v>45680</v>
      </c>
      <c r="N55" s="1" t="s">
        <v>588</v>
      </c>
      <c r="O55" s="35">
        <v>0</v>
      </c>
      <c r="P55"/>
      <c r="Q55" t="s">
        <v>55</v>
      </c>
      <c r="R55" t="s">
        <v>231</v>
      </c>
      <c r="S55" t="str">
        <f>IFERROR(VLOOKUP(Tabela1[[#This Row],[CC]],CC!$A$1:$H$403,8,0),"")</f>
        <v>OP1</v>
      </c>
    </row>
    <row r="56" spans="1:19" x14ac:dyDescent="0.3">
      <c r="A56" s="25">
        <v>1294</v>
      </c>
      <c r="B56" s="25" t="str">
        <f>IFERROR(VLOOKUP(Tabela1[[#This Row],[CC]],#REF!,5,0),"")</f>
        <v/>
      </c>
      <c r="C56" t="s">
        <v>32</v>
      </c>
      <c r="D56" t="s">
        <v>52</v>
      </c>
      <c r="E56" t="s">
        <v>268</v>
      </c>
      <c r="F56" t="s">
        <v>586</v>
      </c>
      <c r="G56" s="110">
        <v>3747</v>
      </c>
      <c r="H56" s="12">
        <v>45627</v>
      </c>
      <c r="I56" s="28">
        <v>106153.74</v>
      </c>
      <c r="J56" s="28">
        <v>99625.279999999999</v>
      </c>
      <c r="K56" s="3">
        <v>45667</v>
      </c>
      <c r="L56" s="91">
        <v>45684</v>
      </c>
      <c r="M56" s="11">
        <v>45684</v>
      </c>
      <c r="N56" s="1" t="s">
        <v>588</v>
      </c>
      <c r="O56" s="35">
        <v>0</v>
      </c>
      <c r="P56"/>
      <c r="Q56" t="s">
        <v>55</v>
      </c>
      <c r="R56" t="s">
        <v>231</v>
      </c>
      <c r="S56" t="str">
        <f>IFERROR(VLOOKUP(Tabela1[[#This Row],[CC]],CC!$A$1:$H$403,8,0),"")</f>
        <v>OP1</v>
      </c>
    </row>
    <row r="57" spans="1:19" x14ac:dyDescent="0.3">
      <c r="A57" s="25">
        <v>1294</v>
      </c>
      <c r="B57" s="25" t="str">
        <f>IFERROR(VLOOKUP(Tabela1[[#This Row],[CC]],#REF!,5,0),"")</f>
        <v/>
      </c>
      <c r="C57" t="s">
        <v>32</v>
      </c>
      <c r="D57" t="s">
        <v>52</v>
      </c>
      <c r="E57" t="s">
        <v>268</v>
      </c>
      <c r="F57" t="s">
        <v>586</v>
      </c>
      <c r="G57" s="110">
        <v>3746</v>
      </c>
      <c r="H57" s="12">
        <v>45627</v>
      </c>
      <c r="I57" s="28">
        <v>232263.03</v>
      </c>
      <c r="J57" s="28">
        <v>217978.85</v>
      </c>
      <c r="K57" s="3">
        <v>45667</v>
      </c>
      <c r="L57" s="91">
        <v>45684</v>
      </c>
      <c r="M57" s="11">
        <v>45684</v>
      </c>
      <c r="N57" s="1" t="s">
        <v>588</v>
      </c>
      <c r="O57" s="35">
        <v>0</v>
      </c>
      <c r="P57"/>
      <c r="Q57" t="s">
        <v>55</v>
      </c>
      <c r="R57" t="s">
        <v>231</v>
      </c>
      <c r="S57" t="str">
        <f>IFERROR(VLOOKUP(Tabela1[[#This Row],[CC]],CC!$A$1:$H$403,8,0),"")</f>
        <v>OP1</v>
      </c>
    </row>
    <row r="58" spans="1:19" x14ac:dyDescent="0.3">
      <c r="A58" s="8">
        <v>1474</v>
      </c>
      <c r="B58" s="8" t="str">
        <f>IFERROR(VLOOKUP(Tabela1[[#This Row],[CC]],#REF!,5,0),"")</f>
        <v/>
      </c>
      <c r="C58" t="s">
        <v>32</v>
      </c>
      <c r="D58" t="s">
        <v>52</v>
      </c>
      <c r="E58" t="s">
        <v>479</v>
      </c>
      <c r="F58" t="s">
        <v>586</v>
      </c>
      <c r="G58" s="110">
        <v>3748</v>
      </c>
      <c r="H58" s="12">
        <v>45627</v>
      </c>
      <c r="I58" s="28">
        <v>18741.330000000002</v>
      </c>
      <c r="J58" s="28">
        <v>17588.740000000002</v>
      </c>
      <c r="K58" s="3">
        <v>45667</v>
      </c>
      <c r="L58" s="91">
        <v>45684</v>
      </c>
      <c r="M58" s="11">
        <v>45684</v>
      </c>
      <c r="N58" s="1" t="s">
        <v>588</v>
      </c>
      <c r="O58" s="37"/>
      <c r="P58" s="14"/>
      <c r="Q58" t="s">
        <v>58</v>
      </c>
      <c r="R58" t="s">
        <v>231</v>
      </c>
      <c r="S58" t="str">
        <f>IFERROR(VLOOKUP(Tabela1[[#This Row],[CC]],CC!$A$1:$H$403,8,0),"")</f>
        <v>OP1</v>
      </c>
    </row>
    <row r="59" spans="1:19" x14ac:dyDescent="0.3">
      <c r="A59" s="25">
        <v>1285</v>
      </c>
      <c r="B59" s="25" t="str">
        <f>IFERROR(VLOOKUP(Tabela1[[#This Row],[CC]],#REF!,5,0),"")</f>
        <v/>
      </c>
      <c r="C59" t="s">
        <v>32</v>
      </c>
      <c r="D59" t="s">
        <v>52</v>
      </c>
      <c r="E59" t="s">
        <v>259</v>
      </c>
      <c r="F59" t="s">
        <v>586</v>
      </c>
      <c r="G59" s="110">
        <v>3733</v>
      </c>
      <c r="H59" s="12">
        <v>45627</v>
      </c>
      <c r="I59" s="24">
        <v>24926.36</v>
      </c>
      <c r="J59" s="24">
        <v>23393.38</v>
      </c>
      <c r="K59" s="3">
        <v>45652</v>
      </c>
      <c r="L59" s="91">
        <v>45684</v>
      </c>
      <c r="M59" s="11">
        <v>45684</v>
      </c>
      <c r="N59" s="1" t="s">
        <v>588</v>
      </c>
      <c r="O59" s="35">
        <v>0</v>
      </c>
      <c r="P59" s="26"/>
      <c r="Q59" t="s">
        <v>55</v>
      </c>
      <c r="R59" t="s">
        <v>231</v>
      </c>
      <c r="S59" t="str">
        <f>IFERROR(VLOOKUP(Tabela1[[#This Row],[CC]],CC!$A$1:$H$403,8,0),"")</f>
        <v>OP1</v>
      </c>
    </row>
    <row r="60" spans="1:19" x14ac:dyDescent="0.3">
      <c r="A60" s="25">
        <v>1285</v>
      </c>
      <c r="B60" s="25" t="str">
        <f>IFERROR(VLOOKUP(Tabela1[[#This Row],[CC]],#REF!,5,0),"")</f>
        <v/>
      </c>
      <c r="C60" t="s">
        <v>32</v>
      </c>
      <c r="D60" t="s">
        <v>52</v>
      </c>
      <c r="E60" t="s">
        <v>259</v>
      </c>
      <c r="F60" t="s">
        <v>586</v>
      </c>
      <c r="G60" s="110">
        <v>3734</v>
      </c>
      <c r="H60" s="12">
        <v>45627</v>
      </c>
      <c r="I60" s="24">
        <v>18108.12</v>
      </c>
      <c r="J60" s="24">
        <v>16994.47</v>
      </c>
      <c r="K60" s="3">
        <v>45653</v>
      </c>
      <c r="L60" s="91">
        <v>45684</v>
      </c>
      <c r="M60" s="11">
        <v>45684</v>
      </c>
      <c r="N60" s="1" t="s">
        <v>588</v>
      </c>
      <c r="O60" s="35">
        <v>0</v>
      </c>
      <c r="P60" s="26"/>
      <c r="Q60" t="s">
        <v>55</v>
      </c>
      <c r="R60" t="s">
        <v>231</v>
      </c>
      <c r="S60" t="str">
        <f>IFERROR(VLOOKUP(Tabela1[[#This Row],[CC]],CC!$A$1:$H$403,8,0),"")</f>
        <v>OP1</v>
      </c>
    </row>
    <row r="61" spans="1:19" x14ac:dyDescent="0.3">
      <c r="A61" s="25">
        <v>1285</v>
      </c>
      <c r="B61" s="25" t="str">
        <f>IFERROR(VLOOKUP(Tabela1[[#This Row],[CC]],#REF!,5,0),"")</f>
        <v/>
      </c>
      <c r="C61" t="s">
        <v>32</v>
      </c>
      <c r="D61" t="s">
        <v>52</v>
      </c>
      <c r="E61" t="s">
        <v>259</v>
      </c>
      <c r="F61" t="s">
        <v>586</v>
      </c>
      <c r="G61" s="110">
        <v>3735</v>
      </c>
      <c r="H61" s="12">
        <v>45627</v>
      </c>
      <c r="I61" s="24">
        <v>5998.84</v>
      </c>
      <c r="J61" s="24">
        <v>5629.91</v>
      </c>
      <c r="K61" s="3">
        <v>45653</v>
      </c>
      <c r="L61" s="91">
        <v>45684</v>
      </c>
      <c r="M61" s="11">
        <v>45684</v>
      </c>
      <c r="N61" s="1" t="s">
        <v>588</v>
      </c>
      <c r="O61" s="35">
        <v>0</v>
      </c>
      <c r="P61" s="26"/>
      <c r="Q61" t="s">
        <v>55</v>
      </c>
      <c r="R61" t="s">
        <v>231</v>
      </c>
      <c r="S61" t="str">
        <f>IFERROR(VLOOKUP(Tabela1[[#This Row],[CC]],CC!$A$1:$H$403,8,0),"")</f>
        <v>OP1</v>
      </c>
    </row>
    <row r="62" spans="1:19" x14ac:dyDescent="0.3">
      <c r="A62" s="25">
        <v>1292</v>
      </c>
      <c r="B62" s="25" t="str">
        <f>IFERROR(VLOOKUP(Tabela1[[#This Row],[CC]],#REF!,5,0),"")</f>
        <v/>
      </c>
      <c r="C62" t="s">
        <v>32</v>
      </c>
      <c r="D62" t="s">
        <v>56</v>
      </c>
      <c r="E62" t="s">
        <v>266</v>
      </c>
      <c r="F62" t="s">
        <v>586</v>
      </c>
      <c r="G62" s="110">
        <v>3750</v>
      </c>
      <c r="H62" s="12">
        <v>45627</v>
      </c>
      <c r="I62" s="24">
        <v>21201.52</v>
      </c>
      <c r="J62" s="24">
        <v>19897.63</v>
      </c>
      <c r="K62" s="3">
        <v>45678</v>
      </c>
      <c r="L62" s="91">
        <v>45691</v>
      </c>
      <c r="M62" s="11">
        <v>45693</v>
      </c>
      <c r="N62" s="1" t="s">
        <v>588</v>
      </c>
      <c r="O62" s="35">
        <v>0</v>
      </c>
      <c r="P62"/>
      <c r="Q62" t="s">
        <v>55</v>
      </c>
      <c r="R62" t="s">
        <v>231</v>
      </c>
      <c r="S62" t="str">
        <f>IFERROR(VLOOKUP(Tabela1[[#This Row],[CC]],CC!$A$1:$H$403,8,0),"")</f>
        <v>OP1</v>
      </c>
    </row>
    <row r="63" spans="1:19" x14ac:dyDescent="0.3">
      <c r="A63" s="25">
        <v>1292</v>
      </c>
      <c r="B63" s="25" t="str">
        <f>IFERROR(VLOOKUP(Tabela1[[#This Row],[CC]],#REF!,5,0),"")</f>
        <v/>
      </c>
      <c r="C63" t="s">
        <v>32</v>
      </c>
      <c r="D63" t="s">
        <v>56</v>
      </c>
      <c r="E63" t="s">
        <v>266</v>
      </c>
      <c r="F63" t="s">
        <v>586</v>
      </c>
      <c r="G63" s="110">
        <v>3749</v>
      </c>
      <c r="H63" s="12">
        <v>45627</v>
      </c>
      <c r="I63" s="24">
        <v>27461.040000000001</v>
      </c>
      <c r="J63" s="24">
        <v>25772.18</v>
      </c>
      <c r="K63" s="3">
        <v>45678</v>
      </c>
      <c r="L63" s="91">
        <v>45691</v>
      </c>
      <c r="M63" s="11">
        <v>45693</v>
      </c>
      <c r="N63" s="1" t="s">
        <v>588</v>
      </c>
      <c r="O63" s="35">
        <v>0</v>
      </c>
      <c r="P63"/>
      <c r="Q63" t="s">
        <v>55</v>
      </c>
      <c r="R63" t="s">
        <v>231</v>
      </c>
      <c r="S63" t="str">
        <f>IFERROR(VLOOKUP(Tabela1[[#This Row],[CC]],CC!$A$1:$H$403,8,0),"")</f>
        <v>OP1</v>
      </c>
    </row>
    <row r="64" spans="1:19" x14ac:dyDescent="0.3">
      <c r="A64" s="25">
        <v>1292</v>
      </c>
      <c r="B64" s="25" t="str">
        <f>IFERROR(VLOOKUP(Tabela1[[#This Row],[CC]],#REF!,5,0),"")</f>
        <v/>
      </c>
      <c r="C64" t="s">
        <v>32</v>
      </c>
      <c r="D64" t="s">
        <v>56</v>
      </c>
      <c r="E64" t="s">
        <v>266</v>
      </c>
      <c r="F64" t="s">
        <v>586</v>
      </c>
      <c r="G64" s="110">
        <v>3793</v>
      </c>
      <c r="H64" s="12">
        <v>45627</v>
      </c>
      <c r="I64" s="24">
        <v>88281.31</v>
      </c>
      <c r="J64" s="24">
        <v>82852.009999999995</v>
      </c>
      <c r="K64" s="3">
        <v>45694</v>
      </c>
      <c r="L64" s="91">
        <v>45712</v>
      </c>
      <c r="M64" s="11">
        <v>45714</v>
      </c>
      <c r="N64" s="1" t="s">
        <v>588</v>
      </c>
      <c r="O64" s="35">
        <v>0</v>
      </c>
      <c r="P64"/>
      <c r="Q64" t="s">
        <v>55</v>
      </c>
      <c r="R64" t="s">
        <v>231</v>
      </c>
      <c r="S64" t="str">
        <f>IFERROR(VLOOKUP(Tabela1[[#This Row],[CC]],CC!$A$1:$H$403,8,0),"")</f>
        <v>OP1</v>
      </c>
    </row>
    <row r="65" spans="1:21" x14ac:dyDescent="0.3">
      <c r="A65" s="25">
        <v>1398</v>
      </c>
      <c r="B65" s="25" t="str">
        <f>IFERROR(VLOOKUP(Tabela1[[#This Row],[CC]],#REF!,5,0),"")</f>
        <v/>
      </c>
      <c r="C65" t="s">
        <v>67</v>
      </c>
      <c r="D65" t="s">
        <v>42</v>
      </c>
      <c r="E65" t="s">
        <v>383</v>
      </c>
      <c r="F65" t="s">
        <v>586</v>
      </c>
      <c r="G65" s="107">
        <v>8170</v>
      </c>
      <c r="H65" s="12">
        <v>45627</v>
      </c>
      <c r="I65" s="96">
        <v>48000</v>
      </c>
      <c r="J65" s="24">
        <v>45048</v>
      </c>
      <c r="K65" s="3">
        <v>45663</v>
      </c>
      <c r="L65" s="91">
        <v>45684</v>
      </c>
      <c r="M65" s="11">
        <v>45688</v>
      </c>
      <c r="N65" s="18" t="s">
        <v>588</v>
      </c>
      <c r="O65" s="35">
        <v>0</v>
      </c>
      <c r="P65"/>
      <c r="Q65" t="s">
        <v>58</v>
      </c>
      <c r="R65" t="s">
        <v>183</v>
      </c>
      <c r="S65" t="str">
        <f>IFERROR(VLOOKUP(Tabela1[[#This Row],[CC]],CC!$A$1:$H$403,8,0),"")</f>
        <v>OP2</v>
      </c>
    </row>
    <row r="66" spans="1:21" x14ac:dyDescent="0.3">
      <c r="A66" s="25">
        <v>1398</v>
      </c>
      <c r="B66" s="25" t="str">
        <f>IFERROR(VLOOKUP(Tabela1[[#This Row],[CC]],#REF!,5,0),"")</f>
        <v/>
      </c>
      <c r="C66" t="s">
        <v>67</v>
      </c>
      <c r="D66" t="s">
        <v>42</v>
      </c>
      <c r="E66" t="s">
        <v>383</v>
      </c>
      <c r="F66" t="s">
        <v>586</v>
      </c>
      <c r="G66" s="107">
        <v>8148</v>
      </c>
      <c r="H66" s="12">
        <v>45627</v>
      </c>
      <c r="I66" s="27">
        <v>14880</v>
      </c>
      <c r="J66" s="24">
        <v>13964.88</v>
      </c>
      <c r="K66" s="3">
        <v>45637</v>
      </c>
      <c r="L66" s="91">
        <v>45698</v>
      </c>
      <c r="M66" s="11">
        <v>45698</v>
      </c>
      <c r="N66" s="18" t="s">
        <v>588</v>
      </c>
      <c r="O66" s="35">
        <v>0</v>
      </c>
      <c r="P66"/>
      <c r="Q66" t="s">
        <v>58</v>
      </c>
      <c r="R66" t="s">
        <v>183</v>
      </c>
      <c r="S66" t="str">
        <f>IFERROR(VLOOKUP(Tabela1[[#This Row],[CC]],CC!$A$1:$H$403,8,0),"")</f>
        <v>OP2</v>
      </c>
    </row>
    <row r="67" spans="1:21" x14ac:dyDescent="0.3">
      <c r="A67" s="25">
        <v>1398</v>
      </c>
      <c r="B67" s="25" t="str">
        <f>IFERROR(VLOOKUP(Tabela1[[#This Row],[CC]],#REF!,5,0),"")</f>
        <v/>
      </c>
      <c r="C67" t="s">
        <v>67</v>
      </c>
      <c r="D67" t="s">
        <v>42</v>
      </c>
      <c r="E67" t="s">
        <v>383</v>
      </c>
      <c r="F67" t="s">
        <v>586</v>
      </c>
      <c r="G67" s="107">
        <v>8182</v>
      </c>
      <c r="H67" s="12">
        <v>45627</v>
      </c>
      <c r="I67" s="27">
        <v>11210.79</v>
      </c>
      <c r="J67" s="24">
        <v>10521.33</v>
      </c>
      <c r="K67" s="3">
        <v>45673</v>
      </c>
      <c r="L67" s="91">
        <v>45733</v>
      </c>
      <c r="M67" s="11">
        <v>45733</v>
      </c>
      <c r="N67" s="20" t="s">
        <v>588</v>
      </c>
      <c r="O67" s="35">
        <v>0</v>
      </c>
      <c r="P67"/>
      <c r="Q67" t="s">
        <v>58</v>
      </c>
      <c r="R67" t="s">
        <v>183</v>
      </c>
      <c r="S67" t="str">
        <f>IFERROR(VLOOKUP(Tabela1[[#This Row],[CC]],CC!$A$1:$H$403,8,0),"")</f>
        <v>OP2</v>
      </c>
    </row>
    <row r="68" spans="1:21" x14ac:dyDescent="0.3">
      <c r="A68" s="25">
        <v>1398</v>
      </c>
      <c r="B68" s="25" t="str">
        <f>IFERROR(VLOOKUP(Tabela1[[#This Row],[CC]],#REF!,5,0),"")</f>
        <v/>
      </c>
      <c r="C68" t="s">
        <v>67</v>
      </c>
      <c r="D68" t="s">
        <v>42</v>
      </c>
      <c r="E68" t="s">
        <v>383</v>
      </c>
      <c r="F68" t="s">
        <v>586</v>
      </c>
      <c r="G68" s="107">
        <v>8184</v>
      </c>
      <c r="H68" s="12">
        <v>45627</v>
      </c>
      <c r="I68" s="27">
        <v>36914.53</v>
      </c>
      <c r="J68" s="24">
        <v>34726.400000000001</v>
      </c>
      <c r="K68" s="3">
        <v>45674</v>
      </c>
      <c r="L68" s="91">
        <v>45733</v>
      </c>
      <c r="M68" s="11">
        <v>45734</v>
      </c>
      <c r="N68" s="20" t="s">
        <v>588</v>
      </c>
      <c r="O68" s="35">
        <v>0</v>
      </c>
      <c r="P68"/>
      <c r="Q68" t="s">
        <v>58</v>
      </c>
      <c r="R68" t="s">
        <v>183</v>
      </c>
      <c r="S68" t="str">
        <f>IFERROR(VLOOKUP(Tabela1[[#This Row],[CC]],CC!$A$1:$H$403,8,0),"")</f>
        <v>OP2</v>
      </c>
    </row>
    <row r="69" spans="1:21" x14ac:dyDescent="0.3">
      <c r="A69" s="25">
        <v>1398</v>
      </c>
      <c r="B69" s="25" t="str">
        <f>IFERROR(VLOOKUP(Tabela1[[#This Row],[CC]],#REF!,5,0),"")</f>
        <v/>
      </c>
      <c r="C69" t="s">
        <v>67</v>
      </c>
      <c r="D69" t="s">
        <v>42</v>
      </c>
      <c r="E69" t="s">
        <v>383</v>
      </c>
      <c r="F69" t="s">
        <v>586</v>
      </c>
      <c r="G69" s="107">
        <v>8185</v>
      </c>
      <c r="H69" s="12">
        <v>45627</v>
      </c>
      <c r="I69" s="27">
        <v>23241.33</v>
      </c>
      <c r="J69" s="24">
        <v>21811.99</v>
      </c>
      <c r="K69" s="3">
        <v>45674</v>
      </c>
      <c r="L69" s="91">
        <v>45733</v>
      </c>
      <c r="M69" s="11">
        <v>45734</v>
      </c>
      <c r="N69" s="20" t="s">
        <v>588</v>
      </c>
      <c r="O69" s="35">
        <v>0</v>
      </c>
      <c r="P69"/>
      <c r="Q69" t="s">
        <v>58</v>
      </c>
      <c r="R69" t="s">
        <v>183</v>
      </c>
      <c r="S69" t="str">
        <f>IFERROR(VLOOKUP(Tabela1[[#This Row],[CC]],CC!$A$1:$H$403,8,0),"")</f>
        <v>OP2</v>
      </c>
    </row>
    <row r="70" spans="1:21" x14ac:dyDescent="0.3">
      <c r="A70" s="8">
        <v>1393</v>
      </c>
      <c r="B70" s="8" t="str">
        <f>IFERROR(VLOOKUP(Tabela1[[#This Row],[CC]],#REF!,5,0),"")</f>
        <v/>
      </c>
      <c r="C70" t="s">
        <v>70</v>
      </c>
      <c r="D70" t="s">
        <v>33</v>
      </c>
      <c r="E70" t="s">
        <v>377</v>
      </c>
      <c r="F70" t="s">
        <v>586</v>
      </c>
      <c r="G70" s="110">
        <v>8181</v>
      </c>
      <c r="H70" s="12">
        <v>45627</v>
      </c>
      <c r="I70" s="10">
        <v>432751.13</v>
      </c>
      <c r="J70" s="10">
        <v>388177.77</v>
      </c>
      <c r="K70" s="3">
        <v>45671</v>
      </c>
      <c r="L70" s="91">
        <v>45684</v>
      </c>
      <c r="M70" s="5">
        <v>45686</v>
      </c>
      <c r="N70" s="20" t="s">
        <v>588</v>
      </c>
      <c r="O70" s="34">
        <v>0</v>
      </c>
      <c r="P70" s="14"/>
      <c r="Q70" t="s">
        <v>58</v>
      </c>
      <c r="R70" t="s">
        <v>195</v>
      </c>
      <c r="S70" t="str">
        <f>IFERROR(VLOOKUP(Tabela1[[#This Row],[CC]],CC!$A$1:$H$403,8,0),"")</f>
        <v>OP4</v>
      </c>
    </row>
    <row r="71" spans="1:21" x14ac:dyDescent="0.3">
      <c r="A71" s="25">
        <v>1476</v>
      </c>
      <c r="B71" s="25" t="str">
        <f>IFERROR(VLOOKUP(Tabela1[[#This Row],[CC]],#REF!,5,0),"")</f>
        <v/>
      </c>
      <c r="C71" t="s">
        <v>70</v>
      </c>
      <c r="D71" t="s">
        <v>26</v>
      </c>
      <c r="E71" t="s">
        <v>481</v>
      </c>
      <c r="F71" t="s">
        <v>586</v>
      </c>
      <c r="G71" s="110">
        <v>8173</v>
      </c>
      <c r="H71" s="12">
        <v>45627</v>
      </c>
      <c r="I71" s="24">
        <v>318628.40000000002</v>
      </c>
      <c r="J71" s="24">
        <v>285809.68</v>
      </c>
      <c r="K71" s="3">
        <v>45665</v>
      </c>
      <c r="L71" s="91">
        <v>45691</v>
      </c>
      <c r="M71" s="29">
        <v>45694</v>
      </c>
      <c r="N71" s="85" t="s">
        <v>588</v>
      </c>
      <c r="O71" s="35"/>
      <c r="P71" s="26"/>
      <c r="Q71" t="s">
        <v>58</v>
      </c>
      <c r="R71" t="s">
        <v>195</v>
      </c>
      <c r="S71" t="str">
        <f>IFERROR(VLOOKUP(Tabela1[[#This Row],[CC]],CC!$A$1:$H$403,8,0),"")</f>
        <v>OP4</v>
      </c>
    </row>
    <row r="72" spans="1:21" x14ac:dyDescent="0.3">
      <c r="A72" s="8">
        <v>1300</v>
      </c>
      <c r="B72" s="8" t="str">
        <f>IFERROR(VLOOKUP(Tabela1[[#This Row],[CC]],#REF!,5,0),"")</f>
        <v/>
      </c>
      <c r="C72" t="s">
        <v>66</v>
      </c>
      <c r="D72" t="s">
        <v>16</v>
      </c>
      <c r="E72" t="s">
        <v>275</v>
      </c>
      <c r="F72" t="s">
        <v>586</v>
      </c>
      <c r="G72" s="110">
        <v>1206</v>
      </c>
      <c r="H72" s="12">
        <v>45627</v>
      </c>
      <c r="I72" s="10">
        <v>269370.34999999998</v>
      </c>
      <c r="J72" s="10">
        <v>243376.11</v>
      </c>
      <c r="K72" s="3">
        <v>45670</v>
      </c>
      <c r="L72" s="91">
        <v>45719</v>
      </c>
      <c r="M72" s="5">
        <v>45723</v>
      </c>
      <c r="N72" s="36" t="s">
        <v>588</v>
      </c>
      <c r="O72" s="37">
        <v>0</v>
      </c>
      <c r="P72" s="14"/>
      <c r="Q72" t="s">
        <v>58</v>
      </c>
      <c r="R72" t="s">
        <v>183</v>
      </c>
      <c r="S72" t="str">
        <f>IFERROR(VLOOKUP(Tabela1[[#This Row],[CC]],CC!$A$1:$H$403,8,0),"")</f>
        <v>OP2</v>
      </c>
    </row>
    <row r="73" spans="1:21" x14ac:dyDescent="0.3">
      <c r="A73" s="8">
        <v>1300</v>
      </c>
      <c r="B73" s="8" t="str">
        <f>IFERROR(VLOOKUP(Tabela1[[#This Row],[CC]],#REF!,5,0),"")</f>
        <v/>
      </c>
      <c r="C73" t="s">
        <v>66</v>
      </c>
      <c r="D73" t="s">
        <v>16</v>
      </c>
      <c r="E73" t="s">
        <v>275</v>
      </c>
      <c r="F73" t="s">
        <v>586</v>
      </c>
      <c r="G73" s="110">
        <v>8178</v>
      </c>
      <c r="H73" s="12">
        <v>45627</v>
      </c>
      <c r="I73" s="10">
        <v>35127.120000000003</v>
      </c>
      <c r="J73" s="10">
        <v>31737.35</v>
      </c>
      <c r="K73" s="3">
        <v>45670</v>
      </c>
      <c r="L73" s="91">
        <v>45698</v>
      </c>
      <c r="M73" s="5">
        <v>45700</v>
      </c>
      <c r="N73" s="36" t="s">
        <v>588</v>
      </c>
      <c r="O73" s="37">
        <v>0</v>
      </c>
      <c r="P73" s="14"/>
      <c r="Q73" t="s">
        <v>58</v>
      </c>
      <c r="R73" t="s">
        <v>183</v>
      </c>
      <c r="S73" t="str">
        <f>IFERROR(VLOOKUP(Tabela1[[#This Row],[CC]],CC!$A$1:$H$403,8,0),"")</f>
        <v>OP2</v>
      </c>
    </row>
    <row r="74" spans="1:21" x14ac:dyDescent="0.3">
      <c r="A74" s="8">
        <v>1290</v>
      </c>
      <c r="B74" s="8" t="str">
        <f>IFERROR(VLOOKUP(Tabela1[[#This Row],[CC]],#REF!,5,0),"")</f>
        <v/>
      </c>
      <c r="C74" t="s">
        <v>70</v>
      </c>
      <c r="D74" t="s">
        <v>20</v>
      </c>
      <c r="E74" t="s">
        <v>264</v>
      </c>
      <c r="F74" t="s">
        <v>586</v>
      </c>
      <c r="G74" s="110">
        <v>8172</v>
      </c>
      <c r="H74" s="12">
        <v>45627</v>
      </c>
      <c r="I74" s="10">
        <v>53175.27</v>
      </c>
      <c r="J74" s="10">
        <v>46980.35</v>
      </c>
      <c r="K74" s="3">
        <v>45663</v>
      </c>
      <c r="L74" s="91">
        <v>45691</v>
      </c>
      <c r="M74" s="11">
        <v>45694</v>
      </c>
      <c r="N74" s="21" t="s">
        <v>588</v>
      </c>
      <c r="O74" s="34">
        <v>0</v>
      </c>
      <c r="P74" s="14"/>
      <c r="Q74" t="s">
        <v>58</v>
      </c>
      <c r="R74" t="s">
        <v>183</v>
      </c>
      <c r="S74" t="str">
        <f>IFERROR(VLOOKUP(Tabela1[[#This Row],[CC]],CC!$A$1:$H$403,8,0),"")</f>
        <v>OP4</v>
      </c>
    </row>
    <row r="75" spans="1:21" x14ac:dyDescent="0.3">
      <c r="A75" s="8">
        <v>1475</v>
      </c>
      <c r="B75" s="8" t="str">
        <f>IFERROR(VLOOKUP(Tabela1[[#This Row],[CC]],#REF!,5,0),"")</f>
        <v/>
      </c>
      <c r="C75" t="s">
        <v>60</v>
      </c>
      <c r="D75" t="s">
        <v>35</v>
      </c>
      <c r="E75" t="s">
        <v>480</v>
      </c>
      <c r="F75" t="s">
        <v>586</v>
      </c>
      <c r="G75" s="110">
        <v>8179</v>
      </c>
      <c r="H75" s="12">
        <v>45627</v>
      </c>
      <c r="I75" s="10">
        <v>67387.39</v>
      </c>
      <c r="J75" s="10">
        <v>60446.49</v>
      </c>
      <c r="K75" s="3">
        <v>45670</v>
      </c>
      <c r="L75" s="91">
        <v>45684</v>
      </c>
      <c r="M75" s="11">
        <v>45687</v>
      </c>
      <c r="N75" s="18" t="s">
        <v>588</v>
      </c>
      <c r="O75" s="34">
        <v>0</v>
      </c>
      <c r="P75"/>
      <c r="Q75" t="s">
        <v>55</v>
      </c>
      <c r="R75" t="s">
        <v>195</v>
      </c>
      <c r="S75" t="str">
        <f>IFERROR(VLOOKUP(Tabela1[[#This Row],[CC]],CC!$A$1:$H$403,8,0),"")</f>
        <v>OP3</v>
      </c>
    </row>
    <row r="76" spans="1:21" x14ac:dyDescent="0.3">
      <c r="A76" s="8">
        <v>1378</v>
      </c>
      <c r="B76" s="8" t="str">
        <f>IFERROR(VLOOKUP(Tabela1[[#This Row],[CC]],#REF!,5,0),"")</f>
        <v/>
      </c>
      <c r="C76" t="s">
        <v>51</v>
      </c>
      <c r="D76" t="s">
        <v>5</v>
      </c>
      <c r="E76" t="s">
        <v>361</v>
      </c>
      <c r="F76" t="s">
        <v>586</v>
      </c>
      <c r="G76" s="110">
        <v>8183</v>
      </c>
      <c r="H76" s="12">
        <v>45627</v>
      </c>
      <c r="I76" s="10">
        <v>4281.29</v>
      </c>
      <c r="J76" s="10">
        <v>4017.99</v>
      </c>
      <c r="K76" s="3">
        <v>45674</v>
      </c>
      <c r="L76" s="91">
        <v>45691</v>
      </c>
      <c r="M76" s="5">
        <v>45695</v>
      </c>
      <c r="N76" s="36" t="s">
        <v>588</v>
      </c>
      <c r="O76" s="37">
        <v>0</v>
      </c>
      <c r="P76" s="14"/>
      <c r="Q76" t="s">
        <v>57</v>
      </c>
      <c r="R76" t="s">
        <v>231</v>
      </c>
      <c r="S76" t="str">
        <f>IFERROR(VLOOKUP(Tabela1[[#This Row],[CC]],CC!$A$1:$H$403,8,0),"")</f>
        <v>OP2</v>
      </c>
      <c r="T76" t="s">
        <v>1</v>
      </c>
      <c r="U76" t="s">
        <v>2</v>
      </c>
    </row>
    <row r="77" spans="1:21" x14ac:dyDescent="0.3">
      <c r="A77" s="8">
        <v>1358</v>
      </c>
      <c r="B77" s="8" t="str">
        <f>IFERROR(VLOOKUP(Tabela1[[#This Row],[CC]],#REF!,5,0),"")</f>
        <v/>
      </c>
      <c r="C77" t="s">
        <v>70</v>
      </c>
      <c r="D77" t="s">
        <v>12</v>
      </c>
      <c r="E77" t="s">
        <v>335</v>
      </c>
      <c r="F77" t="s">
        <v>586</v>
      </c>
      <c r="G77" s="110">
        <v>8174</v>
      </c>
      <c r="H77" s="12">
        <v>45627</v>
      </c>
      <c r="I77" s="10">
        <v>85164.92</v>
      </c>
      <c r="J77" s="10">
        <v>76392.929999999993</v>
      </c>
      <c r="K77" s="3">
        <v>45667</v>
      </c>
      <c r="L77" s="91">
        <v>45698</v>
      </c>
      <c r="M77" s="11">
        <v>45702</v>
      </c>
      <c r="N77" s="18" t="s">
        <v>588</v>
      </c>
      <c r="O77" s="34">
        <v>0</v>
      </c>
      <c r="P77"/>
      <c r="Q77" t="s">
        <v>58</v>
      </c>
      <c r="R77" t="s">
        <v>195</v>
      </c>
      <c r="S77" t="str">
        <f>IFERROR(VLOOKUP(Tabela1[[#This Row],[CC]],CC!$A$1:$H$403,8,0),"")</f>
        <v>OP4</v>
      </c>
    </row>
    <row r="78" spans="1:21" x14ac:dyDescent="0.3">
      <c r="A78" s="8">
        <v>1358</v>
      </c>
      <c r="B78" s="8" t="str">
        <f>IFERROR(VLOOKUP(Tabela1[[#This Row],[CC]],#REF!,5,0),"")</f>
        <v/>
      </c>
      <c r="C78" t="s">
        <v>70</v>
      </c>
      <c r="D78" t="s">
        <v>12</v>
      </c>
      <c r="E78" t="s">
        <v>335</v>
      </c>
      <c r="F78" t="s">
        <v>586</v>
      </c>
      <c r="G78" s="110">
        <v>8175</v>
      </c>
      <c r="H78" s="12">
        <v>45627</v>
      </c>
      <c r="I78" s="10">
        <v>8209.93</v>
      </c>
      <c r="J78" s="10">
        <v>7364.3</v>
      </c>
      <c r="K78" s="3">
        <v>45670</v>
      </c>
      <c r="L78" s="91">
        <v>45705</v>
      </c>
      <c r="M78" s="16">
        <v>45709</v>
      </c>
      <c r="N78" s="18" t="s">
        <v>588</v>
      </c>
      <c r="O78" s="34">
        <v>0</v>
      </c>
      <c r="P78"/>
      <c r="Q78" t="s">
        <v>58</v>
      </c>
      <c r="R78" t="s">
        <v>195</v>
      </c>
      <c r="S78" t="str">
        <f>IFERROR(VLOOKUP(Tabela1[[#This Row],[CC]],CC!$A$1:$H$403,8,0),"")</f>
        <v>OP4</v>
      </c>
    </row>
    <row r="79" spans="1:21" x14ac:dyDescent="0.3">
      <c r="A79" s="8">
        <v>1473</v>
      </c>
      <c r="B79" s="8" t="str">
        <f>IFERROR(VLOOKUP(Tabela1[[#This Row],[CC]],#REF!,5,0),"")</f>
        <v/>
      </c>
      <c r="C79" t="s">
        <v>70</v>
      </c>
      <c r="D79" t="s">
        <v>63</v>
      </c>
      <c r="E79" t="s">
        <v>478</v>
      </c>
      <c r="F79" t="s">
        <v>586</v>
      </c>
      <c r="G79" s="110">
        <v>8217</v>
      </c>
      <c r="H79" s="12">
        <v>45627</v>
      </c>
      <c r="I79" s="24">
        <v>225527.76</v>
      </c>
      <c r="J79" s="24">
        <v>209685.41</v>
      </c>
      <c r="K79" s="3">
        <v>45702</v>
      </c>
      <c r="L79" s="91">
        <v>45712</v>
      </c>
      <c r="M79" s="11">
        <v>45716</v>
      </c>
      <c r="N79" s="18" t="s">
        <v>588</v>
      </c>
      <c r="O79" s="34">
        <v>0</v>
      </c>
      <c r="P79"/>
      <c r="Q79" t="s">
        <v>58</v>
      </c>
      <c r="R79" t="s">
        <v>195</v>
      </c>
      <c r="S79" t="str">
        <f>IFERROR(VLOOKUP(Tabela1[[#This Row],[CC]],CC!$A$1:$H$403,8,0),"")</f>
        <v>OP4</v>
      </c>
    </row>
    <row r="80" spans="1:21" x14ac:dyDescent="0.3">
      <c r="A80" s="25">
        <v>1462</v>
      </c>
      <c r="B80" s="25" t="str">
        <f>IFERROR(VLOOKUP(Tabela1[[#This Row],[CC]],#REF!,5,0),"")</f>
        <v/>
      </c>
      <c r="C80" t="s">
        <v>67</v>
      </c>
      <c r="D80" t="s">
        <v>76</v>
      </c>
      <c r="E80" t="s">
        <v>465</v>
      </c>
      <c r="F80" t="s">
        <v>586</v>
      </c>
      <c r="G80" s="110">
        <v>8188</v>
      </c>
      <c r="H80" s="12">
        <v>45627</v>
      </c>
      <c r="I80" s="24">
        <v>800</v>
      </c>
      <c r="J80" s="24">
        <v>750.8</v>
      </c>
      <c r="K80" s="3">
        <v>45680</v>
      </c>
      <c r="L80" s="91">
        <v>45684</v>
      </c>
      <c r="M80" s="11">
        <v>45688</v>
      </c>
      <c r="N80" s="18" t="s">
        <v>588</v>
      </c>
      <c r="O80" s="35">
        <v>0</v>
      </c>
      <c r="P80" s="26"/>
      <c r="Q80" t="s">
        <v>58</v>
      </c>
      <c r="R80" t="s">
        <v>228</v>
      </c>
      <c r="S80" t="str">
        <f>IFERROR(VLOOKUP(Tabela1[[#This Row],[CC]],CC!$A$1:$H$403,8,0),"")</f>
        <v>OP2</v>
      </c>
    </row>
    <row r="81" spans="1:19" x14ac:dyDescent="0.3">
      <c r="A81" s="8">
        <v>1390</v>
      </c>
      <c r="B81" s="8" t="str">
        <f>IFERROR(VLOOKUP(Tabela1[[#This Row],[CC]],#REF!,5,0),"")</f>
        <v/>
      </c>
      <c r="C81" t="s">
        <v>66</v>
      </c>
      <c r="D81" t="s">
        <v>11</v>
      </c>
      <c r="E81" t="s">
        <v>374</v>
      </c>
      <c r="F81" t="s">
        <v>586</v>
      </c>
      <c r="G81" s="110">
        <v>1245</v>
      </c>
      <c r="H81" s="12">
        <v>45717</v>
      </c>
      <c r="I81" s="10">
        <v>156264.84</v>
      </c>
      <c r="J81" s="10">
        <v>138059.98000000001</v>
      </c>
      <c r="K81" s="3">
        <v>45769</v>
      </c>
      <c r="L81" s="91">
        <v>45852</v>
      </c>
      <c r="M81" s="11">
        <v>45855</v>
      </c>
      <c r="N81" s="18" t="s">
        <v>588</v>
      </c>
      <c r="O81" s="34">
        <v>0</v>
      </c>
      <c r="P81"/>
      <c r="Q81" t="s">
        <v>58</v>
      </c>
      <c r="R81" t="s">
        <v>183</v>
      </c>
      <c r="S81" t="str">
        <f>IFERROR(VLOOKUP(Tabela1[[#This Row],[CC]],CC!$A$1:$H$403,8,0),"")</f>
        <v>OP2</v>
      </c>
    </row>
    <row r="82" spans="1:19" x14ac:dyDescent="0.3">
      <c r="A82" s="13">
        <v>1260</v>
      </c>
      <c r="B82" s="13" t="str">
        <f>IFERROR(VLOOKUP(Tabela1[[#This Row],[CC]],#REF!,5,0),"")</f>
        <v/>
      </c>
      <c r="C82" t="s">
        <v>51</v>
      </c>
      <c r="D82" t="s">
        <v>39</v>
      </c>
      <c r="E82" t="s">
        <v>227</v>
      </c>
      <c r="F82" t="s">
        <v>586</v>
      </c>
      <c r="G82" s="110">
        <v>3745</v>
      </c>
      <c r="H82" s="12">
        <v>45627</v>
      </c>
      <c r="I82" s="24">
        <v>10395</v>
      </c>
      <c r="J82" s="48">
        <v>9755.7000000000007</v>
      </c>
      <c r="K82" s="3">
        <v>45667</v>
      </c>
      <c r="L82" s="91">
        <v>45684</v>
      </c>
      <c r="M82" s="11">
        <v>45686</v>
      </c>
      <c r="N82" s="19" t="s">
        <v>588</v>
      </c>
      <c r="O82" s="34">
        <v>0</v>
      </c>
      <c r="P82"/>
      <c r="Q82" t="s">
        <v>55</v>
      </c>
      <c r="R82" t="s">
        <v>228</v>
      </c>
      <c r="S82" t="str">
        <f>IFERROR(VLOOKUP(Tabela1[[#This Row],[CC]],CC!$A$1:$H$403,8,0),"")</f>
        <v>OP2</v>
      </c>
    </row>
    <row r="83" spans="1:19" x14ac:dyDescent="0.3">
      <c r="A83" s="8">
        <v>1482</v>
      </c>
      <c r="B83" s="8" t="str">
        <f>IFERROR(VLOOKUP(Tabela1[[#This Row],[CC]],#REF!,5,0),"")</f>
        <v/>
      </c>
      <c r="C83" t="s">
        <v>66</v>
      </c>
      <c r="D83" t="s">
        <v>16</v>
      </c>
      <c r="E83" t="s">
        <v>487</v>
      </c>
      <c r="F83" t="s">
        <v>586</v>
      </c>
      <c r="G83" s="110">
        <v>8168</v>
      </c>
      <c r="H83" s="12">
        <v>45627</v>
      </c>
      <c r="I83" s="10">
        <v>39000</v>
      </c>
      <c r="J83" s="10">
        <v>35236.5</v>
      </c>
      <c r="K83" s="3">
        <v>45660</v>
      </c>
      <c r="L83" s="91">
        <v>45677</v>
      </c>
      <c r="M83" s="5">
        <v>45680</v>
      </c>
      <c r="N83" s="36" t="s">
        <v>588</v>
      </c>
      <c r="O83" s="42"/>
      <c r="P83" s="14"/>
      <c r="Q83" t="s">
        <v>58</v>
      </c>
      <c r="R83" t="s">
        <v>183</v>
      </c>
      <c r="S83" t="str">
        <f>IFERROR(VLOOKUP(Tabela1[[#This Row],[CC]],CC!$A$1:$H$403,8,0),"")</f>
        <v>OP2</v>
      </c>
    </row>
    <row r="84" spans="1:19" x14ac:dyDescent="0.3">
      <c r="A84" s="8">
        <v>1262</v>
      </c>
      <c r="B84" s="8" t="str">
        <f>IFERROR(VLOOKUP(Tabela1[[#This Row],[CC]],#REF!,5,0),"")</f>
        <v/>
      </c>
      <c r="C84" t="s">
        <v>51</v>
      </c>
      <c r="D84" t="s">
        <v>25</v>
      </c>
      <c r="E84" t="s">
        <v>230</v>
      </c>
      <c r="F84" t="s">
        <v>586</v>
      </c>
      <c r="G84" s="110">
        <v>3767</v>
      </c>
      <c r="H84" s="12">
        <v>45627</v>
      </c>
      <c r="I84" s="24">
        <v>8517.2199999999993</v>
      </c>
      <c r="J84" s="24">
        <v>7993.41</v>
      </c>
      <c r="K84" s="3">
        <v>45681</v>
      </c>
      <c r="L84" s="91">
        <v>45684</v>
      </c>
      <c r="M84" s="11">
        <v>45688</v>
      </c>
      <c r="N84" s="18" t="s">
        <v>588</v>
      </c>
      <c r="O84" s="34">
        <v>0</v>
      </c>
      <c r="P84" s="14"/>
      <c r="Q84" t="s">
        <v>55</v>
      </c>
      <c r="R84" t="s">
        <v>231</v>
      </c>
      <c r="S84" t="str">
        <f>IFERROR(VLOOKUP(Tabela1[[#This Row],[CC]],CC!$A$1:$H$403,8,0),"")</f>
        <v>OP2</v>
      </c>
    </row>
    <row r="85" spans="1:19" x14ac:dyDescent="0.3">
      <c r="A85" s="8">
        <v>1262</v>
      </c>
      <c r="B85" s="8" t="str">
        <f>IFERROR(VLOOKUP(Tabela1[[#This Row],[CC]],#REF!,5,0),"")</f>
        <v/>
      </c>
      <c r="C85" t="s">
        <v>51</v>
      </c>
      <c r="D85" t="s">
        <v>25</v>
      </c>
      <c r="E85" t="s">
        <v>230</v>
      </c>
      <c r="F85" t="s">
        <v>586</v>
      </c>
      <c r="G85" s="110">
        <v>3766</v>
      </c>
      <c r="H85" s="12">
        <v>45627</v>
      </c>
      <c r="I85" s="24">
        <v>19873.509999999998</v>
      </c>
      <c r="J85" s="24">
        <v>18651.29</v>
      </c>
      <c r="K85" s="3">
        <v>45681</v>
      </c>
      <c r="L85" s="91">
        <v>45684</v>
      </c>
      <c r="M85" s="11">
        <v>45688</v>
      </c>
      <c r="N85" s="18" t="s">
        <v>588</v>
      </c>
      <c r="O85" s="34">
        <v>0</v>
      </c>
      <c r="P85" s="14"/>
      <c r="Q85" t="s">
        <v>55</v>
      </c>
      <c r="R85" t="s">
        <v>231</v>
      </c>
      <c r="S85" t="str">
        <f>IFERROR(VLOOKUP(Tabela1[[#This Row],[CC]],CC!$A$1:$H$403,8,0),"")</f>
        <v>OP2</v>
      </c>
    </row>
    <row r="86" spans="1:19" x14ac:dyDescent="0.3">
      <c r="A86" s="8">
        <v>1262</v>
      </c>
      <c r="B86" s="8" t="str">
        <f>IFERROR(VLOOKUP(Tabela1[[#This Row],[CC]],#REF!,5,0),"")</f>
        <v/>
      </c>
      <c r="C86" t="s">
        <v>51</v>
      </c>
      <c r="D86" t="s">
        <v>25</v>
      </c>
      <c r="E86" t="s">
        <v>230</v>
      </c>
      <c r="F86" t="s">
        <v>586</v>
      </c>
      <c r="G86" s="110">
        <v>3765</v>
      </c>
      <c r="H86" s="12">
        <v>45627</v>
      </c>
      <c r="I86" s="24">
        <v>57982.34</v>
      </c>
      <c r="J86" s="24">
        <v>54416.42</v>
      </c>
      <c r="K86" s="3">
        <v>45681</v>
      </c>
      <c r="L86" s="91">
        <v>45684</v>
      </c>
      <c r="M86" s="11">
        <v>45688</v>
      </c>
      <c r="N86" s="18" t="s">
        <v>588</v>
      </c>
      <c r="O86" s="34">
        <v>0</v>
      </c>
      <c r="P86" s="14"/>
      <c r="Q86" t="s">
        <v>55</v>
      </c>
      <c r="R86" t="s">
        <v>231</v>
      </c>
      <c r="S86" t="str">
        <f>IFERROR(VLOOKUP(Tabela1[[#This Row],[CC]],CC!$A$1:$H$403,8,0),"")</f>
        <v>OP2</v>
      </c>
    </row>
    <row r="87" spans="1:19" x14ac:dyDescent="0.3">
      <c r="A87" s="8">
        <v>1269</v>
      </c>
      <c r="B87" s="8" t="str">
        <f>IFERROR(VLOOKUP(Tabela1[[#This Row],[CC]],#REF!,5,0),"")</f>
        <v/>
      </c>
      <c r="C87" t="s">
        <v>51</v>
      </c>
      <c r="D87" t="s">
        <v>25</v>
      </c>
      <c r="E87" t="s">
        <v>239</v>
      </c>
      <c r="F87" t="s">
        <v>586</v>
      </c>
      <c r="G87" s="110">
        <v>3763</v>
      </c>
      <c r="H87" s="12">
        <v>45627</v>
      </c>
      <c r="I87" s="24">
        <v>198578.23</v>
      </c>
      <c r="J87" s="24">
        <v>186365.67</v>
      </c>
      <c r="K87" s="3">
        <v>45681</v>
      </c>
      <c r="L87" s="91">
        <v>45684</v>
      </c>
      <c r="M87" s="11">
        <v>45688</v>
      </c>
      <c r="N87" s="18" t="s">
        <v>588</v>
      </c>
      <c r="O87" s="34">
        <v>0</v>
      </c>
      <c r="P87" s="14"/>
      <c r="Q87" t="s">
        <v>58</v>
      </c>
      <c r="R87" t="s">
        <v>231</v>
      </c>
      <c r="S87" t="str">
        <f>IFERROR(VLOOKUP(Tabela1[[#This Row],[CC]],CC!$A$1:$H$403,8,0),"")</f>
        <v>OP2</v>
      </c>
    </row>
    <row r="88" spans="1:19" x14ac:dyDescent="0.3">
      <c r="A88" s="8">
        <v>1262</v>
      </c>
      <c r="B88" s="8" t="str">
        <f>IFERROR(VLOOKUP(Tabela1[[#This Row],[CC]],#REF!,5,0),"")</f>
        <v/>
      </c>
      <c r="C88" t="s">
        <v>51</v>
      </c>
      <c r="D88" t="s">
        <v>25</v>
      </c>
      <c r="E88" t="s">
        <v>230</v>
      </c>
      <c r="F88" t="s">
        <v>586</v>
      </c>
      <c r="G88" s="110">
        <v>3762</v>
      </c>
      <c r="H88" s="12">
        <v>45627</v>
      </c>
      <c r="I88" s="24">
        <v>26442.98</v>
      </c>
      <c r="J88" s="24">
        <v>24816.74</v>
      </c>
      <c r="K88" s="3">
        <v>45681</v>
      </c>
      <c r="L88" s="91">
        <v>45684</v>
      </c>
      <c r="M88" s="11">
        <v>45688</v>
      </c>
      <c r="N88" s="18" t="s">
        <v>588</v>
      </c>
      <c r="O88" s="34">
        <v>0</v>
      </c>
      <c r="P88" s="14"/>
      <c r="Q88" t="s">
        <v>55</v>
      </c>
      <c r="R88" t="s">
        <v>231</v>
      </c>
      <c r="S88" t="str">
        <f>IFERROR(VLOOKUP(Tabela1[[#This Row],[CC]],CC!$A$1:$H$403,8,0),"")</f>
        <v>OP2</v>
      </c>
    </row>
    <row r="89" spans="1:19" x14ac:dyDescent="0.3">
      <c r="A89" s="25">
        <v>1269</v>
      </c>
      <c r="B89" s="25" t="str">
        <f>IFERROR(VLOOKUP(Tabela1[[#This Row],[CC]],#REF!,5,0),"")</f>
        <v/>
      </c>
      <c r="C89" t="s">
        <v>51</v>
      </c>
      <c r="D89" t="s">
        <v>25</v>
      </c>
      <c r="E89" t="s">
        <v>239</v>
      </c>
      <c r="F89" t="s">
        <v>586</v>
      </c>
      <c r="G89" s="110">
        <v>3769</v>
      </c>
      <c r="H89" s="12">
        <v>45627</v>
      </c>
      <c r="I89" s="24">
        <v>6310.36</v>
      </c>
      <c r="J89" s="24">
        <v>5922.27</v>
      </c>
      <c r="K89" s="3">
        <v>45681</v>
      </c>
      <c r="L89" s="91">
        <v>45684</v>
      </c>
      <c r="M89" s="11">
        <v>45688</v>
      </c>
      <c r="N89" s="18" t="s">
        <v>588</v>
      </c>
      <c r="O89" s="35">
        <v>0</v>
      </c>
      <c r="P89" s="26"/>
      <c r="Q89" t="s">
        <v>58</v>
      </c>
      <c r="R89" t="s">
        <v>231</v>
      </c>
      <c r="S89" t="str">
        <f>IFERROR(VLOOKUP(Tabela1[[#This Row],[CC]],CC!$A$1:$H$403,8,0),"")</f>
        <v>OP2</v>
      </c>
    </row>
    <row r="90" spans="1:19" x14ac:dyDescent="0.3">
      <c r="A90" s="25">
        <v>1269</v>
      </c>
      <c r="B90" s="25" t="str">
        <f>IFERROR(VLOOKUP(Tabela1[[#This Row],[CC]],#REF!,5,0),"")</f>
        <v/>
      </c>
      <c r="C90" t="s">
        <v>51</v>
      </c>
      <c r="D90" t="s">
        <v>25</v>
      </c>
      <c r="E90" t="s">
        <v>239</v>
      </c>
      <c r="F90" t="s">
        <v>586</v>
      </c>
      <c r="G90" s="110">
        <v>3768</v>
      </c>
      <c r="H90" s="12">
        <v>45627</v>
      </c>
      <c r="I90" s="24">
        <v>17033.400000000001</v>
      </c>
      <c r="J90" s="24">
        <v>15985.85</v>
      </c>
      <c r="K90" s="3">
        <v>45681</v>
      </c>
      <c r="L90" s="91">
        <v>45684</v>
      </c>
      <c r="M90" s="11">
        <v>45688</v>
      </c>
      <c r="N90" s="18" t="s">
        <v>588</v>
      </c>
      <c r="O90" s="35">
        <v>0</v>
      </c>
      <c r="P90" s="26"/>
      <c r="Q90" t="s">
        <v>58</v>
      </c>
      <c r="R90" t="s">
        <v>231</v>
      </c>
      <c r="S90" t="str">
        <f>IFERROR(VLOOKUP(Tabela1[[#This Row],[CC]],CC!$A$1:$H$403,8,0),"")</f>
        <v>OP2</v>
      </c>
    </row>
    <row r="91" spans="1:19" x14ac:dyDescent="0.3">
      <c r="A91" s="25">
        <v>1269</v>
      </c>
      <c r="B91" s="25" t="str">
        <f>IFERROR(VLOOKUP(Tabela1[[#This Row],[CC]],#REF!,5,0),"")</f>
        <v/>
      </c>
      <c r="C91" t="s">
        <v>51</v>
      </c>
      <c r="D91" t="s">
        <v>25</v>
      </c>
      <c r="E91" t="s">
        <v>239</v>
      </c>
      <c r="F91" t="s">
        <v>586</v>
      </c>
      <c r="G91" s="110">
        <v>3770</v>
      </c>
      <c r="H91" s="12">
        <v>45627</v>
      </c>
      <c r="I91" s="24">
        <v>22383.29</v>
      </c>
      <c r="J91" s="24">
        <v>21006.720000000001</v>
      </c>
      <c r="K91" s="3">
        <v>45681</v>
      </c>
      <c r="L91" s="91">
        <v>45684</v>
      </c>
      <c r="M91" s="11">
        <v>45688</v>
      </c>
      <c r="N91" s="18" t="s">
        <v>588</v>
      </c>
      <c r="O91" s="35">
        <v>0</v>
      </c>
      <c r="P91" s="26"/>
      <c r="Q91" t="s">
        <v>58</v>
      </c>
      <c r="R91" t="s">
        <v>231</v>
      </c>
      <c r="S91" t="str">
        <f>IFERROR(VLOOKUP(Tabela1[[#This Row],[CC]],CC!$A$1:$H$403,8,0),"")</f>
        <v>OP2</v>
      </c>
    </row>
    <row r="92" spans="1:19" x14ac:dyDescent="0.3">
      <c r="A92" s="25">
        <v>1269</v>
      </c>
      <c r="B92" s="25" t="str">
        <f>IFERROR(VLOOKUP(Tabela1[[#This Row],[CC]],#REF!,5,0),"")</f>
        <v/>
      </c>
      <c r="C92" t="s">
        <v>51</v>
      </c>
      <c r="D92" t="s">
        <v>25</v>
      </c>
      <c r="E92" t="s">
        <v>239</v>
      </c>
      <c r="F92" t="s">
        <v>586</v>
      </c>
      <c r="G92" s="110">
        <v>3764</v>
      </c>
      <c r="H92" s="12">
        <v>45627</v>
      </c>
      <c r="I92" s="24">
        <v>18775.89</v>
      </c>
      <c r="J92" s="24">
        <v>17621.169999999998</v>
      </c>
      <c r="K92" s="3">
        <v>45681</v>
      </c>
      <c r="L92" s="91">
        <v>45684</v>
      </c>
      <c r="M92" s="11">
        <v>45688</v>
      </c>
      <c r="N92" s="18" t="s">
        <v>588</v>
      </c>
      <c r="O92" s="35">
        <v>0</v>
      </c>
      <c r="P92" s="26"/>
      <c r="Q92" t="s">
        <v>58</v>
      </c>
      <c r="R92" t="s">
        <v>231</v>
      </c>
      <c r="S92" t="str">
        <f>IFERROR(VLOOKUP(Tabela1[[#This Row],[CC]],CC!$A$1:$H$403,8,0),"")</f>
        <v>OP2</v>
      </c>
    </row>
    <row r="93" spans="1:19" x14ac:dyDescent="0.3">
      <c r="A93" s="25">
        <v>1400</v>
      </c>
      <c r="B93" s="25" t="str">
        <f>IFERROR(VLOOKUP(Tabela1[[#This Row],[CC]],#REF!,5,0),"")</f>
        <v/>
      </c>
      <c r="C93" t="s">
        <v>64</v>
      </c>
      <c r="D93" t="s">
        <v>4</v>
      </c>
      <c r="E93" t="s">
        <v>385</v>
      </c>
      <c r="F93" t="s">
        <v>586</v>
      </c>
      <c r="G93" s="110">
        <v>8198</v>
      </c>
      <c r="H93" s="12">
        <v>45627</v>
      </c>
      <c r="I93" s="24">
        <v>77751.44</v>
      </c>
      <c r="J93" s="27">
        <v>70248.429999999993</v>
      </c>
      <c r="K93" s="3">
        <v>45691</v>
      </c>
      <c r="L93" s="91">
        <v>45705</v>
      </c>
      <c r="M93" s="11">
        <v>45708</v>
      </c>
      <c r="N93" s="18" t="s">
        <v>588</v>
      </c>
      <c r="O93" s="35">
        <v>0</v>
      </c>
      <c r="P93"/>
      <c r="Q93" t="s">
        <v>55</v>
      </c>
      <c r="R93" t="s">
        <v>183</v>
      </c>
      <c r="S93" t="str">
        <f>IFERROR(VLOOKUP(Tabela1[[#This Row],[CC]],CC!$A$1:$H$403,8,0),"")</f>
        <v>OP1</v>
      </c>
    </row>
    <row r="94" spans="1:19" x14ac:dyDescent="0.3">
      <c r="A94" s="25">
        <v>1400</v>
      </c>
      <c r="B94" s="25" t="str">
        <f>IFERROR(VLOOKUP(Tabela1[[#This Row],[CC]],#REF!,5,0),"")</f>
        <v/>
      </c>
      <c r="C94" t="s">
        <v>64</v>
      </c>
      <c r="D94" t="s">
        <v>4</v>
      </c>
      <c r="E94" t="s">
        <v>385</v>
      </c>
      <c r="F94" t="s">
        <v>586</v>
      </c>
      <c r="G94" s="110">
        <v>8197</v>
      </c>
      <c r="H94" s="12">
        <v>45627</v>
      </c>
      <c r="I94" s="24">
        <v>765030.98</v>
      </c>
      <c r="J94" s="27">
        <v>691205.5</v>
      </c>
      <c r="K94" s="3">
        <v>45691</v>
      </c>
      <c r="L94" s="91">
        <v>45705</v>
      </c>
      <c r="M94" s="11">
        <v>45708</v>
      </c>
      <c r="N94" s="18" t="s">
        <v>588</v>
      </c>
      <c r="O94" s="35">
        <v>0</v>
      </c>
      <c r="P94"/>
      <c r="Q94" t="s">
        <v>55</v>
      </c>
      <c r="R94" t="s">
        <v>183</v>
      </c>
      <c r="S94" t="str">
        <f>IFERROR(VLOOKUP(Tabela1[[#This Row],[CC]],CC!$A$1:$H$403,8,0),"")</f>
        <v>OP1</v>
      </c>
    </row>
    <row r="95" spans="1:19" x14ac:dyDescent="0.3">
      <c r="A95" s="8">
        <v>1366</v>
      </c>
      <c r="B95" s="8" t="str">
        <f>IFERROR(VLOOKUP(Tabela1[[#This Row],[CC]],#REF!,5,0),"")</f>
        <v/>
      </c>
      <c r="C95" t="s">
        <v>64</v>
      </c>
      <c r="D95" t="s">
        <v>4</v>
      </c>
      <c r="E95" t="s">
        <v>345</v>
      </c>
      <c r="F95" t="s">
        <v>586</v>
      </c>
      <c r="G95" s="110">
        <v>1208</v>
      </c>
      <c r="H95" s="12">
        <v>45627</v>
      </c>
      <c r="I95" s="10">
        <v>347182.07</v>
      </c>
      <c r="J95" s="10">
        <v>313678.94</v>
      </c>
      <c r="K95" s="3">
        <v>45677</v>
      </c>
      <c r="L95" s="91">
        <v>45684</v>
      </c>
      <c r="M95" s="11">
        <v>45688</v>
      </c>
      <c r="N95" s="18" t="s">
        <v>588</v>
      </c>
      <c r="O95" s="34">
        <v>0</v>
      </c>
      <c r="P95"/>
      <c r="Q95" t="s">
        <v>58</v>
      </c>
      <c r="R95" t="s">
        <v>183</v>
      </c>
      <c r="S95" t="str">
        <f>IFERROR(VLOOKUP(Tabela1[[#This Row],[CC]],CC!$A$1:$H$403,8,0),"")</f>
        <v>OP1</v>
      </c>
    </row>
    <row r="96" spans="1:19" x14ac:dyDescent="0.3">
      <c r="A96" s="8">
        <v>1366</v>
      </c>
      <c r="B96" s="8" t="str">
        <f>IFERROR(VLOOKUP(Tabela1[[#This Row],[CC]],#REF!,5,0),"")</f>
        <v/>
      </c>
      <c r="C96" t="s">
        <v>64</v>
      </c>
      <c r="D96" t="s">
        <v>4</v>
      </c>
      <c r="E96" t="s">
        <v>345</v>
      </c>
      <c r="F96" t="s">
        <v>586</v>
      </c>
      <c r="G96" s="110">
        <v>1214</v>
      </c>
      <c r="H96" s="12">
        <v>45627</v>
      </c>
      <c r="I96" s="10">
        <v>278553.75</v>
      </c>
      <c r="J96" s="10">
        <v>251673.31</v>
      </c>
      <c r="K96" s="3">
        <v>45691</v>
      </c>
      <c r="L96" s="91">
        <v>45698</v>
      </c>
      <c r="M96" s="11">
        <v>45701</v>
      </c>
      <c r="N96" s="18" t="s">
        <v>588</v>
      </c>
      <c r="O96" s="34">
        <v>0</v>
      </c>
      <c r="P96"/>
      <c r="Q96" t="s">
        <v>58</v>
      </c>
      <c r="R96" t="s">
        <v>183</v>
      </c>
      <c r="S96" t="str">
        <f>IFERROR(VLOOKUP(Tabela1[[#This Row],[CC]],CC!$A$1:$H$403,8,0),"")</f>
        <v>OP1</v>
      </c>
    </row>
    <row r="97" spans="1:19" x14ac:dyDescent="0.3">
      <c r="A97" s="8">
        <v>1388</v>
      </c>
      <c r="B97" s="8" t="str">
        <f>IFERROR(VLOOKUP(Tabela1[[#This Row],[CC]],#REF!,5,0),"")</f>
        <v/>
      </c>
      <c r="C97" t="s">
        <v>64</v>
      </c>
      <c r="D97" t="s">
        <v>4</v>
      </c>
      <c r="E97" t="s">
        <v>373</v>
      </c>
      <c r="F97" t="s">
        <v>586</v>
      </c>
      <c r="G97" s="110">
        <v>3779</v>
      </c>
      <c r="H97" s="12">
        <v>45627</v>
      </c>
      <c r="I97" s="10">
        <v>70542.28</v>
      </c>
      <c r="J97" s="10">
        <v>63734.96</v>
      </c>
      <c r="K97" s="3">
        <v>45691</v>
      </c>
      <c r="L97" s="91">
        <v>45698</v>
      </c>
      <c r="M97" s="11">
        <v>45701</v>
      </c>
      <c r="N97" s="18" t="s">
        <v>588</v>
      </c>
      <c r="O97" s="34">
        <v>0</v>
      </c>
      <c r="P97"/>
      <c r="Q97" t="s">
        <v>55</v>
      </c>
      <c r="R97" t="s">
        <v>183</v>
      </c>
      <c r="S97" t="str">
        <f>IFERROR(VLOOKUP(Tabela1[[#This Row],[CC]],CC!$A$1:$H$403,8,0),"")</f>
        <v>OP1</v>
      </c>
    </row>
    <row r="98" spans="1:19" x14ac:dyDescent="0.3">
      <c r="A98" s="25">
        <v>1481</v>
      </c>
      <c r="B98" s="25" t="str">
        <f>IFERROR(VLOOKUP(Tabela1[[#This Row],[CC]],#REF!,5,0),"")</f>
        <v/>
      </c>
      <c r="C98" t="s">
        <v>51</v>
      </c>
      <c r="D98" t="s">
        <v>40</v>
      </c>
      <c r="E98" t="s">
        <v>486</v>
      </c>
      <c r="F98" t="s">
        <v>586</v>
      </c>
      <c r="G98" s="110">
        <v>3822</v>
      </c>
      <c r="H98" s="50">
        <v>45627</v>
      </c>
      <c r="I98" s="24">
        <v>107000</v>
      </c>
      <c r="J98" s="24">
        <v>100419.5</v>
      </c>
      <c r="K98" s="3">
        <v>45702</v>
      </c>
      <c r="L98" s="91">
        <v>45726</v>
      </c>
      <c r="M98" s="11">
        <v>45727</v>
      </c>
      <c r="N98" s="18" t="s">
        <v>588</v>
      </c>
      <c r="O98" s="35">
        <v>0</v>
      </c>
      <c r="P98"/>
      <c r="Q98" t="s">
        <v>55</v>
      </c>
      <c r="R98" t="s">
        <v>231</v>
      </c>
      <c r="S98" t="str">
        <f>IFERROR(VLOOKUP(Tabela1[[#This Row],[CC]],CC!$A$1:$H$403,8,0),"")</f>
        <v>OP2</v>
      </c>
    </row>
    <row r="99" spans="1:19" x14ac:dyDescent="0.3">
      <c r="A99" s="8">
        <v>1298</v>
      </c>
      <c r="B99" s="8" t="str">
        <f>IFERROR(VLOOKUP(Tabela1[[#This Row],[CC]],#REF!,5,0),"")</f>
        <v/>
      </c>
      <c r="C99" t="str">
        <f>IFERROR(VLOOKUP(Tabela1[[#This Row],[CC]],CC!$A$1:$H$389,7,0),"")</f>
        <v>JOSÉ NETO</v>
      </c>
      <c r="D99" t="s">
        <v>17</v>
      </c>
      <c r="E99" t="s">
        <v>273</v>
      </c>
      <c r="F99" t="s">
        <v>586</v>
      </c>
      <c r="G99" s="110">
        <v>1207</v>
      </c>
      <c r="H99" s="12">
        <v>45627</v>
      </c>
      <c r="I99" s="24">
        <v>275594.28999999998</v>
      </c>
      <c r="J99" s="24">
        <v>258645.25</v>
      </c>
      <c r="K99" s="3">
        <v>45674</v>
      </c>
      <c r="L99" s="91">
        <v>45684</v>
      </c>
      <c r="M99" s="11">
        <v>45688</v>
      </c>
      <c r="N99" s="18" t="s">
        <v>588</v>
      </c>
      <c r="O99" s="34">
        <v>0</v>
      </c>
      <c r="P99"/>
      <c r="Q99" t="s">
        <v>58</v>
      </c>
      <c r="R99" t="s">
        <v>195</v>
      </c>
      <c r="S99" t="str">
        <f>IFERROR(VLOOKUP(Tabela1[[#This Row],[CC]],CC!$A$1:$H$403,8,0),"")</f>
        <v>OP2</v>
      </c>
    </row>
    <row r="100" spans="1:19" x14ac:dyDescent="0.3">
      <c r="A100" s="8">
        <v>1289</v>
      </c>
      <c r="B100" s="8" t="str">
        <f>IFERROR(VLOOKUP(Tabela1[[#This Row],[CC]],#REF!,5,0),"")</f>
        <v/>
      </c>
      <c r="C100" t="s">
        <v>60</v>
      </c>
      <c r="D100" t="s">
        <v>15</v>
      </c>
      <c r="E100" t="s">
        <v>263</v>
      </c>
      <c r="F100" t="s">
        <v>586</v>
      </c>
      <c r="G100" s="110">
        <v>8187</v>
      </c>
      <c r="H100" s="12">
        <v>45627</v>
      </c>
      <c r="I100" s="24">
        <v>176197.18</v>
      </c>
      <c r="J100" s="10">
        <v>164215.78</v>
      </c>
      <c r="K100" s="3">
        <v>45680</v>
      </c>
      <c r="L100" s="91">
        <v>45691</v>
      </c>
      <c r="M100" s="11">
        <v>45693</v>
      </c>
      <c r="N100" s="18" t="s">
        <v>588</v>
      </c>
      <c r="O100" s="34">
        <v>0</v>
      </c>
      <c r="P100"/>
      <c r="Q100" t="s">
        <v>58</v>
      </c>
      <c r="R100" t="s">
        <v>195</v>
      </c>
      <c r="S100" t="str">
        <f>IFERROR(VLOOKUP(Tabela1[[#This Row],[CC]],CC!$A$1:$H$403,8,0),"")</f>
        <v>OP3</v>
      </c>
    </row>
    <row r="101" spans="1:19" x14ac:dyDescent="0.3">
      <c r="A101" s="25">
        <v>1288</v>
      </c>
      <c r="B101" s="25" t="str">
        <f>IFERROR(VLOOKUP(Tabela1[[#This Row],[CC]],#REF!,5,0),"")</f>
        <v/>
      </c>
      <c r="C101" t="s">
        <v>60</v>
      </c>
      <c r="D101" t="s">
        <v>15</v>
      </c>
      <c r="E101" t="s">
        <v>262</v>
      </c>
      <c r="F101" t="s">
        <v>586</v>
      </c>
      <c r="G101" s="110">
        <v>8186</v>
      </c>
      <c r="H101" s="12">
        <v>45627</v>
      </c>
      <c r="I101" s="24">
        <v>240212.72</v>
      </c>
      <c r="J101" s="24">
        <v>223878.26</v>
      </c>
      <c r="K101" s="3">
        <v>45680</v>
      </c>
      <c r="L101" s="91">
        <v>45698</v>
      </c>
      <c r="M101" s="11">
        <v>45698</v>
      </c>
      <c r="N101" s="18" t="s">
        <v>588</v>
      </c>
      <c r="O101" s="35">
        <v>0</v>
      </c>
      <c r="P101"/>
      <c r="Q101" t="s">
        <v>55</v>
      </c>
      <c r="R101" t="s">
        <v>195</v>
      </c>
      <c r="S101" t="str">
        <f>IFERROR(VLOOKUP(Tabela1[[#This Row],[CC]],CC!$A$1:$H$403,8,0),"")</f>
        <v>OP3</v>
      </c>
    </row>
    <row r="102" spans="1:19" x14ac:dyDescent="0.3">
      <c r="A102" s="8">
        <v>1271</v>
      </c>
      <c r="B102" s="8" t="str">
        <f>IFERROR(VLOOKUP(Tabela1[[#This Row],[CC]],#REF!,5,0),"")</f>
        <v/>
      </c>
      <c r="C102" t="s">
        <v>60</v>
      </c>
      <c r="D102" t="s">
        <v>15</v>
      </c>
      <c r="E102" t="s">
        <v>242</v>
      </c>
      <c r="F102" t="s">
        <v>586</v>
      </c>
      <c r="G102" s="110">
        <v>8189</v>
      </c>
      <c r="H102" s="12">
        <v>45627</v>
      </c>
      <c r="I102" s="10">
        <v>255597.54</v>
      </c>
      <c r="J102" s="10">
        <v>238216.91</v>
      </c>
      <c r="K102" s="3">
        <v>45681</v>
      </c>
      <c r="L102" s="91">
        <v>45698</v>
      </c>
      <c r="M102" s="11">
        <v>45700</v>
      </c>
      <c r="N102" s="18" t="s">
        <v>588</v>
      </c>
      <c r="O102" s="34">
        <v>0</v>
      </c>
      <c r="P102"/>
      <c r="Q102" t="s">
        <v>58</v>
      </c>
      <c r="R102" t="s">
        <v>195</v>
      </c>
      <c r="S102" t="str">
        <f>IFERROR(VLOOKUP(Tabela1[[#This Row],[CC]],CC!$A$1:$H$403,8,0),"")</f>
        <v>OP3</v>
      </c>
    </row>
    <row r="103" spans="1:19" x14ac:dyDescent="0.3">
      <c r="A103" s="25">
        <v>1288</v>
      </c>
      <c r="B103" s="25" t="str">
        <f>IFERROR(VLOOKUP(Tabela1[[#This Row],[CC]],#REF!,5,0),"")</f>
        <v/>
      </c>
      <c r="C103" t="s">
        <v>60</v>
      </c>
      <c r="D103" t="s">
        <v>15</v>
      </c>
      <c r="E103" t="s">
        <v>262</v>
      </c>
      <c r="F103" t="s">
        <v>586</v>
      </c>
      <c r="G103" s="110">
        <v>8623</v>
      </c>
      <c r="H103" s="12">
        <v>45931</v>
      </c>
      <c r="I103" s="24">
        <v>393007.28</v>
      </c>
      <c r="J103" s="27">
        <v>366282.78</v>
      </c>
      <c r="K103" s="3">
        <v>45985</v>
      </c>
      <c r="L103" s="91">
        <v>45992</v>
      </c>
      <c r="M103" s="11">
        <v>45995</v>
      </c>
      <c r="N103" s="18" t="s">
        <v>588</v>
      </c>
      <c r="O103" s="35"/>
      <c r="P103" s="26"/>
      <c r="Q103" t="s">
        <v>55</v>
      </c>
      <c r="R103" t="s">
        <v>195</v>
      </c>
      <c r="S103" t="str">
        <f>IFERROR(VLOOKUP(Tabela1[[#This Row],[CC]],CC!$A$1:$H$403,8,0),"")</f>
        <v>OP3</v>
      </c>
    </row>
    <row r="104" spans="1:19" x14ac:dyDescent="0.3">
      <c r="A104" s="8">
        <v>1299</v>
      </c>
      <c r="B104" s="8" t="str">
        <f>IFERROR(VLOOKUP(Tabela1[[#This Row],[CC]],#REF!,5,0),"")</f>
        <v/>
      </c>
      <c r="C104" t="s">
        <v>60</v>
      </c>
      <c r="D104" t="s">
        <v>15</v>
      </c>
      <c r="E104" t="s">
        <v>274</v>
      </c>
      <c r="F104" t="s">
        <v>586</v>
      </c>
      <c r="G104" s="110">
        <v>8190</v>
      </c>
      <c r="H104" s="12">
        <v>45627</v>
      </c>
      <c r="I104" s="10">
        <v>816076.80000000005</v>
      </c>
      <c r="J104" s="10">
        <v>760583.57</v>
      </c>
      <c r="K104" s="3">
        <v>45681</v>
      </c>
      <c r="L104" s="91">
        <v>45698</v>
      </c>
      <c r="M104" s="11">
        <v>45698</v>
      </c>
      <c r="N104" s="18" t="s">
        <v>588</v>
      </c>
      <c r="O104" s="37"/>
      <c r="P104" s="14"/>
      <c r="Q104" t="s">
        <v>55</v>
      </c>
      <c r="R104" t="s">
        <v>195</v>
      </c>
      <c r="S104" t="str">
        <f>IFERROR(VLOOKUP(Tabela1[[#This Row],[CC]],CC!$A$1:$H$403,8,0),"")</f>
        <v>OP3</v>
      </c>
    </row>
    <row r="105" spans="1:19" x14ac:dyDescent="0.3">
      <c r="A105" s="25">
        <v>1394</v>
      </c>
      <c r="B105" s="25" t="str">
        <f>IFERROR(VLOOKUP(Tabela1[[#This Row],[CC]],#REF!,5,0),"")</f>
        <v/>
      </c>
      <c r="C105" t="s">
        <v>65</v>
      </c>
      <c r="D105" t="s">
        <v>18</v>
      </c>
      <c r="E105" t="s">
        <v>378</v>
      </c>
      <c r="F105" t="s">
        <v>586</v>
      </c>
      <c r="G105" s="110">
        <v>8180</v>
      </c>
      <c r="H105" s="12">
        <v>45627</v>
      </c>
      <c r="I105" s="24">
        <v>15768.3</v>
      </c>
      <c r="J105" s="24">
        <v>14696.05</v>
      </c>
      <c r="K105" s="3">
        <v>45670</v>
      </c>
      <c r="L105" s="91">
        <v>45677</v>
      </c>
      <c r="M105" s="29">
        <v>45681</v>
      </c>
      <c r="N105" s="21" t="s">
        <v>588</v>
      </c>
      <c r="O105" s="35">
        <v>0</v>
      </c>
      <c r="P105" s="26"/>
      <c r="Q105" t="s">
        <v>58</v>
      </c>
      <c r="R105" t="s">
        <v>195</v>
      </c>
      <c r="S105" t="str">
        <f>IFERROR(VLOOKUP(Tabela1[[#This Row],[CC]],CC!$A$1:$H$403,8,0),"")</f>
        <v>OP4</v>
      </c>
    </row>
    <row r="106" spans="1:19" x14ac:dyDescent="0.3">
      <c r="A106" s="25">
        <v>1394</v>
      </c>
      <c r="B106" s="25" t="str">
        <f>IFERROR(VLOOKUP(Tabela1[[#This Row],[CC]],#REF!,5,0),"")</f>
        <v/>
      </c>
      <c r="C106" t="s">
        <v>65</v>
      </c>
      <c r="D106" t="s">
        <v>18</v>
      </c>
      <c r="E106" t="s">
        <v>378</v>
      </c>
      <c r="F106" t="s">
        <v>586</v>
      </c>
      <c r="G106" s="110">
        <v>8177</v>
      </c>
      <c r="H106" s="12">
        <v>45627</v>
      </c>
      <c r="I106" s="24">
        <v>111600.22</v>
      </c>
      <c r="J106" s="24">
        <v>104011.41</v>
      </c>
      <c r="K106" s="3">
        <v>45670</v>
      </c>
      <c r="L106" s="91">
        <v>45677</v>
      </c>
      <c r="M106" s="29">
        <v>45681</v>
      </c>
      <c r="N106" s="21" t="s">
        <v>588</v>
      </c>
      <c r="O106" s="35">
        <v>0</v>
      </c>
      <c r="P106" s="26"/>
      <c r="Q106" t="s">
        <v>58</v>
      </c>
      <c r="R106" t="s">
        <v>195</v>
      </c>
      <c r="S106" t="str">
        <f>IFERROR(VLOOKUP(Tabela1[[#This Row],[CC]],CC!$A$1:$H$403,8,0),"")</f>
        <v>OP4</v>
      </c>
    </row>
    <row r="107" spans="1:19" x14ac:dyDescent="0.3">
      <c r="A107" s="25">
        <v>1394</v>
      </c>
      <c r="B107" s="25" t="str">
        <f>IFERROR(VLOOKUP(Tabela1[[#This Row],[CC]],#REF!,5,0),"")</f>
        <v/>
      </c>
      <c r="C107" t="s">
        <v>65</v>
      </c>
      <c r="D107" t="s">
        <v>18</v>
      </c>
      <c r="E107" t="s">
        <v>378</v>
      </c>
      <c r="F107" t="s">
        <v>586</v>
      </c>
      <c r="G107" s="110">
        <v>8176</v>
      </c>
      <c r="H107" s="12">
        <v>45627</v>
      </c>
      <c r="I107" s="24">
        <v>62325.11</v>
      </c>
      <c r="J107" s="24">
        <v>58087</v>
      </c>
      <c r="K107" s="3">
        <v>45670</v>
      </c>
      <c r="L107" s="91">
        <v>45684</v>
      </c>
      <c r="M107" s="29">
        <v>45686</v>
      </c>
      <c r="N107" s="21" t="s">
        <v>588</v>
      </c>
      <c r="O107" s="35">
        <v>0</v>
      </c>
      <c r="P107" s="26"/>
      <c r="Q107" t="s">
        <v>58</v>
      </c>
      <c r="R107" t="s">
        <v>195</v>
      </c>
      <c r="S107" t="str">
        <f>IFERROR(VLOOKUP(Tabela1[[#This Row],[CC]],CC!$A$1:$H$403,8,0),"")</f>
        <v>OP4</v>
      </c>
    </row>
    <row r="108" spans="1:19" x14ac:dyDescent="0.3">
      <c r="A108" s="25">
        <v>1394</v>
      </c>
      <c r="B108" s="25" t="str">
        <f>IFERROR(VLOOKUP(Tabela1[[#This Row],[CC]],#REF!,5,0),"")</f>
        <v/>
      </c>
      <c r="C108" t="s">
        <v>65</v>
      </c>
      <c r="D108" t="s">
        <v>18</v>
      </c>
      <c r="E108" t="s">
        <v>378</v>
      </c>
      <c r="F108" t="s">
        <v>586</v>
      </c>
      <c r="G108" s="110">
        <v>8192</v>
      </c>
      <c r="H108" s="12">
        <v>45627</v>
      </c>
      <c r="I108" s="24">
        <v>127355.8</v>
      </c>
      <c r="J108" s="24">
        <v>118695.6</v>
      </c>
      <c r="K108" s="3">
        <v>45686</v>
      </c>
      <c r="L108" s="91">
        <v>45691</v>
      </c>
      <c r="M108" s="29">
        <v>45695</v>
      </c>
      <c r="N108" s="21" t="s">
        <v>588</v>
      </c>
      <c r="O108" s="35">
        <v>0</v>
      </c>
      <c r="P108" s="26"/>
      <c r="Q108" t="s">
        <v>58</v>
      </c>
      <c r="R108" t="s">
        <v>195</v>
      </c>
      <c r="S108" t="str">
        <f>IFERROR(VLOOKUP(Tabela1[[#This Row],[CC]],CC!$A$1:$H$403,8,0),"")</f>
        <v>OP4</v>
      </c>
    </row>
    <row r="109" spans="1:19" x14ac:dyDescent="0.3">
      <c r="A109" s="25">
        <v>1394</v>
      </c>
      <c r="B109" s="25" t="str">
        <f>IFERROR(VLOOKUP(Tabela1[[#This Row],[CC]],#REF!,5,0),"")</f>
        <v/>
      </c>
      <c r="C109" t="s">
        <v>65</v>
      </c>
      <c r="D109" t="s">
        <v>18</v>
      </c>
      <c r="E109" t="s">
        <v>378</v>
      </c>
      <c r="F109" t="s">
        <v>586</v>
      </c>
      <c r="G109" s="110">
        <v>8191</v>
      </c>
      <c r="H109" s="12">
        <v>45627</v>
      </c>
      <c r="I109" s="24">
        <v>138077.03</v>
      </c>
      <c r="J109" s="24">
        <v>128687.79</v>
      </c>
      <c r="K109" s="3">
        <v>45686</v>
      </c>
      <c r="L109" s="91">
        <v>45691</v>
      </c>
      <c r="M109" s="29">
        <v>45695</v>
      </c>
      <c r="N109" s="21" t="s">
        <v>588</v>
      </c>
      <c r="O109" s="35">
        <v>0</v>
      </c>
      <c r="P109" s="26"/>
      <c r="Q109" t="s">
        <v>58</v>
      </c>
      <c r="R109" t="s">
        <v>195</v>
      </c>
      <c r="S109" t="str">
        <f>IFERROR(VLOOKUP(Tabela1[[#This Row],[CC]],CC!$A$1:$H$403,8,0),"")</f>
        <v>OP4</v>
      </c>
    </row>
    <row r="110" spans="1:19" x14ac:dyDescent="0.3">
      <c r="A110" s="25">
        <v>1296</v>
      </c>
      <c r="B110" s="25" t="str">
        <f>IFERROR(VLOOKUP(Tabela1[[#This Row],[CC]],#REF!,5,0),"")</f>
        <v/>
      </c>
      <c r="C110" t="str">
        <f>IFERROR(VLOOKUP(Tabela1[[#This Row],[CC]],CC!$A$1:$H$389,7,0),"")</f>
        <v>JOSÉ NETO</v>
      </c>
      <c r="D110" t="str">
        <f>IFERROR(VLOOKUP(Tabela1[[#This Row],[CC]],CC!$A$1:$I$3869,3,0),"")</f>
        <v>AXIA</v>
      </c>
      <c r="E110" t="str">
        <f>IFERROR(VLOOKUP(Tabela1[[#This Row],[CC]],CC!$A$1:$H$389,2,0),"")</f>
        <v>ELETROBRAS DIGITAL SUPORT (1296)</v>
      </c>
      <c r="F110" t="s">
        <v>586</v>
      </c>
      <c r="G110" s="110">
        <v>1296</v>
      </c>
      <c r="H110" s="12">
        <v>45870</v>
      </c>
      <c r="I110" s="24">
        <v>853192.83</v>
      </c>
      <c r="J110" s="24">
        <v>783657.62</v>
      </c>
      <c r="K110" s="3">
        <v>45916</v>
      </c>
      <c r="L110" s="91">
        <v>45931</v>
      </c>
      <c r="M110" s="29">
        <v>45931</v>
      </c>
      <c r="N110" s="18" t="s">
        <v>588</v>
      </c>
      <c r="O110" s="41"/>
      <c r="P110" s="26"/>
      <c r="Q110" t="str">
        <f>IFERROR(VLOOKUP(Tabela1[[#This Row],[CC]],CC!$A$1:$H$389,5,0),"")</f>
        <v>CSA</v>
      </c>
      <c r="R110" t="str">
        <f>IFERROR(VLOOKUP(Tabela1[[#This Row],[CC]],CC!$A$1:$H$389,6,0),"")</f>
        <v>UT</v>
      </c>
      <c r="S110" t="str">
        <f>IFERROR(VLOOKUP(Tabela1[[#This Row],[CC]],CC!$A$1:$H$403,8,0),"")</f>
        <v>OP2</v>
      </c>
    </row>
    <row r="111" spans="1:19" x14ac:dyDescent="0.3">
      <c r="A111" s="25">
        <v>1394</v>
      </c>
      <c r="B111" s="25" t="str">
        <f>IFERROR(VLOOKUP(Tabela1[[#This Row],[CC]],#REF!,5,0),"")</f>
        <v/>
      </c>
      <c r="C111" t="s">
        <v>65</v>
      </c>
      <c r="D111" t="s">
        <v>18</v>
      </c>
      <c r="E111" t="s">
        <v>378</v>
      </c>
      <c r="F111" t="s">
        <v>586</v>
      </c>
      <c r="G111" s="110">
        <v>8212</v>
      </c>
      <c r="H111" s="12">
        <v>45627</v>
      </c>
      <c r="I111" s="24">
        <v>283355.11</v>
      </c>
      <c r="J111" s="24">
        <v>264086.96000000002</v>
      </c>
      <c r="K111" s="3">
        <v>45700</v>
      </c>
      <c r="L111" s="91">
        <v>45712</v>
      </c>
      <c r="M111" s="29">
        <v>45715</v>
      </c>
      <c r="N111" s="21" t="s">
        <v>588</v>
      </c>
      <c r="O111" s="35">
        <v>0</v>
      </c>
      <c r="P111" s="26"/>
      <c r="Q111" t="s">
        <v>58</v>
      </c>
      <c r="R111" t="s">
        <v>195</v>
      </c>
      <c r="S111" t="str">
        <f>IFERROR(VLOOKUP(Tabela1[[#This Row],[CC]],CC!$A$1:$H$403,8,0),"")</f>
        <v>OP4</v>
      </c>
    </row>
    <row r="112" spans="1:19" x14ac:dyDescent="0.3">
      <c r="A112" s="25">
        <v>1394</v>
      </c>
      <c r="B112" s="25" t="str">
        <f>IFERROR(VLOOKUP(Tabela1[[#This Row],[CC]],#REF!,5,0),"")</f>
        <v/>
      </c>
      <c r="C112" t="s">
        <v>65</v>
      </c>
      <c r="D112" t="s">
        <v>18</v>
      </c>
      <c r="E112" t="s">
        <v>378</v>
      </c>
      <c r="F112" t="s">
        <v>586</v>
      </c>
      <c r="G112" s="110">
        <v>8242</v>
      </c>
      <c r="H112" s="12">
        <v>45627</v>
      </c>
      <c r="I112" s="24">
        <v>215731.29</v>
      </c>
      <c r="J112" s="24">
        <v>201061.56</v>
      </c>
      <c r="K112" s="3">
        <v>45727</v>
      </c>
      <c r="L112" s="91">
        <v>45740</v>
      </c>
      <c r="M112" s="29">
        <v>45741</v>
      </c>
      <c r="N112" s="21" t="s">
        <v>588</v>
      </c>
      <c r="O112" s="35">
        <v>0</v>
      </c>
      <c r="P112" s="26"/>
      <c r="Q112" t="s">
        <v>58</v>
      </c>
      <c r="R112" t="s">
        <v>195</v>
      </c>
      <c r="S112" t="str">
        <f>IFERROR(VLOOKUP(Tabela1[[#This Row],[CC]],CC!$A$1:$H$403,8,0),"")</f>
        <v>OP4</v>
      </c>
    </row>
    <row r="113" spans="1:19" x14ac:dyDescent="0.3">
      <c r="A113" s="25">
        <v>1360</v>
      </c>
      <c r="B113" s="25" t="str">
        <f>IFERROR(VLOOKUP(Tabela1[[#This Row],[CC]],#REF!,5,0),"")</f>
        <v/>
      </c>
      <c r="C113" t="s">
        <v>32</v>
      </c>
      <c r="D113" t="s">
        <v>24</v>
      </c>
      <c r="E113" t="s">
        <v>338</v>
      </c>
      <c r="F113" t="s">
        <v>586</v>
      </c>
      <c r="G113" s="110">
        <v>3730</v>
      </c>
      <c r="H113" s="12">
        <v>45627</v>
      </c>
      <c r="I113" s="24">
        <v>19194</v>
      </c>
      <c r="J113" s="24">
        <v>18013.57</v>
      </c>
      <c r="K113" s="3">
        <v>45644</v>
      </c>
      <c r="L113" s="91">
        <v>45698</v>
      </c>
      <c r="M113" s="11">
        <v>45700</v>
      </c>
      <c r="N113" s="18" t="s">
        <v>588</v>
      </c>
      <c r="O113" s="35">
        <v>0</v>
      </c>
      <c r="P113"/>
      <c r="Q113" t="s">
        <v>55</v>
      </c>
      <c r="R113" t="s">
        <v>231</v>
      </c>
      <c r="S113" t="str">
        <f>IFERROR(VLOOKUP(Tabela1[[#This Row],[CC]],CC!$A$1:$H$403,8,0),"")</f>
        <v>OP1</v>
      </c>
    </row>
    <row r="114" spans="1:19" x14ac:dyDescent="0.3">
      <c r="A114" s="25">
        <v>1470</v>
      </c>
      <c r="B114" s="25" t="str">
        <f>IFERROR(VLOOKUP(Tabela1[[#This Row],[CC]],#REF!,5,0),"")</f>
        <v/>
      </c>
      <c r="C114" t="s">
        <v>67</v>
      </c>
      <c r="D114" t="s">
        <v>44</v>
      </c>
      <c r="E114" t="s">
        <v>475</v>
      </c>
      <c r="F114" t="s">
        <v>586</v>
      </c>
      <c r="G114" s="110">
        <v>8169</v>
      </c>
      <c r="H114" s="12">
        <v>45627</v>
      </c>
      <c r="I114" s="24">
        <v>36700</v>
      </c>
      <c r="J114" s="24">
        <v>33708.949999999997</v>
      </c>
      <c r="K114" s="3">
        <v>45663</v>
      </c>
      <c r="L114" s="91">
        <v>45670</v>
      </c>
      <c r="M114" s="11">
        <v>45672</v>
      </c>
      <c r="N114" s="18" t="s">
        <v>588</v>
      </c>
      <c r="O114" s="35">
        <v>0</v>
      </c>
      <c r="P114" s="26"/>
      <c r="Q114" t="s">
        <v>58</v>
      </c>
      <c r="R114" t="s">
        <v>183</v>
      </c>
      <c r="S114" t="str">
        <f>IFERROR(VLOOKUP(Tabela1[[#This Row],[CC]],CC!$A$1:$H$403,8,0),"")</f>
        <v>OP4</v>
      </c>
    </row>
    <row r="115" spans="1:19" x14ac:dyDescent="0.3">
      <c r="A115" s="25">
        <v>1287</v>
      </c>
      <c r="B115" s="25" t="str">
        <f>IFERROR(VLOOKUP(Tabela1[[#This Row],[CC]],#REF!,5,0),"")</f>
        <v/>
      </c>
      <c r="C115" t="s">
        <v>60</v>
      </c>
      <c r="D115" t="s">
        <v>19</v>
      </c>
      <c r="E115" t="s">
        <v>261</v>
      </c>
      <c r="F115" t="s">
        <v>586</v>
      </c>
      <c r="G115" s="110">
        <v>1212</v>
      </c>
      <c r="H115" s="51">
        <v>45627</v>
      </c>
      <c r="I115" s="24">
        <v>321048.58</v>
      </c>
      <c r="J115" s="24">
        <v>287980.58</v>
      </c>
      <c r="K115" s="3">
        <v>45691</v>
      </c>
      <c r="L115" s="91">
        <v>45705</v>
      </c>
      <c r="M115" s="11">
        <v>45708</v>
      </c>
      <c r="N115" s="18" t="s">
        <v>588</v>
      </c>
      <c r="O115" s="35">
        <v>0</v>
      </c>
      <c r="P115" s="26"/>
      <c r="Q115" t="s">
        <v>55</v>
      </c>
      <c r="R115" t="s">
        <v>195</v>
      </c>
      <c r="S115" t="str">
        <f>IFERROR(VLOOKUP(Tabela1[[#This Row],[CC]],CC!$A$1:$H$403,8,0),"")</f>
        <v>OP3</v>
      </c>
    </row>
    <row r="116" spans="1:19" x14ac:dyDescent="0.3">
      <c r="A116" s="25">
        <v>1287</v>
      </c>
      <c r="B116" s="25" t="str">
        <f>IFERROR(VLOOKUP(Tabela1[[#This Row],[CC]],#REF!,5,0),"")</f>
        <v/>
      </c>
      <c r="C116" t="s">
        <v>60</v>
      </c>
      <c r="D116" t="s">
        <v>19</v>
      </c>
      <c r="E116" t="s">
        <v>261</v>
      </c>
      <c r="F116" t="s">
        <v>586</v>
      </c>
      <c r="G116" s="110">
        <v>1233</v>
      </c>
      <c r="H116" s="12">
        <v>45627</v>
      </c>
      <c r="I116" s="24">
        <v>139670.10999999999</v>
      </c>
      <c r="J116" s="24">
        <v>125284.09</v>
      </c>
      <c r="K116" s="3">
        <v>45734</v>
      </c>
      <c r="L116" s="91">
        <v>45748</v>
      </c>
      <c r="M116" s="11">
        <v>45751</v>
      </c>
      <c r="N116" s="18" t="s">
        <v>588</v>
      </c>
      <c r="O116" s="35">
        <v>0</v>
      </c>
      <c r="P116" s="26"/>
      <c r="Q116" t="s">
        <v>55</v>
      </c>
      <c r="R116" t="s">
        <v>195</v>
      </c>
      <c r="S116" t="str">
        <f>IFERROR(VLOOKUP(Tabela1[[#This Row],[CC]],CC!$A$1:$H$403,8,0),"")</f>
        <v>OP3</v>
      </c>
    </row>
    <row r="117" spans="1:19" x14ac:dyDescent="0.3">
      <c r="A117" s="25">
        <v>1273</v>
      </c>
      <c r="B117" s="25" t="str">
        <f>IFERROR(VLOOKUP(Tabela1[[#This Row],[CC]],#REF!,5,0),"")</f>
        <v/>
      </c>
      <c r="C117" t="s">
        <v>60</v>
      </c>
      <c r="D117" t="s">
        <v>19</v>
      </c>
      <c r="E117" t="s">
        <v>244</v>
      </c>
      <c r="F117" t="s">
        <v>586</v>
      </c>
      <c r="G117" s="110">
        <v>1215</v>
      </c>
      <c r="H117" s="51">
        <v>45627</v>
      </c>
      <c r="I117" s="2">
        <v>568045.4</v>
      </c>
      <c r="J117" s="24">
        <v>509536.72</v>
      </c>
      <c r="K117" s="3">
        <v>45693</v>
      </c>
      <c r="L117" s="91">
        <v>45705</v>
      </c>
      <c r="M117" s="11">
        <v>45708</v>
      </c>
      <c r="N117" s="18" t="s">
        <v>588</v>
      </c>
      <c r="O117" s="35">
        <v>0</v>
      </c>
      <c r="P117"/>
      <c r="Q117" t="s">
        <v>58</v>
      </c>
      <c r="R117" t="s">
        <v>195</v>
      </c>
      <c r="S117" t="str">
        <f>IFERROR(VLOOKUP(Tabela1[[#This Row],[CC]],CC!$A$1:$H$403,8,0),"")</f>
        <v>OP3</v>
      </c>
    </row>
    <row r="118" spans="1:19" x14ac:dyDescent="0.3">
      <c r="A118" s="8">
        <v>1277</v>
      </c>
      <c r="B118" s="8" t="str">
        <f>IFERROR(VLOOKUP(Tabela1[[#This Row],[CC]],#REF!,5,0),"")</f>
        <v/>
      </c>
      <c r="C118" t="s">
        <v>60</v>
      </c>
      <c r="D118" t="s">
        <v>19</v>
      </c>
      <c r="E118" t="s">
        <v>248</v>
      </c>
      <c r="F118" t="s">
        <v>586</v>
      </c>
      <c r="G118" s="110">
        <v>1218</v>
      </c>
      <c r="H118" s="12">
        <v>45627</v>
      </c>
      <c r="I118" s="24">
        <v>154365.24</v>
      </c>
      <c r="J118" s="10">
        <v>138465.63</v>
      </c>
      <c r="K118" s="3">
        <v>45700</v>
      </c>
      <c r="L118" s="91">
        <v>45726</v>
      </c>
      <c r="M118" s="11">
        <v>45726</v>
      </c>
      <c r="N118" s="18" t="s">
        <v>588</v>
      </c>
      <c r="O118" s="34">
        <v>0</v>
      </c>
      <c r="P118"/>
      <c r="Q118" t="s">
        <v>58</v>
      </c>
      <c r="R118" t="s">
        <v>195</v>
      </c>
      <c r="S118" t="str">
        <f>IFERROR(VLOOKUP(Tabela1[[#This Row],[CC]],CC!$A$1:$H$403,8,0),"")</f>
        <v>OP3</v>
      </c>
    </row>
    <row r="119" spans="1:19" x14ac:dyDescent="0.3">
      <c r="A119" s="25">
        <v>1268</v>
      </c>
      <c r="B119" s="25" t="str">
        <f>IFERROR(VLOOKUP(Tabela1[[#This Row],[CC]],#REF!,5,0),"")</f>
        <v/>
      </c>
      <c r="C119" t="s">
        <v>51</v>
      </c>
      <c r="D119" t="s">
        <v>40</v>
      </c>
      <c r="E119" t="s">
        <v>238</v>
      </c>
      <c r="F119" t="s">
        <v>586</v>
      </c>
      <c r="G119" s="110">
        <v>3821</v>
      </c>
      <c r="H119" s="50">
        <v>45627</v>
      </c>
      <c r="I119" s="24">
        <v>1163985.01</v>
      </c>
      <c r="J119" s="24">
        <v>1092399.93</v>
      </c>
      <c r="K119" s="3">
        <v>45702</v>
      </c>
      <c r="L119" s="91">
        <v>45712</v>
      </c>
      <c r="M119" s="11">
        <v>45715</v>
      </c>
      <c r="N119" s="18" t="s">
        <v>588</v>
      </c>
      <c r="O119" s="35">
        <v>0</v>
      </c>
      <c r="P119"/>
      <c r="Q119" t="s">
        <v>55</v>
      </c>
      <c r="R119" t="s">
        <v>231</v>
      </c>
      <c r="S119" t="str">
        <f>IFERROR(VLOOKUP(Tabela1[[#This Row],[CC]],CC!$A$1:$H$403,8,0),"")</f>
        <v>OP2</v>
      </c>
    </row>
    <row r="120" spans="1:19" x14ac:dyDescent="0.3">
      <c r="A120" s="25">
        <v>1268</v>
      </c>
      <c r="B120" s="25" t="str">
        <f>IFERROR(VLOOKUP(Tabela1[[#This Row],[CC]],#REF!,5,0),"")</f>
        <v/>
      </c>
      <c r="C120" t="s">
        <v>51</v>
      </c>
      <c r="D120" t="s">
        <v>40</v>
      </c>
      <c r="E120" t="s">
        <v>238</v>
      </c>
      <c r="F120" t="s">
        <v>586</v>
      </c>
      <c r="G120" s="110">
        <v>3820</v>
      </c>
      <c r="H120" s="50">
        <v>45627</v>
      </c>
      <c r="I120" s="24">
        <v>160251.95000000001</v>
      </c>
      <c r="J120" s="24">
        <v>150396.45000000001</v>
      </c>
      <c r="K120" s="3">
        <v>45702</v>
      </c>
      <c r="L120" s="91">
        <v>45712</v>
      </c>
      <c r="M120" s="11">
        <v>45715</v>
      </c>
      <c r="N120" s="18" t="s">
        <v>588</v>
      </c>
      <c r="O120" s="35">
        <v>0</v>
      </c>
      <c r="P120"/>
      <c r="Q120" t="s">
        <v>55</v>
      </c>
      <c r="R120" t="s">
        <v>231</v>
      </c>
      <c r="S120" t="str">
        <f>IFERROR(VLOOKUP(Tabela1[[#This Row],[CC]],CC!$A$1:$H$403,8,0),"")</f>
        <v>OP2</v>
      </c>
    </row>
    <row r="121" spans="1:19" x14ac:dyDescent="0.3">
      <c r="A121" s="25">
        <v>1268</v>
      </c>
      <c r="B121" s="25" t="str">
        <f>IFERROR(VLOOKUP(Tabela1[[#This Row],[CC]],#REF!,5,0),"")</f>
        <v/>
      </c>
      <c r="C121" t="s">
        <v>51</v>
      </c>
      <c r="D121" t="s">
        <v>40</v>
      </c>
      <c r="E121" t="s">
        <v>238</v>
      </c>
      <c r="F121" t="s">
        <v>586</v>
      </c>
      <c r="G121" s="110">
        <v>3819</v>
      </c>
      <c r="H121" s="50">
        <v>45627</v>
      </c>
      <c r="I121" s="24">
        <v>59011.6</v>
      </c>
      <c r="J121" s="24">
        <v>55382.400000000001</v>
      </c>
      <c r="K121" s="3">
        <v>45702</v>
      </c>
      <c r="L121" s="91">
        <v>45712</v>
      </c>
      <c r="M121" s="11">
        <v>45715</v>
      </c>
      <c r="N121" s="18" t="s">
        <v>588</v>
      </c>
      <c r="O121" s="35">
        <v>0</v>
      </c>
      <c r="P121"/>
      <c r="Q121" t="s">
        <v>55</v>
      </c>
      <c r="R121" t="s">
        <v>231</v>
      </c>
      <c r="S121" t="str">
        <f>IFERROR(VLOOKUP(Tabela1[[#This Row],[CC]],CC!$A$1:$H$403,8,0),"")</f>
        <v>OP2</v>
      </c>
    </row>
    <row r="122" spans="1:19" x14ac:dyDescent="0.3">
      <c r="A122" s="25">
        <v>1268</v>
      </c>
      <c r="B122" s="25" t="str">
        <f>IFERROR(VLOOKUP(Tabela1[[#This Row],[CC]],#REF!,5,0),"")</f>
        <v/>
      </c>
      <c r="C122" t="s">
        <v>51</v>
      </c>
      <c r="D122" t="s">
        <v>40</v>
      </c>
      <c r="E122" t="s">
        <v>238</v>
      </c>
      <c r="F122" t="s">
        <v>586</v>
      </c>
      <c r="G122" s="110">
        <v>3804</v>
      </c>
      <c r="H122" s="9">
        <v>45627</v>
      </c>
      <c r="I122" s="24">
        <v>82737</v>
      </c>
      <c r="J122" s="24">
        <v>77648.67</v>
      </c>
      <c r="K122" s="3">
        <v>45695</v>
      </c>
      <c r="L122" s="91">
        <v>45719</v>
      </c>
      <c r="M122" s="11">
        <v>45721</v>
      </c>
      <c r="N122" s="18" t="s">
        <v>588</v>
      </c>
      <c r="O122" s="35">
        <v>0</v>
      </c>
      <c r="P122"/>
      <c r="Q122" t="s">
        <v>55</v>
      </c>
      <c r="R122" t="s">
        <v>231</v>
      </c>
      <c r="S122" t="str">
        <f>IFERROR(VLOOKUP(Tabela1[[#This Row],[CC]],CC!$A$1:$H$403,8,0),"")</f>
        <v>OP2</v>
      </c>
    </row>
    <row r="123" spans="1:19" x14ac:dyDescent="0.3">
      <c r="A123" s="25">
        <v>1268</v>
      </c>
      <c r="B123" s="25" t="str">
        <f>IFERROR(VLOOKUP(Tabela1[[#This Row],[CC]],#REF!,5,0),"")</f>
        <v/>
      </c>
      <c r="C123" t="s">
        <v>51</v>
      </c>
      <c r="D123" t="s">
        <v>40</v>
      </c>
      <c r="E123" t="s">
        <v>238</v>
      </c>
      <c r="F123" t="s">
        <v>586</v>
      </c>
      <c r="G123" s="110">
        <v>3803</v>
      </c>
      <c r="H123" s="9">
        <v>45627</v>
      </c>
      <c r="I123" s="24">
        <v>82737</v>
      </c>
      <c r="J123" s="24">
        <v>77648.67</v>
      </c>
      <c r="K123" s="3">
        <v>45695</v>
      </c>
      <c r="L123" s="91">
        <v>45719</v>
      </c>
      <c r="M123" s="11">
        <v>45721</v>
      </c>
      <c r="N123" s="18" t="s">
        <v>588</v>
      </c>
      <c r="O123" s="35">
        <v>0</v>
      </c>
      <c r="P123"/>
      <c r="Q123" t="s">
        <v>55</v>
      </c>
      <c r="R123" t="s">
        <v>231</v>
      </c>
      <c r="S123" t="str">
        <f>IFERROR(VLOOKUP(Tabela1[[#This Row],[CC]],CC!$A$1:$H$403,8,0),"")</f>
        <v>OP2</v>
      </c>
    </row>
    <row r="124" spans="1:19" x14ac:dyDescent="0.3">
      <c r="A124" s="25">
        <v>1268</v>
      </c>
      <c r="B124" s="25" t="str">
        <f>IFERROR(VLOOKUP(Tabela1[[#This Row],[CC]],#REF!,5,0),"")</f>
        <v/>
      </c>
      <c r="C124" t="s">
        <v>51</v>
      </c>
      <c r="D124" t="s">
        <v>40</v>
      </c>
      <c r="E124" t="s">
        <v>238</v>
      </c>
      <c r="F124" t="s">
        <v>586</v>
      </c>
      <c r="G124" s="110">
        <v>3897</v>
      </c>
      <c r="H124" s="50">
        <v>45627</v>
      </c>
      <c r="I124" s="24">
        <v>54118.28</v>
      </c>
      <c r="J124" s="24">
        <v>50790.01</v>
      </c>
      <c r="K124" s="3">
        <v>45733</v>
      </c>
      <c r="L124" s="91">
        <v>45740</v>
      </c>
      <c r="M124" s="11">
        <v>45744</v>
      </c>
      <c r="N124" s="18" t="s">
        <v>588</v>
      </c>
      <c r="O124" s="35">
        <v>0</v>
      </c>
      <c r="P124"/>
      <c r="Q124" t="s">
        <v>55</v>
      </c>
      <c r="R124" t="s">
        <v>231</v>
      </c>
      <c r="S124" t="str">
        <f>IFERROR(VLOOKUP(Tabela1[[#This Row],[CC]],CC!$A$1:$H$403,8,0),"")</f>
        <v>OP2</v>
      </c>
    </row>
    <row r="125" spans="1:19" x14ac:dyDescent="0.3">
      <c r="A125" s="25">
        <v>1268</v>
      </c>
      <c r="B125" s="25" t="str">
        <f>IFERROR(VLOOKUP(Tabela1[[#This Row],[CC]],#REF!,5,0),"")</f>
        <v/>
      </c>
      <c r="C125" t="s">
        <v>51</v>
      </c>
      <c r="D125" t="s">
        <v>40</v>
      </c>
      <c r="E125" t="s">
        <v>238</v>
      </c>
      <c r="F125" t="s">
        <v>586</v>
      </c>
      <c r="G125" s="110">
        <v>3898</v>
      </c>
      <c r="H125" s="50">
        <v>45627</v>
      </c>
      <c r="I125" s="24">
        <v>160658.32999999999</v>
      </c>
      <c r="J125" s="24">
        <v>150777.85</v>
      </c>
      <c r="K125" s="3">
        <v>45733</v>
      </c>
      <c r="L125" s="91">
        <v>45740</v>
      </c>
      <c r="M125" s="11">
        <v>45744</v>
      </c>
      <c r="N125" s="18" t="s">
        <v>588</v>
      </c>
      <c r="O125" s="35">
        <v>0</v>
      </c>
      <c r="P125"/>
      <c r="Q125" t="s">
        <v>55</v>
      </c>
      <c r="R125" t="s">
        <v>231</v>
      </c>
      <c r="S125" t="str">
        <f>IFERROR(VLOOKUP(Tabela1[[#This Row],[CC]],CC!$A$1:$H$403,8,0),"")</f>
        <v>OP2</v>
      </c>
    </row>
    <row r="126" spans="1:19" x14ac:dyDescent="0.3">
      <c r="A126" s="25">
        <v>1268</v>
      </c>
      <c r="B126" s="25" t="str">
        <f>IFERROR(VLOOKUP(Tabela1[[#This Row],[CC]],#REF!,5,0),"")</f>
        <v/>
      </c>
      <c r="C126" t="s">
        <v>51</v>
      </c>
      <c r="D126" t="s">
        <v>40</v>
      </c>
      <c r="E126" t="s">
        <v>238</v>
      </c>
      <c r="F126" t="s">
        <v>586</v>
      </c>
      <c r="G126" s="110">
        <v>3899</v>
      </c>
      <c r="H126" s="50">
        <v>45627</v>
      </c>
      <c r="I126" s="24">
        <v>1143238.8</v>
      </c>
      <c r="J126" s="24">
        <v>1072929.6200000001</v>
      </c>
      <c r="K126" s="3">
        <v>45733</v>
      </c>
      <c r="L126" s="91">
        <v>45740</v>
      </c>
      <c r="M126" s="11">
        <v>45744</v>
      </c>
      <c r="N126" s="18" t="s">
        <v>588</v>
      </c>
      <c r="O126" s="35">
        <v>0</v>
      </c>
      <c r="P126"/>
      <c r="Q126" t="s">
        <v>55</v>
      </c>
      <c r="R126" t="s">
        <v>231</v>
      </c>
      <c r="S126" t="str">
        <f>IFERROR(VLOOKUP(Tabela1[[#This Row],[CC]],CC!$A$1:$H$403,8,0),"")</f>
        <v>OP2</v>
      </c>
    </row>
    <row r="127" spans="1:19" x14ac:dyDescent="0.3">
      <c r="A127" s="25">
        <v>1268</v>
      </c>
      <c r="B127" s="25" t="str">
        <f>IFERROR(VLOOKUP(Tabela1[[#This Row],[CC]],#REF!,5,0),"")</f>
        <v/>
      </c>
      <c r="C127" t="s">
        <v>51</v>
      </c>
      <c r="D127" t="s">
        <v>40</v>
      </c>
      <c r="E127" t="s">
        <v>238</v>
      </c>
      <c r="F127" t="s">
        <v>586</v>
      </c>
      <c r="G127" s="110">
        <v>3877</v>
      </c>
      <c r="H127" s="50">
        <v>45627</v>
      </c>
      <c r="I127" s="24">
        <v>82737</v>
      </c>
      <c r="J127" s="24">
        <v>77648.679999999993</v>
      </c>
      <c r="K127" s="3">
        <v>45727</v>
      </c>
      <c r="L127" s="91">
        <v>45754</v>
      </c>
      <c r="M127" s="11">
        <v>45754</v>
      </c>
      <c r="N127" s="18" t="s">
        <v>588</v>
      </c>
      <c r="O127" s="35">
        <v>0</v>
      </c>
      <c r="P127"/>
      <c r="Q127" t="s">
        <v>55</v>
      </c>
      <c r="R127" t="s">
        <v>231</v>
      </c>
      <c r="S127" t="str">
        <f>IFERROR(VLOOKUP(Tabela1[[#This Row],[CC]],CC!$A$1:$H$403,8,0),"")</f>
        <v>OP2</v>
      </c>
    </row>
    <row r="128" spans="1:19" x14ac:dyDescent="0.3">
      <c r="A128" s="25">
        <v>1268</v>
      </c>
      <c r="B128" s="25" t="str">
        <f>IFERROR(VLOOKUP(Tabela1[[#This Row],[CC]],#REF!,5,0),"")</f>
        <v/>
      </c>
      <c r="C128" t="s">
        <v>51</v>
      </c>
      <c r="D128" t="s">
        <v>40</v>
      </c>
      <c r="E128" t="s">
        <v>238</v>
      </c>
      <c r="F128" t="s">
        <v>586</v>
      </c>
      <c r="G128" s="110">
        <v>3945</v>
      </c>
      <c r="H128" s="9">
        <v>45627</v>
      </c>
      <c r="I128" s="24">
        <v>82737</v>
      </c>
      <c r="J128" s="24">
        <v>77648.679999999993</v>
      </c>
      <c r="K128" s="3">
        <v>45754</v>
      </c>
      <c r="L128" s="91">
        <v>45778</v>
      </c>
      <c r="M128" s="11">
        <v>45779</v>
      </c>
      <c r="N128" s="18" t="s">
        <v>588</v>
      </c>
      <c r="O128" s="35">
        <v>0</v>
      </c>
      <c r="P128"/>
      <c r="Q128" t="s">
        <v>55</v>
      </c>
      <c r="R128" t="s">
        <v>231</v>
      </c>
      <c r="S128" t="str">
        <f>IFERROR(VLOOKUP(Tabela1[[#This Row],[CC]],CC!$A$1:$H$403,8,0),"")</f>
        <v>OP2</v>
      </c>
    </row>
    <row r="129" spans="1:19" x14ac:dyDescent="0.3">
      <c r="A129" s="25">
        <v>1268</v>
      </c>
      <c r="B129" s="25" t="str">
        <f>IFERROR(VLOOKUP(Tabela1[[#This Row],[CC]],#REF!,5,0),"")</f>
        <v/>
      </c>
      <c r="C129" t="s">
        <v>51</v>
      </c>
      <c r="D129" t="s">
        <v>40</v>
      </c>
      <c r="E129" t="s">
        <v>238</v>
      </c>
      <c r="F129" t="s">
        <v>586</v>
      </c>
      <c r="G129" s="110">
        <v>3968</v>
      </c>
      <c r="H129" s="9">
        <v>45627</v>
      </c>
      <c r="I129" s="24">
        <v>1102702.92</v>
      </c>
      <c r="J129" s="24">
        <v>1034886.69</v>
      </c>
      <c r="K129" s="3">
        <v>45761</v>
      </c>
      <c r="L129" s="91">
        <v>45775</v>
      </c>
      <c r="M129" s="11">
        <v>45776</v>
      </c>
      <c r="N129" s="18" t="s">
        <v>588</v>
      </c>
      <c r="O129" s="35">
        <v>0</v>
      </c>
      <c r="P129"/>
      <c r="Q129" t="s">
        <v>55</v>
      </c>
      <c r="R129" t="s">
        <v>231</v>
      </c>
      <c r="S129" t="str">
        <f>IFERROR(VLOOKUP(Tabela1[[#This Row],[CC]],CC!$A$1:$H$403,8,0),"")</f>
        <v>OP2</v>
      </c>
    </row>
    <row r="130" spans="1:19" x14ac:dyDescent="0.3">
      <c r="A130" s="25">
        <v>1268</v>
      </c>
      <c r="B130" s="25" t="str">
        <f>IFERROR(VLOOKUP(Tabela1[[#This Row],[CC]],#REF!,5,0),"")</f>
        <v/>
      </c>
      <c r="C130" t="s">
        <v>51</v>
      </c>
      <c r="D130" t="s">
        <v>40</v>
      </c>
      <c r="E130" t="s">
        <v>238</v>
      </c>
      <c r="F130" t="s">
        <v>586</v>
      </c>
      <c r="G130" s="110">
        <v>3967</v>
      </c>
      <c r="H130" s="9">
        <v>45627</v>
      </c>
      <c r="I130" s="24">
        <v>84432.52</v>
      </c>
      <c r="J130" s="24">
        <v>79239.929999999993</v>
      </c>
      <c r="K130" s="3">
        <v>45761</v>
      </c>
      <c r="L130" s="91">
        <v>45775</v>
      </c>
      <c r="M130" s="11">
        <v>45776</v>
      </c>
      <c r="N130" s="18" t="s">
        <v>588</v>
      </c>
      <c r="O130" s="35">
        <v>0</v>
      </c>
      <c r="P130"/>
      <c r="Q130" t="s">
        <v>55</v>
      </c>
      <c r="R130" t="s">
        <v>231</v>
      </c>
      <c r="S130" t="str">
        <f>IFERROR(VLOOKUP(Tabela1[[#This Row],[CC]],CC!$A$1:$H$403,8,0),"")</f>
        <v>OP2</v>
      </c>
    </row>
    <row r="131" spans="1:19" x14ac:dyDescent="0.3">
      <c r="A131" s="25">
        <v>1268</v>
      </c>
      <c r="B131" s="25" t="str">
        <f>IFERROR(VLOOKUP(Tabela1[[#This Row],[CC]],#REF!,5,0),"")</f>
        <v/>
      </c>
      <c r="C131" t="s">
        <v>51</v>
      </c>
      <c r="D131" t="s">
        <v>40</v>
      </c>
      <c r="E131" t="s">
        <v>238</v>
      </c>
      <c r="F131" t="s">
        <v>586</v>
      </c>
      <c r="G131" s="110">
        <v>3966</v>
      </c>
      <c r="H131" s="9">
        <v>45627</v>
      </c>
      <c r="I131" s="24">
        <v>113941.07</v>
      </c>
      <c r="J131" s="24">
        <v>106933.69</v>
      </c>
      <c r="K131" s="3">
        <v>45761</v>
      </c>
      <c r="L131" s="91">
        <v>45775</v>
      </c>
      <c r="M131" s="11">
        <v>45776</v>
      </c>
      <c r="N131" s="18" t="s">
        <v>588</v>
      </c>
      <c r="O131" s="35">
        <v>0</v>
      </c>
      <c r="P131"/>
      <c r="Q131" t="s">
        <v>55</v>
      </c>
      <c r="R131" t="s">
        <v>231</v>
      </c>
      <c r="S131" t="str">
        <f>IFERROR(VLOOKUP(Tabela1[[#This Row],[CC]],CC!$A$1:$H$403,8,0),"")</f>
        <v>OP2</v>
      </c>
    </row>
    <row r="132" spans="1:19" x14ac:dyDescent="0.3">
      <c r="A132" s="25">
        <v>1483</v>
      </c>
      <c r="B132" s="25" t="str">
        <f>IFERROR(VLOOKUP(Tabela1[[#This Row],[CC]],#REF!,5,0),"")</f>
        <v/>
      </c>
      <c r="C132" t="s">
        <v>67</v>
      </c>
      <c r="D132" t="s">
        <v>45</v>
      </c>
      <c r="E132" t="s">
        <v>488</v>
      </c>
      <c r="F132" t="s">
        <v>586</v>
      </c>
      <c r="G132" s="110">
        <v>8194</v>
      </c>
      <c r="H132" s="12">
        <v>45627</v>
      </c>
      <c r="I132" s="24">
        <v>53591.199999999997</v>
      </c>
      <c r="J132" s="24">
        <v>50295.34</v>
      </c>
      <c r="K132" s="3">
        <v>45686</v>
      </c>
      <c r="L132" s="91">
        <v>45719</v>
      </c>
      <c r="M132" s="11">
        <v>45722</v>
      </c>
      <c r="N132" s="18" t="s">
        <v>588</v>
      </c>
      <c r="O132" s="35">
        <v>0</v>
      </c>
      <c r="P132" s="26"/>
      <c r="Q132" t="s">
        <v>58</v>
      </c>
      <c r="R132" t="s">
        <v>183</v>
      </c>
      <c r="S132" t="str">
        <f>IFERROR(VLOOKUP(Tabela1[[#This Row],[CC]],CC!$A$1:$H$403,8,0),"")</f>
        <v>OP2</v>
      </c>
    </row>
    <row r="133" spans="1:19" x14ac:dyDescent="0.3">
      <c r="A133" s="25">
        <v>1483</v>
      </c>
      <c r="B133" s="25" t="str">
        <f>IFERROR(VLOOKUP(Tabela1[[#This Row],[CC]],#REF!,5,0),"")</f>
        <v/>
      </c>
      <c r="C133" t="s">
        <v>67</v>
      </c>
      <c r="D133" t="s">
        <v>45</v>
      </c>
      <c r="E133" t="s">
        <v>488</v>
      </c>
      <c r="F133" t="s">
        <v>586</v>
      </c>
      <c r="G133" s="110">
        <v>8195</v>
      </c>
      <c r="H133" s="12">
        <v>45627</v>
      </c>
      <c r="I133" s="24">
        <v>28856.799999999999</v>
      </c>
      <c r="J133" s="24">
        <v>26062.11</v>
      </c>
      <c r="K133" s="3">
        <v>45686</v>
      </c>
      <c r="L133" s="91">
        <v>45719</v>
      </c>
      <c r="M133" s="11">
        <v>45722</v>
      </c>
      <c r="N133" s="18" t="s">
        <v>588</v>
      </c>
      <c r="O133" s="35">
        <v>0</v>
      </c>
      <c r="P133" s="26"/>
      <c r="Q133" t="s">
        <v>58</v>
      </c>
      <c r="R133" t="s">
        <v>183</v>
      </c>
      <c r="S133" t="str">
        <f>IFERROR(VLOOKUP(Tabela1[[#This Row],[CC]],CC!$A$1:$H$403,8,0),"")</f>
        <v>OP2</v>
      </c>
    </row>
    <row r="134" spans="1:19" x14ac:dyDescent="0.3">
      <c r="A134" s="25">
        <v>1275</v>
      </c>
      <c r="B134" s="25" t="str">
        <f>IFERROR(VLOOKUP(Tabela1[[#This Row],[CC]],#REF!,5,0),"")</f>
        <v/>
      </c>
      <c r="C134" t="s">
        <v>51</v>
      </c>
      <c r="D134" t="s">
        <v>41</v>
      </c>
      <c r="E134" t="s">
        <v>246</v>
      </c>
      <c r="F134" t="s">
        <v>586</v>
      </c>
      <c r="G134" s="110">
        <v>3659</v>
      </c>
      <c r="H134" s="12">
        <v>45627</v>
      </c>
      <c r="I134" s="24">
        <v>31920</v>
      </c>
      <c r="J134" s="27">
        <v>29956.92</v>
      </c>
      <c r="K134" s="3">
        <v>45630</v>
      </c>
      <c r="L134" s="91">
        <v>45684</v>
      </c>
      <c r="M134" s="11">
        <v>45687</v>
      </c>
      <c r="N134" s="18" t="s">
        <v>588</v>
      </c>
      <c r="O134" s="35">
        <v>0</v>
      </c>
      <c r="P134" s="26"/>
      <c r="Q134" t="s">
        <v>55</v>
      </c>
      <c r="R134" t="s">
        <v>231</v>
      </c>
      <c r="S134" t="str">
        <f>IFERROR(VLOOKUP(Tabela1[[#This Row],[CC]],CC!$A$1:$H$403,8,0),"")</f>
        <v>OP2</v>
      </c>
    </row>
    <row r="135" spans="1:19" x14ac:dyDescent="0.3">
      <c r="A135" s="25">
        <v>1479</v>
      </c>
      <c r="B135" s="25" t="str">
        <f>IFERROR(VLOOKUP(Tabela1[[#This Row],[CC]],#REF!,5,0),"")</f>
        <v/>
      </c>
      <c r="C135" t="s">
        <v>51</v>
      </c>
      <c r="D135" t="s">
        <v>41</v>
      </c>
      <c r="E135" t="s">
        <v>484</v>
      </c>
      <c r="F135" t="s">
        <v>586</v>
      </c>
      <c r="G135" s="110">
        <v>3662</v>
      </c>
      <c r="H135" s="12">
        <v>45627</v>
      </c>
      <c r="I135" s="24">
        <v>52080</v>
      </c>
      <c r="J135" s="27">
        <v>48877.08</v>
      </c>
      <c r="K135" s="3">
        <v>45630</v>
      </c>
      <c r="L135" s="91">
        <v>45684</v>
      </c>
      <c r="M135" s="11">
        <v>45687</v>
      </c>
      <c r="N135" s="18" t="s">
        <v>588</v>
      </c>
      <c r="O135" s="35">
        <v>0</v>
      </c>
      <c r="P135" s="26"/>
      <c r="Q135" t="s">
        <v>57</v>
      </c>
      <c r="R135" t="s">
        <v>231</v>
      </c>
      <c r="S135" t="str">
        <f>IFERROR(VLOOKUP(Tabela1[[#This Row],[CC]],CC!$A$1:$H$403,8,0),"")</f>
        <v>OP2</v>
      </c>
    </row>
    <row r="136" spans="1:19" x14ac:dyDescent="0.3">
      <c r="A136" s="25">
        <v>1455</v>
      </c>
      <c r="B136" s="25" t="str">
        <f>IFERROR(VLOOKUP(Tabela1[[#This Row],[CC]],#REF!,5,0),"")</f>
        <v/>
      </c>
      <c r="C136" t="s">
        <v>70</v>
      </c>
      <c r="D136" t="s">
        <v>31</v>
      </c>
      <c r="E136" t="s">
        <v>455</v>
      </c>
      <c r="F136" t="s">
        <v>586</v>
      </c>
      <c r="G136" s="110">
        <v>1213</v>
      </c>
      <c r="H136" s="12">
        <v>45658</v>
      </c>
      <c r="I136" s="24">
        <v>54003.39</v>
      </c>
      <c r="J136" s="24">
        <v>47712</v>
      </c>
      <c r="K136" s="3">
        <v>45691</v>
      </c>
      <c r="L136" s="91">
        <v>45712</v>
      </c>
      <c r="M136" s="11">
        <v>45716</v>
      </c>
      <c r="N136" s="21" t="s">
        <v>588</v>
      </c>
      <c r="O136" s="41"/>
      <c r="P136" s="26"/>
      <c r="Q136" t="s">
        <v>58</v>
      </c>
      <c r="R136" t="s">
        <v>228</v>
      </c>
      <c r="S136" t="str">
        <f>IFERROR(VLOOKUP(Tabela1[[#This Row],[CC]],CC!$A$1:$H$403,8,0),"")</f>
        <v>OP4</v>
      </c>
    </row>
    <row r="137" spans="1:19" x14ac:dyDescent="0.3">
      <c r="A137" s="25">
        <v>1478</v>
      </c>
      <c r="B137" s="25" t="str">
        <f>IFERROR(VLOOKUP(Tabela1[[#This Row],[CC]],#REF!,5,0),"")</f>
        <v/>
      </c>
      <c r="C137" t="s">
        <v>32</v>
      </c>
      <c r="D137" t="s">
        <v>54</v>
      </c>
      <c r="E137" t="s">
        <v>483</v>
      </c>
      <c r="F137" t="s">
        <v>586</v>
      </c>
      <c r="G137" s="110">
        <v>8240</v>
      </c>
      <c r="H137" s="12">
        <v>45658</v>
      </c>
      <c r="I137" s="24">
        <v>76256.009999999995</v>
      </c>
      <c r="J137" s="24">
        <v>71566.27</v>
      </c>
      <c r="K137" s="3">
        <v>45726</v>
      </c>
      <c r="L137" s="91">
        <v>45740</v>
      </c>
      <c r="M137" s="11">
        <v>45744</v>
      </c>
      <c r="N137" s="18" t="s">
        <v>588</v>
      </c>
      <c r="O137" s="35"/>
      <c r="P137"/>
      <c r="Q137" t="s">
        <v>55</v>
      </c>
      <c r="R137" t="s">
        <v>231</v>
      </c>
      <c r="S137" t="str">
        <f>IFERROR(VLOOKUP(Tabela1[[#This Row],[CC]],CC!$A$1:$H$403,8,0),"")</f>
        <v>OP1</v>
      </c>
    </row>
    <row r="138" spans="1:19" x14ac:dyDescent="0.3">
      <c r="A138" s="8">
        <v>1391</v>
      </c>
      <c r="B138" s="8" t="str">
        <f>IFERROR(VLOOKUP(Tabela1[[#This Row],[CC]],#REF!,5,0),"")</f>
        <v/>
      </c>
      <c r="C138" t="s">
        <v>32</v>
      </c>
      <c r="D138" t="s">
        <v>52</v>
      </c>
      <c r="E138" t="s">
        <v>375</v>
      </c>
      <c r="F138" t="s">
        <v>586</v>
      </c>
      <c r="G138" s="110">
        <v>3797</v>
      </c>
      <c r="H138" s="12">
        <v>45658</v>
      </c>
      <c r="I138" s="28">
        <v>4941.09</v>
      </c>
      <c r="J138" s="28">
        <v>4637.21</v>
      </c>
      <c r="K138" s="3">
        <v>45694</v>
      </c>
      <c r="L138" s="91">
        <v>45705</v>
      </c>
      <c r="M138" s="11">
        <v>45709</v>
      </c>
      <c r="N138" s="1" t="s">
        <v>588</v>
      </c>
      <c r="O138" s="37"/>
      <c r="P138" s="14"/>
      <c r="Q138" t="s">
        <v>55</v>
      </c>
      <c r="R138" t="s">
        <v>231</v>
      </c>
      <c r="S138" t="str">
        <f>IFERROR(VLOOKUP(Tabela1[[#This Row],[CC]],CC!$A$1:$H$403,8,0),"")</f>
        <v>OP1</v>
      </c>
    </row>
    <row r="139" spans="1:19" x14ac:dyDescent="0.3">
      <c r="A139" s="8">
        <v>1391</v>
      </c>
      <c r="B139" s="8" t="str">
        <f>IFERROR(VLOOKUP(Tabela1[[#This Row],[CC]],#REF!,5,0),"")</f>
        <v/>
      </c>
      <c r="C139" t="s">
        <v>32</v>
      </c>
      <c r="D139" t="s">
        <v>52</v>
      </c>
      <c r="E139" t="s">
        <v>375</v>
      </c>
      <c r="F139" t="s">
        <v>586</v>
      </c>
      <c r="G139" s="110">
        <v>3802</v>
      </c>
      <c r="H139" s="12">
        <v>45658</v>
      </c>
      <c r="I139" s="28">
        <v>108495.78</v>
      </c>
      <c r="J139" s="39">
        <v>101823.29</v>
      </c>
      <c r="K139" s="3">
        <v>45695</v>
      </c>
      <c r="L139" s="91">
        <v>45712</v>
      </c>
      <c r="M139" s="11">
        <v>45712</v>
      </c>
      <c r="N139" s="1" t="s">
        <v>588</v>
      </c>
      <c r="O139" s="37"/>
      <c r="P139" s="14"/>
      <c r="Q139" t="s">
        <v>55</v>
      </c>
      <c r="R139" t="s">
        <v>231</v>
      </c>
      <c r="S139" t="str">
        <f>IFERROR(VLOOKUP(Tabela1[[#This Row],[CC]],CC!$A$1:$H$403,8,0),"")</f>
        <v>OP1</v>
      </c>
    </row>
    <row r="140" spans="1:19" x14ac:dyDescent="0.3">
      <c r="A140" s="8">
        <v>1391</v>
      </c>
      <c r="B140" s="8" t="str">
        <f>IFERROR(VLOOKUP(Tabela1[[#This Row],[CC]],#REF!,5,0),"")</f>
        <v/>
      </c>
      <c r="C140" t="s">
        <v>32</v>
      </c>
      <c r="D140" t="s">
        <v>52</v>
      </c>
      <c r="E140" t="s">
        <v>375</v>
      </c>
      <c r="F140" t="s">
        <v>586</v>
      </c>
      <c r="G140" s="110">
        <v>3801</v>
      </c>
      <c r="H140" s="12">
        <v>45658</v>
      </c>
      <c r="I140" s="28">
        <v>235007.19</v>
      </c>
      <c r="J140" s="39">
        <v>220554.25</v>
      </c>
      <c r="K140" s="3">
        <v>45695</v>
      </c>
      <c r="L140" s="91">
        <v>45712</v>
      </c>
      <c r="M140" s="11">
        <v>45712</v>
      </c>
      <c r="N140" s="1" t="s">
        <v>588</v>
      </c>
      <c r="O140" s="37"/>
      <c r="P140" s="14"/>
      <c r="Q140" t="s">
        <v>55</v>
      </c>
      <c r="R140" t="s">
        <v>231</v>
      </c>
      <c r="S140" t="str">
        <f>IFERROR(VLOOKUP(Tabela1[[#This Row],[CC]],CC!$A$1:$H$403,8,0),"")</f>
        <v>OP1</v>
      </c>
    </row>
    <row r="141" spans="1:19" x14ac:dyDescent="0.3">
      <c r="A141" s="8">
        <v>1391</v>
      </c>
      <c r="B141" s="8" t="str">
        <f>IFERROR(VLOOKUP(Tabela1[[#This Row],[CC]],#REF!,5,0),"")</f>
        <v/>
      </c>
      <c r="C141" t="s">
        <v>32</v>
      </c>
      <c r="D141" t="s">
        <v>52</v>
      </c>
      <c r="E141" t="s">
        <v>375</v>
      </c>
      <c r="F141" t="s">
        <v>586</v>
      </c>
      <c r="G141" s="110">
        <v>3800</v>
      </c>
      <c r="H141" s="12">
        <v>45658</v>
      </c>
      <c r="I141" s="28">
        <v>169277.18</v>
      </c>
      <c r="J141" s="39">
        <v>158866.63</v>
      </c>
      <c r="K141" s="3">
        <v>45695</v>
      </c>
      <c r="L141" s="91">
        <v>45712</v>
      </c>
      <c r="M141" s="11">
        <v>45712</v>
      </c>
      <c r="N141" s="1" t="s">
        <v>588</v>
      </c>
      <c r="O141" s="37"/>
      <c r="P141" s="14"/>
      <c r="Q141" t="s">
        <v>55</v>
      </c>
      <c r="R141" t="s">
        <v>231</v>
      </c>
      <c r="S141" t="str">
        <f>IFERROR(VLOOKUP(Tabela1[[#This Row],[CC]],CC!$A$1:$H$403,8,0),"")</f>
        <v>OP1</v>
      </c>
    </row>
    <row r="142" spans="1:19" x14ac:dyDescent="0.3">
      <c r="A142" s="8">
        <v>1391</v>
      </c>
      <c r="B142" s="8" t="str">
        <f>IFERROR(VLOOKUP(Tabela1[[#This Row],[CC]],#REF!,5,0),"")</f>
        <v/>
      </c>
      <c r="C142" t="s">
        <v>32</v>
      </c>
      <c r="D142" t="s">
        <v>52</v>
      </c>
      <c r="E142" t="s">
        <v>375</v>
      </c>
      <c r="F142" t="s">
        <v>586</v>
      </c>
      <c r="G142" s="110">
        <v>3799</v>
      </c>
      <c r="H142" s="12">
        <v>45658</v>
      </c>
      <c r="I142" s="28">
        <v>47044.800000000003</v>
      </c>
      <c r="J142" s="39">
        <v>44151.55</v>
      </c>
      <c r="K142" s="3">
        <v>45695</v>
      </c>
      <c r="L142" s="91">
        <v>45712</v>
      </c>
      <c r="M142" s="11">
        <v>45712</v>
      </c>
      <c r="N142" s="1" t="s">
        <v>588</v>
      </c>
      <c r="O142" s="37"/>
      <c r="P142" s="14"/>
      <c r="Q142" t="s">
        <v>55</v>
      </c>
      <c r="R142" t="s">
        <v>231</v>
      </c>
      <c r="S142" t="str">
        <f>IFERROR(VLOOKUP(Tabela1[[#This Row],[CC]],CC!$A$1:$H$403,8,0),"")</f>
        <v>OP1</v>
      </c>
    </row>
    <row r="143" spans="1:19" x14ac:dyDescent="0.3">
      <c r="A143" s="8">
        <v>1391</v>
      </c>
      <c r="B143" s="8" t="str">
        <f>IFERROR(VLOOKUP(Tabela1[[#This Row],[CC]],#REF!,5,0),"")</f>
        <v/>
      </c>
      <c r="C143" t="s">
        <v>32</v>
      </c>
      <c r="D143" t="s">
        <v>52</v>
      </c>
      <c r="E143" t="s">
        <v>375</v>
      </c>
      <c r="F143" t="s">
        <v>586</v>
      </c>
      <c r="G143" s="110">
        <v>3798</v>
      </c>
      <c r="H143" s="12">
        <v>45658</v>
      </c>
      <c r="I143" s="28">
        <v>170427.66</v>
      </c>
      <c r="J143" s="39">
        <v>159946.35999999999</v>
      </c>
      <c r="K143" s="3">
        <v>45695</v>
      </c>
      <c r="L143" s="91">
        <v>45712</v>
      </c>
      <c r="M143" s="11">
        <v>45712</v>
      </c>
      <c r="N143" s="1" t="s">
        <v>588</v>
      </c>
      <c r="O143" s="37"/>
      <c r="P143" s="14"/>
      <c r="Q143" t="s">
        <v>55</v>
      </c>
      <c r="R143" t="s">
        <v>231</v>
      </c>
      <c r="S143" t="str">
        <f>IFERROR(VLOOKUP(Tabela1[[#This Row],[CC]],CC!$A$1:$H$403,8,0),"")</f>
        <v>OP1</v>
      </c>
    </row>
    <row r="144" spans="1:19" x14ac:dyDescent="0.3">
      <c r="A144" s="8">
        <v>1391</v>
      </c>
      <c r="B144" s="8" t="str">
        <f>IFERROR(VLOOKUP(Tabela1[[#This Row],[CC]],#REF!,5,0),"")</f>
        <v/>
      </c>
      <c r="C144" t="s">
        <v>32</v>
      </c>
      <c r="D144" t="s">
        <v>52</v>
      </c>
      <c r="E144" t="s">
        <v>375</v>
      </c>
      <c r="F144" t="s">
        <v>586</v>
      </c>
      <c r="G144" s="110">
        <v>3808</v>
      </c>
      <c r="H144" s="12">
        <v>45658</v>
      </c>
      <c r="I144" s="28">
        <v>7328.4</v>
      </c>
      <c r="J144" s="28">
        <v>6877.7</v>
      </c>
      <c r="K144" s="3">
        <v>45700</v>
      </c>
      <c r="L144" s="91">
        <v>45712</v>
      </c>
      <c r="M144" s="11">
        <v>45715</v>
      </c>
      <c r="N144" s="1" t="s">
        <v>588</v>
      </c>
      <c r="O144" s="37"/>
      <c r="P144" s="14"/>
      <c r="Q144" t="s">
        <v>55</v>
      </c>
      <c r="R144" t="s">
        <v>231</v>
      </c>
      <c r="S144" t="str">
        <f>IFERROR(VLOOKUP(Tabela1[[#This Row],[CC]],CC!$A$1:$H$403,8,0),"")</f>
        <v>OP1</v>
      </c>
    </row>
    <row r="145" spans="1:19" x14ac:dyDescent="0.3">
      <c r="A145" s="25">
        <v>1294</v>
      </c>
      <c r="B145" s="25" t="str">
        <f>IFERROR(VLOOKUP(Tabela1[[#This Row],[CC]],#REF!,5,0),"")</f>
        <v/>
      </c>
      <c r="C145" t="s">
        <v>32</v>
      </c>
      <c r="D145" t="s">
        <v>52</v>
      </c>
      <c r="E145" t="s">
        <v>268</v>
      </c>
      <c r="F145" t="s">
        <v>586</v>
      </c>
      <c r="G145" s="110">
        <v>3739</v>
      </c>
      <c r="H145" s="12">
        <v>45658</v>
      </c>
      <c r="I145" s="28">
        <v>3177.53</v>
      </c>
      <c r="J145" s="28">
        <v>2982.11</v>
      </c>
      <c r="K145" s="3">
        <v>45665</v>
      </c>
      <c r="L145" s="91">
        <v>45677</v>
      </c>
      <c r="M145" s="11">
        <v>45680</v>
      </c>
      <c r="N145" s="1" t="s">
        <v>588</v>
      </c>
      <c r="O145" s="35">
        <v>0</v>
      </c>
      <c r="P145"/>
      <c r="Q145" t="s">
        <v>55</v>
      </c>
      <c r="R145" t="s">
        <v>231</v>
      </c>
      <c r="S145" t="str">
        <f>IFERROR(VLOOKUP(Tabela1[[#This Row],[CC]],CC!$A$1:$H$403,8,0),"")</f>
        <v>OP1</v>
      </c>
    </row>
    <row r="146" spans="1:19" x14ac:dyDescent="0.3">
      <c r="A146" s="25">
        <v>1294</v>
      </c>
      <c r="B146" s="25" t="str">
        <f>IFERROR(VLOOKUP(Tabela1[[#This Row],[CC]],#REF!,5,0),"")</f>
        <v/>
      </c>
      <c r="C146" t="s">
        <v>32</v>
      </c>
      <c r="D146" t="s">
        <v>52</v>
      </c>
      <c r="E146" t="s">
        <v>268</v>
      </c>
      <c r="F146" t="s">
        <v>586</v>
      </c>
      <c r="G146" s="110">
        <v>3805</v>
      </c>
      <c r="H146" s="12">
        <v>45658</v>
      </c>
      <c r="I146" s="28">
        <v>175329</v>
      </c>
      <c r="J146" s="39">
        <v>164546.26</v>
      </c>
      <c r="K146" s="3">
        <v>45698</v>
      </c>
      <c r="L146" s="91">
        <v>45712</v>
      </c>
      <c r="M146" s="11">
        <v>45712</v>
      </c>
      <c r="N146" s="1" t="s">
        <v>588</v>
      </c>
      <c r="O146" s="35">
        <v>0</v>
      </c>
      <c r="P146"/>
      <c r="Q146" t="s">
        <v>55</v>
      </c>
      <c r="R146" t="s">
        <v>231</v>
      </c>
      <c r="S146" t="str">
        <f>IFERROR(VLOOKUP(Tabela1[[#This Row],[CC]],CC!$A$1:$H$403,8,0),"")</f>
        <v>OP1</v>
      </c>
    </row>
    <row r="147" spans="1:19" x14ac:dyDescent="0.3">
      <c r="A147" s="25">
        <v>1294</v>
      </c>
      <c r="B147" s="25" t="str">
        <f>IFERROR(VLOOKUP(Tabela1[[#This Row],[CC]],#REF!,5,0),"")</f>
        <v/>
      </c>
      <c r="C147" t="s">
        <v>32</v>
      </c>
      <c r="D147" t="s">
        <v>52</v>
      </c>
      <c r="E147" t="s">
        <v>268</v>
      </c>
      <c r="F147" t="s">
        <v>586</v>
      </c>
      <c r="G147" s="110">
        <v>3807</v>
      </c>
      <c r="H147" s="12">
        <v>45658</v>
      </c>
      <c r="I147" s="28">
        <v>1817.87</v>
      </c>
      <c r="J147" s="28">
        <v>1706.07</v>
      </c>
      <c r="K147" s="3">
        <v>45699</v>
      </c>
      <c r="L147" s="91">
        <v>45712</v>
      </c>
      <c r="M147" s="11">
        <v>45714</v>
      </c>
      <c r="N147" s="1" t="s">
        <v>588</v>
      </c>
      <c r="O147" s="35">
        <v>0</v>
      </c>
      <c r="P147"/>
      <c r="Q147" t="s">
        <v>55</v>
      </c>
      <c r="R147" t="s">
        <v>231</v>
      </c>
      <c r="S147" t="str">
        <f>IFERROR(VLOOKUP(Tabela1[[#This Row],[CC]],CC!$A$1:$H$403,8,0),"")</f>
        <v>OP1</v>
      </c>
    </row>
    <row r="148" spans="1:19" x14ac:dyDescent="0.3">
      <c r="A148" s="25">
        <v>1294</v>
      </c>
      <c r="B148" s="25" t="str">
        <f>IFERROR(VLOOKUP(Tabela1[[#This Row],[CC]],#REF!,5,0),"")</f>
        <v/>
      </c>
      <c r="C148" t="s">
        <v>32</v>
      </c>
      <c r="D148" t="s">
        <v>52</v>
      </c>
      <c r="E148" t="s">
        <v>268</v>
      </c>
      <c r="F148" t="s">
        <v>586</v>
      </c>
      <c r="G148" s="110">
        <v>3806</v>
      </c>
      <c r="H148" s="12">
        <v>45658</v>
      </c>
      <c r="I148" s="28">
        <v>39841.279999999999</v>
      </c>
      <c r="J148" s="28">
        <v>37391.040000000001</v>
      </c>
      <c r="K148" s="3">
        <v>45699</v>
      </c>
      <c r="L148" s="91">
        <v>45712</v>
      </c>
      <c r="M148" s="11">
        <v>45714</v>
      </c>
      <c r="N148" s="1" t="s">
        <v>588</v>
      </c>
      <c r="O148" s="35">
        <v>0</v>
      </c>
      <c r="P148"/>
      <c r="Q148" t="s">
        <v>55</v>
      </c>
      <c r="R148" t="s">
        <v>231</v>
      </c>
      <c r="S148" t="str">
        <f>IFERROR(VLOOKUP(Tabela1[[#This Row],[CC]],CC!$A$1:$H$403,8,0),"")</f>
        <v>OP1</v>
      </c>
    </row>
    <row r="149" spans="1:19" x14ac:dyDescent="0.3">
      <c r="A149" s="25">
        <v>1294</v>
      </c>
      <c r="B149" s="25" t="str">
        <f>IFERROR(VLOOKUP(Tabela1[[#This Row],[CC]],#REF!,5,0),"")</f>
        <v/>
      </c>
      <c r="C149" t="s">
        <v>32</v>
      </c>
      <c r="D149" t="s">
        <v>52</v>
      </c>
      <c r="E149" t="s">
        <v>268</v>
      </c>
      <c r="F149" t="s">
        <v>586</v>
      </c>
      <c r="G149" s="110">
        <v>3810</v>
      </c>
      <c r="H149" s="12">
        <v>45658</v>
      </c>
      <c r="I149" s="28">
        <v>191553</v>
      </c>
      <c r="J149" s="28">
        <v>179772.49</v>
      </c>
      <c r="K149" s="3">
        <v>45700</v>
      </c>
      <c r="L149" s="91">
        <v>45712</v>
      </c>
      <c r="M149" s="11">
        <v>45715</v>
      </c>
      <c r="N149" s="1" t="s">
        <v>588</v>
      </c>
      <c r="O149" s="35">
        <v>0</v>
      </c>
      <c r="P149"/>
      <c r="Q149" t="s">
        <v>55</v>
      </c>
      <c r="R149" t="s">
        <v>231</v>
      </c>
      <c r="S149" t="str">
        <f>IFERROR(VLOOKUP(Tabela1[[#This Row],[CC]],CC!$A$1:$H$403,8,0),"")</f>
        <v>OP1</v>
      </c>
    </row>
    <row r="150" spans="1:19" x14ac:dyDescent="0.3">
      <c r="A150" s="25">
        <v>1294</v>
      </c>
      <c r="B150" s="25" t="str">
        <f>IFERROR(VLOOKUP(Tabela1[[#This Row],[CC]],#REF!,5,0),"")</f>
        <v/>
      </c>
      <c r="C150" t="s">
        <v>32</v>
      </c>
      <c r="D150" t="s">
        <v>52</v>
      </c>
      <c r="E150" t="s">
        <v>268</v>
      </c>
      <c r="F150" t="s">
        <v>586</v>
      </c>
      <c r="G150" s="110">
        <v>3809</v>
      </c>
      <c r="H150" s="12">
        <v>45658</v>
      </c>
      <c r="I150" s="28">
        <v>115932.66</v>
      </c>
      <c r="J150" s="28">
        <v>108802.8</v>
      </c>
      <c r="K150" s="3">
        <v>45700</v>
      </c>
      <c r="L150" s="91">
        <v>45712</v>
      </c>
      <c r="M150" s="11">
        <v>45715</v>
      </c>
      <c r="N150" s="1" t="s">
        <v>588</v>
      </c>
      <c r="O150" s="35">
        <v>0</v>
      </c>
      <c r="P150"/>
      <c r="Q150" t="s">
        <v>55</v>
      </c>
      <c r="R150" t="s">
        <v>231</v>
      </c>
      <c r="S150" t="str">
        <f>IFERROR(VLOOKUP(Tabela1[[#This Row],[CC]],CC!$A$1:$H$403,8,0),"")</f>
        <v>OP1</v>
      </c>
    </row>
    <row r="151" spans="1:19" x14ac:dyDescent="0.3">
      <c r="A151" s="25">
        <v>1294</v>
      </c>
      <c r="B151" s="25" t="str">
        <f>IFERROR(VLOOKUP(Tabela1[[#This Row],[CC]],#REF!,5,0),"")</f>
        <v/>
      </c>
      <c r="C151" t="s">
        <v>32</v>
      </c>
      <c r="D151" t="s">
        <v>52</v>
      </c>
      <c r="E151" t="s">
        <v>268</v>
      </c>
      <c r="F151" t="s">
        <v>586</v>
      </c>
      <c r="G151" s="110">
        <v>3817</v>
      </c>
      <c r="H151" s="12">
        <v>45658</v>
      </c>
      <c r="I151" s="28">
        <v>118992</v>
      </c>
      <c r="J151" s="28">
        <v>111673.99</v>
      </c>
      <c r="K151" s="3">
        <v>45701</v>
      </c>
      <c r="L151" s="91">
        <v>45712</v>
      </c>
      <c r="M151" s="11">
        <v>45716</v>
      </c>
      <c r="N151" s="1" t="s">
        <v>588</v>
      </c>
      <c r="O151" s="35">
        <v>0</v>
      </c>
      <c r="P151"/>
      <c r="Q151" t="s">
        <v>55</v>
      </c>
      <c r="R151" t="s">
        <v>231</v>
      </c>
      <c r="S151" t="str">
        <f>IFERROR(VLOOKUP(Tabela1[[#This Row],[CC]],CC!$A$1:$H$403,8,0),"")</f>
        <v>OP1</v>
      </c>
    </row>
    <row r="152" spans="1:19" x14ac:dyDescent="0.3">
      <c r="A152" s="25">
        <v>1294</v>
      </c>
      <c r="B152" s="25" t="str">
        <f>IFERROR(VLOOKUP(Tabela1[[#This Row],[CC]],#REF!,5,0),"")</f>
        <v/>
      </c>
      <c r="C152" t="s">
        <v>32</v>
      </c>
      <c r="D152" t="s">
        <v>52</v>
      </c>
      <c r="E152" t="s">
        <v>268</v>
      </c>
      <c r="F152" t="s">
        <v>586</v>
      </c>
      <c r="G152" s="110">
        <v>3816</v>
      </c>
      <c r="H152" s="12">
        <v>45658</v>
      </c>
      <c r="I152" s="28">
        <v>41842.06</v>
      </c>
      <c r="J152" s="28">
        <v>39268.769999999997</v>
      </c>
      <c r="K152" s="3">
        <v>45701</v>
      </c>
      <c r="L152" s="91">
        <v>45712</v>
      </c>
      <c r="M152" s="11">
        <v>45716</v>
      </c>
      <c r="N152" s="1" t="s">
        <v>588</v>
      </c>
      <c r="O152" s="35">
        <v>0</v>
      </c>
      <c r="P152"/>
      <c r="Q152" t="s">
        <v>55</v>
      </c>
      <c r="R152" t="s">
        <v>231</v>
      </c>
      <c r="S152" t="str">
        <f>IFERROR(VLOOKUP(Tabela1[[#This Row],[CC]],CC!$A$1:$H$403,8,0),"")</f>
        <v>OP1</v>
      </c>
    </row>
    <row r="153" spans="1:19" x14ac:dyDescent="0.3">
      <c r="A153" s="25">
        <v>1294</v>
      </c>
      <c r="B153" s="25" t="str">
        <f>IFERROR(VLOOKUP(Tabela1[[#This Row],[CC]],#REF!,5,0),"")</f>
        <v/>
      </c>
      <c r="C153" t="s">
        <v>32</v>
      </c>
      <c r="D153" t="s">
        <v>52</v>
      </c>
      <c r="E153" t="s">
        <v>268</v>
      </c>
      <c r="F153" t="s">
        <v>586</v>
      </c>
      <c r="G153" s="110">
        <v>3813</v>
      </c>
      <c r="H153" s="12">
        <v>45658</v>
      </c>
      <c r="I153" s="28">
        <v>156.41999999999999</v>
      </c>
      <c r="J153" s="28">
        <v>156.41999999999999</v>
      </c>
      <c r="K153" s="3">
        <v>45701</v>
      </c>
      <c r="L153" s="91">
        <v>45712</v>
      </c>
      <c r="M153" s="11">
        <v>45716</v>
      </c>
      <c r="N153" s="1" t="s">
        <v>588</v>
      </c>
      <c r="O153" s="35">
        <v>0</v>
      </c>
      <c r="P153"/>
      <c r="Q153" t="s">
        <v>55</v>
      </c>
      <c r="R153" t="s">
        <v>231</v>
      </c>
      <c r="S153" t="str">
        <f>IFERROR(VLOOKUP(Tabela1[[#This Row],[CC]],CC!$A$1:$H$403,8,0),"")</f>
        <v>OP1</v>
      </c>
    </row>
    <row r="154" spans="1:19" x14ac:dyDescent="0.3">
      <c r="A154" s="25">
        <v>1294</v>
      </c>
      <c r="B154" s="25" t="str">
        <f>IFERROR(VLOOKUP(Tabela1[[#This Row],[CC]],#REF!,5,0),"")</f>
        <v/>
      </c>
      <c r="C154" t="s">
        <v>32</v>
      </c>
      <c r="D154" t="s">
        <v>52</v>
      </c>
      <c r="E154" t="s">
        <v>268</v>
      </c>
      <c r="F154" t="s">
        <v>586</v>
      </c>
      <c r="G154" s="110">
        <v>3812</v>
      </c>
      <c r="H154" s="12">
        <v>45658</v>
      </c>
      <c r="I154" s="28">
        <v>469.26</v>
      </c>
      <c r="J154" s="28">
        <v>447.44</v>
      </c>
      <c r="K154" s="3">
        <v>45701</v>
      </c>
      <c r="L154" s="91">
        <v>45712</v>
      </c>
      <c r="M154" s="11">
        <v>45716</v>
      </c>
      <c r="N154" s="1" t="s">
        <v>588</v>
      </c>
      <c r="O154" s="35">
        <v>0</v>
      </c>
      <c r="P154"/>
      <c r="Q154" t="s">
        <v>55</v>
      </c>
      <c r="R154" t="s">
        <v>231</v>
      </c>
      <c r="S154" t="str">
        <f>IFERROR(VLOOKUP(Tabela1[[#This Row],[CC]],CC!$A$1:$H$403,8,0),"")</f>
        <v>OP1</v>
      </c>
    </row>
    <row r="155" spans="1:19" x14ac:dyDescent="0.3">
      <c r="A155" s="25">
        <v>1294</v>
      </c>
      <c r="B155" s="25" t="str">
        <f>IFERROR(VLOOKUP(Tabela1[[#This Row],[CC]],#REF!,5,0),"")</f>
        <v/>
      </c>
      <c r="C155" t="s">
        <v>32</v>
      </c>
      <c r="D155" t="s">
        <v>52</v>
      </c>
      <c r="E155" t="s">
        <v>268</v>
      </c>
      <c r="F155" t="s">
        <v>586</v>
      </c>
      <c r="G155" s="110">
        <v>3811</v>
      </c>
      <c r="H155" s="12">
        <v>45658</v>
      </c>
      <c r="I155" s="28">
        <v>3041.28</v>
      </c>
      <c r="J155" s="28">
        <v>2854.24</v>
      </c>
      <c r="K155" s="3">
        <v>45701</v>
      </c>
      <c r="L155" s="91">
        <v>45712</v>
      </c>
      <c r="M155" s="11">
        <v>45716</v>
      </c>
      <c r="N155" s="1" t="s">
        <v>588</v>
      </c>
      <c r="O155" s="35">
        <v>0</v>
      </c>
      <c r="P155"/>
      <c r="Q155" t="s">
        <v>55</v>
      </c>
      <c r="R155" t="s">
        <v>231</v>
      </c>
      <c r="S155" t="str">
        <f>IFERROR(VLOOKUP(Tabela1[[#This Row],[CC]],CC!$A$1:$H$403,8,0),"")</f>
        <v>OP1</v>
      </c>
    </row>
    <row r="156" spans="1:19" x14ac:dyDescent="0.3">
      <c r="A156" s="25">
        <v>1294</v>
      </c>
      <c r="B156" s="25" t="str">
        <f>IFERROR(VLOOKUP(Tabela1[[#This Row],[CC]],#REF!,5,0),"")</f>
        <v/>
      </c>
      <c r="C156" t="s">
        <v>32</v>
      </c>
      <c r="D156" t="s">
        <v>52</v>
      </c>
      <c r="E156" t="s">
        <v>268</v>
      </c>
      <c r="F156" t="s">
        <v>586</v>
      </c>
      <c r="G156" s="110">
        <v>3880</v>
      </c>
      <c r="H156" s="12">
        <v>45658</v>
      </c>
      <c r="I156" s="28">
        <v>3018.11</v>
      </c>
      <c r="J156" s="28">
        <v>2832.5</v>
      </c>
      <c r="K156" s="3">
        <v>45727</v>
      </c>
      <c r="L156" s="91">
        <v>45740</v>
      </c>
      <c r="M156" s="11">
        <v>45742</v>
      </c>
      <c r="N156" s="1" t="s">
        <v>588</v>
      </c>
      <c r="O156" s="35">
        <v>0</v>
      </c>
      <c r="P156"/>
      <c r="Q156" t="s">
        <v>55</v>
      </c>
      <c r="R156" t="s">
        <v>231</v>
      </c>
      <c r="S156" t="str">
        <f>IFERROR(VLOOKUP(Tabela1[[#This Row],[CC]],CC!$A$1:$H$403,8,0),"")</f>
        <v>OP1</v>
      </c>
    </row>
    <row r="157" spans="1:19" x14ac:dyDescent="0.3">
      <c r="A157" s="8">
        <v>1474</v>
      </c>
      <c r="B157" s="8" t="str">
        <f>IFERROR(VLOOKUP(Tabela1[[#This Row],[CC]],#REF!,5,0),"")</f>
        <v/>
      </c>
      <c r="C157" t="s">
        <v>32</v>
      </c>
      <c r="D157" t="s">
        <v>52</v>
      </c>
      <c r="E157" t="s">
        <v>479</v>
      </c>
      <c r="F157" t="s">
        <v>586</v>
      </c>
      <c r="G157" s="110">
        <v>3814</v>
      </c>
      <c r="H157" s="12">
        <v>45658</v>
      </c>
      <c r="I157" s="28">
        <v>24716.74</v>
      </c>
      <c r="J157" s="28">
        <v>23196.66</v>
      </c>
      <c r="K157" s="3">
        <v>45701</v>
      </c>
      <c r="L157" s="91">
        <v>45712</v>
      </c>
      <c r="M157" s="11">
        <v>45716</v>
      </c>
      <c r="N157" s="1" t="s">
        <v>588</v>
      </c>
      <c r="O157" s="37"/>
      <c r="P157" s="14"/>
      <c r="Q157" t="s">
        <v>58</v>
      </c>
      <c r="R157" t="s">
        <v>231</v>
      </c>
      <c r="S157" t="str">
        <f>IFERROR(VLOOKUP(Tabela1[[#This Row],[CC]],CC!$A$1:$H$403,8,0),"")</f>
        <v>OP1</v>
      </c>
    </row>
    <row r="158" spans="1:19" x14ac:dyDescent="0.3">
      <c r="A158" s="25">
        <v>1285</v>
      </c>
      <c r="B158" s="25" t="str">
        <f>IFERROR(VLOOKUP(Tabela1[[#This Row],[CC]],#REF!,5,0),"")</f>
        <v/>
      </c>
      <c r="C158" t="s">
        <v>32</v>
      </c>
      <c r="D158" t="s">
        <v>52</v>
      </c>
      <c r="E158" t="s">
        <v>259</v>
      </c>
      <c r="F158" t="s">
        <v>586</v>
      </c>
      <c r="G158" s="110">
        <v>3777</v>
      </c>
      <c r="H158" s="12">
        <v>45658</v>
      </c>
      <c r="I158" s="24">
        <v>24318.400000000001</v>
      </c>
      <c r="J158" s="24">
        <v>22822.81</v>
      </c>
      <c r="K158" s="3">
        <v>45686</v>
      </c>
      <c r="L158" s="91">
        <v>45712</v>
      </c>
      <c r="M158" s="11">
        <v>45716</v>
      </c>
      <c r="N158" s="1" t="s">
        <v>588</v>
      </c>
      <c r="O158" s="35">
        <v>0</v>
      </c>
      <c r="P158" s="26"/>
      <c r="Q158" t="s">
        <v>55</v>
      </c>
      <c r="R158" t="s">
        <v>231</v>
      </c>
      <c r="S158" t="str">
        <f>IFERROR(VLOOKUP(Tabela1[[#This Row],[CC]],CC!$A$1:$H$403,8,0),"")</f>
        <v>OP1</v>
      </c>
    </row>
    <row r="159" spans="1:19" x14ac:dyDescent="0.3">
      <c r="A159" s="25">
        <v>1285</v>
      </c>
      <c r="B159" s="25" t="str">
        <f>IFERROR(VLOOKUP(Tabela1[[#This Row],[CC]],#REF!,5,0),"")</f>
        <v/>
      </c>
      <c r="C159" t="s">
        <v>32</v>
      </c>
      <c r="D159" t="s">
        <v>52</v>
      </c>
      <c r="E159" t="s">
        <v>259</v>
      </c>
      <c r="F159" t="s">
        <v>586</v>
      </c>
      <c r="G159" s="110">
        <v>3776</v>
      </c>
      <c r="H159" s="12">
        <v>45658</v>
      </c>
      <c r="I159" s="24">
        <v>15092.52</v>
      </c>
      <c r="J159" s="24">
        <v>14164.33</v>
      </c>
      <c r="K159" s="3">
        <v>45686</v>
      </c>
      <c r="L159" s="91">
        <v>45712</v>
      </c>
      <c r="M159" s="11">
        <v>45716</v>
      </c>
      <c r="N159" s="1" t="s">
        <v>588</v>
      </c>
      <c r="O159" s="35">
        <v>0</v>
      </c>
      <c r="P159" s="26"/>
      <c r="Q159" t="s">
        <v>55</v>
      </c>
      <c r="R159" t="s">
        <v>231</v>
      </c>
      <c r="S159" t="str">
        <f>IFERROR(VLOOKUP(Tabela1[[#This Row],[CC]],CC!$A$1:$H$403,8,0),"")</f>
        <v>OP1</v>
      </c>
    </row>
    <row r="160" spans="1:19" x14ac:dyDescent="0.3">
      <c r="A160" s="25">
        <v>1285</v>
      </c>
      <c r="B160" s="25" t="str">
        <f>IFERROR(VLOOKUP(Tabela1[[#This Row],[CC]],#REF!,5,0),"")</f>
        <v/>
      </c>
      <c r="C160" t="s">
        <v>32</v>
      </c>
      <c r="D160" t="s">
        <v>52</v>
      </c>
      <c r="E160" t="s">
        <v>259</v>
      </c>
      <c r="F160" t="s">
        <v>586</v>
      </c>
      <c r="G160" s="110">
        <v>3778</v>
      </c>
      <c r="H160" s="12">
        <v>45658</v>
      </c>
      <c r="I160" s="24">
        <v>21543.39</v>
      </c>
      <c r="J160" s="24">
        <v>20218.48</v>
      </c>
      <c r="K160" s="3">
        <v>45687</v>
      </c>
      <c r="L160" s="91">
        <v>45719</v>
      </c>
      <c r="M160" s="11">
        <v>45721</v>
      </c>
      <c r="N160" s="1" t="s">
        <v>588</v>
      </c>
      <c r="O160" s="35">
        <v>0</v>
      </c>
      <c r="P160" s="26"/>
      <c r="Q160" t="s">
        <v>55</v>
      </c>
      <c r="R160" t="s">
        <v>231</v>
      </c>
      <c r="S160" t="str">
        <f>IFERROR(VLOOKUP(Tabela1[[#This Row],[CC]],CC!$A$1:$H$403,8,0),"")</f>
        <v>OP1</v>
      </c>
    </row>
    <row r="161" spans="1:19" x14ac:dyDescent="0.3">
      <c r="A161" s="25">
        <v>1292</v>
      </c>
      <c r="B161" s="25" t="str">
        <f>IFERROR(VLOOKUP(Tabela1[[#This Row],[CC]],#REF!,5,0),"")</f>
        <v/>
      </c>
      <c r="C161" t="s">
        <v>32</v>
      </c>
      <c r="D161" t="s">
        <v>56</v>
      </c>
      <c r="E161" t="s">
        <v>266</v>
      </c>
      <c r="F161" t="s">
        <v>586</v>
      </c>
      <c r="G161" s="110">
        <v>3736</v>
      </c>
      <c r="H161" s="12">
        <v>45658</v>
      </c>
      <c r="I161" s="24">
        <v>46853.99</v>
      </c>
      <c r="J161" s="24">
        <v>43972.47</v>
      </c>
      <c r="K161" s="3">
        <v>45659</v>
      </c>
      <c r="L161" s="91">
        <v>45670</v>
      </c>
      <c r="M161" s="11">
        <v>45674</v>
      </c>
      <c r="N161" s="1" t="s">
        <v>588</v>
      </c>
      <c r="O161" s="35">
        <v>0</v>
      </c>
      <c r="P161"/>
      <c r="Q161" t="s">
        <v>55</v>
      </c>
      <c r="R161" t="s">
        <v>231</v>
      </c>
      <c r="S161" t="str">
        <f>IFERROR(VLOOKUP(Tabela1[[#This Row],[CC]],CC!$A$1:$H$403,8,0),"")</f>
        <v>OP1</v>
      </c>
    </row>
    <row r="162" spans="1:19" x14ac:dyDescent="0.3">
      <c r="A162" s="25">
        <v>1292</v>
      </c>
      <c r="B162" s="25" t="str">
        <f>IFERROR(VLOOKUP(Tabela1[[#This Row],[CC]],#REF!,5,0),"")</f>
        <v/>
      </c>
      <c r="C162" t="s">
        <v>32</v>
      </c>
      <c r="D162" t="s">
        <v>56</v>
      </c>
      <c r="E162" t="s">
        <v>266</v>
      </c>
      <c r="F162" t="s">
        <v>586</v>
      </c>
      <c r="G162" s="110">
        <v>3737</v>
      </c>
      <c r="H162" s="12">
        <v>45658</v>
      </c>
      <c r="I162" s="24">
        <v>4656.58</v>
      </c>
      <c r="J162" s="24">
        <v>4370.2</v>
      </c>
      <c r="K162" s="3">
        <v>45659</v>
      </c>
      <c r="L162" s="91">
        <v>45670</v>
      </c>
      <c r="M162" s="11">
        <v>45674</v>
      </c>
      <c r="N162" s="1" t="s">
        <v>588</v>
      </c>
      <c r="O162" s="35">
        <v>0</v>
      </c>
      <c r="P162"/>
      <c r="Q162" t="s">
        <v>55</v>
      </c>
      <c r="R162" t="s">
        <v>231</v>
      </c>
      <c r="S162" t="str">
        <f>IFERROR(VLOOKUP(Tabela1[[#This Row],[CC]],CC!$A$1:$H$403,8,0),"")</f>
        <v>OP1</v>
      </c>
    </row>
    <row r="163" spans="1:19" x14ac:dyDescent="0.3">
      <c r="A163" s="25">
        <v>1292</v>
      </c>
      <c r="B163" s="25" t="str">
        <f>IFERROR(VLOOKUP(Tabela1[[#This Row],[CC]],#REF!,5,0),"")</f>
        <v/>
      </c>
      <c r="C163" t="s">
        <v>32</v>
      </c>
      <c r="D163" t="s">
        <v>56</v>
      </c>
      <c r="E163" t="s">
        <v>266</v>
      </c>
      <c r="F163" t="s">
        <v>586</v>
      </c>
      <c r="G163" s="110">
        <v>3738</v>
      </c>
      <c r="H163" s="12">
        <v>45658</v>
      </c>
      <c r="I163" s="24">
        <v>61378.96</v>
      </c>
      <c r="J163" s="24">
        <v>57604.160000000003</v>
      </c>
      <c r="K163" s="3">
        <v>45660</v>
      </c>
      <c r="L163" s="91">
        <v>45677</v>
      </c>
      <c r="M163" s="11">
        <v>45677</v>
      </c>
      <c r="N163" s="1" t="s">
        <v>588</v>
      </c>
      <c r="O163" s="35">
        <v>0</v>
      </c>
      <c r="P163"/>
      <c r="Q163" t="s">
        <v>55</v>
      </c>
      <c r="R163" t="s">
        <v>231</v>
      </c>
      <c r="S163" t="str">
        <f>IFERROR(VLOOKUP(Tabela1[[#This Row],[CC]],CC!$A$1:$H$403,8,0),"")</f>
        <v>OP1</v>
      </c>
    </row>
    <row r="164" spans="1:19" x14ac:dyDescent="0.3">
      <c r="A164" s="25">
        <v>1292</v>
      </c>
      <c r="B164" s="25" t="str">
        <f>IFERROR(VLOOKUP(Tabela1[[#This Row],[CC]],#REF!,5,0),"")</f>
        <v/>
      </c>
      <c r="C164" t="s">
        <v>32</v>
      </c>
      <c r="D164" t="s">
        <v>56</v>
      </c>
      <c r="E164" t="s">
        <v>266</v>
      </c>
      <c r="F164" t="s">
        <v>586</v>
      </c>
      <c r="G164" s="110">
        <v>3902</v>
      </c>
      <c r="H164" s="12">
        <v>45658</v>
      </c>
      <c r="I164" s="24">
        <v>61800.639999999999</v>
      </c>
      <c r="J164" s="24">
        <v>57999.9</v>
      </c>
      <c r="K164" s="3">
        <v>45734</v>
      </c>
      <c r="L164" s="91">
        <v>45761</v>
      </c>
      <c r="M164" s="11">
        <v>45762</v>
      </c>
      <c r="N164" s="1" t="s">
        <v>588</v>
      </c>
      <c r="O164" s="35">
        <v>0</v>
      </c>
      <c r="P164"/>
      <c r="Q164" t="s">
        <v>55</v>
      </c>
      <c r="R164" t="s">
        <v>231</v>
      </c>
      <c r="S164" t="str">
        <f>IFERROR(VLOOKUP(Tabela1[[#This Row],[CC]],CC!$A$1:$H$403,8,0),"")</f>
        <v>OP1</v>
      </c>
    </row>
    <row r="165" spans="1:19" x14ac:dyDescent="0.3">
      <c r="A165" s="25">
        <v>1292</v>
      </c>
      <c r="B165" s="25" t="str">
        <f>IFERROR(VLOOKUP(Tabela1[[#This Row],[CC]],#REF!,5,0),"")</f>
        <v/>
      </c>
      <c r="C165" t="s">
        <v>32</v>
      </c>
      <c r="D165" t="s">
        <v>56</v>
      </c>
      <c r="E165" t="s">
        <v>266</v>
      </c>
      <c r="F165" t="s">
        <v>586</v>
      </c>
      <c r="G165" s="110">
        <v>3792</v>
      </c>
      <c r="H165" s="12">
        <v>45658</v>
      </c>
      <c r="I165" s="24">
        <v>88281.31</v>
      </c>
      <c r="J165" s="24">
        <v>82852.009999999995</v>
      </c>
      <c r="K165" s="3">
        <v>45694</v>
      </c>
      <c r="L165" s="91">
        <v>45733</v>
      </c>
      <c r="M165" s="11">
        <v>45733</v>
      </c>
      <c r="N165" s="1" t="s">
        <v>588</v>
      </c>
      <c r="O165" s="35">
        <v>0</v>
      </c>
      <c r="P165"/>
      <c r="Q165" t="s">
        <v>55</v>
      </c>
      <c r="R165" t="s">
        <v>231</v>
      </c>
      <c r="S165" t="str">
        <f>IFERROR(VLOOKUP(Tabela1[[#This Row],[CC]],CC!$A$1:$H$403,8,0),"")</f>
        <v>OP1</v>
      </c>
    </row>
    <row r="166" spans="1:19" x14ac:dyDescent="0.3">
      <c r="A166" s="25">
        <v>1292</v>
      </c>
      <c r="B166" s="25" t="str">
        <f>IFERROR(VLOOKUP(Tabela1[[#This Row],[CC]],#REF!,5,0),"")</f>
        <v/>
      </c>
      <c r="C166" t="s">
        <v>32</v>
      </c>
      <c r="D166" t="s">
        <v>56</v>
      </c>
      <c r="E166" t="s">
        <v>266</v>
      </c>
      <c r="F166" t="s">
        <v>586</v>
      </c>
      <c r="G166" s="110">
        <v>3786</v>
      </c>
      <c r="H166" s="12">
        <v>45658</v>
      </c>
      <c r="I166" s="24">
        <v>27048</v>
      </c>
      <c r="J166" s="24">
        <v>25384.55</v>
      </c>
      <c r="K166" s="3">
        <v>45692</v>
      </c>
      <c r="L166" s="91">
        <v>45705</v>
      </c>
      <c r="M166" s="11">
        <v>45707</v>
      </c>
      <c r="N166" s="1" t="s">
        <v>588</v>
      </c>
      <c r="O166" s="35">
        <v>0</v>
      </c>
      <c r="P166"/>
      <c r="Q166" t="s">
        <v>55</v>
      </c>
      <c r="R166" t="s">
        <v>231</v>
      </c>
      <c r="S166" t="str">
        <f>IFERROR(VLOOKUP(Tabela1[[#This Row],[CC]],CC!$A$1:$H$403,8,0),"")</f>
        <v>OP1</v>
      </c>
    </row>
    <row r="167" spans="1:19" x14ac:dyDescent="0.3">
      <c r="A167" s="25">
        <v>1292</v>
      </c>
      <c r="B167" s="25" t="str">
        <f>IFERROR(VLOOKUP(Tabela1[[#This Row],[CC]],#REF!,5,0),"")</f>
        <v/>
      </c>
      <c r="C167" t="s">
        <v>32</v>
      </c>
      <c r="D167" t="s">
        <v>56</v>
      </c>
      <c r="E167" t="s">
        <v>266</v>
      </c>
      <c r="F167" t="s">
        <v>586</v>
      </c>
      <c r="G167" s="110">
        <v>3788</v>
      </c>
      <c r="H167" s="12">
        <v>45658</v>
      </c>
      <c r="I167" s="24">
        <v>55498.45</v>
      </c>
      <c r="J167" s="24">
        <v>52085.29</v>
      </c>
      <c r="K167" s="3">
        <v>45692</v>
      </c>
      <c r="L167" s="91">
        <v>45705</v>
      </c>
      <c r="M167" s="11">
        <v>45707</v>
      </c>
      <c r="N167" s="1" t="s">
        <v>588</v>
      </c>
      <c r="O167" s="35">
        <v>0</v>
      </c>
      <c r="P167"/>
      <c r="Q167" t="s">
        <v>55</v>
      </c>
      <c r="R167" t="s">
        <v>231</v>
      </c>
      <c r="S167" t="str">
        <f>IFERROR(VLOOKUP(Tabela1[[#This Row],[CC]],CC!$A$1:$H$403,8,0),"")</f>
        <v>OP1</v>
      </c>
    </row>
    <row r="168" spans="1:19" x14ac:dyDescent="0.3">
      <c r="A168" s="25">
        <v>1292</v>
      </c>
      <c r="B168" s="25" t="str">
        <f>IFERROR(VLOOKUP(Tabela1[[#This Row],[CC]],#REF!,5,0),"")</f>
        <v/>
      </c>
      <c r="C168" t="s">
        <v>32</v>
      </c>
      <c r="D168" t="s">
        <v>56</v>
      </c>
      <c r="E168" t="s">
        <v>266</v>
      </c>
      <c r="F168" t="s">
        <v>586</v>
      </c>
      <c r="G168" s="110">
        <v>3787</v>
      </c>
      <c r="H168" s="12">
        <v>45658</v>
      </c>
      <c r="I168" s="24">
        <v>4656.58</v>
      </c>
      <c r="J168" s="24">
        <v>4370.2</v>
      </c>
      <c r="K168" s="3">
        <v>45692</v>
      </c>
      <c r="L168" s="91">
        <v>45705</v>
      </c>
      <c r="M168" s="11">
        <v>45707</v>
      </c>
      <c r="N168" s="1" t="s">
        <v>588</v>
      </c>
      <c r="O168" s="35">
        <v>0</v>
      </c>
      <c r="P168"/>
      <c r="Q168" t="s">
        <v>55</v>
      </c>
      <c r="R168" t="s">
        <v>231</v>
      </c>
      <c r="S168" t="str">
        <f>IFERROR(VLOOKUP(Tabela1[[#This Row],[CC]],CC!$A$1:$H$403,8,0),"")</f>
        <v>OP1</v>
      </c>
    </row>
    <row r="169" spans="1:19" x14ac:dyDescent="0.3">
      <c r="A169" s="25">
        <v>1292</v>
      </c>
      <c r="B169" s="25" t="str">
        <f>IFERROR(VLOOKUP(Tabela1[[#This Row],[CC]],#REF!,5,0),"")</f>
        <v/>
      </c>
      <c r="C169" t="s">
        <v>32</v>
      </c>
      <c r="D169" t="s">
        <v>56</v>
      </c>
      <c r="E169" t="s">
        <v>266</v>
      </c>
      <c r="F169" t="s">
        <v>586</v>
      </c>
      <c r="G169" s="110">
        <v>3791</v>
      </c>
      <c r="H169" s="12">
        <v>45658</v>
      </c>
      <c r="I169" s="24">
        <v>61378.96</v>
      </c>
      <c r="J169" s="24">
        <v>57604.160000000003</v>
      </c>
      <c r="K169" s="3">
        <v>45692</v>
      </c>
      <c r="L169" s="91">
        <v>45705</v>
      </c>
      <c r="M169" s="11">
        <v>45708</v>
      </c>
      <c r="N169" s="1" t="s">
        <v>588</v>
      </c>
      <c r="O169" s="35">
        <v>0</v>
      </c>
      <c r="P169"/>
      <c r="Q169" t="s">
        <v>55</v>
      </c>
      <c r="R169" t="s">
        <v>231</v>
      </c>
      <c r="S169" t="str">
        <f>IFERROR(VLOOKUP(Tabela1[[#This Row],[CC]],CC!$A$1:$H$403,8,0),"")</f>
        <v>OP1</v>
      </c>
    </row>
    <row r="170" spans="1:19" x14ac:dyDescent="0.3">
      <c r="A170" s="25">
        <v>1292</v>
      </c>
      <c r="B170" s="25" t="str">
        <f>IFERROR(VLOOKUP(Tabela1[[#This Row],[CC]],#REF!,5,0),"")</f>
        <v/>
      </c>
      <c r="C170" t="s">
        <v>32</v>
      </c>
      <c r="D170" t="s">
        <v>56</v>
      </c>
      <c r="E170" t="s">
        <v>266</v>
      </c>
      <c r="F170" t="s">
        <v>586</v>
      </c>
      <c r="G170" s="110">
        <v>3790</v>
      </c>
      <c r="H170" s="12">
        <v>45658</v>
      </c>
      <c r="I170" s="24">
        <v>27048</v>
      </c>
      <c r="J170" s="24">
        <v>25384.55</v>
      </c>
      <c r="K170" s="3">
        <v>45693</v>
      </c>
      <c r="L170" s="91">
        <v>45705</v>
      </c>
      <c r="M170" s="11">
        <v>45708</v>
      </c>
      <c r="N170" s="1" t="s">
        <v>588</v>
      </c>
      <c r="O170" s="35">
        <v>0</v>
      </c>
      <c r="P170"/>
      <c r="Q170" t="s">
        <v>55</v>
      </c>
      <c r="R170" t="s">
        <v>231</v>
      </c>
      <c r="S170" t="str">
        <f>IFERROR(VLOOKUP(Tabela1[[#This Row],[CC]],CC!$A$1:$H$403,8,0),"")</f>
        <v>OP1</v>
      </c>
    </row>
    <row r="171" spans="1:19" x14ac:dyDescent="0.3">
      <c r="A171" s="25">
        <v>1292</v>
      </c>
      <c r="B171" s="25" t="str">
        <f>IFERROR(VLOOKUP(Tabela1[[#This Row],[CC]],#REF!,5,0),"")</f>
        <v/>
      </c>
      <c r="C171" t="s">
        <v>32</v>
      </c>
      <c r="D171" t="s">
        <v>56</v>
      </c>
      <c r="E171" t="s">
        <v>266</v>
      </c>
      <c r="F171" t="s">
        <v>586</v>
      </c>
      <c r="G171" s="110">
        <v>3789</v>
      </c>
      <c r="H171" s="12">
        <v>45658</v>
      </c>
      <c r="I171" s="24">
        <v>46853.99</v>
      </c>
      <c r="J171" s="24">
        <v>43972.47</v>
      </c>
      <c r="K171" s="3">
        <v>45692</v>
      </c>
      <c r="L171" s="91">
        <v>45705</v>
      </c>
      <c r="M171" s="11">
        <v>45708</v>
      </c>
      <c r="N171" s="1" t="s">
        <v>588</v>
      </c>
      <c r="O171" s="35">
        <v>0</v>
      </c>
      <c r="P171"/>
      <c r="Q171" t="s">
        <v>55</v>
      </c>
      <c r="R171" t="s">
        <v>231</v>
      </c>
      <c r="S171" t="str">
        <f>IFERROR(VLOOKUP(Tabela1[[#This Row],[CC]],CC!$A$1:$H$403,8,0),"")</f>
        <v>OP1</v>
      </c>
    </row>
    <row r="172" spans="1:19" x14ac:dyDescent="0.3">
      <c r="A172" s="25">
        <v>1484</v>
      </c>
      <c r="B172" s="25" t="str">
        <f>IFERROR(VLOOKUP(Tabela1[[#This Row],[CC]],#REF!,5,0),"")</f>
        <v/>
      </c>
      <c r="C172" t="s">
        <v>32</v>
      </c>
      <c r="D172" t="s">
        <v>56</v>
      </c>
      <c r="E172" t="s">
        <v>489</v>
      </c>
      <c r="F172" t="s">
        <v>586</v>
      </c>
      <c r="G172" s="110">
        <v>3795</v>
      </c>
      <c r="H172" s="12">
        <v>45658</v>
      </c>
      <c r="I172" s="24">
        <v>36570.74</v>
      </c>
      <c r="J172" s="24">
        <v>34321.64</v>
      </c>
      <c r="K172" s="3">
        <v>45694</v>
      </c>
      <c r="L172" s="91">
        <v>45705</v>
      </c>
      <c r="M172" s="11">
        <v>45709</v>
      </c>
      <c r="N172" s="1" t="s">
        <v>588</v>
      </c>
      <c r="O172" s="35">
        <v>0</v>
      </c>
      <c r="P172"/>
      <c r="Q172" t="s">
        <v>57</v>
      </c>
      <c r="R172" t="s">
        <v>231</v>
      </c>
      <c r="S172" t="str">
        <f>IFERROR(VLOOKUP(Tabela1[[#This Row],[CC]],CC!$A$1:$H$403,8,0),"")</f>
        <v>OP1</v>
      </c>
    </row>
    <row r="173" spans="1:19" x14ac:dyDescent="0.3">
      <c r="A173" s="25">
        <v>1484</v>
      </c>
      <c r="B173" s="25" t="str">
        <f>IFERROR(VLOOKUP(Tabela1[[#This Row],[CC]],#REF!,5,0),"")</f>
        <v/>
      </c>
      <c r="C173" t="s">
        <v>32</v>
      </c>
      <c r="D173" t="s">
        <v>56</v>
      </c>
      <c r="E173" t="s">
        <v>489</v>
      </c>
      <c r="F173" t="s">
        <v>586</v>
      </c>
      <c r="G173" s="110">
        <v>3785</v>
      </c>
      <c r="H173" s="12">
        <v>45658</v>
      </c>
      <c r="I173" s="24">
        <v>3864</v>
      </c>
      <c r="J173" s="24">
        <v>3626.36</v>
      </c>
      <c r="K173" s="3">
        <v>45692</v>
      </c>
      <c r="L173" s="91">
        <v>45705</v>
      </c>
      <c r="M173" s="11">
        <v>45707</v>
      </c>
      <c r="N173" s="1" t="s">
        <v>588</v>
      </c>
      <c r="O173" s="35">
        <v>0</v>
      </c>
      <c r="P173"/>
      <c r="Q173" t="s">
        <v>57</v>
      </c>
      <c r="R173" t="s">
        <v>231</v>
      </c>
      <c r="S173" t="str">
        <f>IFERROR(VLOOKUP(Tabela1[[#This Row],[CC]],CC!$A$1:$H$403,8,0),"")</f>
        <v>OP1</v>
      </c>
    </row>
    <row r="174" spans="1:19" x14ac:dyDescent="0.3">
      <c r="A174" s="25">
        <v>1398</v>
      </c>
      <c r="B174" s="25" t="str">
        <f>IFERROR(VLOOKUP(Tabela1[[#This Row],[CC]],#REF!,5,0),"")</f>
        <v/>
      </c>
      <c r="C174" t="s">
        <v>67</v>
      </c>
      <c r="D174" t="s">
        <v>42</v>
      </c>
      <c r="E174" t="s">
        <v>383</v>
      </c>
      <c r="F174" t="s">
        <v>586</v>
      </c>
      <c r="G174" s="107">
        <v>8203</v>
      </c>
      <c r="H174" s="12">
        <v>45658</v>
      </c>
      <c r="I174" s="27">
        <v>48000</v>
      </c>
      <c r="J174" s="27">
        <v>45048</v>
      </c>
      <c r="K174" s="3">
        <v>45691</v>
      </c>
      <c r="L174" s="91">
        <v>45740</v>
      </c>
      <c r="M174" s="11">
        <v>45743</v>
      </c>
      <c r="N174" s="18" t="s">
        <v>588</v>
      </c>
      <c r="O174" s="35">
        <v>0</v>
      </c>
      <c r="P174"/>
      <c r="Q174" t="s">
        <v>58</v>
      </c>
      <c r="R174" t="s">
        <v>183</v>
      </c>
      <c r="S174" t="str">
        <f>IFERROR(VLOOKUP(Tabela1[[#This Row],[CC]],CC!$A$1:$H$403,8,0),"")</f>
        <v>OP2</v>
      </c>
    </row>
    <row r="175" spans="1:19" x14ac:dyDescent="0.3">
      <c r="A175" s="25">
        <v>1398</v>
      </c>
      <c r="B175" s="25" t="str">
        <f>IFERROR(VLOOKUP(Tabela1[[#This Row],[CC]],#REF!,5,0),"")</f>
        <v/>
      </c>
      <c r="C175" t="s">
        <v>67</v>
      </c>
      <c r="D175" t="s">
        <v>42</v>
      </c>
      <c r="E175" t="s">
        <v>383</v>
      </c>
      <c r="F175" t="s">
        <v>586</v>
      </c>
      <c r="G175" s="107">
        <v>8219</v>
      </c>
      <c r="H175" s="12">
        <v>45658</v>
      </c>
      <c r="I175" s="27">
        <v>38223.89</v>
      </c>
      <c r="J175" s="24">
        <v>34726.400000000001</v>
      </c>
      <c r="K175" s="3">
        <v>45702</v>
      </c>
      <c r="L175" s="91">
        <v>45761</v>
      </c>
      <c r="M175" s="11">
        <v>45762</v>
      </c>
      <c r="N175" s="18" t="s">
        <v>588</v>
      </c>
      <c r="O175" s="35">
        <v>0</v>
      </c>
      <c r="P175"/>
      <c r="Q175" t="s">
        <v>58</v>
      </c>
      <c r="R175" t="s">
        <v>183</v>
      </c>
      <c r="S175" t="str">
        <f>IFERROR(VLOOKUP(Tabela1[[#This Row],[CC]],CC!$A$1:$H$403,8,0),"")</f>
        <v>OP2</v>
      </c>
    </row>
    <row r="176" spans="1:19" x14ac:dyDescent="0.3">
      <c r="A176" s="25">
        <v>1398</v>
      </c>
      <c r="B176" s="25" t="str">
        <f>IFERROR(VLOOKUP(Tabela1[[#This Row],[CC]],#REF!,5,0),"")</f>
        <v/>
      </c>
      <c r="C176" t="s">
        <v>67</v>
      </c>
      <c r="D176" t="s">
        <v>42</v>
      </c>
      <c r="E176" t="s">
        <v>383</v>
      </c>
      <c r="F176" t="s">
        <v>586</v>
      </c>
      <c r="G176" s="107">
        <v>8218</v>
      </c>
      <c r="H176" s="12">
        <v>45658</v>
      </c>
      <c r="I176" s="27">
        <v>11210.79</v>
      </c>
      <c r="J176" s="24">
        <v>10521.33</v>
      </c>
      <c r="K176" s="3">
        <v>45702</v>
      </c>
      <c r="L176" s="91">
        <v>45761</v>
      </c>
      <c r="M176" s="11">
        <v>45762</v>
      </c>
      <c r="N176" s="18" t="s">
        <v>588</v>
      </c>
      <c r="O176" s="35">
        <v>0</v>
      </c>
      <c r="P176"/>
      <c r="Q176" t="s">
        <v>58</v>
      </c>
      <c r="R176" t="s">
        <v>183</v>
      </c>
      <c r="S176" t="str">
        <f>IFERROR(VLOOKUP(Tabela1[[#This Row],[CC]],CC!$A$1:$H$403,8,0),"")</f>
        <v>OP2</v>
      </c>
    </row>
    <row r="177" spans="1:21" x14ac:dyDescent="0.3">
      <c r="A177" s="25">
        <v>1398</v>
      </c>
      <c r="B177" s="25" t="str">
        <f>IFERROR(VLOOKUP(Tabela1[[#This Row],[CC]],#REF!,5,0),"")</f>
        <v/>
      </c>
      <c r="C177" t="s">
        <v>67</v>
      </c>
      <c r="D177" t="s">
        <v>42</v>
      </c>
      <c r="E177" t="s">
        <v>383</v>
      </c>
      <c r="F177" t="s">
        <v>586</v>
      </c>
      <c r="G177" s="107">
        <v>8221</v>
      </c>
      <c r="H177" s="15">
        <v>45658</v>
      </c>
      <c r="I177" s="27">
        <v>13110.33</v>
      </c>
      <c r="J177" s="43">
        <v>12304.04</v>
      </c>
      <c r="K177" s="52">
        <v>45706</v>
      </c>
      <c r="L177" s="91">
        <v>45796</v>
      </c>
      <c r="M177" s="11">
        <v>45800</v>
      </c>
      <c r="N177" s="18" t="s">
        <v>588</v>
      </c>
      <c r="O177" s="35">
        <v>0</v>
      </c>
      <c r="P177"/>
      <c r="Q177" t="s">
        <v>58</v>
      </c>
      <c r="R177" t="s">
        <v>183</v>
      </c>
      <c r="S177" t="str">
        <f>IFERROR(VLOOKUP(Tabela1[[#This Row],[CC]],CC!$A$1:$H$403,8,0),"")</f>
        <v>OP2</v>
      </c>
    </row>
    <row r="178" spans="1:21" x14ac:dyDescent="0.3">
      <c r="A178" s="8">
        <v>1393</v>
      </c>
      <c r="B178" s="8" t="str">
        <f>IFERROR(VLOOKUP(Tabela1[[#This Row],[CC]],#REF!,5,0),"")</f>
        <v/>
      </c>
      <c r="C178" t="s">
        <v>70</v>
      </c>
      <c r="D178" t="str">
        <f>IFERROR(VLOOKUP(Tabela1[[#This Row],[CC]],CC!$A$1:$I$3869,3,0),"")</f>
        <v xml:space="preserve">DETRAN-BA </v>
      </c>
      <c r="E178" t="s">
        <v>377</v>
      </c>
      <c r="F178" t="s">
        <v>586</v>
      </c>
      <c r="G178" s="110">
        <v>8211</v>
      </c>
      <c r="H178" s="12">
        <v>45658</v>
      </c>
      <c r="I178" s="10">
        <v>432751.13</v>
      </c>
      <c r="J178" s="10">
        <v>388177.77</v>
      </c>
      <c r="K178" s="3">
        <v>45700</v>
      </c>
      <c r="L178" s="93">
        <v>45719</v>
      </c>
      <c r="M178" s="5">
        <v>45721</v>
      </c>
      <c r="N178" s="18" t="s">
        <v>588</v>
      </c>
      <c r="O178" s="34">
        <v>0</v>
      </c>
      <c r="P178" s="14"/>
      <c r="Q178" t="s">
        <v>58</v>
      </c>
      <c r="R178" t="s">
        <v>195</v>
      </c>
      <c r="S178" t="str">
        <f>IFERROR(VLOOKUP(Tabela1[[#This Row],[CC]],CC!$A$1:$H$403,8,0),"")</f>
        <v>OP4</v>
      </c>
    </row>
    <row r="179" spans="1:21" x14ac:dyDescent="0.3">
      <c r="A179" s="8">
        <v>1476</v>
      </c>
      <c r="B179" s="8" t="str">
        <f>IFERROR(VLOOKUP(Tabela1[[#This Row],[CC]],#REF!,5,0),"")</f>
        <v/>
      </c>
      <c r="C179" t="s">
        <v>70</v>
      </c>
      <c r="D179" t="s">
        <v>26</v>
      </c>
      <c r="E179" t="s">
        <v>481</v>
      </c>
      <c r="F179" t="s">
        <v>586</v>
      </c>
      <c r="G179" s="110">
        <v>8238</v>
      </c>
      <c r="H179" s="12">
        <v>45658</v>
      </c>
      <c r="I179" s="24">
        <v>318628.40000000002</v>
      </c>
      <c r="J179" s="10">
        <v>285809.68</v>
      </c>
      <c r="K179" s="3">
        <v>45726</v>
      </c>
      <c r="L179" s="91">
        <v>45733</v>
      </c>
      <c r="M179" s="5">
        <v>45736</v>
      </c>
      <c r="N179" s="21" t="s">
        <v>588</v>
      </c>
      <c r="O179" s="34"/>
      <c r="P179" s="14"/>
      <c r="Q179" t="s">
        <v>58</v>
      </c>
      <c r="R179" t="s">
        <v>195</v>
      </c>
      <c r="S179" t="str">
        <f>IFERROR(VLOOKUP(Tabela1[[#This Row],[CC]],CC!$A$1:$H$403,8,0),"")</f>
        <v>OP4</v>
      </c>
    </row>
    <row r="180" spans="1:21" x14ac:dyDescent="0.3">
      <c r="A180" s="25">
        <v>1296</v>
      </c>
      <c r="B180" s="25" t="str">
        <f>IFERROR(VLOOKUP(Tabela1[[#This Row],[CC]],#REF!,5,0),"")</f>
        <v/>
      </c>
      <c r="C180" t="s">
        <v>66</v>
      </c>
      <c r="D180" t="s">
        <v>16</v>
      </c>
      <c r="E180" t="s">
        <v>271</v>
      </c>
      <c r="F180" t="s">
        <v>586</v>
      </c>
      <c r="G180" s="110">
        <v>1217</v>
      </c>
      <c r="H180" s="12">
        <v>45658</v>
      </c>
      <c r="I180" s="24">
        <v>302420.71000000002</v>
      </c>
      <c r="J180" s="24">
        <v>273237.12</v>
      </c>
      <c r="K180" s="3">
        <v>45694</v>
      </c>
      <c r="L180" s="91">
        <v>45712</v>
      </c>
      <c r="M180" s="29">
        <v>45712</v>
      </c>
      <c r="N180" s="18" t="s">
        <v>588</v>
      </c>
      <c r="O180" s="41"/>
      <c r="P180" s="26"/>
      <c r="Q180" t="s">
        <v>58</v>
      </c>
      <c r="R180" t="s">
        <v>183</v>
      </c>
      <c r="S180" t="str">
        <f>IFERROR(VLOOKUP(Tabela1[[#This Row],[CC]],CC!$A$1:$H$403,8,0),"")</f>
        <v>OP2</v>
      </c>
    </row>
    <row r="181" spans="1:21" x14ac:dyDescent="0.3">
      <c r="A181" s="25">
        <v>1296</v>
      </c>
      <c r="B181" s="25" t="str">
        <f>IFERROR(VLOOKUP(Tabela1[[#This Row],[CC]],#REF!,5,0),"")</f>
        <v/>
      </c>
      <c r="C181" t="s">
        <v>66</v>
      </c>
      <c r="D181" t="s">
        <v>16</v>
      </c>
      <c r="E181" t="s">
        <v>271</v>
      </c>
      <c r="F181" t="s">
        <v>586</v>
      </c>
      <c r="G181" s="110">
        <v>1216</v>
      </c>
      <c r="H181" s="12">
        <v>45658</v>
      </c>
      <c r="I181" s="24">
        <v>462378.86</v>
      </c>
      <c r="J181" s="24">
        <v>417759.3</v>
      </c>
      <c r="K181" s="3">
        <v>45694</v>
      </c>
      <c r="L181" s="93">
        <v>45726</v>
      </c>
      <c r="M181" s="29">
        <v>45728</v>
      </c>
      <c r="N181" s="18" t="s">
        <v>588</v>
      </c>
      <c r="O181" s="41"/>
      <c r="P181" s="26"/>
      <c r="Q181" t="s">
        <v>58</v>
      </c>
      <c r="R181" t="s">
        <v>183</v>
      </c>
      <c r="S181" t="str">
        <f>IFERROR(VLOOKUP(Tabela1[[#This Row],[CC]],CC!$A$1:$H$403,8,0),"")</f>
        <v>OP2</v>
      </c>
    </row>
    <row r="182" spans="1:21" x14ac:dyDescent="0.3">
      <c r="A182" s="8">
        <v>1300</v>
      </c>
      <c r="B182" s="8" t="str">
        <f>IFERROR(VLOOKUP(Tabela1[[#This Row],[CC]],#REF!,5,0),"")</f>
        <v/>
      </c>
      <c r="C182" t="s">
        <v>66</v>
      </c>
      <c r="D182" t="s">
        <v>16</v>
      </c>
      <c r="E182" t="s">
        <v>275</v>
      </c>
      <c r="F182" t="s">
        <v>586</v>
      </c>
      <c r="G182" s="110">
        <v>8210</v>
      </c>
      <c r="H182" s="12">
        <v>45658</v>
      </c>
      <c r="I182" s="10">
        <v>35127.120000000003</v>
      </c>
      <c r="J182" s="10">
        <v>31737.35</v>
      </c>
      <c r="K182" s="3">
        <v>45699</v>
      </c>
      <c r="L182" s="93">
        <v>45726</v>
      </c>
      <c r="M182" s="5">
        <v>45729</v>
      </c>
      <c r="N182" s="36" t="s">
        <v>588</v>
      </c>
      <c r="O182" s="37">
        <v>0</v>
      </c>
      <c r="P182" s="14"/>
      <c r="Q182" t="s">
        <v>58</v>
      </c>
      <c r="R182" t="s">
        <v>183</v>
      </c>
      <c r="S182" t="str">
        <f>IFERROR(VLOOKUP(Tabela1[[#This Row],[CC]],CC!$A$1:$H$403,8,0),"")</f>
        <v>OP2</v>
      </c>
    </row>
    <row r="183" spans="1:21" x14ac:dyDescent="0.3">
      <c r="A183" s="8">
        <v>1300</v>
      </c>
      <c r="B183" s="8" t="str">
        <f>IFERROR(VLOOKUP(Tabela1[[#This Row],[CC]],#REF!,5,0),"")</f>
        <v/>
      </c>
      <c r="C183" t="s">
        <v>66</v>
      </c>
      <c r="D183" t="s">
        <v>16</v>
      </c>
      <c r="E183" t="s">
        <v>275</v>
      </c>
      <c r="F183" t="s">
        <v>586</v>
      </c>
      <c r="G183" s="110">
        <v>1219</v>
      </c>
      <c r="H183" s="12">
        <v>45658</v>
      </c>
      <c r="I183" s="10">
        <v>305125.3</v>
      </c>
      <c r="J183" s="10">
        <v>275680.71000000002</v>
      </c>
      <c r="K183" s="3">
        <v>45700</v>
      </c>
      <c r="L183" s="91">
        <v>45726</v>
      </c>
      <c r="M183" s="5">
        <v>45730</v>
      </c>
      <c r="N183" s="36" t="s">
        <v>588</v>
      </c>
      <c r="O183" s="37">
        <v>0</v>
      </c>
      <c r="P183" s="14"/>
      <c r="Q183" t="s">
        <v>58</v>
      </c>
      <c r="R183" t="s">
        <v>183</v>
      </c>
      <c r="S183" t="str">
        <f>IFERROR(VLOOKUP(Tabela1[[#This Row],[CC]],CC!$A$1:$H$403,8,0),"")</f>
        <v>OP2</v>
      </c>
    </row>
    <row r="184" spans="1:21" x14ac:dyDescent="0.3">
      <c r="A184" s="25">
        <v>1290</v>
      </c>
      <c r="B184" s="25" t="str">
        <f>IFERROR(VLOOKUP(Tabela1[[#This Row],[CC]],#REF!,5,0),"")</f>
        <v/>
      </c>
      <c r="C184" t="s">
        <v>70</v>
      </c>
      <c r="D184" t="s">
        <v>20</v>
      </c>
      <c r="E184" t="s">
        <v>264</v>
      </c>
      <c r="F184" t="s">
        <v>586</v>
      </c>
      <c r="G184" s="110">
        <v>8204</v>
      </c>
      <c r="H184" s="12">
        <v>45658</v>
      </c>
      <c r="I184" s="48">
        <v>53175.27</v>
      </c>
      <c r="J184" s="24">
        <v>46980.35</v>
      </c>
      <c r="K184" s="3">
        <v>45692</v>
      </c>
      <c r="L184" s="91">
        <v>45719</v>
      </c>
      <c r="M184" s="11">
        <v>45723</v>
      </c>
      <c r="N184" s="21" t="s">
        <v>588</v>
      </c>
      <c r="O184" s="35">
        <v>0</v>
      </c>
      <c r="P184" s="26"/>
      <c r="Q184" t="s">
        <v>58</v>
      </c>
      <c r="R184" t="s">
        <v>183</v>
      </c>
      <c r="S184" t="str">
        <f>IFERROR(VLOOKUP(Tabela1[[#This Row],[CC]],CC!$A$1:$H$403,8,0),"")</f>
        <v>OP4</v>
      </c>
    </row>
    <row r="185" spans="1:21" x14ac:dyDescent="0.3">
      <c r="A185" s="25">
        <v>1490</v>
      </c>
      <c r="B185" s="25" t="str">
        <f>IFERROR(VLOOKUP(Tabela1[[#This Row],[CC]],#REF!,5,0),"")</f>
        <v/>
      </c>
      <c r="C185" t="s">
        <v>70</v>
      </c>
      <c r="D185" t="s">
        <v>20</v>
      </c>
      <c r="E185" t="s">
        <v>495</v>
      </c>
      <c r="F185" t="s">
        <v>586</v>
      </c>
      <c r="G185" s="110">
        <v>8207</v>
      </c>
      <c r="H185" s="12">
        <v>45658</v>
      </c>
      <c r="I185" s="48">
        <v>690</v>
      </c>
      <c r="J185" s="48">
        <v>609.61</v>
      </c>
      <c r="K185" s="3">
        <v>45698</v>
      </c>
      <c r="L185" s="91">
        <v>45726</v>
      </c>
      <c r="M185" s="11">
        <v>45728</v>
      </c>
      <c r="N185" s="21" t="s">
        <v>588</v>
      </c>
      <c r="O185" s="35">
        <v>0</v>
      </c>
      <c r="P185" s="26"/>
      <c r="Q185" t="s">
        <v>58</v>
      </c>
      <c r="R185" t="s">
        <v>183</v>
      </c>
      <c r="S185" t="str">
        <f>IFERROR(VLOOKUP(Tabela1[[#This Row],[CC]],CC!$A$1:$H$403,8,0),"")</f>
        <v>OP4</v>
      </c>
    </row>
    <row r="186" spans="1:21" x14ac:dyDescent="0.3">
      <c r="A186" s="8">
        <v>1475</v>
      </c>
      <c r="B186" s="8" t="str">
        <f>IFERROR(VLOOKUP(Tabela1[[#This Row],[CC]],#REF!,5,0),"")</f>
        <v/>
      </c>
      <c r="C186" t="s">
        <v>60</v>
      </c>
      <c r="D186" t="s">
        <v>35</v>
      </c>
      <c r="E186" t="s">
        <v>480</v>
      </c>
      <c r="F186" t="s">
        <v>586</v>
      </c>
      <c r="G186" s="110">
        <v>8206</v>
      </c>
      <c r="H186" s="12">
        <v>45658</v>
      </c>
      <c r="I186" s="10">
        <v>67387.39</v>
      </c>
      <c r="J186" s="10">
        <v>60446.49</v>
      </c>
      <c r="K186" s="3">
        <v>45694</v>
      </c>
      <c r="L186" s="91">
        <v>45705</v>
      </c>
      <c r="M186" s="11">
        <v>45709</v>
      </c>
      <c r="N186" s="18" t="s">
        <v>588</v>
      </c>
      <c r="O186" s="34">
        <v>0</v>
      </c>
      <c r="P186"/>
      <c r="Q186" t="s">
        <v>55</v>
      </c>
      <c r="R186" t="s">
        <v>195</v>
      </c>
      <c r="S186" t="str">
        <f>IFERROR(VLOOKUP(Tabela1[[#This Row],[CC]],CC!$A$1:$H$403,8,0),"")</f>
        <v>OP3</v>
      </c>
    </row>
    <row r="187" spans="1:21" x14ac:dyDescent="0.3">
      <c r="A187" s="8">
        <v>1472</v>
      </c>
      <c r="B187" s="8" t="str">
        <f>IFERROR(VLOOKUP(Tabela1[[#This Row],[CC]],#REF!,5,0),"")</f>
        <v/>
      </c>
      <c r="C187" t="s">
        <v>32</v>
      </c>
      <c r="D187" t="s">
        <v>21</v>
      </c>
      <c r="E187" t="s">
        <v>477</v>
      </c>
      <c r="F187" t="s">
        <v>586</v>
      </c>
      <c r="G187" s="110">
        <v>3783</v>
      </c>
      <c r="H187" s="12">
        <v>45658</v>
      </c>
      <c r="I187" s="10">
        <v>107611.2</v>
      </c>
      <c r="J187" s="24">
        <v>100993.11</v>
      </c>
      <c r="K187" s="3">
        <v>45691</v>
      </c>
      <c r="L187" s="91">
        <v>45698</v>
      </c>
      <c r="M187" s="11">
        <v>45699</v>
      </c>
      <c r="N187" s="18" t="s">
        <v>588</v>
      </c>
      <c r="O187" s="37"/>
      <c r="P187" s="14"/>
      <c r="Q187" t="s">
        <v>57</v>
      </c>
      <c r="R187" t="s">
        <v>231</v>
      </c>
      <c r="S187" t="str">
        <f>IFERROR(VLOOKUP(Tabela1[[#This Row],[CC]],CC!$A$1:$H$403,8,0),"")</f>
        <v>OP1</v>
      </c>
    </row>
    <row r="188" spans="1:21" x14ac:dyDescent="0.3">
      <c r="A188" s="8">
        <v>1378</v>
      </c>
      <c r="B188" s="8" t="str">
        <f>IFERROR(VLOOKUP(Tabela1[[#This Row],[CC]],#REF!,5,0),"")</f>
        <v/>
      </c>
      <c r="C188" t="s">
        <v>51</v>
      </c>
      <c r="D188" t="s">
        <v>5</v>
      </c>
      <c r="E188" t="s">
        <v>361</v>
      </c>
      <c r="F188" t="s">
        <v>586</v>
      </c>
      <c r="G188" s="110">
        <v>8224</v>
      </c>
      <c r="H188" s="12">
        <v>45658</v>
      </c>
      <c r="I188" s="10">
        <v>4281.29</v>
      </c>
      <c r="J188" s="10">
        <v>4017.99</v>
      </c>
      <c r="K188" s="3">
        <v>45709</v>
      </c>
      <c r="L188" s="91">
        <v>45733</v>
      </c>
      <c r="M188" s="5">
        <v>45735</v>
      </c>
      <c r="N188" s="18" t="s">
        <v>588</v>
      </c>
      <c r="O188" s="34">
        <v>0</v>
      </c>
      <c r="P188"/>
      <c r="Q188" t="s">
        <v>57</v>
      </c>
      <c r="R188" t="s">
        <v>231</v>
      </c>
      <c r="S188" t="str">
        <f>IFERROR(VLOOKUP(Tabela1[[#This Row],[CC]],CC!$A$1:$H$403,8,0),"")</f>
        <v>OP2</v>
      </c>
      <c r="T188" t="s">
        <v>1</v>
      </c>
      <c r="U188" t="s">
        <v>2</v>
      </c>
    </row>
    <row r="189" spans="1:21" x14ac:dyDescent="0.3">
      <c r="A189" s="8">
        <v>1247</v>
      </c>
      <c r="B189" s="8" t="str">
        <f>IFERROR(VLOOKUP(Tabela1[[#This Row],[CC]],#REF!,5,0),"")</f>
        <v/>
      </c>
      <c r="C189" t="s">
        <v>70</v>
      </c>
      <c r="D189" t="s">
        <v>14</v>
      </c>
      <c r="E189" t="s">
        <v>214</v>
      </c>
      <c r="F189" t="s">
        <v>586</v>
      </c>
      <c r="G189" s="110">
        <v>8196</v>
      </c>
      <c r="H189" s="12">
        <v>45658</v>
      </c>
      <c r="I189" s="24">
        <v>38395.360000000001</v>
      </c>
      <c r="J189" s="24">
        <v>34440.629999999997</v>
      </c>
      <c r="K189" s="3">
        <v>45691</v>
      </c>
      <c r="L189" s="91">
        <v>45712</v>
      </c>
      <c r="M189" s="11">
        <v>45712</v>
      </c>
      <c r="N189" s="18" t="s">
        <v>588</v>
      </c>
      <c r="O189" s="34">
        <v>0</v>
      </c>
      <c r="P189"/>
      <c r="Q189" t="s">
        <v>58</v>
      </c>
      <c r="R189" t="s">
        <v>195</v>
      </c>
      <c r="S189" t="str">
        <f>IFERROR(VLOOKUP(Tabela1[[#This Row],[CC]],CC!$A$1:$H$403,8,0),"")</f>
        <v>OP4</v>
      </c>
    </row>
    <row r="190" spans="1:21" x14ac:dyDescent="0.3">
      <c r="A190" s="25">
        <v>1358</v>
      </c>
      <c r="B190" s="25" t="str">
        <f>IFERROR(VLOOKUP(Tabela1[[#This Row],[CC]],#REF!,5,0),"")</f>
        <v/>
      </c>
      <c r="C190" t="s">
        <v>70</v>
      </c>
      <c r="D190" t="s">
        <v>12</v>
      </c>
      <c r="E190" t="s">
        <v>335</v>
      </c>
      <c r="F190" t="s">
        <v>586</v>
      </c>
      <c r="G190" s="110">
        <v>8209</v>
      </c>
      <c r="H190" s="12">
        <v>45658</v>
      </c>
      <c r="I190" s="24">
        <v>9420.94</v>
      </c>
      <c r="J190" s="24">
        <v>8450.58</v>
      </c>
      <c r="K190" s="3">
        <v>45698</v>
      </c>
      <c r="L190" s="91">
        <v>45733</v>
      </c>
      <c r="M190" s="11">
        <v>45735</v>
      </c>
      <c r="N190" s="18" t="s">
        <v>588</v>
      </c>
      <c r="O190" s="35">
        <v>0</v>
      </c>
      <c r="P190"/>
      <c r="Q190" t="s">
        <v>58</v>
      </c>
      <c r="R190" t="s">
        <v>195</v>
      </c>
      <c r="S190" t="str">
        <f>IFERROR(VLOOKUP(Tabela1[[#This Row],[CC]],CC!$A$1:$H$403,8,0),"")</f>
        <v>OP4</v>
      </c>
    </row>
    <row r="191" spans="1:21" x14ac:dyDescent="0.3">
      <c r="A191" s="25">
        <v>1358</v>
      </c>
      <c r="B191" s="25" t="str">
        <f>IFERROR(VLOOKUP(Tabela1[[#This Row],[CC]],#REF!,5,0),"")</f>
        <v/>
      </c>
      <c r="C191" t="s">
        <v>70</v>
      </c>
      <c r="D191" t="s">
        <v>12</v>
      </c>
      <c r="E191" t="s">
        <v>335</v>
      </c>
      <c r="F191" t="s">
        <v>586</v>
      </c>
      <c r="G191" s="110">
        <v>8208</v>
      </c>
      <c r="H191" s="12">
        <v>45658</v>
      </c>
      <c r="I191" s="24">
        <v>85164.92</v>
      </c>
      <c r="J191" s="24">
        <v>76392.929999999993</v>
      </c>
      <c r="K191" s="3">
        <v>45698</v>
      </c>
      <c r="L191" s="91">
        <v>45726</v>
      </c>
      <c r="M191" s="11">
        <v>45727</v>
      </c>
      <c r="N191" s="18" t="s">
        <v>588</v>
      </c>
      <c r="O191" s="35">
        <v>0</v>
      </c>
      <c r="P191"/>
      <c r="Q191" t="s">
        <v>58</v>
      </c>
      <c r="R191" t="s">
        <v>195</v>
      </c>
      <c r="S191" t="str">
        <f>IFERROR(VLOOKUP(Tabela1[[#This Row],[CC]],CC!$A$1:$H$403,8,0),"")</f>
        <v>OP4</v>
      </c>
    </row>
    <row r="192" spans="1:21" x14ac:dyDescent="0.3">
      <c r="A192" s="8">
        <v>1473</v>
      </c>
      <c r="B192" s="8" t="str">
        <f>IFERROR(VLOOKUP(Tabela1[[#This Row],[CC]],#REF!,5,0),"")</f>
        <v/>
      </c>
      <c r="C192" t="s">
        <v>70</v>
      </c>
      <c r="D192" t="s">
        <v>63</v>
      </c>
      <c r="E192" t="s">
        <v>478</v>
      </c>
      <c r="F192" t="s">
        <v>586</v>
      </c>
      <c r="G192" s="110">
        <v>8255</v>
      </c>
      <c r="H192" s="12">
        <v>45658</v>
      </c>
      <c r="I192" s="24">
        <v>224851.18</v>
      </c>
      <c r="J192" s="24">
        <v>208496.65</v>
      </c>
      <c r="K192" s="3">
        <v>45733</v>
      </c>
      <c r="L192" s="91">
        <v>45747</v>
      </c>
      <c r="M192" s="11">
        <v>45747</v>
      </c>
      <c r="N192" s="18" t="s">
        <v>588</v>
      </c>
      <c r="O192" s="34">
        <v>0</v>
      </c>
      <c r="P192"/>
      <c r="Q192" t="s">
        <v>58</v>
      </c>
      <c r="R192" t="s">
        <v>195</v>
      </c>
      <c r="S192" t="str">
        <f>IFERROR(VLOOKUP(Tabela1[[#This Row],[CC]],CC!$A$1:$H$403,8,0),"")</f>
        <v>OP4</v>
      </c>
    </row>
    <row r="193" spans="1:19" x14ac:dyDescent="0.3">
      <c r="A193" s="25">
        <v>1462</v>
      </c>
      <c r="B193" s="25" t="str">
        <f>IFERROR(VLOOKUP(Tabela1[[#This Row],[CC]],#REF!,5,0),"")</f>
        <v/>
      </c>
      <c r="C193" t="s">
        <v>67</v>
      </c>
      <c r="D193" t="s">
        <v>76</v>
      </c>
      <c r="E193" t="s">
        <v>465</v>
      </c>
      <c r="F193" t="s">
        <v>586</v>
      </c>
      <c r="G193" s="110">
        <v>8201</v>
      </c>
      <c r="H193" s="12">
        <v>45658</v>
      </c>
      <c r="I193" s="24">
        <v>800</v>
      </c>
      <c r="J193" s="24">
        <v>750.8</v>
      </c>
      <c r="K193" s="3">
        <v>45691</v>
      </c>
      <c r="L193" s="91">
        <v>45691</v>
      </c>
      <c r="M193" s="11">
        <v>45695</v>
      </c>
      <c r="N193" s="18" t="s">
        <v>588</v>
      </c>
      <c r="O193" s="35">
        <v>0</v>
      </c>
      <c r="P193" s="26"/>
      <c r="Q193" t="s">
        <v>58</v>
      </c>
      <c r="R193" t="s">
        <v>228</v>
      </c>
      <c r="S193" t="str">
        <f>IFERROR(VLOOKUP(Tabela1[[#This Row],[CC]],CC!$A$1:$H$403,8,0),"")</f>
        <v>OP2</v>
      </c>
    </row>
    <row r="194" spans="1:19" x14ac:dyDescent="0.3">
      <c r="A194" s="8">
        <v>1390</v>
      </c>
      <c r="B194" s="8" t="str">
        <f>IFERROR(VLOOKUP(Tabela1[[#This Row],[CC]],#REF!,5,0),"")</f>
        <v/>
      </c>
      <c r="C194" t="s">
        <v>66</v>
      </c>
      <c r="D194" t="s">
        <v>11</v>
      </c>
      <c r="E194" t="s">
        <v>374</v>
      </c>
      <c r="F194" t="s">
        <v>586</v>
      </c>
      <c r="G194" s="110">
        <v>1220</v>
      </c>
      <c r="H194" s="12">
        <v>45627</v>
      </c>
      <c r="I194" s="24">
        <v>191297.11</v>
      </c>
      <c r="J194" s="24">
        <v>169010.99</v>
      </c>
      <c r="K194" s="3">
        <v>45701</v>
      </c>
      <c r="L194" s="91">
        <v>45866</v>
      </c>
      <c r="M194" s="11">
        <v>45866</v>
      </c>
      <c r="N194" s="18" t="s">
        <v>588</v>
      </c>
      <c r="O194" s="38"/>
      <c r="P194" s="14"/>
      <c r="Q194" t="s">
        <v>58</v>
      </c>
      <c r="R194" t="s">
        <v>183</v>
      </c>
      <c r="S194" t="str">
        <f>IFERROR(VLOOKUP(Tabela1[[#This Row],[CC]],CC!$A$1:$H$403,8,0),"")</f>
        <v>OP2</v>
      </c>
    </row>
    <row r="195" spans="1:19" x14ac:dyDescent="0.3">
      <c r="A195" s="13">
        <v>1260</v>
      </c>
      <c r="B195" s="13" t="str">
        <f>IFERROR(VLOOKUP(Tabela1[[#This Row],[CC]],#REF!,5,0),"")</f>
        <v/>
      </c>
      <c r="C195" t="s">
        <v>51</v>
      </c>
      <c r="D195" t="s">
        <v>39</v>
      </c>
      <c r="E195" t="s">
        <v>227</v>
      </c>
      <c r="F195" t="s">
        <v>586</v>
      </c>
      <c r="G195" s="110">
        <v>3784</v>
      </c>
      <c r="H195" s="12">
        <v>45658</v>
      </c>
      <c r="I195" s="24">
        <v>10395</v>
      </c>
      <c r="J195" s="48">
        <v>9755.7000000000007</v>
      </c>
      <c r="K195" s="3">
        <v>45692</v>
      </c>
      <c r="L195" s="91">
        <v>45712</v>
      </c>
      <c r="M195" s="11">
        <v>45714</v>
      </c>
      <c r="N195" s="19" t="s">
        <v>588</v>
      </c>
      <c r="O195" s="34">
        <v>0</v>
      </c>
      <c r="P195"/>
      <c r="Q195" t="s">
        <v>55</v>
      </c>
      <c r="R195" t="s">
        <v>228</v>
      </c>
      <c r="S195" t="str">
        <f>IFERROR(VLOOKUP(Tabela1[[#This Row],[CC]],CC!$A$1:$H$403,8,0),"")</f>
        <v>OP2</v>
      </c>
    </row>
    <row r="196" spans="1:19" x14ac:dyDescent="0.3">
      <c r="A196" s="25">
        <v>1487</v>
      </c>
      <c r="B196" s="25" t="str">
        <f>IFERROR(VLOOKUP(Tabela1[[#This Row],[CC]],#REF!,5,0),"")</f>
        <v/>
      </c>
      <c r="C196" t="s">
        <v>51</v>
      </c>
      <c r="D196" t="s">
        <v>23</v>
      </c>
      <c r="E196" t="s">
        <v>492</v>
      </c>
      <c r="F196" t="s">
        <v>586</v>
      </c>
      <c r="G196" s="110">
        <v>3781</v>
      </c>
      <c r="H196" s="12">
        <v>45658</v>
      </c>
      <c r="I196" s="24">
        <v>24960</v>
      </c>
      <c r="J196" s="24">
        <v>23424.959999999999</v>
      </c>
      <c r="K196" s="3">
        <v>45691</v>
      </c>
      <c r="L196" s="91">
        <v>45705</v>
      </c>
      <c r="M196" s="11">
        <v>45707</v>
      </c>
      <c r="N196" s="18" t="s">
        <v>588</v>
      </c>
      <c r="O196" s="35">
        <v>0</v>
      </c>
      <c r="P196" s="26"/>
      <c r="Q196" t="s">
        <v>57</v>
      </c>
      <c r="R196" t="s">
        <v>231</v>
      </c>
      <c r="S196" t="str">
        <f>IFERROR(VLOOKUP(Tabela1[[#This Row],[CC]],CC!$A$1:$H$403,8,0),"")</f>
        <v>OP2</v>
      </c>
    </row>
    <row r="197" spans="1:19" x14ac:dyDescent="0.3">
      <c r="A197" s="25">
        <v>1487</v>
      </c>
      <c r="B197" s="25" t="str">
        <f>IFERROR(VLOOKUP(Tabela1[[#This Row],[CC]],#REF!,5,0),"")</f>
        <v/>
      </c>
      <c r="C197" t="s">
        <v>51</v>
      </c>
      <c r="D197" t="s">
        <v>23</v>
      </c>
      <c r="E197" t="s">
        <v>492</v>
      </c>
      <c r="F197" t="s">
        <v>586</v>
      </c>
      <c r="G197" s="110">
        <v>3780</v>
      </c>
      <c r="H197" s="12">
        <v>45658</v>
      </c>
      <c r="I197" s="24">
        <v>47838</v>
      </c>
      <c r="J197" s="24">
        <v>44895.96</v>
      </c>
      <c r="K197" s="3">
        <v>45691</v>
      </c>
      <c r="L197" s="91">
        <v>45719</v>
      </c>
      <c r="M197" s="11">
        <v>45721</v>
      </c>
      <c r="N197" s="18" t="s">
        <v>588</v>
      </c>
      <c r="O197" s="35">
        <v>0</v>
      </c>
      <c r="P197" s="26"/>
      <c r="Q197" t="s">
        <v>57</v>
      </c>
      <c r="R197" t="s">
        <v>231</v>
      </c>
      <c r="S197" t="str">
        <f>IFERROR(VLOOKUP(Tabela1[[#This Row],[CC]],CC!$A$1:$H$403,8,0),"")</f>
        <v>OP2</v>
      </c>
    </row>
    <row r="198" spans="1:19" x14ac:dyDescent="0.3">
      <c r="A198" s="8">
        <v>1482</v>
      </c>
      <c r="B198" s="8" t="str">
        <f>IFERROR(VLOOKUP(Tabela1[[#This Row],[CC]],#REF!,5,0),"")</f>
        <v/>
      </c>
      <c r="C198" t="s">
        <v>66</v>
      </c>
      <c r="D198" t="s">
        <v>16</v>
      </c>
      <c r="E198" t="s">
        <v>487</v>
      </c>
      <c r="F198" t="s">
        <v>586</v>
      </c>
      <c r="G198" s="110">
        <v>8205</v>
      </c>
      <c r="H198" s="12">
        <v>45658</v>
      </c>
      <c r="I198" s="10">
        <v>39000</v>
      </c>
      <c r="J198" s="10">
        <v>35236.5</v>
      </c>
      <c r="K198" s="3">
        <v>45693</v>
      </c>
      <c r="L198" s="91">
        <v>45712</v>
      </c>
      <c r="M198" s="5">
        <v>45716</v>
      </c>
      <c r="N198" s="36" t="s">
        <v>588</v>
      </c>
      <c r="O198" s="42"/>
      <c r="P198" s="14"/>
      <c r="Q198" t="s">
        <v>58</v>
      </c>
      <c r="R198" t="s">
        <v>183</v>
      </c>
      <c r="S198" t="str">
        <f>IFERROR(VLOOKUP(Tabela1[[#This Row],[CC]],CC!$A$1:$H$403,8,0),"")</f>
        <v>OP2</v>
      </c>
    </row>
    <row r="199" spans="1:19" x14ac:dyDescent="0.3">
      <c r="A199" s="25">
        <v>1262</v>
      </c>
      <c r="B199" s="25" t="str">
        <f>IFERROR(VLOOKUP(Tabela1[[#This Row],[CC]],#REF!,5,0),"")</f>
        <v/>
      </c>
      <c r="C199" t="s">
        <v>51</v>
      </c>
      <c r="D199" t="s">
        <v>25</v>
      </c>
      <c r="E199" t="s">
        <v>230</v>
      </c>
      <c r="F199" t="s">
        <v>586</v>
      </c>
      <c r="G199" s="110">
        <v>3828</v>
      </c>
      <c r="H199" s="12">
        <v>45658</v>
      </c>
      <c r="I199" s="24">
        <v>3877.11</v>
      </c>
      <c r="J199" s="24">
        <v>3638.67</v>
      </c>
      <c r="K199" s="3">
        <v>45709</v>
      </c>
      <c r="L199" s="91">
        <v>45712</v>
      </c>
      <c r="M199" s="11">
        <v>45716</v>
      </c>
      <c r="N199" s="18" t="s">
        <v>588</v>
      </c>
      <c r="O199" s="35">
        <v>0</v>
      </c>
      <c r="P199" s="26"/>
      <c r="Q199" t="s">
        <v>55</v>
      </c>
      <c r="R199" t="s">
        <v>231</v>
      </c>
      <c r="S199" t="str">
        <f>IFERROR(VLOOKUP(Tabela1[[#This Row],[CC]],CC!$A$1:$H$403,8,0),"")</f>
        <v>OP2</v>
      </c>
    </row>
    <row r="200" spans="1:19" x14ac:dyDescent="0.3">
      <c r="A200" s="25">
        <v>1262</v>
      </c>
      <c r="B200" s="25" t="str">
        <f>IFERROR(VLOOKUP(Tabela1[[#This Row],[CC]],#REF!,5,0),"")</f>
        <v/>
      </c>
      <c r="C200" t="s">
        <v>51</v>
      </c>
      <c r="D200" t="s">
        <v>25</v>
      </c>
      <c r="E200" t="s">
        <v>230</v>
      </c>
      <c r="F200" t="s">
        <v>586</v>
      </c>
      <c r="G200" s="110">
        <v>3826</v>
      </c>
      <c r="H200" s="12">
        <v>45658</v>
      </c>
      <c r="I200" s="24">
        <v>67733.11</v>
      </c>
      <c r="J200" s="24">
        <v>63567.519999999997</v>
      </c>
      <c r="K200" s="3">
        <v>45709</v>
      </c>
      <c r="L200" s="91">
        <v>45712</v>
      </c>
      <c r="M200" s="11">
        <v>45716</v>
      </c>
      <c r="N200" s="18" t="s">
        <v>588</v>
      </c>
      <c r="O200" s="35">
        <v>0</v>
      </c>
      <c r="P200" s="26"/>
      <c r="Q200" t="s">
        <v>55</v>
      </c>
      <c r="R200" t="s">
        <v>231</v>
      </c>
      <c r="S200" t="str">
        <f>IFERROR(VLOOKUP(Tabela1[[#This Row],[CC]],CC!$A$1:$H$403,8,0),"")</f>
        <v>OP2</v>
      </c>
    </row>
    <row r="201" spans="1:19" x14ac:dyDescent="0.3">
      <c r="A201" s="25">
        <v>1262</v>
      </c>
      <c r="B201" s="25" t="str">
        <f>IFERROR(VLOOKUP(Tabela1[[#This Row],[CC]],#REF!,5,0),"")</f>
        <v/>
      </c>
      <c r="C201" t="s">
        <v>51</v>
      </c>
      <c r="D201" t="s">
        <v>25</v>
      </c>
      <c r="E201" t="s">
        <v>230</v>
      </c>
      <c r="F201" t="s">
        <v>586</v>
      </c>
      <c r="G201" s="110">
        <v>3825</v>
      </c>
      <c r="H201" s="12">
        <v>45658</v>
      </c>
      <c r="I201" s="24">
        <v>9046.58</v>
      </c>
      <c r="J201" s="24">
        <v>8490.2099999999991</v>
      </c>
      <c r="K201" s="3">
        <v>45709</v>
      </c>
      <c r="L201" s="91">
        <v>45712</v>
      </c>
      <c r="M201" s="11">
        <v>45716</v>
      </c>
      <c r="N201" s="18" t="s">
        <v>588</v>
      </c>
      <c r="O201" s="35">
        <v>0</v>
      </c>
      <c r="P201" s="26"/>
      <c r="Q201" t="s">
        <v>55</v>
      </c>
      <c r="R201" t="s">
        <v>231</v>
      </c>
      <c r="S201" t="str">
        <f>IFERROR(VLOOKUP(Tabela1[[#This Row],[CC]],CC!$A$1:$H$403,8,0),"")</f>
        <v>OP2</v>
      </c>
    </row>
    <row r="202" spans="1:19" x14ac:dyDescent="0.3">
      <c r="A202" s="25">
        <v>1262</v>
      </c>
      <c r="B202" s="25" t="str">
        <f>IFERROR(VLOOKUP(Tabela1[[#This Row],[CC]],#REF!,5,0),"")</f>
        <v/>
      </c>
      <c r="C202" t="s">
        <v>51</v>
      </c>
      <c r="D202" t="s">
        <v>25</v>
      </c>
      <c r="E202" t="s">
        <v>230</v>
      </c>
      <c r="F202" t="s">
        <v>586</v>
      </c>
      <c r="G202" s="110">
        <v>3824</v>
      </c>
      <c r="H202" s="12">
        <v>45658</v>
      </c>
      <c r="I202" s="24">
        <v>21588.05</v>
      </c>
      <c r="J202" s="24">
        <v>20260.39</v>
      </c>
      <c r="K202" s="3">
        <v>45709</v>
      </c>
      <c r="L202" s="91">
        <v>45712</v>
      </c>
      <c r="M202" s="11">
        <v>45716</v>
      </c>
      <c r="N202" s="18" t="s">
        <v>588</v>
      </c>
      <c r="O202" s="35">
        <v>0</v>
      </c>
      <c r="P202" s="26"/>
      <c r="Q202" t="s">
        <v>55</v>
      </c>
      <c r="R202" t="s">
        <v>231</v>
      </c>
      <c r="S202" t="str">
        <f>IFERROR(VLOOKUP(Tabela1[[#This Row],[CC]],CC!$A$1:$H$403,8,0),"")</f>
        <v>OP2</v>
      </c>
    </row>
    <row r="203" spans="1:19" x14ac:dyDescent="0.3">
      <c r="A203" s="25">
        <v>1262</v>
      </c>
      <c r="B203" s="25" t="str">
        <f>IFERROR(VLOOKUP(Tabela1[[#This Row],[CC]],#REF!,5,0),"")</f>
        <v/>
      </c>
      <c r="C203" t="s">
        <v>51</v>
      </c>
      <c r="D203" t="s">
        <v>25</v>
      </c>
      <c r="E203" t="s">
        <v>230</v>
      </c>
      <c r="F203" t="s">
        <v>586</v>
      </c>
      <c r="G203" s="110">
        <v>3823</v>
      </c>
      <c r="H203" s="12">
        <v>45658</v>
      </c>
      <c r="I203" s="24">
        <v>38695.5</v>
      </c>
      <c r="J203" s="24">
        <v>36315.730000000003</v>
      </c>
      <c r="K203" s="3">
        <v>45709</v>
      </c>
      <c r="L203" s="91">
        <v>45712</v>
      </c>
      <c r="M203" s="11">
        <v>45716</v>
      </c>
      <c r="N203" s="18" t="s">
        <v>588</v>
      </c>
      <c r="O203" s="35">
        <v>0</v>
      </c>
      <c r="P203" s="26"/>
      <c r="Q203" t="s">
        <v>55</v>
      </c>
      <c r="R203" t="s">
        <v>231</v>
      </c>
      <c r="S203" t="str">
        <f>IFERROR(VLOOKUP(Tabela1[[#This Row],[CC]],CC!$A$1:$H$403,8,0),"")</f>
        <v>OP2</v>
      </c>
    </row>
    <row r="204" spans="1:19" x14ac:dyDescent="0.3">
      <c r="A204" s="8">
        <v>1269</v>
      </c>
      <c r="B204" s="8" t="str">
        <f>IFERROR(VLOOKUP(Tabela1[[#This Row],[CC]],#REF!,5,0),"")</f>
        <v/>
      </c>
      <c r="C204" t="s">
        <v>51</v>
      </c>
      <c r="D204" t="s">
        <v>25</v>
      </c>
      <c r="E204" t="s">
        <v>239</v>
      </c>
      <c r="F204" t="s">
        <v>586</v>
      </c>
      <c r="G204" s="110">
        <v>3830</v>
      </c>
      <c r="H204" s="12">
        <v>45658</v>
      </c>
      <c r="I204" s="24">
        <v>6310.36</v>
      </c>
      <c r="J204" s="24">
        <v>5922.27</v>
      </c>
      <c r="K204" s="3">
        <v>45709</v>
      </c>
      <c r="L204" s="91">
        <v>45712</v>
      </c>
      <c r="M204" s="11">
        <v>45716</v>
      </c>
      <c r="N204" s="18" t="s">
        <v>588</v>
      </c>
      <c r="O204" s="34">
        <v>0</v>
      </c>
      <c r="P204" s="14"/>
      <c r="Q204" t="s">
        <v>58</v>
      </c>
      <c r="R204" t="s">
        <v>231</v>
      </c>
      <c r="S204" t="str">
        <f>IFERROR(VLOOKUP(Tabela1[[#This Row],[CC]],CC!$A$1:$H$403,8,0),"")</f>
        <v>OP2</v>
      </c>
    </row>
    <row r="205" spans="1:19" x14ac:dyDescent="0.3">
      <c r="A205" s="8">
        <v>1269</v>
      </c>
      <c r="B205" s="8" t="str">
        <f>IFERROR(VLOOKUP(Tabela1[[#This Row],[CC]],#REF!,5,0),"")</f>
        <v/>
      </c>
      <c r="C205" t="s">
        <v>51</v>
      </c>
      <c r="D205" t="s">
        <v>25</v>
      </c>
      <c r="E205" t="s">
        <v>239</v>
      </c>
      <c r="F205" t="s">
        <v>586</v>
      </c>
      <c r="G205" s="110">
        <v>3829</v>
      </c>
      <c r="H205" s="12">
        <v>45658</v>
      </c>
      <c r="I205" s="24">
        <v>17033.400000000001</v>
      </c>
      <c r="J205" s="24">
        <v>15985.85</v>
      </c>
      <c r="K205" s="3">
        <v>45709</v>
      </c>
      <c r="L205" s="91">
        <v>45712</v>
      </c>
      <c r="M205" s="11">
        <v>45716</v>
      </c>
      <c r="N205" s="18" t="s">
        <v>588</v>
      </c>
      <c r="O205" s="34">
        <v>0</v>
      </c>
      <c r="P205" s="14"/>
      <c r="Q205" t="s">
        <v>58</v>
      </c>
      <c r="R205" t="s">
        <v>231</v>
      </c>
      <c r="S205" t="str">
        <f>IFERROR(VLOOKUP(Tabela1[[#This Row],[CC]],CC!$A$1:$H$403,8,0),"")</f>
        <v>OP2</v>
      </c>
    </row>
    <row r="206" spans="1:19" x14ac:dyDescent="0.3">
      <c r="A206" s="8">
        <v>1269</v>
      </c>
      <c r="B206" s="8" t="str">
        <f>IFERROR(VLOOKUP(Tabela1[[#This Row],[CC]],#REF!,5,0),"")</f>
        <v/>
      </c>
      <c r="C206" t="s">
        <v>51</v>
      </c>
      <c r="D206" t="s">
        <v>25</v>
      </c>
      <c r="E206" t="s">
        <v>239</v>
      </c>
      <c r="F206" t="s">
        <v>586</v>
      </c>
      <c r="G206" s="110">
        <v>3831</v>
      </c>
      <c r="H206" s="12">
        <v>45658</v>
      </c>
      <c r="I206" s="24">
        <v>22383.29</v>
      </c>
      <c r="J206" s="24">
        <v>21006.720000000001</v>
      </c>
      <c r="K206" s="3">
        <v>45709</v>
      </c>
      <c r="L206" s="91">
        <v>45712</v>
      </c>
      <c r="M206" s="11">
        <v>45716</v>
      </c>
      <c r="N206" s="18" t="s">
        <v>588</v>
      </c>
      <c r="O206" s="34">
        <v>0</v>
      </c>
      <c r="P206" s="14"/>
      <c r="Q206" t="s">
        <v>58</v>
      </c>
      <c r="R206" t="s">
        <v>231</v>
      </c>
      <c r="S206" t="str">
        <f>IFERROR(VLOOKUP(Tabela1[[#This Row],[CC]],CC!$A$1:$H$403,8,0),"")</f>
        <v>OP2</v>
      </c>
    </row>
    <row r="207" spans="1:19" x14ac:dyDescent="0.3">
      <c r="A207" s="8">
        <v>1269</v>
      </c>
      <c r="B207" s="8" t="str">
        <f>IFERROR(VLOOKUP(Tabela1[[#This Row],[CC]],#REF!,5,0),"")</f>
        <v/>
      </c>
      <c r="C207" t="s">
        <v>51</v>
      </c>
      <c r="D207" t="s">
        <v>25</v>
      </c>
      <c r="E207" t="s">
        <v>239</v>
      </c>
      <c r="F207" t="s">
        <v>586</v>
      </c>
      <c r="G207" s="110">
        <v>3827</v>
      </c>
      <c r="H207" s="12">
        <v>45658</v>
      </c>
      <c r="I207" s="24">
        <v>198578.23</v>
      </c>
      <c r="J207" s="24">
        <v>186365.67</v>
      </c>
      <c r="K207" s="3">
        <v>45709</v>
      </c>
      <c r="L207" s="91">
        <v>45712</v>
      </c>
      <c r="M207" s="11">
        <v>45716</v>
      </c>
      <c r="N207" s="18" t="s">
        <v>588</v>
      </c>
      <c r="O207" s="34">
        <v>0</v>
      </c>
      <c r="P207" s="14"/>
      <c r="Q207" t="s">
        <v>58</v>
      </c>
      <c r="R207" t="s">
        <v>231</v>
      </c>
      <c r="S207" t="str">
        <f>IFERROR(VLOOKUP(Tabela1[[#This Row],[CC]],CC!$A$1:$H$403,8,0),"")</f>
        <v>OP2</v>
      </c>
    </row>
    <row r="208" spans="1:19" x14ac:dyDescent="0.3">
      <c r="A208" s="25">
        <v>1400</v>
      </c>
      <c r="B208" s="25" t="str">
        <f>IFERROR(VLOOKUP(Tabela1[[#This Row],[CC]],#REF!,5,0),"")</f>
        <v/>
      </c>
      <c r="C208" t="s">
        <v>64</v>
      </c>
      <c r="D208" t="s">
        <v>4</v>
      </c>
      <c r="E208" t="s">
        <v>385</v>
      </c>
      <c r="F208" t="s">
        <v>586</v>
      </c>
      <c r="G208" s="110">
        <v>8227</v>
      </c>
      <c r="H208" s="12">
        <v>45658</v>
      </c>
      <c r="I208" s="24">
        <v>785309.77</v>
      </c>
      <c r="J208" s="27">
        <v>709527.37</v>
      </c>
      <c r="K208" s="3">
        <v>45721</v>
      </c>
      <c r="L208" s="91">
        <v>45740</v>
      </c>
      <c r="M208" s="11">
        <v>45743</v>
      </c>
      <c r="N208" s="18" t="s">
        <v>588</v>
      </c>
      <c r="O208" s="35">
        <v>0</v>
      </c>
      <c r="P208"/>
      <c r="Q208" t="s">
        <v>55</v>
      </c>
      <c r="R208" t="s">
        <v>183</v>
      </c>
      <c r="S208" t="str">
        <f>IFERROR(VLOOKUP(Tabela1[[#This Row],[CC]],CC!$A$1:$H$403,8,0),"")</f>
        <v>OP1</v>
      </c>
    </row>
    <row r="209" spans="1:19" x14ac:dyDescent="0.3">
      <c r="A209" s="25">
        <v>1400</v>
      </c>
      <c r="B209" s="25" t="str">
        <f>IFERROR(VLOOKUP(Tabela1[[#This Row],[CC]],#REF!,5,0),"")</f>
        <v/>
      </c>
      <c r="C209" t="s">
        <v>64</v>
      </c>
      <c r="D209" t="s">
        <v>4</v>
      </c>
      <c r="E209" t="s">
        <v>385</v>
      </c>
      <c r="F209" t="s">
        <v>586</v>
      </c>
      <c r="G209" s="110">
        <v>8226</v>
      </c>
      <c r="H209" s="12">
        <v>45658</v>
      </c>
      <c r="I209" s="24">
        <v>77751.44</v>
      </c>
      <c r="J209" s="27">
        <v>70248.429999999993</v>
      </c>
      <c r="K209" s="3">
        <v>45721</v>
      </c>
      <c r="L209" s="91">
        <v>45740</v>
      </c>
      <c r="M209" s="11">
        <v>45743</v>
      </c>
      <c r="N209" s="18" t="s">
        <v>588</v>
      </c>
      <c r="O209" s="35">
        <v>0</v>
      </c>
      <c r="P209"/>
      <c r="Q209" t="s">
        <v>55</v>
      </c>
      <c r="R209" t="s">
        <v>183</v>
      </c>
      <c r="S209" t="str">
        <f>IFERROR(VLOOKUP(Tabela1[[#This Row],[CC]],CC!$A$1:$H$403,8,0),"")</f>
        <v>OP1</v>
      </c>
    </row>
    <row r="210" spans="1:19" x14ac:dyDescent="0.3">
      <c r="A210" s="8">
        <v>1366</v>
      </c>
      <c r="B210" s="8" t="str">
        <f>IFERROR(VLOOKUP(Tabela1[[#This Row],[CC]],#REF!,5,0),"")</f>
        <v/>
      </c>
      <c r="C210" t="s">
        <v>64</v>
      </c>
      <c r="D210" t="s">
        <v>4</v>
      </c>
      <c r="E210" t="s">
        <v>345</v>
      </c>
      <c r="F210" t="s">
        <v>586</v>
      </c>
      <c r="G210" s="110">
        <v>1221</v>
      </c>
      <c r="H210" s="12">
        <v>45658</v>
      </c>
      <c r="I210" s="10">
        <v>346916.22</v>
      </c>
      <c r="J210" s="17">
        <v>313438.78000000003</v>
      </c>
      <c r="K210" s="3">
        <v>45702</v>
      </c>
      <c r="L210" s="91">
        <v>45719</v>
      </c>
      <c r="M210" s="11">
        <v>45722</v>
      </c>
      <c r="N210" s="18" t="s">
        <v>588</v>
      </c>
      <c r="O210" s="34">
        <v>0</v>
      </c>
      <c r="P210"/>
      <c r="Q210" t="s">
        <v>58</v>
      </c>
      <c r="R210" t="s">
        <v>183</v>
      </c>
      <c r="S210" t="str">
        <f>IFERROR(VLOOKUP(Tabela1[[#This Row],[CC]],CC!$A$1:$H$403,8,0),"")</f>
        <v>OP1</v>
      </c>
    </row>
    <row r="211" spans="1:19" x14ac:dyDescent="0.3">
      <c r="A211" s="8">
        <v>1388</v>
      </c>
      <c r="B211" s="8" t="str">
        <f>IFERROR(VLOOKUP(Tabela1[[#This Row],[CC]],#REF!,5,0),"")</f>
        <v/>
      </c>
      <c r="C211" t="s">
        <v>64</v>
      </c>
      <c r="D211" t="s">
        <v>4</v>
      </c>
      <c r="E211" t="s">
        <v>373</v>
      </c>
      <c r="F211" t="s">
        <v>586</v>
      </c>
      <c r="G211" s="110">
        <v>3818</v>
      </c>
      <c r="H211" s="12">
        <v>45658</v>
      </c>
      <c r="I211" s="10">
        <v>281623.84999999998</v>
      </c>
      <c r="J211" s="17">
        <v>254447.15</v>
      </c>
      <c r="K211" s="3">
        <v>45702</v>
      </c>
      <c r="L211" s="91">
        <v>45719</v>
      </c>
      <c r="M211" s="11">
        <v>45722</v>
      </c>
      <c r="N211" s="18" t="s">
        <v>588</v>
      </c>
      <c r="O211" s="34">
        <v>0</v>
      </c>
      <c r="P211"/>
      <c r="Q211" t="s">
        <v>55</v>
      </c>
      <c r="R211" t="s">
        <v>183</v>
      </c>
      <c r="S211" t="str">
        <f>IFERROR(VLOOKUP(Tabela1[[#This Row],[CC]],CC!$A$1:$H$403,8,0),"")</f>
        <v>OP1</v>
      </c>
    </row>
    <row r="212" spans="1:19" x14ac:dyDescent="0.3">
      <c r="A212" s="8">
        <v>1298</v>
      </c>
      <c r="B212" s="8" t="str">
        <f>IFERROR(VLOOKUP(Tabela1[[#This Row],[CC]],#REF!,5,0),"")</f>
        <v/>
      </c>
      <c r="C212" t="str">
        <f>IFERROR(VLOOKUP(Tabela1[[#This Row],[CC]],CC!$A$1:$H$389,7,0),"")</f>
        <v>JOSÉ NETO</v>
      </c>
      <c r="D212" t="s">
        <v>17</v>
      </c>
      <c r="E212" t="s">
        <v>273</v>
      </c>
      <c r="F212" t="s">
        <v>586</v>
      </c>
      <c r="G212" s="110">
        <v>1222</v>
      </c>
      <c r="H212" s="12">
        <v>45658</v>
      </c>
      <c r="I212" s="24">
        <v>275594.28999999998</v>
      </c>
      <c r="J212" s="24">
        <v>253133.36</v>
      </c>
      <c r="K212" s="3">
        <v>45702</v>
      </c>
      <c r="L212" s="91">
        <v>45712</v>
      </c>
      <c r="M212" s="11">
        <v>45716</v>
      </c>
      <c r="N212" s="18" t="s">
        <v>588</v>
      </c>
      <c r="O212" s="34">
        <v>0</v>
      </c>
      <c r="P212"/>
      <c r="Q212" t="s">
        <v>58</v>
      </c>
      <c r="R212" t="s">
        <v>195</v>
      </c>
      <c r="S212" t="str">
        <f>IFERROR(VLOOKUP(Tabela1[[#This Row],[CC]],CC!$A$1:$H$403,8,0),"")</f>
        <v>OP2</v>
      </c>
    </row>
    <row r="213" spans="1:19" x14ac:dyDescent="0.3">
      <c r="A213" s="8">
        <v>1289</v>
      </c>
      <c r="B213" s="8" t="str">
        <f>IFERROR(VLOOKUP(Tabela1[[#This Row],[CC]],#REF!,5,0),"")</f>
        <v/>
      </c>
      <c r="C213" t="s">
        <v>60</v>
      </c>
      <c r="D213" t="s">
        <v>15</v>
      </c>
      <c r="E213" t="s">
        <v>263</v>
      </c>
      <c r="F213" t="s">
        <v>586</v>
      </c>
      <c r="G213" s="110">
        <v>8214</v>
      </c>
      <c r="H213" s="12">
        <v>45658</v>
      </c>
      <c r="I213" s="24">
        <v>278263.01</v>
      </c>
      <c r="J213" s="10">
        <v>259341.13</v>
      </c>
      <c r="K213" s="3">
        <v>45702</v>
      </c>
      <c r="L213" s="91">
        <v>45712</v>
      </c>
      <c r="M213" s="11">
        <v>45714</v>
      </c>
      <c r="N213" s="18" t="s">
        <v>588</v>
      </c>
      <c r="O213" s="34">
        <v>0</v>
      </c>
      <c r="P213"/>
      <c r="Q213" t="s">
        <v>58</v>
      </c>
      <c r="R213" t="s">
        <v>195</v>
      </c>
      <c r="S213" t="str">
        <f>IFERROR(VLOOKUP(Tabela1[[#This Row],[CC]],CC!$A$1:$H$403,8,0),"")</f>
        <v>OP3</v>
      </c>
    </row>
    <row r="214" spans="1:19" x14ac:dyDescent="0.3">
      <c r="A214" s="25">
        <v>1288</v>
      </c>
      <c r="B214" s="25" t="str">
        <f>IFERROR(VLOOKUP(Tabela1[[#This Row],[CC]],#REF!,5,0),"")</f>
        <v/>
      </c>
      <c r="C214" t="s">
        <v>60</v>
      </c>
      <c r="D214" t="s">
        <v>15</v>
      </c>
      <c r="E214" t="s">
        <v>262</v>
      </c>
      <c r="F214" t="s">
        <v>586</v>
      </c>
      <c r="G214" s="110">
        <v>8215</v>
      </c>
      <c r="H214" s="12">
        <v>45658</v>
      </c>
      <c r="I214" s="24">
        <v>379348.19</v>
      </c>
      <c r="J214" s="27">
        <v>353552.52</v>
      </c>
      <c r="K214" s="3">
        <v>45702</v>
      </c>
      <c r="L214" s="91">
        <v>45712</v>
      </c>
      <c r="M214" s="11">
        <v>45713</v>
      </c>
      <c r="N214" s="18" t="s">
        <v>588</v>
      </c>
      <c r="O214" s="35">
        <v>0</v>
      </c>
      <c r="P214"/>
      <c r="Q214" t="s">
        <v>55</v>
      </c>
      <c r="R214" t="s">
        <v>195</v>
      </c>
      <c r="S214" t="str">
        <f>IFERROR(VLOOKUP(Tabela1[[#This Row],[CC]],CC!$A$1:$H$403,8,0),"")</f>
        <v>OP3</v>
      </c>
    </row>
    <row r="215" spans="1:19" x14ac:dyDescent="0.3">
      <c r="A215" s="8">
        <v>1271</v>
      </c>
      <c r="B215" s="8" t="str">
        <f>IFERROR(VLOOKUP(Tabela1[[#This Row],[CC]],#REF!,5,0),"")</f>
        <v/>
      </c>
      <c r="C215" t="s">
        <v>60</v>
      </c>
      <c r="D215" t="s">
        <v>15</v>
      </c>
      <c r="E215" t="s">
        <v>242</v>
      </c>
      <c r="F215" t="s">
        <v>586</v>
      </c>
      <c r="G215" s="110">
        <v>8216</v>
      </c>
      <c r="H215" s="12">
        <v>45658</v>
      </c>
      <c r="I215" s="10">
        <v>255597.54</v>
      </c>
      <c r="J215" s="10">
        <v>238216.91</v>
      </c>
      <c r="K215" s="3">
        <v>45702</v>
      </c>
      <c r="L215" s="91">
        <v>45712</v>
      </c>
      <c r="M215" s="11">
        <v>45713</v>
      </c>
      <c r="N215" s="18" t="s">
        <v>588</v>
      </c>
      <c r="O215" s="34">
        <v>0</v>
      </c>
      <c r="P215"/>
      <c r="Q215" t="s">
        <v>58</v>
      </c>
      <c r="R215" t="s">
        <v>195</v>
      </c>
      <c r="S215" t="str">
        <f>IFERROR(VLOOKUP(Tabela1[[#This Row],[CC]],CC!$A$1:$H$403,8,0),"")</f>
        <v>OP3</v>
      </c>
    </row>
    <row r="216" spans="1:19" x14ac:dyDescent="0.3">
      <c r="A216" s="8">
        <v>1299</v>
      </c>
      <c r="B216" s="8" t="str">
        <f>IFERROR(VLOOKUP(Tabela1[[#This Row],[CC]],#REF!,5,0),"")</f>
        <v/>
      </c>
      <c r="C216" t="s">
        <v>60</v>
      </c>
      <c r="D216" t="s">
        <v>15</v>
      </c>
      <c r="E216" t="s">
        <v>274</v>
      </c>
      <c r="F216" t="s">
        <v>586</v>
      </c>
      <c r="G216" s="110">
        <v>8245</v>
      </c>
      <c r="H216" s="12">
        <v>45658</v>
      </c>
      <c r="I216" s="10">
        <v>1177084.8</v>
      </c>
      <c r="J216" s="10">
        <v>1097043.03</v>
      </c>
      <c r="K216" s="3">
        <v>45729</v>
      </c>
      <c r="L216" s="91">
        <v>45740</v>
      </c>
      <c r="M216" s="11">
        <v>45742</v>
      </c>
      <c r="N216" s="18" t="s">
        <v>588</v>
      </c>
      <c r="O216" s="37"/>
      <c r="P216" s="14"/>
      <c r="Q216" t="s">
        <v>55</v>
      </c>
      <c r="R216" t="s">
        <v>195</v>
      </c>
      <c r="S216" t="str">
        <f>IFERROR(VLOOKUP(Tabela1[[#This Row],[CC]],CC!$A$1:$H$403,8,0),"")</f>
        <v>OP3</v>
      </c>
    </row>
    <row r="217" spans="1:19" x14ac:dyDescent="0.3">
      <c r="A217" s="8">
        <v>1394</v>
      </c>
      <c r="B217" s="8" t="str">
        <f>IFERROR(VLOOKUP(Tabela1[[#This Row],[CC]],#REF!,5,0),"")</f>
        <v/>
      </c>
      <c r="C217" t="s">
        <v>65</v>
      </c>
      <c r="D217" t="s">
        <v>18</v>
      </c>
      <c r="E217" t="s">
        <v>378</v>
      </c>
      <c r="F217" t="s">
        <v>586</v>
      </c>
      <c r="G217" s="110">
        <v>8220</v>
      </c>
      <c r="H217" s="12">
        <v>45658</v>
      </c>
      <c r="I217" s="24">
        <v>93647.49</v>
      </c>
      <c r="J217" s="24">
        <v>87279.46</v>
      </c>
      <c r="K217" s="3">
        <v>45702</v>
      </c>
      <c r="L217" s="91">
        <v>45712</v>
      </c>
      <c r="M217" s="5">
        <v>45714</v>
      </c>
      <c r="N217" s="21" t="s">
        <v>588</v>
      </c>
      <c r="O217" s="34">
        <v>0</v>
      </c>
      <c r="P217" s="14"/>
      <c r="Q217" t="s">
        <v>58</v>
      </c>
      <c r="R217" t="s">
        <v>195</v>
      </c>
      <c r="S217" t="str">
        <f>IFERROR(VLOOKUP(Tabela1[[#This Row],[CC]],CC!$A$1:$H$403,8,0),"")</f>
        <v>OP4</v>
      </c>
    </row>
    <row r="218" spans="1:19" x14ac:dyDescent="0.3">
      <c r="A218" s="8">
        <v>1394</v>
      </c>
      <c r="B218" s="8" t="str">
        <f>IFERROR(VLOOKUP(Tabela1[[#This Row],[CC]],#REF!,5,0),"")</f>
        <v/>
      </c>
      <c r="C218" t="s">
        <v>65</v>
      </c>
      <c r="D218" t="s">
        <v>18</v>
      </c>
      <c r="E218" t="s">
        <v>378</v>
      </c>
      <c r="F218" t="s">
        <v>586</v>
      </c>
      <c r="G218" s="110">
        <v>8222</v>
      </c>
      <c r="H218" s="12">
        <v>45658</v>
      </c>
      <c r="I218" s="24">
        <v>111600.22</v>
      </c>
      <c r="J218" s="24">
        <v>104011.41</v>
      </c>
      <c r="K218" s="3">
        <v>45707</v>
      </c>
      <c r="L218" s="91">
        <v>45719</v>
      </c>
      <c r="M218" s="5">
        <v>45721</v>
      </c>
      <c r="N218" s="21" t="s">
        <v>588</v>
      </c>
      <c r="O218" s="34">
        <v>0</v>
      </c>
      <c r="P218" s="14"/>
      <c r="Q218" t="s">
        <v>58</v>
      </c>
      <c r="R218" t="s">
        <v>195</v>
      </c>
      <c r="S218" t="str">
        <f>IFERROR(VLOOKUP(Tabela1[[#This Row],[CC]],CC!$A$1:$H$403,8,0),"")</f>
        <v>OP4</v>
      </c>
    </row>
    <row r="219" spans="1:19" x14ac:dyDescent="0.3">
      <c r="A219" s="8">
        <v>1394</v>
      </c>
      <c r="B219" s="8" t="str">
        <f>IFERROR(VLOOKUP(Tabela1[[#This Row],[CC]],#REF!,5,0),"")</f>
        <v/>
      </c>
      <c r="C219" t="s">
        <v>65</v>
      </c>
      <c r="D219" t="s">
        <v>18</v>
      </c>
      <c r="E219" t="s">
        <v>378</v>
      </c>
      <c r="F219" t="s">
        <v>586</v>
      </c>
      <c r="G219" s="110">
        <v>8223</v>
      </c>
      <c r="H219" s="12">
        <v>45658</v>
      </c>
      <c r="I219" s="24">
        <v>151139.01</v>
      </c>
      <c r="J219" s="24">
        <v>140861.56</v>
      </c>
      <c r="K219" s="3">
        <v>45708</v>
      </c>
      <c r="L219" s="91">
        <v>45726</v>
      </c>
      <c r="M219" s="5">
        <v>45721</v>
      </c>
      <c r="N219" s="21" t="s">
        <v>588</v>
      </c>
      <c r="O219" s="34">
        <v>0</v>
      </c>
      <c r="P219" s="14"/>
      <c r="Q219" t="s">
        <v>58</v>
      </c>
      <c r="R219" t="s">
        <v>195</v>
      </c>
      <c r="S219" t="str">
        <f>IFERROR(VLOOKUP(Tabela1[[#This Row],[CC]],CC!$A$1:$H$403,8,0),"")</f>
        <v>OP4</v>
      </c>
    </row>
    <row r="220" spans="1:19" x14ac:dyDescent="0.3">
      <c r="A220" s="8">
        <v>1394</v>
      </c>
      <c r="B220" s="8" t="str">
        <f>IFERROR(VLOOKUP(Tabela1[[#This Row],[CC]],#REF!,5,0),"")</f>
        <v/>
      </c>
      <c r="C220" t="s">
        <v>65</v>
      </c>
      <c r="D220" t="s">
        <v>18</v>
      </c>
      <c r="E220" t="s">
        <v>378</v>
      </c>
      <c r="F220" t="s">
        <v>586</v>
      </c>
      <c r="G220" s="110">
        <v>8268</v>
      </c>
      <c r="H220" s="12">
        <v>45658</v>
      </c>
      <c r="I220" s="24">
        <v>222403.39</v>
      </c>
      <c r="J220" s="24">
        <v>207279.96</v>
      </c>
      <c r="K220" s="3">
        <v>45748</v>
      </c>
      <c r="L220" s="91">
        <v>45761</v>
      </c>
      <c r="M220" s="5">
        <v>45762</v>
      </c>
      <c r="N220" s="21" t="s">
        <v>588</v>
      </c>
      <c r="O220" s="34">
        <v>0</v>
      </c>
      <c r="P220" s="14"/>
      <c r="Q220" t="s">
        <v>58</v>
      </c>
      <c r="R220" t="s">
        <v>195</v>
      </c>
      <c r="S220" t="str">
        <f>IFERROR(VLOOKUP(Tabela1[[#This Row],[CC]],CC!$A$1:$H$403,8,0),"")</f>
        <v>OP4</v>
      </c>
    </row>
    <row r="221" spans="1:19" x14ac:dyDescent="0.3">
      <c r="A221" s="8">
        <v>1394</v>
      </c>
      <c r="B221" s="8" t="str">
        <f>IFERROR(VLOOKUP(Tabela1[[#This Row],[CC]],#REF!,5,0),"")</f>
        <v/>
      </c>
      <c r="C221" t="s">
        <v>65</v>
      </c>
      <c r="D221" t="s">
        <v>18</v>
      </c>
      <c r="E221" t="s">
        <v>378</v>
      </c>
      <c r="F221" t="s">
        <v>586</v>
      </c>
      <c r="G221" s="110">
        <v>8257</v>
      </c>
      <c r="H221" s="12">
        <v>45658</v>
      </c>
      <c r="I221" s="24">
        <v>127355.8</v>
      </c>
      <c r="J221" s="24">
        <v>118695.6</v>
      </c>
      <c r="K221" s="3">
        <v>45733</v>
      </c>
      <c r="L221" s="91">
        <v>45740</v>
      </c>
      <c r="M221" s="11">
        <v>45742</v>
      </c>
      <c r="N221" s="18" t="s">
        <v>588</v>
      </c>
      <c r="O221" s="34">
        <v>0</v>
      </c>
      <c r="P221" s="14"/>
      <c r="Q221" t="s">
        <v>58</v>
      </c>
      <c r="R221" t="s">
        <v>195</v>
      </c>
      <c r="S221" t="str">
        <f>IFERROR(VLOOKUP(Tabela1[[#This Row],[CC]],CC!$A$1:$H$403,8,0),"")</f>
        <v>OP4</v>
      </c>
    </row>
    <row r="222" spans="1:19" x14ac:dyDescent="0.3">
      <c r="A222" s="8">
        <v>1394</v>
      </c>
      <c r="B222" s="8" t="str">
        <f>IFERROR(VLOOKUP(Tabela1[[#This Row],[CC]],#REF!,5,0),"")</f>
        <v/>
      </c>
      <c r="C222" t="s">
        <v>65</v>
      </c>
      <c r="D222" t="s">
        <v>18</v>
      </c>
      <c r="E222" t="s">
        <v>378</v>
      </c>
      <c r="F222" t="s">
        <v>586</v>
      </c>
      <c r="G222" s="110">
        <v>8250</v>
      </c>
      <c r="H222" s="12">
        <v>45658</v>
      </c>
      <c r="I222" s="24">
        <v>85000</v>
      </c>
      <c r="J222" s="24">
        <v>79220</v>
      </c>
      <c r="K222" s="3">
        <v>45729</v>
      </c>
      <c r="L222" s="91">
        <v>45740</v>
      </c>
      <c r="M222" s="11">
        <v>45742</v>
      </c>
      <c r="N222" s="18" t="s">
        <v>588</v>
      </c>
      <c r="O222" s="34">
        <v>0</v>
      </c>
      <c r="P222" s="14"/>
      <c r="Q222" t="s">
        <v>58</v>
      </c>
      <c r="R222" t="s">
        <v>195</v>
      </c>
      <c r="S222" t="str">
        <f>IFERROR(VLOOKUP(Tabela1[[#This Row],[CC]],CC!$A$1:$H$403,8,0),"")</f>
        <v>OP4</v>
      </c>
    </row>
    <row r="223" spans="1:19" x14ac:dyDescent="0.3">
      <c r="A223" s="8">
        <v>1394</v>
      </c>
      <c r="B223" s="8" t="str">
        <f>IFERROR(VLOOKUP(Tabela1[[#This Row],[CC]],#REF!,5,0),"")</f>
        <v/>
      </c>
      <c r="C223" t="s">
        <v>65</v>
      </c>
      <c r="D223" t="s">
        <v>18</v>
      </c>
      <c r="E223" t="s">
        <v>378</v>
      </c>
      <c r="F223" t="s">
        <v>586</v>
      </c>
      <c r="G223" s="110">
        <v>8251</v>
      </c>
      <c r="H223" s="12">
        <v>45658</v>
      </c>
      <c r="I223" s="24">
        <v>283355.11</v>
      </c>
      <c r="J223" s="24">
        <v>264086.96000000002</v>
      </c>
      <c r="K223" s="3">
        <v>45729</v>
      </c>
      <c r="L223" s="91">
        <v>45740</v>
      </c>
      <c r="M223" s="5">
        <v>45743</v>
      </c>
      <c r="N223" s="21" t="s">
        <v>588</v>
      </c>
      <c r="O223" s="34">
        <v>0</v>
      </c>
      <c r="P223" s="14"/>
      <c r="Q223" t="s">
        <v>58</v>
      </c>
      <c r="R223" t="s">
        <v>195</v>
      </c>
      <c r="S223" t="str">
        <f>IFERROR(VLOOKUP(Tabela1[[#This Row],[CC]],CC!$A$1:$H$403,8,0),"")</f>
        <v>OP4</v>
      </c>
    </row>
    <row r="224" spans="1:19" x14ac:dyDescent="0.3">
      <c r="A224" s="25">
        <v>1360</v>
      </c>
      <c r="B224" s="25" t="str">
        <f>IFERROR(VLOOKUP(Tabela1[[#This Row],[CC]],#REF!,5,0),"")</f>
        <v/>
      </c>
      <c r="C224" t="s">
        <v>32</v>
      </c>
      <c r="D224" t="s">
        <v>24</v>
      </c>
      <c r="E224" t="s">
        <v>338</v>
      </c>
      <c r="F224" t="s">
        <v>586</v>
      </c>
      <c r="G224" s="110">
        <v>3755</v>
      </c>
      <c r="H224" s="12">
        <v>45658</v>
      </c>
      <c r="I224" s="24">
        <v>105832</v>
      </c>
      <c r="J224" s="24">
        <v>99323.33</v>
      </c>
      <c r="K224" s="3">
        <v>45678</v>
      </c>
      <c r="L224" s="91">
        <v>45719</v>
      </c>
      <c r="M224" s="11">
        <v>45721</v>
      </c>
      <c r="N224" s="18" t="s">
        <v>588</v>
      </c>
      <c r="O224" s="35"/>
      <c r="P224"/>
      <c r="Q224" t="s">
        <v>55</v>
      </c>
      <c r="R224" t="s">
        <v>231</v>
      </c>
      <c r="S224" t="str">
        <f>IFERROR(VLOOKUP(Tabela1[[#This Row],[CC]],CC!$A$1:$H$403,8,0),"")</f>
        <v>OP1</v>
      </c>
    </row>
    <row r="225" spans="1:19" x14ac:dyDescent="0.3">
      <c r="A225" s="25">
        <v>1360</v>
      </c>
      <c r="B225" s="25" t="str">
        <f>IFERROR(VLOOKUP(Tabela1[[#This Row],[CC]],#REF!,5,0),"")</f>
        <v/>
      </c>
      <c r="C225" t="s">
        <v>32</v>
      </c>
      <c r="D225" t="s">
        <v>24</v>
      </c>
      <c r="E225" t="s">
        <v>338</v>
      </c>
      <c r="F225" t="s">
        <v>586</v>
      </c>
      <c r="G225" s="110">
        <v>3754</v>
      </c>
      <c r="H225" s="12">
        <v>45658</v>
      </c>
      <c r="I225" s="24">
        <v>23460</v>
      </c>
      <c r="J225" s="24">
        <v>22017.21</v>
      </c>
      <c r="K225" s="3">
        <v>45678</v>
      </c>
      <c r="L225" s="91">
        <v>45719</v>
      </c>
      <c r="M225" s="11">
        <v>45721</v>
      </c>
      <c r="N225" s="18" t="s">
        <v>588</v>
      </c>
      <c r="O225" s="35"/>
      <c r="P225"/>
      <c r="Q225" t="s">
        <v>55</v>
      </c>
      <c r="R225" t="s">
        <v>231</v>
      </c>
      <c r="S225" t="str">
        <f>IFERROR(VLOOKUP(Tabela1[[#This Row],[CC]],CC!$A$1:$H$403,8,0),"")</f>
        <v>OP1</v>
      </c>
    </row>
    <row r="226" spans="1:19" x14ac:dyDescent="0.3">
      <c r="A226" s="25">
        <v>1360</v>
      </c>
      <c r="B226" s="25" t="str">
        <f>IFERROR(VLOOKUP(Tabela1[[#This Row],[CC]],#REF!,5,0),"")</f>
        <v/>
      </c>
      <c r="C226" t="s">
        <v>32</v>
      </c>
      <c r="D226" t="s">
        <v>24</v>
      </c>
      <c r="E226" t="s">
        <v>338</v>
      </c>
      <c r="F226" t="s">
        <v>586</v>
      </c>
      <c r="G226" s="110">
        <v>3753</v>
      </c>
      <c r="H226" s="12">
        <v>45658</v>
      </c>
      <c r="I226" s="24">
        <v>75270.8</v>
      </c>
      <c r="J226" s="24">
        <v>70641.649999999994</v>
      </c>
      <c r="K226" s="3">
        <v>45678</v>
      </c>
      <c r="L226" s="91">
        <v>45719</v>
      </c>
      <c r="M226" s="11">
        <v>45721</v>
      </c>
      <c r="N226" s="18" t="s">
        <v>588</v>
      </c>
      <c r="O226" s="35"/>
      <c r="P226"/>
      <c r="Q226" t="s">
        <v>55</v>
      </c>
      <c r="R226" t="s">
        <v>231</v>
      </c>
      <c r="S226" t="str">
        <f>IFERROR(VLOOKUP(Tabela1[[#This Row],[CC]],CC!$A$1:$H$403,8,0),"")</f>
        <v>OP1</v>
      </c>
    </row>
    <row r="227" spans="1:19" x14ac:dyDescent="0.3">
      <c r="A227" s="25">
        <v>1360</v>
      </c>
      <c r="B227" s="25" t="str">
        <f>IFERROR(VLOOKUP(Tabela1[[#This Row],[CC]],#REF!,5,0),"")</f>
        <v/>
      </c>
      <c r="C227" t="s">
        <v>32</v>
      </c>
      <c r="D227" t="s">
        <v>24</v>
      </c>
      <c r="E227" t="s">
        <v>338</v>
      </c>
      <c r="F227" t="s">
        <v>586</v>
      </c>
      <c r="G227" s="110">
        <v>3752</v>
      </c>
      <c r="H227" s="12">
        <v>45658</v>
      </c>
      <c r="I227" s="24">
        <v>45432</v>
      </c>
      <c r="J227" s="24">
        <v>42637.93</v>
      </c>
      <c r="K227" s="3">
        <v>45678</v>
      </c>
      <c r="L227" s="91">
        <v>45719</v>
      </c>
      <c r="M227" s="11">
        <v>45721</v>
      </c>
      <c r="N227" s="18" t="s">
        <v>588</v>
      </c>
      <c r="O227" s="35"/>
      <c r="P227"/>
      <c r="Q227" t="s">
        <v>55</v>
      </c>
      <c r="R227" t="s">
        <v>231</v>
      </c>
      <c r="S227" t="str">
        <f>IFERROR(VLOOKUP(Tabela1[[#This Row],[CC]],CC!$A$1:$H$403,8,0),"")</f>
        <v>OP1</v>
      </c>
    </row>
    <row r="228" spans="1:19" x14ac:dyDescent="0.3">
      <c r="A228" s="25">
        <v>1360</v>
      </c>
      <c r="B228" s="25" t="str">
        <f>IFERROR(VLOOKUP(Tabela1[[#This Row],[CC]],#REF!,5,0),"")</f>
        <v/>
      </c>
      <c r="C228" t="s">
        <v>32</v>
      </c>
      <c r="D228" t="s">
        <v>24</v>
      </c>
      <c r="E228" t="s">
        <v>338</v>
      </c>
      <c r="F228" t="s">
        <v>586</v>
      </c>
      <c r="G228" s="110">
        <v>3751</v>
      </c>
      <c r="H228" s="86">
        <v>45658</v>
      </c>
      <c r="I228" s="87">
        <v>40668.800000000003</v>
      </c>
      <c r="J228" s="87">
        <v>38167.67</v>
      </c>
      <c r="K228" s="88">
        <v>45678</v>
      </c>
      <c r="L228" s="90">
        <v>45992</v>
      </c>
      <c r="M228" s="11">
        <v>45995</v>
      </c>
      <c r="N228" s="18" t="s">
        <v>588</v>
      </c>
      <c r="O228" s="35"/>
      <c r="P228"/>
      <c r="Q228" t="s">
        <v>55</v>
      </c>
      <c r="R228" t="s">
        <v>231</v>
      </c>
      <c r="S228" t="str">
        <f>IFERROR(VLOOKUP(Tabela1[[#This Row],[CC]],CC!$A$1:$H$403,8,0),"")</f>
        <v>OP1</v>
      </c>
    </row>
    <row r="229" spans="1:19" x14ac:dyDescent="0.3">
      <c r="A229" s="25">
        <v>1360</v>
      </c>
      <c r="B229" s="25" t="str">
        <f>IFERROR(VLOOKUP(Tabela1[[#This Row],[CC]],#REF!,5,0),"")</f>
        <v/>
      </c>
      <c r="C229" t="s">
        <v>32</v>
      </c>
      <c r="D229" t="s">
        <v>24</v>
      </c>
      <c r="E229" t="s">
        <v>338</v>
      </c>
      <c r="F229" t="s">
        <v>586</v>
      </c>
      <c r="G229" s="110">
        <v>3760</v>
      </c>
      <c r="H229" s="12">
        <v>45658</v>
      </c>
      <c r="I229" s="24">
        <v>88000</v>
      </c>
      <c r="J229" s="24">
        <v>82588</v>
      </c>
      <c r="K229" s="3">
        <v>45679</v>
      </c>
      <c r="L229" s="91">
        <v>45719</v>
      </c>
      <c r="M229" s="11">
        <v>45721</v>
      </c>
      <c r="N229" s="18" t="s">
        <v>588</v>
      </c>
      <c r="O229" s="35"/>
      <c r="P229"/>
      <c r="Q229" t="s">
        <v>55</v>
      </c>
      <c r="R229" t="s">
        <v>231</v>
      </c>
      <c r="S229" t="str">
        <f>IFERROR(VLOOKUP(Tabela1[[#This Row],[CC]],CC!$A$1:$H$403,8,0),"")</f>
        <v>OP1</v>
      </c>
    </row>
    <row r="230" spans="1:19" x14ac:dyDescent="0.3">
      <c r="A230" s="25">
        <v>1360</v>
      </c>
      <c r="B230" s="25" t="str">
        <f>IFERROR(VLOOKUP(Tabela1[[#This Row],[CC]],#REF!,5,0),"")</f>
        <v/>
      </c>
      <c r="C230" t="s">
        <v>32</v>
      </c>
      <c r="D230" t="s">
        <v>24</v>
      </c>
      <c r="E230" t="s">
        <v>338</v>
      </c>
      <c r="F230" t="s">
        <v>586</v>
      </c>
      <c r="G230" s="110">
        <v>3759</v>
      </c>
      <c r="H230" s="12">
        <v>45658</v>
      </c>
      <c r="I230" s="24">
        <v>31250.240000000002</v>
      </c>
      <c r="J230" s="24">
        <v>29328.35</v>
      </c>
      <c r="K230" s="3">
        <v>45679</v>
      </c>
      <c r="L230" s="91">
        <v>45719</v>
      </c>
      <c r="M230" s="11">
        <v>45721</v>
      </c>
      <c r="N230" s="18" t="s">
        <v>588</v>
      </c>
      <c r="O230" s="35"/>
      <c r="P230"/>
      <c r="Q230" t="s">
        <v>55</v>
      </c>
      <c r="R230" t="s">
        <v>231</v>
      </c>
      <c r="S230" t="str">
        <f>IFERROR(VLOOKUP(Tabela1[[#This Row],[CC]],CC!$A$1:$H$403,8,0),"")</f>
        <v>OP1</v>
      </c>
    </row>
    <row r="231" spans="1:19" x14ac:dyDescent="0.3">
      <c r="A231" s="25">
        <v>1360</v>
      </c>
      <c r="B231" s="25" t="str">
        <f>IFERROR(VLOOKUP(Tabela1[[#This Row],[CC]],#REF!,5,0),"")</f>
        <v/>
      </c>
      <c r="C231" t="s">
        <v>32</v>
      </c>
      <c r="D231" t="s">
        <v>24</v>
      </c>
      <c r="E231" t="s">
        <v>338</v>
      </c>
      <c r="F231" t="s">
        <v>586</v>
      </c>
      <c r="G231" s="110">
        <v>3758</v>
      </c>
      <c r="H231" s="12">
        <v>45658</v>
      </c>
      <c r="I231" s="24">
        <v>76074.149999999994</v>
      </c>
      <c r="J231" s="24">
        <v>71395.600000000006</v>
      </c>
      <c r="K231" s="3">
        <v>45679</v>
      </c>
      <c r="L231" s="91">
        <v>45719</v>
      </c>
      <c r="M231" s="11">
        <v>45721</v>
      </c>
      <c r="N231" s="18" t="s">
        <v>588</v>
      </c>
      <c r="O231" s="35"/>
      <c r="P231"/>
      <c r="Q231" t="s">
        <v>55</v>
      </c>
      <c r="R231" t="s">
        <v>231</v>
      </c>
      <c r="S231" t="str">
        <f>IFERROR(VLOOKUP(Tabela1[[#This Row],[CC]],CC!$A$1:$H$403,8,0),"")</f>
        <v>OP1</v>
      </c>
    </row>
    <row r="232" spans="1:19" x14ac:dyDescent="0.3">
      <c r="A232" s="25">
        <v>1360</v>
      </c>
      <c r="B232" s="25" t="str">
        <f>IFERROR(VLOOKUP(Tabela1[[#This Row],[CC]],#REF!,5,0),"")</f>
        <v/>
      </c>
      <c r="C232" t="s">
        <v>32</v>
      </c>
      <c r="D232" t="s">
        <v>24</v>
      </c>
      <c r="E232" t="s">
        <v>338</v>
      </c>
      <c r="F232" t="s">
        <v>586</v>
      </c>
      <c r="G232" s="110">
        <v>3773</v>
      </c>
      <c r="H232" s="12">
        <v>45658</v>
      </c>
      <c r="I232" s="24">
        <v>35963.199999999997</v>
      </c>
      <c r="J232" s="24">
        <v>33751.46</v>
      </c>
      <c r="K232" s="3">
        <v>45684</v>
      </c>
      <c r="L232" s="91">
        <v>45719</v>
      </c>
      <c r="M232" s="11">
        <v>45721</v>
      </c>
      <c r="N232" s="18" t="s">
        <v>588</v>
      </c>
      <c r="O232" s="35"/>
      <c r="P232"/>
      <c r="Q232" t="s">
        <v>55</v>
      </c>
      <c r="R232" t="s">
        <v>231</v>
      </c>
      <c r="S232" t="str">
        <f>IFERROR(VLOOKUP(Tabela1[[#This Row],[CC]],CC!$A$1:$H$403,8,0),"")</f>
        <v>OP1</v>
      </c>
    </row>
    <row r="233" spans="1:19" x14ac:dyDescent="0.3">
      <c r="A233" s="25">
        <v>1360</v>
      </c>
      <c r="B233" s="25" t="str">
        <f>IFERROR(VLOOKUP(Tabela1[[#This Row],[CC]],#REF!,5,0),"")</f>
        <v/>
      </c>
      <c r="C233" t="s">
        <v>32</v>
      </c>
      <c r="D233" t="s">
        <v>24</v>
      </c>
      <c r="E233" t="s">
        <v>338</v>
      </c>
      <c r="F233" t="s">
        <v>586</v>
      </c>
      <c r="G233" s="110">
        <v>3771</v>
      </c>
      <c r="H233" s="12">
        <v>45658</v>
      </c>
      <c r="I233" s="24">
        <v>7528</v>
      </c>
      <c r="J233" s="24">
        <v>7065.03</v>
      </c>
      <c r="K233" s="3">
        <v>45684</v>
      </c>
      <c r="L233" s="91">
        <v>45719</v>
      </c>
      <c r="M233" s="11">
        <v>45721</v>
      </c>
      <c r="N233" s="18" t="s">
        <v>588</v>
      </c>
      <c r="O233" s="35"/>
      <c r="P233"/>
      <c r="Q233" t="s">
        <v>55</v>
      </c>
      <c r="R233" t="s">
        <v>231</v>
      </c>
      <c r="S233" t="str">
        <f>IFERROR(VLOOKUP(Tabela1[[#This Row],[CC]],CC!$A$1:$H$403,8,0),"")</f>
        <v>OP1</v>
      </c>
    </row>
    <row r="234" spans="1:19" x14ac:dyDescent="0.3">
      <c r="A234" s="25">
        <v>1360</v>
      </c>
      <c r="B234" s="25" t="str">
        <f>IFERROR(VLOOKUP(Tabela1[[#This Row],[CC]],#REF!,5,0),"")</f>
        <v/>
      </c>
      <c r="C234" t="s">
        <v>32</v>
      </c>
      <c r="D234" t="s">
        <v>24</v>
      </c>
      <c r="E234" t="s">
        <v>338</v>
      </c>
      <c r="F234" t="s">
        <v>586</v>
      </c>
      <c r="G234" s="110">
        <v>3774</v>
      </c>
      <c r="H234" s="12">
        <v>45658</v>
      </c>
      <c r="I234" s="24">
        <v>86083.6</v>
      </c>
      <c r="J234" s="24">
        <v>80789.460000000006</v>
      </c>
      <c r="K234" s="3">
        <v>45685</v>
      </c>
      <c r="L234" s="91">
        <v>45719</v>
      </c>
      <c r="M234" s="11">
        <v>45721</v>
      </c>
      <c r="N234" s="18" t="s">
        <v>588</v>
      </c>
      <c r="O234" s="35"/>
      <c r="P234"/>
      <c r="Q234" t="s">
        <v>55</v>
      </c>
      <c r="R234" t="s">
        <v>231</v>
      </c>
      <c r="S234" t="str">
        <f>IFERROR(VLOOKUP(Tabela1[[#This Row],[CC]],CC!$A$1:$H$403,8,0),"")</f>
        <v>OP1</v>
      </c>
    </row>
    <row r="235" spans="1:19" x14ac:dyDescent="0.3">
      <c r="A235" s="25">
        <v>1360</v>
      </c>
      <c r="B235" s="25" t="str">
        <f>IFERROR(VLOOKUP(Tabela1[[#This Row],[CC]],#REF!,5,0),"")</f>
        <v/>
      </c>
      <c r="C235" t="s">
        <v>32</v>
      </c>
      <c r="D235" t="s">
        <v>24</v>
      </c>
      <c r="E235" t="s">
        <v>338</v>
      </c>
      <c r="F235" t="s">
        <v>586</v>
      </c>
      <c r="G235" s="110">
        <v>3845</v>
      </c>
      <c r="H235" s="12">
        <v>45658</v>
      </c>
      <c r="I235" s="24">
        <v>22584</v>
      </c>
      <c r="J235" s="24">
        <v>21195.08</v>
      </c>
      <c r="K235" s="3">
        <v>45713</v>
      </c>
      <c r="L235" s="91">
        <v>45747</v>
      </c>
      <c r="M235" s="11">
        <v>45747</v>
      </c>
      <c r="N235" s="18" t="s">
        <v>588</v>
      </c>
      <c r="O235" s="35"/>
      <c r="P235"/>
      <c r="Q235" t="s">
        <v>55</v>
      </c>
      <c r="R235" t="s">
        <v>231</v>
      </c>
      <c r="S235" t="str">
        <f>IFERROR(VLOOKUP(Tabela1[[#This Row],[CC]],CC!$A$1:$H$403,8,0),"")</f>
        <v>OP1</v>
      </c>
    </row>
    <row r="236" spans="1:19" x14ac:dyDescent="0.3">
      <c r="A236" s="25">
        <v>1387</v>
      </c>
      <c r="B236" s="25" t="str">
        <f>IFERROR(VLOOKUP(Tabela1[[#This Row],[CC]],#REF!,5,0),"")</f>
        <v/>
      </c>
      <c r="C236" t="s">
        <v>32</v>
      </c>
      <c r="D236" t="s">
        <v>24</v>
      </c>
      <c r="E236" t="s">
        <v>372</v>
      </c>
      <c r="F236" t="s">
        <v>586</v>
      </c>
      <c r="G236" s="110">
        <v>3756</v>
      </c>
      <c r="H236" s="12">
        <v>45658</v>
      </c>
      <c r="I236" s="24">
        <v>30648</v>
      </c>
      <c r="J236" s="24">
        <v>28763.15</v>
      </c>
      <c r="K236" s="3">
        <v>45678</v>
      </c>
      <c r="L236" s="91">
        <v>45719</v>
      </c>
      <c r="M236" s="11">
        <v>45721</v>
      </c>
      <c r="N236" s="18" t="s">
        <v>588</v>
      </c>
      <c r="O236" s="35"/>
      <c r="P236"/>
      <c r="Q236" t="s">
        <v>58</v>
      </c>
      <c r="R236" t="s">
        <v>231</v>
      </c>
      <c r="S236" t="str">
        <f>IFERROR(VLOOKUP(Tabela1[[#This Row],[CC]],CC!$A$1:$H$403,8,0),"")</f>
        <v>OP1</v>
      </c>
    </row>
    <row r="237" spans="1:19" x14ac:dyDescent="0.3">
      <c r="A237" s="25">
        <v>1387</v>
      </c>
      <c r="B237" s="25" t="str">
        <f>IFERROR(VLOOKUP(Tabela1[[#This Row],[CC]],#REF!,5,0),"")</f>
        <v/>
      </c>
      <c r="C237" t="s">
        <v>32</v>
      </c>
      <c r="D237" t="s">
        <v>24</v>
      </c>
      <c r="E237" t="s">
        <v>372</v>
      </c>
      <c r="F237" t="s">
        <v>586</v>
      </c>
      <c r="G237" s="110">
        <v>3761</v>
      </c>
      <c r="H237" s="12">
        <v>45658</v>
      </c>
      <c r="I237" s="24">
        <v>30932.959999999999</v>
      </c>
      <c r="J237" s="24">
        <v>29030.59</v>
      </c>
      <c r="K237" s="3">
        <v>45679</v>
      </c>
      <c r="L237" s="91">
        <v>45719</v>
      </c>
      <c r="M237" s="11">
        <v>45721</v>
      </c>
      <c r="N237" s="18" t="s">
        <v>588</v>
      </c>
      <c r="O237" s="35"/>
      <c r="P237"/>
      <c r="Q237" t="s">
        <v>58</v>
      </c>
      <c r="R237" t="s">
        <v>231</v>
      </c>
      <c r="S237" t="str">
        <f>IFERROR(VLOOKUP(Tabela1[[#This Row],[CC]],CC!$A$1:$H$403,8,0),"")</f>
        <v>OP1</v>
      </c>
    </row>
    <row r="238" spans="1:19" x14ac:dyDescent="0.3">
      <c r="A238" s="25">
        <v>1387</v>
      </c>
      <c r="B238" s="25" t="str">
        <f>IFERROR(VLOOKUP(Tabela1[[#This Row],[CC]],#REF!,5,0),"")</f>
        <v/>
      </c>
      <c r="C238" t="s">
        <v>32</v>
      </c>
      <c r="D238" t="s">
        <v>24</v>
      </c>
      <c r="E238" t="s">
        <v>372</v>
      </c>
      <c r="F238" t="s">
        <v>586</v>
      </c>
      <c r="G238" s="110">
        <v>3772</v>
      </c>
      <c r="H238" s="12">
        <v>45658</v>
      </c>
      <c r="I238" s="24">
        <v>3838.8</v>
      </c>
      <c r="J238" s="24">
        <v>3602.72</v>
      </c>
      <c r="K238" s="3">
        <v>45684</v>
      </c>
      <c r="L238" s="91">
        <v>45719</v>
      </c>
      <c r="M238" s="11">
        <v>45721</v>
      </c>
      <c r="N238" s="18" t="s">
        <v>588</v>
      </c>
      <c r="O238" s="35"/>
      <c r="P238"/>
      <c r="Q238" t="s">
        <v>58</v>
      </c>
      <c r="R238" t="s">
        <v>231</v>
      </c>
      <c r="S238" t="str">
        <f>IFERROR(VLOOKUP(Tabela1[[#This Row],[CC]],CC!$A$1:$H$403,8,0),"")</f>
        <v>OP1</v>
      </c>
    </row>
    <row r="239" spans="1:19" x14ac:dyDescent="0.3">
      <c r="A239" s="25">
        <v>1387</v>
      </c>
      <c r="B239" s="25" t="str">
        <f>IFERROR(VLOOKUP(Tabela1[[#This Row],[CC]],#REF!,5,0),"")</f>
        <v/>
      </c>
      <c r="C239" t="s">
        <v>32</v>
      </c>
      <c r="D239" t="s">
        <v>24</v>
      </c>
      <c r="E239" t="s">
        <v>372</v>
      </c>
      <c r="F239" t="s">
        <v>586</v>
      </c>
      <c r="G239" s="110">
        <v>3775</v>
      </c>
      <c r="H239" s="12">
        <v>45658</v>
      </c>
      <c r="I239" s="24">
        <v>68822.720000000001</v>
      </c>
      <c r="J239" s="24">
        <v>64590.12</v>
      </c>
      <c r="K239" s="3">
        <v>45685</v>
      </c>
      <c r="L239" s="91">
        <v>45719</v>
      </c>
      <c r="M239" s="11">
        <v>45721</v>
      </c>
      <c r="N239" s="18" t="s">
        <v>588</v>
      </c>
      <c r="O239" s="35"/>
      <c r="P239"/>
      <c r="Q239" t="s">
        <v>58</v>
      </c>
      <c r="R239" t="s">
        <v>231</v>
      </c>
      <c r="S239" t="str">
        <f>IFERROR(VLOOKUP(Tabela1[[#This Row],[CC]],CC!$A$1:$H$403,8,0),"")</f>
        <v>OP1</v>
      </c>
    </row>
    <row r="240" spans="1:19" x14ac:dyDescent="0.3">
      <c r="A240" s="25">
        <v>1470</v>
      </c>
      <c r="B240" s="25" t="str">
        <f>IFERROR(VLOOKUP(Tabela1[[#This Row],[CC]],#REF!,5,0),"")</f>
        <v/>
      </c>
      <c r="C240" t="s">
        <v>67</v>
      </c>
      <c r="D240" t="s">
        <v>44</v>
      </c>
      <c r="E240" t="s">
        <v>475</v>
      </c>
      <c r="F240" t="s">
        <v>586</v>
      </c>
      <c r="G240" s="110">
        <v>8202</v>
      </c>
      <c r="H240" s="12">
        <v>45658</v>
      </c>
      <c r="I240" s="24">
        <v>36700</v>
      </c>
      <c r="J240" s="24">
        <v>33708.949999999997</v>
      </c>
      <c r="K240" s="3">
        <v>45691</v>
      </c>
      <c r="L240" s="91">
        <v>45705</v>
      </c>
      <c r="M240" s="11">
        <v>45705</v>
      </c>
      <c r="N240" s="18" t="s">
        <v>588</v>
      </c>
      <c r="O240" s="35">
        <v>0</v>
      </c>
      <c r="P240" s="26"/>
      <c r="Q240" t="s">
        <v>58</v>
      </c>
      <c r="R240" t="s">
        <v>183</v>
      </c>
      <c r="S240" t="str">
        <f>IFERROR(VLOOKUP(Tabela1[[#This Row],[CC]],CC!$A$1:$H$403,8,0),"")</f>
        <v>OP4</v>
      </c>
    </row>
    <row r="241" spans="1:19" x14ac:dyDescent="0.3">
      <c r="A241" s="25">
        <v>1287</v>
      </c>
      <c r="B241" s="25" t="str">
        <f>IFERROR(VLOOKUP(Tabela1[[#This Row],[CC]],#REF!,5,0),"")</f>
        <v/>
      </c>
      <c r="C241" t="s">
        <v>60</v>
      </c>
      <c r="D241" t="s">
        <v>19</v>
      </c>
      <c r="E241" t="s">
        <v>261</v>
      </c>
      <c r="F241" t="s">
        <v>586</v>
      </c>
      <c r="G241" s="110">
        <v>1223</v>
      </c>
      <c r="H241" s="12">
        <v>45658</v>
      </c>
      <c r="I241" s="24">
        <v>314860.65000000002</v>
      </c>
      <c r="J241" s="24">
        <v>282430.01</v>
      </c>
      <c r="K241" s="3">
        <v>45706</v>
      </c>
      <c r="L241" s="91">
        <v>45733</v>
      </c>
      <c r="M241" s="11">
        <v>45736</v>
      </c>
      <c r="N241" s="18" t="s">
        <v>588</v>
      </c>
      <c r="O241" s="35">
        <v>0</v>
      </c>
      <c r="P241" s="26"/>
      <c r="Q241" t="s">
        <v>55</v>
      </c>
      <c r="R241" t="s">
        <v>195</v>
      </c>
      <c r="S241" t="str">
        <f>IFERROR(VLOOKUP(Tabela1[[#This Row],[CC]],CC!$A$1:$H$403,8,0),"")</f>
        <v>OP3</v>
      </c>
    </row>
    <row r="242" spans="1:19" x14ac:dyDescent="0.3">
      <c r="A242" s="25">
        <v>1273</v>
      </c>
      <c r="B242" s="25" t="str">
        <f>IFERROR(VLOOKUP(Tabela1[[#This Row],[CC]],#REF!,5,0),"")</f>
        <v/>
      </c>
      <c r="C242" t="s">
        <v>60</v>
      </c>
      <c r="D242" t="s">
        <v>19</v>
      </c>
      <c r="E242" t="s">
        <v>244</v>
      </c>
      <c r="F242" t="s">
        <v>586</v>
      </c>
      <c r="G242" s="110">
        <v>1227</v>
      </c>
      <c r="H242" s="12">
        <v>45658</v>
      </c>
      <c r="I242" s="2">
        <v>562961.24</v>
      </c>
      <c r="J242" s="24">
        <v>504976.24</v>
      </c>
      <c r="K242" s="3">
        <v>45723</v>
      </c>
      <c r="L242" s="91">
        <v>45740</v>
      </c>
      <c r="M242" s="11">
        <v>45741</v>
      </c>
      <c r="N242" s="18" t="s">
        <v>588</v>
      </c>
      <c r="O242" s="35">
        <v>0</v>
      </c>
      <c r="P242"/>
      <c r="Q242" t="s">
        <v>58</v>
      </c>
      <c r="R242" t="s">
        <v>195</v>
      </c>
      <c r="S242" t="str">
        <f>IFERROR(VLOOKUP(Tabela1[[#This Row],[CC]],CC!$A$1:$H$403,8,0),"")</f>
        <v>OP3</v>
      </c>
    </row>
    <row r="243" spans="1:19" x14ac:dyDescent="0.3">
      <c r="A243" s="8">
        <v>1277</v>
      </c>
      <c r="B243" s="8" t="str">
        <f>IFERROR(VLOOKUP(Tabela1[[#This Row],[CC]],#REF!,5,0),"")</f>
        <v/>
      </c>
      <c r="C243" t="s">
        <v>60</v>
      </c>
      <c r="D243" t="s">
        <v>19</v>
      </c>
      <c r="E243" t="s">
        <v>248</v>
      </c>
      <c r="F243" t="s">
        <v>586</v>
      </c>
      <c r="G243" s="110">
        <v>1228</v>
      </c>
      <c r="H243" s="12">
        <v>45658</v>
      </c>
      <c r="I243" s="24">
        <v>154365.24</v>
      </c>
      <c r="J243" s="10">
        <v>138465.63</v>
      </c>
      <c r="K243" s="3">
        <v>45723</v>
      </c>
      <c r="L243" s="91">
        <v>45740</v>
      </c>
      <c r="M243" s="11">
        <v>45741</v>
      </c>
      <c r="N243" s="18" t="s">
        <v>588</v>
      </c>
      <c r="O243" s="34">
        <v>0</v>
      </c>
      <c r="P243"/>
      <c r="Q243" t="s">
        <v>58</v>
      </c>
      <c r="R243" t="s">
        <v>195</v>
      </c>
      <c r="S243" t="str">
        <f>IFERROR(VLOOKUP(Tabela1[[#This Row],[CC]],CC!$A$1:$H$403,8,0),"")</f>
        <v>OP3</v>
      </c>
    </row>
    <row r="244" spans="1:19" x14ac:dyDescent="0.3">
      <c r="A244" s="25">
        <v>1483</v>
      </c>
      <c r="B244" s="25" t="str">
        <f>IFERROR(VLOOKUP(Tabela1[[#This Row],[CC]],#REF!,5,0),"")</f>
        <v/>
      </c>
      <c r="C244" t="s">
        <v>67</v>
      </c>
      <c r="D244" t="s">
        <v>45</v>
      </c>
      <c r="E244" t="s">
        <v>488</v>
      </c>
      <c r="F244" t="s">
        <v>586</v>
      </c>
      <c r="G244" s="110">
        <v>8200</v>
      </c>
      <c r="H244" s="12">
        <v>45658</v>
      </c>
      <c r="I244" s="24">
        <v>53591.199999999997</v>
      </c>
      <c r="J244" s="24">
        <v>50295.34</v>
      </c>
      <c r="K244" s="3">
        <v>45691</v>
      </c>
      <c r="L244" s="91">
        <v>45719</v>
      </c>
      <c r="M244" s="11">
        <v>45722</v>
      </c>
      <c r="N244" s="18" t="s">
        <v>588</v>
      </c>
      <c r="O244" s="35">
        <v>0</v>
      </c>
      <c r="P244" s="26"/>
      <c r="Q244" t="s">
        <v>58</v>
      </c>
      <c r="R244" t="s">
        <v>183</v>
      </c>
      <c r="S244" t="str">
        <f>IFERROR(VLOOKUP(Tabela1[[#This Row],[CC]],CC!$A$1:$H$403,8,0),"")</f>
        <v>OP2</v>
      </c>
    </row>
    <row r="245" spans="1:19" x14ac:dyDescent="0.3">
      <c r="A245" s="25">
        <v>1390</v>
      </c>
      <c r="B245" s="25" t="str">
        <f>IFERROR(VLOOKUP(Tabela1[[#This Row],[CC]],#REF!,5,0),"")</f>
        <v/>
      </c>
      <c r="C245" t="str">
        <f>IFERROR(VLOOKUP(Tabela1[[#This Row],[CC]],CC!$A$1:$H$389,7,0),"")</f>
        <v>JOSÉ NETO</v>
      </c>
      <c r="D245" t="str">
        <f>IFERROR(VLOOKUP(Tabela1[[#This Row],[CC]],CC!$A$1:$I$3869,3,0),"")</f>
        <v>OI</v>
      </c>
      <c r="E245" t="str">
        <f>IFERROR(VLOOKUP(Tabela1[[#This Row],[CC]],CC!$A$1:$H$389,2,0),"")</f>
        <v>OI - DIGITAL SUPORT (1390)</v>
      </c>
      <c r="F245" t="s">
        <v>586</v>
      </c>
      <c r="G245" s="110">
        <v>1307</v>
      </c>
      <c r="H245" s="12">
        <v>45901</v>
      </c>
      <c r="I245" s="24">
        <v>146956.59</v>
      </c>
      <c r="J245" s="24">
        <v>129836.15</v>
      </c>
      <c r="K245" s="3">
        <v>45953</v>
      </c>
      <c r="L245" s="91">
        <v>46041</v>
      </c>
      <c r="M245" s="11">
        <v>46041</v>
      </c>
      <c r="N245" s="18" t="s">
        <v>588</v>
      </c>
      <c r="O245" s="35"/>
      <c r="P245"/>
      <c r="Q245" t="str">
        <f>IFERROR(VLOOKUP(Tabela1[[#This Row],[CC]],CC!$A$1:$H$389,5,0),"")</f>
        <v>CSA</v>
      </c>
      <c r="R245" t="str">
        <f>IFERROR(VLOOKUP(Tabela1[[#This Row],[CC]],CC!$A$1:$H$389,6,0),"")</f>
        <v>UT</v>
      </c>
      <c r="S245" t="str">
        <f>IFERROR(VLOOKUP(Tabela1[[#This Row],[CC]],CC!$A$1:$H$403,8,0),"")</f>
        <v>OP2</v>
      </c>
    </row>
    <row r="246" spans="1:19" x14ac:dyDescent="0.3">
      <c r="A246" s="25">
        <v>1275</v>
      </c>
      <c r="B246" s="25" t="str">
        <f>IFERROR(VLOOKUP(Tabela1[[#This Row],[CC]],#REF!,5,0),"")</f>
        <v/>
      </c>
      <c r="C246" t="s">
        <v>51</v>
      </c>
      <c r="D246" t="s">
        <v>41</v>
      </c>
      <c r="E246" t="s">
        <v>246</v>
      </c>
      <c r="F246" t="s">
        <v>586</v>
      </c>
      <c r="G246" s="110">
        <v>3782</v>
      </c>
      <c r="H246" s="12">
        <v>45658</v>
      </c>
      <c r="I246" s="24">
        <v>31920</v>
      </c>
      <c r="J246" s="27">
        <v>29956.92</v>
      </c>
      <c r="K246" s="3">
        <v>45691</v>
      </c>
      <c r="L246" s="91">
        <v>45712</v>
      </c>
      <c r="M246" s="11">
        <v>45716</v>
      </c>
      <c r="N246" s="18" t="s">
        <v>588</v>
      </c>
      <c r="O246" s="35">
        <v>0</v>
      </c>
      <c r="P246" s="26"/>
      <c r="Q246" t="s">
        <v>55</v>
      </c>
      <c r="R246" t="s">
        <v>231</v>
      </c>
      <c r="S246" t="str">
        <f>IFERROR(VLOOKUP(Tabela1[[#This Row],[CC]],CC!$A$1:$H$403,8,0),"")</f>
        <v>OP2</v>
      </c>
    </row>
    <row r="247" spans="1:19" x14ac:dyDescent="0.3">
      <c r="A247" s="25">
        <v>1479</v>
      </c>
      <c r="B247" s="25" t="str">
        <f>IFERROR(VLOOKUP(Tabela1[[#This Row],[CC]],#REF!,5,0),"")</f>
        <v/>
      </c>
      <c r="C247" t="s">
        <v>51</v>
      </c>
      <c r="D247" t="s">
        <v>41</v>
      </c>
      <c r="E247" t="s">
        <v>484</v>
      </c>
      <c r="F247" t="s">
        <v>586</v>
      </c>
      <c r="G247" s="110">
        <v>3796</v>
      </c>
      <c r="H247" s="12">
        <v>45658</v>
      </c>
      <c r="I247" s="24">
        <v>52080</v>
      </c>
      <c r="J247" s="27">
        <v>48877.08</v>
      </c>
      <c r="K247" s="3">
        <v>45694</v>
      </c>
      <c r="L247" s="91">
        <v>45712</v>
      </c>
      <c r="M247" s="11">
        <v>45716</v>
      </c>
      <c r="N247" s="18" t="s">
        <v>588</v>
      </c>
      <c r="O247" s="35">
        <v>0</v>
      </c>
      <c r="P247" s="26"/>
      <c r="Q247" t="s">
        <v>57</v>
      </c>
      <c r="R247" t="s">
        <v>231</v>
      </c>
      <c r="S247" t="str">
        <f>IFERROR(VLOOKUP(Tabela1[[#This Row],[CC]],CC!$A$1:$H$403,8,0),"")</f>
        <v>OP2</v>
      </c>
    </row>
    <row r="248" spans="1:19" x14ac:dyDescent="0.3">
      <c r="A248" s="25">
        <v>1455</v>
      </c>
      <c r="B248" s="25" t="str">
        <f>IFERROR(VLOOKUP(Tabela1[[#This Row],[CC]],#REF!,5,0),"")</f>
        <v/>
      </c>
      <c r="C248" t="s">
        <v>70</v>
      </c>
      <c r="D248" t="s">
        <v>31</v>
      </c>
      <c r="E248" t="s">
        <v>455</v>
      </c>
      <c r="F248" t="s">
        <v>586</v>
      </c>
      <c r="G248" s="110">
        <v>1224</v>
      </c>
      <c r="H248" s="12">
        <v>45689</v>
      </c>
      <c r="I248" s="24">
        <v>54003.39</v>
      </c>
      <c r="J248" s="24">
        <v>47712</v>
      </c>
      <c r="K248" s="3">
        <v>45721</v>
      </c>
      <c r="L248" s="91">
        <v>45747</v>
      </c>
      <c r="M248" s="11">
        <v>45747</v>
      </c>
      <c r="N248" s="21" t="s">
        <v>588</v>
      </c>
      <c r="O248" s="41"/>
      <c r="P248" s="26"/>
      <c r="Q248" t="s">
        <v>58</v>
      </c>
      <c r="R248" t="s">
        <v>228</v>
      </c>
      <c r="S248" t="str">
        <f>IFERROR(VLOOKUP(Tabela1[[#This Row],[CC]],CC!$A$1:$H$403,8,0),"")</f>
        <v>OP4</v>
      </c>
    </row>
    <row r="249" spans="1:19" x14ac:dyDescent="0.3">
      <c r="A249" s="25">
        <v>1478</v>
      </c>
      <c r="B249" s="25" t="str">
        <f>IFERROR(VLOOKUP(Tabela1[[#This Row],[CC]],#REF!,5,0),"")</f>
        <v/>
      </c>
      <c r="C249" t="s">
        <v>32</v>
      </c>
      <c r="D249" t="s">
        <v>54</v>
      </c>
      <c r="E249" t="s">
        <v>483</v>
      </c>
      <c r="F249" t="s">
        <v>586</v>
      </c>
      <c r="G249" s="110">
        <v>8241</v>
      </c>
      <c r="H249" s="12">
        <v>45689</v>
      </c>
      <c r="I249" s="24">
        <v>76256.009999999995</v>
      </c>
      <c r="J249" s="24">
        <v>71566.27</v>
      </c>
      <c r="K249" s="3">
        <v>45726</v>
      </c>
      <c r="L249" s="91">
        <v>45761</v>
      </c>
      <c r="M249" s="11">
        <v>45762</v>
      </c>
      <c r="N249" s="18" t="s">
        <v>588</v>
      </c>
      <c r="O249" s="35"/>
      <c r="P249"/>
      <c r="Q249" t="s">
        <v>55</v>
      </c>
      <c r="R249" t="s">
        <v>231</v>
      </c>
      <c r="S249" t="str">
        <f>IFERROR(VLOOKUP(Tabela1[[#This Row],[CC]],CC!$A$1:$H$403,8,0),"")</f>
        <v>OP1</v>
      </c>
    </row>
    <row r="250" spans="1:19" x14ac:dyDescent="0.3">
      <c r="A250" s="8">
        <v>1391</v>
      </c>
      <c r="B250" s="8" t="str">
        <f>IFERROR(VLOOKUP(Tabela1[[#This Row],[CC]],#REF!,5,0),"")</f>
        <v/>
      </c>
      <c r="C250" t="s">
        <v>32</v>
      </c>
      <c r="D250" t="s">
        <v>52</v>
      </c>
      <c r="E250" t="s">
        <v>375</v>
      </c>
      <c r="F250" t="s">
        <v>586</v>
      </c>
      <c r="G250" s="110">
        <v>3871</v>
      </c>
      <c r="H250" s="12">
        <v>45689</v>
      </c>
      <c r="I250" s="28">
        <v>154804.57</v>
      </c>
      <c r="J250" s="28">
        <v>145284.07999999999</v>
      </c>
      <c r="K250" s="3">
        <v>45726</v>
      </c>
      <c r="L250" s="91">
        <v>45740</v>
      </c>
      <c r="M250" s="11">
        <v>45741</v>
      </c>
      <c r="N250" s="1" t="s">
        <v>588</v>
      </c>
      <c r="O250" s="37"/>
      <c r="P250" s="14"/>
      <c r="Q250" t="s">
        <v>55</v>
      </c>
      <c r="R250" t="s">
        <v>231</v>
      </c>
      <c r="S250" t="str">
        <f>IFERROR(VLOOKUP(Tabela1[[#This Row],[CC]],CC!$A$1:$H$403,8,0),"")</f>
        <v>OP1</v>
      </c>
    </row>
    <row r="251" spans="1:19" x14ac:dyDescent="0.3">
      <c r="A251" s="8">
        <v>1391</v>
      </c>
      <c r="B251" s="8" t="str">
        <f>IFERROR(VLOOKUP(Tabela1[[#This Row],[CC]],#REF!,5,0),"")</f>
        <v/>
      </c>
      <c r="C251" t="s">
        <v>32</v>
      </c>
      <c r="D251" t="s">
        <v>52</v>
      </c>
      <c r="E251" t="s">
        <v>375</v>
      </c>
      <c r="F251" t="s">
        <v>586</v>
      </c>
      <c r="G251" s="110">
        <v>3884</v>
      </c>
      <c r="H251" s="12">
        <v>45689</v>
      </c>
      <c r="I251" s="28">
        <v>5074.72</v>
      </c>
      <c r="J251" s="28">
        <v>4762.63</v>
      </c>
      <c r="K251" s="3">
        <v>45729</v>
      </c>
      <c r="L251" s="91">
        <v>45740</v>
      </c>
      <c r="M251" s="11">
        <v>45744</v>
      </c>
      <c r="N251" s="1" t="s">
        <v>588</v>
      </c>
      <c r="O251" s="37"/>
      <c r="P251" s="14"/>
      <c r="Q251" t="s">
        <v>55</v>
      </c>
      <c r="R251" t="s">
        <v>231</v>
      </c>
      <c r="S251" t="str">
        <f>IFERROR(VLOOKUP(Tabela1[[#This Row],[CC]],CC!$A$1:$H$403,8,0),"")</f>
        <v>OP1</v>
      </c>
    </row>
    <row r="252" spans="1:19" x14ac:dyDescent="0.3">
      <c r="A252" s="8">
        <v>1391</v>
      </c>
      <c r="B252" s="8" t="str">
        <f>IFERROR(VLOOKUP(Tabela1[[#This Row],[CC]],#REF!,5,0),"")</f>
        <v/>
      </c>
      <c r="C252" t="s">
        <v>32</v>
      </c>
      <c r="D252" t="s">
        <v>52</v>
      </c>
      <c r="E252" t="s">
        <v>375</v>
      </c>
      <c r="F252" t="s">
        <v>586</v>
      </c>
      <c r="G252" s="110">
        <v>3885</v>
      </c>
      <c r="H252" s="12">
        <v>45689</v>
      </c>
      <c r="I252" s="28">
        <v>186897.84</v>
      </c>
      <c r="J252" s="28">
        <v>175403.62</v>
      </c>
      <c r="K252" s="3">
        <v>45729</v>
      </c>
      <c r="L252" s="91">
        <v>45740</v>
      </c>
      <c r="M252" s="11">
        <v>45744</v>
      </c>
      <c r="N252" s="1" t="s">
        <v>588</v>
      </c>
      <c r="O252" s="37"/>
      <c r="P252" s="14"/>
      <c r="Q252" t="s">
        <v>55</v>
      </c>
      <c r="R252" t="s">
        <v>231</v>
      </c>
      <c r="S252" t="str">
        <f>IFERROR(VLOOKUP(Tabela1[[#This Row],[CC]],CC!$A$1:$H$403,8,0),"")</f>
        <v>OP1</v>
      </c>
    </row>
    <row r="253" spans="1:19" x14ac:dyDescent="0.3">
      <c r="A253" s="8">
        <v>1391</v>
      </c>
      <c r="B253" s="8" t="str">
        <f>IFERROR(VLOOKUP(Tabela1[[#This Row],[CC]],#REF!,5,0),"")</f>
        <v/>
      </c>
      <c r="C253" t="s">
        <v>32</v>
      </c>
      <c r="D253" t="s">
        <v>52</v>
      </c>
      <c r="E253" t="s">
        <v>375</v>
      </c>
      <c r="F253" t="s">
        <v>586</v>
      </c>
      <c r="G253" s="110">
        <v>3887</v>
      </c>
      <c r="H253" s="12">
        <v>45689</v>
      </c>
      <c r="I253" s="28">
        <v>29313.599999999999</v>
      </c>
      <c r="J253" s="28">
        <v>27510.82</v>
      </c>
      <c r="K253" s="3">
        <v>45729</v>
      </c>
      <c r="L253" s="91">
        <v>45740</v>
      </c>
      <c r="M253" s="11">
        <v>45744</v>
      </c>
      <c r="N253" s="1" t="s">
        <v>588</v>
      </c>
      <c r="O253" s="37"/>
      <c r="P253" s="14"/>
      <c r="Q253" t="s">
        <v>55</v>
      </c>
      <c r="R253" t="s">
        <v>231</v>
      </c>
      <c r="S253" t="str">
        <f>IFERROR(VLOOKUP(Tabela1[[#This Row],[CC]],CC!$A$1:$H$403,8,0),"")</f>
        <v>OP1</v>
      </c>
    </row>
    <row r="254" spans="1:19" x14ac:dyDescent="0.3">
      <c r="A254" s="8">
        <v>1391</v>
      </c>
      <c r="B254" s="8" t="str">
        <f>IFERROR(VLOOKUP(Tabela1[[#This Row],[CC]],#REF!,5,0),"")</f>
        <v/>
      </c>
      <c r="C254" t="s">
        <v>32</v>
      </c>
      <c r="D254" t="s">
        <v>52</v>
      </c>
      <c r="E254" t="s">
        <v>375</v>
      </c>
      <c r="F254" t="s">
        <v>586</v>
      </c>
      <c r="G254" s="110">
        <v>3891</v>
      </c>
      <c r="H254" s="12">
        <v>45689</v>
      </c>
      <c r="I254" s="28">
        <v>71276.399999999994</v>
      </c>
      <c r="J254" s="28">
        <v>66892.899999999994</v>
      </c>
      <c r="K254" s="3">
        <v>45729</v>
      </c>
      <c r="L254" s="91">
        <v>45740</v>
      </c>
      <c r="M254" s="11">
        <v>45744</v>
      </c>
      <c r="N254" s="1" t="s">
        <v>588</v>
      </c>
      <c r="O254" s="37"/>
      <c r="P254" s="14"/>
      <c r="Q254" t="s">
        <v>55</v>
      </c>
      <c r="R254" t="s">
        <v>231</v>
      </c>
      <c r="S254" t="str">
        <f>IFERROR(VLOOKUP(Tabela1[[#This Row],[CC]],CC!$A$1:$H$403,8,0),"")</f>
        <v>OP1</v>
      </c>
    </row>
    <row r="255" spans="1:19" x14ac:dyDescent="0.3">
      <c r="A255" s="8">
        <v>1391</v>
      </c>
      <c r="B255" s="8" t="str">
        <f>IFERROR(VLOOKUP(Tabela1[[#This Row],[CC]],#REF!,5,0),"")</f>
        <v/>
      </c>
      <c r="C255" t="s">
        <v>32</v>
      </c>
      <c r="D255" t="s">
        <v>52</v>
      </c>
      <c r="E255" t="s">
        <v>375</v>
      </c>
      <c r="F255" t="s">
        <v>586</v>
      </c>
      <c r="G255" s="110">
        <v>3883</v>
      </c>
      <c r="H255" s="12">
        <v>45689</v>
      </c>
      <c r="I255" s="28">
        <v>102952.2</v>
      </c>
      <c r="J255" s="39">
        <v>96620.64</v>
      </c>
      <c r="K255" s="3">
        <v>45728</v>
      </c>
      <c r="L255" s="91">
        <v>45740</v>
      </c>
      <c r="M255" s="11">
        <v>45743</v>
      </c>
      <c r="N255" s="1" t="s">
        <v>588</v>
      </c>
      <c r="O255" s="35">
        <v>0</v>
      </c>
      <c r="P255"/>
      <c r="Q255" t="s">
        <v>55</v>
      </c>
      <c r="R255" t="s">
        <v>231</v>
      </c>
      <c r="S255" t="str">
        <f>IFERROR(VLOOKUP(Tabela1[[#This Row],[CC]],CC!$A$1:$H$403,8,0),"")</f>
        <v>OP1</v>
      </c>
    </row>
    <row r="256" spans="1:19" x14ac:dyDescent="0.3">
      <c r="A256" s="8">
        <v>1391</v>
      </c>
      <c r="B256" s="8" t="str">
        <f>IFERROR(VLOOKUP(Tabela1[[#This Row],[CC]],#REF!,5,0),"")</f>
        <v/>
      </c>
      <c r="C256" t="s">
        <v>32</v>
      </c>
      <c r="D256" t="s">
        <v>52</v>
      </c>
      <c r="E256" t="s">
        <v>375</v>
      </c>
      <c r="F256" t="s">
        <v>586</v>
      </c>
      <c r="G256" s="110">
        <v>3933</v>
      </c>
      <c r="H256" s="12">
        <v>45689</v>
      </c>
      <c r="I256" s="28">
        <v>10546.47</v>
      </c>
      <c r="J256" s="28">
        <v>9897.86</v>
      </c>
      <c r="K256" s="3">
        <v>45747</v>
      </c>
      <c r="L256" s="91">
        <v>45761</v>
      </c>
      <c r="M256" s="11">
        <v>45762</v>
      </c>
      <c r="N256" s="1" t="s">
        <v>588</v>
      </c>
      <c r="O256" s="35">
        <v>0</v>
      </c>
      <c r="P256"/>
      <c r="Q256" t="s">
        <v>55</v>
      </c>
      <c r="R256" t="s">
        <v>231</v>
      </c>
      <c r="S256" t="str">
        <f>IFERROR(VLOOKUP(Tabela1[[#This Row],[CC]],CC!$A$1:$H$403,8,0),"")</f>
        <v>OP1</v>
      </c>
    </row>
    <row r="257" spans="1:19" x14ac:dyDescent="0.3">
      <c r="A257" s="8">
        <v>1391</v>
      </c>
      <c r="B257" s="8" t="str">
        <f>IFERROR(VLOOKUP(Tabela1[[#This Row],[CC]],#REF!,5,0),"")</f>
        <v/>
      </c>
      <c r="C257" t="s">
        <v>32</v>
      </c>
      <c r="D257" t="s">
        <v>52</v>
      </c>
      <c r="E257" t="s">
        <v>375</v>
      </c>
      <c r="F257" t="s">
        <v>586</v>
      </c>
      <c r="G257" s="110">
        <v>3939</v>
      </c>
      <c r="H257" s="12">
        <v>45689</v>
      </c>
      <c r="I257" s="28">
        <v>21118</v>
      </c>
      <c r="J257" s="28">
        <v>19819.240000000002</v>
      </c>
      <c r="K257" s="3">
        <v>45749</v>
      </c>
      <c r="L257" s="91">
        <v>45761</v>
      </c>
      <c r="M257" s="11">
        <v>45764</v>
      </c>
      <c r="N257" s="1" t="s">
        <v>588</v>
      </c>
      <c r="O257" s="35">
        <v>0</v>
      </c>
      <c r="P257"/>
      <c r="Q257" t="s">
        <v>55</v>
      </c>
      <c r="R257" t="s">
        <v>231</v>
      </c>
      <c r="S257" t="str">
        <f>IFERROR(VLOOKUP(Tabela1[[#This Row],[CC]],CC!$A$1:$H$403,8,0),"")</f>
        <v>OP1</v>
      </c>
    </row>
    <row r="258" spans="1:19" x14ac:dyDescent="0.3">
      <c r="A258" s="25">
        <v>1294</v>
      </c>
      <c r="B258" s="25" t="str">
        <f>IFERROR(VLOOKUP(Tabela1[[#This Row],[CC]],#REF!,5,0),"")</f>
        <v/>
      </c>
      <c r="C258" t="s">
        <v>32</v>
      </c>
      <c r="D258" t="s">
        <v>52</v>
      </c>
      <c r="E258" t="s">
        <v>268</v>
      </c>
      <c r="F258" t="s">
        <v>586</v>
      </c>
      <c r="G258" s="110">
        <v>3815</v>
      </c>
      <c r="H258" s="12">
        <v>45689</v>
      </c>
      <c r="I258" s="28">
        <v>41842.06</v>
      </c>
      <c r="J258" s="28">
        <v>39268.769999999997</v>
      </c>
      <c r="K258" s="3">
        <v>45701</v>
      </c>
      <c r="L258" s="91">
        <v>45712</v>
      </c>
      <c r="M258" s="11">
        <v>45716</v>
      </c>
      <c r="N258" s="1" t="s">
        <v>588</v>
      </c>
      <c r="O258" s="35">
        <v>0</v>
      </c>
      <c r="P258"/>
      <c r="Q258" t="s">
        <v>55</v>
      </c>
      <c r="R258" t="s">
        <v>231</v>
      </c>
      <c r="S258" t="str">
        <f>IFERROR(VLOOKUP(Tabela1[[#This Row],[CC]],CC!$A$1:$H$403,8,0),"")</f>
        <v>OP1</v>
      </c>
    </row>
    <row r="259" spans="1:19" x14ac:dyDescent="0.3">
      <c r="A259" s="25">
        <v>1294</v>
      </c>
      <c r="B259" s="25" t="str">
        <f>IFERROR(VLOOKUP(Tabela1[[#This Row],[CC]],#REF!,5,0),"")</f>
        <v/>
      </c>
      <c r="C259" t="s">
        <v>32</v>
      </c>
      <c r="D259" t="s">
        <v>52</v>
      </c>
      <c r="E259" t="s">
        <v>268</v>
      </c>
      <c r="F259" t="s">
        <v>586</v>
      </c>
      <c r="G259" s="110">
        <v>3865</v>
      </c>
      <c r="H259" s="12">
        <v>45689</v>
      </c>
      <c r="I259" s="28">
        <v>6225.2</v>
      </c>
      <c r="J259" s="28">
        <v>5842.35</v>
      </c>
      <c r="K259" s="3">
        <v>45722</v>
      </c>
      <c r="L259" s="91">
        <v>45733</v>
      </c>
      <c r="M259" s="11">
        <v>45737</v>
      </c>
      <c r="N259" s="1" t="s">
        <v>588</v>
      </c>
      <c r="O259" s="35">
        <v>0</v>
      </c>
      <c r="P259"/>
      <c r="Q259" t="s">
        <v>55</v>
      </c>
      <c r="R259" t="s">
        <v>231</v>
      </c>
      <c r="S259" t="str">
        <f>IFERROR(VLOOKUP(Tabela1[[#This Row],[CC]],CC!$A$1:$H$403,8,0),"")</f>
        <v>OP1</v>
      </c>
    </row>
    <row r="260" spans="1:19" x14ac:dyDescent="0.3">
      <c r="A260" s="25">
        <v>1294</v>
      </c>
      <c r="B260" s="25" t="str">
        <f>IFERROR(VLOOKUP(Tabela1[[#This Row],[CC]],#REF!,5,0),"")</f>
        <v/>
      </c>
      <c r="C260" t="s">
        <v>32</v>
      </c>
      <c r="D260" t="s">
        <v>52</v>
      </c>
      <c r="E260" t="s">
        <v>268</v>
      </c>
      <c r="F260" t="s">
        <v>586</v>
      </c>
      <c r="G260" s="110">
        <v>3896</v>
      </c>
      <c r="H260" s="12">
        <v>45689</v>
      </c>
      <c r="I260" s="28">
        <v>10587.49</v>
      </c>
      <c r="J260" s="28">
        <v>9936.36</v>
      </c>
      <c r="K260" s="3">
        <v>45733</v>
      </c>
      <c r="L260" s="91">
        <v>45747</v>
      </c>
      <c r="M260" s="11">
        <v>45747</v>
      </c>
      <c r="N260" s="1" t="s">
        <v>588</v>
      </c>
      <c r="O260" s="35">
        <v>0</v>
      </c>
      <c r="P260"/>
      <c r="Q260" t="s">
        <v>55</v>
      </c>
      <c r="R260" t="s">
        <v>231</v>
      </c>
      <c r="S260" t="str">
        <f>IFERROR(VLOOKUP(Tabela1[[#This Row],[CC]],CC!$A$1:$H$403,8,0),"")</f>
        <v>OP1</v>
      </c>
    </row>
    <row r="261" spans="1:19" x14ac:dyDescent="0.3">
      <c r="A261" s="25">
        <v>1294</v>
      </c>
      <c r="B261" s="25" t="str">
        <f>IFERROR(VLOOKUP(Tabela1[[#This Row],[CC]],#REF!,5,0),"")</f>
        <v/>
      </c>
      <c r="C261" t="s">
        <v>32</v>
      </c>
      <c r="D261" t="s">
        <v>52</v>
      </c>
      <c r="E261" t="s">
        <v>268</v>
      </c>
      <c r="F261" t="s">
        <v>586</v>
      </c>
      <c r="G261" s="110">
        <v>3874</v>
      </c>
      <c r="H261" s="12">
        <v>45689</v>
      </c>
      <c r="I261" s="28">
        <v>191268</v>
      </c>
      <c r="J261" s="28">
        <v>179505.02</v>
      </c>
      <c r="K261" s="3">
        <v>45726</v>
      </c>
      <c r="L261" s="91">
        <v>45740</v>
      </c>
      <c r="M261" s="11">
        <v>45741</v>
      </c>
      <c r="N261" s="1" t="s">
        <v>588</v>
      </c>
      <c r="O261" s="35">
        <v>0</v>
      </c>
      <c r="P261"/>
      <c r="Q261" t="s">
        <v>55</v>
      </c>
      <c r="R261" t="s">
        <v>231</v>
      </c>
      <c r="S261" t="str">
        <f>IFERROR(VLOOKUP(Tabela1[[#This Row],[CC]],CC!$A$1:$H$403,8,0),"")</f>
        <v>OP1</v>
      </c>
    </row>
    <row r="262" spans="1:19" x14ac:dyDescent="0.3">
      <c r="A262" s="25">
        <v>1294</v>
      </c>
      <c r="B262" s="25" t="str">
        <f>IFERROR(VLOOKUP(Tabela1[[#This Row],[CC]],#REF!,5,0),"")</f>
        <v/>
      </c>
      <c r="C262" t="s">
        <v>32</v>
      </c>
      <c r="D262" t="s">
        <v>52</v>
      </c>
      <c r="E262" t="s">
        <v>268</v>
      </c>
      <c r="F262" t="s">
        <v>586</v>
      </c>
      <c r="G262" s="110">
        <v>3873</v>
      </c>
      <c r="H262" s="12">
        <v>45689</v>
      </c>
      <c r="I262" s="28">
        <v>16782.740000000002</v>
      </c>
      <c r="J262" s="28">
        <v>15750.6</v>
      </c>
      <c r="K262" s="3">
        <v>45726</v>
      </c>
      <c r="L262" s="91">
        <v>45740</v>
      </c>
      <c r="M262" s="11">
        <v>45741</v>
      </c>
      <c r="N262" s="1" t="s">
        <v>588</v>
      </c>
      <c r="O262" s="35">
        <v>0</v>
      </c>
      <c r="P262"/>
      <c r="Q262" t="s">
        <v>55</v>
      </c>
      <c r="R262" t="s">
        <v>231</v>
      </c>
      <c r="S262" t="str">
        <f>IFERROR(VLOOKUP(Tabela1[[#This Row],[CC]],CC!$A$1:$H$403,8,0),"")</f>
        <v>OP1</v>
      </c>
    </row>
    <row r="263" spans="1:19" x14ac:dyDescent="0.3">
      <c r="A263" s="25">
        <v>1294</v>
      </c>
      <c r="B263" s="25" t="str">
        <f>IFERROR(VLOOKUP(Tabela1[[#This Row],[CC]],#REF!,5,0),"")</f>
        <v/>
      </c>
      <c r="C263" t="s">
        <v>32</v>
      </c>
      <c r="D263" t="s">
        <v>52</v>
      </c>
      <c r="E263" t="s">
        <v>268</v>
      </c>
      <c r="F263" t="s">
        <v>586</v>
      </c>
      <c r="G263" s="110">
        <v>3876</v>
      </c>
      <c r="H263" s="12">
        <v>45689</v>
      </c>
      <c r="I263" s="28">
        <v>8542.83</v>
      </c>
      <c r="J263" s="28">
        <v>8017.45</v>
      </c>
      <c r="K263" s="3">
        <v>45727</v>
      </c>
      <c r="L263" s="91">
        <v>45740</v>
      </c>
      <c r="M263" s="11">
        <v>45742</v>
      </c>
      <c r="N263" s="1" t="s">
        <v>588</v>
      </c>
      <c r="O263" s="35">
        <v>0</v>
      </c>
      <c r="P263"/>
      <c r="Q263" t="s">
        <v>55</v>
      </c>
      <c r="R263" t="s">
        <v>231</v>
      </c>
      <c r="S263" t="str">
        <f>IFERROR(VLOOKUP(Tabela1[[#This Row],[CC]],CC!$A$1:$H$403,8,0),"")</f>
        <v>OP1</v>
      </c>
    </row>
    <row r="264" spans="1:19" x14ac:dyDescent="0.3">
      <c r="A264" s="25">
        <v>1294</v>
      </c>
      <c r="B264" s="25" t="str">
        <f>IFERROR(VLOOKUP(Tabela1[[#This Row],[CC]],#REF!,5,0),"")</f>
        <v/>
      </c>
      <c r="C264" t="s">
        <v>32</v>
      </c>
      <c r="D264" t="s">
        <v>52</v>
      </c>
      <c r="E264" t="s">
        <v>268</v>
      </c>
      <c r="F264" t="s">
        <v>586</v>
      </c>
      <c r="G264" s="110">
        <v>3882</v>
      </c>
      <c r="H264" s="12">
        <v>45689</v>
      </c>
      <c r="I264" s="28">
        <v>57366.400000000001</v>
      </c>
      <c r="J264" s="39">
        <v>53838.36</v>
      </c>
      <c r="K264" s="3">
        <v>45728</v>
      </c>
      <c r="L264" s="91">
        <v>45740</v>
      </c>
      <c r="M264" s="11">
        <v>45743</v>
      </c>
      <c r="N264" s="1" t="s">
        <v>588</v>
      </c>
      <c r="O264" s="35">
        <v>0</v>
      </c>
      <c r="P264"/>
      <c r="Q264" t="s">
        <v>55</v>
      </c>
      <c r="R264" t="s">
        <v>231</v>
      </c>
      <c r="S264" t="str">
        <f>IFERROR(VLOOKUP(Tabela1[[#This Row],[CC]],CC!$A$1:$H$403,8,0),"")</f>
        <v>OP1</v>
      </c>
    </row>
    <row r="265" spans="1:19" x14ac:dyDescent="0.3">
      <c r="A265" s="25">
        <v>1294</v>
      </c>
      <c r="B265" s="25" t="str">
        <f>IFERROR(VLOOKUP(Tabela1[[#This Row],[CC]],#REF!,5,0),"")</f>
        <v/>
      </c>
      <c r="C265" t="s">
        <v>32</v>
      </c>
      <c r="D265" t="s">
        <v>52</v>
      </c>
      <c r="E265" t="s">
        <v>268</v>
      </c>
      <c r="F265" t="s">
        <v>586</v>
      </c>
      <c r="G265" s="110">
        <v>3886</v>
      </c>
      <c r="H265" s="12">
        <v>45689</v>
      </c>
      <c r="I265" s="28">
        <v>276174</v>
      </c>
      <c r="J265" s="28">
        <v>259189.3</v>
      </c>
      <c r="K265" s="3">
        <v>45729</v>
      </c>
      <c r="L265" s="91">
        <v>45740</v>
      </c>
      <c r="M265" s="11">
        <v>45744</v>
      </c>
      <c r="N265" s="1" t="s">
        <v>588</v>
      </c>
      <c r="O265" s="35">
        <v>0</v>
      </c>
      <c r="P265"/>
      <c r="Q265" t="s">
        <v>55</v>
      </c>
      <c r="R265" t="s">
        <v>231</v>
      </c>
      <c r="S265" t="str">
        <f>IFERROR(VLOOKUP(Tabela1[[#This Row],[CC]],CC!$A$1:$H$403,8,0),"")</f>
        <v>OP1</v>
      </c>
    </row>
    <row r="266" spans="1:19" x14ac:dyDescent="0.3">
      <c r="A266" s="25">
        <v>1294</v>
      </c>
      <c r="B266" s="25" t="str">
        <f>IFERROR(VLOOKUP(Tabela1[[#This Row],[CC]],#REF!,5,0),"")</f>
        <v/>
      </c>
      <c r="C266" t="s">
        <v>32</v>
      </c>
      <c r="D266" t="s">
        <v>52</v>
      </c>
      <c r="E266" t="s">
        <v>268</v>
      </c>
      <c r="F266" t="s">
        <v>586</v>
      </c>
      <c r="G266" s="110">
        <v>3889</v>
      </c>
      <c r="H266" s="12">
        <v>45689</v>
      </c>
      <c r="I266" s="28">
        <v>25967.11</v>
      </c>
      <c r="J266" s="28">
        <v>24370.13</v>
      </c>
      <c r="K266" s="3">
        <v>45729</v>
      </c>
      <c r="L266" s="91">
        <v>45740</v>
      </c>
      <c r="M266" s="11">
        <v>45744</v>
      </c>
      <c r="N266" s="1" t="s">
        <v>588</v>
      </c>
      <c r="O266" s="35">
        <v>0</v>
      </c>
      <c r="P266"/>
      <c r="Q266" t="s">
        <v>55</v>
      </c>
      <c r="R266" t="s">
        <v>231</v>
      </c>
      <c r="S266" t="str">
        <f>IFERROR(VLOOKUP(Tabela1[[#This Row],[CC]],CC!$A$1:$H$403,8,0),"")</f>
        <v>OP1</v>
      </c>
    </row>
    <row r="267" spans="1:19" x14ac:dyDescent="0.3">
      <c r="A267" s="25">
        <v>1294</v>
      </c>
      <c r="B267" s="25" t="str">
        <f>IFERROR(VLOOKUP(Tabela1[[#This Row],[CC]],#REF!,5,0),"")</f>
        <v/>
      </c>
      <c r="C267" t="s">
        <v>32</v>
      </c>
      <c r="D267" t="s">
        <v>52</v>
      </c>
      <c r="E267" t="s">
        <v>268</v>
      </c>
      <c r="F267" t="s">
        <v>586</v>
      </c>
      <c r="G267" s="110">
        <v>3890</v>
      </c>
      <c r="H267" s="12">
        <v>45689</v>
      </c>
      <c r="I267" s="28">
        <v>192960</v>
      </c>
      <c r="J267" s="28">
        <v>181092.96</v>
      </c>
      <c r="K267" s="3">
        <v>45729</v>
      </c>
      <c r="L267" s="91">
        <v>45740</v>
      </c>
      <c r="M267" s="11">
        <v>45744</v>
      </c>
      <c r="N267" s="1" t="s">
        <v>588</v>
      </c>
      <c r="O267" s="35">
        <v>0</v>
      </c>
      <c r="P267"/>
      <c r="Q267" t="s">
        <v>55</v>
      </c>
      <c r="R267" t="s">
        <v>231</v>
      </c>
      <c r="S267" t="str">
        <f>IFERROR(VLOOKUP(Tabela1[[#This Row],[CC]],CC!$A$1:$H$403,8,0),"")</f>
        <v>OP1</v>
      </c>
    </row>
    <row r="268" spans="1:19" x14ac:dyDescent="0.3">
      <c r="A268" s="25">
        <v>1294</v>
      </c>
      <c r="B268" s="25" t="str">
        <f>IFERROR(VLOOKUP(Tabela1[[#This Row],[CC]],#REF!,5,0),"")</f>
        <v/>
      </c>
      <c r="C268" t="s">
        <v>32</v>
      </c>
      <c r="D268" t="s">
        <v>52</v>
      </c>
      <c r="E268" t="s">
        <v>268</v>
      </c>
      <c r="F268" t="s">
        <v>586</v>
      </c>
      <c r="G268" s="110">
        <v>3894</v>
      </c>
      <c r="H268" s="12">
        <v>45689</v>
      </c>
      <c r="I268" s="28">
        <v>41842.06</v>
      </c>
      <c r="J268" s="28">
        <v>39268.769999999997</v>
      </c>
      <c r="K268" s="3">
        <v>45730</v>
      </c>
      <c r="L268" s="91">
        <v>45747</v>
      </c>
      <c r="M268" s="11">
        <v>45747</v>
      </c>
      <c r="N268" s="1" t="s">
        <v>588</v>
      </c>
      <c r="O268" s="35">
        <v>0</v>
      </c>
      <c r="P268"/>
      <c r="Q268" t="s">
        <v>55</v>
      </c>
      <c r="R268" t="s">
        <v>231</v>
      </c>
      <c r="S268" t="str">
        <f>IFERROR(VLOOKUP(Tabela1[[#This Row],[CC]],CC!$A$1:$H$403,8,0),"")</f>
        <v>OP1</v>
      </c>
    </row>
    <row r="269" spans="1:19" x14ac:dyDescent="0.3">
      <c r="A269" s="25">
        <v>1294</v>
      </c>
      <c r="B269" s="25" t="str">
        <f>IFERROR(VLOOKUP(Tabela1[[#This Row],[CC]],#REF!,5,0),"")</f>
        <v/>
      </c>
      <c r="C269" t="s">
        <v>32</v>
      </c>
      <c r="D269" t="s">
        <v>52</v>
      </c>
      <c r="E269" t="s">
        <v>268</v>
      </c>
      <c r="F269" t="s">
        <v>586</v>
      </c>
      <c r="G269" s="110">
        <v>3903</v>
      </c>
      <c r="H269" s="12">
        <v>45689</v>
      </c>
      <c r="I269" s="28">
        <v>10587.49</v>
      </c>
      <c r="J269" s="28">
        <v>9936.36</v>
      </c>
      <c r="K269" s="3">
        <v>45734</v>
      </c>
      <c r="L269" s="91">
        <v>45748</v>
      </c>
      <c r="M269" s="11">
        <v>45749</v>
      </c>
      <c r="N269" s="1" t="s">
        <v>588</v>
      </c>
      <c r="O269" s="35">
        <v>0</v>
      </c>
      <c r="P269"/>
      <c r="Q269" t="s">
        <v>55</v>
      </c>
      <c r="R269" t="s">
        <v>231</v>
      </c>
      <c r="S269" t="str">
        <f>IFERROR(VLOOKUP(Tabela1[[#This Row],[CC]],CC!$A$1:$H$403,8,0),"")</f>
        <v>OP1</v>
      </c>
    </row>
    <row r="270" spans="1:19" x14ac:dyDescent="0.3">
      <c r="A270" s="25">
        <v>1294</v>
      </c>
      <c r="B270" s="25" t="str">
        <f>IFERROR(VLOOKUP(Tabela1[[#This Row],[CC]],#REF!,5,0),"")</f>
        <v/>
      </c>
      <c r="C270" t="s">
        <v>32</v>
      </c>
      <c r="D270" t="s">
        <v>52</v>
      </c>
      <c r="E270" t="s">
        <v>268</v>
      </c>
      <c r="F270" t="s">
        <v>586</v>
      </c>
      <c r="G270" s="110">
        <v>3959</v>
      </c>
      <c r="H270" s="12">
        <v>45689</v>
      </c>
      <c r="I270" s="28">
        <v>13537.5</v>
      </c>
      <c r="J270" s="28">
        <v>12704.95</v>
      </c>
      <c r="K270" s="3">
        <v>45758</v>
      </c>
      <c r="L270" s="91">
        <v>45775</v>
      </c>
      <c r="M270" s="11">
        <v>45775</v>
      </c>
      <c r="N270" s="1" t="s">
        <v>588</v>
      </c>
      <c r="O270" s="35">
        <v>0</v>
      </c>
      <c r="P270"/>
      <c r="Q270" t="s">
        <v>55</v>
      </c>
      <c r="R270" t="s">
        <v>231</v>
      </c>
      <c r="S270" t="str">
        <f>IFERROR(VLOOKUP(Tabela1[[#This Row],[CC]],CC!$A$1:$H$403,8,0),"")</f>
        <v>OP1</v>
      </c>
    </row>
    <row r="271" spans="1:19" x14ac:dyDescent="0.3">
      <c r="A271" s="8">
        <v>1474</v>
      </c>
      <c r="B271" s="8" t="str">
        <f>IFERROR(VLOOKUP(Tabela1[[#This Row],[CC]],#REF!,5,0),"")</f>
        <v/>
      </c>
      <c r="C271" t="s">
        <v>32</v>
      </c>
      <c r="D271" t="s">
        <v>52</v>
      </c>
      <c r="E271" t="s">
        <v>479</v>
      </c>
      <c r="F271" t="s">
        <v>586</v>
      </c>
      <c r="G271" s="110">
        <v>3888</v>
      </c>
      <c r="H271" s="12">
        <v>45689</v>
      </c>
      <c r="I271" s="28">
        <v>2318.8000000000002</v>
      </c>
      <c r="J271" s="28">
        <v>2176.1999999999998</v>
      </c>
      <c r="K271" s="3">
        <v>45729</v>
      </c>
      <c r="L271" s="91">
        <v>45740</v>
      </c>
      <c r="M271" s="11">
        <v>45744</v>
      </c>
      <c r="N271" s="1" t="s">
        <v>588</v>
      </c>
      <c r="O271" s="37"/>
      <c r="P271" s="14"/>
      <c r="Q271" t="s">
        <v>58</v>
      </c>
      <c r="R271" t="s">
        <v>231</v>
      </c>
      <c r="S271" t="str">
        <f>IFERROR(VLOOKUP(Tabela1[[#This Row],[CC]],CC!$A$1:$H$403,8,0),"")</f>
        <v>OP1</v>
      </c>
    </row>
    <row r="272" spans="1:19" x14ac:dyDescent="0.3">
      <c r="A272" s="25">
        <v>1285</v>
      </c>
      <c r="B272" s="25" t="str">
        <f>IFERROR(VLOOKUP(Tabela1[[#This Row],[CC]],#REF!,5,0),"")</f>
        <v/>
      </c>
      <c r="C272" t="s">
        <v>32</v>
      </c>
      <c r="D272" t="s">
        <v>52</v>
      </c>
      <c r="E272" t="s">
        <v>259</v>
      </c>
      <c r="F272" t="s">
        <v>586</v>
      </c>
      <c r="G272" s="110">
        <v>3854</v>
      </c>
      <c r="H272" s="12">
        <v>45689</v>
      </c>
      <c r="I272" s="24">
        <v>25534.32</v>
      </c>
      <c r="J272" s="24">
        <v>23963.96</v>
      </c>
      <c r="K272" s="3">
        <v>45714</v>
      </c>
      <c r="L272" s="91">
        <v>45740</v>
      </c>
      <c r="M272" s="11">
        <v>45744</v>
      </c>
      <c r="N272" s="1" t="s">
        <v>588</v>
      </c>
      <c r="O272" s="35">
        <v>0</v>
      </c>
      <c r="P272" s="26"/>
      <c r="Q272" t="s">
        <v>55</v>
      </c>
      <c r="R272" t="s">
        <v>231</v>
      </c>
      <c r="S272" t="str">
        <f>IFERROR(VLOOKUP(Tabela1[[#This Row],[CC]],CC!$A$1:$H$403,8,0),"")</f>
        <v>OP1</v>
      </c>
    </row>
    <row r="273" spans="1:19" x14ac:dyDescent="0.3">
      <c r="A273" s="25">
        <v>1285</v>
      </c>
      <c r="B273" s="25" t="str">
        <f>IFERROR(VLOOKUP(Tabela1[[#This Row],[CC]],#REF!,5,0),"")</f>
        <v/>
      </c>
      <c r="C273" t="s">
        <v>32</v>
      </c>
      <c r="D273" t="s">
        <v>52</v>
      </c>
      <c r="E273" t="s">
        <v>259</v>
      </c>
      <c r="F273" t="s">
        <v>586</v>
      </c>
      <c r="G273" s="110">
        <v>3855</v>
      </c>
      <c r="H273" s="12">
        <v>45689</v>
      </c>
      <c r="I273" s="24">
        <v>7089.08</v>
      </c>
      <c r="J273" s="24">
        <v>6653.1</v>
      </c>
      <c r="K273" s="3">
        <v>45715</v>
      </c>
      <c r="L273" s="91">
        <v>45747</v>
      </c>
      <c r="M273" s="11">
        <v>45747</v>
      </c>
      <c r="N273" s="1" t="s">
        <v>588</v>
      </c>
      <c r="O273" s="35">
        <v>0</v>
      </c>
      <c r="P273" s="26"/>
      <c r="Q273" t="s">
        <v>55</v>
      </c>
      <c r="R273" t="s">
        <v>231</v>
      </c>
      <c r="S273" t="str">
        <f>IFERROR(VLOOKUP(Tabela1[[#This Row],[CC]],CC!$A$1:$H$403,8,0),"")</f>
        <v>OP1</v>
      </c>
    </row>
    <row r="274" spans="1:19" x14ac:dyDescent="0.3">
      <c r="A274" s="25">
        <v>1285</v>
      </c>
      <c r="B274" s="25" t="str">
        <f>IFERROR(VLOOKUP(Tabela1[[#This Row],[CC]],#REF!,5,0),"")</f>
        <v/>
      </c>
      <c r="C274" t="s">
        <v>32</v>
      </c>
      <c r="D274" t="s">
        <v>52</v>
      </c>
      <c r="E274" t="s">
        <v>259</v>
      </c>
      <c r="F274" t="s">
        <v>586</v>
      </c>
      <c r="G274" s="110">
        <v>3893</v>
      </c>
      <c r="H274" s="12">
        <v>45689</v>
      </c>
      <c r="I274" s="24">
        <v>10535.49</v>
      </c>
      <c r="J274" s="24">
        <v>9887.56</v>
      </c>
      <c r="K274" s="3">
        <v>45730</v>
      </c>
      <c r="L274" s="91">
        <v>45761</v>
      </c>
      <c r="M274" s="11">
        <v>45761</v>
      </c>
      <c r="N274" s="1" t="s">
        <v>588</v>
      </c>
      <c r="O274" s="35">
        <v>0</v>
      </c>
      <c r="P274" s="26"/>
      <c r="Q274" t="s">
        <v>55</v>
      </c>
      <c r="R274" t="s">
        <v>231</v>
      </c>
      <c r="S274" t="str">
        <f>IFERROR(VLOOKUP(Tabela1[[#This Row],[CC]],CC!$A$1:$H$403,8,0),"")</f>
        <v>OP1</v>
      </c>
    </row>
    <row r="275" spans="1:19" x14ac:dyDescent="0.3">
      <c r="A275" s="25">
        <v>1285</v>
      </c>
      <c r="B275" s="25" t="str">
        <f>IFERROR(VLOOKUP(Tabela1[[#This Row],[CC]],#REF!,5,0),"")</f>
        <v/>
      </c>
      <c r="C275" t="s">
        <v>32</v>
      </c>
      <c r="D275" t="s">
        <v>52</v>
      </c>
      <c r="E275" t="s">
        <v>259</v>
      </c>
      <c r="F275" t="s">
        <v>586</v>
      </c>
      <c r="G275" s="110">
        <v>3892</v>
      </c>
      <c r="H275" s="12">
        <v>45689</v>
      </c>
      <c r="I275" s="24">
        <v>11738.55</v>
      </c>
      <c r="J275" s="24">
        <v>11016.62</v>
      </c>
      <c r="K275" s="3">
        <v>45730</v>
      </c>
      <c r="L275" s="91">
        <v>45761</v>
      </c>
      <c r="M275" s="11">
        <v>45761</v>
      </c>
      <c r="N275" s="1" t="s">
        <v>588</v>
      </c>
      <c r="O275" s="35">
        <v>0</v>
      </c>
      <c r="P275" s="26"/>
      <c r="Q275" t="s">
        <v>55</v>
      </c>
      <c r="R275" t="s">
        <v>231</v>
      </c>
      <c r="S275" t="str">
        <f>IFERROR(VLOOKUP(Tabela1[[#This Row],[CC]],CC!$A$1:$H$403,8,0),"")</f>
        <v>OP1</v>
      </c>
    </row>
    <row r="276" spans="1:19" x14ac:dyDescent="0.3">
      <c r="A276" s="25">
        <v>1292</v>
      </c>
      <c r="B276" s="25" t="str">
        <f>IFERROR(VLOOKUP(Tabela1[[#This Row],[CC]],#REF!,5,0),"")</f>
        <v/>
      </c>
      <c r="C276" t="s">
        <v>32</v>
      </c>
      <c r="D276" t="s">
        <v>56</v>
      </c>
      <c r="E276" t="s">
        <v>266</v>
      </c>
      <c r="F276" t="s">
        <v>586</v>
      </c>
      <c r="G276" s="110">
        <v>3864</v>
      </c>
      <c r="H276" s="12">
        <v>45689</v>
      </c>
      <c r="I276" s="24">
        <v>46853.99</v>
      </c>
      <c r="J276" s="24">
        <v>43972.47</v>
      </c>
      <c r="K276" s="3">
        <v>45722</v>
      </c>
      <c r="L276" s="91">
        <v>45733</v>
      </c>
      <c r="M276" s="11">
        <v>45737</v>
      </c>
      <c r="N276" s="1" t="s">
        <v>588</v>
      </c>
      <c r="O276" s="35">
        <v>0</v>
      </c>
      <c r="P276"/>
      <c r="Q276" t="s">
        <v>55</v>
      </c>
      <c r="R276" t="s">
        <v>231</v>
      </c>
      <c r="S276" t="str">
        <f>IFERROR(VLOOKUP(Tabela1[[#This Row],[CC]],CC!$A$1:$H$403,8,0),"")</f>
        <v>OP1</v>
      </c>
    </row>
    <row r="277" spans="1:19" x14ac:dyDescent="0.3">
      <c r="A277" s="25">
        <v>1292</v>
      </c>
      <c r="B277" s="25" t="str">
        <f>IFERROR(VLOOKUP(Tabela1[[#This Row],[CC]],#REF!,5,0),"")</f>
        <v/>
      </c>
      <c r="C277" t="s">
        <v>32</v>
      </c>
      <c r="D277" t="s">
        <v>56</v>
      </c>
      <c r="E277" t="s">
        <v>266</v>
      </c>
      <c r="F277" t="s">
        <v>586</v>
      </c>
      <c r="G277" s="110">
        <v>3863</v>
      </c>
      <c r="H277" s="12">
        <v>45689</v>
      </c>
      <c r="I277" s="24">
        <v>61378.96</v>
      </c>
      <c r="J277" s="24">
        <v>57604.160000000003</v>
      </c>
      <c r="K277" s="3">
        <v>45722</v>
      </c>
      <c r="L277" s="91">
        <v>45733</v>
      </c>
      <c r="M277" s="11">
        <v>45737</v>
      </c>
      <c r="N277" s="1" t="s">
        <v>588</v>
      </c>
      <c r="O277" s="35">
        <v>0</v>
      </c>
      <c r="P277"/>
      <c r="Q277" t="s">
        <v>55</v>
      </c>
      <c r="R277" t="s">
        <v>231</v>
      </c>
      <c r="S277" t="str">
        <f>IFERROR(VLOOKUP(Tabela1[[#This Row],[CC]],CC!$A$1:$H$403,8,0),"")</f>
        <v>OP1</v>
      </c>
    </row>
    <row r="278" spans="1:19" x14ac:dyDescent="0.3">
      <c r="A278" s="25">
        <v>1292</v>
      </c>
      <c r="B278" s="25" t="str">
        <f>IFERROR(VLOOKUP(Tabela1[[#This Row],[CC]],#REF!,5,0),"")</f>
        <v/>
      </c>
      <c r="C278" t="s">
        <v>32</v>
      </c>
      <c r="D278" t="s">
        <v>56</v>
      </c>
      <c r="E278" t="s">
        <v>266</v>
      </c>
      <c r="F278" t="s">
        <v>586</v>
      </c>
      <c r="G278" s="110">
        <v>3866</v>
      </c>
      <c r="H278" s="12">
        <v>45689</v>
      </c>
      <c r="I278" s="24">
        <v>4656.58</v>
      </c>
      <c r="J278" s="24">
        <v>4370.2</v>
      </c>
      <c r="K278" s="3">
        <v>45722</v>
      </c>
      <c r="L278" s="91">
        <v>45733</v>
      </c>
      <c r="M278" s="11">
        <v>45737</v>
      </c>
      <c r="N278" s="1" t="s">
        <v>588</v>
      </c>
      <c r="O278" s="35">
        <v>0</v>
      </c>
      <c r="P278"/>
      <c r="Q278" t="s">
        <v>55</v>
      </c>
      <c r="R278" t="s">
        <v>231</v>
      </c>
      <c r="S278" t="str">
        <f>IFERROR(VLOOKUP(Tabela1[[#This Row],[CC]],CC!$A$1:$H$403,8,0),"")</f>
        <v>OP1</v>
      </c>
    </row>
    <row r="279" spans="1:19" x14ac:dyDescent="0.3">
      <c r="A279" s="25">
        <v>1292</v>
      </c>
      <c r="B279" s="25" t="str">
        <f>IFERROR(VLOOKUP(Tabela1[[#This Row],[CC]],#REF!,5,0),"")</f>
        <v/>
      </c>
      <c r="C279" t="s">
        <v>32</v>
      </c>
      <c r="D279" t="s">
        <v>56</v>
      </c>
      <c r="E279" t="s">
        <v>266</v>
      </c>
      <c r="F279" t="s">
        <v>586</v>
      </c>
      <c r="G279" s="110">
        <v>3872</v>
      </c>
      <c r="H279" s="12">
        <v>45689</v>
      </c>
      <c r="I279" s="24">
        <v>88281.31</v>
      </c>
      <c r="J279" s="24">
        <v>82852.009999999995</v>
      </c>
      <c r="K279" s="3">
        <v>45726</v>
      </c>
      <c r="L279" s="91">
        <v>45740</v>
      </c>
      <c r="M279" s="11">
        <v>45741</v>
      </c>
      <c r="N279" s="1" t="s">
        <v>588</v>
      </c>
      <c r="O279" s="35">
        <v>0</v>
      </c>
      <c r="P279"/>
      <c r="Q279" t="s">
        <v>55</v>
      </c>
      <c r="R279" t="s">
        <v>231</v>
      </c>
      <c r="S279" t="str">
        <f>IFERROR(VLOOKUP(Tabela1[[#This Row],[CC]],CC!$A$1:$H$403,8,0),"")</f>
        <v>OP1</v>
      </c>
    </row>
    <row r="280" spans="1:19" x14ac:dyDescent="0.3">
      <c r="A280" s="25">
        <v>1292</v>
      </c>
      <c r="B280" s="25" t="str">
        <f>IFERROR(VLOOKUP(Tabela1[[#This Row],[CC]],#REF!,5,0),"")</f>
        <v/>
      </c>
      <c r="C280" t="s">
        <v>32</v>
      </c>
      <c r="D280" t="s">
        <v>56</v>
      </c>
      <c r="E280" t="s">
        <v>266</v>
      </c>
      <c r="F280" t="s">
        <v>586</v>
      </c>
      <c r="G280" s="110">
        <v>3870</v>
      </c>
      <c r="H280" s="12">
        <v>45689</v>
      </c>
      <c r="I280" s="24">
        <v>60707.37</v>
      </c>
      <c r="J280" s="24">
        <v>56973.87</v>
      </c>
      <c r="K280" s="3">
        <v>45726</v>
      </c>
      <c r="L280" s="91">
        <v>45740</v>
      </c>
      <c r="M280" s="11">
        <v>45741</v>
      </c>
      <c r="N280" s="1" t="s">
        <v>588</v>
      </c>
      <c r="O280" s="35">
        <v>0</v>
      </c>
      <c r="P280"/>
      <c r="Q280" t="s">
        <v>55</v>
      </c>
      <c r="R280" t="s">
        <v>231</v>
      </c>
      <c r="S280" t="str">
        <f>IFERROR(VLOOKUP(Tabela1[[#This Row],[CC]],CC!$A$1:$H$403,8,0),"")</f>
        <v>OP1</v>
      </c>
    </row>
    <row r="281" spans="1:19" x14ac:dyDescent="0.3">
      <c r="A281" s="25">
        <v>1292</v>
      </c>
      <c r="B281" s="25" t="str">
        <f>IFERROR(VLOOKUP(Tabela1[[#This Row],[CC]],#REF!,5,0),"")</f>
        <v/>
      </c>
      <c r="C281" t="s">
        <v>32</v>
      </c>
      <c r="D281" t="s">
        <v>56</v>
      </c>
      <c r="E281" t="s">
        <v>266</v>
      </c>
      <c r="F281" t="s">
        <v>586</v>
      </c>
      <c r="G281" s="110">
        <v>3901</v>
      </c>
      <c r="H281" s="12">
        <v>45689</v>
      </c>
      <c r="I281" s="24">
        <v>56182.400000000001</v>
      </c>
      <c r="J281" s="24">
        <v>52727.18</v>
      </c>
      <c r="K281" s="3">
        <v>45734</v>
      </c>
      <c r="L281" s="91">
        <v>45761</v>
      </c>
      <c r="M281" s="11">
        <v>45762</v>
      </c>
      <c r="N281" s="1" t="s">
        <v>588</v>
      </c>
      <c r="O281" s="35">
        <v>0</v>
      </c>
      <c r="P281"/>
      <c r="Q281" t="s">
        <v>55</v>
      </c>
      <c r="R281" t="s">
        <v>231</v>
      </c>
      <c r="S281" t="str">
        <f>IFERROR(VLOOKUP(Tabela1[[#This Row],[CC]],CC!$A$1:$H$403,8,0),"")</f>
        <v>OP1</v>
      </c>
    </row>
    <row r="282" spans="1:19" x14ac:dyDescent="0.3">
      <c r="A282" s="25">
        <v>1484</v>
      </c>
      <c r="B282" s="25" t="str">
        <f>IFERROR(VLOOKUP(Tabela1[[#This Row],[CC]],#REF!,5,0),"")</f>
        <v/>
      </c>
      <c r="C282" t="s">
        <v>32</v>
      </c>
      <c r="D282" t="s">
        <v>56</v>
      </c>
      <c r="E282" t="s">
        <v>489</v>
      </c>
      <c r="F282" t="s">
        <v>586</v>
      </c>
      <c r="G282" s="110">
        <v>3895</v>
      </c>
      <c r="H282" s="12">
        <v>45689</v>
      </c>
      <c r="I282" s="24">
        <v>36570.74</v>
      </c>
      <c r="J282" s="24">
        <v>34321.64</v>
      </c>
      <c r="K282" s="3">
        <v>45730</v>
      </c>
      <c r="L282" s="91">
        <v>45740</v>
      </c>
      <c r="M282" s="11">
        <v>45744</v>
      </c>
      <c r="N282" s="1" t="s">
        <v>588</v>
      </c>
      <c r="O282" s="35">
        <v>0</v>
      </c>
      <c r="P282"/>
      <c r="Q282" t="s">
        <v>57</v>
      </c>
      <c r="R282" t="s">
        <v>231</v>
      </c>
      <c r="S282" t="str">
        <f>IFERROR(VLOOKUP(Tabela1[[#This Row],[CC]],CC!$A$1:$H$403,8,0),"")</f>
        <v>OP1</v>
      </c>
    </row>
    <row r="283" spans="1:19" x14ac:dyDescent="0.3">
      <c r="A283" s="25">
        <v>1398</v>
      </c>
      <c r="B283" s="25" t="str">
        <f>IFERROR(VLOOKUP(Tabela1[[#This Row],[CC]],#REF!,5,0),"")</f>
        <v/>
      </c>
      <c r="C283" t="s">
        <v>67</v>
      </c>
      <c r="D283" t="s">
        <v>42</v>
      </c>
      <c r="E283" t="s">
        <v>383</v>
      </c>
      <c r="F283" t="s">
        <v>586</v>
      </c>
      <c r="G283" s="107">
        <v>8254</v>
      </c>
      <c r="H283" s="12">
        <v>45689</v>
      </c>
      <c r="I283" s="27">
        <v>38223.89</v>
      </c>
      <c r="J283" s="24">
        <v>35873.11</v>
      </c>
      <c r="K283" s="3">
        <v>45730</v>
      </c>
      <c r="L283" s="91">
        <v>45789</v>
      </c>
      <c r="M283" s="11">
        <v>45790</v>
      </c>
      <c r="N283" s="18" t="s">
        <v>588</v>
      </c>
      <c r="O283" s="35">
        <v>0</v>
      </c>
      <c r="P283"/>
      <c r="Q283" t="s">
        <v>58</v>
      </c>
      <c r="R283" t="s">
        <v>183</v>
      </c>
      <c r="S283" t="str">
        <f>IFERROR(VLOOKUP(Tabela1[[#This Row],[CC]],CC!$A$1:$H$403,8,0),"")</f>
        <v>OP2</v>
      </c>
    </row>
    <row r="284" spans="1:19" x14ac:dyDescent="0.3">
      <c r="A284" s="25">
        <v>1398</v>
      </c>
      <c r="B284" s="25" t="str">
        <f>IFERROR(VLOOKUP(Tabela1[[#This Row],[CC]],#REF!,5,0),"")</f>
        <v/>
      </c>
      <c r="C284" t="s">
        <v>67</v>
      </c>
      <c r="D284" t="s">
        <v>42</v>
      </c>
      <c r="E284" t="s">
        <v>383</v>
      </c>
      <c r="F284" t="s">
        <v>586</v>
      </c>
      <c r="G284" s="107">
        <v>8253</v>
      </c>
      <c r="H284" s="12">
        <v>45689</v>
      </c>
      <c r="I284" s="27">
        <v>11210.79</v>
      </c>
      <c r="J284" s="24">
        <v>10521.33</v>
      </c>
      <c r="K284" s="3">
        <v>45730</v>
      </c>
      <c r="L284" s="91">
        <v>45789</v>
      </c>
      <c r="M284" s="11">
        <v>45790</v>
      </c>
      <c r="N284" s="18" t="s">
        <v>588</v>
      </c>
      <c r="O284" s="35">
        <v>0</v>
      </c>
      <c r="P284"/>
      <c r="Q284" t="s">
        <v>58</v>
      </c>
      <c r="R284" t="s">
        <v>183</v>
      </c>
      <c r="S284" t="str">
        <f>IFERROR(VLOOKUP(Tabela1[[#This Row],[CC]],CC!$A$1:$H$403,8,0),"")</f>
        <v>OP2</v>
      </c>
    </row>
    <row r="285" spans="1:19" x14ac:dyDescent="0.3">
      <c r="A285" s="25">
        <v>1398</v>
      </c>
      <c r="B285" s="25" t="str">
        <f>IFERROR(VLOOKUP(Tabela1[[#This Row],[CC]],#REF!,5,0),"")</f>
        <v/>
      </c>
      <c r="C285" t="s">
        <v>67</v>
      </c>
      <c r="D285" t="s">
        <v>42</v>
      </c>
      <c r="E285" t="s">
        <v>383</v>
      </c>
      <c r="F285" t="s">
        <v>586</v>
      </c>
      <c r="G285" s="107">
        <v>8264</v>
      </c>
      <c r="H285" s="12">
        <v>45689</v>
      </c>
      <c r="I285" s="27">
        <v>13110.33</v>
      </c>
      <c r="J285" s="24">
        <v>12304.04</v>
      </c>
      <c r="K285" s="3">
        <v>45740</v>
      </c>
      <c r="L285" s="91">
        <v>45768</v>
      </c>
      <c r="M285" s="11">
        <v>45769</v>
      </c>
      <c r="N285" s="18" t="s">
        <v>588</v>
      </c>
      <c r="O285" s="35">
        <v>0</v>
      </c>
      <c r="P285"/>
      <c r="Q285" t="s">
        <v>58</v>
      </c>
      <c r="R285" t="s">
        <v>183</v>
      </c>
      <c r="S285" t="str">
        <f>IFERROR(VLOOKUP(Tabela1[[#This Row],[CC]],CC!$A$1:$H$403,8,0),"")</f>
        <v>OP2</v>
      </c>
    </row>
    <row r="286" spans="1:19" x14ac:dyDescent="0.3">
      <c r="A286" s="25">
        <v>1398</v>
      </c>
      <c r="B286" s="25" t="str">
        <f>IFERROR(VLOOKUP(Tabela1[[#This Row],[CC]],#REF!,5,0),"")</f>
        <v/>
      </c>
      <c r="C286" t="s">
        <v>67</v>
      </c>
      <c r="D286" t="s">
        <v>42</v>
      </c>
      <c r="E286" t="s">
        <v>383</v>
      </c>
      <c r="F286" t="s">
        <v>586</v>
      </c>
      <c r="G286" s="107">
        <v>8230</v>
      </c>
      <c r="H286" s="12">
        <v>45689</v>
      </c>
      <c r="I286" s="27">
        <v>48000</v>
      </c>
      <c r="J286" s="24">
        <v>45048</v>
      </c>
      <c r="K286" s="3">
        <v>45721</v>
      </c>
      <c r="L286" s="91">
        <v>45796</v>
      </c>
      <c r="M286" s="11">
        <v>45796</v>
      </c>
      <c r="N286" s="18" t="s">
        <v>588</v>
      </c>
      <c r="O286" s="35">
        <v>0</v>
      </c>
      <c r="P286"/>
      <c r="Q286" t="s">
        <v>58</v>
      </c>
      <c r="R286" t="s">
        <v>183</v>
      </c>
      <c r="S286" t="str">
        <f>IFERROR(VLOOKUP(Tabela1[[#This Row],[CC]],CC!$A$1:$H$403,8,0),"")</f>
        <v>OP2</v>
      </c>
    </row>
    <row r="287" spans="1:19" x14ac:dyDescent="0.3">
      <c r="A287" s="8">
        <v>1393</v>
      </c>
      <c r="B287" s="8" t="str">
        <f>IFERROR(VLOOKUP(Tabela1[[#This Row],[CC]],#REF!,5,0),"")</f>
        <v/>
      </c>
      <c r="C287" t="s">
        <v>70</v>
      </c>
      <c r="D287" t="s">
        <v>203</v>
      </c>
      <c r="E287" t="s">
        <v>377</v>
      </c>
      <c r="F287" t="s">
        <v>586</v>
      </c>
      <c r="G287" s="110">
        <v>8244</v>
      </c>
      <c r="H287" s="12">
        <v>45689</v>
      </c>
      <c r="I287" s="10">
        <v>432751.13</v>
      </c>
      <c r="J287" s="10">
        <v>388177.77</v>
      </c>
      <c r="K287" s="3">
        <v>45728</v>
      </c>
      <c r="L287" s="91">
        <v>45740</v>
      </c>
      <c r="M287" s="5">
        <v>45740</v>
      </c>
      <c r="N287" s="18" t="s">
        <v>588</v>
      </c>
      <c r="O287" s="34">
        <v>0</v>
      </c>
      <c r="P287" s="14"/>
      <c r="Q287" t="s">
        <v>58</v>
      </c>
      <c r="R287" t="s">
        <v>195</v>
      </c>
      <c r="S287" t="str">
        <f>IFERROR(VLOOKUP(Tabela1[[#This Row],[CC]],CC!$A$1:$H$403,8,0),"")</f>
        <v>OP4</v>
      </c>
    </row>
    <row r="288" spans="1:19" x14ac:dyDescent="0.3">
      <c r="A288" s="8">
        <v>1476</v>
      </c>
      <c r="B288" s="8" t="str">
        <f>IFERROR(VLOOKUP(Tabela1[[#This Row],[CC]],#REF!,5,0),"")</f>
        <v/>
      </c>
      <c r="C288" t="s">
        <v>70</v>
      </c>
      <c r="D288" t="s">
        <v>26</v>
      </c>
      <c r="E288" t="s">
        <v>481</v>
      </c>
      <c r="F288" t="s">
        <v>586</v>
      </c>
      <c r="G288" s="110">
        <v>8239</v>
      </c>
      <c r="H288" s="12">
        <v>45689</v>
      </c>
      <c r="I288" s="24">
        <v>347312.4</v>
      </c>
      <c r="J288" s="10">
        <v>311539.21999999997</v>
      </c>
      <c r="K288" s="3">
        <v>45726</v>
      </c>
      <c r="L288" s="91">
        <v>45733</v>
      </c>
      <c r="M288" s="5">
        <v>45736</v>
      </c>
      <c r="N288" s="21" t="s">
        <v>588</v>
      </c>
      <c r="O288" s="34"/>
      <c r="P288" s="14"/>
      <c r="Q288" t="s">
        <v>58</v>
      </c>
      <c r="R288" t="s">
        <v>195</v>
      </c>
      <c r="S288" t="str">
        <f>IFERROR(VLOOKUP(Tabela1[[#This Row],[CC]],CC!$A$1:$H$403,8,0),"")</f>
        <v>OP4</v>
      </c>
    </row>
    <row r="289" spans="1:21" x14ac:dyDescent="0.3">
      <c r="A289" s="25">
        <v>1296</v>
      </c>
      <c r="B289" s="25" t="str">
        <f>IFERROR(VLOOKUP(Tabela1[[#This Row],[CC]],#REF!,5,0),"")</f>
        <v/>
      </c>
      <c r="C289" t="s">
        <v>66</v>
      </c>
      <c r="D289" t="s">
        <v>16</v>
      </c>
      <c r="E289" t="s">
        <v>271</v>
      </c>
      <c r="F289" t="s">
        <v>586</v>
      </c>
      <c r="G289" s="110">
        <v>1226</v>
      </c>
      <c r="H289" s="12">
        <v>45689</v>
      </c>
      <c r="I289" s="24">
        <v>462378.86</v>
      </c>
      <c r="J289" s="24">
        <v>417759.3</v>
      </c>
      <c r="K289" s="3">
        <v>45722</v>
      </c>
      <c r="L289" s="91">
        <v>45733</v>
      </c>
      <c r="M289" s="29">
        <v>45733</v>
      </c>
      <c r="N289" s="18" t="s">
        <v>588</v>
      </c>
      <c r="O289" s="41"/>
      <c r="P289" s="26"/>
      <c r="Q289" t="s">
        <v>58</v>
      </c>
      <c r="R289" t="s">
        <v>183</v>
      </c>
      <c r="S289" t="str">
        <f>IFERROR(VLOOKUP(Tabela1[[#This Row],[CC]],CC!$A$1:$H$403,8,0),"")</f>
        <v>OP2</v>
      </c>
    </row>
    <row r="290" spans="1:21" x14ac:dyDescent="0.3">
      <c r="A290" s="25">
        <v>1296</v>
      </c>
      <c r="B290" s="25" t="str">
        <f>IFERROR(VLOOKUP(Tabela1[[#This Row],[CC]],#REF!,5,0),"")</f>
        <v/>
      </c>
      <c r="C290" t="s">
        <v>66</v>
      </c>
      <c r="D290" t="s">
        <v>16</v>
      </c>
      <c r="E290" t="s">
        <v>271</v>
      </c>
      <c r="F290" t="s">
        <v>586</v>
      </c>
      <c r="G290" s="110">
        <v>1225</v>
      </c>
      <c r="H290" s="12">
        <v>45689</v>
      </c>
      <c r="I290" s="24">
        <v>338159.71</v>
      </c>
      <c r="J290" s="24">
        <v>305527.28999999998</v>
      </c>
      <c r="K290" s="3">
        <v>45722</v>
      </c>
      <c r="L290" s="91">
        <v>45733</v>
      </c>
      <c r="M290" s="29">
        <v>45733</v>
      </c>
      <c r="N290" s="18" t="s">
        <v>588</v>
      </c>
      <c r="O290" s="41"/>
      <c r="P290" s="26"/>
      <c r="Q290" t="s">
        <v>58</v>
      </c>
      <c r="R290" t="s">
        <v>183</v>
      </c>
      <c r="S290" t="str">
        <f>IFERROR(VLOOKUP(Tabela1[[#This Row],[CC]],CC!$A$1:$H$403,8,0),"")</f>
        <v>OP2</v>
      </c>
    </row>
    <row r="291" spans="1:21" x14ac:dyDescent="0.3">
      <c r="A291" s="8">
        <v>1300</v>
      </c>
      <c r="B291" s="8" t="str">
        <f>IFERROR(VLOOKUP(Tabela1[[#This Row],[CC]],#REF!,5,0),"")</f>
        <v/>
      </c>
      <c r="C291" t="s">
        <v>66</v>
      </c>
      <c r="D291" t="s">
        <v>16</v>
      </c>
      <c r="E291" t="s">
        <v>275</v>
      </c>
      <c r="F291" t="s">
        <v>586</v>
      </c>
      <c r="G291" s="110">
        <v>1229</v>
      </c>
      <c r="H291" s="12">
        <v>45689</v>
      </c>
      <c r="I291" s="10">
        <v>298250.34000000003</v>
      </c>
      <c r="J291" s="10">
        <v>269469.18</v>
      </c>
      <c r="K291" s="3">
        <v>45727</v>
      </c>
      <c r="L291" s="91">
        <v>45754</v>
      </c>
      <c r="M291" s="5">
        <v>45757</v>
      </c>
      <c r="N291" s="36" t="s">
        <v>588</v>
      </c>
      <c r="O291" s="37">
        <v>0</v>
      </c>
      <c r="P291" s="14"/>
      <c r="Q291" t="s">
        <v>58</v>
      </c>
      <c r="R291" t="s">
        <v>183</v>
      </c>
      <c r="S291" t="str">
        <f>IFERROR(VLOOKUP(Tabela1[[#This Row],[CC]],CC!$A$1:$H$403,8,0),"")</f>
        <v>OP2</v>
      </c>
    </row>
    <row r="292" spans="1:21" x14ac:dyDescent="0.3">
      <c r="A292" s="8">
        <v>1300</v>
      </c>
      <c r="B292" s="8" t="str">
        <f>IFERROR(VLOOKUP(Tabela1[[#This Row],[CC]],#REF!,5,0),"")</f>
        <v/>
      </c>
      <c r="C292" t="s">
        <v>66</v>
      </c>
      <c r="D292" t="s">
        <v>16</v>
      </c>
      <c r="E292" t="s">
        <v>275</v>
      </c>
      <c r="F292" t="s">
        <v>586</v>
      </c>
      <c r="G292" s="110">
        <v>8243</v>
      </c>
      <c r="H292" s="12">
        <v>45689</v>
      </c>
      <c r="I292" s="10">
        <v>35127.120000000003</v>
      </c>
      <c r="J292" s="17">
        <v>31737.35</v>
      </c>
      <c r="K292" s="3">
        <v>45727</v>
      </c>
      <c r="L292" s="91">
        <v>45754</v>
      </c>
      <c r="M292" s="5">
        <v>45757</v>
      </c>
      <c r="N292" s="36" t="s">
        <v>588</v>
      </c>
      <c r="O292" s="37">
        <v>0</v>
      </c>
      <c r="P292" s="14"/>
      <c r="Q292" t="s">
        <v>58</v>
      </c>
      <c r="R292" t="s">
        <v>183</v>
      </c>
      <c r="S292" t="str">
        <f>IFERROR(VLOOKUP(Tabela1[[#This Row],[CC]],CC!$A$1:$H$403,8,0),"")</f>
        <v>OP2</v>
      </c>
    </row>
    <row r="293" spans="1:21" x14ac:dyDescent="0.3">
      <c r="A293" s="25">
        <v>1290</v>
      </c>
      <c r="B293" s="25" t="str">
        <f>IFERROR(VLOOKUP(Tabela1[[#This Row],[CC]],#REF!,5,0),"")</f>
        <v/>
      </c>
      <c r="C293" t="s">
        <v>70</v>
      </c>
      <c r="D293" t="s">
        <v>20</v>
      </c>
      <c r="E293" t="s">
        <v>264</v>
      </c>
      <c r="F293" t="s">
        <v>586</v>
      </c>
      <c r="G293" s="110">
        <v>8233</v>
      </c>
      <c r="H293" s="12">
        <v>45689</v>
      </c>
      <c r="I293" s="24">
        <v>53175.27</v>
      </c>
      <c r="J293" s="24">
        <v>46980.35</v>
      </c>
      <c r="K293" s="3">
        <v>45722</v>
      </c>
      <c r="L293" s="91">
        <v>45754</v>
      </c>
      <c r="M293" s="11">
        <v>45754</v>
      </c>
      <c r="N293" s="21" t="s">
        <v>588</v>
      </c>
      <c r="O293" s="35">
        <v>0</v>
      </c>
      <c r="P293" s="26"/>
      <c r="Q293" t="s">
        <v>58</v>
      </c>
      <c r="R293" t="s">
        <v>183</v>
      </c>
      <c r="S293" t="str">
        <f>IFERROR(VLOOKUP(Tabela1[[#This Row],[CC]],CC!$A$1:$H$403,8,0),"")</f>
        <v>OP4</v>
      </c>
    </row>
    <row r="294" spans="1:21" x14ac:dyDescent="0.3">
      <c r="A294" s="25">
        <v>1490</v>
      </c>
      <c r="B294" s="25" t="str">
        <f>IFERROR(VLOOKUP(Tabela1[[#This Row],[CC]],#REF!,5,0),"")</f>
        <v/>
      </c>
      <c r="C294" t="s">
        <v>70</v>
      </c>
      <c r="D294" t="s">
        <v>20</v>
      </c>
      <c r="E294" t="s">
        <v>495</v>
      </c>
      <c r="F294" t="s">
        <v>586</v>
      </c>
      <c r="G294" s="110">
        <v>8235</v>
      </c>
      <c r="H294" s="12">
        <v>45689</v>
      </c>
      <c r="I294" s="24">
        <v>2300</v>
      </c>
      <c r="J294" s="24">
        <v>2032.05</v>
      </c>
      <c r="K294" s="3">
        <v>45722</v>
      </c>
      <c r="L294" s="91">
        <v>45754</v>
      </c>
      <c r="M294" s="11">
        <v>45754</v>
      </c>
      <c r="N294" s="21" t="s">
        <v>588</v>
      </c>
      <c r="O294" s="35">
        <v>0</v>
      </c>
      <c r="P294" s="26"/>
      <c r="Q294" t="s">
        <v>58</v>
      </c>
      <c r="R294" t="s">
        <v>183</v>
      </c>
      <c r="S294" t="str">
        <f>IFERROR(VLOOKUP(Tabela1[[#This Row],[CC]],CC!$A$1:$H$403,8,0),"")</f>
        <v>OP4</v>
      </c>
    </row>
    <row r="295" spans="1:21" x14ac:dyDescent="0.3">
      <c r="A295" s="8">
        <v>1480</v>
      </c>
      <c r="B295" s="8" t="str">
        <f>IFERROR(VLOOKUP(Tabela1[[#This Row],[CC]],#REF!,5,0),"")</f>
        <v/>
      </c>
      <c r="C295" t="s">
        <v>51</v>
      </c>
      <c r="D295" t="s">
        <v>46</v>
      </c>
      <c r="E295" t="s">
        <v>590</v>
      </c>
      <c r="F295" t="s">
        <v>586</v>
      </c>
      <c r="G295" s="110">
        <v>3900</v>
      </c>
      <c r="H295" s="12">
        <v>45689</v>
      </c>
      <c r="I295" s="10">
        <v>181894.56</v>
      </c>
      <c r="J295" s="10">
        <v>170708.04</v>
      </c>
      <c r="K295" s="3">
        <v>45734</v>
      </c>
      <c r="L295" s="91">
        <v>45775</v>
      </c>
      <c r="M295" s="5">
        <v>45777</v>
      </c>
      <c r="N295" s="18" t="s">
        <v>588</v>
      </c>
      <c r="O295" s="37"/>
      <c r="P295" s="14"/>
      <c r="Q295" t="s">
        <v>55</v>
      </c>
      <c r="R295" t="s">
        <v>231</v>
      </c>
      <c r="S295" t="str">
        <f>IFERROR(VLOOKUP(Tabela1[[#This Row],[CC]],CC!$A$1:$H$403,8,0),"")</f>
        <v>OP2</v>
      </c>
    </row>
    <row r="296" spans="1:21" x14ac:dyDescent="0.3">
      <c r="A296" s="8">
        <v>1475</v>
      </c>
      <c r="B296" s="8" t="str">
        <f>IFERROR(VLOOKUP(Tabela1[[#This Row],[CC]],#REF!,5,0),"")</f>
        <v/>
      </c>
      <c r="C296" t="s">
        <v>60</v>
      </c>
      <c r="D296" t="s">
        <v>35</v>
      </c>
      <c r="E296" t="s">
        <v>480</v>
      </c>
      <c r="F296" t="s">
        <v>586</v>
      </c>
      <c r="G296" s="110">
        <v>8237</v>
      </c>
      <c r="H296" s="12">
        <v>45689</v>
      </c>
      <c r="I296" s="10">
        <v>67387.39</v>
      </c>
      <c r="J296" s="10">
        <v>60446.49</v>
      </c>
      <c r="K296" s="3">
        <v>45726</v>
      </c>
      <c r="L296" s="91">
        <v>45733</v>
      </c>
      <c r="M296" s="11">
        <v>45736</v>
      </c>
      <c r="N296" s="18" t="s">
        <v>588</v>
      </c>
      <c r="O296" s="34">
        <v>0</v>
      </c>
      <c r="P296"/>
      <c r="Q296" t="s">
        <v>55</v>
      </c>
      <c r="R296" t="s">
        <v>195</v>
      </c>
      <c r="S296" t="str">
        <f>IFERROR(VLOOKUP(Tabela1[[#This Row],[CC]],CC!$A$1:$H$403,8,0),"")</f>
        <v>OP3</v>
      </c>
    </row>
    <row r="297" spans="1:21" x14ac:dyDescent="0.3">
      <c r="A297" s="8">
        <v>1472</v>
      </c>
      <c r="B297" s="8" t="str">
        <f>IFERROR(VLOOKUP(Tabela1[[#This Row],[CC]],#REF!,5,0),"")</f>
        <v/>
      </c>
      <c r="C297" t="s">
        <v>32</v>
      </c>
      <c r="D297" t="s">
        <v>21</v>
      </c>
      <c r="E297" t="s">
        <v>477</v>
      </c>
      <c r="F297" t="s">
        <v>586</v>
      </c>
      <c r="G297" s="110">
        <v>3860</v>
      </c>
      <c r="H297" s="12">
        <v>45689</v>
      </c>
      <c r="I297" s="10">
        <v>92442.6</v>
      </c>
      <c r="J297" s="24">
        <v>86757.37</v>
      </c>
      <c r="K297" s="3">
        <v>45722</v>
      </c>
      <c r="L297" s="91">
        <v>45733</v>
      </c>
      <c r="M297" s="11">
        <v>45734</v>
      </c>
      <c r="N297" s="18" t="s">
        <v>588</v>
      </c>
      <c r="O297" s="37"/>
      <c r="P297" s="14"/>
      <c r="Q297" t="s">
        <v>57</v>
      </c>
      <c r="R297" t="s">
        <v>231</v>
      </c>
      <c r="S297" t="str">
        <f>IFERROR(VLOOKUP(Tabela1[[#This Row],[CC]],CC!$A$1:$H$403,8,0),"")</f>
        <v>OP1</v>
      </c>
    </row>
    <row r="298" spans="1:21" x14ac:dyDescent="0.3">
      <c r="A298" s="8">
        <v>1378</v>
      </c>
      <c r="B298" s="8" t="str">
        <f>IFERROR(VLOOKUP(Tabela1[[#This Row],[CC]],#REF!,5,0),"")</f>
        <v/>
      </c>
      <c r="C298" t="s">
        <v>51</v>
      </c>
      <c r="D298" t="s">
        <v>5</v>
      </c>
      <c r="E298" t="s">
        <v>361</v>
      </c>
      <c r="F298" t="s">
        <v>586</v>
      </c>
      <c r="G298" s="110">
        <v>8262</v>
      </c>
      <c r="H298" s="12">
        <v>45689</v>
      </c>
      <c r="I298" s="10">
        <v>4281.29</v>
      </c>
      <c r="J298" s="10">
        <v>4017.99</v>
      </c>
      <c r="K298" s="3">
        <v>45736</v>
      </c>
      <c r="L298" s="91">
        <v>45754</v>
      </c>
      <c r="M298" s="5">
        <v>45757</v>
      </c>
      <c r="N298" s="18" t="s">
        <v>588</v>
      </c>
      <c r="O298" s="34">
        <v>0</v>
      </c>
      <c r="P298"/>
      <c r="Q298" t="s">
        <v>57</v>
      </c>
      <c r="R298" t="s">
        <v>231</v>
      </c>
      <c r="S298" t="str">
        <f>IFERROR(VLOOKUP(Tabela1[[#This Row],[CC]],CC!$A$1:$H$403,8,0),"")</f>
        <v>OP2</v>
      </c>
      <c r="T298" t="s">
        <v>1</v>
      </c>
      <c r="U298" t="s">
        <v>2</v>
      </c>
    </row>
    <row r="299" spans="1:21" x14ac:dyDescent="0.3">
      <c r="A299" s="8">
        <v>1247</v>
      </c>
      <c r="B299" s="8" t="str">
        <f>IFERROR(VLOOKUP(Tabela1[[#This Row],[CC]],#REF!,5,0),"")</f>
        <v/>
      </c>
      <c r="C299" t="s">
        <v>70</v>
      </c>
      <c r="D299" t="s">
        <v>14</v>
      </c>
      <c r="E299" t="s">
        <v>214</v>
      </c>
      <c r="F299" t="s">
        <v>586</v>
      </c>
      <c r="G299" s="110">
        <v>8234</v>
      </c>
      <c r="H299" s="12">
        <v>45689</v>
      </c>
      <c r="I299" s="24">
        <v>38395.360000000001</v>
      </c>
      <c r="J299" s="24">
        <v>34440.629999999997</v>
      </c>
      <c r="K299" s="3">
        <v>45722</v>
      </c>
      <c r="L299" s="91">
        <v>45740</v>
      </c>
      <c r="M299" s="11">
        <v>45741</v>
      </c>
      <c r="N299" s="18" t="s">
        <v>588</v>
      </c>
      <c r="O299" s="34">
        <v>0</v>
      </c>
      <c r="P299"/>
      <c r="Q299" t="s">
        <v>58</v>
      </c>
      <c r="R299" t="s">
        <v>195</v>
      </c>
      <c r="S299" t="str">
        <f>IFERROR(VLOOKUP(Tabela1[[#This Row],[CC]],CC!$A$1:$H$403,8,0),"")</f>
        <v>OP4</v>
      </c>
    </row>
    <row r="300" spans="1:21" x14ac:dyDescent="0.3">
      <c r="A300" s="8">
        <v>1358</v>
      </c>
      <c r="B300" s="8" t="str">
        <f>IFERROR(VLOOKUP(Tabela1[[#This Row],[CC]],#REF!,5,0),"")</f>
        <v/>
      </c>
      <c r="C300" t="s">
        <v>70</v>
      </c>
      <c r="D300" t="s">
        <v>12</v>
      </c>
      <c r="E300" t="s">
        <v>335</v>
      </c>
      <c r="F300" t="s">
        <v>586</v>
      </c>
      <c r="G300" s="110">
        <v>8259</v>
      </c>
      <c r="H300" s="12">
        <v>45689</v>
      </c>
      <c r="I300" s="10">
        <v>85164.92</v>
      </c>
      <c r="J300" s="10">
        <v>76392.929999999993</v>
      </c>
      <c r="K300" s="3">
        <v>45734</v>
      </c>
      <c r="L300" s="91">
        <v>45768</v>
      </c>
      <c r="M300" s="11">
        <v>45770</v>
      </c>
      <c r="N300" s="18" t="s">
        <v>588</v>
      </c>
      <c r="O300" s="34">
        <v>0</v>
      </c>
      <c r="P300"/>
      <c r="Q300" t="s">
        <v>58</v>
      </c>
      <c r="R300" t="s">
        <v>195</v>
      </c>
      <c r="S300" t="str">
        <f>IFERROR(VLOOKUP(Tabela1[[#This Row],[CC]],CC!$A$1:$H$403,8,0),"")</f>
        <v>OP4</v>
      </c>
    </row>
    <row r="301" spans="1:21" x14ac:dyDescent="0.3">
      <c r="A301" s="8">
        <v>1358</v>
      </c>
      <c r="B301" s="8" t="str">
        <f>IFERROR(VLOOKUP(Tabela1[[#This Row],[CC]],#REF!,5,0),"")</f>
        <v/>
      </c>
      <c r="C301" t="s">
        <v>70</v>
      </c>
      <c r="D301" t="s">
        <v>12</v>
      </c>
      <c r="E301" t="s">
        <v>335</v>
      </c>
      <c r="F301" t="s">
        <v>586</v>
      </c>
      <c r="G301" s="110">
        <v>8263</v>
      </c>
      <c r="H301" s="12">
        <v>45689</v>
      </c>
      <c r="I301" s="10">
        <v>20467.93</v>
      </c>
      <c r="J301" s="10">
        <v>18359.73</v>
      </c>
      <c r="K301" s="3">
        <v>45736</v>
      </c>
      <c r="L301" s="91">
        <v>45768</v>
      </c>
      <c r="M301" s="11">
        <v>45770</v>
      </c>
      <c r="N301" s="18" t="s">
        <v>588</v>
      </c>
      <c r="O301" s="34">
        <v>0</v>
      </c>
      <c r="P301"/>
      <c r="Q301" t="s">
        <v>58</v>
      </c>
      <c r="R301" t="s">
        <v>195</v>
      </c>
      <c r="S301" t="str">
        <f>IFERROR(VLOOKUP(Tabela1[[#This Row],[CC]],CC!$A$1:$H$403,8,0),"")</f>
        <v>OP4</v>
      </c>
    </row>
    <row r="302" spans="1:21" x14ac:dyDescent="0.3">
      <c r="A302" s="8">
        <v>1473</v>
      </c>
      <c r="B302" s="8" t="str">
        <f>IFERROR(VLOOKUP(Tabela1[[#This Row],[CC]],#REF!,5,0),"")</f>
        <v/>
      </c>
      <c r="C302" t="s">
        <v>70</v>
      </c>
      <c r="D302" t="s">
        <v>63</v>
      </c>
      <c r="E302" t="s">
        <v>478</v>
      </c>
      <c r="F302" t="s">
        <v>586</v>
      </c>
      <c r="G302" s="110">
        <v>8258</v>
      </c>
      <c r="H302" s="12">
        <v>45689</v>
      </c>
      <c r="I302" s="24">
        <v>225527.76</v>
      </c>
      <c r="J302" s="24">
        <v>210118.33</v>
      </c>
      <c r="K302" s="3">
        <v>45733</v>
      </c>
      <c r="L302" s="91">
        <v>45796</v>
      </c>
      <c r="M302" s="11">
        <v>45798</v>
      </c>
      <c r="N302" s="18" t="s">
        <v>588</v>
      </c>
      <c r="O302" s="34">
        <v>0</v>
      </c>
      <c r="P302"/>
      <c r="Q302" t="s">
        <v>58</v>
      </c>
      <c r="R302" t="s">
        <v>195</v>
      </c>
      <c r="S302" t="str">
        <f>IFERROR(VLOOKUP(Tabela1[[#This Row],[CC]],CC!$A$1:$H$403,8,0),"")</f>
        <v>OP4</v>
      </c>
    </row>
    <row r="303" spans="1:21" x14ac:dyDescent="0.3">
      <c r="A303" s="25">
        <v>1462</v>
      </c>
      <c r="B303" s="25" t="str">
        <f>IFERROR(VLOOKUP(Tabela1[[#This Row],[CC]],#REF!,5,0),"")</f>
        <v/>
      </c>
      <c r="C303" t="s">
        <v>67</v>
      </c>
      <c r="D303" t="s">
        <v>76</v>
      </c>
      <c r="E303" t="s">
        <v>465</v>
      </c>
      <c r="F303" t="s">
        <v>586</v>
      </c>
      <c r="G303" s="110">
        <v>8229</v>
      </c>
      <c r="H303" s="12">
        <v>45689</v>
      </c>
      <c r="I303" s="24">
        <v>800</v>
      </c>
      <c r="J303" s="24">
        <v>750.8</v>
      </c>
      <c r="K303" s="3">
        <v>45721</v>
      </c>
      <c r="L303" s="91">
        <v>45726</v>
      </c>
      <c r="M303" s="11">
        <v>45726</v>
      </c>
      <c r="N303" s="18" t="s">
        <v>588</v>
      </c>
      <c r="O303" s="35">
        <v>0</v>
      </c>
      <c r="P303" s="26"/>
      <c r="Q303" t="s">
        <v>58</v>
      </c>
      <c r="R303" t="s">
        <v>228</v>
      </c>
      <c r="S303" t="str">
        <f>IFERROR(VLOOKUP(Tabela1[[#This Row],[CC]],CC!$A$1:$H$403,8,0),"")</f>
        <v>OP2</v>
      </c>
    </row>
    <row r="304" spans="1:21" x14ac:dyDescent="0.3">
      <c r="A304" s="8">
        <v>1390</v>
      </c>
      <c r="B304" s="8" t="str">
        <f>IFERROR(VLOOKUP(Tabela1[[#This Row],[CC]],#REF!,5,0),"")</f>
        <v/>
      </c>
      <c r="C304" t="s">
        <v>66</v>
      </c>
      <c r="D304" t="s">
        <v>11</v>
      </c>
      <c r="E304" t="s">
        <v>374</v>
      </c>
      <c r="F304" t="s">
        <v>586</v>
      </c>
      <c r="G304" s="110">
        <v>1256</v>
      </c>
      <c r="H304" s="12">
        <v>45748</v>
      </c>
      <c r="I304" s="10">
        <v>138446.9</v>
      </c>
      <c r="J304" s="10">
        <v>122317.84</v>
      </c>
      <c r="K304" s="3">
        <v>45793</v>
      </c>
      <c r="L304" s="91">
        <v>45887</v>
      </c>
      <c r="M304" s="11">
        <v>45890</v>
      </c>
      <c r="N304" s="18" t="s">
        <v>588</v>
      </c>
      <c r="O304" s="54"/>
      <c r="P304"/>
      <c r="Q304" t="s">
        <v>58</v>
      </c>
      <c r="R304" t="s">
        <v>183</v>
      </c>
      <c r="S304" t="str">
        <f>IFERROR(VLOOKUP(Tabela1[[#This Row],[CC]],CC!$A$1:$H$403,8,0),"")</f>
        <v>OP2</v>
      </c>
    </row>
    <row r="305" spans="1:19" x14ac:dyDescent="0.3">
      <c r="A305" s="8">
        <v>1390</v>
      </c>
      <c r="B305" s="8" t="str">
        <f>IFERROR(VLOOKUP(Tabela1[[#This Row],[CC]],#REF!,5,0),"")</f>
        <v/>
      </c>
      <c r="C305" t="s">
        <v>66</v>
      </c>
      <c r="D305" t="s">
        <v>11</v>
      </c>
      <c r="E305" t="s">
        <v>374</v>
      </c>
      <c r="F305" t="s">
        <v>586</v>
      </c>
      <c r="G305" s="110">
        <v>1255</v>
      </c>
      <c r="H305" s="12">
        <v>45748</v>
      </c>
      <c r="I305" s="10">
        <v>8840</v>
      </c>
      <c r="J305" s="10">
        <v>7810.14</v>
      </c>
      <c r="K305" s="3">
        <v>45793</v>
      </c>
      <c r="L305" s="91">
        <v>45887</v>
      </c>
      <c r="M305" s="11">
        <v>45890</v>
      </c>
      <c r="N305" s="18" t="s">
        <v>588</v>
      </c>
      <c r="O305" s="54"/>
      <c r="P305"/>
      <c r="Q305" t="s">
        <v>58</v>
      </c>
      <c r="R305" t="s">
        <v>183</v>
      </c>
      <c r="S305" t="str">
        <f>IFERROR(VLOOKUP(Tabela1[[#This Row],[CC]],CC!$A$1:$H$403,8,0),"")</f>
        <v>OP2</v>
      </c>
    </row>
    <row r="306" spans="1:19" x14ac:dyDescent="0.3">
      <c r="A306" s="13">
        <v>1260</v>
      </c>
      <c r="B306" s="13" t="str">
        <f>IFERROR(VLOOKUP(Tabela1[[#This Row],[CC]],#REF!,5,0),"")</f>
        <v/>
      </c>
      <c r="C306" t="s">
        <v>51</v>
      </c>
      <c r="D306" t="s">
        <v>39</v>
      </c>
      <c r="E306" t="s">
        <v>227</v>
      </c>
      <c r="F306" t="s">
        <v>586</v>
      </c>
      <c r="G306" s="110">
        <v>3859</v>
      </c>
      <c r="H306" s="12">
        <v>45689</v>
      </c>
      <c r="I306" s="24">
        <v>10395</v>
      </c>
      <c r="J306" s="24">
        <v>9755.7000000000007</v>
      </c>
      <c r="K306" s="3">
        <v>45721</v>
      </c>
      <c r="L306" s="91">
        <v>45740</v>
      </c>
      <c r="M306" s="11">
        <v>45742</v>
      </c>
      <c r="N306" s="19" t="s">
        <v>588</v>
      </c>
      <c r="O306" s="34">
        <v>0</v>
      </c>
      <c r="P306"/>
      <c r="Q306" t="s">
        <v>55</v>
      </c>
      <c r="R306" t="s">
        <v>228</v>
      </c>
      <c r="S306" t="str">
        <f>IFERROR(VLOOKUP(Tabela1[[#This Row],[CC]],CC!$A$1:$H$403,8,0),"")</f>
        <v>OP2</v>
      </c>
    </row>
    <row r="307" spans="1:19" x14ac:dyDescent="0.3">
      <c r="A307" s="25">
        <v>1487</v>
      </c>
      <c r="B307" s="25" t="str">
        <f>IFERROR(VLOOKUP(Tabela1[[#This Row],[CC]],#REF!,5,0),"")</f>
        <v/>
      </c>
      <c r="C307" t="s">
        <v>51</v>
      </c>
      <c r="D307" t="s">
        <v>23</v>
      </c>
      <c r="E307" t="s">
        <v>492</v>
      </c>
      <c r="F307" t="s">
        <v>586</v>
      </c>
      <c r="G307" s="110">
        <v>3858</v>
      </c>
      <c r="H307" s="12">
        <v>45689</v>
      </c>
      <c r="I307" s="24">
        <v>36984</v>
      </c>
      <c r="J307" s="24">
        <v>34709.480000000003</v>
      </c>
      <c r="K307" s="3">
        <v>45721</v>
      </c>
      <c r="L307" s="91">
        <v>45782</v>
      </c>
      <c r="M307" s="11">
        <v>45782</v>
      </c>
      <c r="N307" s="18" t="s">
        <v>588</v>
      </c>
      <c r="O307" s="35">
        <v>0</v>
      </c>
      <c r="P307" s="26"/>
      <c r="Q307" t="s">
        <v>57</v>
      </c>
      <c r="R307" t="s">
        <v>231</v>
      </c>
      <c r="S307" t="str">
        <f>IFERROR(VLOOKUP(Tabela1[[#This Row],[CC]],CC!$A$1:$H$403,8,0),"")</f>
        <v>OP2</v>
      </c>
    </row>
    <row r="308" spans="1:19" x14ac:dyDescent="0.3">
      <c r="A308" s="25">
        <v>1487</v>
      </c>
      <c r="B308" s="25" t="str">
        <f>IFERROR(VLOOKUP(Tabela1[[#This Row],[CC]],#REF!,5,0),"")</f>
        <v/>
      </c>
      <c r="C308" t="s">
        <v>51</v>
      </c>
      <c r="D308" t="s">
        <v>23</v>
      </c>
      <c r="E308" t="s">
        <v>492</v>
      </c>
      <c r="F308" t="s">
        <v>586</v>
      </c>
      <c r="G308" s="110">
        <v>3857</v>
      </c>
      <c r="H308" s="12">
        <v>45689</v>
      </c>
      <c r="I308" s="24">
        <v>24648</v>
      </c>
      <c r="J308" s="24">
        <v>23132.15</v>
      </c>
      <c r="K308" s="3">
        <v>45721</v>
      </c>
      <c r="L308" s="91">
        <v>45782</v>
      </c>
      <c r="M308" s="11">
        <v>45782</v>
      </c>
      <c r="N308" s="18" t="s">
        <v>588</v>
      </c>
      <c r="O308" s="35">
        <v>0</v>
      </c>
      <c r="P308" s="26"/>
      <c r="Q308" t="s">
        <v>57</v>
      </c>
      <c r="R308" t="s">
        <v>231</v>
      </c>
      <c r="S308" t="str">
        <f>IFERROR(VLOOKUP(Tabela1[[#This Row],[CC]],CC!$A$1:$H$403,8,0),"")</f>
        <v>OP2</v>
      </c>
    </row>
    <row r="309" spans="1:19" x14ac:dyDescent="0.3">
      <c r="A309" s="25">
        <v>1482</v>
      </c>
      <c r="B309" s="25" t="str">
        <f>IFERROR(VLOOKUP(Tabela1[[#This Row],[CC]],#REF!,5,0),"")</f>
        <v/>
      </c>
      <c r="C309" t="s">
        <v>66</v>
      </c>
      <c r="D309" t="s">
        <v>16</v>
      </c>
      <c r="E309" t="s">
        <v>487</v>
      </c>
      <c r="F309" t="s">
        <v>586</v>
      </c>
      <c r="G309" s="110">
        <v>8236</v>
      </c>
      <c r="H309" s="12">
        <v>45689</v>
      </c>
      <c r="I309" s="24">
        <v>39000</v>
      </c>
      <c r="J309" s="24">
        <v>35236.5</v>
      </c>
      <c r="K309" s="3">
        <v>45726</v>
      </c>
      <c r="L309" s="91">
        <v>45747</v>
      </c>
      <c r="M309" s="11">
        <v>45747</v>
      </c>
      <c r="N309" s="36" t="s">
        <v>588</v>
      </c>
      <c r="O309" s="47"/>
      <c r="P309" s="26"/>
      <c r="Q309" t="s">
        <v>58</v>
      </c>
      <c r="R309" t="s">
        <v>183</v>
      </c>
      <c r="S309" t="str">
        <f>IFERROR(VLOOKUP(Tabela1[[#This Row],[CC]],CC!$A$1:$H$403,8,0),"")</f>
        <v>OP2</v>
      </c>
    </row>
    <row r="310" spans="1:19" x14ac:dyDescent="0.3">
      <c r="A310" s="25">
        <v>1262</v>
      </c>
      <c r="B310" s="25" t="str">
        <f>IFERROR(VLOOKUP(Tabela1[[#This Row],[CC]],#REF!,5,0),"")</f>
        <v/>
      </c>
      <c r="C310" t="s">
        <v>51</v>
      </c>
      <c r="D310" t="s">
        <v>25</v>
      </c>
      <c r="E310" t="s">
        <v>230</v>
      </c>
      <c r="F310" t="s">
        <v>586</v>
      </c>
      <c r="G310" s="110">
        <v>3919</v>
      </c>
      <c r="H310" s="12">
        <v>45689</v>
      </c>
      <c r="I310" s="24">
        <v>6597.6</v>
      </c>
      <c r="J310" s="24">
        <v>6191.85</v>
      </c>
      <c r="K310" s="3">
        <v>45737</v>
      </c>
      <c r="L310" s="91">
        <v>45747</v>
      </c>
      <c r="M310" s="11">
        <v>45747</v>
      </c>
      <c r="N310" s="18" t="s">
        <v>588</v>
      </c>
      <c r="O310" s="35">
        <v>0</v>
      </c>
      <c r="P310" s="26"/>
      <c r="Q310" t="s">
        <v>55</v>
      </c>
      <c r="R310" t="s">
        <v>231</v>
      </c>
      <c r="S310" t="str">
        <f>IFERROR(VLOOKUP(Tabela1[[#This Row],[CC]],CC!$A$1:$H$403,8,0),"")</f>
        <v>OP2</v>
      </c>
    </row>
    <row r="311" spans="1:19" x14ac:dyDescent="0.3">
      <c r="A311" s="25">
        <v>1262</v>
      </c>
      <c r="B311" s="25" t="str">
        <f>IFERROR(VLOOKUP(Tabela1[[#This Row],[CC]],#REF!,5,0),"")</f>
        <v/>
      </c>
      <c r="C311" t="s">
        <v>51</v>
      </c>
      <c r="D311" t="s">
        <v>25</v>
      </c>
      <c r="E311" t="s">
        <v>230</v>
      </c>
      <c r="F311" t="s">
        <v>586</v>
      </c>
      <c r="G311" s="110">
        <v>3926</v>
      </c>
      <c r="H311" s="12">
        <v>45689</v>
      </c>
      <c r="I311" s="24">
        <v>53936.77</v>
      </c>
      <c r="J311" s="24">
        <v>50619.66</v>
      </c>
      <c r="K311" s="3">
        <v>45737</v>
      </c>
      <c r="L311" s="91">
        <v>45747</v>
      </c>
      <c r="M311" s="11">
        <v>45747</v>
      </c>
      <c r="N311" s="18" t="s">
        <v>588</v>
      </c>
      <c r="O311" s="35">
        <v>0</v>
      </c>
      <c r="P311" s="26"/>
      <c r="Q311" t="s">
        <v>55</v>
      </c>
      <c r="R311" t="s">
        <v>231</v>
      </c>
      <c r="S311" t="str">
        <f>IFERROR(VLOOKUP(Tabela1[[#This Row],[CC]],CC!$A$1:$H$403,8,0),"")</f>
        <v>OP2</v>
      </c>
    </row>
    <row r="312" spans="1:19" x14ac:dyDescent="0.3">
      <c r="A312" s="25">
        <v>1262</v>
      </c>
      <c r="B312" s="25" t="str">
        <f>IFERROR(VLOOKUP(Tabela1[[#This Row],[CC]],#REF!,5,0),"")</f>
        <v/>
      </c>
      <c r="C312" t="s">
        <v>51</v>
      </c>
      <c r="D312" t="s">
        <v>25</v>
      </c>
      <c r="E312" t="s">
        <v>230</v>
      </c>
      <c r="F312" t="s">
        <v>586</v>
      </c>
      <c r="G312" s="110">
        <v>3925</v>
      </c>
      <c r="H312" s="12">
        <v>45689</v>
      </c>
      <c r="I312" s="24">
        <v>15394.39</v>
      </c>
      <c r="J312" s="24">
        <v>14447.64</v>
      </c>
      <c r="K312" s="3">
        <v>45737</v>
      </c>
      <c r="L312" s="91">
        <v>45747</v>
      </c>
      <c r="M312" s="11">
        <v>45747</v>
      </c>
      <c r="N312" s="18" t="s">
        <v>588</v>
      </c>
      <c r="O312" s="35">
        <v>0</v>
      </c>
      <c r="P312" s="26"/>
      <c r="Q312" t="s">
        <v>55</v>
      </c>
      <c r="R312" t="s">
        <v>231</v>
      </c>
      <c r="S312" t="str">
        <f>IFERROR(VLOOKUP(Tabela1[[#This Row],[CC]],CC!$A$1:$H$403,8,0),"")</f>
        <v>OP2</v>
      </c>
    </row>
    <row r="313" spans="1:19" x14ac:dyDescent="0.3">
      <c r="A313" s="25">
        <v>1262</v>
      </c>
      <c r="B313" s="25" t="str">
        <f>IFERROR(VLOOKUP(Tabela1[[#This Row],[CC]],#REF!,5,0),"")</f>
        <v/>
      </c>
      <c r="C313" t="s">
        <v>51</v>
      </c>
      <c r="D313" t="s">
        <v>25</v>
      </c>
      <c r="E313" t="s">
        <v>230</v>
      </c>
      <c r="F313" t="s">
        <v>586</v>
      </c>
      <c r="G313" s="110">
        <v>3924</v>
      </c>
      <c r="H313" s="12">
        <v>45689</v>
      </c>
      <c r="I313" s="24">
        <v>9148.61</v>
      </c>
      <c r="J313" s="24">
        <v>8585.9599999999991</v>
      </c>
      <c r="K313" s="3">
        <v>45737</v>
      </c>
      <c r="L313" s="91">
        <v>45747</v>
      </c>
      <c r="M313" s="11">
        <v>45747</v>
      </c>
      <c r="N313" s="18" t="s">
        <v>588</v>
      </c>
      <c r="O313" s="35">
        <v>0</v>
      </c>
      <c r="P313" s="26"/>
      <c r="Q313" t="s">
        <v>55</v>
      </c>
      <c r="R313" t="s">
        <v>231</v>
      </c>
      <c r="S313" t="str">
        <f>IFERROR(VLOOKUP(Tabela1[[#This Row],[CC]],CC!$A$1:$H$403,8,0),"")</f>
        <v>OP2</v>
      </c>
    </row>
    <row r="314" spans="1:19" x14ac:dyDescent="0.3">
      <c r="A314" s="25">
        <v>1262</v>
      </c>
      <c r="B314" s="25" t="str">
        <f>IFERROR(VLOOKUP(Tabela1[[#This Row],[CC]],#REF!,5,0),"")</f>
        <v/>
      </c>
      <c r="C314" t="s">
        <v>51</v>
      </c>
      <c r="D314" t="s">
        <v>25</v>
      </c>
      <c r="E314" t="s">
        <v>230</v>
      </c>
      <c r="F314" t="s">
        <v>586</v>
      </c>
      <c r="G314" s="110">
        <v>3923</v>
      </c>
      <c r="H314" s="12">
        <v>45689</v>
      </c>
      <c r="I314" s="24">
        <v>20362.22</v>
      </c>
      <c r="J314" s="24">
        <v>19109.95</v>
      </c>
      <c r="K314" s="3">
        <v>45737</v>
      </c>
      <c r="L314" s="91">
        <v>45747</v>
      </c>
      <c r="M314" s="11">
        <v>45747</v>
      </c>
      <c r="N314" s="18" t="s">
        <v>588</v>
      </c>
      <c r="O314" s="35">
        <v>0</v>
      </c>
      <c r="P314" s="26"/>
      <c r="Q314" t="s">
        <v>55</v>
      </c>
      <c r="R314" t="s">
        <v>231</v>
      </c>
      <c r="S314" t="str">
        <f>IFERROR(VLOOKUP(Tabela1[[#This Row],[CC]],CC!$A$1:$H$403,8,0),"")</f>
        <v>OP2</v>
      </c>
    </row>
    <row r="315" spans="1:19" x14ac:dyDescent="0.3">
      <c r="A315" s="8">
        <v>1269</v>
      </c>
      <c r="B315" s="8" t="str">
        <f>IFERROR(VLOOKUP(Tabela1[[#This Row],[CC]],#REF!,5,0),"")</f>
        <v/>
      </c>
      <c r="C315" t="s">
        <v>51</v>
      </c>
      <c r="D315" t="s">
        <v>25</v>
      </c>
      <c r="E315" t="s">
        <v>239</v>
      </c>
      <c r="F315" t="s">
        <v>586</v>
      </c>
      <c r="G315" s="110">
        <v>3921</v>
      </c>
      <c r="H315" s="12">
        <v>45689</v>
      </c>
      <c r="I315" s="24">
        <v>6310.36</v>
      </c>
      <c r="J315" s="24">
        <v>5922.27</v>
      </c>
      <c r="K315" s="3">
        <v>45737</v>
      </c>
      <c r="L315" s="91">
        <v>45747</v>
      </c>
      <c r="M315" s="11">
        <v>45747</v>
      </c>
      <c r="N315" s="18" t="s">
        <v>588</v>
      </c>
      <c r="O315" s="34">
        <v>0</v>
      </c>
      <c r="P315" s="14"/>
      <c r="Q315" t="s">
        <v>58</v>
      </c>
      <c r="R315" t="s">
        <v>231</v>
      </c>
      <c r="S315" t="str">
        <f>IFERROR(VLOOKUP(Tabela1[[#This Row],[CC]],CC!$A$1:$H$403,8,0),"")</f>
        <v>OP2</v>
      </c>
    </row>
    <row r="316" spans="1:19" x14ac:dyDescent="0.3">
      <c r="A316" s="8">
        <v>1269</v>
      </c>
      <c r="B316" s="8" t="str">
        <f>IFERROR(VLOOKUP(Tabela1[[#This Row],[CC]],#REF!,5,0),"")</f>
        <v/>
      </c>
      <c r="C316" t="s">
        <v>51</v>
      </c>
      <c r="D316" t="s">
        <v>25</v>
      </c>
      <c r="E316" t="s">
        <v>239</v>
      </c>
      <c r="F316" t="s">
        <v>586</v>
      </c>
      <c r="G316" s="110">
        <v>3920</v>
      </c>
      <c r="H316" s="12">
        <v>45689</v>
      </c>
      <c r="I316" s="24">
        <v>10311.450000000001</v>
      </c>
      <c r="J316" s="24">
        <v>9677.31</v>
      </c>
      <c r="K316" s="3">
        <v>45737</v>
      </c>
      <c r="L316" s="91">
        <v>45747</v>
      </c>
      <c r="M316" s="11">
        <v>45747</v>
      </c>
      <c r="N316" s="18" t="s">
        <v>588</v>
      </c>
      <c r="O316" s="34">
        <v>0</v>
      </c>
      <c r="P316" s="14"/>
      <c r="Q316" t="s">
        <v>58</v>
      </c>
      <c r="R316" t="s">
        <v>231</v>
      </c>
      <c r="S316" t="str">
        <f>IFERROR(VLOOKUP(Tabela1[[#This Row],[CC]],CC!$A$1:$H$403,8,0),"")</f>
        <v>OP2</v>
      </c>
    </row>
    <row r="317" spans="1:19" x14ac:dyDescent="0.3">
      <c r="A317" s="8">
        <v>1269</v>
      </c>
      <c r="B317" s="8" t="str">
        <f>IFERROR(VLOOKUP(Tabela1[[#This Row],[CC]],#REF!,5,0),"")</f>
        <v/>
      </c>
      <c r="C317" t="s">
        <v>51</v>
      </c>
      <c r="D317" t="s">
        <v>25</v>
      </c>
      <c r="E317" t="s">
        <v>239</v>
      </c>
      <c r="F317" t="s">
        <v>586</v>
      </c>
      <c r="G317" s="110">
        <v>3922</v>
      </c>
      <c r="H317" s="12">
        <v>45689</v>
      </c>
      <c r="I317" s="24">
        <v>29105.24</v>
      </c>
      <c r="J317" s="24">
        <v>27315.27</v>
      </c>
      <c r="K317" s="3">
        <v>45737</v>
      </c>
      <c r="L317" s="91">
        <v>45747</v>
      </c>
      <c r="M317" s="11">
        <v>45747</v>
      </c>
      <c r="N317" s="18" t="s">
        <v>588</v>
      </c>
      <c r="O317" s="34">
        <v>0</v>
      </c>
      <c r="P317" s="14"/>
      <c r="Q317" t="s">
        <v>58</v>
      </c>
      <c r="R317" t="s">
        <v>231</v>
      </c>
      <c r="S317" t="str">
        <f>IFERROR(VLOOKUP(Tabela1[[#This Row],[CC]],CC!$A$1:$H$403,8,0),"")</f>
        <v>OP2</v>
      </c>
    </row>
    <row r="318" spans="1:19" x14ac:dyDescent="0.3">
      <c r="A318" s="8">
        <v>1269</v>
      </c>
      <c r="B318" s="8" t="str">
        <f>IFERROR(VLOOKUP(Tabela1[[#This Row],[CC]],#REF!,5,0),"")</f>
        <v/>
      </c>
      <c r="C318" t="s">
        <v>51</v>
      </c>
      <c r="D318" t="s">
        <v>25</v>
      </c>
      <c r="E318" t="s">
        <v>239</v>
      </c>
      <c r="F318" t="s">
        <v>586</v>
      </c>
      <c r="G318" s="110">
        <v>3927</v>
      </c>
      <c r="H318" s="12">
        <v>45689</v>
      </c>
      <c r="I318" s="24">
        <v>198578.23</v>
      </c>
      <c r="J318" s="24">
        <v>186365.67</v>
      </c>
      <c r="K318" s="3">
        <v>45737</v>
      </c>
      <c r="L318" s="91">
        <v>45747</v>
      </c>
      <c r="M318" s="11">
        <v>45747</v>
      </c>
      <c r="N318" s="18" t="s">
        <v>588</v>
      </c>
      <c r="O318" s="34">
        <v>0</v>
      </c>
      <c r="P318" s="14"/>
      <c r="Q318" t="s">
        <v>58</v>
      </c>
      <c r="R318" t="s">
        <v>231</v>
      </c>
      <c r="S318" t="str">
        <f>IFERROR(VLOOKUP(Tabela1[[#This Row],[CC]],CC!$A$1:$H$403,8,0),"")</f>
        <v>OP2</v>
      </c>
    </row>
    <row r="319" spans="1:19" x14ac:dyDescent="0.3">
      <c r="A319" s="25">
        <v>1400</v>
      </c>
      <c r="B319" s="25" t="str">
        <f>IFERROR(VLOOKUP(Tabela1[[#This Row],[CC]],#REF!,5,0),"")</f>
        <v/>
      </c>
      <c r="C319" t="s">
        <v>64</v>
      </c>
      <c r="D319" t="s">
        <v>4</v>
      </c>
      <c r="E319" t="s">
        <v>385</v>
      </c>
      <c r="F319" t="s">
        <v>586</v>
      </c>
      <c r="G319" s="110">
        <v>8272</v>
      </c>
      <c r="H319" s="12">
        <v>45689</v>
      </c>
      <c r="I319" s="24">
        <v>957204.17</v>
      </c>
      <c r="J319" s="55">
        <v>864833.95</v>
      </c>
      <c r="K319" s="3">
        <v>45748</v>
      </c>
      <c r="L319" s="91">
        <v>45761</v>
      </c>
      <c r="M319" s="11">
        <v>45764</v>
      </c>
      <c r="N319" s="18" t="s">
        <v>588</v>
      </c>
      <c r="O319" s="35">
        <v>0</v>
      </c>
      <c r="P319"/>
      <c r="Q319" t="s">
        <v>55</v>
      </c>
      <c r="R319" t="s">
        <v>183</v>
      </c>
      <c r="S319" t="str">
        <f>IFERROR(VLOOKUP(Tabela1[[#This Row],[CC]],CC!$A$1:$H$403,8,0),"")</f>
        <v>OP1</v>
      </c>
    </row>
    <row r="320" spans="1:19" x14ac:dyDescent="0.3">
      <c r="A320" s="25">
        <v>1400</v>
      </c>
      <c r="B320" s="25" t="str">
        <f>IFERROR(VLOOKUP(Tabela1[[#This Row],[CC]],#REF!,5,0),"")</f>
        <v/>
      </c>
      <c r="C320" t="s">
        <v>64</v>
      </c>
      <c r="D320" t="s">
        <v>4</v>
      </c>
      <c r="E320" t="s">
        <v>385</v>
      </c>
      <c r="F320" t="s">
        <v>586</v>
      </c>
      <c r="G320" s="110">
        <v>8271</v>
      </c>
      <c r="H320" s="12">
        <v>45689</v>
      </c>
      <c r="I320" s="24">
        <v>77751.44</v>
      </c>
      <c r="J320" s="55">
        <v>70248.429999999993</v>
      </c>
      <c r="K320" s="3">
        <v>45748</v>
      </c>
      <c r="L320" s="91">
        <v>45761</v>
      </c>
      <c r="M320" s="11">
        <v>45764</v>
      </c>
      <c r="N320" s="18" t="s">
        <v>588</v>
      </c>
      <c r="O320" s="35">
        <v>0</v>
      </c>
      <c r="P320"/>
      <c r="Q320" t="s">
        <v>55</v>
      </c>
      <c r="R320" t="s">
        <v>183</v>
      </c>
      <c r="S320" t="str">
        <f>IFERROR(VLOOKUP(Tabela1[[#This Row],[CC]],CC!$A$1:$H$403,8,0),"")</f>
        <v>OP1</v>
      </c>
    </row>
    <row r="321" spans="1:19" x14ac:dyDescent="0.3">
      <c r="A321" s="8">
        <v>1366</v>
      </c>
      <c r="B321" s="8" t="str">
        <f>IFERROR(VLOOKUP(Tabela1[[#This Row],[CC]],#REF!,5,0),"")</f>
        <v/>
      </c>
      <c r="C321" t="s">
        <v>64</v>
      </c>
      <c r="D321" t="s">
        <v>4</v>
      </c>
      <c r="E321" t="s">
        <v>345</v>
      </c>
      <c r="F321" t="s">
        <v>586</v>
      </c>
      <c r="G321" s="110">
        <v>1230</v>
      </c>
      <c r="H321" s="12">
        <v>45689</v>
      </c>
      <c r="I321" s="10">
        <v>347113.33</v>
      </c>
      <c r="J321" s="10">
        <v>313616.71000000002</v>
      </c>
      <c r="K321" s="3">
        <v>45729</v>
      </c>
      <c r="L321" s="91">
        <v>45748</v>
      </c>
      <c r="M321" s="11">
        <v>45750</v>
      </c>
      <c r="N321" s="18" t="s">
        <v>588</v>
      </c>
      <c r="O321" s="34">
        <v>0</v>
      </c>
      <c r="P321"/>
      <c r="Q321" t="s">
        <v>58</v>
      </c>
      <c r="R321" t="s">
        <v>183</v>
      </c>
      <c r="S321" t="str">
        <f>IFERROR(VLOOKUP(Tabela1[[#This Row],[CC]],CC!$A$1:$H$403,8,0),"")</f>
        <v>OP1</v>
      </c>
    </row>
    <row r="322" spans="1:19" x14ac:dyDescent="0.3">
      <c r="A322" s="8">
        <v>1388</v>
      </c>
      <c r="B322" s="8" t="str">
        <f>IFERROR(VLOOKUP(Tabela1[[#This Row],[CC]],#REF!,5,0),"")</f>
        <v/>
      </c>
      <c r="C322" t="s">
        <v>64</v>
      </c>
      <c r="D322" t="s">
        <v>4</v>
      </c>
      <c r="E322" t="s">
        <v>373</v>
      </c>
      <c r="F322" t="s">
        <v>586</v>
      </c>
      <c r="G322" s="110">
        <v>3881</v>
      </c>
      <c r="H322" s="12">
        <v>45689</v>
      </c>
      <c r="I322" s="10">
        <v>245875.23</v>
      </c>
      <c r="J322" s="10">
        <v>222148.27</v>
      </c>
      <c r="K322" s="3">
        <v>45727</v>
      </c>
      <c r="L322" s="91">
        <v>45748</v>
      </c>
      <c r="M322" s="11">
        <v>45750</v>
      </c>
      <c r="N322" s="18" t="s">
        <v>588</v>
      </c>
      <c r="O322" s="34">
        <v>0</v>
      </c>
      <c r="P322"/>
      <c r="Q322" t="s">
        <v>55</v>
      </c>
      <c r="R322" t="s">
        <v>183</v>
      </c>
      <c r="S322" t="str">
        <f>IFERROR(VLOOKUP(Tabela1[[#This Row],[CC]],CC!$A$1:$H$403,8,0),"")</f>
        <v>OP1</v>
      </c>
    </row>
    <row r="323" spans="1:19" x14ac:dyDescent="0.3">
      <c r="A323" s="8">
        <v>1298</v>
      </c>
      <c r="B323" s="8" t="str">
        <f>IFERROR(VLOOKUP(Tabela1[[#This Row],[CC]],#REF!,5,0),"")</f>
        <v/>
      </c>
      <c r="C323" t="str">
        <f>IFERROR(VLOOKUP(Tabela1[[#This Row],[CC]],CC!$A$1:$H$389,7,0),"")</f>
        <v>JOSÉ NETO</v>
      </c>
      <c r="D323" t="s">
        <v>17</v>
      </c>
      <c r="E323" t="s">
        <v>273</v>
      </c>
      <c r="F323" t="s">
        <v>586</v>
      </c>
      <c r="G323" s="110">
        <v>1231</v>
      </c>
      <c r="H323" s="12">
        <v>45689</v>
      </c>
      <c r="I323" s="24">
        <v>275594.28999999998</v>
      </c>
      <c r="J323" s="24">
        <v>258645.25</v>
      </c>
      <c r="K323" s="3">
        <v>45733</v>
      </c>
      <c r="L323" s="91">
        <v>45740</v>
      </c>
      <c r="M323" s="11">
        <v>45744</v>
      </c>
      <c r="N323" s="18" t="s">
        <v>588</v>
      </c>
      <c r="O323" s="34">
        <v>0</v>
      </c>
      <c r="P323"/>
      <c r="Q323" t="s">
        <v>58</v>
      </c>
      <c r="R323" t="s">
        <v>195</v>
      </c>
      <c r="S323" t="str">
        <f>IFERROR(VLOOKUP(Tabela1[[#This Row],[CC]],CC!$A$1:$H$403,8,0),"")</f>
        <v>OP2</v>
      </c>
    </row>
    <row r="324" spans="1:19" x14ac:dyDescent="0.3">
      <c r="A324" s="8">
        <v>1289</v>
      </c>
      <c r="B324" s="8" t="str">
        <f>IFERROR(VLOOKUP(Tabela1[[#This Row],[CC]],#REF!,5,0),"")</f>
        <v/>
      </c>
      <c r="C324" t="s">
        <v>60</v>
      </c>
      <c r="D324" t="s">
        <v>15</v>
      </c>
      <c r="E324" t="s">
        <v>263</v>
      </c>
      <c r="F324" t="s">
        <v>586</v>
      </c>
      <c r="G324" s="110">
        <v>8247</v>
      </c>
      <c r="H324" s="12">
        <v>45689</v>
      </c>
      <c r="I324" s="24">
        <v>288652.95</v>
      </c>
      <c r="J324" s="10">
        <v>269024.55</v>
      </c>
      <c r="K324" s="3">
        <v>45729</v>
      </c>
      <c r="L324" s="91">
        <v>45747</v>
      </c>
      <c r="M324" s="11">
        <v>45747</v>
      </c>
      <c r="N324" s="18" t="s">
        <v>588</v>
      </c>
      <c r="O324" s="34"/>
      <c r="P324"/>
      <c r="Q324" t="s">
        <v>58</v>
      </c>
      <c r="R324" t="s">
        <v>195</v>
      </c>
      <c r="S324" t="str">
        <f>IFERROR(VLOOKUP(Tabela1[[#This Row],[CC]],CC!$A$1:$H$403,8,0),"")</f>
        <v>OP3</v>
      </c>
    </row>
    <row r="325" spans="1:19" x14ac:dyDescent="0.3">
      <c r="A325" s="25">
        <v>1288</v>
      </c>
      <c r="B325" s="25" t="str">
        <f>IFERROR(VLOOKUP(Tabela1[[#This Row],[CC]],#REF!,5,0),"")</f>
        <v/>
      </c>
      <c r="C325" t="s">
        <v>60</v>
      </c>
      <c r="D325" t="s">
        <v>15</v>
      </c>
      <c r="E325" t="s">
        <v>262</v>
      </c>
      <c r="F325" t="s">
        <v>586</v>
      </c>
      <c r="G325" s="110">
        <v>8248</v>
      </c>
      <c r="H325" s="12">
        <v>45689</v>
      </c>
      <c r="I325" s="24">
        <v>379348.6</v>
      </c>
      <c r="J325" s="24">
        <v>353552.9</v>
      </c>
      <c r="K325" s="3">
        <v>45729</v>
      </c>
      <c r="L325" s="91">
        <v>45747</v>
      </c>
      <c r="M325" s="11">
        <v>45747</v>
      </c>
      <c r="N325" s="18" t="s">
        <v>588</v>
      </c>
      <c r="O325" s="35"/>
      <c r="P325"/>
      <c r="Q325" t="s">
        <v>55</v>
      </c>
      <c r="R325" t="s">
        <v>195</v>
      </c>
      <c r="S325" t="str">
        <f>IFERROR(VLOOKUP(Tabela1[[#This Row],[CC]],CC!$A$1:$H$403,8,0),"")</f>
        <v>OP3</v>
      </c>
    </row>
    <row r="326" spans="1:19" x14ac:dyDescent="0.3">
      <c r="A326" s="8">
        <v>1271</v>
      </c>
      <c r="B326" s="8" t="str">
        <f>IFERROR(VLOOKUP(Tabela1[[#This Row],[CC]],#REF!,5,0),"")</f>
        <v/>
      </c>
      <c r="C326" t="s">
        <v>60</v>
      </c>
      <c r="D326" t="s">
        <v>15</v>
      </c>
      <c r="E326" t="s">
        <v>242</v>
      </c>
      <c r="F326" t="s">
        <v>586</v>
      </c>
      <c r="G326" s="110">
        <v>8249</v>
      </c>
      <c r="H326" s="12">
        <v>45689</v>
      </c>
      <c r="I326" s="10">
        <v>255597.54</v>
      </c>
      <c r="J326" s="10">
        <v>238216.91</v>
      </c>
      <c r="K326" s="3">
        <v>45729</v>
      </c>
      <c r="L326" s="91">
        <v>45733</v>
      </c>
      <c r="M326" s="11">
        <v>45737</v>
      </c>
      <c r="N326" s="18" t="s">
        <v>588</v>
      </c>
      <c r="O326" s="34">
        <v>0</v>
      </c>
      <c r="P326"/>
      <c r="Q326" t="s">
        <v>58</v>
      </c>
      <c r="R326" t="s">
        <v>195</v>
      </c>
      <c r="S326" t="str">
        <f>IFERROR(VLOOKUP(Tabela1[[#This Row],[CC]],CC!$A$1:$H$403,8,0),"")</f>
        <v>OP3</v>
      </c>
    </row>
    <row r="327" spans="1:19" x14ac:dyDescent="0.3">
      <c r="A327" s="8">
        <v>1299</v>
      </c>
      <c r="B327" s="8" t="str">
        <f>IFERROR(VLOOKUP(Tabela1[[#This Row],[CC]],#REF!,5,0),"")</f>
        <v/>
      </c>
      <c r="C327" t="s">
        <v>60</v>
      </c>
      <c r="D327" t="s">
        <v>15</v>
      </c>
      <c r="E327" t="s">
        <v>274</v>
      </c>
      <c r="F327" t="s">
        <v>586</v>
      </c>
      <c r="G327" s="110">
        <v>8246</v>
      </c>
      <c r="H327" s="12">
        <v>45689</v>
      </c>
      <c r="I327" s="10">
        <v>1032681.6</v>
      </c>
      <c r="J327" s="10">
        <v>962459.25</v>
      </c>
      <c r="K327" s="3">
        <v>45729</v>
      </c>
      <c r="L327" s="91">
        <v>45740</v>
      </c>
      <c r="M327" s="11">
        <v>45742</v>
      </c>
      <c r="N327" s="18" t="s">
        <v>588</v>
      </c>
      <c r="O327" s="53">
        <v>0</v>
      </c>
      <c r="P327" s="14"/>
      <c r="Q327" t="s">
        <v>55</v>
      </c>
      <c r="R327" t="s">
        <v>195</v>
      </c>
      <c r="S327" t="str">
        <f>IFERROR(VLOOKUP(Tabela1[[#This Row],[CC]],CC!$A$1:$H$403,8,0),"")</f>
        <v>OP3</v>
      </c>
    </row>
    <row r="328" spans="1:19" x14ac:dyDescent="0.3">
      <c r="A328" s="8">
        <v>1394</v>
      </c>
      <c r="B328" s="8" t="str">
        <f>IFERROR(VLOOKUP(Tabela1[[#This Row],[CC]],#REF!,5,0),"")</f>
        <v/>
      </c>
      <c r="C328" t="s">
        <v>65</v>
      </c>
      <c r="D328" t="s">
        <v>18</v>
      </c>
      <c r="E328" t="s">
        <v>378</v>
      </c>
      <c r="F328" t="s">
        <v>586</v>
      </c>
      <c r="G328" s="110">
        <v>8252</v>
      </c>
      <c r="H328" s="12">
        <v>45689</v>
      </c>
      <c r="I328" s="24">
        <v>73671.490000000005</v>
      </c>
      <c r="J328" s="24">
        <v>68661.83</v>
      </c>
      <c r="K328" s="3">
        <v>45729</v>
      </c>
      <c r="L328" s="91">
        <v>45740</v>
      </c>
      <c r="M328" s="11">
        <v>45740</v>
      </c>
      <c r="N328" s="21" t="s">
        <v>588</v>
      </c>
      <c r="O328" s="34">
        <v>0</v>
      </c>
      <c r="P328" s="14"/>
      <c r="Q328" t="s">
        <v>58</v>
      </c>
      <c r="R328" t="s">
        <v>195</v>
      </c>
      <c r="S328" t="str">
        <f>IFERROR(VLOOKUP(Tabela1[[#This Row],[CC]],CC!$A$1:$H$403,8,0),"")</f>
        <v>OP4</v>
      </c>
    </row>
    <row r="329" spans="1:19" x14ac:dyDescent="0.3">
      <c r="A329" s="8">
        <v>1394</v>
      </c>
      <c r="B329" s="8" t="str">
        <f>IFERROR(VLOOKUP(Tabela1[[#This Row],[CC]],#REF!,5,0),"")</f>
        <v/>
      </c>
      <c r="C329" t="s">
        <v>65</v>
      </c>
      <c r="D329" t="s">
        <v>18</v>
      </c>
      <c r="E329" t="s">
        <v>378</v>
      </c>
      <c r="F329" t="s">
        <v>586</v>
      </c>
      <c r="G329" s="110">
        <v>8256</v>
      </c>
      <c r="H329" s="12">
        <v>45689</v>
      </c>
      <c r="I329" s="24">
        <v>128524.2</v>
      </c>
      <c r="J329" s="24">
        <v>119784.56</v>
      </c>
      <c r="K329" s="3">
        <v>45733</v>
      </c>
      <c r="L329" s="91">
        <v>45740</v>
      </c>
      <c r="M329" s="5">
        <v>45743</v>
      </c>
      <c r="N329" s="21" t="s">
        <v>588</v>
      </c>
      <c r="O329" s="34">
        <v>0</v>
      </c>
      <c r="P329" s="14"/>
      <c r="Q329" t="s">
        <v>58</v>
      </c>
      <c r="R329" t="s">
        <v>195</v>
      </c>
      <c r="S329" t="str">
        <f>IFERROR(VLOOKUP(Tabela1[[#This Row],[CC]],CC!$A$1:$H$403,8,0),"")</f>
        <v>OP4</v>
      </c>
    </row>
    <row r="330" spans="1:19" x14ac:dyDescent="0.3">
      <c r="A330" s="8">
        <v>1394</v>
      </c>
      <c r="B330" s="8" t="str">
        <f>IFERROR(VLOOKUP(Tabela1[[#This Row],[CC]],#REF!,5,0),"")</f>
        <v/>
      </c>
      <c r="C330" t="s">
        <v>65</v>
      </c>
      <c r="D330" t="s">
        <v>18</v>
      </c>
      <c r="E330" t="s">
        <v>378</v>
      </c>
      <c r="F330" t="s">
        <v>586</v>
      </c>
      <c r="G330" s="110">
        <v>8265</v>
      </c>
      <c r="H330" s="12">
        <v>45689</v>
      </c>
      <c r="I330" s="24">
        <v>111600.22</v>
      </c>
      <c r="J330" s="24">
        <v>104011.41</v>
      </c>
      <c r="K330" s="3">
        <v>45742</v>
      </c>
      <c r="L330" s="91">
        <v>45754</v>
      </c>
      <c r="M330" s="5">
        <v>45755</v>
      </c>
      <c r="N330" s="21" t="s">
        <v>588</v>
      </c>
      <c r="O330" s="34">
        <v>0</v>
      </c>
      <c r="P330" s="14"/>
      <c r="Q330" t="s">
        <v>58</v>
      </c>
      <c r="R330" t="s">
        <v>195</v>
      </c>
      <c r="S330" t="str">
        <f>IFERROR(VLOOKUP(Tabela1[[#This Row],[CC]],CC!$A$1:$H$403,8,0),"")</f>
        <v>OP4</v>
      </c>
    </row>
    <row r="331" spans="1:19" x14ac:dyDescent="0.3">
      <c r="A331" s="8">
        <v>1394</v>
      </c>
      <c r="B331" s="8" t="str">
        <f>IFERROR(VLOOKUP(Tabela1[[#This Row],[CC]],#REF!,5,0),"")</f>
        <v/>
      </c>
      <c r="C331" t="s">
        <v>65</v>
      </c>
      <c r="D331" t="s">
        <v>18</v>
      </c>
      <c r="E331" t="s">
        <v>378</v>
      </c>
      <c r="F331" t="s">
        <v>586</v>
      </c>
      <c r="G331" s="110">
        <v>8267</v>
      </c>
      <c r="H331" s="12">
        <v>45689</v>
      </c>
      <c r="I331" s="24">
        <v>283355.11</v>
      </c>
      <c r="J331" s="24">
        <v>264086.96000000002</v>
      </c>
      <c r="K331" s="3">
        <v>45744</v>
      </c>
      <c r="L331" s="91">
        <v>45761</v>
      </c>
      <c r="M331" s="5">
        <v>45763</v>
      </c>
      <c r="N331" s="21" t="s">
        <v>588</v>
      </c>
      <c r="O331" s="34">
        <v>0</v>
      </c>
      <c r="P331" s="14"/>
      <c r="Q331" t="s">
        <v>58</v>
      </c>
      <c r="R331" t="s">
        <v>195</v>
      </c>
      <c r="S331" t="str">
        <f>IFERROR(VLOOKUP(Tabela1[[#This Row],[CC]],CC!$A$1:$H$403,8,0),"")</f>
        <v>OP4</v>
      </c>
    </row>
    <row r="332" spans="1:19" x14ac:dyDescent="0.3">
      <c r="A332" s="8">
        <v>1394</v>
      </c>
      <c r="B332" s="8" t="str">
        <f>IFERROR(VLOOKUP(Tabela1[[#This Row],[CC]],#REF!,5,0),"")</f>
        <v/>
      </c>
      <c r="C332" t="s">
        <v>65</v>
      </c>
      <c r="D332" t="s">
        <v>18</v>
      </c>
      <c r="E332" t="s">
        <v>378</v>
      </c>
      <c r="F332" t="s">
        <v>586</v>
      </c>
      <c r="G332" s="110">
        <v>8266</v>
      </c>
      <c r="H332" s="12">
        <v>45689</v>
      </c>
      <c r="I332" s="24">
        <v>85000</v>
      </c>
      <c r="J332" s="24">
        <v>79220</v>
      </c>
      <c r="K332" s="3">
        <v>45744</v>
      </c>
      <c r="L332" s="91">
        <v>45754</v>
      </c>
      <c r="M332" s="5">
        <v>45755</v>
      </c>
      <c r="N332" s="21" t="s">
        <v>588</v>
      </c>
      <c r="O332" s="34">
        <v>0</v>
      </c>
      <c r="P332" s="14"/>
      <c r="Q332" t="s">
        <v>58</v>
      </c>
      <c r="R332" t="s">
        <v>195</v>
      </c>
      <c r="S332" t="str">
        <f>IFERROR(VLOOKUP(Tabela1[[#This Row],[CC]],CC!$A$1:$H$403,8,0),"")</f>
        <v>OP4</v>
      </c>
    </row>
    <row r="333" spans="1:19" x14ac:dyDescent="0.3">
      <c r="A333" s="8">
        <v>1394</v>
      </c>
      <c r="B333" s="8" t="str">
        <f>IFERROR(VLOOKUP(Tabela1[[#This Row],[CC]],#REF!,5,0),"")</f>
        <v/>
      </c>
      <c r="C333" t="s">
        <v>65</v>
      </c>
      <c r="D333" t="s">
        <v>18</v>
      </c>
      <c r="E333" t="s">
        <v>378</v>
      </c>
      <c r="F333" t="s">
        <v>586</v>
      </c>
      <c r="G333" s="110">
        <v>8283</v>
      </c>
      <c r="H333" s="12">
        <v>45689</v>
      </c>
      <c r="I333" s="24">
        <v>22096.36</v>
      </c>
      <c r="J333" s="24">
        <v>20593.8</v>
      </c>
      <c r="K333" s="3">
        <v>45751</v>
      </c>
      <c r="L333" s="91">
        <v>45761</v>
      </c>
      <c r="M333" s="5">
        <v>45764</v>
      </c>
      <c r="N333" s="21" t="s">
        <v>588</v>
      </c>
      <c r="O333" s="34">
        <v>0</v>
      </c>
      <c r="P333" s="14"/>
      <c r="Q333" t="s">
        <v>58</v>
      </c>
      <c r="R333" t="s">
        <v>195</v>
      </c>
      <c r="S333" t="str">
        <f>IFERROR(VLOOKUP(Tabela1[[#This Row],[CC]],CC!$A$1:$H$403,8,0),"")</f>
        <v>OP4</v>
      </c>
    </row>
    <row r="334" spans="1:19" x14ac:dyDescent="0.3">
      <c r="A334" s="25">
        <v>1394</v>
      </c>
      <c r="B334" s="25" t="str">
        <f>IFERROR(VLOOKUP(Tabela1[[#This Row],[CC]],#REF!,5,0),"")</f>
        <v/>
      </c>
      <c r="C334" t="s">
        <v>65</v>
      </c>
      <c r="D334" t="s">
        <v>18</v>
      </c>
      <c r="E334" t="s">
        <v>378</v>
      </c>
      <c r="F334" t="s">
        <v>586</v>
      </c>
      <c r="G334" s="110">
        <v>8297</v>
      </c>
      <c r="H334" s="12">
        <v>45689</v>
      </c>
      <c r="I334" s="24">
        <v>127355.8</v>
      </c>
      <c r="J334" s="24">
        <v>118695.6</v>
      </c>
      <c r="K334" s="3">
        <v>45757</v>
      </c>
      <c r="L334" s="91">
        <v>45761</v>
      </c>
      <c r="M334" s="29">
        <v>45764</v>
      </c>
      <c r="N334" s="21" t="s">
        <v>588</v>
      </c>
      <c r="O334" s="35">
        <v>0</v>
      </c>
      <c r="P334" s="26"/>
      <c r="Q334" t="s">
        <v>58</v>
      </c>
      <c r="R334" t="s">
        <v>195</v>
      </c>
      <c r="S334" t="str">
        <f>IFERROR(VLOOKUP(Tabela1[[#This Row],[CC]],CC!$A$1:$H$403,8,0),"")</f>
        <v>OP4</v>
      </c>
    </row>
    <row r="335" spans="1:19" x14ac:dyDescent="0.3">
      <c r="A335" s="8">
        <v>1394</v>
      </c>
      <c r="B335" s="8" t="str">
        <f>IFERROR(VLOOKUP(Tabela1[[#This Row],[CC]],#REF!,5,0),"")</f>
        <v/>
      </c>
      <c r="C335" t="s">
        <v>65</v>
      </c>
      <c r="D335" t="s">
        <v>18</v>
      </c>
      <c r="E335" t="s">
        <v>378</v>
      </c>
      <c r="F335" t="s">
        <v>586</v>
      </c>
      <c r="G335" s="110">
        <v>8359</v>
      </c>
      <c r="H335" s="12">
        <v>45689</v>
      </c>
      <c r="I335" s="24">
        <v>222403.39</v>
      </c>
      <c r="J335" s="24">
        <v>207279.96</v>
      </c>
      <c r="K335" s="3">
        <v>45813</v>
      </c>
      <c r="L335" s="91">
        <v>45817</v>
      </c>
      <c r="M335" s="5">
        <v>45820</v>
      </c>
      <c r="N335" s="21" t="s">
        <v>588</v>
      </c>
      <c r="O335" s="54">
        <v>0</v>
      </c>
      <c r="P335" s="14"/>
      <c r="Q335" t="s">
        <v>58</v>
      </c>
      <c r="R335" t="s">
        <v>195</v>
      </c>
      <c r="S335" t="str">
        <f>IFERROR(VLOOKUP(Tabela1[[#This Row],[CC]],CC!$A$1:$H$403,8,0),"")</f>
        <v>OP4</v>
      </c>
    </row>
    <row r="336" spans="1:19" x14ac:dyDescent="0.3">
      <c r="A336" s="25">
        <v>1360</v>
      </c>
      <c r="B336" s="25" t="str">
        <f>IFERROR(VLOOKUP(Tabela1[[#This Row],[CC]],#REF!,5,0),"")</f>
        <v/>
      </c>
      <c r="C336" t="s">
        <v>32</v>
      </c>
      <c r="D336" t="s">
        <v>24</v>
      </c>
      <c r="E336" t="s">
        <v>338</v>
      </c>
      <c r="F336" t="s">
        <v>586</v>
      </c>
      <c r="G336" s="110">
        <v>3835</v>
      </c>
      <c r="H336" s="12">
        <v>45689</v>
      </c>
      <c r="I336" s="24">
        <v>25592.32</v>
      </c>
      <c r="J336" s="24">
        <v>24018.400000000001</v>
      </c>
      <c r="K336" s="3">
        <v>45712</v>
      </c>
      <c r="L336" s="91">
        <v>45747</v>
      </c>
      <c r="M336" s="11">
        <v>45747</v>
      </c>
      <c r="N336" s="18" t="s">
        <v>588</v>
      </c>
      <c r="O336" s="35"/>
      <c r="P336"/>
      <c r="Q336" t="s">
        <v>55</v>
      </c>
      <c r="R336" t="s">
        <v>231</v>
      </c>
      <c r="S336" t="str">
        <f>IFERROR(VLOOKUP(Tabela1[[#This Row],[CC]],CC!$A$1:$H$403,8,0),"")</f>
        <v>OP1</v>
      </c>
    </row>
    <row r="337" spans="1:19" x14ac:dyDescent="0.3">
      <c r="A337" s="25">
        <v>1360</v>
      </c>
      <c r="B337" s="25" t="str">
        <f>IFERROR(VLOOKUP(Tabela1[[#This Row],[CC]],#REF!,5,0),"")</f>
        <v/>
      </c>
      <c r="C337" t="s">
        <v>32</v>
      </c>
      <c r="D337" t="s">
        <v>24</v>
      </c>
      <c r="E337" t="s">
        <v>338</v>
      </c>
      <c r="F337" t="s">
        <v>586</v>
      </c>
      <c r="G337" s="110">
        <v>3834</v>
      </c>
      <c r="H337" s="12">
        <v>45689</v>
      </c>
      <c r="I337" s="24">
        <v>35963.199999999997</v>
      </c>
      <c r="J337" s="24">
        <v>33751.46</v>
      </c>
      <c r="K337" s="3">
        <v>45712</v>
      </c>
      <c r="L337" s="91">
        <v>45747</v>
      </c>
      <c r="M337" s="11">
        <v>45747</v>
      </c>
      <c r="N337" s="18" t="s">
        <v>588</v>
      </c>
      <c r="O337" s="35"/>
      <c r="P337"/>
      <c r="Q337" t="s">
        <v>55</v>
      </c>
      <c r="R337" t="s">
        <v>231</v>
      </c>
      <c r="S337" t="str">
        <f>IFERROR(VLOOKUP(Tabela1[[#This Row],[CC]],CC!$A$1:$H$403,8,0),"")</f>
        <v>OP1</v>
      </c>
    </row>
    <row r="338" spans="1:19" x14ac:dyDescent="0.3">
      <c r="A338" s="25">
        <v>1360</v>
      </c>
      <c r="B338" s="25" t="str">
        <f>IFERROR(VLOOKUP(Tabela1[[#This Row],[CC]],#REF!,5,0),"")</f>
        <v/>
      </c>
      <c r="C338" t="s">
        <v>32</v>
      </c>
      <c r="D338" t="s">
        <v>24</v>
      </c>
      <c r="E338" t="s">
        <v>338</v>
      </c>
      <c r="F338" t="s">
        <v>586</v>
      </c>
      <c r="G338" s="110">
        <v>3856</v>
      </c>
      <c r="H338" s="12">
        <v>45689</v>
      </c>
      <c r="I338" s="24">
        <v>13699.2</v>
      </c>
      <c r="J338" s="24">
        <v>12856.7</v>
      </c>
      <c r="K338" s="3">
        <v>45715</v>
      </c>
      <c r="L338" s="91">
        <v>45747</v>
      </c>
      <c r="M338" s="11">
        <v>45747</v>
      </c>
      <c r="N338" s="18" t="s">
        <v>588</v>
      </c>
      <c r="O338" s="35"/>
      <c r="P338"/>
      <c r="Q338" t="s">
        <v>55</v>
      </c>
      <c r="R338" t="s">
        <v>231</v>
      </c>
      <c r="S338" t="str">
        <f>IFERROR(VLOOKUP(Tabela1[[#This Row],[CC]],CC!$A$1:$H$403,8,0),"")</f>
        <v>OP1</v>
      </c>
    </row>
    <row r="339" spans="1:19" x14ac:dyDescent="0.3">
      <c r="A339" s="25">
        <v>1360</v>
      </c>
      <c r="B339" s="25" t="str">
        <f>IFERROR(VLOOKUP(Tabela1[[#This Row],[CC]],#REF!,5,0),"")</f>
        <v/>
      </c>
      <c r="C339" t="s">
        <v>32</v>
      </c>
      <c r="D339" t="s">
        <v>24</v>
      </c>
      <c r="E339" t="s">
        <v>338</v>
      </c>
      <c r="F339" t="s">
        <v>586</v>
      </c>
      <c r="G339" s="110">
        <v>3847</v>
      </c>
      <c r="H339" s="12">
        <v>45689</v>
      </c>
      <c r="I339" s="24">
        <v>57540.800000000003</v>
      </c>
      <c r="J339" s="24">
        <v>54002.04</v>
      </c>
      <c r="K339" s="3">
        <v>45713</v>
      </c>
      <c r="L339" s="91">
        <v>45747</v>
      </c>
      <c r="M339" s="11">
        <v>45747</v>
      </c>
      <c r="N339" s="18" t="s">
        <v>588</v>
      </c>
      <c r="O339" s="35"/>
      <c r="P339"/>
      <c r="Q339" t="s">
        <v>55</v>
      </c>
      <c r="R339" t="s">
        <v>231</v>
      </c>
      <c r="S339" t="str">
        <f>IFERROR(VLOOKUP(Tabela1[[#This Row],[CC]],CC!$A$1:$H$403,8,0),"")</f>
        <v>OP1</v>
      </c>
    </row>
    <row r="340" spans="1:19" x14ac:dyDescent="0.3">
      <c r="A340" s="25">
        <v>1360</v>
      </c>
      <c r="B340" s="25" t="str">
        <f>IFERROR(VLOOKUP(Tabela1[[#This Row],[CC]],#REF!,5,0),"")</f>
        <v/>
      </c>
      <c r="C340" t="s">
        <v>32</v>
      </c>
      <c r="D340" t="s">
        <v>24</v>
      </c>
      <c r="E340" t="s">
        <v>338</v>
      </c>
      <c r="F340" t="s">
        <v>586</v>
      </c>
      <c r="G340" s="110">
        <v>3846</v>
      </c>
      <c r="H340" s="12">
        <v>45689</v>
      </c>
      <c r="I340" s="24">
        <v>45432</v>
      </c>
      <c r="J340" s="24">
        <v>42637.93</v>
      </c>
      <c r="K340" s="3">
        <v>45713</v>
      </c>
      <c r="L340" s="91">
        <v>45747</v>
      </c>
      <c r="M340" s="11">
        <v>45747</v>
      </c>
      <c r="N340" s="18" t="s">
        <v>588</v>
      </c>
      <c r="O340" s="35"/>
      <c r="P340"/>
      <c r="Q340" t="s">
        <v>55</v>
      </c>
      <c r="R340" t="s">
        <v>231</v>
      </c>
      <c r="S340" t="str">
        <f>IFERROR(VLOOKUP(Tabela1[[#This Row],[CC]],CC!$A$1:$H$403,8,0),"")</f>
        <v>OP1</v>
      </c>
    </row>
    <row r="341" spans="1:19" x14ac:dyDescent="0.3">
      <c r="A341" s="25">
        <v>1360</v>
      </c>
      <c r="B341" s="25" t="str">
        <f>IFERROR(VLOOKUP(Tabela1[[#This Row],[CC]],#REF!,5,0),"")</f>
        <v/>
      </c>
      <c r="C341" t="s">
        <v>32</v>
      </c>
      <c r="D341" t="s">
        <v>24</v>
      </c>
      <c r="E341" t="s">
        <v>338</v>
      </c>
      <c r="F341" t="s">
        <v>586</v>
      </c>
      <c r="G341" s="110">
        <v>3844</v>
      </c>
      <c r="H341" s="12">
        <v>45689</v>
      </c>
      <c r="I341" s="24">
        <v>66791.87</v>
      </c>
      <c r="J341" s="24">
        <v>62684.160000000003</v>
      </c>
      <c r="K341" s="3">
        <v>45713</v>
      </c>
      <c r="L341" s="91">
        <v>45747</v>
      </c>
      <c r="M341" s="11">
        <v>45747</v>
      </c>
      <c r="N341" s="18" t="s">
        <v>588</v>
      </c>
      <c r="O341" s="35"/>
      <c r="P341"/>
      <c r="Q341" t="s">
        <v>55</v>
      </c>
      <c r="R341" t="s">
        <v>231</v>
      </c>
      <c r="S341" t="str">
        <f>IFERROR(VLOOKUP(Tabela1[[#This Row],[CC]],CC!$A$1:$H$403,8,0),"")</f>
        <v>OP1</v>
      </c>
    </row>
    <row r="342" spans="1:19" x14ac:dyDescent="0.3">
      <c r="A342" s="25">
        <v>1360</v>
      </c>
      <c r="B342" s="25" t="str">
        <f>IFERROR(VLOOKUP(Tabela1[[#This Row],[CC]],#REF!,5,0),"")</f>
        <v/>
      </c>
      <c r="C342" t="s">
        <v>32</v>
      </c>
      <c r="D342" t="s">
        <v>24</v>
      </c>
      <c r="E342" t="s">
        <v>338</v>
      </c>
      <c r="F342" t="s">
        <v>586</v>
      </c>
      <c r="G342" s="110">
        <v>3843</v>
      </c>
      <c r="H342" s="12">
        <v>45689</v>
      </c>
      <c r="I342" s="24">
        <v>60728</v>
      </c>
      <c r="J342" s="24">
        <v>56993.23</v>
      </c>
      <c r="K342" s="3">
        <v>45713</v>
      </c>
      <c r="L342" s="91">
        <v>45747</v>
      </c>
      <c r="M342" s="11">
        <v>45747</v>
      </c>
      <c r="N342" s="18" t="s">
        <v>588</v>
      </c>
      <c r="O342" s="35"/>
      <c r="P342"/>
      <c r="Q342" t="s">
        <v>55</v>
      </c>
      <c r="R342" t="s">
        <v>231</v>
      </c>
      <c r="S342" t="str">
        <f>IFERROR(VLOOKUP(Tabela1[[#This Row],[CC]],CC!$A$1:$H$403,8,0),"")</f>
        <v>OP1</v>
      </c>
    </row>
    <row r="343" spans="1:19" x14ac:dyDescent="0.3">
      <c r="A343" s="25">
        <v>1360</v>
      </c>
      <c r="B343" s="25" t="str">
        <f>IFERROR(VLOOKUP(Tabela1[[#This Row],[CC]],#REF!,5,0),"")</f>
        <v/>
      </c>
      <c r="C343" t="s">
        <v>32</v>
      </c>
      <c r="D343" t="s">
        <v>24</v>
      </c>
      <c r="E343" t="s">
        <v>338</v>
      </c>
      <c r="F343" t="s">
        <v>586</v>
      </c>
      <c r="G343" s="110">
        <v>3842</v>
      </c>
      <c r="H343" s="12">
        <v>45689</v>
      </c>
      <c r="I343" s="24">
        <v>30112</v>
      </c>
      <c r="J343" s="24">
        <v>28260.11</v>
      </c>
      <c r="K343" s="3">
        <v>45713</v>
      </c>
      <c r="L343" s="91">
        <v>45747</v>
      </c>
      <c r="M343" s="11">
        <v>45747</v>
      </c>
      <c r="N343" s="18" t="s">
        <v>588</v>
      </c>
      <c r="O343" s="35"/>
      <c r="P343"/>
      <c r="Q343" t="s">
        <v>55</v>
      </c>
      <c r="R343" t="s">
        <v>231</v>
      </c>
      <c r="S343" t="str">
        <f>IFERROR(VLOOKUP(Tabela1[[#This Row],[CC]],CC!$A$1:$H$403,8,0),"")</f>
        <v>OP1</v>
      </c>
    </row>
    <row r="344" spans="1:19" x14ac:dyDescent="0.3">
      <c r="A344" s="25">
        <v>1360</v>
      </c>
      <c r="B344" s="25" t="str">
        <f>IFERROR(VLOOKUP(Tabela1[[#This Row],[CC]],#REF!,5,0),"")</f>
        <v/>
      </c>
      <c r="C344" t="s">
        <v>32</v>
      </c>
      <c r="D344" t="s">
        <v>24</v>
      </c>
      <c r="E344" t="s">
        <v>338</v>
      </c>
      <c r="F344" t="s">
        <v>586</v>
      </c>
      <c r="G344" s="110">
        <v>3840</v>
      </c>
      <c r="H344" s="12">
        <v>45689</v>
      </c>
      <c r="I344" s="24">
        <v>81472.44</v>
      </c>
      <c r="J344" s="24">
        <v>76461.89</v>
      </c>
      <c r="K344" s="3">
        <v>45713</v>
      </c>
      <c r="L344" s="91">
        <v>45747</v>
      </c>
      <c r="M344" s="11">
        <v>45747</v>
      </c>
      <c r="N344" s="18" t="s">
        <v>588</v>
      </c>
      <c r="O344" s="35"/>
      <c r="P344"/>
      <c r="Q344" t="s">
        <v>55</v>
      </c>
      <c r="R344" t="s">
        <v>231</v>
      </c>
      <c r="S344" t="str">
        <f>IFERROR(VLOOKUP(Tabela1[[#This Row],[CC]],CC!$A$1:$H$403,8,0),"")</f>
        <v>OP1</v>
      </c>
    </row>
    <row r="345" spans="1:19" x14ac:dyDescent="0.3">
      <c r="A345" s="25">
        <v>1360</v>
      </c>
      <c r="B345" s="25" t="str">
        <f>IFERROR(VLOOKUP(Tabela1[[#This Row],[CC]],#REF!,5,0),"")</f>
        <v/>
      </c>
      <c r="C345" t="s">
        <v>32</v>
      </c>
      <c r="D345" t="s">
        <v>24</v>
      </c>
      <c r="E345" t="s">
        <v>338</v>
      </c>
      <c r="F345" t="s">
        <v>586</v>
      </c>
      <c r="G345" s="110">
        <v>3853</v>
      </c>
      <c r="H345" s="12">
        <v>45689</v>
      </c>
      <c r="I345" s="24">
        <v>114626.56</v>
      </c>
      <c r="J345" s="24">
        <v>107577.02</v>
      </c>
      <c r="K345" s="3">
        <v>45714</v>
      </c>
      <c r="L345" s="91">
        <v>45747</v>
      </c>
      <c r="M345" s="11">
        <v>45747</v>
      </c>
      <c r="N345" s="18" t="s">
        <v>588</v>
      </c>
      <c r="O345" s="35"/>
      <c r="P345"/>
      <c r="Q345" t="s">
        <v>55</v>
      </c>
      <c r="R345" t="s">
        <v>231</v>
      </c>
      <c r="S345" t="str">
        <f>IFERROR(VLOOKUP(Tabela1[[#This Row],[CC]],CC!$A$1:$H$403,8,0),"")</f>
        <v>OP1</v>
      </c>
    </row>
    <row r="346" spans="1:19" x14ac:dyDescent="0.3">
      <c r="A346" s="25">
        <v>1360</v>
      </c>
      <c r="B346" s="25" t="str">
        <f>IFERROR(VLOOKUP(Tabela1[[#This Row],[CC]],#REF!,5,0),"")</f>
        <v/>
      </c>
      <c r="C346" t="s">
        <v>32</v>
      </c>
      <c r="D346" t="s">
        <v>24</v>
      </c>
      <c r="E346" t="s">
        <v>338</v>
      </c>
      <c r="F346" t="s">
        <v>586</v>
      </c>
      <c r="G346" s="110">
        <v>3852</v>
      </c>
      <c r="H346" s="12">
        <v>45689</v>
      </c>
      <c r="I346" s="24">
        <v>75657.600000000006</v>
      </c>
      <c r="J346" s="24">
        <v>71004.66</v>
      </c>
      <c r="K346" s="3">
        <v>45714</v>
      </c>
      <c r="L346" s="91">
        <v>45747</v>
      </c>
      <c r="M346" s="11">
        <v>45747</v>
      </c>
      <c r="N346" s="18" t="s">
        <v>588</v>
      </c>
      <c r="O346" s="35"/>
      <c r="P346"/>
      <c r="Q346" t="s">
        <v>55</v>
      </c>
      <c r="R346" t="s">
        <v>231</v>
      </c>
      <c r="S346" t="str">
        <f>IFERROR(VLOOKUP(Tabela1[[#This Row],[CC]],CC!$A$1:$H$403,8,0),"")</f>
        <v>OP1</v>
      </c>
    </row>
    <row r="347" spans="1:19" x14ac:dyDescent="0.3">
      <c r="A347" s="25">
        <v>1360</v>
      </c>
      <c r="B347" s="25" t="str">
        <f>IFERROR(VLOOKUP(Tabela1[[#This Row],[CC]],#REF!,5,0),"")</f>
        <v/>
      </c>
      <c r="C347" t="s">
        <v>32</v>
      </c>
      <c r="D347" t="s">
        <v>24</v>
      </c>
      <c r="E347" t="s">
        <v>338</v>
      </c>
      <c r="F347" t="s">
        <v>586</v>
      </c>
      <c r="G347" s="110">
        <v>3851</v>
      </c>
      <c r="H347" s="12">
        <v>45689</v>
      </c>
      <c r="I347" s="24">
        <v>40668.800000000003</v>
      </c>
      <c r="J347" s="27">
        <v>38167.67</v>
      </c>
      <c r="K347" s="3">
        <v>45714</v>
      </c>
      <c r="L347" s="91">
        <v>45747</v>
      </c>
      <c r="M347" s="11">
        <v>45747</v>
      </c>
      <c r="N347" s="18" t="s">
        <v>588</v>
      </c>
      <c r="O347" s="35"/>
      <c r="P347"/>
      <c r="Q347" t="s">
        <v>55</v>
      </c>
      <c r="R347" t="s">
        <v>231</v>
      </c>
      <c r="S347" t="str">
        <f>IFERROR(VLOOKUP(Tabela1[[#This Row],[CC]],CC!$A$1:$H$403,8,0),"")</f>
        <v>OP1</v>
      </c>
    </row>
    <row r="348" spans="1:19" x14ac:dyDescent="0.3">
      <c r="A348" s="25">
        <v>1360</v>
      </c>
      <c r="B348" s="25" t="str">
        <f>IFERROR(VLOOKUP(Tabela1[[#This Row],[CC]],#REF!,5,0),"")</f>
        <v/>
      </c>
      <c r="C348" t="s">
        <v>32</v>
      </c>
      <c r="D348" t="s">
        <v>24</v>
      </c>
      <c r="E348" t="s">
        <v>338</v>
      </c>
      <c r="F348" t="s">
        <v>586</v>
      </c>
      <c r="G348" s="110">
        <v>3850</v>
      </c>
      <c r="H348" s="12">
        <v>45689</v>
      </c>
      <c r="I348" s="24">
        <v>15640</v>
      </c>
      <c r="J348" s="24">
        <v>14678.14</v>
      </c>
      <c r="K348" s="3">
        <v>45714</v>
      </c>
      <c r="L348" s="91">
        <v>45747</v>
      </c>
      <c r="M348" s="11">
        <v>45747</v>
      </c>
      <c r="N348" s="18" t="s">
        <v>588</v>
      </c>
      <c r="O348" s="35"/>
      <c r="P348"/>
      <c r="Q348" t="s">
        <v>55</v>
      </c>
      <c r="R348" t="s">
        <v>231</v>
      </c>
      <c r="S348" t="str">
        <f>IFERROR(VLOOKUP(Tabela1[[#This Row],[CC]],CC!$A$1:$H$403,8,0),"")</f>
        <v>OP1</v>
      </c>
    </row>
    <row r="349" spans="1:19" x14ac:dyDescent="0.3">
      <c r="A349" s="25">
        <v>1360</v>
      </c>
      <c r="B349" s="25" t="str">
        <f>IFERROR(VLOOKUP(Tabela1[[#This Row],[CC]],#REF!,5,0),"")</f>
        <v/>
      </c>
      <c r="C349" t="s">
        <v>32</v>
      </c>
      <c r="D349" t="s">
        <v>24</v>
      </c>
      <c r="E349" t="s">
        <v>338</v>
      </c>
      <c r="F349" t="s">
        <v>586</v>
      </c>
      <c r="G349" s="110">
        <v>3849</v>
      </c>
      <c r="H349" s="12">
        <v>45689</v>
      </c>
      <c r="I349" s="24">
        <v>119952</v>
      </c>
      <c r="J349" s="24">
        <v>112574.95</v>
      </c>
      <c r="K349" s="3">
        <v>45714</v>
      </c>
      <c r="L349" s="91">
        <v>45748</v>
      </c>
      <c r="M349" s="11">
        <v>45751</v>
      </c>
      <c r="N349" s="18" t="s">
        <v>588</v>
      </c>
      <c r="O349" s="35"/>
      <c r="P349"/>
      <c r="Q349" t="s">
        <v>55</v>
      </c>
      <c r="R349" t="s">
        <v>231</v>
      </c>
      <c r="S349" t="str">
        <f>IFERROR(VLOOKUP(Tabela1[[#This Row],[CC]],CC!$A$1:$H$403,8,0),"")</f>
        <v>OP1</v>
      </c>
    </row>
    <row r="350" spans="1:19" x14ac:dyDescent="0.3">
      <c r="A350" s="25">
        <v>1360</v>
      </c>
      <c r="B350" s="25" t="str">
        <f>IFERROR(VLOOKUP(Tabela1[[#This Row],[CC]],#REF!,5,0),"")</f>
        <v/>
      </c>
      <c r="C350" t="s">
        <v>32</v>
      </c>
      <c r="D350" t="s">
        <v>24</v>
      </c>
      <c r="E350" t="s">
        <v>338</v>
      </c>
      <c r="F350" t="s">
        <v>586</v>
      </c>
      <c r="G350" s="110">
        <v>3861</v>
      </c>
      <c r="H350" s="12">
        <v>45689</v>
      </c>
      <c r="I350" s="24">
        <v>15525.76</v>
      </c>
      <c r="J350" s="24">
        <v>14570.93</v>
      </c>
      <c r="K350" s="3">
        <v>45722</v>
      </c>
      <c r="L350" s="91">
        <v>45775</v>
      </c>
      <c r="M350" s="11">
        <v>45777</v>
      </c>
      <c r="N350" s="18" t="s">
        <v>588</v>
      </c>
      <c r="O350" s="35"/>
      <c r="P350"/>
      <c r="Q350" t="s">
        <v>55</v>
      </c>
      <c r="R350" t="s">
        <v>231</v>
      </c>
      <c r="S350" t="str">
        <f>IFERROR(VLOOKUP(Tabela1[[#This Row],[CC]],CC!$A$1:$H$403,8,0),"")</f>
        <v>OP1</v>
      </c>
    </row>
    <row r="351" spans="1:19" x14ac:dyDescent="0.3">
      <c r="A351" s="25">
        <v>1360</v>
      </c>
      <c r="B351" s="25" t="str">
        <f>IFERROR(VLOOKUP(Tabela1[[#This Row],[CC]],#REF!,5,0),"")</f>
        <v/>
      </c>
      <c r="C351" t="s">
        <v>32</v>
      </c>
      <c r="D351" t="s">
        <v>24</v>
      </c>
      <c r="E351" t="s">
        <v>338</v>
      </c>
      <c r="F351" t="s">
        <v>586</v>
      </c>
      <c r="G351" s="110">
        <v>3879</v>
      </c>
      <c r="H351" s="12">
        <v>45689</v>
      </c>
      <c r="I351" s="24">
        <v>10522.4</v>
      </c>
      <c r="J351" s="24">
        <v>9875.2800000000007</v>
      </c>
      <c r="K351" s="3">
        <v>45727</v>
      </c>
      <c r="L351" s="91">
        <v>45775</v>
      </c>
      <c r="M351" s="11">
        <v>45777</v>
      </c>
      <c r="N351" s="18" t="s">
        <v>588</v>
      </c>
      <c r="O351" s="35"/>
      <c r="P351"/>
      <c r="Q351" t="s">
        <v>55</v>
      </c>
      <c r="R351" t="s">
        <v>231</v>
      </c>
      <c r="S351" t="str">
        <f>IFERROR(VLOOKUP(Tabela1[[#This Row],[CC]],CC!$A$1:$H$403,8,0),"")</f>
        <v>OP1</v>
      </c>
    </row>
    <row r="352" spans="1:19" x14ac:dyDescent="0.3">
      <c r="A352" s="25">
        <v>1360</v>
      </c>
      <c r="B352" s="25" t="str">
        <f>IFERROR(VLOOKUP(Tabela1[[#This Row],[CC]],#REF!,5,0),"")</f>
        <v/>
      </c>
      <c r="C352" t="s">
        <v>32</v>
      </c>
      <c r="D352" t="s">
        <v>24</v>
      </c>
      <c r="E352" t="s">
        <v>338</v>
      </c>
      <c r="F352" t="s">
        <v>586</v>
      </c>
      <c r="G352" s="110">
        <v>3878</v>
      </c>
      <c r="H352" s="12">
        <v>45689</v>
      </c>
      <c r="I352" s="24">
        <v>2914.8</v>
      </c>
      <c r="J352" s="24">
        <v>2735.55</v>
      </c>
      <c r="K352" s="3">
        <v>45727</v>
      </c>
      <c r="L352" s="91">
        <v>45775</v>
      </c>
      <c r="M352" s="11">
        <v>45777</v>
      </c>
      <c r="N352" s="18" t="s">
        <v>588</v>
      </c>
      <c r="O352" s="35"/>
      <c r="P352"/>
      <c r="Q352" t="s">
        <v>55</v>
      </c>
      <c r="R352" t="s">
        <v>231</v>
      </c>
      <c r="S352" t="str">
        <f>IFERROR(VLOOKUP(Tabela1[[#This Row],[CC]],CC!$A$1:$H$403,8,0),"")</f>
        <v>OP1</v>
      </c>
    </row>
    <row r="353" spans="1:19" x14ac:dyDescent="0.3">
      <c r="A353" s="25">
        <v>1387</v>
      </c>
      <c r="B353" s="25" t="str">
        <f>IFERROR(VLOOKUP(Tabela1[[#This Row],[CC]],#REF!,5,0),"")</f>
        <v/>
      </c>
      <c r="C353" t="s">
        <v>32</v>
      </c>
      <c r="D353" t="s">
        <v>24</v>
      </c>
      <c r="E353" t="s">
        <v>372</v>
      </c>
      <c r="F353" t="s">
        <v>586</v>
      </c>
      <c r="G353" s="110">
        <v>3833</v>
      </c>
      <c r="H353" s="12">
        <v>45689</v>
      </c>
      <c r="I353" s="24">
        <v>30648</v>
      </c>
      <c r="J353" s="24">
        <v>28763.15</v>
      </c>
      <c r="K353" s="3">
        <v>45712</v>
      </c>
      <c r="L353" s="91">
        <v>45747</v>
      </c>
      <c r="M353" s="11">
        <v>45747</v>
      </c>
      <c r="N353" s="18" t="s">
        <v>588</v>
      </c>
      <c r="O353" s="35"/>
      <c r="P353"/>
      <c r="Q353" t="s">
        <v>58</v>
      </c>
      <c r="R353" t="s">
        <v>231</v>
      </c>
      <c r="S353" t="str">
        <f>IFERROR(VLOOKUP(Tabela1[[#This Row],[CC]],CC!$A$1:$H$403,8,0),"")</f>
        <v>OP1</v>
      </c>
    </row>
    <row r="354" spans="1:19" x14ac:dyDescent="0.3">
      <c r="A354" s="25">
        <v>1387</v>
      </c>
      <c r="B354" s="25" t="str">
        <f>IFERROR(VLOOKUP(Tabela1[[#This Row],[CC]],#REF!,5,0),"")</f>
        <v/>
      </c>
      <c r="C354" t="s">
        <v>32</v>
      </c>
      <c r="D354" t="s">
        <v>24</v>
      </c>
      <c r="E354" t="s">
        <v>372</v>
      </c>
      <c r="F354" t="s">
        <v>586</v>
      </c>
      <c r="G354" s="110">
        <v>3841</v>
      </c>
      <c r="H354" s="12">
        <v>45689</v>
      </c>
      <c r="I354" s="24">
        <v>24912.799999999999</v>
      </c>
      <c r="J354" s="24">
        <v>23380.67</v>
      </c>
      <c r="K354" s="3">
        <v>45713</v>
      </c>
      <c r="L354" s="91">
        <v>45747</v>
      </c>
      <c r="M354" s="11">
        <v>45747</v>
      </c>
      <c r="N354" s="18" t="s">
        <v>588</v>
      </c>
      <c r="O354" s="35"/>
      <c r="P354"/>
      <c r="Q354" t="s">
        <v>58</v>
      </c>
      <c r="R354" t="s">
        <v>231</v>
      </c>
      <c r="S354" t="str">
        <f>IFERROR(VLOOKUP(Tabela1[[#This Row],[CC]],CC!$A$1:$H$403,8,0),"")</f>
        <v>OP1</v>
      </c>
    </row>
    <row r="355" spans="1:19" x14ac:dyDescent="0.3">
      <c r="A355" s="25">
        <v>1387</v>
      </c>
      <c r="B355" s="25" t="str">
        <f>IFERROR(VLOOKUP(Tabela1[[#This Row],[CC]],#REF!,5,0),"")</f>
        <v/>
      </c>
      <c r="C355" t="s">
        <v>32</v>
      </c>
      <c r="D355" t="s">
        <v>24</v>
      </c>
      <c r="E355" t="s">
        <v>372</v>
      </c>
      <c r="F355" t="s">
        <v>586</v>
      </c>
      <c r="G355" s="110">
        <v>3848</v>
      </c>
      <c r="H355" s="12">
        <v>45689</v>
      </c>
      <c r="I355" s="24">
        <v>55477.52</v>
      </c>
      <c r="J355" s="24">
        <v>52065.65</v>
      </c>
      <c r="K355" s="3">
        <v>45714</v>
      </c>
      <c r="L355" s="91">
        <v>45747</v>
      </c>
      <c r="M355" s="11">
        <v>45747</v>
      </c>
      <c r="N355" s="18" t="s">
        <v>588</v>
      </c>
      <c r="O355" s="35"/>
      <c r="P355"/>
      <c r="Q355" t="s">
        <v>58</v>
      </c>
      <c r="R355" t="s">
        <v>231</v>
      </c>
      <c r="S355" t="str">
        <f>IFERROR(VLOOKUP(Tabela1[[#This Row],[CC]],CC!$A$1:$H$403,8,0),"")</f>
        <v>OP1</v>
      </c>
    </row>
    <row r="356" spans="1:19" x14ac:dyDescent="0.3">
      <c r="A356" s="25">
        <v>1387</v>
      </c>
      <c r="B356" s="25" t="str">
        <f>IFERROR(VLOOKUP(Tabela1[[#This Row],[CC]],#REF!,5,0),"")</f>
        <v/>
      </c>
      <c r="C356" t="s">
        <v>32</v>
      </c>
      <c r="D356" t="s">
        <v>24</v>
      </c>
      <c r="E356" t="s">
        <v>372</v>
      </c>
      <c r="F356" t="s">
        <v>586</v>
      </c>
      <c r="G356" s="110">
        <v>3862</v>
      </c>
      <c r="H356" s="12">
        <v>45689</v>
      </c>
      <c r="I356" s="24">
        <v>40600</v>
      </c>
      <c r="J356" s="24">
        <v>38103.1</v>
      </c>
      <c r="K356" s="3">
        <v>45722</v>
      </c>
      <c r="L356" s="91">
        <v>45796</v>
      </c>
      <c r="M356" s="11">
        <v>45796</v>
      </c>
      <c r="N356" s="18" t="s">
        <v>588</v>
      </c>
      <c r="O356" s="35"/>
      <c r="P356"/>
      <c r="Q356" t="s">
        <v>58</v>
      </c>
      <c r="R356" t="s">
        <v>231</v>
      </c>
      <c r="S356" t="str">
        <f>IFERROR(VLOOKUP(Tabela1[[#This Row],[CC]],CC!$A$1:$H$403,8,0),"")</f>
        <v>OP1</v>
      </c>
    </row>
    <row r="357" spans="1:19" x14ac:dyDescent="0.3">
      <c r="A357" s="25">
        <v>1470</v>
      </c>
      <c r="B357" s="25" t="str">
        <f>IFERROR(VLOOKUP(Tabela1[[#This Row],[CC]],#REF!,5,0),"")</f>
        <v/>
      </c>
      <c r="C357" t="s">
        <v>67</v>
      </c>
      <c r="D357" t="s">
        <v>44</v>
      </c>
      <c r="E357" t="s">
        <v>475</v>
      </c>
      <c r="F357" t="s">
        <v>586</v>
      </c>
      <c r="G357" s="110">
        <v>8228</v>
      </c>
      <c r="H357" s="12">
        <v>45689</v>
      </c>
      <c r="I357" s="24">
        <v>36700</v>
      </c>
      <c r="J357" s="24">
        <v>33708.949999999997</v>
      </c>
      <c r="K357" s="3">
        <v>45721</v>
      </c>
      <c r="L357" s="91">
        <v>45733</v>
      </c>
      <c r="M357" s="11">
        <v>45734</v>
      </c>
      <c r="N357" s="18" t="s">
        <v>588</v>
      </c>
      <c r="O357" s="35">
        <v>0</v>
      </c>
      <c r="P357" s="26"/>
      <c r="Q357" t="s">
        <v>58</v>
      </c>
      <c r="R357" t="s">
        <v>183</v>
      </c>
      <c r="S357" t="str">
        <f>IFERROR(VLOOKUP(Tabela1[[#This Row],[CC]],CC!$A$1:$H$403,8,0),"")</f>
        <v>OP4</v>
      </c>
    </row>
    <row r="358" spans="1:19" x14ac:dyDescent="0.3">
      <c r="A358" s="25">
        <v>1287</v>
      </c>
      <c r="B358" s="25" t="str">
        <f>IFERROR(VLOOKUP(Tabela1[[#This Row],[CC]],#REF!,5,0),"")</f>
        <v/>
      </c>
      <c r="C358" t="s">
        <v>60</v>
      </c>
      <c r="D358" t="s">
        <v>19</v>
      </c>
      <c r="E358" t="s">
        <v>261</v>
      </c>
      <c r="F358" t="s">
        <v>586</v>
      </c>
      <c r="G358" s="110">
        <v>1240</v>
      </c>
      <c r="H358" s="12">
        <v>45689</v>
      </c>
      <c r="I358" s="24">
        <v>128598.96</v>
      </c>
      <c r="J358" s="24">
        <v>115353.27</v>
      </c>
      <c r="K358" s="3">
        <v>45749</v>
      </c>
      <c r="L358" s="91">
        <v>45768</v>
      </c>
      <c r="M358" s="11">
        <v>45772</v>
      </c>
      <c r="N358" s="18" t="s">
        <v>588</v>
      </c>
      <c r="O358" s="35">
        <v>0</v>
      </c>
      <c r="P358" s="26"/>
      <c r="Q358" t="s">
        <v>55</v>
      </c>
      <c r="R358" t="s">
        <v>195</v>
      </c>
      <c r="S358" t="str">
        <f>IFERROR(VLOOKUP(Tabela1[[#This Row],[CC]],CC!$A$1:$H$403,8,0),"")</f>
        <v>OP3</v>
      </c>
    </row>
    <row r="359" spans="1:19" x14ac:dyDescent="0.3">
      <c r="A359" s="25">
        <v>1273</v>
      </c>
      <c r="B359" s="25" t="str">
        <f>IFERROR(VLOOKUP(Tabela1[[#This Row],[CC]],#REF!,5,0),"")</f>
        <v/>
      </c>
      <c r="C359" t="s">
        <v>60</v>
      </c>
      <c r="D359" t="s">
        <v>19</v>
      </c>
      <c r="E359" t="s">
        <v>244</v>
      </c>
      <c r="F359" t="s">
        <v>586</v>
      </c>
      <c r="G359" s="110">
        <v>1234</v>
      </c>
      <c r="H359" s="12">
        <v>45689</v>
      </c>
      <c r="I359" s="2">
        <v>513355.19</v>
      </c>
      <c r="J359" s="24">
        <v>460479.61</v>
      </c>
      <c r="K359" s="3">
        <v>45737</v>
      </c>
      <c r="L359" s="91">
        <v>45754</v>
      </c>
      <c r="M359" s="11">
        <v>45757</v>
      </c>
      <c r="N359" s="18" t="s">
        <v>588</v>
      </c>
      <c r="O359" s="35">
        <v>0</v>
      </c>
      <c r="P359"/>
      <c r="Q359" t="s">
        <v>58</v>
      </c>
      <c r="R359" t="s">
        <v>195</v>
      </c>
      <c r="S359" t="str">
        <f>IFERROR(VLOOKUP(Tabela1[[#This Row],[CC]],CC!$A$1:$H$403,8,0),"")</f>
        <v>OP3</v>
      </c>
    </row>
    <row r="360" spans="1:19" x14ac:dyDescent="0.3">
      <c r="A360" s="8">
        <v>1277</v>
      </c>
      <c r="B360" s="8" t="str">
        <f>IFERROR(VLOOKUP(Tabela1[[#This Row],[CC]],#REF!,5,0),"")</f>
        <v/>
      </c>
      <c r="C360" t="s">
        <v>60</v>
      </c>
      <c r="D360" t="s">
        <v>19</v>
      </c>
      <c r="E360" t="s">
        <v>248</v>
      </c>
      <c r="F360" t="s">
        <v>586</v>
      </c>
      <c r="G360" s="110">
        <v>1232</v>
      </c>
      <c r="H360" s="12">
        <v>45689</v>
      </c>
      <c r="I360" s="24">
        <v>154365.24</v>
      </c>
      <c r="J360" s="10">
        <v>138465.63</v>
      </c>
      <c r="K360" s="3">
        <v>45734</v>
      </c>
      <c r="L360" s="91">
        <v>45740</v>
      </c>
      <c r="M360" s="11">
        <v>45741</v>
      </c>
      <c r="N360" s="18" t="s">
        <v>588</v>
      </c>
      <c r="O360" s="34">
        <v>0</v>
      </c>
      <c r="P360"/>
      <c r="Q360" t="s">
        <v>58</v>
      </c>
      <c r="R360" t="s">
        <v>195</v>
      </c>
      <c r="S360" t="str">
        <f>IFERROR(VLOOKUP(Tabela1[[#This Row],[CC]],CC!$A$1:$H$403,8,0),"")</f>
        <v>OP3</v>
      </c>
    </row>
    <row r="361" spans="1:19" x14ac:dyDescent="0.3">
      <c r="A361" s="25">
        <v>1483</v>
      </c>
      <c r="B361" s="25" t="str">
        <f>IFERROR(VLOOKUP(Tabela1[[#This Row],[CC]],#REF!,5,0),"")</f>
        <v/>
      </c>
      <c r="C361" t="s">
        <v>67</v>
      </c>
      <c r="D361" t="s">
        <v>45</v>
      </c>
      <c r="E361" t="s">
        <v>488</v>
      </c>
      <c r="F361" t="s">
        <v>586</v>
      </c>
      <c r="G361" s="110">
        <v>8231</v>
      </c>
      <c r="H361" s="12">
        <v>45689</v>
      </c>
      <c r="I361" s="24">
        <v>53591.199999999997</v>
      </c>
      <c r="J361" s="24">
        <v>49911.21</v>
      </c>
      <c r="K361" s="3">
        <v>45721</v>
      </c>
      <c r="L361" s="91">
        <v>45754</v>
      </c>
      <c r="M361" s="11">
        <v>45756</v>
      </c>
      <c r="N361" s="18" t="s">
        <v>588</v>
      </c>
      <c r="O361" s="35">
        <v>0</v>
      </c>
      <c r="P361" s="26"/>
      <c r="Q361" t="s">
        <v>58</v>
      </c>
      <c r="R361" t="s">
        <v>183</v>
      </c>
      <c r="S361" t="str">
        <f>IFERROR(VLOOKUP(Tabela1[[#This Row],[CC]],CC!$A$1:$H$403,8,0),"")</f>
        <v>OP2</v>
      </c>
    </row>
    <row r="362" spans="1:19" x14ac:dyDescent="0.3">
      <c r="A362" s="25">
        <v>1483</v>
      </c>
      <c r="B362" s="25" t="str">
        <f>IFERROR(VLOOKUP(Tabela1[[#This Row],[CC]],#REF!,5,0),"")</f>
        <v/>
      </c>
      <c r="C362" t="s">
        <v>67</v>
      </c>
      <c r="D362" t="s">
        <v>45</v>
      </c>
      <c r="E362" t="s">
        <v>488</v>
      </c>
      <c r="F362" t="s">
        <v>586</v>
      </c>
      <c r="G362" s="110">
        <v>8232</v>
      </c>
      <c r="H362" s="12">
        <v>45689</v>
      </c>
      <c r="I362" s="24">
        <v>28856.799999999999</v>
      </c>
      <c r="J362" s="24">
        <v>26062.11</v>
      </c>
      <c r="K362" s="3">
        <v>45721</v>
      </c>
      <c r="L362" s="91">
        <v>45748</v>
      </c>
      <c r="M362" s="11">
        <v>45749</v>
      </c>
      <c r="N362" s="18" t="s">
        <v>588</v>
      </c>
      <c r="O362" s="35">
        <v>0</v>
      </c>
      <c r="P362" s="26"/>
      <c r="Q362" t="s">
        <v>58</v>
      </c>
      <c r="R362" t="s">
        <v>183</v>
      </c>
      <c r="S362" t="str">
        <f>IFERROR(VLOOKUP(Tabela1[[#This Row],[CC]],CC!$A$1:$H$403,8,0),"")</f>
        <v>OP2</v>
      </c>
    </row>
    <row r="363" spans="1:19" x14ac:dyDescent="0.3">
      <c r="A363" s="25">
        <v>1275</v>
      </c>
      <c r="B363" s="25" t="str">
        <f>IFERROR(VLOOKUP(Tabela1[[#This Row],[CC]],#REF!,5,0),"")</f>
        <v/>
      </c>
      <c r="C363" t="s">
        <v>51</v>
      </c>
      <c r="D363" t="s">
        <v>41</v>
      </c>
      <c r="E363" t="s">
        <v>246</v>
      </c>
      <c r="F363" t="s">
        <v>586</v>
      </c>
      <c r="G363" s="110">
        <v>3867</v>
      </c>
      <c r="H363" s="12">
        <v>45689</v>
      </c>
      <c r="I363" s="24">
        <v>7600</v>
      </c>
      <c r="J363" s="27">
        <v>7132.6</v>
      </c>
      <c r="K363" s="3">
        <v>45722</v>
      </c>
      <c r="L363" s="91">
        <v>45747</v>
      </c>
      <c r="M363" s="11">
        <v>45747</v>
      </c>
      <c r="N363" s="18" t="s">
        <v>588</v>
      </c>
      <c r="O363" s="35">
        <v>0</v>
      </c>
      <c r="P363" s="26"/>
      <c r="Q363" t="s">
        <v>55</v>
      </c>
      <c r="R363" t="s">
        <v>231</v>
      </c>
      <c r="S363" t="str">
        <f>IFERROR(VLOOKUP(Tabela1[[#This Row],[CC]],CC!$A$1:$H$403,8,0),"")</f>
        <v>OP2</v>
      </c>
    </row>
    <row r="364" spans="1:19" x14ac:dyDescent="0.3">
      <c r="A364" s="25">
        <v>1479</v>
      </c>
      <c r="B364" s="25" t="str">
        <f>IFERROR(VLOOKUP(Tabela1[[#This Row],[CC]],#REF!,5,0),"")</f>
        <v/>
      </c>
      <c r="C364" t="s">
        <v>51</v>
      </c>
      <c r="D364" t="s">
        <v>41</v>
      </c>
      <c r="E364" t="s">
        <v>484</v>
      </c>
      <c r="F364" t="s">
        <v>586</v>
      </c>
      <c r="G364" s="110">
        <v>3868</v>
      </c>
      <c r="H364" s="12">
        <v>45689</v>
      </c>
      <c r="I364" s="24">
        <v>26040</v>
      </c>
      <c r="J364" s="24">
        <v>24438.54</v>
      </c>
      <c r="K364" s="3">
        <v>45726</v>
      </c>
      <c r="L364" s="91">
        <v>45754</v>
      </c>
      <c r="M364" s="11">
        <v>45755</v>
      </c>
      <c r="N364" s="18" t="s">
        <v>588</v>
      </c>
      <c r="O364" s="35">
        <v>0</v>
      </c>
      <c r="P364" s="26"/>
      <c r="Q364" t="s">
        <v>57</v>
      </c>
      <c r="R364" t="s">
        <v>231</v>
      </c>
      <c r="S364" t="str">
        <f>IFERROR(VLOOKUP(Tabela1[[#This Row],[CC]],CC!$A$1:$H$403,8,0),"")</f>
        <v>OP2</v>
      </c>
    </row>
    <row r="365" spans="1:19" x14ac:dyDescent="0.3">
      <c r="A365" s="25">
        <v>1497</v>
      </c>
      <c r="B365" s="25" t="str">
        <f>IFERROR(VLOOKUP(Tabela1[[#This Row],[CC]],#REF!,5,0),"")</f>
        <v/>
      </c>
      <c r="C365" t="s">
        <v>70</v>
      </c>
      <c r="D365" t="s">
        <v>31</v>
      </c>
      <c r="E365" t="s">
        <v>503</v>
      </c>
      <c r="F365" t="s">
        <v>586</v>
      </c>
      <c r="G365" s="110">
        <v>8274</v>
      </c>
      <c r="H365" s="12">
        <v>45717</v>
      </c>
      <c r="I365" s="24">
        <v>17681.61</v>
      </c>
      <c r="J365" s="24">
        <v>15621.7</v>
      </c>
      <c r="K365" s="3">
        <v>45748</v>
      </c>
      <c r="L365" s="91">
        <v>45775</v>
      </c>
      <c r="M365" s="11">
        <v>45777</v>
      </c>
      <c r="N365" s="21" t="s">
        <v>588</v>
      </c>
      <c r="O365" s="41"/>
      <c r="P365" s="26"/>
      <c r="Q365" t="s">
        <v>58</v>
      </c>
      <c r="R365" t="s">
        <v>228</v>
      </c>
      <c r="S365" t="str">
        <f>IFERROR(VLOOKUP(Tabela1[[#This Row],[CC]],CC!$A$1:$H$403,8,0),"")</f>
        <v>OP4</v>
      </c>
    </row>
    <row r="366" spans="1:19" x14ac:dyDescent="0.3">
      <c r="A366" s="25">
        <v>1497</v>
      </c>
      <c r="B366" s="25" t="str">
        <f>IFERROR(VLOOKUP(Tabela1[[#This Row],[CC]],#REF!,5,0),"")</f>
        <v/>
      </c>
      <c r="C366" t="s">
        <v>70</v>
      </c>
      <c r="D366" t="s">
        <v>31</v>
      </c>
      <c r="E366" t="s">
        <v>503</v>
      </c>
      <c r="F366" t="s">
        <v>586</v>
      </c>
      <c r="G366" s="110">
        <v>8281</v>
      </c>
      <c r="H366" s="12">
        <v>45717</v>
      </c>
      <c r="I366" s="24">
        <v>12221.48</v>
      </c>
      <c r="J366" s="24">
        <v>10797.69</v>
      </c>
      <c r="K366" s="3">
        <v>45750</v>
      </c>
      <c r="L366" s="91">
        <v>45775</v>
      </c>
      <c r="M366" s="11">
        <v>45777</v>
      </c>
      <c r="N366" s="21" t="s">
        <v>588</v>
      </c>
      <c r="O366" s="41"/>
      <c r="P366" s="26"/>
      <c r="Q366" t="s">
        <v>58</v>
      </c>
      <c r="R366" t="s">
        <v>228</v>
      </c>
      <c r="S366" t="str">
        <f>IFERROR(VLOOKUP(Tabela1[[#This Row],[CC]],CC!$A$1:$H$403,8,0),"")</f>
        <v>OP4</v>
      </c>
    </row>
    <row r="367" spans="1:19" x14ac:dyDescent="0.3">
      <c r="A367" s="25">
        <v>1497</v>
      </c>
      <c r="B367" s="25" t="str">
        <f>IFERROR(VLOOKUP(Tabela1[[#This Row],[CC]],#REF!,5,0),"")</f>
        <v/>
      </c>
      <c r="C367" t="s">
        <v>70</v>
      </c>
      <c r="D367" t="s">
        <v>31</v>
      </c>
      <c r="E367" t="s">
        <v>503</v>
      </c>
      <c r="F367" t="s">
        <v>586</v>
      </c>
      <c r="G367" s="110">
        <v>8280</v>
      </c>
      <c r="H367" s="12">
        <v>45717</v>
      </c>
      <c r="I367" s="24">
        <v>1326</v>
      </c>
      <c r="J367" s="24">
        <v>1171.52</v>
      </c>
      <c r="K367" s="3">
        <v>45750</v>
      </c>
      <c r="L367" s="91">
        <v>45775</v>
      </c>
      <c r="M367" s="11">
        <v>45777</v>
      </c>
      <c r="N367" s="21" t="s">
        <v>588</v>
      </c>
      <c r="O367" s="41"/>
      <c r="P367" s="26"/>
      <c r="Q367" t="s">
        <v>58</v>
      </c>
      <c r="R367" t="s">
        <v>228</v>
      </c>
      <c r="S367" t="str">
        <f>IFERROR(VLOOKUP(Tabela1[[#This Row],[CC]],CC!$A$1:$H$403,8,0),"")</f>
        <v>OP4</v>
      </c>
    </row>
    <row r="368" spans="1:19" x14ac:dyDescent="0.3">
      <c r="A368" s="25">
        <v>1478</v>
      </c>
      <c r="B368" s="25" t="str">
        <f>IFERROR(VLOOKUP(Tabela1[[#This Row],[CC]],#REF!,5,0),"")</f>
        <v/>
      </c>
      <c r="C368" t="s">
        <v>32</v>
      </c>
      <c r="D368" t="s">
        <v>54</v>
      </c>
      <c r="E368" t="s">
        <v>483</v>
      </c>
      <c r="F368" t="s">
        <v>586</v>
      </c>
      <c r="G368" s="110">
        <v>8270</v>
      </c>
      <c r="H368" s="12">
        <v>45717</v>
      </c>
      <c r="I368" s="24">
        <v>76256.009999999995</v>
      </c>
      <c r="J368" s="24">
        <v>71566.27</v>
      </c>
      <c r="K368" s="3">
        <v>45748</v>
      </c>
      <c r="L368" s="91">
        <v>45782</v>
      </c>
      <c r="M368" s="11">
        <v>45782</v>
      </c>
      <c r="N368" s="18" t="s">
        <v>588</v>
      </c>
      <c r="O368" s="35"/>
      <c r="P368"/>
      <c r="Q368" t="s">
        <v>55</v>
      </c>
      <c r="R368" t="s">
        <v>231</v>
      </c>
      <c r="S368" t="str">
        <f>IFERROR(VLOOKUP(Tabela1[[#This Row],[CC]],CC!$A$1:$H$403,8,0),"")</f>
        <v>OP1</v>
      </c>
    </row>
    <row r="369" spans="1:19" x14ac:dyDescent="0.3">
      <c r="A369" s="8">
        <v>1391</v>
      </c>
      <c r="B369" s="8" t="str">
        <f>IFERROR(VLOOKUP(Tabela1[[#This Row],[CC]],#REF!,5,0),"")</f>
        <v/>
      </c>
      <c r="C369" t="s">
        <v>32</v>
      </c>
      <c r="D369" t="s">
        <v>52</v>
      </c>
      <c r="E369" t="s">
        <v>375</v>
      </c>
      <c r="F369" t="s">
        <v>586</v>
      </c>
      <c r="G369" s="110">
        <v>3953</v>
      </c>
      <c r="H369" s="12">
        <v>45717</v>
      </c>
      <c r="I369" s="28">
        <v>33260.25</v>
      </c>
      <c r="J369" s="39">
        <v>31214.75</v>
      </c>
      <c r="K369" s="3">
        <v>45757</v>
      </c>
      <c r="L369" s="91">
        <v>45768</v>
      </c>
      <c r="M369" s="11">
        <v>45772</v>
      </c>
      <c r="N369" s="1" t="s">
        <v>588</v>
      </c>
      <c r="O369" s="35">
        <v>0</v>
      </c>
      <c r="P369"/>
      <c r="Q369" t="s">
        <v>55</v>
      </c>
      <c r="R369" t="s">
        <v>231</v>
      </c>
      <c r="S369" t="str">
        <f>IFERROR(VLOOKUP(Tabela1[[#This Row],[CC]],CC!$A$1:$H$403,8,0),"")</f>
        <v>OP1</v>
      </c>
    </row>
    <row r="370" spans="1:19" x14ac:dyDescent="0.3">
      <c r="A370" s="8">
        <v>1391</v>
      </c>
      <c r="B370" s="8" t="str">
        <f>IFERROR(VLOOKUP(Tabela1[[#This Row],[CC]],#REF!,5,0),"")</f>
        <v/>
      </c>
      <c r="C370" t="s">
        <v>32</v>
      </c>
      <c r="D370" t="s">
        <v>52</v>
      </c>
      <c r="E370" t="s">
        <v>375</v>
      </c>
      <c r="F370" t="s">
        <v>586</v>
      </c>
      <c r="G370" s="110">
        <v>3952</v>
      </c>
      <c r="H370" s="12">
        <v>45717</v>
      </c>
      <c r="I370" s="28">
        <v>84335.7</v>
      </c>
      <c r="J370" s="28">
        <v>79149.05</v>
      </c>
      <c r="K370" s="3">
        <v>45757</v>
      </c>
      <c r="L370" s="91">
        <v>45768</v>
      </c>
      <c r="M370" s="11">
        <v>45772</v>
      </c>
      <c r="N370" s="1" t="s">
        <v>588</v>
      </c>
      <c r="O370" s="35">
        <v>0</v>
      </c>
      <c r="P370"/>
      <c r="Q370" t="s">
        <v>55</v>
      </c>
      <c r="R370" t="s">
        <v>231</v>
      </c>
      <c r="S370" t="str">
        <f>IFERROR(VLOOKUP(Tabela1[[#This Row],[CC]],CC!$A$1:$H$403,8,0),"")</f>
        <v>OP1</v>
      </c>
    </row>
    <row r="371" spans="1:19" x14ac:dyDescent="0.3">
      <c r="A371" s="8">
        <v>1391</v>
      </c>
      <c r="B371" s="8" t="str">
        <f>IFERROR(VLOOKUP(Tabela1[[#This Row],[CC]],#REF!,5,0),"")</f>
        <v/>
      </c>
      <c r="C371" t="s">
        <v>32</v>
      </c>
      <c r="D371" t="s">
        <v>52</v>
      </c>
      <c r="E371" t="s">
        <v>375</v>
      </c>
      <c r="F371" t="s">
        <v>586</v>
      </c>
      <c r="G371" s="110">
        <v>3965</v>
      </c>
      <c r="H371" s="12">
        <v>45717</v>
      </c>
      <c r="I371" s="28">
        <v>67715.8</v>
      </c>
      <c r="J371" s="39">
        <v>63551.28</v>
      </c>
      <c r="K371" s="3">
        <v>45758</v>
      </c>
      <c r="L371" s="91">
        <v>45775</v>
      </c>
      <c r="M371" s="11">
        <v>45775</v>
      </c>
      <c r="N371" s="1" t="s">
        <v>588</v>
      </c>
      <c r="O371" s="35">
        <v>0</v>
      </c>
      <c r="P371"/>
      <c r="Q371" t="s">
        <v>55</v>
      </c>
      <c r="R371" t="s">
        <v>231</v>
      </c>
      <c r="S371" t="str">
        <f>IFERROR(VLOOKUP(Tabela1[[#This Row],[CC]],CC!$A$1:$H$403,8,0),"")</f>
        <v>OP1</v>
      </c>
    </row>
    <row r="372" spans="1:19" x14ac:dyDescent="0.3">
      <c r="A372" s="8">
        <v>1391</v>
      </c>
      <c r="B372" s="8" t="str">
        <f>IFERROR(VLOOKUP(Tabela1[[#This Row],[CC]],#REF!,5,0),"")</f>
        <v/>
      </c>
      <c r="C372" t="s">
        <v>32</v>
      </c>
      <c r="D372" t="s">
        <v>52</v>
      </c>
      <c r="E372" t="s">
        <v>375</v>
      </c>
      <c r="F372" t="s">
        <v>586</v>
      </c>
      <c r="G372" s="110">
        <v>3964</v>
      </c>
      <c r="H372" s="12">
        <v>45717</v>
      </c>
      <c r="I372" s="28">
        <v>14589.82</v>
      </c>
      <c r="J372" s="39">
        <v>13692.54</v>
      </c>
      <c r="K372" s="3">
        <v>45758</v>
      </c>
      <c r="L372" s="91">
        <v>45775</v>
      </c>
      <c r="M372" s="11">
        <v>45775</v>
      </c>
      <c r="N372" s="1" t="s">
        <v>588</v>
      </c>
      <c r="O372" s="35">
        <v>0</v>
      </c>
      <c r="P372"/>
      <c r="Q372" t="s">
        <v>55</v>
      </c>
      <c r="R372" t="s">
        <v>231</v>
      </c>
      <c r="S372" t="str">
        <f>IFERROR(VLOOKUP(Tabela1[[#This Row],[CC]],CC!$A$1:$H$403,8,0),"")</f>
        <v>OP1</v>
      </c>
    </row>
    <row r="373" spans="1:19" x14ac:dyDescent="0.3">
      <c r="A373" s="8">
        <v>1391</v>
      </c>
      <c r="B373" s="8" t="str">
        <f>IFERROR(VLOOKUP(Tabela1[[#This Row],[CC]],#REF!,5,0),"")</f>
        <v/>
      </c>
      <c r="C373" t="s">
        <v>32</v>
      </c>
      <c r="D373" t="s">
        <v>52</v>
      </c>
      <c r="E373" t="s">
        <v>375</v>
      </c>
      <c r="F373" t="s">
        <v>586</v>
      </c>
      <c r="G373" s="110">
        <v>3963</v>
      </c>
      <c r="H373" s="12">
        <v>45717</v>
      </c>
      <c r="I373" s="28">
        <v>231252.32</v>
      </c>
      <c r="J373" s="39">
        <v>217030.31</v>
      </c>
      <c r="K373" s="3">
        <v>45758</v>
      </c>
      <c r="L373" s="91">
        <v>45775</v>
      </c>
      <c r="M373" s="11">
        <v>45775</v>
      </c>
      <c r="N373" s="1" t="s">
        <v>588</v>
      </c>
      <c r="O373" s="35">
        <v>0</v>
      </c>
      <c r="P373"/>
      <c r="Q373" t="s">
        <v>55</v>
      </c>
      <c r="R373" t="s">
        <v>231</v>
      </c>
      <c r="S373" t="str">
        <f>IFERROR(VLOOKUP(Tabela1[[#This Row],[CC]],CC!$A$1:$H$403,8,0),"")</f>
        <v>OP1</v>
      </c>
    </row>
    <row r="374" spans="1:19" x14ac:dyDescent="0.3">
      <c r="A374" s="8">
        <v>1391</v>
      </c>
      <c r="B374" s="8" t="str">
        <f>IFERROR(VLOOKUP(Tabela1[[#This Row],[CC]],#REF!,5,0),"")</f>
        <v/>
      </c>
      <c r="C374" t="s">
        <v>32</v>
      </c>
      <c r="D374" t="s">
        <v>52</v>
      </c>
      <c r="E374" t="s">
        <v>375</v>
      </c>
      <c r="F374" t="s">
        <v>586</v>
      </c>
      <c r="G374" s="110">
        <v>3962</v>
      </c>
      <c r="H374" s="12">
        <v>45717</v>
      </c>
      <c r="I374" s="28">
        <v>3806.04</v>
      </c>
      <c r="J374" s="39">
        <v>3571.97</v>
      </c>
      <c r="K374" s="3">
        <v>45758</v>
      </c>
      <c r="L374" s="91">
        <v>45775</v>
      </c>
      <c r="M374" s="11">
        <v>45775</v>
      </c>
      <c r="N374" s="1" t="s">
        <v>588</v>
      </c>
      <c r="O374" s="35">
        <v>0</v>
      </c>
      <c r="P374"/>
      <c r="Q374" t="s">
        <v>55</v>
      </c>
      <c r="R374" t="s">
        <v>231</v>
      </c>
      <c r="S374" t="str">
        <f>IFERROR(VLOOKUP(Tabela1[[#This Row],[CC]],CC!$A$1:$H$403,8,0),"")</f>
        <v>OP1</v>
      </c>
    </row>
    <row r="375" spans="1:19" x14ac:dyDescent="0.3">
      <c r="A375" s="8">
        <v>1391</v>
      </c>
      <c r="B375" s="8" t="str">
        <f>IFERROR(VLOOKUP(Tabela1[[#This Row],[CC]],#REF!,5,0),"")</f>
        <v/>
      </c>
      <c r="C375" t="s">
        <v>32</v>
      </c>
      <c r="D375" t="s">
        <v>52</v>
      </c>
      <c r="E375" t="s">
        <v>375</v>
      </c>
      <c r="F375" t="s">
        <v>586</v>
      </c>
      <c r="G375" s="110">
        <v>3961</v>
      </c>
      <c r="H375" s="12">
        <v>45717</v>
      </c>
      <c r="I375" s="28">
        <v>25738.05</v>
      </c>
      <c r="J375" s="39">
        <v>24155.16</v>
      </c>
      <c r="K375" s="3">
        <v>45758</v>
      </c>
      <c r="L375" s="91">
        <v>45775</v>
      </c>
      <c r="M375" s="11">
        <v>45775</v>
      </c>
      <c r="N375" s="1" t="s">
        <v>588</v>
      </c>
      <c r="O375" s="35">
        <v>0</v>
      </c>
      <c r="P375"/>
      <c r="Q375" t="s">
        <v>55</v>
      </c>
      <c r="R375" t="s">
        <v>231</v>
      </c>
      <c r="S375" t="str">
        <f>IFERROR(VLOOKUP(Tabela1[[#This Row],[CC]],CC!$A$1:$H$403,8,0),"")</f>
        <v>OP1</v>
      </c>
    </row>
    <row r="376" spans="1:19" x14ac:dyDescent="0.3">
      <c r="A376" s="8">
        <v>1391</v>
      </c>
      <c r="B376" s="8" t="str">
        <f>IFERROR(VLOOKUP(Tabela1[[#This Row],[CC]],#REF!,5,0),"")</f>
        <v/>
      </c>
      <c r="C376" t="s">
        <v>32</v>
      </c>
      <c r="D376" t="s">
        <v>52</v>
      </c>
      <c r="E376" t="s">
        <v>375</v>
      </c>
      <c r="F376" t="s">
        <v>586</v>
      </c>
      <c r="G376" s="110">
        <v>3960</v>
      </c>
      <c r="H376" s="12">
        <v>45717</v>
      </c>
      <c r="I376" s="28">
        <v>26015.82</v>
      </c>
      <c r="J376" s="39">
        <v>24415.84</v>
      </c>
      <c r="K376" s="3">
        <v>45758</v>
      </c>
      <c r="L376" s="91">
        <v>45775</v>
      </c>
      <c r="M376" s="11">
        <v>45775</v>
      </c>
      <c r="N376" s="1" t="s">
        <v>588</v>
      </c>
      <c r="O376" s="35">
        <v>0</v>
      </c>
      <c r="P376"/>
      <c r="Q376" t="s">
        <v>55</v>
      </c>
      <c r="R376" t="s">
        <v>231</v>
      </c>
      <c r="S376" t="str">
        <f>IFERROR(VLOOKUP(Tabela1[[#This Row],[CC]],CC!$A$1:$H$403,8,0),"")</f>
        <v>OP1</v>
      </c>
    </row>
    <row r="377" spans="1:19" x14ac:dyDescent="0.3">
      <c r="A377" s="25">
        <v>1294</v>
      </c>
      <c r="B377" s="25" t="str">
        <f>IFERROR(VLOOKUP(Tabela1[[#This Row],[CC]],#REF!,5,0),"")</f>
        <v/>
      </c>
      <c r="C377" t="s">
        <v>32</v>
      </c>
      <c r="D377" t="s">
        <v>52</v>
      </c>
      <c r="E377" t="s">
        <v>268</v>
      </c>
      <c r="F377" t="s">
        <v>586</v>
      </c>
      <c r="G377" s="110">
        <v>3947</v>
      </c>
      <c r="H377" s="12">
        <v>45717</v>
      </c>
      <c r="I377" s="28">
        <v>9175.0300000000007</v>
      </c>
      <c r="J377" s="28">
        <v>8610.76</v>
      </c>
      <c r="K377" s="3">
        <v>45755</v>
      </c>
      <c r="L377" s="91">
        <v>45768</v>
      </c>
      <c r="M377" s="11">
        <v>45770</v>
      </c>
      <c r="N377" s="1" t="s">
        <v>588</v>
      </c>
      <c r="O377" s="35">
        <v>0</v>
      </c>
      <c r="P377"/>
      <c r="Q377" t="s">
        <v>55</v>
      </c>
      <c r="R377" t="s">
        <v>231</v>
      </c>
      <c r="S377" t="str">
        <f>IFERROR(VLOOKUP(Tabela1[[#This Row],[CC]],CC!$A$1:$H$403,8,0),"")</f>
        <v>OP1</v>
      </c>
    </row>
    <row r="378" spans="1:19" x14ac:dyDescent="0.3">
      <c r="A378" s="25">
        <v>1294</v>
      </c>
      <c r="B378" s="25" t="str">
        <f>IFERROR(VLOOKUP(Tabela1[[#This Row],[CC]],#REF!,5,0),"")</f>
        <v/>
      </c>
      <c r="C378" t="s">
        <v>32</v>
      </c>
      <c r="D378" t="s">
        <v>52</v>
      </c>
      <c r="E378" t="s">
        <v>268</v>
      </c>
      <c r="F378" t="s">
        <v>586</v>
      </c>
      <c r="G378" s="110">
        <v>3951</v>
      </c>
      <c r="H378" s="12">
        <v>45717</v>
      </c>
      <c r="I378" s="28">
        <v>192543.12</v>
      </c>
      <c r="J378" s="28">
        <v>180701.71</v>
      </c>
      <c r="K378" s="3">
        <v>45756</v>
      </c>
      <c r="L378" s="91">
        <v>45768</v>
      </c>
      <c r="M378" s="11">
        <v>45771</v>
      </c>
      <c r="N378" s="1" t="s">
        <v>588</v>
      </c>
      <c r="O378" s="35">
        <v>0</v>
      </c>
      <c r="P378"/>
      <c r="Q378" t="s">
        <v>55</v>
      </c>
      <c r="R378" t="s">
        <v>231</v>
      </c>
      <c r="S378" t="str">
        <f>IFERROR(VLOOKUP(Tabela1[[#This Row],[CC]],CC!$A$1:$H$403,8,0),"")</f>
        <v>OP1</v>
      </c>
    </row>
    <row r="379" spans="1:19" x14ac:dyDescent="0.3">
      <c r="A379" s="25">
        <v>1294</v>
      </c>
      <c r="B379" s="25" t="str">
        <f>IFERROR(VLOOKUP(Tabela1[[#This Row],[CC]],#REF!,5,0),"")</f>
        <v/>
      </c>
      <c r="C379" t="s">
        <v>32</v>
      </c>
      <c r="D379" t="s">
        <v>52</v>
      </c>
      <c r="E379" t="s">
        <v>268</v>
      </c>
      <c r="F379" t="s">
        <v>586</v>
      </c>
      <c r="G379" s="110">
        <v>3955</v>
      </c>
      <c r="H379" s="12">
        <v>45717</v>
      </c>
      <c r="I379" s="28">
        <v>168840</v>
      </c>
      <c r="J379" s="28">
        <v>158456.34</v>
      </c>
      <c r="K379" s="3">
        <v>45757</v>
      </c>
      <c r="L379" s="91">
        <v>45768</v>
      </c>
      <c r="M379" s="11">
        <v>45772</v>
      </c>
      <c r="N379" s="1" t="s">
        <v>588</v>
      </c>
      <c r="O379" s="35">
        <v>0</v>
      </c>
      <c r="P379"/>
      <c r="Q379" t="s">
        <v>55</v>
      </c>
      <c r="R379" t="s">
        <v>231</v>
      </c>
      <c r="S379" t="str">
        <f>IFERROR(VLOOKUP(Tabela1[[#This Row],[CC]],CC!$A$1:$H$403,8,0),"")</f>
        <v>OP1</v>
      </c>
    </row>
    <row r="380" spans="1:19" x14ac:dyDescent="0.3">
      <c r="A380" s="25">
        <v>1294</v>
      </c>
      <c r="B380" s="25" t="str">
        <f>IFERROR(VLOOKUP(Tabela1[[#This Row],[CC]],#REF!,5,0),"")</f>
        <v/>
      </c>
      <c r="C380" t="s">
        <v>32</v>
      </c>
      <c r="D380" t="s">
        <v>52</v>
      </c>
      <c r="E380" t="s">
        <v>268</v>
      </c>
      <c r="F380" t="s">
        <v>586</v>
      </c>
      <c r="G380" s="110">
        <v>3954</v>
      </c>
      <c r="H380" s="12">
        <v>45717</v>
      </c>
      <c r="I380" s="28">
        <v>378885</v>
      </c>
      <c r="J380" s="28">
        <v>355583.57</v>
      </c>
      <c r="K380" s="3">
        <v>45757</v>
      </c>
      <c r="L380" s="91">
        <v>45768</v>
      </c>
      <c r="M380" s="11">
        <v>45772</v>
      </c>
      <c r="N380" s="1" t="s">
        <v>588</v>
      </c>
      <c r="O380" s="35">
        <v>0</v>
      </c>
      <c r="P380"/>
      <c r="Q380" t="s">
        <v>55</v>
      </c>
      <c r="R380" t="s">
        <v>231</v>
      </c>
      <c r="S380" t="str">
        <f>IFERROR(VLOOKUP(Tabela1[[#This Row],[CC]],CC!$A$1:$H$403,8,0),"")</f>
        <v>OP1</v>
      </c>
    </row>
    <row r="381" spans="1:19" x14ac:dyDescent="0.3">
      <c r="A381" s="25">
        <v>1294</v>
      </c>
      <c r="B381" s="25" t="str">
        <f>IFERROR(VLOOKUP(Tabela1[[#This Row],[CC]],#REF!,5,0),"")</f>
        <v/>
      </c>
      <c r="C381" t="s">
        <v>32</v>
      </c>
      <c r="D381" t="s">
        <v>52</v>
      </c>
      <c r="E381" t="s">
        <v>268</v>
      </c>
      <c r="F381" t="s">
        <v>586</v>
      </c>
      <c r="G381" s="110">
        <v>3958</v>
      </c>
      <c r="H381" s="12">
        <v>45717</v>
      </c>
      <c r="I381" s="28">
        <v>13537.5</v>
      </c>
      <c r="J381" s="28">
        <v>12704.95</v>
      </c>
      <c r="K381" s="3">
        <v>45758</v>
      </c>
      <c r="L381" s="91">
        <v>45775</v>
      </c>
      <c r="M381" s="11">
        <v>45775</v>
      </c>
      <c r="N381" s="1" t="s">
        <v>588</v>
      </c>
      <c r="O381" s="35">
        <v>0</v>
      </c>
      <c r="P381"/>
      <c r="Q381" t="s">
        <v>55</v>
      </c>
      <c r="R381" t="s">
        <v>231</v>
      </c>
      <c r="S381" t="str">
        <f>IFERROR(VLOOKUP(Tabela1[[#This Row],[CC]],CC!$A$1:$H$403,8,0),"")</f>
        <v>OP1</v>
      </c>
    </row>
    <row r="382" spans="1:19" x14ac:dyDescent="0.3">
      <c r="A382" s="25">
        <v>1294</v>
      </c>
      <c r="B382" s="25" t="str">
        <f>IFERROR(VLOOKUP(Tabela1[[#This Row],[CC]],#REF!,5,0),"")</f>
        <v/>
      </c>
      <c r="C382" t="s">
        <v>32</v>
      </c>
      <c r="D382" t="s">
        <v>52</v>
      </c>
      <c r="E382" t="s">
        <v>268</v>
      </c>
      <c r="F382" t="s">
        <v>586</v>
      </c>
      <c r="G382" s="110">
        <v>3957</v>
      </c>
      <c r="H382" s="12">
        <v>45717</v>
      </c>
      <c r="I382" s="28">
        <v>8504</v>
      </c>
      <c r="J382" s="28">
        <v>7981</v>
      </c>
      <c r="K382" s="3">
        <v>45758</v>
      </c>
      <c r="L382" s="93">
        <v>45775</v>
      </c>
      <c r="M382" s="11">
        <v>45775</v>
      </c>
      <c r="N382" s="1" t="s">
        <v>588</v>
      </c>
      <c r="O382" s="35">
        <v>0</v>
      </c>
      <c r="P382"/>
      <c r="Q382" t="s">
        <v>55</v>
      </c>
      <c r="R382" t="s">
        <v>231</v>
      </c>
      <c r="S382" t="str">
        <f>IFERROR(VLOOKUP(Tabela1[[#This Row],[CC]],CC!$A$1:$H$403,8,0),"")</f>
        <v>OP1</v>
      </c>
    </row>
    <row r="383" spans="1:19" x14ac:dyDescent="0.3">
      <c r="A383" s="25">
        <v>1294</v>
      </c>
      <c r="B383" s="25" t="str">
        <f>IFERROR(VLOOKUP(Tabela1[[#This Row],[CC]],#REF!,5,0),"")</f>
        <v/>
      </c>
      <c r="C383" t="s">
        <v>32</v>
      </c>
      <c r="D383" t="s">
        <v>52</v>
      </c>
      <c r="E383" t="s">
        <v>268</v>
      </c>
      <c r="F383" t="s">
        <v>586</v>
      </c>
      <c r="G383" s="110">
        <v>3969</v>
      </c>
      <c r="H383" s="12">
        <v>45717</v>
      </c>
      <c r="I383" s="28">
        <v>53781</v>
      </c>
      <c r="J383" s="28">
        <v>50473.46</v>
      </c>
      <c r="K383" s="3">
        <v>45761</v>
      </c>
      <c r="L383" s="91">
        <v>45775</v>
      </c>
      <c r="M383" s="11">
        <v>45776</v>
      </c>
      <c r="N383" s="1" t="s">
        <v>588</v>
      </c>
      <c r="O383" s="35">
        <v>0</v>
      </c>
      <c r="P383"/>
      <c r="Q383" t="s">
        <v>55</v>
      </c>
      <c r="R383" t="s">
        <v>231</v>
      </c>
      <c r="S383" t="str">
        <f>IFERROR(VLOOKUP(Tabela1[[#This Row],[CC]],CC!$A$1:$H$403,8,0),"")</f>
        <v>OP1</v>
      </c>
    </row>
    <row r="384" spans="1:19" x14ac:dyDescent="0.3">
      <c r="A384" s="25">
        <v>1294</v>
      </c>
      <c r="B384" s="25" t="str">
        <f>IFERROR(VLOOKUP(Tabela1[[#This Row],[CC]],#REF!,5,0),"")</f>
        <v/>
      </c>
      <c r="C384" t="s">
        <v>32</v>
      </c>
      <c r="D384" t="s">
        <v>52</v>
      </c>
      <c r="E384" t="s">
        <v>268</v>
      </c>
      <c r="F384" t="s">
        <v>586</v>
      </c>
      <c r="G384" s="110">
        <v>3997</v>
      </c>
      <c r="H384" s="12">
        <v>45717</v>
      </c>
      <c r="I384" s="28">
        <v>42272.42</v>
      </c>
      <c r="J384" s="28">
        <v>39672.660000000003</v>
      </c>
      <c r="K384" s="3">
        <v>45782</v>
      </c>
      <c r="L384" s="91">
        <v>45796</v>
      </c>
      <c r="M384" s="11">
        <v>45797</v>
      </c>
      <c r="N384" s="1" t="s">
        <v>588</v>
      </c>
      <c r="O384" s="35">
        <v>0</v>
      </c>
      <c r="P384"/>
      <c r="Q384" t="s">
        <v>55</v>
      </c>
      <c r="R384" t="s">
        <v>231</v>
      </c>
      <c r="S384" t="str">
        <f>IFERROR(VLOOKUP(Tabela1[[#This Row],[CC]],CC!$A$1:$H$403,8,0),"")</f>
        <v>OP1</v>
      </c>
    </row>
    <row r="385" spans="1:19" x14ac:dyDescent="0.3">
      <c r="A385" s="25">
        <v>1285</v>
      </c>
      <c r="B385" s="25" t="str">
        <f>IFERROR(VLOOKUP(Tabela1[[#This Row],[CC]],#REF!,5,0),"")</f>
        <v/>
      </c>
      <c r="C385" t="s">
        <v>32</v>
      </c>
      <c r="D385" t="s">
        <v>52</v>
      </c>
      <c r="E385" t="s">
        <v>259</v>
      </c>
      <c r="F385" t="s">
        <v>586</v>
      </c>
      <c r="G385" s="110">
        <v>3932</v>
      </c>
      <c r="H385" s="12">
        <v>45717</v>
      </c>
      <c r="I385" s="24">
        <v>21582.58</v>
      </c>
      <c r="J385" s="24">
        <v>20255.25</v>
      </c>
      <c r="K385" s="3">
        <v>45743</v>
      </c>
      <c r="L385" s="91">
        <v>45775</v>
      </c>
      <c r="M385" s="11">
        <v>45775</v>
      </c>
      <c r="N385" s="1" t="s">
        <v>588</v>
      </c>
      <c r="O385" s="35">
        <v>0</v>
      </c>
      <c r="P385" s="26"/>
      <c r="Q385" t="s">
        <v>55</v>
      </c>
      <c r="R385" t="s">
        <v>231</v>
      </c>
      <c r="S385" t="str">
        <f>IFERROR(VLOOKUP(Tabela1[[#This Row],[CC]],CC!$A$1:$H$403,8,0),"")</f>
        <v>OP1</v>
      </c>
    </row>
    <row r="386" spans="1:19" x14ac:dyDescent="0.3">
      <c r="A386" s="25">
        <v>1285</v>
      </c>
      <c r="B386" s="25" t="str">
        <f>IFERROR(VLOOKUP(Tabela1[[#This Row],[CC]],#REF!,5,0),"")</f>
        <v/>
      </c>
      <c r="C386" t="s">
        <v>32</v>
      </c>
      <c r="D386" t="s">
        <v>52</v>
      </c>
      <c r="E386" t="s">
        <v>259</v>
      </c>
      <c r="F386" t="s">
        <v>586</v>
      </c>
      <c r="G386" s="110">
        <v>3934</v>
      </c>
      <c r="H386" s="12">
        <v>45717</v>
      </c>
      <c r="I386" s="24">
        <v>14026.17</v>
      </c>
      <c r="J386" s="24">
        <v>13163.56</v>
      </c>
      <c r="K386" s="3">
        <v>45747</v>
      </c>
      <c r="L386" s="91">
        <v>45775</v>
      </c>
      <c r="M386" s="11">
        <v>45777</v>
      </c>
      <c r="N386" s="1" t="s">
        <v>588</v>
      </c>
      <c r="O386" s="35">
        <v>0</v>
      </c>
      <c r="P386" s="26"/>
      <c r="Q386" t="s">
        <v>55</v>
      </c>
      <c r="R386" t="s">
        <v>231</v>
      </c>
      <c r="S386" t="str">
        <f>IFERROR(VLOOKUP(Tabela1[[#This Row],[CC]],CC!$A$1:$H$403,8,0),"")</f>
        <v>OP1</v>
      </c>
    </row>
    <row r="387" spans="1:19" x14ac:dyDescent="0.3">
      <c r="A387" s="25">
        <v>1292</v>
      </c>
      <c r="B387" s="25" t="str">
        <f>IFERROR(VLOOKUP(Tabela1[[#This Row],[CC]],#REF!,5,0),"")</f>
        <v/>
      </c>
      <c r="C387" t="s">
        <v>32</v>
      </c>
      <c r="D387" t="s">
        <v>56</v>
      </c>
      <c r="E387" t="s">
        <v>266</v>
      </c>
      <c r="F387" t="s">
        <v>586</v>
      </c>
      <c r="G387" s="110">
        <v>3942</v>
      </c>
      <c r="H387" s="12">
        <v>45717</v>
      </c>
      <c r="I387" s="24">
        <v>4656.58</v>
      </c>
      <c r="J387" s="24">
        <v>4370.2</v>
      </c>
      <c r="K387" s="3">
        <v>45749</v>
      </c>
      <c r="L387" s="91">
        <v>45761</v>
      </c>
      <c r="M387" s="11">
        <v>45764</v>
      </c>
      <c r="N387" s="1" t="s">
        <v>588</v>
      </c>
      <c r="O387" s="35">
        <v>0</v>
      </c>
      <c r="P387"/>
      <c r="Q387" t="s">
        <v>55</v>
      </c>
      <c r="R387" t="s">
        <v>231</v>
      </c>
      <c r="S387" t="str">
        <f>IFERROR(VLOOKUP(Tabela1[[#This Row],[CC]],CC!$A$1:$H$403,8,0),"")</f>
        <v>OP1</v>
      </c>
    </row>
    <row r="388" spans="1:19" x14ac:dyDescent="0.3">
      <c r="A388" s="25">
        <v>1292</v>
      </c>
      <c r="B388" s="25" t="str">
        <f>IFERROR(VLOOKUP(Tabela1[[#This Row],[CC]],#REF!,5,0),"")</f>
        <v/>
      </c>
      <c r="C388" t="s">
        <v>32</v>
      </c>
      <c r="D388" t="s">
        <v>56</v>
      </c>
      <c r="E388" t="s">
        <v>266</v>
      </c>
      <c r="F388" t="s">
        <v>586</v>
      </c>
      <c r="G388" s="110">
        <v>3949</v>
      </c>
      <c r="H388" s="12">
        <v>45717</v>
      </c>
      <c r="I388" s="24">
        <v>60707.37</v>
      </c>
      <c r="J388" s="24">
        <v>56973.87</v>
      </c>
      <c r="K388" s="3">
        <v>45755</v>
      </c>
      <c r="L388" s="91">
        <v>45768</v>
      </c>
      <c r="M388" s="11">
        <v>45770</v>
      </c>
      <c r="N388" s="1" t="s">
        <v>588</v>
      </c>
      <c r="O388" s="35">
        <v>0</v>
      </c>
      <c r="P388"/>
      <c r="Q388" t="s">
        <v>55</v>
      </c>
      <c r="R388" t="s">
        <v>231</v>
      </c>
      <c r="S388" t="str">
        <f>IFERROR(VLOOKUP(Tabela1[[#This Row],[CC]],CC!$A$1:$H$403,8,0),"")</f>
        <v>OP1</v>
      </c>
    </row>
    <row r="389" spans="1:19" x14ac:dyDescent="0.3">
      <c r="A389" s="25">
        <v>1292</v>
      </c>
      <c r="B389" s="25" t="str">
        <f>IFERROR(VLOOKUP(Tabela1[[#This Row],[CC]],#REF!,5,0),"")</f>
        <v/>
      </c>
      <c r="C389" t="s">
        <v>32</v>
      </c>
      <c r="D389" t="s">
        <v>56</v>
      </c>
      <c r="E389" t="s">
        <v>266</v>
      </c>
      <c r="F389" t="s">
        <v>586</v>
      </c>
      <c r="G389" s="107">
        <v>3950</v>
      </c>
      <c r="H389" s="12">
        <v>45717</v>
      </c>
      <c r="I389" s="24">
        <v>34633.19</v>
      </c>
      <c r="J389" s="24">
        <v>32503.25</v>
      </c>
      <c r="K389" s="3">
        <v>45755</v>
      </c>
      <c r="L389" s="91">
        <v>45768</v>
      </c>
      <c r="M389" s="11">
        <v>45770</v>
      </c>
      <c r="N389" s="1" t="s">
        <v>588</v>
      </c>
      <c r="O389" s="35">
        <v>0</v>
      </c>
      <c r="P389"/>
      <c r="Q389" t="s">
        <v>55</v>
      </c>
      <c r="R389" t="s">
        <v>231</v>
      </c>
      <c r="S389" t="str">
        <f>IFERROR(VLOOKUP(Tabela1[[#This Row],[CC]],CC!$A$1:$H$403,8,0),"")</f>
        <v>OP1</v>
      </c>
    </row>
    <row r="390" spans="1:19" x14ac:dyDescent="0.3">
      <c r="A390" s="25">
        <v>1292</v>
      </c>
      <c r="B390" s="25" t="str">
        <f>IFERROR(VLOOKUP(Tabela1[[#This Row],[CC]],#REF!,5,0),"")</f>
        <v/>
      </c>
      <c r="C390" t="s">
        <v>32</v>
      </c>
      <c r="D390" t="s">
        <v>56</v>
      </c>
      <c r="E390" t="s">
        <v>266</v>
      </c>
      <c r="F390" t="s">
        <v>586</v>
      </c>
      <c r="G390" s="110">
        <v>3948</v>
      </c>
      <c r="H390" s="12">
        <v>45717</v>
      </c>
      <c r="I390" s="24">
        <v>46853.99</v>
      </c>
      <c r="J390" s="24">
        <v>43972.47</v>
      </c>
      <c r="K390" s="3">
        <v>45755</v>
      </c>
      <c r="L390" s="91">
        <v>45768</v>
      </c>
      <c r="M390" s="11">
        <v>45770</v>
      </c>
      <c r="N390" s="1" t="s">
        <v>588</v>
      </c>
      <c r="O390" s="35">
        <v>0</v>
      </c>
      <c r="P390"/>
      <c r="Q390" t="s">
        <v>55</v>
      </c>
      <c r="R390" t="s">
        <v>231</v>
      </c>
      <c r="S390" t="str">
        <f>IFERROR(VLOOKUP(Tabela1[[#This Row],[CC]],CC!$A$1:$H$403,8,0),"")</f>
        <v>OP1</v>
      </c>
    </row>
    <row r="391" spans="1:19" x14ac:dyDescent="0.3">
      <c r="A391" s="25">
        <v>1292</v>
      </c>
      <c r="B391" s="25" t="str">
        <f>IFERROR(VLOOKUP(Tabela1[[#This Row],[CC]],#REF!,5,0),"")</f>
        <v/>
      </c>
      <c r="C391" t="s">
        <v>32</v>
      </c>
      <c r="D391" t="s">
        <v>56</v>
      </c>
      <c r="E391" t="s">
        <v>266</v>
      </c>
      <c r="F391" t="s">
        <v>586</v>
      </c>
      <c r="G391" s="110">
        <v>3946</v>
      </c>
      <c r="H391" s="12">
        <v>45717</v>
      </c>
      <c r="I391" s="24">
        <v>31008</v>
      </c>
      <c r="J391" s="24">
        <v>29101.01</v>
      </c>
      <c r="K391" s="3">
        <v>45755</v>
      </c>
      <c r="L391" s="91">
        <v>45768</v>
      </c>
      <c r="M391" s="11">
        <v>45770</v>
      </c>
      <c r="N391" s="1" t="s">
        <v>588</v>
      </c>
      <c r="O391" s="35">
        <v>0</v>
      </c>
      <c r="P391"/>
      <c r="Q391" t="s">
        <v>55</v>
      </c>
      <c r="R391" t="s">
        <v>231</v>
      </c>
      <c r="S391" t="str">
        <f>IFERROR(VLOOKUP(Tabela1[[#This Row],[CC]],CC!$A$1:$H$403,8,0),"")</f>
        <v>OP1</v>
      </c>
    </row>
    <row r="392" spans="1:19" x14ac:dyDescent="0.3">
      <c r="A392" s="25">
        <v>1292</v>
      </c>
      <c r="B392" s="25" t="str">
        <f>IFERROR(VLOOKUP(Tabela1[[#This Row],[CC]],#REF!,5,0),"")</f>
        <v/>
      </c>
      <c r="C392" t="s">
        <v>32</v>
      </c>
      <c r="D392" t="s">
        <v>56</v>
      </c>
      <c r="E392" t="s">
        <v>266</v>
      </c>
      <c r="F392" t="s">
        <v>586</v>
      </c>
      <c r="G392" s="110">
        <v>3970</v>
      </c>
      <c r="H392" s="12">
        <v>45717</v>
      </c>
      <c r="I392" s="24">
        <v>51968.72</v>
      </c>
      <c r="J392" s="24">
        <v>48772.639999999999</v>
      </c>
      <c r="K392" s="3">
        <v>45761</v>
      </c>
      <c r="L392" s="91">
        <v>45775</v>
      </c>
      <c r="M392" s="11">
        <v>45776</v>
      </c>
      <c r="N392" s="1" t="s">
        <v>588</v>
      </c>
      <c r="O392" s="35">
        <v>0</v>
      </c>
      <c r="P392"/>
      <c r="Q392" t="s">
        <v>55</v>
      </c>
      <c r="R392" t="s">
        <v>231</v>
      </c>
      <c r="S392" t="str">
        <f>IFERROR(VLOOKUP(Tabela1[[#This Row],[CC]],CC!$A$1:$H$403,8,0),"")</f>
        <v>OP1</v>
      </c>
    </row>
    <row r="393" spans="1:19" x14ac:dyDescent="0.3">
      <c r="A393" s="25">
        <v>1484</v>
      </c>
      <c r="B393" s="25" t="str">
        <f>IFERROR(VLOOKUP(Tabela1[[#This Row],[CC]],#REF!,5,0),"")</f>
        <v/>
      </c>
      <c r="C393" t="s">
        <v>32</v>
      </c>
      <c r="D393" t="s">
        <v>56</v>
      </c>
      <c r="E393" t="s">
        <v>489</v>
      </c>
      <c r="F393" t="s">
        <v>586</v>
      </c>
      <c r="G393" s="110">
        <v>3943</v>
      </c>
      <c r="H393" s="12">
        <v>45717</v>
      </c>
      <c r="I393" s="24">
        <v>36570.74</v>
      </c>
      <c r="J393" s="24">
        <v>34321.64</v>
      </c>
      <c r="K393" s="3">
        <v>45750</v>
      </c>
      <c r="L393" s="91">
        <v>45768</v>
      </c>
      <c r="M393" s="11">
        <v>45769</v>
      </c>
      <c r="N393" s="1" t="s">
        <v>588</v>
      </c>
      <c r="O393" s="35">
        <v>0</v>
      </c>
      <c r="P393"/>
      <c r="Q393" t="s">
        <v>57</v>
      </c>
      <c r="R393" t="s">
        <v>231</v>
      </c>
      <c r="S393" t="str">
        <f>IFERROR(VLOOKUP(Tabela1[[#This Row],[CC]],CC!$A$1:$H$403,8,0),"")</f>
        <v>OP1</v>
      </c>
    </row>
    <row r="394" spans="1:19" x14ac:dyDescent="0.3">
      <c r="A394" s="25">
        <v>1398</v>
      </c>
      <c r="B394" s="25" t="str">
        <f>IFERROR(VLOOKUP(Tabela1[[#This Row],[CC]],#REF!,5,0),"")</f>
        <v/>
      </c>
      <c r="C394" t="s">
        <v>67</v>
      </c>
      <c r="D394" t="s">
        <v>42</v>
      </c>
      <c r="E394" t="s">
        <v>383</v>
      </c>
      <c r="F394" t="s">
        <v>586</v>
      </c>
      <c r="G394" s="107">
        <v>8276</v>
      </c>
      <c r="H394" s="12">
        <v>45717</v>
      </c>
      <c r="I394" s="27">
        <v>48000</v>
      </c>
      <c r="J394" s="24">
        <v>45048</v>
      </c>
      <c r="K394" s="3">
        <v>45750</v>
      </c>
      <c r="L394" s="91">
        <v>45796</v>
      </c>
      <c r="M394" s="11">
        <v>45796</v>
      </c>
      <c r="N394" s="18" t="s">
        <v>588</v>
      </c>
      <c r="O394" s="35">
        <v>0</v>
      </c>
      <c r="P394"/>
      <c r="Q394" t="s">
        <v>58</v>
      </c>
      <c r="R394" t="s">
        <v>183</v>
      </c>
      <c r="S394" t="str">
        <f>IFERROR(VLOOKUP(Tabela1[[#This Row],[CC]],CC!$A$1:$H$403,8,0),"")</f>
        <v>OP2</v>
      </c>
    </row>
    <row r="395" spans="1:19" x14ac:dyDescent="0.3">
      <c r="A395" s="25">
        <v>1398</v>
      </c>
      <c r="B395" s="25" t="str">
        <f>IFERROR(VLOOKUP(Tabela1[[#This Row],[CC]],#REF!,5,0),"")</f>
        <v/>
      </c>
      <c r="C395" t="s">
        <v>67</v>
      </c>
      <c r="D395" t="s">
        <v>42</v>
      </c>
      <c r="E395" t="s">
        <v>383</v>
      </c>
      <c r="F395" t="s">
        <v>586</v>
      </c>
      <c r="G395" s="107">
        <v>8311</v>
      </c>
      <c r="H395" s="12">
        <v>45717</v>
      </c>
      <c r="I395" s="27">
        <v>17902.11</v>
      </c>
      <c r="J395" s="24">
        <v>16801.13</v>
      </c>
      <c r="K395" s="3">
        <v>45771</v>
      </c>
      <c r="L395" s="93">
        <v>45803</v>
      </c>
      <c r="M395" s="16">
        <v>45803</v>
      </c>
      <c r="N395" s="20" t="s">
        <v>588</v>
      </c>
      <c r="O395" s="35">
        <v>0</v>
      </c>
      <c r="P395"/>
      <c r="Q395" t="s">
        <v>58</v>
      </c>
      <c r="R395" t="s">
        <v>183</v>
      </c>
      <c r="S395" t="str">
        <f>IFERROR(VLOOKUP(Tabela1[[#This Row],[CC]],CC!$A$1:$H$403,8,0),"")</f>
        <v>OP2</v>
      </c>
    </row>
    <row r="396" spans="1:19" x14ac:dyDescent="0.3">
      <c r="A396" s="25">
        <v>1398</v>
      </c>
      <c r="B396" s="25" t="str">
        <f>IFERROR(VLOOKUP(Tabela1[[#This Row],[CC]],#REF!,5,0),"")</f>
        <v/>
      </c>
      <c r="C396" t="s">
        <v>67</v>
      </c>
      <c r="D396" t="s">
        <v>42</v>
      </c>
      <c r="E396" t="s">
        <v>383</v>
      </c>
      <c r="F396" t="s">
        <v>586</v>
      </c>
      <c r="G396" s="107">
        <v>8388</v>
      </c>
      <c r="H396" s="12">
        <v>45717</v>
      </c>
      <c r="I396" s="27">
        <v>15308.3</v>
      </c>
      <c r="J396" s="24">
        <v>14366.85</v>
      </c>
      <c r="K396" s="3">
        <v>45833</v>
      </c>
      <c r="L396" s="91">
        <v>45894</v>
      </c>
      <c r="M396" s="11">
        <v>45894</v>
      </c>
      <c r="N396" s="18" t="s">
        <v>588</v>
      </c>
      <c r="O396" s="35">
        <v>0</v>
      </c>
      <c r="P396"/>
      <c r="Q396" t="s">
        <v>58</v>
      </c>
      <c r="R396" t="s">
        <v>183</v>
      </c>
      <c r="S396" t="str">
        <f>IFERROR(VLOOKUP(Tabela1[[#This Row],[CC]],CC!$A$1:$H$403,8,0),"")</f>
        <v>OP2</v>
      </c>
    </row>
    <row r="397" spans="1:19" x14ac:dyDescent="0.3">
      <c r="A397" s="25">
        <v>1398</v>
      </c>
      <c r="B397" s="25" t="str">
        <f>IFERROR(VLOOKUP(Tabela1[[#This Row],[CC]],#REF!,5,0),"")</f>
        <v/>
      </c>
      <c r="C397" t="s">
        <v>67</v>
      </c>
      <c r="D397" t="s">
        <v>42</v>
      </c>
      <c r="E397" t="s">
        <v>383</v>
      </c>
      <c r="F397" t="s">
        <v>586</v>
      </c>
      <c r="G397" s="107">
        <v>8387</v>
      </c>
      <c r="H397" s="12">
        <v>45717</v>
      </c>
      <c r="I397" s="27">
        <v>22241.65</v>
      </c>
      <c r="J397" s="24">
        <v>20873.79</v>
      </c>
      <c r="K397" s="3">
        <v>45831</v>
      </c>
      <c r="L397" s="91">
        <v>45887</v>
      </c>
      <c r="M397" s="11">
        <v>45891</v>
      </c>
      <c r="N397" s="18" t="s">
        <v>588</v>
      </c>
      <c r="O397" s="35">
        <v>0</v>
      </c>
      <c r="P397"/>
      <c r="Q397" t="s">
        <v>58</v>
      </c>
      <c r="R397" t="s">
        <v>183</v>
      </c>
      <c r="S397" t="str">
        <f>IFERROR(VLOOKUP(Tabela1[[#This Row],[CC]],CC!$A$1:$H$403,8,0),"")</f>
        <v>OP2</v>
      </c>
    </row>
    <row r="398" spans="1:19" x14ac:dyDescent="0.3">
      <c r="A398" s="25">
        <v>1398</v>
      </c>
      <c r="B398" s="25" t="str">
        <f>IFERROR(VLOOKUP(Tabela1[[#This Row],[CC]],#REF!,5,0),"")</f>
        <v/>
      </c>
      <c r="C398" t="s">
        <v>67</v>
      </c>
      <c r="D398" t="s">
        <v>42</v>
      </c>
      <c r="E398" t="s">
        <v>383</v>
      </c>
      <c r="F398" t="s">
        <v>586</v>
      </c>
      <c r="G398" s="107">
        <v>8389</v>
      </c>
      <c r="H398" s="12">
        <v>45717</v>
      </c>
      <c r="I398" s="27">
        <v>52194.6</v>
      </c>
      <c r="J398" s="24">
        <v>48984.63</v>
      </c>
      <c r="K398" s="3">
        <v>45833</v>
      </c>
      <c r="L398" s="91">
        <v>45894</v>
      </c>
      <c r="M398" s="11">
        <v>45894</v>
      </c>
      <c r="N398" s="18" t="s">
        <v>588</v>
      </c>
      <c r="O398" s="35">
        <v>0</v>
      </c>
      <c r="P398"/>
      <c r="Q398" t="s">
        <v>58</v>
      </c>
      <c r="R398" t="s">
        <v>183</v>
      </c>
      <c r="S398" t="str">
        <f>IFERROR(VLOOKUP(Tabela1[[#This Row],[CC]],CC!$A$1:$H$403,8,0),"")</f>
        <v>OP2</v>
      </c>
    </row>
    <row r="399" spans="1:19" x14ac:dyDescent="0.3">
      <c r="A399" s="8">
        <v>1393</v>
      </c>
      <c r="B399" s="8" t="str">
        <f>IFERROR(VLOOKUP(Tabela1[[#This Row],[CC]],#REF!,5,0),"")</f>
        <v/>
      </c>
      <c r="C399" t="s">
        <v>70</v>
      </c>
      <c r="D399" t="str">
        <f>IFERROR(VLOOKUP(Tabela1[[#This Row],[CC]],CC!$A$1:$I$3869,3,0),"")</f>
        <v xml:space="preserve">DETRAN-BA </v>
      </c>
      <c r="E399" t="s">
        <v>377</v>
      </c>
      <c r="F399" t="s">
        <v>586</v>
      </c>
      <c r="G399" s="110">
        <v>8307</v>
      </c>
      <c r="H399" s="12">
        <v>45717</v>
      </c>
      <c r="I399" s="10">
        <v>158659.24</v>
      </c>
      <c r="J399" s="10">
        <v>142316.48000000001</v>
      </c>
      <c r="K399" s="3">
        <v>45762</v>
      </c>
      <c r="L399" s="91">
        <v>45796</v>
      </c>
      <c r="M399" s="5">
        <v>45799</v>
      </c>
      <c r="N399" s="18" t="s">
        <v>588</v>
      </c>
      <c r="O399" s="34"/>
      <c r="P399"/>
      <c r="Q399" t="s">
        <v>58</v>
      </c>
      <c r="R399" t="s">
        <v>195</v>
      </c>
      <c r="S399" t="str">
        <f>IFERROR(VLOOKUP(Tabela1[[#This Row],[CC]],CC!$A$1:$H$403,8,0),"")</f>
        <v>OP4</v>
      </c>
    </row>
    <row r="400" spans="1:19" x14ac:dyDescent="0.3">
      <c r="A400" s="8">
        <v>1393</v>
      </c>
      <c r="B400" s="8" t="str">
        <f>IFERROR(VLOOKUP(Tabela1[[#This Row],[CC]],#REF!,5,0),"")</f>
        <v/>
      </c>
      <c r="C400" t="s">
        <v>70</v>
      </c>
      <c r="D400" t="str">
        <f>IFERROR(VLOOKUP(Tabela1[[#This Row],[CC]],CC!$A$1:$I$3869,3,0),"")</f>
        <v xml:space="preserve">DETRAN-BA </v>
      </c>
      <c r="E400" t="s">
        <v>377</v>
      </c>
      <c r="F400" t="s">
        <v>586</v>
      </c>
      <c r="G400" s="110">
        <v>8306</v>
      </c>
      <c r="H400" s="12">
        <v>45717</v>
      </c>
      <c r="I400" s="10">
        <v>432751.13</v>
      </c>
      <c r="J400" s="10">
        <v>388178.64</v>
      </c>
      <c r="K400" s="3">
        <v>45762</v>
      </c>
      <c r="L400" s="91">
        <v>45796</v>
      </c>
      <c r="M400" s="5">
        <v>45799</v>
      </c>
      <c r="N400" s="18" t="s">
        <v>588</v>
      </c>
      <c r="O400" s="34"/>
      <c r="P400"/>
      <c r="Q400" t="s">
        <v>58</v>
      </c>
      <c r="R400" t="s">
        <v>195</v>
      </c>
      <c r="S400" t="str">
        <f>IFERROR(VLOOKUP(Tabela1[[#This Row],[CC]],CC!$A$1:$H$403,8,0),"")</f>
        <v>OP4</v>
      </c>
    </row>
    <row r="401" spans="1:21" x14ac:dyDescent="0.3">
      <c r="A401" s="25">
        <v>1476</v>
      </c>
      <c r="B401" s="25" t="str">
        <f>IFERROR(VLOOKUP(Tabela1[[#This Row],[CC]],#REF!,5,0),"")</f>
        <v/>
      </c>
      <c r="C401" t="s">
        <v>70</v>
      </c>
      <c r="D401" t="s">
        <v>26</v>
      </c>
      <c r="E401" t="s">
        <v>481</v>
      </c>
      <c r="F401" t="s">
        <v>586</v>
      </c>
      <c r="G401" s="110">
        <v>8285</v>
      </c>
      <c r="H401" s="12">
        <v>45717</v>
      </c>
      <c r="I401" s="24">
        <v>615.64</v>
      </c>
      <c r="J401" s="27">
        <v>552.23</v>
      </c>
      <c r="K401" s="3">
        <v>45751</v>
      </c>
      <c r="L401" s="91">
        <v>45768</v>
      </c>
      <c r="M401" s="29">
        <v>45771</v>
      </c>
      <c r="N401" s="21" t="s">
        <v>588</v>
      </c>
      <c r="O401" s="35"/>
      <c r="P401" s="26"/>
      <c r="Q401" t="s">
        <v>58</v>
      </c>
      <c r="R401" t="s">
        <v>195</v>
      </c>
      <c r="S401" t="str">
        <f>IFERROR(VLOOKUP(Tabela1[[#This Row],[CC]],CC!$A$1:$H$403,8,0),"")</f>
        <v>OP4</v>
      </c>
    </row>
    <row r="402" spans="1:21" x14ac:dyDescent="0.3">
      <c r="A402" s="8">
        <v>1476</v>
      </c>
      <c r="B402" s="8" t="str">
        <f>IFERROR(VLOOKUP(Tabela1[[#This Row],[CC]],#REF!,5,0),"")</f>
        <v/>
      </c>
      <c r="C402" t="s">
        <v>70</v>
      </c>
      <c r="D402" t="s">
        <v>26</v>
      </c>
      <c r="E402" t="s">
        <v>481</v>
      </c>
      <c r="F402" t="s">
        <v>586</v>
      </c>
      <c r="G402" s="110">
        <v>8288</v>
      </c>
      <c r="H402" s="12">
        <v>45717</v>
      </c>
      <c r="I402" s="24">
        <v>318628.40000000002</v>
      </c>
      <c r="J402" s="24">
        <v>285809.68</v>
      </c>
      <c r="K402" s="3">
        <v>45754</v>
      </c>
      <c r="L402" s="91">
        <v>45768</v>
      </c>
      <c r="M402" s="5">
        <v>45771</v>
      </c>
      <c r="N402" s="21" t="s">
        <v>588</v>
      </c>
      <c r="O402" s="34"/>
      <c r="P402" s="14"/>
      <c r="Q402" t="s">
        <v>58</v>
      </c>
      <c r="R402" t="s">
        <v>195</v>
      </c>
      <c r="S402" t="str">
        <f>IFERROR(VLOOKUP(Tabela1[[#This Row],[CC]],CC!$A$1:$H$403,8,0),"")</f>
        <v>OP4</v>
      </c>
    </row>
    <row r="403" spans="1:21" x14ac:dyDescent="0.3">
      <c r="A403" s="25">
        <v>1296</v>
      </c>
      <c r="B403" s="25" t="str">
        <f>IFERROR(VLOOKUP(Tabela1[[#This Row],[CC]],#REF!,5,0),"")</f>
        <v/>
      </c>
      <c r="C403" t="s">
        <v>66</v>
      </c>
      <c r="D403" t="s">
        <v>16</v>
      </c>
      <c r="E403" t="s">
        <v>271</v>
      </c>
      <c r="F403" t="s">
        <v>586</v>
      </c>
      <c r="G403" s="110">
        <v>1239</v>
      </c>
      <c r="H403" s="12">
        <v>45717</v>
      </c>
      <c r="I403" s="24">
        <v>365158.43</v>
      </c>
      <c r="J403" s="24">
        <v>329920.64000000001</v>
      </c>
      <c r="K403" s="3">
        <v>45749</v>
      </c>
      <c r="L403" s="91">
        <v>45761</v>
      </c>
      <c r="M403" s="11">
        <v>45761</v>
      </c>
      <c r="N403" s="18" t="s">
        <v>588</v>
      </c>
      <c r="O403" s="41"/>
      <c r="P403" s="26"/>
      <c r="Q403" t="s">
        <v>58</v>
      </c>
      <c r="R403" t="s">
        <v>183</v>
      </c>
      <c r="S403" t="str">
        <f>IFERROR(VLOOKUP(Tabela1[[#This Row],[CC]],CC!$A$1:$H$403,8,0),"")</f>
        <v>OP2</v>
      </c>
    </row>
    <row r="404" spans="1:21" x14ac:dyDescent="0.3">
      <c r="A404" s="25">
        <v>1296</v>
      </c>
      <c r="B404" s="25" t="str">
        <f>IFERROR(VLOOKUP(Tabela1[[#This Row],[CC]],#REF!,5,0),"")</f>
        <v/>
      </c>
      <c r="C404" t="s">
        <v>66</v>
      </c>
      <c r="D404" t="s">
        <v>16</v>
      </c>
      <c r="E404" t="s">
        <v>271</v>
      </c>
      <c r="F404" t="s">
        <v>586</v>
      </c>
      <c r="G404" s="110">
        <v>1238</v>
      </c>
      <c r="H404" s="12">
        <v>45717</v>
      </c>
      <c r="I404" s="24">
        <v>462378.86</v>
      </c>
      <c r="J404" s="24">
        <v>417759.3</v>
      </c>
      <c r="K404" s="3">
        <v>45749</v>
      </c>
      <c r="L404" s="91">
        <v>45761</v>
      </c>
      <c r="M404" s="11">
        <v>45761</v>
      </c>
      <c r="N404" s="18" t="s">
        <v>588</v>
      </c>
      <c r="O404" s="41"/>
      <c r="P404" s="26"/>
      <c r="Q404" t="s">
        <v>58</v>
      </c>
      <c r="R404" t="s">
        <v>183</v>
      </c>
      <c r="S404" t="str">
        <f>IFERROR(VLOOKUP(Tabela1[[#This Row],[CC]],CC!$A$1:$H$403,8,0),"")</f>
        <v>OP2</v>
      </c>
    </row>
    <row r="405" spans="1:21" x14ac:dyDescent="0.3">
      <c r="A405" s="8">
        <v>1300</v>
      </c>
      <c r="B405" s="8" t="str">
        <f>IFERROR(VLOOKUP(Tabela1[[#This Row],[CC]],#REF!,5,0),"")</f>
        <v/>
      </c>
      <c r="C405" t="s">
        <v>66</v>
      </c>
      <c r="D405" t="s">
        <v>16</v>
      </c>
      <c r="E405" t="s">
        <v>275</v>
      </c>
      <c r="F405" t="s">
        <v>586</v>
      </c>
      <c r="G405" s="110">
        <v>1242</v>
      </c>
      <c r="H405" s="12">
        <v>45717</v>
      </c>
      <c r="I405" s="10">
        <v>306544.94</v>
      </c>
      <c r="J405" s="17">
        <v>276963.36</v>
      </c>
      <c r="K405" s="3">
        <v>45762</v>
      </c>
      <c r="L405" s="91">
        <v>45789</v>
      </c>
      <c r="M405" s="5">
        <v>45792</v>
      </c>
      <c r="N405" s="36" t="s">
        <v>588</v>
      </c>
      <c r="O405" s="37">
        <v>0</v>
      </c>
      <c r="P405" s="14"/>
      <c r="Q405" t="s">
        <v>58</v>
      </c>
      <c r="R405" t="s">
        <v>183</v>
      </c>
      <c r="S405" t="str">
        <f>IFERROR(VLOOKUP(Tabela1[[#This Row],[CC]],CC!$A$1:$H$403,8,0),"")</f>
        <v>OP2</v>
      </c>
    </row>
    <row r="406" spans="1:21" x14ac:dyDescent="0.3">
      <c r="A406" s="8">
        <v>1300</v>
      </c>
      <c r="B406" s="8" t="str">
        <f>IFERROR(VLOOKUP(Tabela1[[#This Row],[CC]],#REF!,5,0),"")</f>
        <v/>
      </c>
      <c r="C406" t="s">
        <v>66</v>
      </c>
      <c r="D406" t="s">
        <v>16</v>
      </c>
      <c r="E406" t="s">
        <v>275</v>
      </c>
      <c r="F406" t="s">
        <v>586</v>
      </c>
      <c r="G406" s="110">
        <v>8303</v>
      </c>
      <c r="H406" s="12">
        <v>45717</v>
      </c>
      <c r="I406" s="10">
        <v>35127.120000000003</v>
      </c>
      <c r="J406" s="17">
        <v>31737.35</v>
      </c>
      <c r="K406" s="3">
        <v>45762</v>
      </c>
      <c r="L406" s="91">
        <v>45789</v>
      </c>
      <c r="M406" s="5">
        <v>45792</v>
      </c>
      <c r="N406" s="36" t="s">
        <v>588</v>
      </c>
      <c r="O406" s="37">
        <v>0</v>
      </c>
      <c r="P406" s="14"/>
      <c r="Q406" t="s">
        <v>58</v>
      </c>
      <c r="R406" t="s">
        <v>183</v>
      </c>
      <c r="S406" t="str">
        <f>IFERROR(VLOOKUP(Tabela1[[#This Row],[CC]],CC!$A$1:$H$403,8,0),"")</f>
        <v>OP2</v>
      </c>
    </row>
    <row r="407" spans="1:21" x14ac:dyDescent="0.3">
      <c r="A407" s="25">
        <v>1290</v>
      </c>
      <c r="B407" s="25" t="str">
        <f>IFERROR(VLOOKUP(Tabela1[[#This Row],[CC]],#REF!,5,0),"")</f>
        <v/>
      </c>
      <c r="C407" t="s">
        <v>70</v>
      </c>
      <c r="D407" t="s">
        <v>20</v>
      </c>
      <c r="E407" t="s">
        <v>264</v>
      </c>
      <c r="F407" t="s">
        <v>586</v>
      </c>
      <c r="G407" s="110">
        <v>8287</v>
      </c>
      <c r="H407" s="12">
        <v>45717</v>
      </c>
      <c r="I407" s="24">
        <v>53175.27</v>
      </c>
      <c r="J407" s="24">
        <v>46980.35</v>
      </c>
      <c r="K407" s="3">
        <v>45754</v>
      </c>
      <c r="L407" s="91">
        <v>45782</v>
      </c>
      <c r="M407" s="11">
        <v>45784</v>
      </c>
      <c r="N407" s="21" t="s">
        <v>588</v>
      </c>
      <c r="O407" s="35">
        <v>0</v>
      </c>
      <c r="P407" s="26"/>
      <c r="Q407" t="s">
        <v>58</v>
      </c>
      <c r="R407" t="s">
        <v>183</v>
      </c>
      <c r="S407" t="str">
        <f>IFERROR(VLOOKUP(Tabela1[[#This Row],[CC]],CC!$A$1:$H$403,8,0),"")</f>
        <v>OP4</v>
      </c>
    </row>
    <row r="408" spans="1:21" x14ac:dyDescent="0.3">
      <c r="A408" s="25">
        <v>1490</v>
      </c>
      <c r="B408" s="25" t="str">
        <f>IFERROR(VLOOKUP(Tabela1[[#This Row],[CC]],#REF!,5,0),"")</f>
        <v/>
      </c>
      <c r="C408" t="s">
        <v>70</v>
      </c>
      <c r="D408" t="s">
        <v>20</v>
      </c>
      <c r="E408" t="s">
        <v>495</v>
      </c>
      <c r="F408" t="s">
        <v>586</v>
      </c>
      <c r="G408" s="110">
        <v>8282</v>
      </c>
      <c r="H408" s="12">
        <v>45717</v>
      </c>
      <c r="I408" s="24">
        <v>2300</v>
      </c>
      <c r="J408" s="24">
        <v>2032.05</v>
      </c>
      <c r="K408" s="3">
        <v>45750</v>
      </c>
      <c r="L408" s="91">
        <v>45782</v>
      </c>
      <c r="M408" s="11">
        <v>45782</v>
      </c>
      <c r="N408" s="21" t="s">
        <v>588</v>
      </c>
      <c r="O408" s="35">
        <v>0</v>
      </c>
      <c r="P408" s="26"/>
      <c r="Q408" t="s">
        <v>58</v>
      </c>
      <c r="R408" t="s">
        <v>183</v>
      </c>
      <c r="S408" t="str">
        <f>IFERROR(VLOOKUP(Tabela1[[#This Row],[CC]],CC!$A$1:$H$403,8,0),"")</f>
        <v>OP4</v>
      </c>
    </row>
    <row r="409" spans="1:21" x14ac:dyDescent="0.3">
      <c r="A409" s="8">
        <v>1480</v>
      </c>
      <c r="B409" s="8" t="str">
        <f>IFERROR(VLOOKUP(Tabela1[[#This Row],[CC]],#REF!,5,0),"")</f>
        <v/>
      </c>
      <c r="C409" t="s">
        <v>51</v>
      </c>
      <c r="D409" t="s">
        <v>46</v>
      </c>
      <c r="E409" t="s">
        <v>590</v>
      </c>
      <c r="F409" t="s">
        <v>586</v>
      </c>
      <c r="G409" s="110">
        <v>3981</v>
      </c>
      <c r="H409" s="12">
        <v>45717</v>
      </c>
      <c r="I409" s="10">
        <v>321034.56</v>
      </c>
      <c r="J409" s="10">
        <v>301290.93</v>
      </c>
      <c r="K409" s="3">
        <v>45769</v>
      </c>
      <c r="L409" s="91">
        <v>45782</v>
      </c>
      <c r="M409" s="5">
        <v>45785</v>
      </c>
      <c r="N409" s="18" t="s">
        <v>588</v>
      </c>
      <c r="O409" s="56"/>
      <c r="P409" s="14"/>
      <c r="Q409" t="s">
        <v>55</v>
      </c>
      <c r="R409" t="s">
        <v>231</v>
      </c>
      <c r="S409" t="str">
        <f>IFERROR(VLOOKUP(Tabela1[[#This Row],[CC]],CC!$A$1:$H$403,8,0),"")</f>
        <v>OP2</v>
      </c>
    </row>
    <row r="410" spans="1:21" x14ac:dyDescent="0.3">
      <c r="A410" s="8">
        <v>1475</v>
      </c>
      <c r="B410" s="8" t="str">
        <f>IFERROR(VLOOKUP(Tabela1[[#This Row],[CC]],#REF!,5,0),"")</f>
        <v/>
      </c>
      <c r="C410" t="s">
        <v>60</v>
      </c>
      <c r="D410" t="s">
        <v>35</v>
      </c>
      <c r="E410" t="s">
        <v>480</v>
      </c>
      <c r="F410" t="s">
        <v>586</v>
      </c>
      <c r="G410" s="110">
        <v>8291</v>
      </c>
      <c r="H410" s="12">
        <v>45717</v>
      </c>
      <c r="I410" s="10">
        <v>67387.39</v>
      </c>
      <c r="J410" s="10">
        <v>60446.49</v>
      </c>
      <c r="K410" s="3">
        <v>45755</v>
      </c>
      <c r="L410" s="91">
        <v>45775</v>
      </c>
      <c r="M410" s="11">
        <v>45777</v>
      </c>
      <c r="N410" s="18" t="s">
        <v>588</v>
      </c>
      <c r="O410" s="34">
        <v>0</v>
      </c>
      <c r="P410"/>
      <c r="Q410" t="s">
        <v>55</v>
      </c>
      <c r="R410" t="s">
        <v>195</v>
      </c>
      <c r="S410" t="str">
        <f>IFERROR(VLOOKUP(Tabela1[[#This Row],[CC]],CC!$A$1:$H$403,8,0),"")</f>
        <v>OP3</v>
      </c>
    </row>
    <row r="411" spans="1:21" x14ac:dyDescent="0.3">
      <c r="A411" s="8">
        <v>1472</v>
      </c>
      <c r="B411" s="8" t="str">
        <f>IFERROR(VLOOKUP(Tabela1[[#This Row],[CC]],#REF!,5,0),"")</f>
        <v/>
      </c>
      <c r="C411" t="s">
        <v>32</v>
      </c>
      <c r="D411" t="s">
        <v>21</v>
      </c>
      <c r="E411" t="s">
        <v>477</v>
      </c>
      <c r="F411" t="s">
        <v>586</v>
      </c>
      <c r="G411" s="110">
        <v>3938</v>
      </c>
      <c r="H411" s="12">
        <v>45717</v>
      </c>
      <c r="I411" s="10">
        <v>78132.600000000006</v>
      </c>
      <c r="J411" s="24">
        <v>73327.44</v>
      </c>
      <c r="K411" s="3">
        <v>45748</v>
      </c>
      <c r="L411" s="91">
        <v>45754</v>
      </c>
      <c r="M411" s="11">
        <v>45757</v>
      </c>
      <c r="N411" s="18" t="s">
        <v>588</v>
      </c>
      <c r="O411" s="37"/>
      <c r="P411" s="14"/>
      <c r="Q411" t="s">
        <v>57</v>
      </c>
      <c r="R411" t="s">
        <v>231</v>
      </c>
      <c r="S411" t="str">
        <f>IFERROR(VLOOKUP(Tabela1[[#This Row],[CC]],CC!$A$1:$H$403,8,0),"")</f>
        <v>OP1</v>
      </c>
    </row>
    <row r="412" spans="1:21" x14ac:dyDescent="0.3">
      <c r="A412" s="8">
        <v>1378</v>
      </c>
      <c r="B412" s="8" t="str">
        <f>IFERROR(VLOOKUP(Tabela1[[#This Row],[CC]],#REF!,5,0),"")</f>
        <v/>
      </c>
      <c r="C412" t="s">
        <v>51</v>
      </c>
      <c r="D412" t="s">
        <v>5</v>
      </c>
      <c r="E412" t="s">
        <v>361</v>
      </c>
      <c r="F412" t="s">
        <v>586</v>
      </c>
      <c r="G412" s="110">
        <v>8309</v>
      </c>
      <c r="H412" s="12">
        <v>45717</v>
      </c>
      <c r="I412" s="10">
        <v>4281.29</v>
      </c>
      <c r="J412" s="10">
        <v>4017.99</v>
      </c>
      <c r="K412" s="3">
        <v>45763</v>
      </c>
      <c r="L412" s="91">
        <v>45789</v>
      </c>
      <c r="M412" s="5">
        <v>45789</v>
      </c>
      <c r="N412" s="18" t="s">
        <v>588</v>
      </c>
      <c r="O412" s="34">
        <v>0</v>
      </c>
      <c r="P412"/>
      <c r="Q412" t="s">
        <v>57</v>
      </c>
      <c r="R412" t="s">
        <v>231</v>
      </c>
      <c r="S412" t="str">
        <f>IFERROR(VLOOKUP(Tabela1[[#This Row],[CC]],CC!$A$1:$H$403,8,0),"")</f>
        <v>OP2</v>
      </c>
      <c r="T412" t="s">
        <v>1</v>
      </c>
      <c r="U412" t="s">
        <v>2</v>
      </c>
    </row>
    <row r="413" spans="1:21" x14ac:dyDescent="0.3">
      <c r="A413" s="8">
        <v>1247</v>
      </c>
      <c r="B413" s="8" t="str">
        <f>IFERROR(VLOOKUP(Tabela1[[#This Row],[CC]],#REF!,5,0),"")</f>
        <v/>
      </c>
      <c r="C413" t="s">
        <v>70</v>
      </c>
      <c r="D413" t="s">
        <v>14</v>
      </c>
      <c r="E413" t="s">
        <v>214</v>
      </c>
      <c r="F413" t="s">
        <v>586</v>
      </c>
      <c r="G413" s="110">
        <v>8269</v>
      </c>
      <c r="H413" s="12">
        <v>45717</v>
      </c>
      <c r="I413" s="24">
        <v>38395.360000000001</v>
      </c>
      <c r="J413" s="24">
        <v>34440.629999999997</v>
      </c>
      <c r="K413" s="3">
        <v>45748</v>
      </c>
      <c r="L413" s="91">
        <v>45789</v>
      </c>
      <c r="M413" s="11">
        <v>45790</v>
      </c>
      <c r="N413" s="18" t="s">
        <v>588</v>
      </c>
      <c r="O413" s="34"/>
      <c r="P413"/>
      <c r="Q413" t="s">
        <v>58</v>
      </c>
      <c r="R413" t="s">
        <v>195</v>
      </c>
      <c r="S413" t="str">
        <f>IFERROR(VLOOKUP(Tabela1[[#This Row],[CC]],CC!$A$1:$H$403,8,0),"")</f>
        <v>OP4</v>
      </c>
    </row>
    <row r="414" spans="1:21" x14ac:dyDescent="0.3">
      <c r="A414" s="8">
        <v>1358</v>
      </c>
      <c r="B414" s="8" t="str">
        <f>IFERROR(VLOOKUP(Tabela1[[#This Row],[CC]],#REF!,5,0),"")</f>
        <v/>
      </c>
      <c r="C414" t="s">
        <v>70</v>
      </c>
      <c r="D414" t="s">
        <v>12</v>
      </c>
      <c r="E414" t="s">
        <v>335</v>
      </c>
      <c r="F414" t="s">
        <v>586</v>
      </c>
      <c r="G414" s="110">
        <v>8302</v>
      </c>
      <c r="H414" s="12">
        <v>45717</v>
      </c>
      <c r="I414" s="10">
        <v>85164.92</v>
      </c>
      <c r="J414" s="10">
        <v>76392.929999999993</v>
      </c>
      <c r="K414" s="3">
        <v>45758</v>
      </c>
      <c r="L414" s="91">
        <v>45796</v>
      </c>
      <c r="M414" s="11">
        <v>45800</v>
      </c>
      <c r="N414" s="18" t="s">
        <v>588</v>
      </c>
      <c r="O414" s="34">
        <v>0</v>
      </c>
      <c r="P414"/>
      <c r="Q414" t="s">
        <v>58</v>
      </c>
      <c r="R414" t="s">
        <v>195</v>
      </c>
      <c r="S414" t="str">
        <f>IFERROR(VLOOKUP(Tabela1[[#This Row],[CC]],CC!$A$1:$H$403,8,0),"")</f>
        <v>OP4</v>
      </c>
    </row>
    <row r="415" spans="1:21" x14ac:dyDescent="0.3">
      <c r="A415" s="8">
        <v>1358</v>
      </c>
      <c r="B415" s="8" t="str">
        <f>IFERROR(VLOOKUP(Tabela1[[#This Row],[CC]],#REF!,5,0),"")</f>
        <v/>
      </c>
      <c r="C415" t="s">
        <v>70</v>
      </c>
      <c r="D415" t="s">
        <v>12</v>
      </c>
      <c r="E415" t="s">
        <v>335</v>
      </c>
      <c r="F415" t="s">
        <v>586</v>
      </c>
      <c r="G415" s="110">
        <v>8301</v>
      </c>
      <c r="H415" s="12">
        <v>45717</v>
      </c>
      <c r="I415" s="10">
        <v>14614.8</v>
      </c>
      <c r="J415" s="10">
        <v>13109.47</v>
      </c>
      <c r="K415" s="3">
        <v>45758</v>
      </c>
      <c r="L415" s="91">
        <v>45789</v>
      </c>
      <c r="M415" s="11">
        <v>45793</v>
      </c>
      <c r="N415" s="18" t="s">
        <v>588</v>
      </c>
      <c r="O415" s="34">
        <v>0</v>
      </c>
      <c r="P415"/>
      <c r="Q415" t="s">
        <v>58</v>
      </c>
      <c r="R415" t="s">
        <v>195</v>
      </c>
      <c r="S415" t="str">
        <f>IFERROR(VLOOKUP(Tabela1[[#This Row],[CC]],CC!$A$1:$H$403,8,0),"")</f>
        <v>OP4</v>
      </c>
    </row>
    <row r="416" spans="1:21" x14ac:dyDescent="0.3">
      <c r="A416" s="8">
        <v>1473</v>
      </c>
      <c r="B416" s="8" t="str">
        <f>IFERROR(VLOOKUP(Tabela1[[#This Row],[CC]],#REF!,5,0),"")</f>
        <v/>
      </c>
      <c r="C416" t="s">
        <v>70</v>
      </c>
      <c r="D416" t="s">
        <v>63</v>
      </c>
      <c r="E416" t="s">
        <v>478</v>
      </c>
      <c r="F416" t="s">
        <v>586</v>
      </c>
      <c r="G416" s="110">
        <v>8312</v>
      </c>
      <c r="H416" s="12">
        <v>45717</v>
      </c>
      <c r="I416" s="24">
        <v>225302.23</v>
      </c>
      <c r="J416" s="24">
        <v>209981.68</v>
      </c>
      <c r="K416" s="3">
        <v>45776</v>
      </c>
      <c r="L416" s="91">
        <v>45803</v>
      </c>
      <c r="M416" s="11">
        <v>45806</v>
      </c>
      <c r="N416" s="18" t="s">
        <v>588</v>
      </c>
      <c r="O416" s="34">
        <v>0</v>
      </c>
      <c r="P416"/>
      <c r="Q416" t="s">
        <v>58</v>
      </c>
      <c r="R416" t="s">
        <v>195</v>
      </c>
      <c r="S416" t="str">
        <f>IFERROR(VLOOKUP(Tabela1[[#This Row],[CC]],CC!$A$1:$H$403,8,0),"")</f>
        <v>OP4</v>
      </c>
    </row>
    <row r="417" spans="1:19" x14ac:dyDescent="0.3">
      <c r="A417" s="25">
        <v>1462</v>
      </c>
      <c r="B417" s="25" t="str">
        <f>IFERROR(VLOOKUP(Tabela1[[#This Row],[CC]],#REF!,5,0),"")</f>
        <v/>
      </c>
      <c r="C417" t="s">
        <v>67</v>
      </c>
      <c r="D417" t="s">
        <v>76</v>
      </c>
      <c r="E417" t="s">
        <v>465</v>
      </c>
      <c r="F417" t="s">
        <v>586</v>
      </c>
      <c r="G417" s="110">
        <v>8275</v>
      </c>
      <c r="H417" s="12">
        <v>45717</v>
      </c>
      <c r="I417" s="24">
        <v>800</v>
      </c>
      <c r="J417" s="24">
        <v>750.8</v>
      </c>
      <c r="K417" s="3">
        <v>45750</v>
      </c>
      <c r="L417" s="91">
        <v>45754</v>
      </c>
      <c r="M417" s="11">
        <v>45754</v>
      </c>
      <c r="N417" s="18" t="s">
        <v>588</v>
      </c>
      <c r="O417" s="35">
        <v>0</v>
      </c>
      <c r="P417" s="26"/>
      <c r="Q417" t="s">
        <v>58</v>
      </c>
      <c r="R417" t="s">
        <v>228</v>
      </c>
      <c r="S417" t="str">
        <f>IFERROR(VLOOKUP(Tabela1[[#This Row],[CC]],CC!$A$1:$H$403,8,0),"")</f>
        <v>OP2</v>
      </c>
    </row>
    <row r="418" spans="1:19" x14ac:dyDescent="0.3">
      <c r="A418" s="8">
        <v>1390</v>
      </c>
      <c r="B418" s="8" t="str">
        <f>IFERROR(VLOOKUP(Tabela1[[#This Row],[CC]],#REF!,5,0),"")</f>
        <v/>
      </c>
      <c r="C418" t="s">
        <v>66</v>
      </c>
      <c r="D418" t="s">
        <v>11</v>
      </c>
      <c r="E418" t="s">
        <v>374</v>
      </c>
      <c r="F418" t="s">
        <v>586</v>
      </c>
      <c r="G418" s="110">
        <v>1260</v>
      </c>
      <c r="H418" s="12">
        <v>45778</v>
      </c>
      <c r="I418" s="24">
        <v>147325.76000000001</v>
      </c>
      <c r="J418" s="10">
        <v>130162.3</v>
      </c>
      <c r="K418" s="3">
        <v>45814</v>
      </c>
      <c r="L418" s="91">
        <v>45887</v>
      </c>
      <c r="M418" s="11">
        <v>45890</v>
      </c>
      <c r="N418" s="18" t="s">
        <v>588</v>
      </c>
      <c r="O418" s="54"/>
      <c r="P418"/>
      <c r="Q418" t="s">
        <v>58</v>
      </c>
      <c r="R418" t="s">
        <v>183</v>
      </c>
      <c r="S418" t="str">
        <f>IFERROR(VLOOKUP(Tabela1[[#This Row],[CC]],CC!$A$1:$H$403,8,0),"")</f>
        <v>OP2</v>
      </c>
    </row>
    <row r="419" spans="1:19" x14ac:dyDescent="0.3">
      <c r="A419" s="13">
        <v>1260</v>
      </c>
      <c r="B419" s="13" t="str">
        <f>IFERROR(VLOOKUP(Tabela1[[#This Row],[CC]],#REF!,5,0),"")</f>
        <v/>
      </c>
      <c r="C419" t="s">
        <v>51</v>
      </c>
      <c r="D419" t="s">
        <v>39</v>
      </c>
      <c r="E419" t="s">
        <v>227</v>
      </c>
      <c r="F419" t="s">
        <v>586</v>
      </c>
      <c r="G419" s="110">
        <v>3935</v>
      </c>
      <c r="H419" s="12">
        <v>45717</v>
      </c>
      <c r="I419" s="24">
        <v>10914</v>
      </c>
      <c r="J419" s="24">
        <v>10242.790000000001</v>
      </c>
      <c r="K419" s="3">
        <v>45748</v>
      </c>
      <c r="L419" s="91">
        <v>45768</v>
      </c>
      <c r="M419" s="11">
        <v>45770</v>
      </c>
      <c r="N419" s="19" t="s">
        <v>588</v>
      </c>
      <c r="O419" s="34">
        <v>0</v>
      </c>
      <c r="P419"/>
      <c r="Q419" t="s">
        <v>55</v>
      </c>
      <c r="R419" t="s">
        <v>228</v>
      </c>
      <c r="S419" t="str">
        <f>IFERROR(VLOOKUP(Tabela1[[#This Row],[CC]],CC!$A$1:$H$403,8,0),"")</f>
        <v>OP2</v>
      </c>
    </row>
    <row r="420" spans="1:19" x14ac:dyDescent="0.3">
      <c r="A420" s="25">
        <v>1487</v>
      </c>
      <c r="B420" s="25" t="str">
        <f>IFERROR(VLOOKUP(Tabela1[[#This Row],[CC]],#REF!,5,0),"")</f>
        <v/>
      </c>
      <c r="C420" t="s">
        <v>51</v>
      </c>
      <c r="D420" t="s">
        <v>23</v>
      </c>
      <c r="E420" t="s">
        <v>492</v>
      </c>
      <c r="F420" t="s">
        <v>586</v>
      </c>
      <c r="G420" s="110">
        <v>3937</v>
      </c>
      <c r="H420" s="12">
        <v>45717</v>
      </c>
      <c r="I420" s="24">
        <v>3198</v>
      </c>
      <c r="J420" s="24">
        <v>3001.32</v>
      </c>
      <c r="K420" s="3">
        <v>45748</v>
      </c>
      <c r="L420" s="91">
        <v>45778</v>
      </c>
      <c r="M420" s="11">
        <v>45779</v>
      </c>
      <c r="N420" s="18" t="s">
        <v>588</v>
      </c>
      <c r="O420" s="35">
        <v>0</v>
      </c>
      <c r="P420" s="26"/>
      <c r="Q420" t="s">
        <v>57</v>
      </c>
      <c r="R420" t="s">
        <v>231</v>
      </c>
      <c r="S420" t="str">
        <f>IFERROR(VLOOKUP(Tabela1[[#This Row],[CC]],CC!$A$1:$H$403,8,0),"")</f>
        <v>OP2</v>
      </c>
    </row>
    <row r="421" spans="1:19" x14ac:dyDescent="0.3">
      <c r="A421" s="25">
        <v>1485</v>
      </c>
      <c r="B421" s="25" t="str">
        <f>IFERROR(VLOOKUP(Tabela1[[#This Row],[CC]],#REF!,5,0),"")</f>
        <v/>
      </c>
      <c r="C421" t="s">
        <v>51</v>
      </c>
      <c r="D421" t="s">
        <v>23</v>
      </c>
      <c r="E421" t="s">
        <v>591</v>
      </c>
      <c r="F421" t="s">
        <v>586</v>
      </c>
      <c r="G421" s="110">
        <v>3944</v>
      </c>
      <c r="H421" s="12">
        <v>45717</v>
      </c>
      <c r="I421" s="24">
        <v>30030.639999999999</v>
      </c>
      <c r="J421" s="24">
        <v>28183.75</v>
      </c>
      <c r="K421" s="3">
        <v>45751</v>
      </c>
      <c r="L421" s="91">
        <v>45810</v>
      </c>
      <c r="M421" s="11">
        <v>45810</v>
      </c>
      <c r="N421" s="18" t="s">
        <v>588</v>
      </c>
      <c r="O421" s="35"/>
      <c r="P421" s="26"/>
      <c r="Q421" t="s">
        <v>55</v>
      </c>
      <c r="R421" t="s">
        <v>231</v>
      </c>
      <c r="S421" t="str">
        <f>IFERROR(VLOOKUP(Tabela1[[#This Row],[CC]],CC!$A$1:$H$403,8,0),"")</f>
        <v>OP2</v>
      </c>
    </row>
    <row r="422" spans="1:19" x14ac:dyDescent="0.3">
      <c r="A422" s="8">
        <v>1482</v>
      </c>
      <c r="B422" s="8" t="str">
        <f>IFERROR(VLOOKUP(Tabela1[[#This Row],[CC]],#REF!,5,0),"")</f>
        <v/>
      </c>
      <c r="C422" t="s">
        <v>66</v>
      </c>
      <c r="D422" t="s">
        <v>16</v>
      </c>
      <c r="E422" t="s">
        <v>487</v>
      </c>
      <c r="F422" t="s">
        <v>586</v>
      </c>
      <c r="G422" s="110">
        <v>8289</v>
      </c>
      <c r="H422" s="12">
        <v>45717</v>
      </c>
      <c r="I422" s="24">
        <v>39000</v>
      </c>
      <c r="J422" s="24">
        <v>35236.5</v>
      </c>
      <c r="K422" s="3">
        <v>45754</v>
      </c>
      <c r="L422" s="91">
        <v>45782</v>
      </c>
      <c r="M422" s="11">
        <v>45782</v>
      </c>
      <c r="N422" s="36" t="s">
        <v>588</v>
      </c>
      <c r="O422" s="42"/>
      <c r="P422" s="14"/>
      <c r="Q422" t="s">
        <v>58</v>
      </c>
      <c r="R422" t="s">
        <v>183</v>
      </c>
      <c r="S422" t="str">
        <f>IFERROR(VLOOKUP(Tabela1[[#This Row],[CC]],CC!$A$1:$H$403,8,0),"")</f>
        <v>OP2</v>
      </c>
    </row>
    <row r="423" spans="1:19" x14ac:dyDescent="0.3">
      <c r="A423" s="25">
        <v>1262</v>
      </c>
      <c r="B423" s="25" t="str">
        <f>IFERROR(VLOOKUP(Tabela1[[#This Row],[CC]],#REF!,5,0),"")</f>
        <v/>
      </c>
      <c r="C423" t="s">
        <v>51</v>
      </c>
      <c r="D423" t="s">
        <v>25</v>
      </c>
      <c r="E423" t="s">
        <v>230</v>
      </c>
      <c r="F423" t="s">
        <v>586</v>
      </c>
      <c r="G423" s="110">
        <v>3978</v>
      </c>
      <c r="H423" s="12">
        <v>45717</v>
      </c>
      <c r="I423" s="24">
        <v>7575.9</v>
      </c>
      <c r="J423" s="24">
        <v>7109.98</v>
      </c>
      <c r="K423" s="3">
        <v>45764</v>
      </c>
      <c r="L423" s="91">
        <v>45775</v>
      </c>
      <c r="M423" s="11">
        <v>45776</v>
      </c>
      <c r="N423" s="18" t="s">
        <v>588</v>
      </c>
      <c r="O423" s="35">
        <v>0</v>
      </c>
      <c r="P423" s="26"/>
      <c r="Q423" t="s">
        <v>55</v>
      </c>
      <c r="R423" t="s">
        <v>231</v>
      </c>
      <c r="S423" t="str">
        <f>IFERROR(VLOOKUP(Tabela1[[#This Row],[CC]],CC!$A$1:$H$403,8,0),"")</f>
        <v>OP2</v>
      </c>
    </row>
    <row r="424" spans="1:19" x14ac:dyDescent="0.3">
      <c r="A424" s="25">
        <v>1262</v>
      </c>
      <c r="B424" s="25" t="str">
        <f>IFERROR(VLOOKUP(Tabela1[[#This Row],[CC]],#REF!,5,0),"")</f>
        <v/>
      </c>
      <c r="C424" t="s">
        <v>51</v>
      </c>
      <c r="D424" t="s">
        <v>25</v>
      </c>
      <c r="E424" t="s">
        <v>230</v>
      </c>
      <c r="F424" t="s">
        <v>586</v>
      </c>
      <c r="G424" s="110">
        <v>3975</v>
      </c>
      <c r="H424" s="12">
        <v>45717</v>
      </c>
      <c r="I424" s="24">
        <v>63476.98</v>
      </c>
      <c r="J424" s="24">
        <v>59573.15</v>
      </c>
      <c r="K424" s="3">
        <v>45764</v>
      </c>
      <c r="L424" s="91">
        <v>45775</v>
      </c>
      <c r="M424" s="11">
        <v>45776</v>
      </c>
      <c r="N424" s="18" t="s">
        <v>588</v>
      </c>
      <c r="O424" s="35">
        <v>0</v>
      </c>
      <c r="P424" s="26"/>
      <c r="Q424" t="s">
        <v>55</v>
      </c>
      <c r="R424" t="s">
        <v>231</v>
      </c>
      <c r="S424" t="str">
        <f>IFERROR(VLOOKUP(Tabela1[[#This Row],[CC]],CC!$A$1:$H$403,8,0),"")</f>
        <v>OP2</v>
      </c>
    </row>
    <row r="425" spans="1:19" x14ac:dyDescent="0.3">
      <c r="A425" s="25">
        <v>1262</v>
      </c>
      <c r="B425" s="25" t="str">
        <f>IFERROR(VLOOKUP(Tabela1[[#This Row],[CC]],#REF!,5,0),"")</f>
        <v/>
      </c>
      <c r="C425" t="s">
        <v>51</v>
      </c>
      <c r="D425" t="s">
        <v>25</v>
      </c>
      <c r="E425" t="s">
        <v>230</v>
      </c>
      <c r="F425" t="s">
        <v>586</v>
      </c>
      <c r="G425" s="110">
        <v>3974</v>
      </c>
      <c r="H425" s="12">
        <v>45717</v>
      </c>
      <c r="I425" s="24">
        <v>17677.099999999999</v>
      </c>
      <c r="J425" s="24">
        <v>16589.96</v>
      </c>
      <c r="K425" s="3">
        <v>45764</v>
      </c>
      <c r="L425" s="91">
        <v>45775</v>
      </c>
      <c r="M425" s="11">
        <v>45776</v>
      </c>
      <c r="N425" s="18" t="s">
        <v>588</v>
      </c>
      <c r="O425" s="35">
        <v>0</v>
      </c>
      <c r="P425" s="26"/>
      <c r="Q425" t="s">
        <v>55</v>
      </c>
      <c r="R425" t="s">
        <v>231</v>
      </c>
      <c r="S425" t="str">
        <f>IFERROR(VLOOKUP(Tabela1[[#This Row],[CC]],CC!$A$1:$H$403,8,0),"")</f>
        <v>OP2</v>
      </c>
    </row>
    <row r="426" spans="1:19" x14ac:dyDescent="0.3">
      <c r="A426" s="25">
        <v>1262</v>
      </c>
      <c r="B426" s="25" t="str">
        <f>IFERROR(VLOOKUP(Tabela1[[#This Row],[CC]],#REF!,5,0),"")</f>
        <v/>
      </c>
      <c r="C426" t="s">
        <v>51</v>
      </c>
      <c r="D426" t="s">
        <v>25</v>
      </c>
      <c r="E426" t="s">
        <v>230</v>
      </c>
      <c r="F426" t="s">
        <v>586</v>
      </c>
      <c r="G426" s="110">
        <v>3973</v>
      </c>
      <c r="H426" s="12">
        <v>45717</v>
      </c>
      <c r="I426" s="24">
        <v>19709.759999999998</v>
      </c>
      <c r="J426" s="24">
        <v>18497.61</v>
      </c>
      <c r="K426" s="3">
        <v>45764</v>
      </c>
      <c r="L426" s="91">
        <v>45775</v>
      </c>
      <c r="M426" s="11">
        <v>45776</v>
      </c>
      <c r="N426" s="18" t="s">
        <v>588</v>
      </c>
      <c r="O426" s="35">
        <v>0</v>
      </c>
      <c r="P426" s="26"/>
      <c r="Q426" t="s">
        <v>55</v>
      </c>
      <c r="R426" t="s">
        <v>231</v>
      </c>
      <c r="S426" t="str">
        <f>IFERROR(VLOOKUP(Tabela1[[#This Row],[CC]],CC!$A$1:$H$403,8,0),"")</f>
        <v>OP2</v>
      </c>
    </row>
    <row r="427" spans="1:19" x14ac:dyDescent="0.3">
      <c r="A427" s="25">
        <v>1262</v>
      </c>
      <c r="B427" s="25" t="str">
        <f>IFERROR(VLOOKUP(Tabela1[[#This Row],[CC]],#REF!,5,0),"")</f>
        <v/>
      </c>
      <c r="C427" t="s">
        <v>51</v>
      </c>
      <c r="D427" t="s">
        <v>25</v>
      </c>
      <c r="E427" t="s">
        <v>230</v>
      </c>
      <c r="F427" t="s">
        <v>586</v>
      </c>
      <c r="G427" s="110">
        <v>3972</v>
      </c>
      <c r="H427" s="12">
        <v>45717</v>
      </c>
      <c r="I427" s="24">
        <v>14677.24</v>
      </c>
      <c r="J427" s="24">
        <v>13774.59</v>
      </c>
      <c r="K427" s="3">
        <v>45764</v>
      </c>
      <c r="L427" s="91">
        <v>45775</v>
      </c>
      <c r="M427" s="11">
        <v>45776</v>
      </c>
      <c r="N427" s="18" t="s">
        <v>588</v>
      </c>
      <c r="O427" s="35">
        <v>0</v>
      </c>
      <c r="P427" s="26"/>
      <c r="Q427" t="s">
        <v>55</v>
      </c>
      <c r="R427" t="s">
        <v>231</v>
      </c>
      <c r="S427" t="str">
        <f>IFERROR(VLOOKUP(Tabela1[[#This Row],[CC]],CC!$A$1:$H$403,8,0),"")</f>
        <v>OP2</v>
      </c>
    </row>
    <row r="428" spans="1:19" x14ac:dyDescent="0.3">
      <c r="A428" s="8">
        <v>1269</v>
      </c>
      <c r="B428" s="8" t="str">
        <f>IFERROR(VLOOKUP(Tabela1[[#This Row],[CC]],#REF!,5,0),"")</f>
        <v/>
      </c>
      <c r="C428" t="s">
        <v>51</v>
      </c>
      <c r="D428" t="s">
        <v>25</v>
      </c>
      <c r="E428" t="s">
        <v>239</v>
      </c>
      <c r="F428" t="s">
        <v>586</v>
      </c>
      <c r="G428" s="110">
        <v>3980</v>
      </c>
      <c r="H428" s="12">
        <v>45717</v>
      </c>
      <c r="I428" s="24">
        <v>6655.99</v>
      </c>
      <c r="J428" s="24">
        <v>6246.65</v>
      </c>
      <c r="K428" s="3">
        <v>45764</v>
      </c>
      <c r="L428" s="91">
        <v>45775</v>
      </c>
      <c r="M428" s="11">
        <v>45776</v>
      </c>
      <c r="N428" s="18" t="s">
        <v>588</v>
      </c>
      <c r="O428" s="34">
        <v>0</v>
      </c>
      <c r="P428" s="14"/>
      <c r="Q428" t="s">
        <v>58</v>
      </c>
      <c r="R428" t="s">
        <v>231</v>
      </c>
      <c r="S428" t="str">
        <f>IFERROR(VLOOKUP(Tabela1[[#This Row],[CC]],CC!$A$1:$H$403,8,0),"")</f>
        <v>OP2</v>
      </c>
    </row>
    <row r="429" spans="1:19" x14ac:dyDescent="0.3">
      <c r="A429" s="8">
        <v>1269</v>
      </c>
      <c r="B429" s="8" t="str">
        <f>IFERROR(VLOOKUP(Tabela1[[#This Row],[CC]],#REF!,5,0),"")</f>
        <v/>
      </c>
      <c r="C429" t="s">
        <v>51</v>
      </c>
      <c r="D429" t="s">
        <v>25</v>
      </c>
      <c r="E429" t="s">
        <v>239</v>
      </c>
      <c r="F429" t="s">
        <v>586</v>
      </c>
      <c r="G429" s="110">
        <v>3979</v>
      </c>
      <c r="H429" s="12">
        <v>45717</v>
      </c>
      <c r="I429" s="24">
        <v>10876.23</v>
      </c>
      <c r="J429" s="24">
        <v>10207.34</v>
      </c>
      <c r="K429" s="3">
        <v>45764</v>
      </c>
      <c r="L429" s="91">
        <v>45775</v>
      </c>
      <c r="M429" s="11">
        <v>45776</v>
      </c>
      <c r="N429" s="18" t="s">
        <v>588</v>
      </c>
      <c r="O429" s="34">
        <v>0</v>
      </c>
      <c r="P429" s="14"/>
      <c r="Q429" t="s">
        <v>58</v>
      </c>
      <c r="R429" t="s">
        <v>231</v>
      </c>
      <c r="S429" t="str">
        <f>IFERROR(VLOOKUP(Tabela1[[#This Row],[CC]],CC!$A$1:$H$403,8,0),"")</f>
        <v>OP2</v>
      </c>
    </row>
    <row r="430" spans="1:19" x14ac:dyDescent="0.3">
      <c r="A430" s="8">
        <v>1269</v>
      </c>
      <c r="B430" s="8" t="str">
        <f>IFERROR(VLOOKUP(Tabela1[[#This Row],[CC]],#REF!,5,0),"")</f>
        <v/>
      </c>
      <c r="C430" t="s">
        <v>51</v>
      </c>
      <c r="D430" t="s">
        <v>25</v>
      </c>
      <c r="E430" t="s">
        <v>239</v>
      </c>
      <c r="F430" t="s">
        <v>586</v>
      </c>
      <c r="G430" s="110">
        <v>3977</v>
      </c>
      <c r="H430" s="12">
        <v>45717</v>
      </c>
      <c r="I430" s="24">
        <v>30699.4</v>
      </c>
      <c r="J430" s="24">
        <v>28811.39</v>
      </c>
      <c r="K430" s="3">
        <v>45764</v>
      </c>
      <c r="L430" s="91">
        <v>45775</v>
      </c>
      <c r="M430" s="11">
        <v>45776</v>
      </c>
      <c r="N430" s="18" t="s">
        <v>588</v>
      </c>
      <c r="O430" s="34">
        <v>0</v>
      </c>
      <c r="P430" s="14"/>
      <c r="Q430" t="s">
        <v>58</v>
      </c>
      <c r="R430" t="s">
        <v>231</v>
      </c>
      <c r="S430" t="str">
        <f>IFERROR(VLOOKUP(Tabela1[[#This Row],[CC]],CC!$A$1:$H$403,8,0),"")</f>
        <v>OP2</v>
      </c>
    </row>
    <row r="431" spans="1:19" x14ac:dyDescent="0.3">
      <c r="A431" s="8">
        <v>1269</v>
      </c>
      <c r="B431" s="8" t="str">
        <f>IFERROR(VLOOKUP(Tabela1[[#This Row],[CC]],#REF!,5,0),"")</f>
        <v/>
      </c>
      <c r="C431" t="s">
        <v>51</v>
      </c>
      <c r="D431" t="s">
        <v>25</v>
      </c>
      <c r="E431" t="s">
        <v>239</v>
      </c>
      <c r="F431" t="s">
        <v>586</v>
      </c>
      <c r="G431" s="110">
        <v>3976</v>
      </c>
      <c r="H431" s="12">
        <v>45717</v>
      </c>
      <c r="I431" s="24">
        <v>198578.23</v>
      </c>
      <c r="J431" s="24">
        <v>186365.67</v>
      </c>
      <c r="K431" s="3">
        <v>45764</v>
      </c>
      <c r="L431" s="91">
        <v>45775</v>
      </c>
      <c r="M431" s="11">
        <v>45776</v>
      </c>
      <c r="N431" s="18" t="s">
        <v>588</v>
      </c>
      <c r="O431" s="34">
        <v>0</v>
      </c>
      <c r="P431" s="14"/>
      <c r="Q431" t="s">
        <v>58</v>
      </c>
      <c r="R431" t="s">
        <v>231</v>
      </c>
      <c r="S431" t="str">
        <f>IFERROR(VLOOKUP(Tabela1[[#This Row],[CC]],CC!$A$1:$H$403,8,0),"")</f>
        <v>OP2</v>
      </c>
    </row>
    <row r="432" spans="1:19" x14ac:dyDescent="0.3">
      <c r="A432" s="25">
        <v>1400</v>
      </c>
      <c r="B432" s="25" t="str">
        <f>IFERROR(VLOOKUP(Tabela1[[#This Row],[CC]],#REF!,5,0),"")</f>
        <v/>
      </c>
      <c r="C432" t="s">
        <v>64</v>
      </c>
      <c r="D432" t="s">
        <v>4</v>
      </c>
      <c r="E432" t="s">
        <v>385</v>
      </c>
      <c r="F432" t="s">
        <v>586</v>
      </c>
      <c r="G432" s="110">
        <v>8305</v>
      </c>
      <c r="H432" s="12">
        <v>45717</v>
      </c>
      <c r="I432" s="24">
        <v>711481.47</v>
      </c>
      <c r="J432" s="24">
        <v>642823.51</v>
      </c>
      <c r="K432" s="3">
        <v>45762</v>
      </c>
      <c r="L432" s="91">
        <v>45778</v>
      </c>
      <c r="M432" s="11">
        <v>45779</v>
      </c>
      <c r="N432" s="18" t="s">
        <v>588</v>
      </c>
      <c r="O432" s="35">
        <v>0</v>
      </c>
      <c r="P432"/>
      <c r="Q432" t="s">
        <v>55</v>
      </c>
      <c r="R432" t="s">
        <v>183</v>
      </c>
      <c r="S432" t="str">
        <f>IFERROR(VLOOKUP(Tabela1[[#This Row],[CC]],CC!$A$1:$H$403,8,0),"")</f>
        <v>OP1</v>
      </c>
    </row>
    <row r="433" spans="1:19" x14ac:dyDescent="0.3">
      <c r="A433" s="25">
        <v>1400</v>
      </c>
      <c r="B433" s="25" t="str">
        <f>IFERROR(VLOOKUP(Tabela1[[#This Row],[CC]],#REF!,5,0),"")</f>
        <v/>
      </c>
      <c r="C433" t="s">
        <v>64</v>
      </c>
      <c r="D433" t="s">
        <v>4</v>
      </c>
      <c r="E433" t="s">
        <v>385</v>
      </c>
      <c r="F433" t="s">
        <v>586</v>
      </c>
      <c r="G433" s="110">
        <v>8304</v>
      </c>
      <c r="H433" s="12">
        <v>45717</v>
      </c>
      <c r="I433" s="24">
        <v>77751.44</v>
      </c>
      <c r="J433" s="24">
        <v>70248.429999999993</v>
      </c>
      <c r="K433" s="3">
        <v>45762</v>
      </c>
      <c r="L433" s="91">
        <v>45778</v>
      </c>
      <c r="M433" s="11">
        <v>45779</v>
      </c>
      <c r="N433" s="18" t="s">
        <v>588</v>
      </c>
      <c r="O433" s="35">
        <v>0</v>
      </c>
      <c r="P433"/>
      <c r="Q433" t="s">
        <v>55</v>
      </c>
      <c r="R433" t="s">
        <v>183</v>
      </c>
      <c r="S433" t="str">
        <f>IFERROR(VLOOKUP(Tabela1[[#This Row],[CC]],CC!$A$1:$H$403,8,0),"")</f>
        <v>OP1</v>
      </c>
    </row>
    <row r="434" spans="1:19" x14ac:dyDescent="0.3">
      <c r="A434" s="8">
        <v>1366</v>
      </c>
      <c r="B434" s="8" t="str">
        <f>IFERROR(VLOOKUP(Tabela1[[#This Row],[CC]],#REF!,5,0),"")</f>
        <v/>
      </c>
      <c r="C434" t="s">
        <v>64</v>
      </c>
      <c r="D434" t="s">
        <v>4</v>
      </c>
      <c r="E434" t="s">
        <v>345</v>
      </c>
      <c r="F434" t="s">
        <v>586</v>
      </c>
      <c r="G434" s="110">
        <v>1244</v>
      </c>
      <c r="H434" s="12">
        <v>45717</v>
      </c>
      <c r="I434" s="10">
        <v>347113.33</v>
      </c>
      <c r="J434" s="10">
        <v>313616.84999999998</v>
      </c>
      <c r="K434" s="3">
        <v>45763</v>
      </c>
      <c r="L434" s="91">
        <v>45778</v>
      </c>
      <c r="M434" s="11">
        <v>45779</v>
      </c>
      <c r="N434" s="18" t="s">
        <v>588</v>
      </c>
      <c r="O434" s="34">
        <v>0</v>
      </c>
      <c r="P434"/>
      <c r="Q434" t="s">
        <v>58</v>
      </c>
      <c r="R434" t="s">
        <v>183</v>
      </c>
      <c r="S434" t="str">
        <f>IFERROR(VLOOKUP(Tabela1[[#This Row],[CC]],CC!$A$1:$H$403,8,0),"")</f>
        <v>OP1</v>
      </c>
    </row>
    <row r="435" spans="1:19" x14ac:dyDescent="0.3">
      <c r="A435" s="8">
        <v>1388</v>
      </c>
      <c r="B435" s="8" t="str">
        <f>IFERROR(VLOOKUP(Tabela1[[#This Row],[CC]],#REF!,5,0),"")</f>
        <v/>
      </c>
      <c r="C435" t="s">
        <v>64</v>
      </c>
      <c r="D435" t="s">
        <v>4</v>
      </c>
      <c r="E435" t="s">
        <v>373</v>
      </c>
      <c r="F435" t="s">
        <v>586</v>
      </c>
      <c r="G435" s="110">
        <v>3956</v>
      </c>
      <c r="H435" s="12">
        <v>45717</v>
      </c>
      <c r="I435" s="10">
        <v>167338.09</v>
      </c>
      <c r="J435" s="10">
        <v>151189.97</v>
      </c>
      <c r="K435" s="3">
        <v>45757</v>
      </c>
      <c r="L435" s="91">
        <v>45778</v>
      </c>
      <c r="M435" s="11">
        <v>45779</v>
      </c>
      <c r="N435" s="18" t="s">
        <v>588</v>
      </c>
      <c r="O435" s="34">
        <v>0</v>
      </c>
      <c r="P435"/>
      <c r="Q435" t="s">
        <v>55</v>
      </c>
      <c r="R435" t="s">
        <v>183</v>
      </c>
      <c r="S435" t="str">
        <f>IFERROR(VLOOKUP(Tabela1[[#This Row],[CC]],CC!$A$1:$H$403,8,0),"")</f>
        <v>OP1</v>
      </c>
    </row>
    <row r="436" spans="1:19" x14ac:dyDescent="0.3">
      <c r="A436" s="8">
        <v>1298</v>
      </c>
      <c r="B436" s="8" t="str">
        <f>IFERROR(VLOOKUP(Tabela1[[#This Row],[CC]],#REF!,5,0),"")</f>
        <v/>
      </c>
      <c r="C436" t="str">
        <f>IFERROR(VLOOKUP(Tabela1[[#This Row],[CC]],CC!$A$1:$H$389,7,0),"")</f>
        <v>JOSÉ NETO</v>
      </c>
      <c r="D436" t="s">
        <v>17</v>
      </c>
      <c r="E436" t="s">
        <v>273</v>
      </c>
      <c r="F436" t="s">
        <v>586</v>
      </c>
      <c r="G436" s="110">
        <v>1243</v>
      </c>
      <c r="H436" s="12">
        <v>45717</v>
      </c>
      <c r="I436" s="24">
        <v>275594.28999999998</v>
      </c>
      <c r="J436" s="24">
        <v>258645.25</v>
      </c>
      <c r="K436" s="3">
        <v>45762</v>
      </c>
      <c r="L436" s="91">
        <v>45775</v>
      </c>
      <c r="M436" s="11">
        <v>45777</v>
      </c>
      <c r="N436" s="18" t="s">
        <v>588</v>
      </c>
      <c r="O436" s="34">
        <v>0</v>
      </c>
      <c r="P436"/>
      <c r="Q436" t="s">
        <v>58</v>
      </c>
      <c r="R436" t="s">
        <v>195</v>
      </c>
      <c r="S436" t="str">
        <f>IFERROR(VLOOKUP(Tabela1[[#This Row],[CC]],CC!$A$1:$H$403,8,0),"")</f>
        <v>OP2</v>
      </c>
    </row>
    <row r="437" spans="1:19" x14ac:dyDescent="0.3">
      <c r="A437" s="8">
        <v>1289</v>
      </c>
      <c r="B437" s="8" t="str">
        <f>IFERROR(VLOOKUP(Tabela1[[#This Row],[CC]],#REF!,5,0),"")</f>
        <v/>
      </c>
      <c r="C437" t="s">
        <v>60</v>
      </c>
      <c r="D437" t="s">
        <v>15</v>
      </c>
      <c r="E437" t="s">
        <v>263</v>
      </c>
      <c r="F437" t="s">
        <v>586</v>
      </c>
      <c r="G437" s="110">
        <v>8293</v>
      </c>
      <c r="H437" s="12">
        <v>45717</v>
      </c>
      <c r="I437" s="24">
        <v>288674.12</v>
      </c>
      <c r="J437" s="10">
        <v>269044.28000000003</v>
      </c>
      <c r="K437" s="3">
        <v>45756</v>
      </c>
      <c r="L437" s="91">
        <v>45775</v>
      </c>
      <c r="M437" s="11">
        <v>45777</v>
      </c>
      <c r="N437" s="18" t="s">
        <v>588</v>
      </c>
      <c r="O437" s="34"/>
      <c r="P437"/>
      <c r="Q437" t="s">
        <v>58</v>
      </c>
      <c r="R437" t="s">
        <v>195</v>
      </c>
      <c r="S437" t="str">
        <f>IFERROR(VLOOKUP(Tabela1[[#This Row],[CC]],CC!$A$1:$H$403,8,0),"")</f>
        <v>OP3</v>
      </c>
    </row>
    <row r="438" spans="1:19" x14ac:dyDescent="0.3">
      <c r="A438" s="25">
        <v>1288</v>
      </c>
      <c r="B438" s="25" t="str">
        <f>IFERROR(VLOOKUP(Tabela1[[#This Row],[CC]],#REF!,5,0),"")</f>
        <v/>
      </c>
      <c r="C438" t="s">
        <v>60</v>
      </c>
      <c r="D438" t="s">
        <v>15</v>
      </c>
      <c r="E438" t="s">
        <v>262</v>
      </c>
      <c r="F438" t="s">
        <v>586</v>
      </c>
      <c r="G438" s="110">
        <v>8292</v>
      </c>
      <c r="H438" s="12">
        <v>45717</v>
      </c>
      <c r="I438" s="24">
        <v>379368</v>
      </c>
      <c r="J438" s="24">
        <v>353570.98</v>
      </c>
      <c r="K438" s="3">
        <v>45756</v>
      </c>
      <c r="L438" s="91">
        <v>45775</v>
      </c>
      <c r="M438" s="11">
        <v>45775</v>
      </c>
      <c r="N438" s="18" t="s">
        <v>588</v>
      </c>
      <c r="O438" s="35"/>
      <c r="P438"/>
      <c r="Q438" t="s">
        <v>55</v>
      </c>
      <c r="R438" t="s">
        <v>195</v>
      </c>
      <c r="S438" t="str">
        <f>IFERROR(VLOOKUP(Tabela1[[#This Row],[CC]],CC!$A$1:$H$403,8,0),"")</f>
        <v>OP3</v>
      </c>
    </row>
    <row r="439" spans="1:19" x14ac:dyDescent="0.3">
      <c r="A439" s="8">
        <v>1271</v>
      </c>
      <c r="B439" s="8" t="str">
        <f>IFERROR(VLOOKUP(Tabela1[[#This Row],[CC]],#REF!,5,0),"")</f>
        <v/>
      </c>
      <c r="C439" t="s">
        <v>60</v>
      </c>
      <c r="D439" t="s">
        <v>15</v>
      </c>
      <c r="E439" t="s">
        <v>242</v>
      </c>
      <c r="F439" t="s">
        <v>586</v>
      </c>
      <c r="G439" s="110">
        <v>8294</v>
      </c>
      <c r="H439" s="12">
        <v>45717</v>
      </c>
      <c r="I439" s="10">
        <v>255597.54</v>
      </c>
      <c r="J439" s="10">
        <v>238216.91</v>
      </c>
      <c r="K439" s="3">
        <v>45756</v>
      </c>
      <c r="L439" s="91">
        <v>45768</v>
      </c>
      <c r="M439" s="11">
        <v>45772</v>
      </c>
      <c r="N439" s="18" t="s">
        <v>588</v>
      </c>
      <c r="O439" s="34">
        <v>0</v>
      </c>
      <c r="P439"/>
      <c r="Q439" t="s">
        <v>58</v>
      </c>
      <c r="R439" t="s">
        <v>195</v>
      </c>
      <c r="S439" t="str">
        <f>IFERROR(VLOOKUP(Tabela1[[#This Row],[CC]],CC!$A$1:$H$403,8,0),"")</f>
        <v>OP3</v>
      </c>
    </row>
    <row r="440" spans="1:19" x14ac:dyDescent="0.3">
      <c r="A440" s="8">
        <v>1299</v>
      </c>
      <c r="B440" s="8" t="str">
        <f>IFERROR(VLOOKUP(Tabela1[[#This Row],[CC]],#REF!,5,0),"")</f>
        <v/>
      </c>
      <c r="C440" t="s">
        <v>60</v>
      </c>
      <c r="D440" t="s">
        <v>15</v>
      </c>
      <c r="E440" t="s">
        <v>274</v>
      </c>
      <c r="F440" t="s">
        <v>586</v>
      </c>
      <c r="G440" s="110">
        <v>8299</v>
      </c>
      <c r="H440" s="12">
        <v>45717</v>
      </c>
      <c r="I440" s="10">
        <v>1020096</v>
      </c>
      <c r="J440" s="10">
        <v>950729.47</v>
      </c>
      <c r="K440" s="3">
        <v>45758</v>
      </c>
      <c r="L440" s="91">
        <v>45775</v>
      </c>
      <c r="M440" s="11">
        <v>45777</v>
      </c>
      <c r="N440" s="18" t="s">
        <v>588</v>
      </c>
      <c r="O440" s="53">
        <v>0</v>
      </c>
      <c r="P440" s="14"/>
      <c r="Q440" t="s">
        <v>55</v>
      </c>
      <c r="R440" t="s">
        <v>195</v>
      </c>
      <c r="S440" t="str">
        <f>IFERROR(VLOOKUP(Tabela1[[#This Row],[CC]],CC!$A$1:$H$403,8,0),"")</f>
        <v>OP3</v>
      </c>
    </row>
    <row r="441" spans="1:19" x14ac:dyDescent="0.3">
      <c r="A441" s="25">
        <v>1394</v>
      </c>
      <c r="B441" s="25" t="str">
        <f>IFERROR(VLOOKUP(Tabela1[[#This Row],[CC]],#REF!,5,0),"")</f>
        <v/>
      </c>
      <c r="C441" t="s">
        <v>65</v>
      </c>
      <c r="D441" t="s">
        <v>18</v>
      </c>
      <c r="E441" t="s">
        <v>378</v>
      </c>
      <c r="F441" t="s">
        <v>586</v>
      </c>
      <c r="G441" s="110">
        <v>8290</v>
      </c>
      <c r="H441" s="12">
        <v>45717</v>
      </c>
      <c r="I441" s="24">
        <v>73671.48</v>
      </c>
      <c r="J441" s="24">
        <v>68661.820000000007</v>
      </c>
      <c r="K441" s="3">
        <v>45754</v>
      </c>
      <c r="L441" s="91">
        <v>45761</v>
      </c>
      <c r="M441" s="29">
        <v>45763</v>
      </c>
      <c r="N441" s="21" t="s">
        <v>588</v>
      </c>
      <c r="O441" s="35">
        <v>0</v>
      </c>
      <c r="P441" s="26"/>
      <c r="Q441" t="s">
        <v>58</v>
      </c>
      <c r="R441" t="s">
        <v>195</v>
      </c>
      <c r="S441" t="str">
        <f>IFERROR(VLOOKUP(Tabela1[[#This Row],[CC]],CC!$A$1:$H$403,8,0),"")</f>
        <v>OP4</v>
      </c>
    </row>
    <row r="442" spans="1:19" x14ac:dyDescent="0.3">
      <c r="A442" s="8">
        <v>1394</v>
      </c>
      <c r="B442" s="8" t="str">
        <f>IFERROR(VLOOKUP(Tabela1[[#This Row],[CC]],#REF!,5,0),"")</f>
        <v/>
      </c>
      <c r="C442" t="s">
        <v>65</v>
      </c>
      <c r="D442" t="s">
        <v>18</v>
      </c>
      <c r="E442" t="s">
        <v>378</v>
      </c>
      <c r="F442" t="s">
        <v>586</v>
      </c>
      <c r="G442" s="110">
        <v>8298</v>
      </c>
      <c r="H442" s="12">
        <v>45717</v>
      </c>
      <c r="I442" s="24">
        <v>85000</v>
      </c>
      <c r="J442" s="24">
        <v>79220</v>
      </c>
      <c r="K442" s="3">
        <v>45757</v>
      </c>
      <c r="L442" s="91">
        <v>45775</v>
      </c>
      <c r="M442" s="5">
        <v>45777</v>
      </c>
      <c r="N442" s="21" t="s">
        <v>588</v>
      </c>
      <c r="O442" s="54">
        <v>0</v>
      </c>
      <c r="P442" s="14"/>
      <c r="Q442" t="s">
        <v>58</v>
      </c>
      <c r="R442" t="s">
        <v>195</v>
      </c>
      <c r="S442" t="str">
        <f>IFERROR(VLOOKUP(Tabela1[[#This Row],[CC]],CC!$A$1:$H$403,8,0),"")</f>
        <v>OP4</v>
      </c>
    </row>
    <row r="443" spans="1:19" x14ac:dyDescent="0.3">
      <c r="A443" s="8">
        <v>1394</v>
      </c>
      <c r="B443" s="8" t="str">
        <f>IFERROR(VLOOKUP(Tabela1[[#This Row],[CC]],#REF!,5,0),"")</f>
        <v/>
      </c>
      <c r="C443" t="s">
        <v>65</v>
      </c>
      <c r="D443" t="s">
        <v>18</v>
      </c>
      <c r="E443" t="s">
        <v>378</v>
      </c>
      <c r="F443" t="s">
        <v>586</v>
      </c>
      <c r="G443" s="110">
        <v>8296</v>
      </c>
      <c r="H443" s="12">
        <v>45717</v>
      </c>
      <c r="I443" s="24">
        <v>283355.11</v>
      </c>
      <c r="J443" s="24">
        <v>264086.96000000002</v>
      </c>
      <c r="K443" s="3">
        <v>45757</v>
      </c>
      <c r="L443" s="91">
        <v>45775</v>
      </c>
      <c r="M443" s="11">
        <v>45777</v>
      </c>
      <c r="N443" s="18" t="s">
        <v>588</v>
      </c>
      <c r="O443" s="54">
        <v>0</v>
      </c>
      <c r="P443" s="14"/>
      <c r="Q443" t="s">
        <v>58</v>
      </c>
      <c r="R443" t="s">
        <v>195</v>
      </c>
      <c r="S443" t="str">
        <f>IFERROR(VLOOKUP(Tabela1[[#This Row],[CC]],CC!$A$1:$H$403,8,0),"")</f>
        <v>OP4</v>
      </c>
    </row>
    <row r="444" spans="1:19" x14ac:dyDescent="0.3">
      <c r="A444" s="8">
        <v>1394</v>
      </c>
      <c r="B444" s="8" t="str">
        <f>IFERROR(VLOOKUP(Tabela1[[#This Row],[CC]],#REF!,5,0),"")</f>
        <v/>
      </c>
      <c r="C444" t="s">
        <v>65</v>
      </c>
      <c r="D444" t="s">
        <v>18</v>
      </c>
      <c r="E444" t="s">
        <v>378</v>
      </c>
      <c r="F444" t="s">
        <v>586</v>
      </c>
      <c r="G444" s="110">
        <v>8295</v>
      </c>
      <c r="H444" s="12">
        <v>45717</v>
      </c>
      <c r="I444" s="24">
        <v>16701.95</v>
      </c>
      <c r="J444" s="24">
        <v>15566.22</v>
      </c>
      <c r="K444" s="3">
        <v>45757</v>
      </c>
      <c r="L444" s="91">
        <v>45778</v>
      </c>
      <c r="M444" s="5">
        <v>45779</v>
      </c>
      <c r="N444" s="21" t="s">
        <v>588</v>
      </c>
      <c r="O444" s="54">
        <v>0</v>
      </c>
      <c r="P444" s="14"/>
      <c r="Q444" t="s">
        <v>58</v>
      </c>
      <c r="R444" t="s">
        <v>195</v>
      </c>
      <c r="S444" t="str">
        <f>IFERROR(VLOOKUP(Tabela1[[#This Row],[CC]],CC!$A$1:$H$403,8,0),"")</f>
        <v>OP4</v>
      </c>
    </row>
    <row r="445" spans="1:19" x14ac:dyDescent="0.3">
      <c r="A445" s="8">
        <v>1394</v>
      </c>
      <c r="B445" s="8" t="str">
        <f>IFERROR(VLOOKUP(Tabela1[[#This Row],[CC]],#REF!,5,0),"")</f>
        <v/>
      </c>
      <c r="C445" t="s">
        <v>65</v>
      </c>
      <c r="D445" t="s">
        <v>18</v>
      </c>
      <c r="E445" t="s">
        <v>378</v>
      </c>
      <c r="F445" t="s">
        <v>586</v>
      </c>
      <c r="G445" s="110">
        <v>8300</v>
      </c>
      <c r="H445" s="12">
        <v>45717</v>
      </c>
      <c r="I445" s="24">
        <v>111600.22</v>
      </c>
      <c r="J445" s="24">
        <v>104011.41</v>
      </c>
      <c r="K445" s="3">
        <v>45758</v>
      </c>
      <c r="L445" s="91">
        <v>45775</v>
      </c>
      <c r="M445" s="5">
        <v>45776</v>
      </c>
      <c r="N445" s="21" t="s">
        <v>588</v>
      </c>
      <c r="O445" s="54">
        <v>0</v>
      </c>
      <c r="P445" s="14"/>
      <c r="Q445" t="s">
        <v>58</v>
      </c>
      <c r="R445" t="s">
        <v>195</v>
      </c>
      <c r="S445" t="str">
        <f>IFERROR(VLOOKUP(Tabela1[[#This Row],[CC]],CC!$A$1:$H$403,8,0),"")</f>
        <v>OP4</v>
      </c>
    </row>
    <row r="446" spans="1:19" x14ac:dyDescent="0.3">
      <c r="A446" s="8">
        <v>1394</v>
      </c>
      <c r="B446" s="8" t="str">
        <f>IFERROR(VLOOKUP(Tabela1[[#This Row],[CC]],#REF!,5,0),"")</f>
        <v/>
      </c>
      <c r="C446" t="s">
        <v>65</v>
      </c>
      <c r="D446" t="s">
        <v>18</v>
      </c>
      <c r="E446" t="s">
        <v>378</v>
      </c>
      <c r="F446" t="s">
        <v>586</v>
      </c>
      <c r="G446" s="110">
        <v>8308</v>
      </c>
      <c r="H446" s="12">
        <v>45717</v>
      </c>
      <c r="I446" s="24">
        <v>134177.92000000001</v>
      </c>
      <c r="J446" s="24">
        <v>125053.82</v>
      </c>
      <c r="K446" s="3">
        <v>45763</v>
      </c>
      <c r="L446" s="91">
        <v>45775</v>
      </c>
      <c r="M446" s="11">
        <v>45777</v>
      </c>
      <c r="N446" s="18" t="s">
        <v>588</v>
      </c>
      <c r="O446" s="54">
        <v>0</v>
      </c>
      <c r="P446" s="14"/>
      <c r="Q446" t="s">
        <v>58</v>
      </c>
      <c r="R446" t="s">
        <v>195</v>
      </c>
      <c r="S446" t="str">
        <f>IFERROR(VLOOKUP(Tabela1[[#This Row],[CC]],CC!$A$1:$H$403,8,0),"")</f>
        <v>OP4</v>
      </c>
    </row>
    <row r="447" spans="1:19" x14ac:dyDescent="0.3">
      <c r="A447" s="8">
        <v>1394</v>
      </c>
      <c r="B447" s="8" t="str">
        <f>IFERROR(VLOOKUP(Tabela1[[#This Row],[CC]],#REF!,5,0),"")</f>
        <v/>
      </c>
      <c r="C447" t="s">
        <v>65</v>
      </c>
      <c r="D447" t="s">
        <v>18</v>
      </c>
      <c r="E447" t="s">
        <v>378</v>
      </c>
      <c r="F447" t="s">
        <v>586</v>
      </c>
      <c r="G447" s="110">
        <v>8370</v>
      </c>
      <c r="H447" s="12">
        <v>45717</v>
      </c>
      <c r="I447" s="24">
        <v>222403.39</v>
      </c>
      <c r="J447" s="24">
        <v>207279.96</v>
      </c>
      <c r="K447" s="3">
        <v>45818</v>
      </c>
      <c r="L447" s="91">
        <v>45831</v>
      </c>
      <c r="M447" s="5">
        <v>45831</v>
      </c>
      <c r="N447" s="21" t="s">
        <v>588</v>
      </c>
      <c r="O447" s="54">
        <v>0</v>
      </c>
      <c r="P447" s="14"/>
      <c r="Q447" t="s">
        <v>58</v>
      </c>
      <c r="R447" t="s">
        <v>195</v>
      </c>
      <c r="S447" t="str">
        <f>IFERROR(VLOOKUP(Tabela1[[#This Row],[CC]],CC!$A$1:$H$403,8,0),"")</f>
        <v>OP4</v>
      </c>
    </row>
    <row r="448" spans="1:19" x14ac:dyDescent="0.3">
      <c r="A448" s="8">
        <v>1394</v>
      </c>
      <c r="B448" s="8" t="str">
        <f>IFERROR(VLOOKUP(Tabela1[[#This Row],[CC]],#REF!,5,0),"")</f>
        <v/>
      </c>
      <c r="C448" t="s">
        <v>65</v>
      </c>
      <c r="D448" t="s">
        <v>18</v>
      </c>
      <c r="E448" t="s">
        <v>378</v>
      </c>
      <c r="F448" t="s">
        <v>586</v>
      </c>
      <c r="G448" s="110">
        <v>8310</v>
      </c>
      <c r="H448" s="12">
        <v>45717</v>
      </c>
      <c r="I448" s="24">
        <v>127355.8</v>
      </c>
      <c r="J448" s="24">
        <v>118695.6</v>
      </c>
      <c r="K448" s="3">
        <v>45770</v>
      </c>
      <c r="L448" s="91">
        <v>45775</v>
      </c>
      <c r="M448" s="11">
        <v>45777</v>
      </c>
      <c r="N448" s="18" t="s">
        <v>588</v>
      </c>
      <c r="O448" s="54">
        <v>0</v>
      </c>
      <c r="P448" s="14"/>
      <c r="Q448" t="s">
        <v>58</v>
      </c>
      <c r="R448" t="s">
        <v>195</v>
      </c>
      <c r="S448" t="str">
        <f>IFERROR(VLOOKUP(Tabela1[[#This Row],[CC]],CC!$A$1:$H$403,8,0),"")</f>
        <v>OP4</v>
      </c>
    </row>
    <row r="449" spans="1:19" x14ac:dyDescent="0.3">
      <c r="A449" s="25">
        <v>1360</v>
      </c>
      <c r="B449" s="25" t="str">
        <f>IFERROR(VLOOKUP(Tabela1[[#This Row],[CC]],#REF!,5,0),"")</f>
        <v/>
      </c>
      <c r="C449" t="s">
        <v>32</v>
      </c>
      <c r="D449" t="s">
        <v>24</v>
      </c>
      <c r="E449" t="s">
        <v>338</v>
      </c>
      <c r="F449" t="s">
        <v>586</v>
      </c>
      <c r="G449" s="110">
        <v>3914</v>
      </c>
      <c r="H449" s="12">
        <v>45717</v>
      </c>
      <c r="I449" s="24">
        <v>32366.880000000001</v>
      </c>
      <c r="J449" s="24">
        <v>30376.32</v>
      </c>
      <c r="K449" s="3">
        <v>45735</v>
      </c>
      <c r="L449" s="91">
        <v>45775</v>
      </c>
      <c r="M449" s="11">
        <v>45777</v>
      </c>
      <c r="N449" s="18" t="s">
        <v>588</v>
      </c>
      <c r="O449" s="35"/>
      <c r="P449"/>
      <c r="Q449" t="s">
        <v>55</v>
      </c>
      <c r="R449" t="s">
        <v>231</v>
      </c>
      <c r="S449" t="str">
        <f>IFERROR(VLOOKUP(Tabela1[[#This Row],[CC]],CC!$A$1:$H$403,8,0),"")</f>
        <v>OP1</v>
      </c>
    </row>
    <row r="450" spans="1:19" x14ac:dyDescent="0.3">
      <c r="A450" s="25">
        <v>1360</v>
      </c>
      <c r="B450" s="25" t="str">
        <f>IFERROR(VLOOKUP(Tabela1[[#This Row],[CC]],#REF!,5,0),"")</f>
        <v/>
      </c>
      <c r="C450" t="s">
        <v>32</v>
      </c>
      <c r="D450" t="s">
        <v>24</v>
      </c>
      <c r="E450" t="s">
        <v>338</v>
      </c>
      <c r="F450" t="s">
        <v>586</v>
      </c>
      <c r="G450" s="110">
        <v>3913</v>
      </c>
      <c r="H450" s="12">
        <v>45717</v>
      </c>
      <c r="I450" s="24">
        <v>17488.8</v>
      </c>
      <c r="J450" s="24">
        <v>16413.240000000002</v>
      </c>
      <c r="K450" s="3">
        <v>45735</v>
      </c>
      <c r="L450" s="91">
        <v>45775</v>
      </c>
      <c r="M450" s="11">
        <v>45777</v>
      </c>
      <c r="N450" s="18" t="s">
        <v>588</v>
      </c>
      <c r="O450" s="35"/>
      <c r="P450"/>
      <c r="Q450" t="s">
        <v>55</v>
      </c>
      <c r="R450" t="s">
        <v>231</v>
      </c>
      <c r="S450" t="str">
        <f>IFERROR(VLOOKUP(Tabela1[[#This Row],[CC]],CC!$A$1:$H$403,8,0),"")</f>
        <v>OP1</v>
      </c>
    </row>
    <row r="451" spans="1:19" x14ac:dyDescent="0.3">
      <c r="A451" s="25">
        <v>1360</v>
      </c>
      <c r="B451" s="25" t="str">
        <f>IFERROR(VLOOKUP(Tabela1[[#This Row],[CC]],#REF!,5,0),"")</f>
        <v/>
      </c>
      <c r="C451" t="s">
        <v>32</v>
      </c>
      <c r="D451" t="s">
        <v>24</v>
      </c>
      <c r="E451" t="s">
        <v>338</v>
      </c>
      <c r="F451" t="s">
        <v>586</v>
      </c>
      <c r="G451" s="110">
        <v>3912</v>
      </c>
      <c r="H451" s="12">
        <v>45717</v>
      </c>
      <c r="I451" s="24">
        <v>23033.09</v>
      </c>
      <c r="J451" s="24">
        <v>21616.55</v>
      </c>
      <c r="K451" s="3">
        <v>45735</v>
      </c>
      <c r="L451" s="91">
        <v>45775</v>
      </c>
      <c r="M451" s="11">
        <v>45777</v>
      </c>
      <c r="N451" s="18" t="s">
        <v>588</v>
      </c>
      <c r="O451" s="35"/>
      <c r="P451"/>
      <c r="Q451" t="s">
        <v>55</v>
      </c>
      <c r="R451" t="s">
        <v>231</v>
      </c>
      <c r="S451" t="str">
        <f>IFERROR(VLOOKUP(Tabela1[[#This Row],[CC]],CC!$A$1:$H$403,8,0),"")</f>
        <v>OP1</v>
      </c>
    </row>
    <row r="452" spans="1:19" x14ac:dyDescent="0.3">
      <c r="A452" s="25">
        <v>1360</v>
      </c>
      <c r="B452" s="25" t="str">
        <f>IFERROR(VLOOKUP(Tabela1[[#This Row],[CC]],#REF!,5,0),"")</f>
        <v/>
      </c>
      <c r="C452" t="s">
        <v>32</v>
      </c>
      <c r="D452" t="s">
        <v>24</v>
      </c>
      <c r="E452" t="s">
        <v>338</v>
      </c>
      <c r="F452" t="s">
        <v>586</v>
      </c>
      <c r="G452" s="110">
        <v>3911</v>
      </c>
      <c r="H452" s="12">
        <v>45717</v>
      </c>
      <c r="I452" s="24">
        <v>30112</v>
      </c>
      <c r="J452" s="24">
        <v>28260.11</v>
      </c>
      <c r="K452" s="3">
        <v>45735</v>
      </c>
      <c r="L452" s="91">
        <v>45775</v>
      </c>
      <c r="M452" s="11">
        <v>45777</v>
      </c>
      <c r="N452" s="18" t="s">
        <v>588</v>
      </c>
      <c r="O452" s="35"/>
      <c r="P452"/>
      <c r="Q452" t="s">
        <v>55</v>
      </c>
      <c r="R452" t="s">
        <v>231</v>
      </c>
      <c r="S452" t="str">
        <f>IFERROR(VLOOKUP(Tabela1[[#This Row],[CC]],CC!$A$1:$H$403,8,0),"")</f>
        <v>OP1</v>
      </c>
    </row>
    <row r="453" spans="1:19" x14ac:dyDescent="0.3">
      <c r="A453" s="25">
        <v>1360</v>
      </c>
      <c r="B453" s="25" t="str">
        <f>IFERROR(VLOOKUP(Tabela1[[#This Row],[CC]],#REF!,5,0),"")</f>
        <v/>
      </c>
      <c r="C453" t="s">
        <v>32</v>
      </c>
      <c r="D453" t="s">
        <v>24</v>
      </c>
      <c r="E453" t="s">
        <v>338</v>
      </c>
      <c r="F453" t="s">
        <v>586</v>
      </c>
      <c r="G453" s="110">
        <v>3910</v>
      </c>
      <c r="H453" s="12">
        <v>45717</v>
      </c>
      <c r="I453" s="24">
        <v>70502.78</v>
      </c>
      <c r="J453" s="24">
        <v>66166.86</v>
      </c>
      <c r="K453" s="3">
        <v>45735</v>
      </c>
      <c r="L453" s="91">
        <v>45775</v>
      </c>
      <c r="M453" s="11">
        <v>45777</v>
      </c>
      <c r="N453" s="18" t="s">
        <v>588</v>
      </c>
      <c r="O453" s="35"/>
      <c r="P453"/>
      <c r="Q453" t="s">
        <v>55</v>
      </c>
      <c r="R453" t="s">
        <v>231</v>
      </c>
      <c r="S453" t="str">
        <f>IFERROR(VLOOKUP(Tabela1[[#This Row],[CC]],CC!$A$1:$H$403,8,0),"")</f>
        <v>OP1</v>
      </c>
    </row>
    <row r="454" spans="1:19" x14ac:dyDescent="0.3">
      <c r="A454" s="25">
        <v>1360</v>
      </c>
      <c r="B454" s="25" t="str">
        <f>IFERROR(VLOOKUP(Tabela1[[#This Row],[CC]],#REF!,5,0),"")</f>
        <v/>
      </c>
      <c r="C454" t="s">
        <v>32</v>
      </c>
      <c r="D454" t="s">
        <v>24</v>
      </c>
      <c r="E454" t="s">
        <v>338</v>
      </c>
      <c r="F454" t="s">
        <v>586</v>
      </c>
      <c r="G454" s="110">
        <v>3907</v>
      </c>
      <c r="H454" s="12">
        <v>45717</v>
      </c>
      <c r="I454" s="24">
        <v>27100.799999999999</v>
      </c>
      <c r="J454" s="24">
        <v>25434.1</v>
      </c>
      <c r="K454" s="3">
        <v>45735</v>
      </c>
      <c r="L454" s="91">
        <v>45775</v>
      </c>
      <c r="M454" s="11">
        <v>45777</v>
      </c>
      <c r="N454" s="18" t="s">
        <v>588</v>
      </c>
      <c r="O454" s="35"/>
      <c r="P454"/>
      <c r="Q454" t="s">
        <v>55</v>
      </c>
      <c r="R454" t="s">
        <v>231</v>
      </c>
      <c r="S454" t="str">
        <f>IFERROR(VLOOKUP(Tabela1[[#This Row],[CC]],CC!$A$1:$H$403,8,0),"")</f>
        <v>OP1</v>
      </c>
    </row>
    <row r="455" spans="1:19" x14ac:dyDescent="0.3">
      <c r="A455" s="25">
        <v>1360</v>
      </c>
      <c r="B455" s="25" t="str">
        <f>IFERROR(VLOOKUP(Tabela1[[#This Row],[CC]],#REF!,5,0),"")</f>
        <v/>
      </c>
      <c r="C455" t="s">
        <v>32</v>
      </c>
      <c r="D455" t="s">
        <v>24</v>
      </c>
      <c r="E455" t="s">
        <v>338</v>
      </c>
      <c r="F455" t="s">
        <v>586</v>
      </c>
      <c r="G455" s="110">
        <v>3904</v>
      </c>
      <c r="H455" s="12">
        <v>45717</v>
      </c>
      <c r="I455" s="27">
        <v>108733.78</v>
      </c>
      <c r="J455" s="27">
        <v>102046.65</v>
      </c>
      <c r="K455" s="3">
        <v>45735</v>
      </c>
      <c r="L455" s="91">
        <v>45803</v>
      </c>
      <c r="M455" s="11">
        <v>45807</v>
      </c>
      <c r="N455" s="18" t="s">
        <v>588</v>
      </c>
      <c r="O455" s="35"/>
      <c r="P455"/>
      <c r="Q455" t="s">
        <v>55</v>
      </c>
      <c r="R455" t="s">
        <v>231</v>
      </c>
      <c r="S455" t="str">
        <f>IFERROR(VLOOKUP(Tabela1[[#This Row],[CC]],CC!$A$1:$H$403,8,0),"")</f>
        <v>OP1</v>
      </c>
    </row>
    <row r="456" spans="1:19" x14ac:dyDescent="0.3">
      <c r="A456" s="25">
        <v>1360</v>
      </c>
      <c r="B456" s="25" t="str">
        <f>IFERROR(VLOOKUP(Tabela1[[#This Row],[CC]],#REF!,5,0),"")</f>
        <v/>
      </c>
      <c r="C456" t="s">
        <v>32</v>
      </c>
      <c r="D456" t="s">
        <v>24</v>
      </c>
      <c r="E456" t="s">
        <v>338</v>
      </c>
      <c r="F456" t="s">
        <v>586</v>
      </c>
      <c r="G456" s="110">
        <v>3918</v>
      </c>
      <c r="H456" s="12">
        <v>45717</v>
      </c>
      <c r="I456" s="24">
        <v>40888.800000000003</v>
      </c>
      <c r="J456" s="24">
        <v>38374.14</v>
      </c>
      <c r="K456" s="3">
        <v>45736</v>
      </c>
      <c r="L456" s="91">
        <v>45775</v>
      </c>
      <c r="M456" s="11">
        <v>45777</v>
      </c>
      <c r="N456" s="18" t="s">
        <v>588</v>
      </c>
      <c r="O456" s="35"/>
      <c r="P456"/>
      <c r="Q456" t="s">
        <v>55</v>
      </c>
      <c r="R456" t="s">
        <v>231</v>
      </c>
      <c r="S456" t="str">
        <f>IFERROR(VLOOKUP(Tabela1[[#This Row],[CC]],CC!$A$1:$H$403,8,0),"")</f>
        <v>OP1</v>
      </c>
    </row>
    <row r="457" spans="1:19" x14ac:dyDescent="0.3">
      <c r="A457" s="25">
        <v>1360</v>
      </c>
      <c r="B457" s="25" t="str">
        <f>IFERROR(VLOOKUP(Tabela1[[#This Row],[CC]],#REF!,5,0),"")</f>
        <v/>
      </c>
      <c r="C457" t="s">
        <v>32</v>
      </c>
      <c r="D457" t="s">
        <v>24</v>
      </c>
      <c r="E457" t="s">
        <v>338</v>
      </c>
      <c r="F457" t="s">
        <v>586</v>
      </c>
      <c r="G457" s="110">
        <v>3917</v>
      </c>
      <c r="H457" s="12">
        <v>45717</v>
      </c>
      <c r="I457" s="24">
        <v>60112.68</v>
      </c>
      <c r="J457" s="24">
        <v>56415.75</v>
      </c>
      <c r="K457" s="3">
        <v>45736</v>
      </c>
      <c r="L457" s="91">
        <v>45775</v>
      </c>
      <c r="M457" s="11">
        <v>45777</v>
      </c>
      <c r="N457" s="18" t="s">
        <v>588</v>
      </c>
      <c r="O457" s="35"/>
      <c r="P457"/>
      <c r="Q457" t="s">
        <v>55</v>
      </c>
      <c r="R457" t="s">
        <v>231</v>
      </c>
      <c r="S457" t="str">
        <f>IFERROR(VLOOKUP(Tabela1[[#This Row],[CC]],CC!$A$1:$H$403,8,0),"")</f>
        <v>OP1</v>
      </c>
    </row>
    <row r="458" spans="1:19" x14ac:dyDescent="0.3">
      <c r="A458" s="25">
        <v>1360</v>
      </c>
      <c r="B458" s="25" t="str">
        <f>IFERROR(VLOOKUP(Tabela1[[#This Row],[CC]],#REF!,5,0),"")</f>
        <v/>
      </c>
      <c r="C458" t="s">
        <v>32</v>
      </c>
      <c r="D458" t="s">
        <v>24</v>
      </c>
      <c r="E458" t="s">
        <v>338</v>
      </c>
      <c r="F458" t="s">
        <v>586</v>
      </c>
      <c r="G458" s="110">
        <v>3916</v>
      </c>
      <c r="H458" s="12">
        <v>45717</v>
      </c>
      <c r="I458" s="24">
        <v>41991.199999999997</v>
      </c>
      <c r="J458" s="24">
        <v>39408.74</v>
      </c>
      <c r="K458" s="3">
        <v>45736</v>
      </c>
      <c r="L458" s="91">
        <v>45775</v>
      </c>
      <c r="M458" s="11">
        <v>45777</v>
      </c>
      <c r="N458" s="18" t="s">
        <v>588</v>
      </c>
      <c r="O458" s="35"/>
      <c r="P458"/>
      <c r="Q458" t="s">
        <v>55</v>
      </c>
      <c r="R458" t="s">
        <v>231</v>
      </c>
      <c r="S458" t="str">
        <f>IFERROR(VLOOKUP(Tabela1[[#This Row],[CC]],CC!$A$1:$H$403,8,0),"")</f>
        <v>OP1</v>
      </c>
    </row>
    <row r="459" spans="1:19" x14ac:dyDescent="0.3">
      <c r="A459" s="25">
        <v>1360</v>
      </c>
      <c r="B459" s="25" t="str">
        <f>IFERROR(VLOOKUP(Tabela1[[#This Row],[CC]],#REF!,5,0),"")</f>
        <v/>
      </c>
      <c r="C459" t="s">
        <v>32</v>
      </c>
      <c r="D459" t="s">
        <v>24</v>
      </c>
      <c r="E459" t="s">
        <v>338</v>
      </c>
      <c r="F459" t="s">
        <v>586</v>
      </c>
      <c r="G459" s="110">
        <v>3915</v>
      </c>
      <c r="H459" s="12">
        <v>45717</v>
      </c>
      <c r="I459" s="24">
        <v>81029.119999999995</v>
      </c>
      <c r="J459" s="24">
        <v>76045.83</v>
      </c>
      <c r="K459" s="3">
        <v>45736</v>
      </c>
      <c r="L459" s="91">
        <v>45775</v>
      </c>
      <c r="M459" s="11">
        <v>45777</v>
      </c>
      <c r="N459" s="18" t="s">
        <v>588</v>
      </c>
      <c r="O459" s="35"/>
      <c r="P459"/>
      <c r="Q459" t="s">
        <v>55</v>
      </c>
      <c r="R459" t="s">
        <v>231</v>
      </c>
      <c r="S459" t="str">
        <f>IFERROR(VLOOKUP(Tabela1[[#This Row],[CC]],CC!$A$1:$H$403,8,0),"")</f>
        <v>OP1</v>
      </c>
    </row>
    <row r="460" spans="1:19" x14ac:dyDescent="0.3">
      <c r="A460" s="25">
        <v>1360</v>
      </c>
      <c r="B460" s="25" t="str">
        <f>IFERROR(VLOOKUP(Tabela1[[#This Row],[CC]],#REF!,5,0),"")</f>
        <v/>
      </c>
      <c r="C460" t="s">
        <v>32</v>
      </c>
      <c r="D460" t="s">
        <v>24</v>
      </c>
      <c r="E460" t="s">
        <v>338</v>
      </c>
      <c r="F460" t="s">
        <v>586</v>
      </c>
      <c r="G460" s="110">
        <v>3930</v>
      </c>
      <c r="H460" s="12">
        <v>45717</v>
      </c>
      <c r="I460" s="24">
        <v>65211.839999999997</v>
      </c>
      <c r="J460" s="24">
        <v>61201.3</v>
      </c>
      <c r="K460" s="3">
        <v>45737</v>
      </c>
      <c r="L460" s="91">
        <v>45775</v>
      </c>
      <c r="M460" s="11">
        <v>45777</v>
      </c>
      <c r="N460" s="18" t="s">
        <v>588</v>
      </c>
      <c r="O460" s="35"/>
      <c r="P460"/>
      <c r="Q460" t="s">
        <v>55</v>
      </c>
      <c r="R460" t="s">
        <v>231</v>
      </c>
      <c r="S460" t="str">
        <f>IFERROR(VLOOKUP(Tabela1[[#This Row],[CC]],CC!$A$1:$H$403,8,0),"")</f>
        <v>OP1</v>
      </c>
    </row>
    <row r="461" spans="1:19" x14ac:dyDescent="0.3">
      <c r="A461" s="25">
        <v>1360</v>
      </c>
      <c r="B461" s="25" t="str">
        <f>IFERROR(VLOOKUP(Tabela1[[#This Row],[CC]],#REF!,5,0),"")</f>
        <v/>
      </c>
      <c r="C461" t="s">
        <v>32</v>
      </c>
      <c r="D461" t="s">
        <v>24</v>
      </c>
      <c r="E461" t="s">
        <v>338</v>
      </c>
      <c r="F461" t="s">
        <v>586</v>
      </c>
      <c r="G461" s="110">
        <v>3931</v>
      </c>
      <c r="H461" s="12">
        <v>45717</v>
      </c>
      <c r="I461" s="24">
        <v>59031.360000000001</v>
      </c>
      <c r="J461" s="24">
        <v>55400.94</v>
      </c>
      <c r="K461" s="3">
        <v>45740</v>
      </c>
      <c r="L461" s="91">
        <v>45775</v>
      </c>
      <c r="M461" s="11">
        <v>45777</v>
      </c>
      <c r="N461" s="18" t="s">
        <v>588</v>
      </c>
      <c r="O461" s="35"/>
      <c r="P461"/>
      <c r="Q461" t="s">
        <v>55</v>
      </c>
      <c r="R461" t="s">
        <v>231</v>
      </c>
      <c r="S461" t="str">
        <f>IFERROR(VLOOKUP(Tabela1[[#This Row],[CC]],CC!$A$1:$H$403,8,0),"")</f>
        <v>OP1</v>
      </c>
    </row>
    <row r="462" spans="1:19" x14ac:dyDescent="0.3">
      <c r="A462" s="25">
        <v>1387</v>
      </c>
      <c r="B462" s="25" t="str">
        <f>IFERROR(VLOOKUP(Tabela1[[#This Row],[CC]],#REF!,5,0),"")</f>
        <v/>
      </c>
      <c r="C462" t="s">
        <v>32</v>
      </c>
      <c r="D462" t="s">
        <v>24</v>
      </c>
      <c r="E462" t="s">
        <v>372</v>
      </c>
      <c r="F462" t="s">
        <v>586</v>
      </c>
      <c r="G462" s="110">
        <v>3909</v>
      </c>
      <c r="H462" s="12">
        <v>45717</v>
      </c>
      <c r="I462" s="24">
        <v>36540</v>
      </c>
      <c r="J462" s="24">
        <v>34292.79</v>
      </c>
      <c r="K462" s="3">
        <v>45735</v>
      </c>
      <c r="L462" s="91">
        <v>45796</v>
      </c>
      <c r="M462" s="11">
        <v>45796</v>
      </c>
      <c r="N462" s="18" t="s">
        <v>588</v>
      </c>
      <c r="O462" s="35"/>
      <c r="P462"/>
      <c r="Q462" t="s">
        <v>58</v>
      </c>
      <c r="R462" t="s">
        <v>231</v>
      </c>
      <c r="S462" t="str">
        <f>IFERROR(VLOOKUP(Tabela1[[#This Row],[CC]],CC!$A$1:$H$403,8,0),"")</f>
        <v>OP1</v>
      </c>
    </row>
    <row r="463" spans="1:19" x14ac:dyDescent="0.3">
      <c r="A463" s="25">
        <v>1387</v>
      </c>
      <c r="B463" s="25" t="str">
        <f>IFERROR(VLOOKUP(Tabela1[[#This Row],[CC]],#REF!,5,0),"")</f>
        <v/>
      </c>
      <c r="C463" t="s">
        <v>32</v>
      </c>
      <c r="D463" t="s">
        <v>24</v>
      </c>
      <c r="E463" t="s">
        <v>372</v>
      </c>
      <c r="F463" t="s">
        <v>586</v>
      </c>
      <c r="G463" s="110">
        <v>3908</v>
      </c>
      <c r="H463" s="12">
        <v>45717</v>
      </c>
      <c r="I463" s="24">
        <v>29059.200000000001</v>
      </c>
      <c r="J463" s="24">
        <v>27272.06</v>
      </c>
      <c r="K463" s="3">
        <v>45735</v>
      </c>
      <c r="L463" s="91">
        <v>45775</v>
      </c>
      <c r="M463" s="11">
        <v>45777</v>
      </c>
      <c r="N463" s="18" t="s">
        <v>588</v>
      </c>
      <c r="O463" s="35"/>
      <c r="P463"/>
      <c r="Q463" t="s">
        <v>58</v>
      </c>
      <c r="R463" t="s">
        <v>231</v>
      </c>
      <c r="S463" t="str">
        <f>IFERROR(VLOOKUP(Tabela1[[#This Row],[CC]],CC!$A$1:$H$403,8,0),"")</f>
        <v>OP1</v>
      </c>
    </row>
    <row r="464" spans="1:19" x14ac:dyDescent="0.3">
      <c r="A464" s="25">
        <v>1387</v>
      </c>
      <c r="B464" s="25" t="str">
        <f>IFERROR(VLOOKUP(Tabela1[[#This Row],[CC]],#REF!,5,0),"")</f>
        <v/>
      </c>
      <c r="C464" t="s">
        <v>32</v>
      </c>
      <c r="D464" t="s">
        <v>24</v>
      </c>
      <c r="E464" t="s">
        <v>372</v>
      </c>
      <c r="F464" t="s">
        <v>586</v>
      </c>
      <c r="G464" s="110">
        <v>3906</v>
      </c>
      <c r="H464" s="12">
        <v>45717</v>
      </c>
      <c r="I464" s="24">
        <v>36713.599999999999</v>
      </c>
      <c r="J464" s="24">
        <v>34455.71</v>
      </c>
      <c r="K464" s="3">
        <v>45735</v>
      </c>
      <c r="L464" s="91">
        <v>45775</v>
      </c>
      <c r="M464" s="11">
        <v>45777</v>
      </c>
      <c r="N464" s="18" t="s">
        <v>588</v>
      </c>
      <c r="O464" s="35"/>
      <c r="P464"/>
      <c r="Q464" t="s">
        <v>58</v>
      </c>
      <c r="R464" t="s">
        <v>231</v>
      </c>
      <c r="S464" t="str">
        <f>IFERROR(VLOOKUP(Tabela1[[#This Row],[CC]],CC!$A$1:$H$403,8,0),"")</f>
        <v>OP1</v>
      </c>
    </row>
    <row r="465" spans="1:19" x14ac:dyDescent="0.3">
      <c r="A465" s="25">
        <v>1387</v>
      </c>
      <c r="B465" s="25" t="str">
        <f>IFERROR(VLOOKUP(Tabela1[[#This Row],[CC]],#REF!,5,0),"")</f>
        <v/>
      </c>
      <c r="C465" t="s">
        <v>32</v>
      </c>
      <c r="D465" t="s">
        <v>24</v>
      </c>
      <c r="E465" t="s">
        <v>372</v>
      </c>
      <c r="F465" t="s">
        <v>586</v>
      </c>
      <c r="G465" s="110">
        <v>3905</v>
      </c>
      <c r="H465" s="12">
        <v>45717</v>
      </c>
      <c r="I465" s="24">
        <v>43345.52</v>
      </c>
      <c r="J465" s="24">
        <v>40679.760000000002</v>
      </c>
      <c r="K465" s="3">
        <v>45735</v>
      </c>
      <c r="L465" s="91">
        <v>45775</v>
      </c>
      <c r="M465" s="11">
        <v>45777</v>
      </c>
      <c r="N465" s="18" t="s">
        <v>588</v>
      </c>
      <c r="O465" s="35"/>
      <c r="P465"/>
      <c r="Q465" t="s">
        <v>58</v>
      </c>
      <c r="R465" t="s">
        <v>231</v>
      </c>
      <c r="S465" t="str">
        <f>IFERROR(VLOOKUP(Tabela1[[#This Row],[CC]],CC!$A$1:$H$403,8,0),"")</f>
        <v>OP1</v>
      </c>
    </row>
    <row r="466" spans="1:19" x14ac:dyDescent="0.3">
      <c r="A466" s="25">
        <v>1387</v>
      </c>
      <c r="B466" s="25" t="str">
        <f>IFERROR(VLOOKUP(Tabela1[[#This Row],[CC]],#REF!,5,0),"")</f>
        <v/>
      </c>
      <c r="C466" t="s">
        <v>32</v>
      </c>
      <c r="D466" t="s">
        <v>24</v>
      </c>
      <c r="E466" t="s">
        <v>372</v>
      </c>
      <c r="F466" t="s">
        <v>586</v>
      </c>
      <c r="G466" s="110">
        <v>3929</v>
      </c>
      <c r="H466" s="12">
        <v>45717</v>
      </c>
      <c r="I466" s="24">
        <v>27583.200000000001</v>
      </c>
      <c r="J466" s="24">
        <v>25886.83</v>
      </c>
      <c r="K466" s="3">
        <v>45737</v>
      </c>
      <c r="L466" s="91">
        <v>45775</v>
      </c>
      <c r="M466" s="11">
        <v>45777</v>
      </c>
      <c r="N466" s="18" t="s">
        <v>588</v>
      </c>
      <c r="O466" s="35"/>
      <c r="P466"/>
      <c r="Q466" t="s">
        <v>58</v>
      </c>
      <c r="R466" t="s">
        <v>231</v>
      </c>
      <c r="S466" t="str">
        <f>IFERROR(VLOOKUP(Tabela1[[#This Row],[CC]],CC!$A$1:$H$403,8,0),"")</f>
        <v>OP1</v>
      </c>
    </row>
    <row r="467" spans="1:19" x14ac:dyDescent="0.3">
      <c r="A467" s="25">
        <v>1470</v>
      </c>
      <c r="B467" s="25" t="str">
        <f>IFERROR(VLOOKUP(Tabela1[[#This Row],[CC]],#REF!,5,0),"")</f>
        <v/>
      </c>
      <c r="C467" t="s">
        <v>67</v>
      </c>
      <c r="D467" t="s">
        <v>44</v>
      </c>
      <c r="E467" t="s">
        <v>475</v>
      </c>
      <c r="F467" t="s">
        <v>586</v>
      </c>
      <c r="G467" s="110">
        <v>8277</v>
      </c>
      <c r="H467" s="12">
        <v>45717</v>
      </c>
      <c r="I467" s="24">
        <v>36700</v>
      </c>
      <c r="J467" s="24">
        <v>33708.949999999997</v>
      </c>
      <c r="K467" s="3">
        <v>45750</v>
      </c>
      <c r="L467" s="91">
        <v>45761</v>
      </c>
      <c r="M467" s="11">
        <v>45762</v>
      </c>
      <c r="N467" s="18" t="s">
        <v>588</v>
      </c>
      <c r="O467" s="35">
        <v>0</v>
      </c>
      <c r="P467" s="26"/>
      <c r="Q467" t="s">
        <v>58</v>
      </c>
      <c r="R467" t="s">
        <v>183</v>
      </c>
      <c r="S467" t="str">
        <f>IFERROR(VLOOKUP(Tabela1[[#This Row],[CC]],CC!$A$1:$H$403,8,0),"")</f>
        <v>OP4</v>
      </c>
    </row>
    <row r="468" spans="1:19" x14ac:dyDescent="0.3">
      <c r="A468" s="25">
        <v>1287</v>
      </c>
      <c r="B468" s="25" t="str">
        <f>IFERROR(VLOOKUP(Tabela1[[#This Row],[CC]],#REF!,5,0),"")</f>
        <v/>
      </c>
      <c r="C468" t="s">
        <v>60</v>
      </c>
      <c r="D468" t="s">
        <v>19</v>
      </c>
      <c r="E468" t="s">
        <v>261</v>
      </c>
      <c r="F468" t="s">
        <v>586</v>
      </c>
      <c r="G468" s="110">
        <v>1246</v>
      </c>
      <c r="H468" s="12">
        <v>45717</v>
      </c>
      <c r="I468" s="24">
        <v>37164.18</v>
      </c>
      <c r="J468" s="24">
        <v>33336.269999999997</v>
      </c>
      <c r="K468" s="3">
        <v>45779</v>
      </c>
      <c r="L468" s="91">
        <v>45810</v>
      </c>
      <c r="M468" s="11">
        <v>45813</v>
      </c>
      <c r="N468" s="18" t="s">
        <v>588</v>
      </c>
      <c r="O468" s="35">
        <v>0</v>
      </c>
      <c r="P468" s="26"/>
      <c r="Q468" t="s">
        <v>55</v>
      </c>
      <c r="R468" t="s">
        <v>195</v>
      </c>
      <c r="S468" t="str">
        <f>IFERROR(VLOOKUP(Tabela1[[#This Row],[CC]],CC!$A$1:$H$403,8,0),"")</f>
        <v>OP3</v>
      </c>
    </row>
    <row r="469" spans="1:19" x14ac:dyDescent="0.3">
      <c r="A469" s="25">
        <v>1273</v>
      </c>
      <c r="B469" s="25" t="str">
        <f>IFERROR(VLOOKUP(Tabela1[[#This Row],[CC]],#REF!,5,0),"")</f>
        <v/>
      </c>
      <c r="C469" t="s">
        <v>60</v>
      </c>
      <c r="D469" t="s">
        <v>19</v>
      </c>
      <c r="E469" t="s">
        <v>244</v>
      </c>
      <c r="F469" t="s">
        <v>586</v>
      </c>
      <c r="G469" s="110">
        <v>1248</v>
      </c>
      <c r="H469" s="12">
        <v>45717</v>
      </c>
      <c r="I469" s="2">
        <v>38313.629999999997</v>
      </c>
      <c r="J469" s="24">
        <v>34367.33</v>
      </c>
      <c r="K469" s="3">
        <v>45779</v>
      </c>
      <c r="L469" s="91">
        <v>45810</v>
      </c>
      <c r="M469" s="11">
        <v>45813</v>
      </c>
      <c r="N469" s="18" t="s">
        <v>588</v>
      </c>
      <c r="O469" s="35">
        <v>0</v>
      </c>
      <c r="P469"/>
      <c r="Q469" t="s">
        <v>58</v>
      </c>
      <c r="R469" t="s">
        <v>195</v>
      </c>
      <c r="S469" t="str">
        <f>IFERROR(VLOOKUP(Tabela1[[#This Row],[CC]],CC!$A$1:$H$403,8,0),"")</f>
        <v>OP3</v>
      </c>
    </row>
    <row r="470" spans="1:19" x14ac:dyDescent="0.3">
      <c r="A470" s="25">
        <v>1273</v>
      </c>
      <c r="B470" s="25" t="str">
        <f>IFERROR(VLOOKUP(Tabela1[[#This Row],[CC]],#REF!,5,0),"")</f>
        <v/>
      </c>
      <c r="C470" t="s">
        <v>60</v>
      </c>
      <c r="D470" t="s">
        <v>19</v>
      </c>
      <c r="E470" t="s">
        <v>244</v>
      </c>
      <c r="F470" t="s">
        <v>586</v>
      </c>
      <c r="G470" s="110">
        <v>1247</v>
      </c>
      <c r="H470" s="12">
        <v>45717</v>
      </c>
      <c r="I470" s="2">
        <v>453692.21</v>
      </c>
      <c r="J470" s="24">
        <v>406961.91</v>
      </c>
      <c r="K470" s="3">
        <v>45779</v>
      </c>
      <c r="L470" s="91">
        <v>45810</v>
      </c>
      <c r="M470" s="11">
        <v>45813</v>
      </c>
      <c r="N470" s="18" t="s">
        <v>588</v>
      </c>
      <c r="O470" s="35">
        <v>0</v>
      </c>
      <c r="P470"/>
      <c r="Q470" t="s">
        <v>58</v>
      </c>
      <c r="R470" t="s">
        <v>195</v>
      </c>
      <c r="S470" t="str">
        <f>IFERROR(VLOOKUP(Tabela1[[#This Row],[CC]],CC!$A$1:$H$403,8,0),"")</f>
        <v>OP3</v>
      </c>
    </row>
    <row r="471" spans="1:19" x14ac:dyDescent="0.3">
      <c r="A471" s="8">
        <v>1277</v>
      </c>
      <c r="B471" s="8" t="str">
        <f>IFERROR(VLOOKUP(Tabela1[[#This Row],[CC]],#REF!,5,0),"")</f>
        <v/>
      </c>
      <c r="C471" t="s">
        <v>60</v>
      </c>
      <c r="D471" t="s">
        <v>19</v>
      </c>
      <c r="E471" t="s">
        <v>248</v>
      </c>
      <c r="F471" t="s">
        <v>586</v>
      </c>
      <c r="G471" s="110">
        <v>1241</v>
      </c>
      <c r="H471" s="12">
        <v>45717</v>
      </c>
      <c r="I471" s="24">
        <v>154365.24</v>
      </c>
      <c r="J471" s="10">
        <v>138465.63</v>
      </c>
      <c r="K471" s="3">
        <v>45761</v>
      </c>
      <c r="L471" s="91">
        <v>45782</v>
      </c>
      <c r="M471" s="11">
        <v>45782</v>
      </c>
      <c r="N471" s="18" t="s">
        <v>588</v>
      </c>
      <c r="O471" s="34">
        <v>0</v>
      </c>
      <c r="P471"/>
      <c r="Q471" t="s">
        <v>58</v>
      </c>
      <c r="R471" t="s">
        <v>195</v>
      </c>
      <c r="S471" t="str">
        <f>IFERROR(VLOOKUP(Tabela1[[#This Row],[CC]],CC!$A$1:$H$403,8,0),"")</f>
        <v>OP3</v>
      </c>
    </row>
    <row r="472" spans="1:19" x14ac:dyDescent="0.3">
      <c r="A472" s="25">
        <v>1483</v>
      </c>
      <c r="B472" s="25" t="str">
        <f>IFERROR(VLOOKUP(Tabela1[[#This Row],[CC]],#REF!,5,0),"")</f>
        <v/>
      </c>
      <c r="C472" t="s">
        <v>67</v>
      </c>
      <c r="D472" t="s">
        <v>45</v>
      </c>
      <c r="E472" t="s">
        <v>488</v>
      </c>
      <c r="F472" t="s">
        <v>586</v>
      </c>
      <c r="G472" s="110">
        <v>8278</v>
      </c>
      <c r="H472" s="12">
        <v>45717</v>
      </c>
      <c r="I472" s="24">
        <v>53591.199999999997</v>
      </c>
      <c r="J472" s="24">
        <v>49527.08</v>
      </c>
      <c r="K472" s="3">
        <v>45750</v>
      </c>
      <c r="L472" s="91">
        <v>45810</v>
      </c>
      <c r="M472" s="11">
        <v>45812</v>
      </c>
      <c r="N472" s="18" t="s">
        <v>588</v>
      </c>
      <c r="O472" s="35">
        <v>0</v>
      </c>
      <c r="P472" s="26"/>
      <c r="Q472" t="s">
        <v>58</v>
      </c>
      <c r="R472" t="s">
        <v>183</v>
      </c>
      <c r="S472" t="str">
        <f>IFERROR(VLOOKUP(Tabela1[[#This Row],[CC]],CC!$A$1:$H$403,8,0),"")</f>
        <v>OP2</v>
      </c>
    </row>
    <row r="473" spans="1:19" x14ac:dyDescent="0.3">
      <c r="A473" s="25">
        <v>1483</v>
      </c>
      <c r="B473" s="25" t="str">
        <f>IFERROR(VLOOKUP(Tabela1[[#This Row],[CC]],#REF!,5,0),"")</f>
        <v/>
      </c>
      <c r="C473" t="s">
        <v>67</v>
      </c>
      <c r="D473" t="s">
        <v>45</v>
      </c>
      <c r="E473" t="s">
        <v>488</v>
      </c>
      <c r="F473" t="s">
        <v>586</v>
      </c>
      <c r="G473" s="110">
        <v>8279</v>
      </c>
      <c r="H473" s="12">
        <v>45717</v>
      </c>
      <c r="I473" s="24">
        <v>28856.799999999999</v>
      </c>
      <c r="J473" s="24">
        <v>27082.11</v>
      </c>
      <c r="K473" s="3">
        <v>45750</v>
      </c>
      <c r="L473" s="91">
        <v>45824</v>
      </c>
      <c r="M473" s="11">
        <v>45827</v>
      </c>
      <c r="N473" s="18" t="s">
        <v>588</v>
      </c>
      <c r="O473" s="35">
        <v>0</v>
      </c>
      <c r="P473" s="26"/>
      <c r="Q473" t="s">
        <v>58</v>
      </c>
      <c r="R473" t="s">
        <v>183</v>
      </c>
      <c r="S473" t="str">
        <f>IFERROR(VLOOKUP(Tabela1[[#This Row],[CC]],CC!$A$1:$H$403,8,0),"")</f>
        <v>OP2</v>
      </c>
    </row>
    <row r="474" spans="1:19" x14ac:dyDescent="0.3">
      <c r="A474" s="25">
        <v>1275</v>
      </c>
      <c r="B474" s="25" t="str">
        <f>IFERROR(VLOOKUP(Tabela1[[#This Row],[CC]],#REF!,5,0),"")</f>
        <v/>
      </c>
      <c r="C474" t="s">
        <v>51</v>
      </c>
      <c r="D474" t="s">
        <v>41</v>
      </c>
      <c r="E474" t="s">
        <v>246</v>
      </c>
      <c r="F474" t="s">
        <v>586</v>
      </c>
      <c r="G474" s="110">
        <v>3940</v>
      </c>
      <c r="H474" s="12">
        <v>45717</v>
      </c>
      <c r="I474" s="24">
        <v>16767.240000000002</v>
      </c>
      <c r="J474" s="24">
        <v>15736.05</v>
      </c>
      <c r="K474" s="3">
        <v>45749</v>
      </c>
      <c r="L474" s="91">
        <v>45775</v>
      </c>
      <c r="M474" s="11">
        <v>45776</v>
      </c>
      <c r="N474" s="18" t="s">
        <v>588</v>
      </c>
      <c r="O474" s="35">
        <v>0</v>
      </c>
      <c r="P474" s="26"/>
      <c r="Q474" t="s">
        <v>55</v>
      </c>
      <c r="R474" t="s">
        <v>231</v>
      </c>
      <c r="S474" t="str">
        <f>IFERROR(VLOOKUP(Tabela1[[#This Row],[CC]],CC!$A$1:$H$403,8,0),"")</f>
        <v>OP2</v>
      </c>
    </row>
    <row r="475" spans="1:19" ht="12.75" customHeight="1" x14ac:dyDescent="0.3">
      <c r="A475" s="25">
        <v>1479</v>
      </c>
      <c r="B475" s="25" t="str">
        <f>IFERROR(VLOOKUP(Tabela1[[#This Row],[CC]],#REF!,5,0),"")</f>
        <v/>
      </c>
      <c r="C475" t="s">
        <v>51</v>
      </c>
      <c r="D475" t="s">
        <v>41</v>
      </c>
      <c r="E475" t="s">
        <v>484</v>
      </c>
      <c r="F475" t="s">
        <v>586</v>
      </c>
      <c r="G475" s="110">
        <v>3941</v>
      </c>
      <c r="H475" s="12">
        <v>45717</v>
      </c>
      <c r="I475" s="24">
        <v>26040</v>
      </c>
      <c r="J475" s="24">
        <v>24438.54</v>
      </c>
      <c r="K475" s="3">
        <v>45749</v>
      </c>
      <c r="L475" s="91">
        <v>45782</v>
      </c>
      <c r="M475" s="11">
        <v>45785</v>
      </c>
      <c r="N475" s="18" t="s">
        <v>588</v>
      </c>
      <c r="O475" s="35">
        <v>0</v>
      </c>
      <c r="P475" s="26"/>
      <c r="Q475" t="s">
        <v>57</v>
      </c>
      <c r="R475" t="s">
        <v>231</v>
      </c>
      <c r="S475" t="str">
        <f>IFERROR(VLOOKUP(Tabela1[[#This Row],[CC]],CC!$A$1:$H$403,8,0),"")</f>
        <v>OP2</v>
      </c>
    </row>
    <row r="476" spans="1:19" ht="12.75" customHeight="1" x14ac:dyDescent="0.3">
      <c r="A476" s="25">
        <v>1455</v>
      </c>
      <c r="B476" s="25" t="str">
        <f>IFERROR(VLOOKUP(Tabela1[[#This Row],[CC]],#REF!,5,0),"")</f>
        <v/>
      </c>
      <c r="C476" t="s">
        <v>70</v>
      </c>
      <c r="D476" t="s">
        <v>31</v>
      </c>
      <c r="E476" t="s">
        <v>455</v>
      </c>
      <c r="F476" t="s">
        <v>586</v>
      </c>
      <c r="G476" s="110">
        <v>8320</v>
      </c>
      <c r="H476" s="12">
        <v>45748</v>
      </c>
      <c r="I476" s="24">
        <v>54003.39</v>
      </c>
      <c r="J476" s="27">
        <v>47712</v>
      </c>
      <c r="K476" s="3">
        <v>45782</v>
      </c>
      <c r="L476" s="91">
        <v>45803</v>
      </c>
      <c r="M476" s="11">
        <v>45807</v>
      </c>
      <c r="N476" s="21" t="s">
        <v>588</v>
      </c>
      <c r="O476" s="41"/>
      <c r="P476" s="26"/>
      <c r="Q476" t="s">
        <v>58</v>
      </c>
      <c r="R476" t="s">
        <v>228</v>
      </c>
      <c r="S476" t="str">
        <f>IFERROR(VLOOKUP(Tabela1[[#This Row],[CC]],CC!$A$1:$H$403,8,0),"")</f>
        <v>OP4</v>
      </c>
    </row>
    <row r="477" spans="1:19" ht="12.75" customHeight="1" x14ac:dyDescent="0.3">
      <c r="A477" s="8">
        <v>1489</v>
      </c>
      <c r="B477" s="8" t="str">
        <f>IFERROR(VLOOKUP(Tabela1[[#This Row],[CC]],#REF!,5,0),"")</f>
        <v/>
      </c>
      <c r="C477" t="s">
        <v>51</v>
      </c>
      <c r="D477" t="s">
        <v>22</v>
      </c>
      <c r="E477" t="s">
        <v>494</v>
      </c>
      <c r="F477" t="s">
        <v>586</v>
      </c>
      <c r="G477" s="110">
        <v>3994</v>
      </c>
      <c r="H477" s="12">
        <v>45748</v>
      </c>
      <c r="I477" s="10">
        <v>42812.21</v>
      </c>
      <c r="J477" s="24">
        <v>40179.26</v>
      </c>
      <c r="K477" s="3">
        <v>45779</v>
      </c>
      <c r="L477" s="91">
        <v>45810</v>
      </c>
      <c r="M477" s="11">
        <v>45810</v>
      </c>
      <c r="N477" s="18" t="s">
        <v>588</v>
      </c>
      <c r="O477" s="37"/>
      <c r="P477" s="14"/>
      <c r="Q477" t="s">
        <v>57</v>
      </c>
      <c r="R477" t="s">
        <v>231</v>
      </c>
      <c r="S477" t="str">
        <f>IFERROR(VLOOKUP(Tabela1[[#This Row],[CC]],CC!$A$1:$H$403,8,0),"")</f>
        <v>OP2</v>
      </c>
    </row>
    <row r="478" spans="1:19" ht="12.75" customHeight="1" x14ac:dyDescent="0.3">
      <c r="A478" s="25">
        <v>1478</v>
      </c>
      <c r="B478" s="25" t="str">
        <f>IFERROR(VLOOKUP(Tabela1[[#This Row],[CC]],#REF!,5,0),"")</f>
        <v/>
      </c>
      <c r="C478" t="s">
        <v>32</v>
      </c>
      <c r="D478" t="s">
        <v>54</v>
      </c>
      <c r="E478" t="s">
        <v>483</v>
      </c>
      <c r="F478" t="s">
        <v>586</v>
      </c>
      <c r="G478" s="110">
        <v>8319</v>
      </c>
      <c r="H478" s="12">
        <v>45748</v>
      </c>
      <c r="I478" s="24">
        <v>76256.009999999995</v>
      </c>
      <c r="J478" s="24">
        <v>71566.27</v>
      </c>
      <c r="K478" s="3">
        <v>45782</v>
      </c>
      <c r="L478" s="91">
        <v>45810</v>
      </c>
      <c r="M478" s="11">
        <v>45813</v>
      </c>
      <c r="N478" s="18" t="s">
        <v>588</v>
      </c>
      <c r="O478" s="35"/>
      <c r="P478"/>
      <c r="Q478" t="s">
        <v>55</v>
      </c>
      <c r="R478" t="s">
        <v>231</v>
      </c>
      <c r="S478" t="str">
        <f>IFERROR(VLOOKUP(Tabela1[[#This Row],[CC]],CC!$A$1:$H$403,8,0),"")</f>
        <v>OP1</v>
      </c>
    </row>
    <row r="479" spans="1:19" ht="12.75" customHeight="1" x14ac:dyDescent="0.3">
      <c r="A479" s="8">
        <v>1391</v>
      </c>
      <c r="B479" s="8" t="str">
        <f>IFERROR(VLOOKUP(Tabela1[[#This Row],[CC]],#REF!,5,0),"")</f>
        <v/>
      </c>
      <c r="C479" t="s">
        <v>32</v>
      </c>
      <c r="D479" t="s">
        <v>52</v>
      </c>
      <c r="E479" t="s">
        <v>375</v>
      </c>
      <c r="F479" t="s">
        <v>586</v>
      </c>
      <c r="G479" s="110">
        <v>4009</v>
      </c>
      <c r="H479" s="12">
        <v>45748</v>
      </c>
      <c r="I479" s="28">
        <v>81965.789999999994</v>
      </c>
      <c r="J479" s="39">
        <v>76924.89</v>
      </c>
      <c r="K479" s="3">
        <v>45786</v>
      </c>
      <c r="L479" s="91">
        <v>45803</v>
      </c>
      <c r="M479" s="11">
        <v>45803</v>
      </c>
      <c r="N479" s="1" t="s">
        <v>588</v>
      </c>
      <c r="O479" s="35">
        <v>0</v>
      </c>
      <c r="P479"/>
      <c r="Q479" t="s">
        <v>55</v>
      </c>
      <c r="R479" t="s">
        <v>231</v>
      </c>
      <c r="S479" t="str">
        <f>IFERROR(VLOOKUP(Tabela1[[#This Row],[CC]],CC!$A$1:$H$403,8,0),"")</f>
        <v>OP1</v>
      </c>
    </row>
    <row r="480" spans="1:19" ht="12.75" customHeight="1" x14ac:dyDescent="0.3">
      <c r="A480" s="8">
        <v>1391</v>
      </c>
      <c r="B480" s="8" t="str">
        <f>IFERROR(VLOOKUP(Tabela1[[#This Row],[CC]],#REF!,5,0),"")</f>
        <v/>
      </c>
      <c r="C480" t="s">
        <v>32</v>
      </c>
      <c r="D480" t="s">
        <v>52</v>
      </c>
      <c r="E480" t="s">
        <v>375</v>
      </c>
      <c r="F480" t="s">
        <v>586</v>
      </c>
      <c r="G480" s="110">
        <v>4008</v>
      </c>
      <c r="H480" s="12">
        <v>45748</v>
      </c>
      <c r="I480" s="28">
        <v>60896.639999999999</v>
      </c>
      <c r="J480" s="39">
        <v>57151.5</v>
      </c>
      <c r="K480" s="3">
        <v>45786</v>
      </c>
      <c r="L480" s="91">
        <v>45803</v>
      </c>
      <c r="M480" s="11">
        <v>45803</v>
      </c>
      <c r="N480" s="1" t="s">
        <v>588</v>
      </c>
      <c r="O480" s="35">
        <v>0</v>
      </c>
      <c r="P480"/>
      <c r="Q480" t="s">
        <v>55</v>
      </c>
      <c r="R480" t="s">
        <v>231</v>
      </c>
      <c r="S480" t="str">
        <f>IFERROR(VLOOKUP(Tabela1[[#This Row],[CC]],CC!$A$1:$H$403,8,0),"")</f>
        <v>OP1</v>
      </c>
    </row>
    <row r="481" spans="1:19" ht="12.75" customHeight="1" x14ac:dyDescent="0.3">
      <c r="A481" s="8">
        <v>1391</v>
      </c>
      <c r="B481" s="8" t="str">
        <f>IFERROR(VLOOKUP(Tabela1[[#This Row],[CC]],#REF!,5,0),"")</f>
        <v/>
      </c>
      <c r="C481" t="s">
        <v>32</v>
      </c>
      <c r="D481" t="s">
        <v>52</v>
      </c>
      <c r="E481" t="s">
        <v>375</v>
      </c>
      <c r="F481" t="s">
        <v>586</v>
      </c>
      <c r="G481" s="110">
        <v>4007</v>
      </c>
      <c r="H481" s="12">
        <v>45748</v>
      </c>
      <c r="I481" s="28">
        <v>13796.9</v>
      </c>
      <c r="J481" s="39">
        <v>12948.39</v>
      </c>
      <c r="K481" s="3">
        <v>45786</v>
      </c>
      <c r="L481" s="91">
        <v>45803</v>
      </c>
      <c r="M481" s="11">
        <v>45803</v>
      </c>
      <c r="N481" s="1" t="s">
        <v>588</v>
      </c>
      <c r="O481" s="35">
        <v>0</v>
      </c>
      <c r="P481"/>
      <c r="Q481" t="s">
        <v>55</v>
      </c>
      <c r="R481" t="s">
        <v>231</v>
      </c>
      <c r="S481" t="str">
        <f>IFERROR(VLOOKUP(Tabela1[[#This Row],[CC]],CC!$A$1:$H$403,8,0),"")</f>
        <v>OP1</v>
      </c>
    </row>
    <row r="482" spans="1:19" ht="12.75" customHeight="1" x14ac:dyDescent="0.3">
      <c r="A482" s="8">
        <v>1391</v>
      </c>
      <c r="B482" s="8" t="str">
        <f>IFERROR(VLOOKUP(Tabela1[[#This Row],[CC]],#REF!,5,0),"")</f>
        <v/>
      </c>
      <c r="C482" t="s">
        <v>32</v>
      </c>
      <c r="D482" t="s">
        <v>52</v>
      </c>
      <c r="E482" t="s">
        <v>375</v>
      </c>
      <c r="F482" t="s">
        <v>586</v>
      </c>
      <c r="G482" s="110">
        <v>4006</v>
      </c>
      <c r="H482" s="12">
        <v>45748</v>
      </c>
      <c r="I482" s="28">
        <v>214882.68</v>
      </c>
      <c r="J482" s="39">
        <v>201667.4</v>
      </c>
      <c r="K482" s="3">
        <v>45786</v>
      </c>
      <c r="L482" s="91">
        <v>45803</v>
      </c>
      <c r="M482" s="11">
        <v>45803</v>
      </c>
      <c r="N482" s="1" t="s">
        <v>588</v>
      </c>
      <c r="O482" s="35">
        <v>0</v>
      </c>
      <c r="P482"/>
      <c r="Q482" t="s">
        <v>55</v>
      </c>
      <c r="R482" t="s">
        <v>231</v>
      </c>
      <c r="S482" t="str">
        <f>IFERROR(VLOOKUP(Tabela1[[#This Row],[CC]],CC!$A$1:$H$403,8,0),"")</f>
        <v>OP1</v>
      </c>
    </row>
    <row r="483" spans="1:19" ht="12.75" customHeight="1" x14ac:dyDescent="0.3">
      <c r="A483" s="8">
        <v>1391</v>
      </c>
      <c r="B483" s="8" t="str">
        <f>IFERROR(VLOOKUP(Tabela1[[#This Row],[CC]],#REF!,5,0),"")</f>
        <v/>
      </c>
      <c r="C483" t="s">
        <v>32</v>
      </c>
      <c r="D483" t="s">
        <v>52</v>
      </c>
      <c r="E483" t="s">
        <v>375</v>
      </c>
      <c r="F483" t="s">
        <v>586</v>
      </c>
      <c r="G483" s="110">
        <v>4005</v>
      </c>
      <c r="H483" s="12">
        <v>45748</v>
      </c>
      <c r="I483" s="28">
        <v>129318.39</v>
      </c>
      <c r="J483" s="39">
        <v>121365.3</v>
      </c>
      <c r="K483" s="3">
        <v>45786</v>
      </c>
      <c r="L483" s="91">
        <v>45803</v>
      </c>
      <c r="M483" s="11">
        <v>45803</v>
      </c>
      <c r="N483" s="1" t="s">
        <v>588</v>
      </c>
      <c r="O483" s="35">
        <v>0</v>
      </c>
      <c r="P483"/>
      <c r="Q483" t="s">
        <v>55</v>
      </c>
      <c r="R483" t="s">
        <v>231</v>
      </c>
      <c r="S483" t="str">
        <f>IFERROR(VLOOKUP(Tabela1[[#This Row],[CC]],CC!$A$1:$H$403,8,0),"")</f>
        <v>OP1</v>
      </c>
    </row>
    <row r="484" spans="1:19" ht="12.75" customHeight="1" x14ac:dyDescent="0.3">
      <c r="A484" s="8">
        <v>1391</v>
      </c>
      <c r="B484" s="8" t="str">
        <f>IFERROR(VLOOKUP(Tabela1[[#This Row],[CC]],#REF!,5,0),"")</f>
        <v/>
      </c>
      <c r="C484" t="s">
        <v>32</v>
      </c>
      <c r="D484" t="s">
        <v>52</v>
      </c>
      <c r="E484" t="s">
        <v>375</v>
      </c>
      <c r="F484" t="s">
        <v>586</v>
      </c>
      <c r="G484" s="110">
        <v>4004</v>
      </c>
      <c r="H484" s="12">
        <v>45748</v>
      </c>
      <c r="I484" s="28">
        <v>1453.86</v>
      </c>
      <c r="J484" s="39">
        <v>1364.45</v>
      </c>
      <c r="K484" s="3">
        <v>45786</v>
      </c>
      <c r="L484" s="91">
        <v>45803</v>
      </c>
      <c r="M484" s="11">
        <v>45803</v>
      </c>
      <c r="N484" s="1" t="s">
        <v>588</v>
      </c>
      <c r="O484" s="35">
        <v>0</v>
      </c>
      <c r="P484"/>
      <c r="Q484" t="s">
        <v>55</v>
      </c>
      <c r="R484" t="s">
        <v>231</v>
      </c>
      <c r="S484" t="str">
        <f>IFERROR(VLOOKUP(Tabela1[[#This Row],[CC]],CC!$A$1:$H$403,8,0),"")</f>
        <v>OP1</v>
      </c>
    </row>
    <row r="485" spans="1:19" ht="12.75" customHeight="1" x14ac:dyDescent="0.3">
      <c r="A485" s="8">
        <v>1391</v>
      </c>
      <c r="B485" s="8" t="str">
        <f>IFERROR(VLOOKUP(Tabela1[[#This Row],[CC]],#REF!,5,0),"")</f>
        <v/>
      </c>
      <c r="C485" t="s">
        <v>32</v>
      </c>
      <c r="D485" t="s">
        <v>52</v>
      </c>
      <c r="E485" t="s">
        <v>375</v>
      </c>
      <c r="F485" t="s">
        <v>586</v>
      </c>
      <c r="G485" s="110">
        <v>4018</v>
      </c>
      <c r="H485" s="12">
        <v>45748</v>
      </c>
      <c r="I485" s="28">
        <v>29313.599999999999</v>
      </c>
      <c r="J485" s="39">
        <v>27510.82</v>
      </c>
      <c r="K485" s="3">
        <v>45789</v>
      </c>
      <c r="L485" s="91">
        <v>45803</v>
      </c>
      <c r="M485" s="11">
        <v>45804</v>
      </c>
      <c r="N485" s="1" t="s">
        <v>588</v>
      </c>
      <c r="O485" s="35">
        <v>0</v>
      </c>
      <c r="P485"/>
      <c r="Q485" t="s">
        <v>55</v>
      </c>
      <c r="R485" t="s">
        <v>231</v>
      </c>
      <c r="S485" t="str">
        <f>IFERROR(VLOOKUP(Tabela1[[#This Row],[CC]],CC!$A$1:$H$403,8,0),"")</f>
        <v>OP1</v>
      </c>
    </row>
    <row r="486" spans="1:19" ht="12.75" customHeight="1" x14ac:dyDescent="0.3">
      <c r="A486" s="8">
        <v>1391</v>
      </c>
      <c r="B486" s="8" t="str">
        <f>IFERROR(VLOOKUP(Tabela1[[#This Row],[CC]],#REF!,5,0),"")</f>
        <v/>
      </c>
      <c r="C486" t="s">
        <v>32</v>
      </c>
      <c r="D486" t="s">
        <v>52</v>
      </c>
      <c r="E486" t="s">
        <v>375</v>
      </c>
      <c r="F486" t="s">
        <v>586</v>
      </c>
      <c r="G486" s="110">
        <v>4017</v>
      </c>
      <c r="H486" s="12">
        <v>45748</v>
      </c>
      <c r="I486" s="28">
        <v>175414.71</v>
      </c>
      <c r="J486" s="39">
        <v>164626.71</v>
      </c>
      <c r="K486" s="3">
        <v>45789</v>
      </c>
      <c r="L486" s="91">
        <v>45803</v>
      </c>
      <c r="M486" s="11">
        <v>45804</v>
      </c>
      <c r="N486" s="1" t="s">
        <v>588</v>
      </c>
      <c r="O486" s="35">
        <v>0</v>
      </c>
      <c r="P486"/>
      <c r="Q486" t="s">
        <v>55</v>
      </c>
      <c r="R486" t="s">
        <v>231</v>
      </c>
      <c r="S486" t="str">
        <f>IFERROR(VLOOKUP(Tabela1[[#This Row],[CC]],CC!$A$1:$H$403,8,0),"")</f>
        <v>OP1</v>
      </c>
    </row>
    <row r="487" spans="1:19" ht="12.75" customHeight="1" x14ac:dyDescent="0.3">
      <c r="A487" s="8">
        <v>1391</v>
      </c>
      <c r="B487" s="8" t="str">
        <f>IFERROR(VLOOKUP(Tabela1[[#This Row],[CC]],#REF!,5,0),"")</f>
        <v/>
      </c>
      <c r="C487" t="s">
        <v>32</v>
      </c>
      <c r="D487" t="s">
        <v>52</v>
      </c>
      <c r="E487" t="s">
        <v>375</v>
      </c>
      <c r="F487" t="s">
        <v>586</v>
      </c>
      <c r="G487" s="110">
        <v>4033</v>
      </c>
      <c r="H487" s="12">
        <v>45748</v>
      </c>
      <c r="I487" s="39">
        <v>28225.18</v>
      </c>
      <c r="J487" s="39">
        <v>26489.33</v>
      </c>
      <c r="K487" s="3">
        <v>45792</v>
      </c>
      <c r="L487" s="91">
        <v>45803</v>
      </c>
      <c r="M487" s="11">
        <v>45807</v>
      </c>
      <c r="N487" s="1" t="s">
        <v>588</v>
      </c>
      <c r="O487" s="35">
        <v>0</v>
      </c>
      <c r="P487"/>
      <c r="Q487" t="s">
        <v>55</v>
      </c>
      <c r="R487" t="s">
        <v>231</v>
      </c>
      <c r="S487" t="str">
        <f>IFERROR(VLOOKUP(Tabela1[[#This Row],[CC]],CC!$A$1:$H$403,8,0),"")</f>
        <v>OP1</v>
      </c>
    </row>
    <row r="488" spans="1:19" ht="12.75" customHeight="1" x14ac:dyDescent="0.3">
      <c r="A488" s="8">
        <v>1391</v>
      </c>
      <c r="B488" s="8" t="str">
        <f>IFERROR(VLOOKUP(Tabela1[[#This Row],[CC]],#REF!,5,0),"")</f>
        <v/>
      </c>
      <c r="C488" t="s">
        <v>32</v>
      </c>
      <c r="D488" t="s">
        <v>52</v>
      </c>
      <c r="E488" t="s">
        <v>375</v>
      </c>
      <c r="F488" t="s">
        <v>586</v>
      </c>
      <c r="G488" s="110">
        <v>4106</v>
      </c>
      <c r="H488" s="12">
        <v>45748</v>
      </c>
      <c r="I488" s="28">
        <v>244313.49</v>
      </c>
      <c r="J488" s="39">
        <v>229288.21</v>
      </c>
      <c r="K488" s="3">
        <v>45817</v>
      </c>
      <c r="L488" s="91">
        <v>45831</v>
      </c>
      <c r="M488" s="11">
        <v>45833</v>
      </c>
      <c r="N488" s="1" t="s">
        <v>588</v>
      </c>
      <c r="O488" s="35">
        <v>0</v>
      </c>
      <c r="P488"/>
      <c r="Q488" t="s">
        <v>55</v>
      </c>
      <c r="R488" t="s">
        <v>231</v>
      </c>
      <c r="S488" t="str">
        <f>IFERROR(VLOOKUP(Tabela1[[#This Row],[CC]],CC!$A$1:$H$403,8,0),"")</f>
        <v>OP1</v>
      </c>
    </row>
    <row r="489" spans="1:19" x14ac:dyDescent="0.3">
      <c r="A489" s="25">
        <v>1294</v>
      </c>
      <c r="B489" s="25" t="str">
        <f>IFERROR(VLOOKUP(Tabela1[[#This Row],[CC]],#REF!,5,0),"")</f>
        <v/>
      </c>
      <c r="C489" t="s">
        <v>32</v>
      </c>
      <c r="D489" t="s">
        <v>52</v>
      </c>
      <c r="E489" t="s">
        <v>268</v>
      </c>
      <c r="F489" t="s">
        <v>586</v>
      </c>
      <c r="G489" s="110">
        <v>4012</v>
      </c>
      <c r="H489" s="12">
        <v>45748</v>
      </c>
      <c r="I489" s="28">
        <v>13537.5</v>
      </c>
      <c r="J489" s="28">
        <v>12704.95</v>
      </c>
      <c r="K489" s="3">
        <v>45786</v>
      </c>
      <c r="L489" s="91">
        <v>45803</v>
      </c>
      <c r="M489" s="11">
        <v>45803</v>
      </c>
      <c r="N489" s="1" t="s">
        <v>588</v>
      </c>
      <c r="O489" s="35">
        <v>0</v>
      </c>
      <c r="P489"/>
      <c r="Q489" t="s">
        <v>55</v>
      </c>
      <c r="R489" t="s">
        <v>231</v>
      </c>
      <c r="S489" t="str">
        <f>IFERROR(VLOOKUP(Tabela1[[#This Row],[CC]],CC!$A$1:$H$403,8,0),"")</f>
        <v>OP1</v>
      </c>
    </row>
    <row r="490" spans="1:19" x14ac:dyDescent="0.3">
      <c r="A490" s="25">
        <v>1294</v>
      </c>
      <c r="B490" s="25" t="str">
        <f>IFERROR(VLOOKUP(Tabela1[[#This Row],[CC]],#REF!,5,0),"")</f>
        <v/>
      </c>
      <c r="C490" t="s">
        <v>32</v>
      </c>
      <c r="D490" t="s">
        <v>52</v>
      </c>
      <c r="E490" t="s">
        <v>268</v>
      </c>
      <c r="F490" t="s">
        <v>586</v>
      </c>
      <c r="G490" s="110">
        <v>4011</v>
      </c>
      <c r="H490" s="12">
        <v>45748</v>
      </c>
      <c r="I490" s="28">
        <v>26727.98</v>
      </c>
      <c r="J490" s="28">
        <v>25084.21</v>
      </c>
      <c r="K490" s="3">
        <v>45786</v>
      </c>
      <c r="L490" s="91">
        <v>45803</v>
      </c>
      <c r="M490" s="11">
        <v>45803</v>
      </c>
      <c r="N490" s="1" t="s">
        <v>588</v>
      </c>
      <c r="O490" s="35">
        <v>0</v>
      </c>
      <c r="P490"/>
      <c r="Q490" t="s">
        <v>55</v>
      </c>
      <c r="R490" t="s">
        <v>231</v>
      </c>
      <c r="S490" t="str">
        <f>IFERROR(VLOOKUP(Tabela1[[#This Row],[CC]],CC!$A$1:$H$403,8,0),"")</f>
        <v>OP1</v>
      </c>
    </row>
    <row r="491" spans="1:19" x14ac:dyDescent="0.3">
      <c r="A491" s="25">
        <v>1294</v>
      </c>
      <c r="B491" s="25" t="str">
        <f>IFERROR(VLOOKUP(Tabela1[[#This Row],[CC]],#REF!,5,0),"")</f>
        <v/>
      </c>
      <c r="C491" t="s">
        <v>32</v>
      </c>
      <c r="D491" t="s">
        <v>52</v>
      </c>
      <c r="E491" t="s">
        <v>268</v>
      </c>
      <c r="F491" t="s">
        <v>586</v>
      </c>
      <c r="G491" s="110">
        <v>4010</v>
      </c>
      <c r="H491" s="12">
        <v>45748</v>
      </c>
      <c r="I491" s="28">
        <v>57366.400000000001</v>
      </c>
      <c r="J491" s="28">
        <v>53838.36</v>
      </c>
      <c r="K491" s="3">
        <v>45786</v>
      </c>
      <c r="L491" s="91">
        <v>45803</v>
      </c>
      <c r="M491" s="11">
        <v>45803</v>
      </c>
      <c r="N491" s="1" t="s">
        <v>588</v>
      </c>
      <c r="O491" s="35">
        <v>0</v>
      </c>
      <c r="P491"/>
      <c r="Q491" t="s">
        <v>55</v>
      </c>
      <c r="R491" t="s">
        <v>231</v>
      </c>
      <c r="S491" t="str">
        <f>IFERROR(VLOOKUP(Tabela1[[#This Row],[CC]],CC!$A$1:$H$403,8,0),"")</f>
        <v>OP1</v>
      </c>
    </row>
    <row r="492" spans="1:19" x14ac:dyDescent="0.3">
      <c r="A492" s="25">
        <v>1294</v>
      </c>
      <c r="B492" s="25" t="str">
        <f>IFERROR(VLOOKUP(Tabela1[[#This Row],[CC]],#REF!,5,0),"")</f>
        <v/>
      </c>
      <c r="C492" t="s">
        <v>32</v>
      </c>
      <c r="D492" t="s">
        <v>52</v>
      </c>
      <c r="E492" t="s">
        <v>268</v>
      </c>
      <c r="F492" t="s">
        <v>586</v>
      </c>
      <c r="G492" s="110">
        <v>4003</v>
      </c>
      <c r="H492" s="12">
        <v>45748</v>
      </c>
      <c r="I492" s="28">
        <v>9175.0300000000007</v>
      </c>
      <c r="J492" s="28">
        <v>8610.76</v>
      </c>
      <c r="K492" s="3">
        <v>45786</v>
      </c>
      <c r="L492" s="91">
        <v>45803</v>
      </c>
      <c r="M492" s="11">
        <v>45803</v>
      </c>
      <c r="N492" s="1" t="s">
        <v>588</v>
      </c>
      <c r="O492" s="35">
        <v>0</v>
      </c>
      <c r="P492"/>
      <c r="Q492" t="s">
        <v>55</v>
      </c>
      <c r="R492" t="s">
        <v>231</v>
      </c>
      <c r="S492" t="str">
        <f>IFERROR(VLOOKUP(Tabela1[[#This Row],[CC]],CC!$A$1:$H$403,8,0),"")</f>
        <v>OP1</v>
      </c>
    </row>
    <row r="493" spans="1:19" x14ac:dyDescent="0.3">
      <c r="A493" s="25">
        <v>1294</v>
      </c>
      <c r="B493" s="25" t="str">
        <f>IFERROR(VLOOKUP(Tabela1[[#This Row],[CC]],#REF!,5,0),"")</f>
        <v/>
      </c>
      <c r="C493" t="s">
        <v>32</v>
      </c>
      <c r="D493" t="s">
        <v>52</v>
      </c>
      <c r="E493" t="s">
        <v>268</v>
      </c>
      <c r="F493" t="s">
        <v>586</v>
      </c>
      <c r="G493" s="110">
        <v>4016</v>
      </c>
      <c r="H493" s="12">
        <v>45748</v>
      </c>
      <c r="I493" s="28">
        <v>83465.62</v>
      </c>
      <c r="J493" s="28">
        <v>78332.490000000005</v>
      </c>
      <c r="K493" s="3">
        <v>45789</v>
      </c>
      <c r="L493" s="91">
        <v>45803</v>
      </c>
      <c r="M493" s="11">
        <v>45804</v>
      </c>
      <c r="N493" s="1" t="s">
        <v>588</v>
      </c>
      <c r="O493" s="35">
        <v>0</v>
      </c>
      <c r="P493"/>
      <c r="Q493" t="s">
        <v>55</v>
      </c>
      <c r="R493" t="s">
        <v>231</v>
      </c>
      <c r="S493" t="str">
        <f>IFERROR(VLOOKUP(Tabela1[[#This Row],[CC]],CC!$A$1:$H$403,8,0),"")</f>
        <v>OP1</v>
      </c>
    </row>
    <row r="494" spans="1:19" x14ac:dyDescent="0.3">
      <c r="A494" s="25">
        <v>1294</v>
      </c>
      <c r="B494" s="25" t="str">
        <f>IFERROR(VLOOKUP(Tabela1[[#This Row],[CC]],#REF!,5,0),"")</f>
        <v/>
      </c>
      <c r="C494" t="s">
        <v>32</v>
      </c>
      <c r="D494" t="s">
        <v>52</v>
      </c>
      <c r="E494" t="s">
        <v>268</v>
      </c>
      <c r="F494" t="s">
        <v>586</v>
      </c>
      <c r="G494" s="110">
        <v>4024</v>
      </c>
      <c r="H494" s="12">
        <v>45748</v>
      </c>
      <c r="I494" s="28">
        <v>3594.94</v>
      </c>
      <c r="J494" s="28">
        <v>3373.86</v>
      </c>
      <c r="K494" s="3">
        <v>45790</v>
      </c>
      <c r="L494" s="91">
        <v>45803</v>
      </c>
      <c r="M494" s="11">
        <v>45805</v>
      </c>
      <c r="N494" s="1" t="s">
        <v>588</v>
      </c>
      <c r="O494" s="35">
        <v>0</v>
      </c>
      <c r="P494"/>
      <c r="Q494" t="s">
        <v>55</v>
      </c>
      <c r="R494" t="s">
        <v>231</v>
      </c>
      <c r="S494" t="str">
        <f>IFERROR(VLOOKUP(Tabela1[[#This Row],[CC]],CC!$A$1:$H$403,8,0),"")</f>
        <v>OP1</v>
      </c>
    </row>
    <row r="495" spans="1:19" x14ac:dyDescent="0.3">
      <c r="A495" s="25">
        <v>1294</v>
      </c>
      <c r="B495" s="25" t="str">
        <f>IFERROR(VLOOKUP(Tabela1[[#This Row],[CC]],#REF!,5,0),"")</f>
        <v/>
      </c>
      <c r="C495" t="s">
        <v>32</v>
      </c>
      <c r="D495" t="s">
        <v>52</v>
      </c>
      <c r="E495" t="s">
        <v>268</v>
      </c>
      <c r="F495" t="s">
        <v>586</v>
      </c>
      <c r="G495" s="110">
        <v>4023</v>
      </c>
      <c r="H495" s="12">
        <v>45748</v>
      </c>
      <c r="I495" s="28">
        <v>290646</v>
      </c>
      <c r="J495" s="28">
        <v>272771.27</v>
      </c>
      <c r="K495" s="3">
        <v>45790</v>
      </c>
      <c r="L495" s="91">
        <v>45803</v>
      </c>
      <c r="M495" s="11">
        <v>45805</v>
      </c>
      <c r="N495" s="1" t="s">
        <v>588</v>
      </c>
      <c r="O495" s="35">
        <v>0</v>
      </c>
      <c r="P495"/>
      <c r="Q495" t="s">
        <v>55</v>
      </c>
      <c r="R495" t="s">
        <v>231</v>
      </c>
      <c r="S495" t="str">
        <f>IFERROR(VLOOKUP(Tabela1[[#This Row],[CC]],CC!$A$1:$H$403,8,0),"")</f>
        <v>OP1</v>
      </c>
    </row>
    <row r="496" spans="1:19" x14ac:dyDescent="0.3">
      <c r="A496" s="25">
        <v>1294</v>
      </c>
      <c r="B496" s="25" t="str">
        <f>IFERROR(VLOOKUP(Tabela1[[#This Row],[CC]],#REF!,5,0),"")</f>
        <v/>
      </c>
      <c r="C496" t="s">
        <v>32</v>
      </c>
      <c r="D496" t="s">
        <v>52</v>
      </c>
      <c r="E496" t="s">
        <v>268</v>
      </c>
      <c r="F496" t="s">
        <v>586</v>
      </c>
      <c r="G496" s="110">
        <v>4025</v>
      </c>
      <c r="H496" s="12">
        <v>45748</v>
      </c>
      <c r="I496" s="28">
        <v>41842.06</v>
      </c>
      <c r="J496" s="39">
        <v>39268.769999999997</v>
      </c>
      <c r="K496" s="3">
        <v>45791</v>
      </c>
      <c r="L496" s="91">
        <v>45803</v>
      </c>
      <c r="M496" s="11">
        <v>45806</v>
      </c>
      <c r="N496" s="1" t="s">
        <v>588</v>
      </c>
      <c r="O496" s="35">
        <v>0</v>
      </c>
      <c r="P496"/>
      <c r="Q496" t="s">
        <v>55</v>
      </c>
      <c r="R496" t="s">
        <v>231</v>
      </c>
      <c r="S496" t="str">
        <f>IFERROR(VLOOKUP(Tabela1[[#This Row],[CC]],CC!$A$1:$H$403,8,0),"")</f>
        <v>OP1</v>
      </c>
    </row>
    <row r="497" spans="1:19" x14ac:dyDescent="0.3">
      <c r="A497" s="25">
        <v>1294</v>
      </c>
      <c r="B497" s="25" t="str">
        <f>IFERROR(VLOOKUP(Tabela1[[#This Row],[CC]],#REF!,5,0),"")</f>
        <v/>
      </c>
      <c r="C497" t="s">
        <v>32</v>
      </c>
      <c r="D497" t="s">
        <v>52</v>
      </c>
      <c r="E497" t="s">
        <v>268</v>
      </c>
      <c r="F497" t="s">
        <v>586</v>
      </c>
      <c r="G497" s="110">
        <v>4034</v>
      </c>
      <c r="H497" s="12">
        <v>45748</v>
      </c>
      <c r="I497" s="39">
        <v>120977.01</v>
      </c>
      <c r="J497" s="39">
        <v>113536.92</v>
      </c>
      <c r="K497" s="3">
        <v>45792</v>
      </c>
      <c r="L497" s="91">
        <v>45803</v>
      </c>
      <c r="M497" s="11">
        <v>45807</v>
      </c>
      <c r="N497" s="1" t="s">
        <v>588</v>
      </c>
      <c r="O497" s="35">
        <v>0</v>
      </c>
      <c r="P497"/>
      <c r="Q497" t="s">
        <v>55</v>
      </c>
      <c r="R497" t="s">
        <v>231</v>
      </c>
      <c r="S497" t="str">
        <f>IFERROR(VLOOKUP(Tabela1[[#This Row],[CC]],CC!$A$1:$H$403,8,0),"")</f>
        <v>OP1</v>
      </c>
    </row>
    <row r="498" spans="1:19" x14ac:dyDescent="0.3">
      <c r="A498" s="25">
        <v>1294</v>
      </c>
      <c r="B498" s="25" t="str">
        <f>IFERROR(VLOOKUP(Tabela1[[#This Row],[CC]],#REF!,5,0),"")</f>
        <v/>
      </c>
      <c r="C498" t="s">
        <v>32</v>
      </c>
      <c r="D498" t="s">
        <v>52</v>
      </c>
      <c r="E498" t="s">
        <v>268</v>
      </c>
      <c r="F498" t="s">
        <v>586</v>
      </c>
      <c r="G498" s="110">
        <v>4032</v>
      </c>
      <c r="H498" s="12">
        <v>45748</v>
      </c>
      <c r="I498" s="39">
        <v>189744</v>
      </c>
      <c r="J498" s="39">
        <v>178074.74</v>
      </c>
      <c r="K498" s="3">
        <v>45792</v>
      </c>
      <c r="L498" s="91">
        <v>45803</v>
      </c>
      <c r="M498" s="11">
        <v>45807</v>
      </c>
      <c r="N498" s="1" t="s">
        <v>588</v>
      </c>
      <c r="O498" s="35">
        <v>0</v>
      </c>
      <c r="P498"/>
      <c r="Q498" t="s">
        <v>55</v>
      </c>
      <c r="R498" t="s">
        <v>231</v>
      </c>
      <c r="S498" t="str">
        <f>IFERROR(VLOOKUP(Tabela1[[#This Row],[CC]],CC!$A$1:$H$403,8,0),"")</f>
        <v>OP1</v>
      </c>
    </row>
    <row r="499" spans="1:19" x14ac:dyDescent="0.3">
      <c r="A499" s="25">
        <v>1294</v>
      </c>
      <c r="B499" s="25" t="str">
        <f>IFERROR(VLOOKUP(Tabela1[[#This Row],[CC]],#REF!,5,0),"")</f>
        <v/>
      </c>
      <c r="C499" t="s">
        <v>32</v>
      </c>
      <c r="D499" t="s">
        <v>52</v>
      </c>
      <c r="E499" t="s">
        <v>268</v>
      </c>
      <c r="F499" t="s">
        <v>586</v>
      </c>
      <c r="G499" s="110">
        <v>4037</v>
      </c>
      <c r="H499" s="12">
        <v>45748</v>
      </c>
      <c r="I499" s="39">
        <v>76996.19</v>
      </c>
      <c r="J499" s="39">
        <v>72260.929999999993</v>
      </c>
      <c r="K499" s="3">
        <v>45797</v>
      </c>
      <c r="L499" s="91">
        <v>45803</v>
      </c>
      <c r="M499" s="11">
        <v>45807</v>
      </c>
      <c r="N499" s="1" t="s">
        <v>588</v>
      </c>
      <c r="O499" s="35">
        <v>0</v>
      </c>
      <c r="P499"/>
      <c r="Q499" t="s">
        <v>55</v>
      </c>
      <c r="R499" t="s">
        <v>231</v>
      </c>
      <c r="S499" t="str">
        <f>IFERROR(VLOOKUP(Tabela1[[#This Row],[CC]],CC!$A$1:$H$403,8,0),"")</f>
        <v>OP1</v>
      </c>
    </row>
    <row r="500" spans="1:19" x14ac:dyDescent="0.3">
      <c r="A500" s="25">
        <v>1294</v>
      </c>
      <c r="B500" s="25" t="str">
        <f>IFERROR(VLOOKUP(Tabela1[[#This Row],[CC]],#REF!,5,0),"")</f>
        <v/>
      </c>
      <c r="C500" t="s">
        <v>32</v>
      </c>
      <c r="D500" t="s">
        <v>52</v>
      </c>
      <c r="E500" t="s">
        <v>268</v>
      </c>
      <c r="F500" t="s">
        <v>586</v>
      </c>
      <c r="G500" s="110">
        <v>4036</v>
      </c>
      <c r="H500" s="12">
        <v>45748</v>
      </c>
      <c r="I500" s="28">
        <v>6831.35</v>
      </c>
      <c r="J500" s="28">
        <v>6411.22</v>
      </c>
      <c r="K500" s="3">
        <v>45797</v>
      </c>
      <c r="L500" s="91">
        <v>45810</v>
      </c>
      <c r="M500" s="11">
        <v>45812</v>
      </c>
      <c r="N500" s="1" t="s">
        <v>588</v>
      </c>
      <c r="O500" s="35">
        <v>0</v>
      </c>
      <c r="P500"/>
      <c r="Q500" t="s">
        <v>55</v>
      </c>
      <c r="R500" t="s">
        <v>231</v>
      </c>
      <c r="S500" t="str">
        <f>IFERROR(VLOOKUP(Tabela1[[#This Row],[CC]],CC!$A$1:$H$403,8,0),"")</f>
        <v>OP1</v>
      </c>
    </row>
    <row r="501" spans="1:19" x14ac:dyDescent="0.3">
      <c r="A501" s="25">
        <v>1294</v>
      </c>
      <c r="B501" s="25" t="str">
        <f>IFERROR(VLOOKUP(Tabela1[[#This Row],[CC]],#REF!,5,0),"")</f>
        <v/>
      </c>
      <c r="C501" t="s">
        <v>32</v>
      </c>
      <c r="D501" t="s">
        <v>52</v>
      </c>
      <c r="E501" t="s">
        <v>268</v>
      </c>
      <c r="F501" t="s">
        <v>586</v>
      </c>
      <c r="G501" s="110">
        <v>4058</v>
      </c>
      <c r="H501" s="12">
        <v>45748</v>
      </c>
      <c r="I501" s="28">
        <v>965.79</v>
      </c>
      <c r="J501" s="28">
        <v>906.39</v>
      </c>
      <c r="K501" s="3">
        <v>45799</v>
      </c>
      <c r="L501" s="91">
        <v>45810</v>
      </c>
      <c r="M501" s="11">
        <v>45814</v>
      </c>
      <c r="N501" s="1" t="s">
        <v>588</v>
      </c>
      <c r="O501" s="35">
        <v>0</v>
      </c>
      <c r="P501"/>
      <c r="Q501" t="s">
        <v>55</v>
      </c>
      <c r="R501" t="s">
        <v>231</v>
      </c>
      <c r="S501" t="str">
        <f>IFERROR(VLOOKUP(Tabela1[[#This Row],[CC]],CC!$A$1:$H$403,8,0),"")</f>
        <v>OP1</v>
      </c>
    </row>
    <row r="502" spans="1:19" x14ac:dyDescent="0.3">
      <c r="A502" s="25">
        <v>1285</v>
      </c>
      <c r="B502" s="25" t="str">
        <f>IFERROR(VLOOKUP(Tabela1[[#This Row],[CC]],#REF!,5,0),"")</f>
        <v/>
      </c>
      <c r="C502" t="s">
        <v>32</v>
      </c>
      <c r="D502" t="s">
        <v>52</v>
      </c>
      <c r="E502" t="s">
        <v>259</v>
      </c>
      <c r="F502" t="s">
        <v>586</v>
      </c>
      <c r="G502" s="110">
        <v>3989</v>
      </c>
      <c r="H502" s="12">
        <v>45748</v>
      </c>
      <c r="I502" s="24">
        <v>7089.08</v>
      </c>
      <c r="J502" s="24">
        <v>6653.1</v>
      </c>
      <c r="K502" s="3">
        <v>45775</v>
      </c>
      <c r="L502" s="91">
        <v>45803</v>
      </c>
      <c r="M502" s="11">
        <v>45805</v>
      </c>
      <c r="N502" s="1" t="s">
        <v>588</v>
      </c>
      <c r="O502" s="35">
        <v>0</v>
      </c>
      <c r="P502" s="26"/>
      <c r="Q502" t="s">
        <v>55</v>
      </c>
      <c r="R502" t="s">
        <v>231</v>
      </c>
      <c r="S502" t="str">
        <f>IFERROR(VLOOKUP(Tabela1[[#This Row],[CC]],CC!$A$1:$H$403,8,0),"")</f>
        <v>OP1</v>
      </c>
    </row>
    <row r="503" spans="1:19" x14ac:dyDescent="0.3">
      <c r="A503" s="25">
        <v>1285</v>
      </c>
      <c r="B503" s="25" t="str">
        <f>IFERROR(VLOOKUP(Tabela1[[#This Row],[CC]],#REF!,5,0),"")</f>
        <v/>
      </c>
      <c r="C503" t="s">
        <v>32</v>
      </c>
      <c r="D503" t="s">
        <v>52</v>
      </c>
      <c r="E503" t="s">
        <v>259</v>
      </c>
      <c r="F503" t="s">
        <v>586</v>
      </c>
      <c r="G503" s="110">
        <v>3988</v>
      </c>
      <c r="H503" s="12">
        <v>45748</v>
      </c>
      <c r="I503" s="24">
        <v>25534.32</v>
      </c>
      <c r="J503" s="24">
        <v>23963.96</v>
      </c>
      <c r="K503" s="3">
        <v>45775</v>
      </c>
      <c r="L503" s="91">
        <v>45803</v>
      </c>
      <c r="M503" s="11">
        <v>45805</v>
      </c>
      <c r="N503" s="1" t="s">
        <v>588</v>
      </c>
      <c r="O503" s="35">
        <v>0</v>
      </c>
      <c r="P503" s="26"/>
      <c r="Q503" t="s">
        <v>55</v>
      </c>
      <c r="R503" t="s">
        <v>231</v>
      </c>
      <c r="S503" t="str">
        <f>IFERROR(VLOOKUP(Tabela1[[#This Row],[CC]],CC!$A$1:$H$403,8,0),"")</f>
        <v>OP1</v>
      </c>
    </row>
    <row r="504" spans="1:19" x14ac:dyDescent="0.3">
      <c r="A504" s="25">
        <v>1292</v>
      </c>
      <c r="B504" s="25" t="str">
        <f>IFERROR(VLOOKUP(Tabela1[[#This Row],[CC]],#REF!,5,0),"")</f>
        <v/>
      </c>
      <c r="C504" t="s">
        <v>32</v>
      </c>
      <c r="D504" t="s">
        <v>56</v>
      </c>
      <c r="E504" t="s">
        <v>266</v>
      </c>
      <c r="F504" t="s">
        <v>586</v>
      </c>
      <c r="G504" s="107">
        <v>3999</v>
      </c>
      <c r="H504" s="12">
        <v>45748</v>
      </c>
      <c r="I504" s="24">
        <v>18585.560000000001</v>
      </c>
      <c r="J504" s="24">
        <v>17442.55</v>
      </c>
      <c r="K504" s="3">
        <v>45782</v>
      </c>
      <c r="L504" s="91">
        <v>45796</v>
      </c>
      <c r="M504" s="11">
        <v>45797</v>
      </c>
      <c r="N504" s="1" t="s">
        <v>588</v>
      </c>
      <c r="O504" s="35">
        <v>0</v>
      </c>
      <c r="P504"/>
      <c r="Q504" t="s">
        <v>55</v>
      </c>
      <c r="R504" t="s">
        <v>231</v>
      </c>
      <c r="S504" t="str">
        <f>IFERROR(VLOOKUP(Tabela1[[#This Row],[CC]],CC!$A$1:$H$403,8,0),"")</f>
        <v>OP1</v>
      </c>
    </row>
    <row r="505" spans="1:19" x14ac:dyDescent="0.3">
      <c r="A505" s="25">
        <v>1292</v>
      </c>
      <c r="B505" s="25" t="str">
        <f>IFERROR(VLOOKUP(Tabela1[[#This Row],[CC]],#REF!,5,0),"")</f>
        <v/>
      </c>
      <c r="C505" t="s">
        <v>32</v>
      </c>
      <c r="D505" t="s">
        <v>56</v>
      </c>
      <c r="E505" t="s">
        <v>266</v>
      </c>
      <c r="F505" t="s">
        <v>586</v>
      </c>
      <c r="G505" s="107">
        <v>4001</v>
      </c>
      <c r="H505" s="12">
        <v>45748</v>
      </c>
      <c r="I505" s="24">
        <v>14604.87</v>
      </c>
      <c r="J505" s="24">
        <v>13706.67</v>
      </c>
      <c r="K505" s="3">
        <v>45782</v>
      </c>
      <c r="L505" s="91">
        <v>45796</v>
      </c>
      <c r="M505" s="11">
        <v>45797</v>
      </c>
      <c r="N505" s="1" t="s">
        <v>588</v>
      </c>
      <c r="O505" s="35">
        <v>0</v>
      </c>
      <c r="P505"/>
      <c r="Q505" t="s">
        <v>55</v>
      </c>
      <c r="R505" t="s">
        <v>231</v>
      </c>
      <c r="S505" t="str">
        <f>IFERROR(VLOOKUP(Tabela1[[#This Row],[CC]],CC!$A$1:$H$403,8,0),"")</f>
        <v>OP1</v>
      </c>
    </row>
    <row r="506" spans="1:19" x14ac:dyDescent="0.3">
      <c r="A506" s="25">
        <v>1292</v>
      </c>
      <c r="B506" s="25" t="str">
        <f>IFERROR(VLOOKUP(Tabela1[[#This Row],[CC]],#REF!,5,0),"")</f>
        <v/>
      </c>
      <c r="C506" t="s">
        <v>32</v>
      </c>
      <c r="D506" t="s">
        <v>56</v>
      </c>
      <c r="E506" t="s">
        <v>266</v>
      </c>
      <c r="F506" t="s">
        <v>586</v>
      </c>
      <c r="G506" s="107">
        <v>4000</v>
      </c>
      <c r="H506" s="12">
        <v>45748</v>
      </c>
      <c r="I506" s="24">
        <v>11844.08</v>
      </c>
      <c r="J506" s="24">
        <v>11115.67</v>
      </c>
      <c r="K506" s="3">
        <v>45782</v>
      </c>
      <c r="L506" s="91">
        <v>45796</v>
      </c>
      <c r="M506" s="11">
        <v>45797</v>
      </c>
      <c r="N506" s="1" t="s">
        <v>588</v>
      </c>
      <c r="O506" s="35">
        <v>0</v>
      </c>
      <c r="P506"/>
      <c r="Q506" t="s">
        <v>55</v>
      </c>
      <c r="R506" t="s">
        <v>231</v>
      </c>
      <c r="S506" t="str">
        <f>IFERROR(VLOOKUP(Tabela1[[#This Row],[CC]],CC!$A$1:$H$403,8,0),"")</f>
        <v>OP1</v>
      </c>
    </row>
    <row r="507" spans="1:19" x14ac:dyDescent="0.3">
      <c r="A507" s="25">
        <v>1292</v>
      </c>
      <c r="B507" s="25" t="str">
        <f>IFERROR(VLOOKUP(Tabela1[[#This Row],[CC]],#REF!,5,0),"")</f>
        <v/>
      </c>
      <c r="C507" t="s">
        <v>32</v>
      </c>
      <c r="D507" t="s">
        <v>56</v>
      </c>
      <c r="E507" t="s">
        <v>266</v>
      </c>
      <c r="F507" t="s">
        <v>586</v>
      </c>
      <c r="G507" s="110">
        <v>4002</v>
      </c>
      <c r="H507" s="12">
        <v>45748</v>
      </c>
      <c r="I507" s="24">
        <v>31008</v>
      </c>
      <c r="J507" s="24">
        <v>29101.01</v>
      </c>
      <c r="K507" s="3">
        <v>45785</v>
      </c>
      <c r="L507" s="91">
        <v>45796</v>
      </c>
      <c r="M507" s="11">
        <v>45800</v>
      </c>
      <c r="N507" s="1" t="s">
        <v>588</v>
      </c>
      <c r="O507" s="35">
        <v>0</v>
      </c>
      <c r="P507"/>
      <c r="Q507" t="s">
        <v>55</v>
      </c>
      <c r="R507" t="s">
        <v>231</v>
      </c>
      <c r="S507" t="str">
        <f>IFERROR(VLOOKUP(Tabela1[[#This Row],[CC]],CC!$A$1:$H$403,8,0),"")</f>
        <v>OP1</v>
      </c>
    </row>
    <row r="508" spans="1:19" x14ac:dyDescent="0.3">
      <c r="A508" s="25">
        <v>1292</v>
      </c>
      <c r="B508" s="25" t="str">
        <f>IFERROR(VLOOKUP(Tabela1[[#This Row],[CC]],#REF!,5,0),"")</f>
        <v/>
      </c>
      <c r="C508" t="s">
        <v>32</v>
      </c>
      <c r="D508" t="s">
        <v>56</v>
      </c>
      <c r="E508" t="s">
        <v>266</v>
      </c>
      <c r="F508" t="s">
        <v>586</v>
      </c>
      <c r="G508" s="110">
        <v>4014</v>
      </c>
      <c r="H508" s="12">
        <v>45748</v>
      </c>
      <c r="I508" s="24">
        <v>34633.19</v>
      </c>
      <c r="J508" s="24">
        <v>32503.25</v>
      </c>
      <c r="K508" s="3">
        <v>45786</v>
      </c>
      <c r="L508" s="91">
        <v>45803</v>
      </c>
      <c r="M508" s="11">
        <v>45803</v>
      </c>
      <c r="N508" s="1" t="s">
        <v>588</v>
      </c>
      <c r="O508" s="35">
        <v>0</v>
      </c>
      <c r="P508"/>
      <c r="Q508" t="s">
        <v>55</v>
      </c>
      <c r="R508" t="s">
        <v>231</v>
      </c>
      <c r="S508" t="str">
        <f>IFERROR(VLOOKUP(Tabela1[[#This Row],[CC]],CC!$A$1:$H$403,8,0),"")</f>
        <v>OP1</v>
      </c>
    </row>
    <row r="509" spans="1:19" x14ac:dyDescent="0.3">
      <c r="A509" s="25">
        <v>1292</v>
      </c>
      <c r="B509" s="25" t="str">
        <f>IFERROR(VLOOKUP(Tabela1[[#This Row],[CC]],#REF!,5,0),"")</f>
        <v/>
      </c>
      <c r="C509" t="s">
        <v>32</v>
      </c>
      <c r="D509" t="s">
        <v>56</v>
      </c>
      <c r="E509" t="s">
        <v>266</v>
      </c>
      <c r="F509" t="s">
        <v>586</v>
      </c>
      <c r="G509" s="110">
        <v>4013</v>
      </c>
      <c r="H509" s="12">
        <v>45748</v>
      </c>
      <c r="I509" s="24">
        <v>1470.52</v>
      </c>
      <c r="J509" s="24">
        <v>1380.08</v>
      </c>
      <c r="K509" s="3">
        <v>45786</v>
      </c>
      <c r="L509" s="91">
        <v>45803</v>
      </c>
      <c r="M509" s="11">
        <v>45803</v>
      </c>
      <c r="N509" s="1" t="s">
        <v>588</v>
      </c>
      <c r="O509" s="35">
        <v>0</v>
      </c>
      <c r="P509"/>
      <c r="Q509" t="s">
        <v>55</v>
      </c>
      <c r="R509" t="s">
        <v>231</v>
      </c>
      <c r="S509" t="str">
        <f>IFERROR(VLOOKUP(Tabela1[[#This Row],[CC]],CC!$A$1:$H$403,8,0),"")</f>
        <v>OP1</v>
      </c>
    </row>
    <row r="510" spans="1:19" x14ac:dyDescent="0.3">
      <c r="A510" s="25">
        <v>1292</v>
      </c>
      <c r="B510" s="25" t="str">
        <f>IFERROR(VLOOKUP(Tabela1[[#This Row],[CC]],#REF!,5,0),"")</f>
        <v/>
      </c>
      <c r="C510" t="s">
        <v>32</v>
      </c>
      <c r="D510" t="s">
        <v>56</v>
      </c>
      <c r="E510" t="s">
        <v>266</v>
      </c>
      <c r="F510" t="s">
        <v>586</v>
      </c>
      <c r="G510" s="110">
        <v>4019</v>
      </c>
      <c r="H510" s="12">
        <v>45748</v>
      </c>
      <c r="I510" s="27">
        <v>134253.73000000001</v>
      </c>
      <c r="J510" s="27">
        <v>125997.12</v>
      </c>
      <c r="K510" s="3">
        <v>45789</v>
      </c>
      <c r="L510" s="91">
        <v>45803</v>
      </c>
      <c r="M510" s="11">
        <v>45807</v>
      </c>
      <c r="N510" s="1" t="s">
        <v>588</v>
      </c>
      <c r="O510" s="35">
        <v>0</v>
      </c>
      <c r="P510"/>
      <c r="Q510" t="s">
        <v>55</v>
      </c>
      <c r="R510" t="s">
        <v>231</v>
      </c>
      <c r="S510" t="str">
        <f>IFERROR(VLOOKUP(Tabela1[[#This Row],[CC]],CC!$A$1:$H$403,8,0),"")</f>
        <v>OP1</v>
      </c>
    </row>
    <row r="511" spans="1:19" x14ac:dyDescent="0.3">
      <c r="A511" s="25">
        <v>1292</v>
      </c>
      <c r="B511" s="25" t="str">
        <f>IFERROR(VLOOKUP(Tabela1[[#This Row],[CC]],#REF!,5,0),"")</f>
        <v/>
      </c>
      <c r="C511" t="s">
        <v>32</v>
      </c>
      <c r="D511" t="s">
        <v>56</v>
      </c>
      <c r="E511" t="s">
        <v>266</v>
      </c>
      <c r="F511" t="s">
        <v>586</v>
      </c>
      <c r="G511" s="110">
        <v>4022</v>
      </c>
      <c r="H511" s="12">
        <v>45748</v>
      </c>
      <c r="I511" s="24">
        <v>55680</v>
      </c>
      <c r="J511" s="27">
        <v>52255.68</v>
      </c>
      <c r="K511" s="3">
        <v>45789</v>
      </c>
      <c r="L511" s="91">
        <v>45803</v>
      </c>
      <c r="M511" s="11">
        <v>45804</v>
      </c>
      <c r="N511" s="1" t="s">
        <v>588</v>
      </c>
      <c r="O511" s="35">
        <v>0</v>
      </c>
      <c r="P511"/>
      <c r="Q511" t="s">
        <v>55</v>
      </c>
      <c r="R511" t="s">
        <v>231</v>
      </c>
      <c r="S511" t="str">
        <f>IFERROR(VLOOKUP(Tabela1[[#This Row],[CC]],CC!$A$1:$H$403,8,0),"")</f>
        <v>OP1</v>
      </c>
    </row>
    <row r="512" spans="1:19" x14ac:dyDescent="0.3">
      <c r="A512" s="25">
        <v>1292</v>
      </c>
      <c r="B512" s="25" t="str">
        <f>IFERROR(VLOOKUP(Tabela1[[#This Row],[CC]],#REF!,5,0),"")</f>
        <v/>
      </c>
      <c r="C512" t="s">
        <v>32</v>
      </c>
      <c r="D512" t="s">
        <v>56</v>
      </c>
      <c r="E512" t="s">
        <v>266</v>
      </c>
      <c r="F512" t="s">
        <v>586</v>
      </c>
      <c r="G512" s="110">
        <v>4020</v>
      </c>
      <c r="H512" s="12">
        <v>45748</v>
      </c>
      <c r="I512" s="24">
        <v>46853.99</v>
      </c>
      <c r="J512" s="27">
        <v>43972.47</v>
      </c>
      <c r="K512" s="3">
        <v>45789</v>
      </c>
      <c r="L512" s="91">
        <v>45803</v>
      </c>
      <c r="M512" s="11">
        <v>45804</v>
      </c>
      <c r="N512" s="1" t="s">
        <v>588</v>
      </c>
      <c r="O512" s="35">
        <v>0</v>
      </c>
      <c r="P512"/>
      <c r="Q512" t="s">
        <v>55</v>
      </c>
      <c r="R512" t="s">
        <v>231</v>
      </c>
      <c r="S512" t="str">
        <f>IFERROR(VLOOKUP(Tabela1[[#This Row],[CC]],CC!$A$1:$H$403,8,0),"")</f>
        <v>OP1</v>
      </c>
    </row>
    <row r="513" spans="1:19" x14ac:dyDescent="0.3">
      <c r="A513" s="25">
        <v>1292</v>
      </c>
      <c r="B513" s="25" t="str">
        <f>IFERROR(VLOOKUP(Tabela1[[#This Row],[CC]],#REF!,5,0),"")</f>
        <v/>
      </c>
      <c r="C513" t="s">
        <v>32</v>
      </c>
      <c r="D513" t="s">
        <v>56</v>
      </c>
      <c r="E513" t="s">
        <v>266</v>
      </c>
      <c r="F513" t="s">
        <v>586</v>
      </c>
      <c r="G513" s="110">
        <v>4027</v>
      </c>
      <c r="H513" s="12">
        <v>45748</v>
      </c>
      <c r="I513" s="24">
        <v>61996</v>
      </c>
      <c r="J513" s="27">
        <v>58183.25</v>
      </c>
      <c r="K513" s="3">
        <v>45791</v>
      </c>
      <c r="L513" s="91">
        <v>45803</v>
      </c>
      <c r="M513" s="11">
        <v>45806</v>
      </c>
      <c r="N513" s="1" t="s">
        <v>588</v>
      </c>
      <c r="O513" s="35">
        <v>0</v>
      </c>
      <c r="P513"/>
      <c r="Q513" t="s">
        <v>55</v>
      </c>
      <c r="R513" t="s">
        <v>231</v>
      </c>
      <c r="S513" t="str">
        <f>IFERROR(VLOOKUP(Tabela1[[#This Row],[CC]],CC!$A$1:$H$403,8,0),"")</f>
        <v>OP1</v>
      </c>
    </row>
    <row r="514" spans="1:19" x14ac:dyDescent="0.3">
      <c r="A514" s="25">
        <v>1292</v>
      </c>
      <c r="B514" s="25" t="str">
        <f>IFERROR(VLOOKUP(Tabela1[[#This Row],[CC]],#REF!,5,0),"")</f>
        <v/>
      </c>
      <c r="C514" t="s">
        <v>32</v>
      </c>
      <c r="D514" t="s">
        <v>56</v>
      </c>
      <c r="E514" t="s">
        <v>266</v>
      </c>
      <c r="F514" t="s">
        <v>586</v>
      </c>
      <c r="G514" s="110">
        <v>4026</v>
      </c>
      <c r="H514" s="12">
        <v>45748</v>
      </c>
      <c r="I514" s="24">
        <v>60707.37</v>
      </c>
      <c r="J514" s="27">
        <v>56973.87</v>
      </c>
      <c r="K514" s="3">
        <v>45791</v>
      </c>
      <c r="L514" s="91">
        <v>45803</v>
      </c>
      <c r="M514" s="11">
        <v>45806</v>
      </c>
      <c r="N514" s="1" t="s">
        <v>588</v>
      </c>
      <c r="O514" s="35">
        <v>0</v>
      </c>
      <c r="P514"/>
      <c r="Q514" t="s">
        <v>55</v>
      </c>
      <c r="R514" t="s">
        <v>231</v>
      </c>
      <c r="S514" t="str">
        <f>IFERROR(VLOOKUP(Tabela1[[#This Row],[CC]],CC!$A$1:$H$403,8,0),"")</f>
        <v>OP1</v>
      </c>
    </row>
    <row r="515" spans="1:19" x14ac:dyDescent="0.3">
      <c r="A515" s="25">
        <v>1292</v>
      </c>
      <c r="B515" s="25" t="str">
        <f>IFERROR(VLOOKUP(Tabela1[[#This Row],[CC]],#REF!,5,0),"")</f>
        <v/>
      </c>
      <c r="C515" t="s">
        <v>32</v>
      </c>
      <c r="D515" t="s">
        <v>56</v>
      </c>
      <c r="E515" t="s">
        <v>266</v>
      </c>
      <c r="F515" t="s">
        <v>586</v>
      </c>
      <c r="G515" s="110">
        <v>4132</v>
      </c>
      <c r="H515" s="12">
        <v>45748</v>
      </c>
      <c r="I515" s="24">
        <v>12330.05</v>
      </c>
      <c r="J515" s="24">
        <v>11571.75</v>
      </c>
      <c r="K515" s="3">
        <v>45824</v>
      </c>
      <c r="L515" s="91">
        <v>45839</v>
      </c>
      <c r="M515" s="11">
        <v>45839</v>
      </c>
      <c r="N515" s="1" t="s">
        <v>588</v>
      </c>
      <c r="O515" s="35">
        <v>0</v>
      </c>
      <c r="P515"/>
      <c r="Q515" t="s">
        <v>55</v>
      </c>
      <c r="R515" t="s">
        <v>231</v>
      </c>
      <c r="S515" t="str">
        <f>IFERROR(VLOOKUP(Tabela1[[#This Row],[CC]],CC!$A$1:$H$403,8,0),"")</f>
        <v>OP1</v>
      </c>
    </row>
    <row r="516" spans="1:19" x14ac:dyDescent="0.3">
      <c r="A516" s="25">
        <v>1484</v>
      </c>
      <c r="B516" s="25" t="str">
        <f>IFERROR(VLOOKUP(Tabela1[[#This Row],[CC]],#REF!,5,0),"")</f>
        <v/>
      </c>
      <c r="C516" t="s">
        <v>32</v>
      </c>
      <c r="D516" t="s">
        <v>56</v>
      </c>
      <c r="E516" t="s">
        <v>489</v>
      </c>
      <c r="F516" t="s">
        <v>586</v>
      </c>
      <c r="G516" s="110">
        <v>4021</v>
      </c>
      <c r="H516" s="12">
        <v>45748</v>
      </c>
      <c r="I516" s="24">
        <v>36570.74</v>
      </c>
      <c r="J516" s="27">
        <v>34321.64</v>
      </c>
      <c r="K516" s="3">
        <v>45789</v>
      </c>
      <c r="L516" s="91">
        <v>45803</v>
      </c>
      <c r="M516" s="11">
        <v>45804</v>
      </c>
      <c r="N516" s="1" t="s">
        <v>588</v>
      </c>
      <c r="O516" s="35">
        <v>0</v>
      </c>
      <c r="P516"/>
      <c r="Q516" t="s">
        <v>57</v>
      </c>
      <c r="R516" t="s">
        <v>231</v>
      </c>
      <c r="S516" t="str">
        <f>IFERROR(VLOOKUP(Tabela1[[#This Row],[CC]],CC!$A$1:$H$403,8,0),"")</f>
        <v>OP1</v>
      </c>
    </row>
    <row r="517" spans="1:19" x14ac:dyDescent="0.3">
      <c r="A517" s="25">
        <v>1398</v>
      </c>
      <c r="B517" s="25" t="str">
        <f>IFERROR(VLOOKUP(Tabela1[[#This Row],[CC]],#REF!,5,0),"")</f>
        <v/>
      </c>
      <c r="C517" t="s">
        <v>67</v>
      </c>
      <c r="D517" t="s">
        <v>42</v>
      </c>
      <c r="E517" t="s">
        <v>383</v>
      </c>
      <c r="F517" t="s">
        <v>586</v>
      </c>
      <c r="G517" s="107">
        <v>8337</v>
      </c>
      <c r="H517" s="12">
        <v>45748</v>
      </c>
      <c r="I517" s="27">
        <v>5562</v>
      </c>
      <c r="J517" s="24">
        <v>5219.9399999999996</v>
      </c>
      <c r="K517" s="3">
        <v>45793</v>
      </c>
      <c r="L517" s="91">
        <v>45824</v>
      </c>
      <c r="M517" s="11">
        <v>45824</v>
      </c>
      <c r="N517" s="18" t="s">
        <v>588</v>
      </c>
      <c r="O517" s="35">
        <v>0</v>
      </c>
      <c r="P517"/>
      <c r="Q517" t="s">
        <v>58</v>
      </c>
      <c r="R517" t="s">
        <v>183</v>
      </c>
      <c r="S517" t="str">
        <f>IFERROR(VLOOKUP(Tabela1[[#This Row],[CC]],CC!$A$1:$H$403,8,0),"")</f>
        <v>OP2</v>
      </c>
    </row>
    <row r="518" spans="1:19" x14ac:dyDescent="0.3">
      <c r="A518" s="25">
        <v>1398</v>
      </c>
      <c r="B518" s="25" t="str">
        <f>IFERROR(VLOOKUP(Tabela1[[#This Row],[CC]],#REF!,5,0),"")</f>
        <v/>
      </c>
      <c r="C518" t="s">
        <v>67</v>
      </c>
      <c r="D518" t="s">
        <v>42</v>
      </c>
      <c r="E518" t="s">
        <v>383</v>
      </c>
      <c r="F518" t="s">
        <v>586</v>
      </c>
      <c r="G518" s="107">
        <v>8318</v>
      </c>
      <c r="H518" s="12">
        <v>45748</v>
      </c>
      <c r="I518" s="27">
        <v>48000</v>
      </c>
      <c r="J518" s="24">
        <v>45048</v>
      </c>
      <c r="K518" s="3">
        <v>45782</v>
      </c>
      <c r="L518" s="91">
        <v>45796</v>
      </c>
      <c r="M518" s="11">
        <v>45796</v>
      </c>
      <c r="N518" s="18" t="s">
        <v>588</v>
      </c>
      <c r="O518" s="35">
        <v>0</v>
      </c>
      <c r="P518"/>
      <c r="Q518" t="s">
        <v>58</v>
      </c>
      <c r="R518" t="s">
        <v>183</v>
      </c>
      <c r="S518" t="str">
        <f>IFERROR(VLOOKUP(Tabela1[[#This Row],[CC]],CC!$A$1:$H$403,8,0),"")</f>
        <v>OP2</v>
      </c>
    </row>
    <row r="519" spans="1:19" x14ac:dyDescent="0.3">
      <c r="A519" s="25">
        <v>1398</v>
      </c>
      <c r="B519" s="25" t="str">
        <f>IFERROR(VLOOKUP(Tabela1[[#This Row],[CC]],#REF!,5,0),"")</f>
        <v/>
      </c>
      <c r="C519" t="s">
        <v>67</v>
      </c>
      <c r="D519" t="s">
        <v>42</v>
      </c>
      <c r="E519" t="s">
        <v>383</v>
      </c>
      <c r="F519" t="s">
        <v>586</v>
      </c>
      <c r="G519" s="107">
        <v>8328</v>
      </c>
      <c r="H519" s="12">
        <v>45748</v>
      </c>
      <c r="I519" s="27">
        <v>26093.54</v>
      </c>
      <c r="J519" s="24">
        <v>24488.79</v>
      </c>
      <c r="K519" s="3">
        <v>45785</v>
      </c>
      <c r="L519" s="91">
        <v>45817</v>
      </c>
      <c r="M519" s="11">
        <v>45817</v>
      </c>
      <c r="N519" s="18" t="s">
        <v>588</v>
      </c>
      <c r="O519" s="35">
        <v>0</v>
      </c>
      <c r="P519"/>
      <c r="Q519" t="s">
        <v>58</v>
      </c>
      <c r="R519" t="s">
        <v>183</v>
      </c>
      <c r="S519" t="str">
        <f>IFERROR(VLOOKUP(Tabela1[[#This Row],[CC]],CC!$A$1:$H$403,8,0),"")</f>
        <v>OP2</v>
      </c>
    </row>
    <row r="520" spans="1:19" x14ac:dyDescent="0.3">
      <c r="A520" s="25">
        <v>1398</v>
      </c>
      <c r="B520" s="25" t="str">
        <f>IFERROR(VLOOKUP(Tabela1[[#This Row],[CC]],#REF!,5,0),"")</f>
        <v/>
      </c>
      <c r="C520" t="s">
        <v>67</v>
      </c>
      <c r="D520" t="s">
        <v>42</v>
      </c>
      <c r="E520" t="s">
        <v>383</v>
      </c>
      <c r="F520" t="s">
        <v>586</v>
      </c>
      <c r="G520" s="107">
        <v>8392</v>
      </c>
      <c r="H520" s="12">
        <v>45748</v>
      </c>
      <c r="I520" s="27">
        <v>75919.81</v>
      </c>
      <c r="J520" s="24">
        <v>71250.740000000005</v>
      </c>
      <c r="K520" s="3">
        <v>45833</v>
      </c>
      <c r="L520" s="91">
        <v>45894</v>
      </c>
      <c r="M520" s="11">
        <v>45894</v>
      </c>
      <c r="N520" s="18" t="s">
        <v>588</v>
      </c>
      <c r="O520" s="35">
        <v>0</v>
      </c>
      <c r="P520"/>
      <c r="Q520" t="s">
        <v>58</v>
      </c>
      <c r="R520" t="s">
        <v>183</v>
      </c>
      <c r="S520" t="str">
        <f>IFERROR(VLOOKUP(Tabela1[[#This Row],[CC]],CC!$A$1:$H$403,8,0),"")</f>
        <v>OP2</v>
      </c>
    </row>
    <row r="521" spans="1:19" x14ac:dyDescent="0.3">
      <c r="A521" s="8">
        <v>1393</v>
      </c>
      <c r="B521" s="8" t="str">
        <f>IFERROR(VLOOKUP(Tabela1[[#This Row],[CC]],#REF!,5,0),"")</f>
        <v/>
      </c>
      <c r="C521" t="s">
        <v>70</v>
      </c>
      <c r="D521" t="str">
        <f>IFERROR(VLOOKUP(Tabela1[[#This Row],[CC]],CC!$A$1:$I$3869,3,0),"")</f>
        <v xml:space="preserve">DETRAN-BA </v>
      </c>
      <c r="E521" t="s">
        <v>377</v>
      </c>
      <c r="F521" t="s">
        <v>586</v>
      </c>
      <c r="G521" s="110">
        <v>8343</v>
      </c>
      <c r="H521" s="12">
        <v>45748</v>
      </c>
      <c r="I521" s="10">
        <v>446627.93</v>
      </c>
      <c r="J521" s="10">
        <v>400625.25</v>
      </c>
      <c r="K521" s="3">
        <v>45799</v>
      </c>
      <c r="L521" s="91">
        <v>45817</v>
      </c>
      <c r="M521" s="5">
        <v>45819</v>
      </c>
      <c r="N521" s="18" t="s">
        <v>588</v>
      </c>
      <c r="O521" s="34"/>
      <c r="P521" s="14"/>
      <c r="Q521" t="s">
        <v>58</v>
      </c>
      <c r="R521" t="s">
        <v>195</v>
      </c>
      <c r="S521" t="str">
        <f>IFERROR(VLOOKUP(Tabela1[[#This Row],[CC]],CC!$A$1:$H$403,8,0),"")</f>
        <v>OP4</v>
      </c>
    </row>
    <row r="522" spans="1:19" x14ac:dyDescent="0.3">
      <c r="A522" s="8">
        <v>1476</v>
      </c>
      <c r="B522" s="8" t="str">
        <f>IFERROR(VLOOKUP(Tabela1[[#This Row],[CC]],#REF!,5,0),"")</f>
        <v/>
      </c>
      <c r="C522" t="s">
        <v>70</v>
      </c>
      <c r="D522" t="s">
        <v>26</v>
      </c>
      <c r="E522" t="s">
        <v>481</v>
      </c>
      <c r="F522" t="s">
        <v>586</v>
      </c>
      <c r="G522" s="107">
        <v>8326</v>
      </c>
      <c r="H522" s="12">
        <v>45748</v>
      </c>
      <c r="I522" s="24">
        <v>318628.40000000002</v>
      </c>
      <c r="J522" s="24">
        <v>285809.68</v>
      </c>
      <c r="K522" s="3">
        <v>45783</v>
      </c>
      <c r="L522" s="91">
        <v>45796</v>
      </c>
      <c r="M522" s="5">
        <v>45799</v>
      </c>
      <c r="N522" s="21" t="s">
        <v>588</v>
      </c>
      <c r="O522" s="34"/>
      <c r="P522" s="14"/>
      <c r="Q522" t="s">
        <v>58</v>
      </c>
      <c r="R522" t="s">
        <v>195</v>
      </c>
      <c r="S522" t="str">
        <f>IFERROR(VLOOKUP(Tabela1[[#This Row],[CC]],CC!$A$1:$H$403,8,0),"")</f>
        <v>OP4</v>
      </c>
    </row>
    <row r="523" spans="1:19" x14ac:dyDescent="0.3">
      <c r="A523" s="8">
        <v>1476</v>
      </c>
      <c r="B523" s="8" t="str">
        <f>IFERROR(VLOOKUP(Tabela1[[#This Row],[CC]],#REF!,5,0),"")</f>
        <v/>
      </c>
      <c r="C523" t="s">
        <v>70</v>
      </c>
      <c r="D523" t="s">
        <v>26</v>
      </c>
      <c r="E523" t="s">
        <v>481</v>
      </c>
      <c r="F523" t="s">
        <v>586</v>
      </c>
      <c r="G523" s="107">
        <v>8325</v>
      </c>
      <c r="H523" s="12">
        <v>45748</v>
      </c>
      <c r="I523" s="24">
        <v>315.01</v>
      </c>
      <c r="J523" s="24">
        <v>282.56</v>
      </c>
      <c r="K523" s="3">
        <v>45783</v>
      </c>
      <c r="L523" s="91">
        <v>45796</v>
      </c>
      <c r="M523" s="5">
        <v>45797</v>
      </c>
      <c r="N523" s="21" t="s">
        <v>588</v>
      </c>
      <c r="O523" s="34"/>
      <c r="P523" s="14"/>
      <c r="Q523" t="s">
        <v>58</v>
      </c>
      <c r="R523" t="s">
        <v>195</v>
      </c>
      <c r="S523" t="str">
        <f>IFERROR(VLOOKUP(Tabela1[[#This Row],[CC]],CC!$A$1:$H$403,8,0),"")</f>
        <v>OP4</v>
      </c>
    </row>
    <row r="524" spans="1:19" x14ac:dyDescent="0.3">
      <c r="A524" s="25">
        <v>1296</v>
      </c>
      <c r="B524" s="25" t="str">
        <f>IFERROR(VLOOKUP(Tabela1[[#This Row],[CC]],#REF!,5,0),"")</f>
        <v/>
      </c>
      <c r="C524" t="s">
        <v>66</v>
      </c>
      <c r="D524" t="s">
        <v>16</v>
      </c>
      <c r="E524" t="s">
        <v>271</v>
      </c>
      <c r="F524" t="s">
        <v>586</v>
      </c>
      <c r="G524" s="107">
        <v>1250</v>
      </c>
      <c r="H524" s="12">
        <v>45748</v>
      </c>
      <c r="I524" s="24">
        <v>462378.86</v>
      </c>
      <c r="J524" s="24">
        <v>424694.98</v>
      </c>
      <c r="K524" s="3">
        <v>45789</v>
      </c>
      <c r="L524" s="91">
        <v>45796</v>
      </c>
      <c r="M524" s="29">
        <v>45799</v>
      </c>
      <c r="N524" s="18" t="s">
        <v>588</v>
      </c>
      <c r="O524" s="41"/>
      <c r="P524" s="26"/>
      <c r="Q524" t="s">
        <v>58</v>
      </c>
      <c r="R524" t="s">
        <v>183</v>
      </c>
      <c r="S524" t="str">
        <f>IFERROR(VLOOKUP(Tabela1[[#This Row],[CC]],CC!$A$1:$H$403,8,0),"")</f>
        <v>OP2</v>
      </c>
    </row>
    <row r="525" spans="1:19" x14ac:dyDescent="0.3">
      <c r="A525" s="25">
        <v>1296</v>
      </c>
      <c r="B525" s="25" t="str">
        <f>IFERROR(VLOOKUP(Tabela1[[#This Row],[CC]],#REF!,5,0),"")</f>
        <v/>
      </c>
      <c r="C525" t="s">
        <v>66</v>
      </c>
      <c r="D525" t="s">
        <v>16</v>
      </c>
      <c r="E525" t="s">
        <v>271</v>
      </c>
      <c r="F525" t="s">
        <v>586</v>
      </c>
      <c r="G525" s="107">
        <v>1270</v>
      </c>
      <c r="H525" s="12">
        <v>45748</v>
      </c>
      <c r="I525" s="24">
        <v>369617.83</v>
      </c>
      <c r="J525" s="24">
        <v>339493.98</v>
      </c>
      <c r="K525" s="3">
        <v>45825</v>
      </c>
      <c r="L525" s="91">
        <v>45831</v>
      </c>
      <c r="M525" s="29">
        <v>45835</v>
      </c>
      <c r="N525" s="18" t="s">
        <v>588</v>
      </c>
      <c r="O525" s="41"/>
      <c r="P525" s="26"/>
      <c r="Q525" t="s">
        <v>58</v>
      </c>
      <c r="R525" t="s">
        <v>183</v>
      </c>
      <c r="S525" t="str">
        <f>IFERROR(VLOOKUP(Tabela1[[#This Row],[CC]],CC!$A$1:$H$403,8,0),"")</f>
        <v>OP2</v>
      </c>
    </row>
    <row r="526" spans="1:19" x14ac:dyDescent="0.3">
      <c r="A526" s="8">
        <v>1300</v>
      </c>
      <c r="B526" s="8" t="str">
        <f>IFERROR(VLOOKUP(Tabela1[[#This Row],[CC]],#REF!,5,0),"")</f>
        <v/>
      </c>
      <c r="C526" t="s">
        <v>66</v>
      </c>
      <c r="D526" t="s">
        <v>16</v>
      </c>
      <c r="E526" t="s">
        <v>275</v>
      </c>
      <c r="F526" t="s">
        <v>586</v>
      </c>
      <c r="G526" s="110">
        <v>1254</v>
      </c>
      <c r="H526" s="12">
        <v>45748</v>
      </c>
      <c r="I526" s="10">
        <v>332447.14</v>
      </c>
      <c r="J526" s="10">
        <v>305352.7</v>
      </c>
      <c r="K526" s="3">
        <v>45793</v>
      </c>
      <c r="L526" s="91">
        <v>45824</v>
      </c>
      <c r="M526" s="5">
        <v>45824</v>
      </c>
      <c r="N526" s="36" t="s">
        <v>588</v>
      </c>
      <c r="O526" s="37">
        <v>0</v>
      </c>
      <c r="P526" s="14"/>
      <c r="Q526" t="s">
        <v>58</v>
      </c>
      <c r="R526" t="s">
        <v>183</v>
      </c>
      <c r="S526" t="str">
        <f>IFERROR(VLOOKUP(Tabela1[[#This Row],[CC]],CC!$A$1:$H$403,8,0),"")</f>
        <v>OP2</v>
      </c>
    </row>
    <row r="527" spans="1:19" x14ac:dyDescent="0.3">
      <c r="A527" s="8">
        <v>1300</v>
      </c>
      <c r="B527" s="8" t="str">
        <f>IFERROR(VLOOKUP(Tabela1[[#This Row],[CC]],#REF!,5,0),"")</f>
        <v/>
      </c>
      <c r="C527" t="s">
        <v>66</v>
      </c>
      <c r="D527" t="s">
        <v>16</v>
      </c>
      <c r="E527" t="s">
        <v>275</v>
      </c>
      <c r="F527" t="s">
        <v>586</v>
      </c>
      <c r="G527" s="110">
        <v>8338</v>
      </c>
      <c r="H527" s="12">
        <v>45748</v>
      </c>
      <c r="I527" s="10">
        <v>35127.120000000003</v>
      </c>
      <c r="J527" s="10">
        <v>32264.26</v>
      </c>
      <c r="K527" s="3">
        <v>45793</v>
      </c>
      <c r="L527" s="91">
        <v>45824</v>
      </c>
      <c r="M527" s="5">
        <v>45824</v>
      </c>
      <c r="N527" s="36" t="s">
        <v>588</v>
      </c>
      <c r="O527" s="37">
        <v>0</v>
      </c>
      <c r="P527" s="14"/>
      <c r="Q527" t="s">
        <v>58</v>
      </c>
      <c r="R527" t="s">
        <v>183</v>
      </c>
      <c r="S527" t="str">
        <f>IFERROR(VLOOKUP(Tabela1[[#This Row],[CC]],CC!$A$1:$H$403,8,0),"")</f>
        <v>OP2</v>
      </c>
    </row>
    <row r="528" spans="1:19" x14ac:dyDescent="0.3">
      <c r="A528" s="25">
        <v>1290</v>
      </c>
      <c r="B528" s="25" t="str">
        <f>IFERROR(VLOOKUP(Tabela1[[#This Row],[CC]],#REF!,5,0),"")</f>
        <v/>
      </c>
      <c r="C528" t="s">
        <v>70</v>
      </c>
      <c r="D528" t="s">
        <v>20</v>
      </c>
      <c r="E528" t="s">
        <v>264</v>
      </c>
      <c r="F528" t="s">
        <v>586</v>
      </c>
      <c r="G528" s="110">
        <v>8322</v>
      </c>
      <c r="H528" s="12">
        <v>45748</v>
      </c>
      <c r="I528" s="24">
        <v>53175.27</v>
      </c>
      <c r="J528" s="24">
        <v>46980.35</v>
      </c>
      <c r="K528" s="3">
        <v>45783</v>
      </c>
      <c r="L528" s="91">
        <v>45810</v>
      </c>
      <c r="M528" s="11">
        <v>45813</v>
      </c>
      <c r="N528" s="21" t="s">
        <v>588</v>
      </c>
      <c r="O528" s="35">
        <v>0</v>
      </c>
      <c r="P528" s="26"/>
      <c r="Q528" t="s">
        <v>58</v>
      </c>
      <c r="R528" t="s">
        <v>183</v>
      </c>
      <c r="S528" t="str">
        <f>IFERROR(VLOOKUP(Tabela1[[#This Row],[CC]],CC!$A$1:$H$403,8,0),"")</f>
        <v>OP4</v>
      </c>
    </row>
    <row r="529" spans="1:21" x14ac:dyDescent="0.3">
      <c r="A529" s="25">
        <v>1490</v>
      </c>
      <c r="B529" s="25" t="str">
        <f>IFERROR(VLOOKUP(Tabela1[[#This Row],[CC]],#REF!,5,0),"")</f>
        <v/>
      </c>
      <c r="C529" t="s">
        <v>70</v>
      </c>
      <c r="D529" t="s">
        <v>20</v>
      </c>
      <c r="E529" t="s">
        <v>495</v>
      </c>
      <c r="F529" t="s">
        <v>586</v>
      </c>
      <c r="G529" s="110">
        <v>8334</v>
      </c>
      <c r="H529" s="12">
        <v>45748</v>
      </c>
      <c r="I529" s="24">
        <v>2300</v>
      </c>
      <c r="J529" s="24">
        <v>2032.05</v>
      </c>
      <c r="K529" s="3">
        <v>45789</v>
      </c>
      <c r="L529" s="91">
        <v>45817</v>
      </c>
      <c r="M529" s="11">
        <v>45819</v>
      </c>
      <c r="N529" s="21" t="s">
        <v>588</v>
      </c>
      <c r="O529" s="35">
        <v>0</v>
      </c>
      <c r="P529" s="26"/>
      <c r="Q529" t="s">
        <v>58</v>
      </c>
      <c r="R529" t="s">
        <v>183</v>
      </c>
      <c r="S529" t="str">
        <f>IFERROR(VLOOKUP(Tabela1[[#This Row],[CC]],CC!$A$1:$H$403,8,0),"")</f>
        <v>OP4</v>
      </c>
    </row>
    <row r="530" spans="1:21" x14ac:dyDescent="0.3">
      <c r="A530" s="8">
        <v>1480</v>
      </c>
      <c r="B530" s="8" t="str">
        <f>IFERROR(VLOOKUP(Tabela1[[#This Row],[CC]],#REF!,5,0),"")</f>
        <v/>
      </c>
      <c r="C530" t="s">
        <v>51</v>
      </c>
      <c r="D530" t="s">
        <v>46</v>
      </c>
      <c r="E530" t="s">
        <v>590</v>
      </c>
      <c r="F530" t="s">
        <v>586</v>
      </c>
      <c r="G530" s="110">
        <v>4035</v>
      </c>
      <c r="H530" s="12">
        <v>45748</v>
      </c>
      <c r="I530" s="10">
        <v>339684.24</v>
      </c>
      <c r="J530" s="10">
        <v>318793.65000000002</v>
      </c>
      <c r="K530" s="3">
        <v>45796</v>
      </c>
      <c r="L530" s="91">
        <v>45803</v>
      </c>
      <c r="M530" s="5">
        <v>45806</v>
      </c>
      <c r="N530" s="18" t="s">
        <v>588</v>
      </c>
      <c r="O530" s="37"/>
      <c r="P530" s="14"/>
      <c r="Q530" t="s">
        <v>55</v>
      </c>
      <c r="R530" t="s">
        <v>231</v>
      </c>
      <c r="S530" t="str">
        <f>IFERROR(VLOOKUP(Tabela1[[#This Row],[CC]],CC!$A$1:$H$403,8,0),"")</f>
        <v>OP2</v>
      </c>
    </row>
    <row r="531" spans="1:21" x14ac:dyDescent="0.3">
      <c r="A531" s="8">
        <v>1475</v>
      </c>
      <c r="B531" s="8" t="str">
        <f>IFERROR(VLOOKUP(Tabela1[[#This Row],[CC]],#REF!,5,0),"")</f>
        <v/>
      </c>
      <c r="C531" t="s">
        <v>60</v>
      </c>
      <c r="D531" t="s">
        <v>35</v>
      </c>
      <c r="E531" t="s">
        <v>480</v>
      </c>
      <c r="F531" t="s">
        <v>586</v>
      </c>
      <c r="G531" s="110">
        <v>8324</v>
      </c>
      <c r="H531" s="12">
        <v>45748</v>
      </c>
      <c r="I531" s="10">
        <v>67387.39</v>
      </c>
      <c r="J531" s="10">
        <v>60446.49</v>
      </c>
      <c r="K531" s="3">
        <v>45784</v>
      </c>
      <c r="L531" s="91">
        <v>45796</v>
      </c>
      <c r="M531" s="11">
        <v>45797</v>
      </c>
      <c r="N531" s="18" t="s">
        <v>588</v>
      </c>
      <c r="O531" s="34">
        <v>0</v>
      </c>
      <c r="P531"/>
      <c r="Q531" t="s">
        <v>55</v>
      </c>
      <c r="R531" t="s">
        <v>195</v>
      </c>
      <c r="S531" t="str">
        <f>IFERROR(VLOOKUP(Tabela1[[#This Row],[CC]],CC!$A$1:$H$403,8,0),"")</f>
        <v>OP3</v>
      </c>
    </row>
    <row r="532" spans="1:21" x14ac:dyDescent="0.3">
      <c r="A532" s="8">
        <v>1472</v>
      </c>
      <c r="B532" s="8" t="str">
        <f>IFERROR(VLOOKUP(Tabela1[[#This Row],[CC]],#REF!,5,0),"")</f>
        <v/>
      </c>
      <c r="C532" t="s">
        <v>32</v>
      </c>
      <c r="D532" t="s">
        <v>21</v>
      </c>
      <c r="E532" t="s">
        <v>477</v>
      </c>
      <c r="F532" t="s">
        <v>586</v>
      </c>
      <c r="G532" s="110">
        <v>3992</v>
      </c>
      <c r="H532" s="12">
        <v>45748</v>
      </c>
      <c r="I532" s="10">
        <v>101744.1</v>
      </c>
      <c r="J532" s="24">
        <v>95486.84</v>
      </c>
      <c r="K532" s="3">
        <v>45779</v>
      </c>
      <c r="L532" s="91">
        <v>45789</v>
      </c>
      <c r="M532" s="11">
        <v>45791</v>
      </c>
      <c r="N532" s="18" t="s">
        <v>588</v>
      </c>
      <c r="O532" s="37"/>
      <c r="P532" s="14"/>
      <c r="Q532" t="s">
        <v>57</v>
      </c>
      <c r="R532" t="s">
        <v>231</v>
      </c>
      <c r="S532" t="str">
        <f>IFERROR(VLOOKUP(Tabela1[[#This Row],[CC]],CC!$A$1:$H$403,8,0),"")</f>
        <v>OP1</v>
      </c>
    </row>
    <row r="533" spans="1:21" x14ac:dyDescent="0.3">
      <c r="A533" s="8">
        <v>1378</v>
      </c>
      <c r="B533" s="8" t="str">
        <f>IFERROR(VLOOKUP(Tabela1[[#This Row],[CC]],#REF!,5,0),"")</f>
        <v/>
      </c>
      <c r="C533" t="s">
        <v>51</v>
      </c>
      <c r="D533" t="s">
        <v>5</v>
      </c>
      <c r="E533" t="s">
        <v>361</v>
      </c>
      <c r="F533" t="s">
        <v>586</v>
      </c>
      <c r="G533" s="110">
        <v>8340</v>
      </c>
      <c r="H533" s="12">
        <v>45748</v>
      </c>
      <c r="I533" s="10">
        <v>4281.29</v>
      </c>
      <c r="J533" s="10">
        <v>4017.99</v>
      </c>
      <c r="K533" s="3">
        <v>45796</v>
      </c>
      <c r="L533" s="91">
        <v>45817</v>
      </c>
      <c r="M533" s="5">
        <v>45817</v>
      </c>
      <c r="N533" s="18" t="s">
        <v>588</v>
      </c>
      <c r="O533" s="34">
        <v>0</v>
      </c>
      <c r="P533"/>
      <c r="Q533" t="s">
        <v>57</v>
      </c>
      <c r="R533" t="s">
        <v>231</v>
      </c>
      <c r="S533" t="str">
        <f>IFERROR(VLOOKUP(Tabela1[[#This Row],[CC]],CC!$A$1:$H$403,8,0),"")</f>
        <v>OP2</v>
      </c>
      <c r="T533" t="s">
        <v>1</v>
      </c>
      <c r="U533" t="s">
        <v>2</v>
      </c>
    </row>
    <row r="534" spans="1:21" x14ac:dyDescent="0.3">
      <c r="A534" s="8">
        <v>1247</v>
      </c>
      <c r="B534" s="8" t="str">
        <f>IFERROR(VLOOKUP(Tabela1[[#This Row],[CC]],#REF!,5,0),"")</f>
        <v/>
      </c>
      <c r="C534" t="s">
        <v>70</v>
      </c>
      <c r="D534" t="s">
        <v>14</v>
      </c>
      <c r="E534" t="s">
        <v>214</v>
      </c>
      <c r="F534" t="s">
        <v>586</v>
      </c>
      <c r="G534" s="110">
        <v>8313</v>
      </c>
      <c r="H534" s="12">
        <v>45748</v>
      </c>
      <c r="I534" s="24">
        <v>38395.360000000001</v>
      </c>
      <c r="J534" s="24">
        <v>34440.629999999997</v>
      </c>
      <c r="K534" s="3">
        <v>45779</v>
      </c>
      <c r="L534" s="91">
        <v>45789</v>
      </c>
      <c r="M534" s="11">
        <v>45793</v>
      </c>
      <c r="N534" s="18" t="s">
        <v>588</v>
      </c>
      <c r="O534" s="34">
        <v>0</v>
      </c>
      <c r="P534"/>
      <c r="Q534" t="s">
        <v>58</v>
      </c>
      <c r="R534" t="s">
        <v>195</v>
      </c>
      <c r="S534" t="str">
        <f>IFERROR(VLOOKUP(Tabela1[[#This Row],[CC]],CC!$A$1:$H$403,8,0),"")</f>
        <v>OP4</v>
      </c>
    </row>
    <row r="535" spans="1:21" x14ac:dyDescent="0.3">
      <c r="A535" s="8">
        <v>1358</v>
      </c>
      <c r="B535" s="8" t="str">
        <f>IFERROR(VLOOKUP(Tabela1[[#This Row],[CC]],#REF!,5,0),"")</f>
        <v/>
      </c>
      <c r="C535" t="s">
        <v>70</v>
      </c>
      <c r="D535" t="s">
        <v>12</v>
      </c>
      <c r="E535" t="s">
        <v>335</v>
      </c>
      <c r="F535" t="s">
        <v>586</v>
      </c>
      <c r="G535" s="110">
        <v>8347</v>
      </c>
      <c r="H535" s="12">
        <v>45748</v>
      </c>
      <c r="I535" s="10">
        <v>15890.83</v>
      </c>
      <c r="J535" s="10">
        <v>14254.07</v>
      </c>
      <c r="K535" s="3">
        <v>45807</v>
      </c>
      <c r="L535" s="91">
        <v>45831</v>
      </c>
      <c r="M535" s="11">
        <v>45831</v>
      </c>
      <c r="N535" s="18" t="s">
        <v>588</v>
      </c>
      <c r="O535" s="34">
        <v>0</v>
      </c>
      <c r="P535"/>
      <c r="Q535" t="s">
        <v>58</v>
      </c>
      <c r="R535" t="s">
        <v>195</v>
      </c>
      <c r="S535" t="str">
        <f>IFERROR(VLOOKUP(Tabela1[[#This Row],[CC]],CC!$A$1:$H$403,8,0),"")</f>
        <v>OP4</v>
      </c>
    </row>
    <row r="536" spans="1:21" x14ac:dyDescent="0.3">
      <c r="A536" s="8">
        <v>1358</v>
      </c>
      <c r="B536" s="8" t="str">
        <f>IFERROR(VLOOKUP(Tabela1[[#This Row],[CC]],#REF!,5,0),"")</f>
        <v/>
      </c>
      <c r="C536" t="s">
        <v>70</v>
      </c>
      <c r="D536" t="s">
        <v>12</v>
      </c>
      <c r="E536" t="s">
        <v>335</v>
      </c>
      <c r="F536" t="s">
        <v>586</v>
      </c>
      <c r="G536" s="110">
        <v>8362</v>
      </c>
      <c r="H536" s="12">
        <v>45748</v>
      </c>
      <c r="I536" s="10">
        <v>85164.92</v>
      </c>
      <c r="J536" s="45">
        <v>76392.929999999993</v>
      </c>
      <c r="K536" s="3">
        <v>45814</v>
      </c>
      <c r="L536" s="91">
        <v>45831</v>
      </c>
      <c r="M536" s="11">
        <v>45831</v>
      </c>
      <c r="N536" s="18" t="s">
        <v>588</v>
      </c>
      <c r="O536" s="34">
        <v>0</v>
      </c>
      <c r="P536"/>
      <c r="Q536" t="s">
        <v>58</v>
      </c>
      <c r="R536" t="s">
        <v>195</v>
      </c>
      <c r="S536" t="str">
        <f>IFERROR(VLOOKUP(Tabela1[[#This Row],[CC]],CC!$A$1:$H$403,8,0),"")</f>
        <v>OP4</v>
      </c>
    </row>
    <row r="537" spans="1:21" x14ac:dyDescent="0.3">
      <c r="A537" s="8">
        <v>1473</v>
      </c>
      <c r="B537" s="8" t="str">
        <f>IFERROR(VLOOKUP(Tabela1[[#This Row],[CC]],#REF!,5,0),"")</f>
        <v/>
      </c>
      <c r="C537" t="s">
        <v>70</v>
      </c>
      <c r="D537" t="s">
        <v>63</v>
      </c>
      <c r="E537" t="s">
        <v>478</v>
      </c>
      <c r="F537" t="s">
        <v>586</v>
      </c>
      <c r="G537" s="110">
        <v>8381</v>
      </c>
      <c r="H537" s="12">
        <v>45748</v>
      </c>
      <c r="I537" s="24">
        <v>218090.58</v>
      </c>
      <c r="J537" s="24">
        <v>203260.42</v>
      </c>
      <c r="K537" s="3">
        <v>45820</v>
      </c>
      <c r="L537" s="91">
        <v>45831</v>
      </c>
      <c r="M537" s="11">
        <v>45831</v>
      </c>
      <c r="N537" s="18" t="s">
        <v>588</v>
      </c>
      <c r="O537" s="34">
        <v>0</v>
      </c>
      <c r="P537"/>
      <c r="Q537" t="s">
        <v>58</v>
      </c>
      <c r="R537" t="s">
        <v>195</v>
      </c>
      <c r="S537" t="str">
        <f>IFERROR(VLOOKUP(Tabela1[[#This Row],[CC]],CC!$A$1:$H$403,8,0),"")</f>
        <v>OP4</v>
      </c>
    </row>
    <row r="538" spans="1:21" x14ac:dyDescent="0.3">
      <c r="A538" s="25">
        <v>1462</v>
      </c>
      <c r="B538" s="25" t="str">
        <f>IFERROR(VLOOKUP(Tabela1[[#This Row],[CC]],#REF!,5,0),"")</f>
        <v/>
      </c>
      <c r="C538" t="s">
        <v>67</v>
      </c>
      <c r="D538" t="s">
        <v>76</v>
      </c>
      <c r="E538" t="s">
        <v>465</v>
      </c>
      <c r="F538" t="s">
        <v>586</v>
      </c>
      <c r="G538" s="110">
        <v>8314</v>
      </c>
      <c r="H538" s="12">
        <v>45748</v>
      </c>
      <c r="I538" s="24">
        <v>800</v>
      </c>
      <c r="J538" s="24">
        <v>750.8</v>
      </c>
      <c r="K538" s="3">
        <v>45782</v>
      </c>
      <c r="L538" s="91">
        <v>45782</v>
      </c>
      <c r="M538" s="11">
        <v>45785</v>
      </c>
      <c r="N538" s="18" t="s">
        <v>588</v>
      </c>
      <c r="O538" s="35">
        <v>0</v>
      </c>
      <c r="P538" s="26"/>
      <c r="Q538" t="s">
        <v>58</v>
      </c>
      <c r="R538" t="s">
        <v>228</v>
      </c>
      <c r="S538" t="str">
        <f>IFERROR(VLOOKUP(Tabela1[[#This Row],[CC]],CC!$A$1:$H$403,8,0),"")</f>
        <v>OP2</v>
      </c>
    </row>
    <row r="539" spans="1:21" x14ac:dyDescent="0.3">
      <c r="A539" s="8">
        <v>1390</v>
      </c>
      <c r="B539" s="8" t="str">
        <f>IFERROR(VLOOKUP(Tabela1[[#This Row],[CC]],#REF!,5,0),"")</f>
        <v/>
      </c>
      <c r="C539" t="s">
        <v>66</v>
      </c>
      <c r="D539" t="s">
        <v>11</v>
      </c>
      <c r="E539" t="s">
        <v>374</v>
      </c>
      <c r="F539" t="s">
        <v>586</v>
      </c>
      <c r="G539" s="110">
        <v>1277</v>
      </c>
      <c r="H539" s="51">
        <v>45809</v>
      </c>
      <c r="I539" s="24">
        <v>147345.19</v>
      </c>
      <c r="J539" s="10">
        <v>130179.48</v>
      </c>
      <c r="K539" s="3">
        <v>45856</v>
      </c>
      <c r="L539" s="91">
        <v>45992</v>
      </c>
      <c r="M539" s="11">
        <v>45995</v>
      </c>
      <c r="N539" s="18" t="s">
        <v>588</v>
      </c>
      <c r="O539" s="54"/>
      <c r="P539"/>
      <c r="Q539" t="s">
        <v>58</v>
      </c>
      <c r="R539" t="s">
        <v>183</v>
      </c>
      <c r="S539" t="str">
        <f>IFERROR(VLOOKUP(Tabela1[[#This Row],[CC]],CC!$A$1:$H$403,8,0),"")</f>
        <v>OP2</v>
      </c>
    </row>
    <row r="540" spans="1:21" x14ac:dyDescent="0.3">
      <c r="A540" s="25">
        <v>1390</v>
      </c>
      <c r="B540" s="25" t="str">
        <f>IFERROR(VLOOKUP(Tabela1[[#This Row],[CC]],#REF!,5,0),"")</f>
        <v/>
      </c>
      <c r="C540" t="s">
        <v>66</v>
      </c>
      <c r="D540" t="s">
        <v>11</v>
      </c>
      <c r="E540" t="s">
        <v>374</v>
      </c>
      <c r="F540" t="s">
        <v>586</v>
      </c>
      <c r="G540" s="110">
        <v>1282</v>
      </c>
      <c r="H540" s="51">
        <v>45839</v>
      </c>
      <c r="I540" s="24">
        <v>147364.62</v>
      </c>
      <c r="J540" s="24">
        <v>130196.64</v>
      </c>
      <c r="K540" s="3">
        <v>45880</v>
      </c>
      <c r="L540" s="91">
        <v>45992</v>
      </c>
      <c r="M540" s="11">
        <v>45995</v>
      </c>
      <c r="N540" s="18" t="s">
        <v>588</v>
      </c>
      <c r="O540" s="38"/>
      <c r="P540"/>
      <c r="Q540" t="s">
        <v>58</v>
      </c>
      <c r="R540" t="s">
        <v>183</v>
      </c>
      <c r="S540" t="str">
        <f>IFERROR(VLOOKUP(Tabela1[[#This Row],[CC]],CC!$A$1:$H$403,8,0),"")</f>
        <v>OP2</v>
      </c>
    </row>
    <row r="541" spans="1:21" x14ac:dyDescent="0.3">
      <c r="A541" s="13">
        <v>1260</v>
      </c>
      <c r="B541" s="13" t="str">
        <f>IFERROR(VLOOKUP(Tabela1[[#This Row],[CC]],#REF!,5,0),"")</f>
        <v/>
      </c>
      <c r="C541" t="s">
        <v>51</v>
      </c>
      <c r="D541" t="s">
        <v>39</v>
      </c>
      <c r="E541" t="s">
        <v>227</v>
      </c>
      <c r="F541" t="s">
        <v>586</v>
      </c>
      <c r="G541" s="110">
        <v>3993</v>
      </c>
      <c r="H541" s="12">
        <v>45748</v>
      </c>
      <c r="I541" s="24">
        <v>10914</v>
      </c>
      <c r="J541" s="24">
        <v>10242.790000000001</v>
      </c>
      <c r="K541" s="3">
        <v>45779</v>
      </c>
      <c r="L541" s="91">
        <v>45796</v>
      </c>
      <c r="M541" s="11">
        <v>45798</v>
      </c>
      <c r="N541" s="19" t="s">
        <v>588</v>
      </c>
      <c r="O541" s="34">
        <v>0</v>
      </c>
      <c r="P541"/>
      <c r="Q541" t="s">
        <v>55</v>
      </c>
      <c r="R541" t="s">
        <v>228</v>
      </c>
      <c r="S541" t="str">
        <f>IFERROR(VLOOKUP(Tabela1[[#This Row],[CC]],CC!$A$1:$H$403,8,0),"")</f>
        <v>OP2</v>
      </c>
    </row>
    <row r="542" spans="1:21" x14ac:dyDescent="0.3">
      <c r="A542" s="25">
        <v>1485</v>
      </c>
      <c r="B542" s="25" t="str">
        <f>IFERROR(VLOOKUP(Tabela1[[#This Row],[CC]],#REF!,5,0),"")</f>
        <v/>
      </c>
      <c r="C542" t="s">
        <v>51</v>
      </c>
      <c r="D542" t="s">
        <v>23</v>
      </c>
      <c r="E542" t="s">
        <v>591</v>
      </c>
      <c r="F542" t="s">
        <v>586</v>
      </c>
      <c r="G542" s="110">
        <v>4015</v>
      </c>
      <c r="H542" s="12">
        <v>45748</v>
      </c>
      <c r="I542" s="24">
        <v>24807.919999999998</v>
      </c>
      <c r="J542" s="24">
        <v>23282.23</v>
      </c>
      <c r="K542" s="3">
        <v>45786</v>
      </c>
      <c r="L542" s="91">
        <v>45796</v>
      </c>
      <c r="M542" s="11">
        <v>45800</v>
      </c>
      <c r="N542" s="18" t="s">
        <v>588</v>
      </c>
      <c r="O542" s="35">
        <v>0</v>
      </c>
      <c r="P542" s="26"/>
      <c r="Q542" t="s">
        <v>55</v>
      </c>
      <c r="R542" t="s">
        <v>231</v>
      </c>
      <c r="S542" t="str">
        <f>IFERROR(VLOOKUP(Tabela1[[#This Row],[CC]],CC!$A$1:$H$403,8,0),"")</f>
        <v>OP2</v>
      </c>
    </row>
    <row r="543" spans="1:21" x14ac:dyDescent="0.3">
      <c r="A543" s="8">
        <v>1482</v>
      </c>
      <c r="B543" s="8" t="str">
        <f>IFERROR(VLOOKUP(Tabela1[[#This Row],[CC]],#REF!,5,0),"")</f>
        <v/>
      </c>
      <c r="C543" t="s">
        <v>66</v>
      </c>
      <c r="D543" t="s">
        <v>16</v>
      </c>
      <c r="E543" t="s">
        <v>487</v>
      </c>
      <c r="F543" t="s">
        <v>586</v>
      </c>
      <c r="G543" s="110">
        <v>8327</v>
      </c>
      <c r="H543" s="12">
        <v>45748</v>
      </c>
      <c r="I543" s="24">
        <v>39000</v>
      </c>
      <c r="J543" s="24">
        <v>35236.5</v>
      </c>
      <c r="K543" s="3">
        <v>45785</v>
      </c>
      <c r="L543" s="91">
        <v>45810</v>
      </c>
      <c r="M543" s="11">
        <v>45810</v>
      </c>
      <c r="N543" s="36" t="s">
        <v>588</v>
      </c>
      <c r="O543" s="42"/>
      <c r="P543" s="14"/>
      <c r="Q543" t="s">
        <v>58</v>
      </c>
      <c r="R543" t="s">
        <v>183</v>
      </c>
      <c r="S543" t="str">
        <f>IFERROR(VLOOKUP(Tabela1[[#This Row],[CC]],CC!$A$1:$H$403,8,0),"")</f>
        <v>OP2</v>
      </c>
    </row>
    <row r="544" spans="1:21" x14ac:dyDescent="0.3">
      <c r="A544" s="25">
        <v>1262</v>
      </c>
      <c r="B544" s="25" t="str">
        <f>IFERROR(VLOOKUP(Tabela1[[#This Row],[CC]],#REF!,5,0),"")</f>
        <v/>
      </c>
      <c r="C544" t="s">
        <v>51</v>
      </c>
      <c r="D544" t="s">
        <v>25</v>
      </c>
      <c r="E544" t="s">
        <v>230</v>
      </c>
      <c r="F544" t="s">
        <v>586</v>
      </c>
      <c r="G544" s="110">
        <v>4051</v>
      </c>
      <c r="H544" s="12">
        <v>45748</v>
      </c>
      <c r="I544" s="24">
        <v>6823.9</v>
      </c>
      <c r="J544" s="27">
        <v>6404.23</v>
      </c>
      <c r="K544" s="3">
        <v>45798</v>
      </c>
      <c r="L544" s="91">
        <v>45803</v>
      </c>
      <c r="M544" s="11">
        <v>45806</v>
      </c>
      <c r="N544" s="18" t="s">
        <v>588</v>
      </c>
      <c r="O544" s="35">
        <v>0</v>
      </c>
      <c r="P544" s="26"/>
      <c r="Q544" t="s">
        <v>55</v>
      </c>
      <c r="R544" t="s">
        <v>231</v>
      </c>
      <c r="S544" t="str">
        <f>IFERROR(VLOOKUP(Tabela1[[#This Row],[CC]],CC!$A$1:$H$403,8,0),"")</f>
        <v>OP2</v>
      </c>
    </row>
    <row r="545" spans="1:19" x14ac:dyDescent="0.3">
      <c r="A545" s="25">
        <v>1262</v>
      </c>
      <c r="B545" s="25" t="str">
        <f>IFERROR(VLOOKUP(Tabela1[[#This Row],[CC]],#REF!,5,0),"")</f>
        <v/>
      </c>
      <c r="C545" t="s">
        <v>51</v>
      </c>
      <c r="D545" t="s">
        <v>25</v>
      </c>
      <c r="E545" t="s">
        <v>230</v>
      </c>
      <c r="F545" t="s">
        <v>586</v>
      </c>
      <c r="G545" s="110">
        <v>4049</v>
      </c>
      <c r="H545" s="12">
        <v>45748</v>
      </c>
      <c r="I545" s="24">
        <v>57443.17</v>
      </c>
      <c r="J545" s="27">
        <v>53910.41</v>
      </c>
      <c r="K545" s="3">
        <v>45798</v>
      </c>
      <c r="L545" s="91">
        <v>45803</v>
      </c>
      <c r="M545" s="11">
        <v>45806</v>
      </c>
      <c r="N545" s="18" t="s">
        <v>588</v>
      </c>
      <c r="O545" s="35">
        <v>0</v>
      </c>
      <c r="P545" s="26"/>
      <c r="Q545" t="s">
        <v>55</v>
      </c>
      <c r="R545" t="s">
        <v>231</v>
      </c>
      <c r="S545" t="str">
        <f>IFERROR(VLOOKUP(Tabela1[[#This Row],[CC]],CC!$A$1:$H$403,8,0),"")</f>
        <v>OP2</v>
      </c>
    </row>
    <row r="546" spans="1:19" x14ac:dyDescent="0.3">
      <c r="A546" s="25">
        <v>1262</v>
      </c>
      <c r="B546" s="25" t="str">
        <f>IFERROR(VLOOKUP(Tabela1[[#This Row],[CC]],#REF!,5,0),"")</f>
        <v/>
      </c>
      <c r="C546" t="s">
        <v>51</v>
      </c>
      <c r="D546" t="s">
        <v>25</v>
      </c>
      <c r="E546" t="s">
        <v>230</v>
      </c>
      <c r="F546" t="s">
        <v>586</v>
      </c>
      <c r="G546" s="110">
        <v>4048</v>
      </c>
      <c r="H546" s="12">
        <v>45748</v>
      </c>
      <c r="I546" s="24">
        <v>15922.43</v>
      </c>
      <c r="J546" s="27">
        <v>14943.2</v>
      </c>
      <c r="K546" s="3">
        <v>45798</v>
      </c>
      <c r="L546" s="91">
        <v>45803</v>
      </c>
      <c r="M546" s="11">
        <v>45806</v>
      </c>
      <c r="N546" s="18" t="s">
        <v>588</v>
      </c>
      <c r="O546" s="35">
        <v>0</v>
      </c>
      <c r="P546" s="26"/>
      <c r="Q546" t="s">
        <v>55</v>
      </c>
      <c r="R546" t="s">
        <v>231</v>
      </c>
      <c r="S546" t="str">
        <f>IFERROR(VLOOKUP(Tabela1[[#This Row],[CC]],CC!$A$1:$H$403,8,0),"")</f>
        <v>OP2</v>
      </c>
    </row>
    <row r="547" spans="1:19" x14ac:dyDescent="0.3">
      <c r="A547" s="25">
        <v>1262</v>
      </c>
      <c r="B547" s="25" t="str">
        <f>IFERROR(VLOOKUP(Tabela1[[#This Row],[CC]],#REF!,5,0),"")</f>
        <v/>
      </c>
      <c r="C547" t="s">
        <v>51</v>
      </c>
      <c r="D547" t="s">
        <v>25</v>
      </c>
      <c r="E547" t="s">
        <v>230</v>
      </c>
      <c r="F547" t="s">
        <v>586</v>
      </c>
      <c r="G547" s="110">
        <v>4047</v>
      </c>
      <c r="H547" s="12">
        <v>45748</v>
      </c>
      <c r="I547" s="24">
        <v>17832.64</v>
      </c>
      <c r="J547" s="27">
        <v>16735.93</v>
      </c>
      <c r="K547" s="3">
        <v>45798</v>
      </c>
      <c r="L547" s="91">
        <v>45803</v>
      </c>
      <c r="M547" s="11">
        <v>45806</v>
      </c>
      <c r="N547" s="18" t="s">
        <v>588</v>
      </c>
      <c r="O547" s="35">
        <v>0</v>
      </c>
      <c r="P547" s="26"/>
      <c r="Q547" t="s">
        <v>55</v>
      </c>
      <c r="R547" t="s">
        <v>231</v>
      </c>
      <c r="S547" t="str">
        <f>IFERROR(VLOOKUP(Tabela1[[#This Row],[CC]],CC!$A$1:$H$403,8,0),"")</f>
        <v>OP2</v>
      </c>
    </row>
    <row r="548" spans="1:19" x14ac:dyDescent="0.3">
      <c r="A548" s="25">
        <v>1262</v>
      </c>
      <c r="B548" s="25" t="str">
        <f>IFERROR(VLOOKUP(Tabela1[[#This Row],[CC]],#REF!,5,0),"")</f>
        <v/>
      </c>
      <c r="C548" t="s">
        <v>51</v>
      </c>
      <c r="D548" t="s">
        <v>25</v>
      </c>
      <c r="E548" t="s">
        <v>230</v>
      </c>
      <c r="F548" t="s">
        <v>586</v>
      </c>
      <c r="G548" s="110">
        <v>4046</v>
      </c>
      <c r="H548" s="12">
        <v>45748</v>
      </c>
      <c r="I548" s="24">
        <v>25860.69</v>
      </c>
      <c r="J548" s="27">
        <v>24270.26</v>
      </c>
      <c r="K548" s="3">
        <v>45798</v>
      </c>
      <c r="L548" s="91">
        <v>45803</v>
      </c>
      <c r="M548" s="11">
        <v>45806</v>
      </c>
      <c r="N548" s="18" t="s">
        <v>588</v>
      </c>
      <c r="O548" s="35">
        <v>0</v>
      </c>
      <c r="P548" s="26"/>
      <c r="Q548" t="s">
        <v>55</v>
      </c>
      <c r="R548" t="s">
        <v>231</v>
      </c>
      <c r="S548" t="str">
        <f>IFERROR(VLOOKUP(Tabela1[[#This Row],[CC]],CC!$A$1:$H$403,8,0),"")</f>
        <v>OP2</v>
      </c>
    </row>
    <row r="549" spans="1:19" x14ac:dyDescent="0.3">
      <c r="A549" s="8">
        <v>1269</v>
      </c>
      <c r="B549" s="8" t="str">
        <f>IFERROR(VLOOKUP(Tabela1[[#This Row],[CC]],#REF!,5,0),"")</f>
        <v/>
      </c>
      <c r="C549" t="s">
        <v>51</v>
      </c>
      <c r="D549" t="s">
        <v>25</v>
      </c>
      <c r="E549" t="s">
        <v>239</v>
      </c>
      <c r="F549" t="s">
        <v>586</v>
      </c>
      <c r="G549" s="110">
        <v>4053</v>
      </c>
      <c r="H549" s="12">
        <v>45748</v>
      </c>
      <c r="I549" s="24">
        <v>6655.99</v>
      </c>
      <c r="J549" s="27">
        <v>6246.65</v>
      </c>
      <c r="K549" s="3">
        <v>45798</v>
      </c>
      <c r="L549" s="91">
        <v>45803</v>
      </c>
      <c r="M549" s="11">
        <v>45806</v>
      </c>
      <c r="N549" s="18" t="s">
        <v>588</v>
      </c>
      <c r="O549" s="34">
        <v>0</v>
      </c>
      <c r="P549" s="14"/>
      <c r="Q549" t="s">
        <v>58</v>
      </c>
      <c r="R549" t="s">
        <v>231</v>
      </c>
      <c r="S549" t="str">
        <f>IFERROR(VLOOKUP(Tabela1[[#This Row],[CC]],CC!$A$1:$H$403,8,0),"")</f>
        <v>OP2</v>
      </c>
    </row>
    <row r="550" spans="1:19" x14ac:dyDescent="0.3">
      <c r="A550" s="8">
        <v>1269</v>
      </c>
      <c r="B550" s="8" t="str">
        <f>IFERROR(VLOOKUP(Tabela1[[#This Row],[CC]],#REF!,5,0),"")</f>
        <v/>
      </c>
      <c r="C550" t="s">
        <v>51</v>
      </c>
      <c r="D550" t="s">
        <v>25</v>
      </c>
      <c r="E550" t="s">
        <v>239</v>
      </c>
      <c r="F550" t="s">
        <v>586</v>
      </c>
      <c r="G550" s="110">
        <v>4052</v>
      </c>
      <c r="H550" s="12">
        <v>45748</v>
      </c>
      <c r="I550" s="24">
        <v>10876.23</v>
      </c>
      <c r="J550" s="27">
        <v>10207.35</v>
      </c>
      <c r="K550" s="3">
        <v>45798</v>
      </c>
      <c r="L550" s="91">
        <v>45803</v>
      </c>
      <c r="M550" s="11">
        <v>45806</v>
      </c>
      <c r="N550" s="18" t="s">
        <v>588</v>
      </c>
      <c r="O550" s="34">
        <v>0</v>
      </c>
      <c r="P550" s="14"/>
      <c r="Q550" t="s">
        <v>58</v>
      </c>
      <c r="R550" t="s">
        <v>231</v>
      </c>
      <c r="S550" t="str">
        <f>IFERROR(VLOOKUP(Tabela1[[#This Row],[CC]],CC!$A$1:$H$403,8,0),"")</f>
        <v>OP2</v>
      </c>
    </row>
    <row r="551" spans="1:19" x14ac:dyDescent="0.3">
      <c r="A551" s="8">
        <v>1269</v>
      </c>
      <c r="B551" s="8" t="str">
        <f>IFERROR(VLOOKUP(Tabela1[[#This Row],[CC]],#REF!,5,0),"")</f>
        <v/>
      </c>
      <c r="C551" t="s">
        <v>51</v>
      </c>
      <c r="D551" t="s">
        <v>25</v>
      </c>
      <c r="E551" t="s">
        <v>239</v>
      </c>
      <c r="F551" t="s">
        <v>586</v>
      </c>
      <c r="G551" s="110">
        <v>4054</v>
      </c>
      <c r="H551" s="12">
        <v>45748</v>
      </c>
      <c r="I551" s="24">
        <v>30699.4</v>
      </c>
      <c r="J551" s="27">
        <v>28811.39</v>
      </c>
      <c r="K551" s="3">
        <v>45798</v>
      </c>
      <c r="L551" s="91">
        <v>45803</v>
      </c>
      <c r="M551" s="11">
        <v>45806</v>
      </c>
      <c r="N551" s="18" t="s">
        <v>588</v>
      </c>
      <c r="O551" s="34">
        <v>0</v>
      </c>
      <c r="P551" s="14"/>
      <c r="Q551" t="s">
        <v>58</v>
      </c>
      <c r="R551" t="s">
        <v>231</v>
      </c>
      <c r="S551" t="str">
        <f>IFERROR(VLOOKUP(Tabela1[[#This Row],[CC]],CC!$A$1:$H$403,8,0),"")</f>
        <v>OP2</v>
      </c>
    </row>
    <row r="552" spans="1:19" x14ac:dyDescent="0.3">
      <c r="A552" s="8">
        <v>1269</v>
      </c>
      <c r="B552" s="8" t="str">
        <f>IFERROR(VLOOKUP(Tabela1[[#This Row],[CC]],#REF!,5,0),"")</f>
        <v/>
      </c>
      <c r="C552" t="s">
        <v>51</v>
      </c>
      <c r="D552" t="s">
        <v>25</v>
      </c>
      <c r="E552" t="s">
        <v>239</v>
      </c>
      <c r="F552" t="s">
        <v>586</v>
      </c>
      <c r="G552" s="110">
        <v>4050</v>
      </c>
      <c r="H552" s="12">
        <v>45748</v>
      </c>
      <c r="I552" s="24">
        <v>198578.23</v>
      </c>
      <c r="J552" s="27">
        <v>186365.67</v>
      </c>
      <c r="K552" s="3">
        <v>45798</v>
      </c>
      <c r="L552" s="91">
        <v>45803</v>
      </c>
      <c r="M552" s="11">
        <v>45806</v>
      </c>
      <c r="N552" s="18" t="s">
        <v>588</v>
      </c>
      <c r="O552" s="34">
        <v>0</v>
      </c>
      <c r="P552" s="14"/>
      <c r="Q552" t="s">
        <v>58</v>
      </c>
      <c r="R552" t="s">
        <v>231</v>
      </c>
      <c r="S552" t="str">
        <f>IFERROR(VLOOKUP(Tabela1[[#This Row],[CC]],CC!$A$1:$H$403,8,0),"")</f>
        <v>OP2</v>
      </c>
    </row>
    <row r="553" spans="1:19" x14ac:dyDescent="0.3">
      <c r="A553" s="25">
        <v>1400</v>
      </c>
      <c r="B553" s="25" t="str">
        <f>IFERROR(VLOOKUP(Tabela1[[#This Row],[CC]],#REF!,5,0),"")</f>
        <v/>
      </c>
      <c r="C553" t="s">
        <v>64</v>
      </c>
      <c r="D553" t="s">
        <v>4</v>
      </c>
      <c r="E553" t="s">
        <v>385</v>
      </c>
      <c r="F553" t="s">
        <v>586</v>
      </c>
      <c r="G553" s="110">
        <v>8336</v>
      </c>
      <c r="H553" s="12">
        <v>45748</v>
      </c>
      <c r="I553" s="24">
        <v>64688.72</v>
      </c>
      <c r="J553" s="24">
        <v>58446.25</v>
      </c>
      <c r="K553" s="3">
        <v>45792</v>
      </c>
      <c r="L553" s="91">
        <v>45810</v>
      </c>
      <c r="M553" s="11">
        <v>45813</v>
      </c>
      <c r="N553" s="18" t="s">
        <v>588</v>
      </c>
      <c r="O553" s="35">
        <v>0</v>
      </c>
      <c r="P553"/>
      <c r="Q553" t="s">
        <v>55</v>
      </c>
      <c r="R553" t="s">
        <v>183</v>
      </c>
      <c r="S553" t="str">
        <f>IFERROR(VLOOKUP(Tabela1[[#This Row],[CC]],CC!$A$1:$H$403,8,0),"")</f>
        <v>OP1</v>
      </c>
    </row>
    <row r="554" spans="1:19" x14ac:dyDescent="0.3">
      <c r="A554" s="25">
        <v>1400</v>
      </c>
      <c r="B554" s="25" t="str">
        <f>IFERROR(VLOOKUP(Tabela1[[#This Row],[CC]],#REF!,5,0),"")</f>
        <v/>
      </c>
      <c r="C554" t="s">
        <v>64</v>
      </c>
      <c r="D554" t="s">
        <v>4</v>
      </c>
      <c r="E554" t="s">
        <v>385</v>
      </c>
      <c r="F554" t="s">
        <v>586</v>
      </c>
      <c r="G554" s="110">
        <v>8335</v>
      </c>
      <c r="H554" s="12">
        <v>45748</v>
      </c>
      <c r="I554" s="24">
        <v>77751.44</v>
      </c>
      <c r="J554" s="24">
        <v>70248.44</v>
      </c>
      <c r="K554" s="3">
        <v>45792</v>
      </c>
      <c r="L554" s="91">
        <v>45810</v>
      </c>
      <c r="M554" s="11">
        <v>45813</v>
      </c>
      <c r="N554" s="18" t="s">
        <v>588</v>
      </c>
      <c r="O554" s="35">
        <v>0</v>
      </c>
      <c r="P554"/>
      <c r="Q554" t="s">
        <v>55</v>
      </c>
      <c r="R554" t="s">
        <v>183</v>
      </c>
      <c r="S554" t="str">
        <f>IFERROR(VLOOKUP(Tabela1[[#This Row],[CC]],CC!$A$1:$H$403,8,0),"")</f>
        <v>OP1</v>
      </c>
    </row>
    <row r="555" spans="1:19" x14ac:dyDescent="0.3">
      <c r="A555" s="8">
        <v>1366</v>
      </c>
      <c r="B555" s="8" t="str">
        <f>IFERROR(VLOOKUP(Tabela1[[#This Row],[CC]],#REF!,5,0),"")</f>
        <v/>
      </c>
      <c r="C555" t="s">
        <v>64</v>
      </c>
      <c r="D555" t="s">
        <v>4</v>
      </c>
      <c r="E555" t="s">
        <v>345</v>
      </c>
      <c r="F555" t="s">
        <v>586</v>
      </c>
      <c r="G555" s="110">
        <v>1259</v>
      </c>
      <c r="H555" s="12">
        <v>45748</v>
      </c>
      <c r="I555" s="10">
        <v>328484.2</v>
      </c>
      <c r="J555" s="10">
        <v>296785.38</v>
      </c>
      <c r="K555" s="3">
        <v>45810</v>
      </c>
      <c r="L555" s="91">
        <v>45817</v>
      </c>
      <c r="M555" s="11">
        <v>45820</v>
      </c>
      <c r="N555" s="18" t="s">
        <v>588</v>
      </c>
      <c r="O555" s="34">
        <v>0</v>
      </c>
      <c r="P555"/>
      <c r="Q555" t="s">
        <v>58</v>
      </c>
      <c r="R555" t="s">
        <v>183</v>
      </c>
      <c r="S555" t="str">
        <f>IFERROR(VLOOKUP(Tabela1[[#This Row],[CC]],CC!$A$1:$H$403,8,0),"")</f>
        <v>OP1</v>
      </c>
    </row>
    <row r="556" spans="1:19" x14ac:dyDescent="0.3">
      <c r="A556" s="8">
        <v>1388</v>
      </c>
      <c r="B556" s="8" t="str">
        <f>IFERROR(VLOOKUP(Tabela1[[#This Row],[CC]],#REF!,5,0),"")</f>
        <v/>
      </c>
      <c r="C556" t="s">
        <v>64</v>
      </c>
      <c r="D556" t="s">
        <v>4</v>
      </c>
      <c r="E556" t="s">
        <v>373</v>
      </c>
      <c r="F556" t="s">
        <v>586</v>
      </c>
      <c r="G556" s="110">
        <v>4172</v>
      </c>
      <c r="H556" s="12">
        <v>45748</v>
      </c>
      <c r="I556" s="24">
        <v>227498.57</v>
      </c>
      <c r="J556" s="24">
        <v>205544.95999999999</v>
      </c>
      <c r="K556" s="3">
        <v>45852</v>
      </c>
      <c r="L556" s="91">
        <v>45866</v>
      </c>
      <c r="M556" s="11">
        <v>45869</v>
      </c>
      <c r="N556" s="18" t="s">
        <v>588</v>
      </c>
      <c r="O556" s="34">
        <v>0</v>
      </c>
      <c r="P556"/>
      <c r="Q556" t="s">
        <v>55</v>
      </c>
      <c r="R556" t="s">
        <v>183</v>
      </c>
      <c r="S556" t="str">
        <f>IFERROR(VLOOKUP(Tabela1[[#This Row],[CC]],CC!$A$1:$H$403,8,0),"")</f>
        <v>OP1</v>
      </c>
    </row>
    <row r="557" spans="1:19" x14ac:dyDescent="0.3">
      <c r="A557" s="8">
        <v>1289</v>
      </c>
      <c r="B557" s="8" t="str">
        <f>IFERROR(VLOOKUP(Tabela1[[#This Row],[CC]],#REF!,5,0),"")</f>
        <v/>
      </c>
      <c r="C557" t="s">
        <v>60</v>
      </c>
      <c r="D557" t="s">
        <v>15</v>
      </c>
      <c r="E557" t="s">
        <v>263</v>
      </c>
      <c r="F557" t="s">
        <v>586</v>
      </c>
      <c r="G557" s="110">
        <v>8331</v>
      </c>
      <c r="H557" s="12">
        <v>45748</v>
      </c>
      <c r="I557" s="24">
        <v>288674.12</v>
      </c>
      <c r="J557" s="10">
        <v>269044.28000000003</v>
      </c>
      <c r="K557" s="3">
        <v>45786</v>
      </c>
      <c r="L557" s="91">
        <v>45803</v>
      </c>
      <c r="M557" s="11">
        <v>45803</v>
      </c>
      <c r="N557" s="18" t="s">
        <v>588</v>
      </c>
      <c r="O557" s="34"/>
      <c r="P557"/>
      <c r="Q557" t="s">
        <v>58</v>
      </c>
      <c r="R557" t="s">
        <v>195</v>
      </c>
      <c r="S557" t="str">
        <f>IFERROR(VLOOKUP(Tabela1[[#This Row],[CC]],CC!$A$1:$H$403,8,0),"")</f>
        <v>OP3</v>
      </c>
    </row>
    <row r="558" spans="1:19" x14ac:dyDescent="0.3">
      <c r="A558" s="8">
        <v>1289</v>
      </c>
      <c r="B558" s="8" t="str">
        <f>IFERROR(VLOOKUP(Tabela1[[#This Row],[CC]],#REF!,5,0),"")</f>
        <v/>
      </c>
      <c r="C558" t="s">
        <v>60</v>
      </c>
      <c r="D558" t="s">
        <v>15</v>
      </c>
      <c r="E558" t="s">
        <v>263</v>
      </c>
      <c r="F558" t="s">
        <v>586</v>
      </c>
      <c r="G558" s="110">
        <v>8345</v>
      </c>
      <c r="H558" s="12">
        <v>45748</v>
      </c>
      <c r="I558" s="49">
        <v>157241.24</v>
      </c>
      <c r="J558" s="10">
        <v>146548.84</v>
      </c>
      <c r="K558" s="3">
        <v>45803</v>
      </c>
      <c r="L558" s="91">
        <v>45831</v>
      </c>
      <c r="M558" s="11">
        <v>45835</v>
      </c>
      <c r="N558" s="18" t="s">
        <v>588</v>
      </c>
      <c r="O558" s="34"/>
      <c r="P558"/>
      <c r="Q558" t="s">
        <v>58</v>
      </c>
      <c r="R558" t="s">
        <v>195</v>
      </c>
      <c r="S558" t="str">
        <f>IFERROR(VLOOKUP(Tabela1[[#This Row],[CC]],CC!$A$1:$H$403,8,0),"")</f>
        <v>OP3</v>
      </c>
    </row>
    <row r="559" spans="1:19" x14ac:dyDescent="0.3">
      <c r="A559" s="25">
        <v>1288</v>
      </c>
      <c r="B559" s="25" t="str">
        <f>IFERROR(VLOOKUP(Tabela1[[#This Row],[CC]],#REF!,5,0),"")</f>
        <v/>
      </c>
      <c r="C559" t="s">
        <v>60</v>
      </c>
      <c r="D559" t="s">
        <v>15</v>
      </c>
      <c r="E559" t="s">
        <v>262</v>
      </c>
      <c r="F559" t="s">
        <v>586</v>
      </c>
      <c r="G559" s="110">
        <v>8332</v>
      </c>
      <c r="H559" s="12">
        <v>45748</v>
      </c>
      <c r="I559" s="24">
        <v>379367.63</v>
      </c>
      <c r="J559" s="24">
        <v>353570.63</v>
      </c>
      <c r="K559" s="3">
        <v>45786</v>
      </c>
      <c r="L559" s="91">
        <v>45796</v>
      </c>
      <c r="M559" s="11">
        <v>45799</v>
      </c>
      <c r="N559" s="18" t="s">
        <v>588</v>
      </c>
      <c r="O559" s="35"/>
      <c r="P559"/>
      <c r="Q559" t="s">
        <v>55</v>
      </c>
      <c r="R559" t="s">
        <v>195</v>
      </c>
      <c r="S559" t="str">
        <f>IFERROR(VLOOKUP(Tabela1[[#This Row],[CC]],CC!$A$1:$H$403,8,0),"")</f>
        <v>OP3</v>
      </c>
    </row>
    <row r="560" spans="1:19" x14ac:dyDescent="0.3">
      <c r="A560" s="8">
        <v>1271</v>
      </c>
      <c r="B560" s="8" t="str">
        <f>IFERROR(VLOOKUP(Tabela1[[#This Row],[CC]],#REF!,5,0),"")</f>
        <v/>
      </c>
      <c r="C560" t="s">
        <v>60</v>
      </c>
      <c r="D560" t="s">
        <v>15</v>
      </c>
      <c r="E560" t="s">
        <v>242</v>
      </c>
      <c r="F560" t="s">
        <v>586</v>
      </c>
      <c r="G560" s="110">
        <v>8323</v>
      </c>
      <c r="H560" s="12">
        <v>45748</v>
      </c>
      <c r="I560" s="10">
        <v>255597.54</v>
      </c>
      <c r="J560" s="10">
        <v>238216.91</v>
      </c>
      <c r="K560" s="3">
        <v>45783</v>
      </c>
      <c r="L560" s="91">
        <v>45796</v>
      </c>
      <c r="M560" s="11">
        <v>45799</v>
      </c>
      <c r="N560" s="18" t="s">
        <v>588</v>
      </c>
      <c r="O560" s="34">
        <v>0</v>
      </c>
      <c r="P560"/>
      <c r="Q560" t="s">
        <v>58</v>
      </c>
      <c r="R560" t="s">
        <v>195</v>
      </c>
      <c r="S560" t="str">
        <f>IFERROR(VLOOKUP(Tabela1[[#This Row],[CC]],CC!$A$1:$H$403,8,0),"")</f>
        <v>OP3</v>
      </c>
    </row>
    <row r="561" spans="1:19" x14ac:dyDescent="0.3">
      <c r="A561" s="8">
        <v>1299</v>
      </c>
      <c r="B561" s="8" t="str">
        <f>IFERROR(VLOOKUP(Tabela1[[#This Row],[CC]],#REF!,5,0),"")</f>
        <v/>
      </c>
      <c r="C561" t="s">
        <v>60</v>
      </c>
      <c r="D561" t="s">
        <v>15</v>
      </c>
      <c r="E561" t="s">
        <v>274</v>
      </c>
      <c r="F561" t="s">
        <v>586</v>
      </c>
      <c r="G561" s="110">
        <v>8330</v>
      </c>
      <c r="H561" s="12">
        <v>45748</v>
      </c>
      <c r="I561" s="10">
        <v>1020096</v>
      </c>
      <c r="J561" s="10">
        <v>950729.47</v>
      </c>
      <c r="K561" s="3">
        <v>45786</v>
      </c>
      <c r="L561" s="91">
        <v>45796</v>
      </c>
      <c r="M561" s="11">
        <v>45800</v>
      </c>
      <c r="N561" s="18" t="s">
        <v>588</v>
      </c>
      <c r="O561" s="53">
        <v>0</v>
      </c>
      <c r="P561" s="14"/>
      <c r="Q561" t="s">
        <v>55</v>
      </c>
      <c r="R561" t="s">
        <v>195</v>
      </c>
      <c r="S561" t="str">
        <f>IFERROR(VLOOKUP(Tabela1[[#This Row],[CC]],CC!$A$1:$H$403,8,0),"")</f>
        <v>OP3</v>
      </c>
    </row>
    <row r="562" spans="1:19" x14ac:dyDescent="0.3">
      <c r="A562" s="8">
        <v>1394</v>
      </c>
      <c r="B562" s="8" t="str">
        <f>IFERROR(VLOOKUP(Tabela1[[#This Row],[CC]],#REF!,5,0),"")</f>
        <v/>
      </c>
      <c r="C562" t="s">
        <v>65</v>
      </c>
      <c r="D562" t="s">
        <v>18</v>
      </c>
      <c r="E562" t="s">
        <v>378</v>
      </c>
      <c r="F562" t="s">
        <v>586</v>
      </c>
      <c r="G562" s="110">
        <v>8321</v>
      </c>
      <c r="H562" s="12">
        <v>45748</v>
      </c>
      <c r="I562" s="24">
        <v>19502.89</v>
      </c>
      <c r="J562" s="24">
        <v>18176.689999999999</v>
      </c>
      <c r="K562" s="3">
        <v>45783</v>
      </c>
      <c r="L562" s="91">
        <v>45789</v>
      </c>
      <c r="M562" s="5">
        <v>45792</v>
      </c>
      <c r="N562" s="21" t="s">
        <v>588</v>
      </c>
      <c r="O562" s="54">
        <v>0</v>
      </c>
      <c r="P562" s="14"/>
      <c r="Q562" t="s">
        <v>58</v>
      </c>
      <c r="R562" t="s">
        <v>195</v>
      </c>
      <c r="S562" t="str">
        <f>IFERROR(VLOOKUP(Tabela1[[#This Row],[CC]],CC!$A$1:$H$403,8,0),"")</f>
        <v>OP4</v>
      </c>
    </row>
    <row r="563" spans="1:19" x14ac:dyDescent="0.3">
      <c r="A563" s="8">
        <v>1394</v>
      </c>
      <c r="B563" s="8" t="str">
        <f>IFERROR(VLOOKUP(Tabela1[[#This Row],[CC]],#REF!,5,0),"")</f>
        <v/>
      </c>
      <c r="C563" t="s">
        <v>65</v>
      </c>
      <c r="D563" t="s">
        <v>18</v>
      </c>
      <c r="E563" t="s">
        <v>378</v>
      </c>
      <c r="F563" t="s">
        <v>586</v>
      </c>
      <c r="G563" s="110">
        <v>8329</v>
      </c>
      <c r="H563" s="12">
        <v>45748</v>
      </c>
      <c r="I563" s="24">
        <v>84858.04</v>
      </c>
      <c r="J563" s="24">
        <v>79087.69</v>
      </c>
      <c r="K563" s="3">
        <v>45786</v>
      </c>
      <c r="L563" s="91">
        <v>45796</v>
      </c>
      <c r="M563" s="5">
        <v>45796</v>
      </c>
      <c r="N563" s="21" t="s">
        <v>588</v>
      </c>
      <c r="O563" s="54">
        <v>0</v>
      </c>
      <c r="P563" s="14"/>
      <c r="Q563" t="s">
        <v>58</v>
      </c>
      <c r="R563" t="s">
        <v>195</v>
      </c>
      <c r="S563" t="str">
        <f>IFERROR(VLOOKUP(Tabela1[[#This Row],[CC]],CC!$A$1:$H$403,8,0),"")</f>
        <v>OP4</v>
      </c>
    </row>
    <row r="564" spans="1:19" x14ac:dyDescent="0.3">
      <c r="A564" s="8">
        <v>1394</v>
      </c>
      <c r="B564" s="8" t="str">
        <f>IFERROR(VLOOKUP(Tabela1[[#This Row],[CC]],#REF!,5,0),"")</f>
        <v/>
      </c>
      <c r="C564" t="s">
        <v>65</v>
      </c>
      <c r="D564" t="s">
        <v>18</v>
      </c>
      <c r="E564" t="s">
        <v>378</v>
      </c>
      <c r="F564" t="s">
        <v>586</v>
      </c>
      <c r="G564" s="110">
        <v>8333</v>
      </c>
      <c r="H564" s="12">
        <v>45748</v>
      </c>
      <c r="I564" s="24">
        <v>111600.22</v>
      </c>
      <c r="J564" s="24">
        <v>104011.41</v>
      </c>
      <c r="K564" s="3">
        <v>45789</v>
      </c>
      <c r="L564" s="91">
        <v>45796</v>
      </c>
      <c r="M564" s="5">
        <v>45796</v>
      </c>
      <c r="N564" s="21" t="s">
        <v>588</v>
      </c>
      <c r="O564" s="54">
        <v>0</v>
      </c>
      <c r="P564" s="14"/>
      <c r="Q564" t="s">
        <v>58</v>
      </c>
      <c r="R564" t="s">
        <v>195</v>
      </c>
      <c r="S564" t="str">
        <f>IFERROR(VLOOKUP(Tabela1[[#This Row],[CC]],CC!$A$1:$H$403,8,0),"")</f>
        <v>OP4</v>
      </c>
    </row>
    <row r="565" spans="1:19" x14ac:dyDescent="0.3">
      <c r="A565" s="8">
        <v>1394</v>
      </c>
      <c r="B565" s="8" t="str">
        <f>IFERROR(VLOOKUP(Tabela1[[#This Row],[CC]],#REF!,5,0),"")</f>
        <v/>
      </c>
      <c r="C565" t="s">
        <v>65</v>
      </c>
      <c r="D565" t="s">
        <v>18</v>
      </c>
      <c r="E565" t="s">
        <v>378</v>
      </c>
      <c r="F565" t="s">
        <v>586</v>
      </c>
      <c r="G565" s="110">
        <v>8339</v>
      </c>
      <c r="H565" s="12">
        <v>45748</v>
      </c>
      <c r="I565" s="24">
        <v>85000</v>
      </c>
      <c r="J565" s="24">
        <v>79220</v>
      </c>
      <c r="K565" s="3">
        <v>45793</v>
      </c>
      <c r="L565" s="91">
        <v>45803</v>
      </c>
      <c r="M565" s="5">
        <v>45803</v>
      </c>
      <c r="N565" s="21" t="s">
        <v>588</v>
      </c>
      <c r="O565" s="54">
        <v>0</v>
      </c>
      <c r="P565" s="14"/>
      <c r="Q565" t="s">
        <v>58</v>
      </c>
      <c r="R565" t="s">
        <v>195</v>
      </c>
      <c r="S565" t="str">
        <f>IFERROR(VLOOKUP(Tabela1[[#This Row],[CC]],CC!$A$1:$H$403,8,0),"")</f>
        <v>OP4</v>
      </c>
    </row>
    <row r="566" spans="1:19" ht="15.75" customHeight="1" x14ac:dyDescent="0.3">
      <c r="A566" s="8">
        <v>1394</v>
      </c>
      <c r="B566" s="8" t="str">
        <f>IFERROR(VLOOKUP(Tabela1[[#This Row],[CC]],#REF!,5,0),"")</f>
        <v/>
      </c>
      <c r="C566" t="s">
        <v>65</v>
      </c>
      <c r="D566" t="s">
        <v>18</v>
      </c>
      <c r="E566" t="s">
        <v>378</v>
      </c>
      <c r="F566" t="s">
        <v>586</v>
      </c>
      <c r="G566" s="110">
        <v>8341</v>
      </c>
      <c r="H566" s="12">
        <v>45748</v>
      </c>
      <c r="I566" s="24">
        <v>283355.11</v>
      </c>
      <c r="J566" s="24">
        <v>264086.96000000002</v>
      </c>
      <c r="K566" s="3">
        <v>45797</v>
      </c>
      <c r="L566" s="91">
        <v>45803</v>
      </c>
      <c r="M566" s="5">
        <v>45806</v>
      </c>
      <c r="N566" s="21" t="s">
        <v>588</v>
      </c>
      <c r="O566" s="54">
        <v>0</v>
      </c>
      <c r="P566" s="14"/>
      <c r="Q566" t="s">
        <v>58</v>
      </c>
      <c r="R566" t="s">
        <v>195</v>
      </c>
      <c r="S566" t="str">
        <f>IFERROR(VLOOKUP(Tabela1[[#This Row],[CC]],CC!$A$1:$H$403,8,0),"")</f>
        <v>OP4</v>
      </c>
    </row>
    <row r="567" spans="1:19" ht="15.75" customHeight="1" x14ac:dyDescent="0.3">
      <c r="A567" s="8">
        <v>1394</v>
      </c>
      <c r="B567" s="8" t="str">
        <f>IFERROR(VLOOKUP(Tabela1[[#This Row],[CC]],#REF!,5,0),"")</f>
        <v/>
      </c>
      <c r="C567" t="s">
        <v>65</v>
      </c>
      <c r="D567" t="s">
        <v>18</v>
      </c>
      <c r="E567" t="s">
        <v>378</v>
      </c>
      <c r="F567" t="s">
        <v>586</v>
      </c>
      <c r="G567" s="110">
        <v>8342</v>
      </c>
      <c r="H567" s="12">
        <v>45748</v>
      </c>
      <c r="I567" s="24">
        <v>178140.34</v>
      </c>
      <c r="J567" s="24">
        <v>166026.79</v>
      </c>
      <c r="K567" s="3">
        <v>45798</v>
      </c>
      <c r="L567" s="91">
        <v>45810</v>
      </c>
      <c r="M567" s="5">
        <v>45812</v>
      </c>
      <c r="N567" s="21" t="s">
        <v>588</v>
      </c>
      <c r="O567" s="54">
        <v>0</v>
      </c>
      <c r="P567" s="14"/>
      <c r="Q567" t="s">
        <v>58</v>
      </c>
      <c r="R567" t="s">
        <v>195</v>
      </c>
      <c r="S567" t="str">
        <f>IFERROR(VLOOKUP(Tabela1[[#This Row],[CC]],CC!$A$1:$H$403,8,0),"")</f>
        <v>OP4</v>
      </c>
    </row>
    <row r="568" spans="1:19" ht="15.75" customHeight="1" x14ac:dyDescent="0.3">
      <c r="A568" s="8">
        <v>1394</v>
      </c>
      <c r="B568" s="8" t="str">
        <f>IFERROR(VLOOKUP(Tabela1[[#This Row],[CC]],#REF!,5,0),"")</f>
        <v/>
      </c>
      <c r="C568" t="s">
        <v>65</v>
      </c>
      <c r="D568" t="s">
        <v>18</v>
      </c>
      <c r="E568" t="s">
        <v>378</v>
      </c>
      <c r="F568" t="s">
        <v>586</v>
      </c>
      <c r="G568" s="110">
        <v>8346</v>
      </c>
      <c r="H568" s="12">
        <v>45748</v>
      </c>
      <c r="I568" s="24">
        <v>127355.8</v>
      </c>
      <c r="J568" s="24">
        <v>118695.6</v>
      </c>
      <c r="K568" s="3">
        <v>45805</v>
      </c>
      <c r="L568" s="91">
        <v>45817</v>
      </c>
      <c r="M568" s="5">
        <v>45818</v>
      </c>
      <c r="N568" s="21" t="s">
        <v>588</v>
      </c>
      <c r="O568" s="54">
        <v>0</v>
      </c>
      <c r="P568" s="14"/>
      <c r="Q568" t="s">
        <v>58</v>
      </c>
      <c r="R568" t="s">
        <v>195</v>
      </c>
      <c r="S568" t="str">
        <f>IFERROR(VLOOKUP(Tabela1[[#This Row],[CC]],CC!$A$1:$H$403,8,0),"")</f>
        <v>OP4</v>
      </c>
    </row>
    <row r="569" spans="1:19" ht="15.75" customHeight="1" x14ac:dyDescent="0.3">
      <c r="A569" s="8">
        <v>1394</v>
      </c>
      <c r="B569" s="8" t="str">
        <f>IFERROR(VLOOKUP(Tabela1[[#This Row],[CC]],#REF!,5,0),"")</f>
        <v/>
      </c>
      <c r="C569" t="s">
        <v>65</v>
      </c>
      <c r="D569" t="s">
        <v>18</v>
      </c>
      <c r="E569" t="s">
        <v>378</v>
      </c>
      <c r="F569" t="s">
        <v>586</v>
      </c>
      <c r="G569" s="110">
        <v>8386</v>
      </c>
      <c r="H569" s="12">
        <v>45748</v>
      </c>
      <c r="I569" s="24">
        <v>222403.39</v>
      </c>
      <c r="J569" s="24">
        <v>207279.96</v>
      </c>
      <c r="K569" s="3">
        <v>45826</v>
      </c>
      <c r="L569" s="91">
        <v>45839</v>
      </c>
      <c r="M569" s="5">
        <v>45840</v>
      </c>
      <c r="N569" s="21" t="s">
        <v>588</v>
      </c>
      <c r="O569" s="54">
        <v>0</v>
      </c>
      <c r="P569" s="14"/>
      <c r="Q569" t="s">
        <v>58</v>
      </c>
      <c r="R569" t="s">
        <v>195</v>
      </c>
      <c r="S569" t="str">
        <f>IFERROR(VLOOKUP(Tabela1[[#This Row],[CC]],CC!$A$1:$H$403,8,0),"")</f>
        <v>OP4</v>
      </c>
    </row>
    <row r="570" spans="1:19" ht="15.75" customHeight="1" x14ac:dyDescent="0.3">
      <c r="A570" s="25">
        <v>1360</v>
      </c>
      <c r="B570" s="25" t="str">
        <f>IFERROR(VLOOKUP(Tabela1[[#This Row],[CC]],#REF!,5,0),"")</f>
        <v/>
      </c>
      <c r="C570" t="s">
        <v>32</v>
      </c>
      <c r="D570" t="s">
        <v>24</v>
      </c>
      <c r="E570" t="s">
        <v>338</v>
      </c>
      <c r="F570" t="s">
        <v>586</v>
      </c>
      <c r="G570" s="110">
        <v>3984</v>
      </c>
      <c r="H570" s="12">
        <v>45748</v>
      </c>
      <c r="I570" s="24">
        <v>141265.84</v>
      </c>
      <c r="J570" s="24">
        <v>132577.99</v>
      </c>
      <c r="K570" s="3">
        <v>45770</v>
      </c>
      <c r="L570" s="91">
        <v>45796</v>
      </c>
      <c r="M570" s="11">
        <v>45800</v>
      </c>
      <c r="N570" s="18" t="s">
        <v>588</v>
      </c>
      <c r="O570" s="35"/>
      <c r="P570"/>
      <c r="Q570" t="s">
        <v>55</v>
      </c>
      <c r="R570" t="s">
        <v>231</v>
      </c>
      <c r="S570" t="str">
        <f>IFERROR(VLOOKUP(Tabela1[[#This Row],[CC]],CC!$A$1:$H$403,8,0),"")</f>
        <v>OP1</v>
      </c>
    </row>
    <row r="571" spans="1:19" ht="15.75" customHeight="1" x14ac:dyDescent="0.3">
      <c r="A571" s="25">
        <v>1360</v>
      </c>
      <c r="B571" s="25" t="str">
        <f>IFERROR(VLOOKUP(Tabela1[[#This Row],[CC]],#REF!,5,0),"")</f>
        <v/>
      </c>
      <c r="C571" t="s">
        <v>32</v>
      </c>
      <c r="D571" t="s">
        <v>24</v>
      </c>
      <c r="E571" t="s">
        <v>338</v>
      </c>
      <c r="F571" t="s">
        <v>586</v>
      </c>
      <c r="G571" s="110">
        <v>3983</v>
      </c>
      <c r="H571" s="12">
        <v>45748</v>
      </c>
      <c r="I571" s="24">
        <v>93477.8</v>
      </c>
      <c r="J571" s="27">
        <v>87728.91</v>
      </c>
      <c r="K571" s="3">
        <v>45770</v>
      </c>
      <c r="L571" s="91">
        <v>45852</v>
      </c>
      <c r="M571" s="11">
        <v>45853</v>
      </c>
      <c r="N571" s="18" t="s">
        <v>588</v>
      </c>
      <c r="O571" s="35"/>
      <c r="P571"/>
      <c r="Q571" t="s">
        <v>55</v>
      </c>
      <c r="R571" t="s">
        <v>231</v>
      </c>
      <c r="S571" t="str">
        <f>IFERROR(VLOOKUP(Tabela1[[#This Row],[CC]],CC!$A$1:$H$403,8,0),"")</f>
        <v>OP1</v>
      </c>
    </row>
    <row r="572" spans="1:19" ht="15.75" customHeight="1" x14ac:dyDescent="0.3">
      <c r="A572" s="25">
        <v>1360</v>
      </c>
      <c r="B572" s="25" t="str">
        <f>IFERROR(VLOOKUP(Tabela1[[#This Row],[CC]],#REF!,5,0),"")</f>
        <v/>
      </c>
      <c r="C572" t="s">
        <v>32</v>
      </c>
      <c r="D572" t="s">
        <v>24</v>
      </c>
      <c r="E572" t="s">
        <v>338</v>
      </c>
      <c r="F572" t="s">
        <v>586</v>
      </c>
      <c r="G572" s="110">
        <v>3991</v>
      </c>
      <c r="H572" s="12">
        <v>45748</v>
      </c>
      <c r="I572" s="27">
        <v>65704</v>
      </c>
      <c r="J572" s="27">
        <v>61663.199999999997</v>
      </c>
      <c r="K572" s="3">
        <v>45776</v>
      </c>
      <c r="L572" s="91">
        <v>45803</v>
      </c>
      <c r="M572" s="11">
        <v>45807</v>
      </c>
      <c r="N572" s="18" t="s">
        <v>588</v>
      </c>
      <c r="O572" s="35"/>
      <c r="P572"/>
      <c r="Q572" t="s">
        <v>55</v>
      </c>
      <c r="R572" t="s">
        <v>231</v>
      </c>
      <c r="S572" t="str">
        <f>IFERROR(VLOOKUP(Tabela1[[#This Row],[CC]],CC!$A$1:$H$403,8,0),"")</f>
        <v>OP1</v>
      </c>
    </row>
    <row r="573" spans="1:19" ht="15.75" customHeight="1" x14ac:dyDescent="0.3">
      <c r="A573" s="25">
        <v>1360</v>
      </c>
      <c r="B573" s="25" t="str">
        <f>IFERROR(VLOOKUP(Tabela1[[#This Row],[CC]],#REF!,5,0),"")</f>
        <v/>
      </c>
      <c r="C573" t="s">
        <v>32</v>
      </c>
      <c r="D573" t="s">
        <v>24</v>
      </c>
      <c r="E573" t="s">
        <v>338</v>
      </c>
      <c r="F573" t="s">
        <v>586</v>
      </c>
      <c r="G573" s="110">
        <v>3990</v>
      </c>
      <c r="H573" s="12">
        <v>45748</v>
      </c>
      <c r="I573" s="27">
        <v>72457.600000000006</v>
      </c>
      <c r="J573" s="27">
        <v>68001.460000000006</v>
      </c>
      <c r="K573" s="3">
        <v>45776</v>
      </c>
      <c r="L573" s="91">
        <v>45803</v>
      </c>
      <c r="M573" s="11">
        <v>45807</v>
      </c>
      <c r="N573" s="18" t="s">
        <v>588</v>
      </c>
      <c r="O573" s="35"/>
      <c r="P573"/>
      <c r="Q573" t="s">
        <v>55</v>
      </c>
      <c r="R573" t="s">
        <v>231</v>
      </c>
      <c r="S573" t="str">
        <f>IFERROR(VLOOKUP(Tabela1[[#This Row],[CC]],CC!$A$1:$H$403,8,0),"")</f>
        <v>OP1</v>
      </c>
    </row>
    <row r="574" spans="1:19" ht="15.75" customHeight="1" x14ac:dyDescent="0.3">
      <c r="A574" s="25">
        <v>1360</v>
      </c>
      <c r="B574" s="25" t="str">
        <f>IFERROR(VLOOKUP(Tabela1[[#This Row],[CC]],#REF!,5,0),"")</f>
        <v/>
      </c>
      <c r="C574" t="s">
        <v>32</v>
      </c>
      <c r="D574" t="s">
        <v>24</v>
      </c>
      <c r="E574" t="s">
        <v>338</v>
      </c>
      <c r="F574" t="s">
        <v>586</v>
      </c>
      <c r="G574" s="110">
        <v>4043</v>
      </c>
      <c r="H574" s="12">
        <v>45748</v>
      </c>
      <c r="I574" s="24">
        <v>26224</v>
      </c>
      <c r="J574" s="27">
        <v>24611.22</v>
      </c>
      <c r="K574" s="3">
        <v>45798</v>
      </c>
      <c r="L574" s="91">
        <v>45831</v>
      </c>
      <c r="M574" s="11">
        <v>45833</v>
      </c>
      <c r="N574" s="18" t="s">
        <v>588</v>
      </c>
      <c r="O574" s="35"/>
      <c r="P574"/>
      <c r="Q574" t="s">
        <v>55</v>
      </c>
      <c r="R574" t="s">
        <v>231</v>
      </c>
      <c r="S574" t="str">
        <f>IFERROR(VLOOKUP(Tabela1[[#This Row],[CC]],CC!$A$1:$H$403,8,0),"")</f>
        <v>OP1</v>
      </c>
    </row>
    <row r="575" spans="1:19" ht="15.75" customHeight="1" x14ac:dyDescent="0.3">
      <c r="A575" s="25">
        <v>1360</v>
      </c>
      <c r="B575" s="25" t="str">
        <f>IFERROR(VLOOKUP(Tabela1[[#This Row],[CC]],#REF!,5,0),"")</f>
        <v/>
      </c>
      <c r="C575" t="s">
        <v>32</v>
      </c>
      <c r="D575" t="s">
        <v>24</v>
      </c>
      <c r="E575" t="s">
        <v>338</v>
      </c>
      <c r="F575" t="s">
        <v>586</v>
      </c>
      <c r="G575" s="110">
        <v>4061</v>
      </c>
      <c r="H575" s="12">
        <v>45748</v>
      </c>
      <c r="I575" s="24">
        <v>133070.39999999999</v>
      </c>
      <c r="J575" s="27">
        <v>124886.57</v>
      </c>
      <c r="K575" s="3">
        <v>45799</v>
      </c>
      <c r="L575" s="91">
        <v>45831</v>
      </c>
      <c r="M575" s="11">
        <v>45833</v>
      </c>
      <c r="N575" s="18" t="s">
        <v>588</v>
      </c>
      <c r="O575" s="35"/>
      <c r="P575"/>
      <c r="Q575" t="s">
        <v>55</v>
      </c>
      <c r="R575" t="s">
        <v>231</v>
      </c>
      <c r="S575" t="str">
        <f>IFERROR(VLOOKUP(Tabela1[[#This Row],[CC]],CC!$A$1:$H$403,8,0),"")</f>
        <v>OP1</v>
      </c>
    </row>
    <row r="576" spans="1:19" ht="15.75" customHeight="1" x14ac:dyDescent="0.3">
      <c r="A576" s="25">
        <v>1360</v>
      </c>
      <c r="B576" s="25" t="str">
        <f>IFERROR(VLOOKUP(Tabela1[[#This Row],[CC]],#REF!,5,0),"")</f>
        <v/>
      </c>
      <c r="C576" t="s">
        <v>32</v>
      </c>
      <c r="D576" t="s">
        <v>24</v>
      </c>
      <c r="E576" t="s">
        <v>338</v>
      </c>
      <c r="F576" t="s">
        <v>586</v>
      </c>
      <c r="G576" s="110">
        <v>4063</v>
      </c>
      <c r="H576" s="12">
        <v>45748</v>
      </c>
      <c r="I576" s="24">
        <v>10808</v>
      </c>
      <c r="J576" s="27">
        <v>10143.31</v>
      </c>
      <c r="K576" s="3">
        <v>45800</v>
      </c>
      <c r="L576" s="91">
        <v>45831</v>
      </c>
      <c r="M576" s="11">
        <v>45833</v>
      </c>
      <c r="N576" s="18" t="s">
        <v>588</v>
      </c>
      <c r="O576" s="35"/>
      <c r="P576"/>
      <c r="Q576" t="s">
        <v>55</v>
      </c>
      <c r="R576" t="s">
        <v>231</v>
      </c>
      <c r="S576" t="str">
        <f>IFERROR(VLOOKUP(Tabela1[[#This Row],[CC]],CC!$A$1:$H$403,8,0),"")</f>
        <v>OP1</v>
      </c>
    </row>
    <row r="577" spans="1:19" ht="15.75" customHeight="1" x14ac:dyDescent="0.3">
      <c r="A577" s="25">
        <v>1360</v>
      </c>
      <c r="B577" s="25" t="str">
        <f>IFERROR(VLOOKUP(Tabela1[[#This Row],[CC]],#REF!,5,0),"")</f>
        <v/>
      </c>
      <c r="C577" t="s">
        <v>32</v>
      </c>
      <c r="D577" t="s">
        <v>24</v>
      </c>
      <c r="E577" t="s">
        <v>338</v>
      </c>
      <c r="F577" t="s">
        <v>586</v>
      </c>
      <c r="G577" s="110">
        <v>4073</v>
      </c>
      <c r="H577" s="12">
        <v>45748</v>
      </c>
      <c r="I577" s="24">
        <v>81404.800000000003</v>
      </c>
      <c r="J577" s="27">
        <v>76398.41</v>
      </c>
      <c r="K577" s="3">
        <v>45807</v>
      </c>
      <c r="L577" s="91">
        <v>45831</v>
      </c>
      <c r="M577" s="11">
        <v>45833</v>
      </c>
      <c r="N577" s="18" t="s">
        <v>588</v>
      </c>
      <c r="O577" s="35"/>
      <c r="P577"/>
      <c r="Q577" t="s">
        <v>55</v>
      </c>
      <c r="R577" t="s">
        <v>231</v>
      </c>
      <c r="S577" t="str">
        <f>IFERROR(VLOOKUP(Tabela1[[#This Row],[CC]],CC!$A$1:$H$403,8,0),"")</f>
        <v>OP1</v>
      </c>
    </row>
    <row r="578" spans="1:19" ht="15.75" customHeight="1" x14ac:dyDescent="0.3">
      <c r="A578" s="25">
        <v>1360</v>
      </c>
      <c r="B578" s="25" t="str">
        <f>IFERROR(VLOOKUP(Tabela1[[#This Row],[CC]],#REF!,5,0),"")</f>
        <v/>
      </c>
      <c r="C578" t="s">
        <v>32</v>
      </c>
      <c r="D578" t="s">
        <v>24</v>
      </c>
      <c r="E578" t="s">
        <v>338</v>
      </c>
      <c r="F578" t="s">
        <v>586</v>
      </c>
      <c r="G578" s="110">
        <v>4070</v>
      </c>
      <c r="H578" s="12">
        <v>45748</v>
      </c>
      <c r="I578" s="24">
        <v>53936</v>
      </c>
      <c r="J578" s="27">
        <v>50618.94</v>
      </c>
      <c r="K578" s="3">
        <v>45807</v>
      </c>
      <c r="L578" s="91">
        <v>45831</v>
      </c>
      <c r="M578" s="11">
        <v>45833</v>
      </c>
      <c r="N578" s="18" t="s">
        <v>588</v>
      </c>
      <c r="O578" s="35"/>
      <c r="P578"/>
      <c r="Q578" t="s">
        <v>55</v>
      </c>
      <c r="R578" t="s">
        <v>231</v>
      </c>
      <c r="S578" t="str">
        <f>IFERROR(VLOOKUP(Tabela1[[#This Row],[CC]],CC!$A$1:$H$403,8,0),"")</f>
        <v>OP1</v>
      </c>
    </row>
    <row r="579" spans="1:19" ht="15.75" customHeight="1" x14ac:dyDescent="0.3">
      <c r="A579" s="25">
        <v>1360</v>
      </c>
      <c r="B579" s="25" t="str">
        <f>IFERROR(VLOOKUP(Tabela1[[#This Row],[CC]],#REF!,5,0),"")</f>
        <v/>
      </c>
      <c r="C579" t="s">
        <v>32</v>
      </c>
      <c r="D579" t="s">
        <v>24</v>
      </c>
      <c r="E579" t="s">
        <v>338</v>
      </c>
      <c r="F579" t="s">
        <v>586</v>
      </c>
      <c r="G579" s="110">
        <v>4126</v>
      </c>
      <c r="H579" s="12">
        <v>45748</v>
      </c>
      <c r="I579" s="24">
        <v>57634.400000000001</v>
      </c>
      <c r="J579" s="27">
        <v>54089.89</v>
      </c>
      <c r="K579" s="3">
        <v>45820</v>
      </c>
      <c r="L579" s="91">
        <v>45831</v>
      </c>
      <c r="M579" s="11">
        <v>45833</v>
      </c>
      <c r="N579" s="18" t="s">
        <v>588</v>
      </c>
      <c r="O579" s="35"/>
      <c r="P579"/>
      <c r="Q579" t="s">
        <v>55</v>
      </c>
      <c r="R579" t="s">
        <v>231</v>
      </c>
      <c r="S579" t="str">
        <f>IFERROR(VLOOKUP(Tabela1[[#This Row],[CC]],CC!$A$1:$H$403,8,0),"")</f>
        <v>OP1</v>
      </c>
    </row>
    <row r="580" spans="1:19" ht="15.75" customHeight="1" x14ac:dyDescent="0.3">
      <c r="A580" s="25">
        <v>1387</v>
      </c>
      <c r="B580" s="25" t="str">
        <f>IFERROR(VLOOKUP(Tabela1[[#This Row],[CC]],#REF!,5,0),"")</f>
        <v/>
      </c>
      <c r="C580" t="s">
        <v>32</v>
      </c>
      <c r="D580" t="s">
        <v>24</v>
      </c>
      <c r="E580" t="s">
        <v>372</v>
      </c>
      <c r="F580" t="s">
        <v>586</v>
      </c>
      <c r="G580" s="110">
        <v>3982</v>
      </c>
      <c r="H580" s="12">
        <v>45748</v>
      </c>
      <c r="I580" s="24">
        <v>30648</v>
      </c>
      <c r="J580" s="24">
        <v>28763.15</v>
      </c>
      <c r="K580" s="3">
        <v>45770</v>
      </c>
      <c r="L580" s="91">
        <v>45817</v>
      </c>
      <c r="M580" s="11">
        <v>45819</v>
      </c>
      <c r="N580" s="18" t="s">
        <v>588</v>
      </c>
      <c r="O580" s="35"/>
      <c r="P580"/>
      <c r="Q580" t="s">
        <v>58</v>
      </c>
      <c r="R580" t="s">
        <v>231</v>
      </c>
      <c r="S580" t="str">
        <f>IFERROR(VLOOKUP(Tabela1[[#This Row],[CC]],CC!$A$1:$H$403,8,0),"")</f>
        <v>OP1</v>
      </c>
    </row>
    <row r="581" spans="1:19" ht="15.75" customHeight="1" x14ac:dyDescent="0.3">
      <c r="A581" s="25">
        <v>1387</v>
      </c>
      <c r="B581" s="25" t="str">
        <f>IFERROR(VLOOKUP(Tabela1[[#This Row],[CC]],#REF!,5,0),"")</f>
        <v/>
      </c>
      <c r="C581" t="s">
        <v>32</v>
      </c>
      <c r="D581" t="s">
        <v>24</v>
      </c>
      <c r="E581" t="s">
        <v>372</v>
      </c>
      <c r="F581" t="s">
        <v>586</v>
      </c>
      <c r="G581" s="110">
        <v>3985</v>
      </c>
      <c r="H581" s="12">
        <v>45748</v>
      </c>
      <c r="I581" s="24">
        <v>14423.2</v>
      </c>
      <c r="J581" s="24">
        <v>13536.17</v>
      </c>
      <c r="K581" s="3">
        <v>45772</v>
      </c>
      <c r="L581" s="91">
        <v>45803</v>
      </c>
      <c r="M581" s="11">
        <v>45803</v>
      </c>
      <c r="N581" s="18" t="s">
        <v>588</v>
      </c>
      <c r="O581" s="35"/>
      <c r="P581"/>
      <c r="Q581" t="s">
        <v>58</v>
      </c>
      <c r="R581" t="s">
        <v>231</v>
      </c>
      <c r="S581" t="str">
        <f>IFERROR(VLOOKUP(Tabela1[[#This Row],[CC]],CC!$A$1:$H$403,8,0),"")</f>
        <v>OP1</v>
      </c>
    </row>
    <row r="582" spans="1:19" ht="15.75" customHeight="1" x14ac:dyDescent="0.3">
      <c r="A582" s="25">
        <v>1387</v>
      </c>
      <c r="B582" s="25" t="str">
        <f>IFERROR(VLOOKUP(Tabela1[[#This Row],[CC]],#REF!,5,0),"")</f>
        <v/>
      </c>
      <c r="C582" t="s">
        <v>32</v>
      </c>
      <c r="D582" t="s">
        <v>24</v>
      </c>
      <c r="E582" t="s">
        <v>372</v>
      </c>
      <c r="F582" t="s">
        <v>586</v>
      </c>
      <c r="G582" s="110">
        <v>3986</v>
      </c>
      <c r="H582" s="12">
        <v>45748</v>
      </c>
      <c r="I582" s="27">
        <v>40600</v>
      </c>
      <c r="J582" s="27">
        <v>38103.1</v>
      </c>
      <c r="K582" s="3">
        <v>45775</v>
      </c>
      <c r="L582" s="91">
        <v>45803</v>
      </c>
      <c r="M582" s="11">
        <v>45807</v>
      </c>
      <c r="N582" s="18" t="s">
        <v>588</v>
      </c>
      <c r="O582" s="35"/>
      <c r="P582"/>
      <c r="Q582" t="s">
        <v>58</v>
      </c>
      <c r="R582" t="s">
        <v>231</v>
      </c>
      <c r="S582" t="str">
        <f>IFERROR(VLOOKUP(Tabela1[[#This Row],[CC]],CC!$A$1:$H$403,8,0),"")</f>
        <v>OP1</v>
      </c>
    </row>
    <row r="583" spans="1:19" ht="15.75" customHeight="1" x14ac:dyDescent="0.3">
      <c r="A583" s="25">
        <v>1387</v>
      </c>
      <c r="B583" s="25" t="str">
        <f>IFERROR(VLOOKUP(Tabela1[[#This Row],[CC]],#REF!,5,0),"")</f>
        <v/>
      </c>
      <c r="C583" t="s">
        <v>32</v>
      </c>
      <c r="D583" t="s">
        <v>24</v>
      </c>
      <c r="E583" t="s">
        <v>372</v>
      </c>
      <c r="F583" t="s">
        <v>586</v>
      </c>
      <c r="G583" s="110">
        <v>4056</v>
      </c>
      <c r="H583" s="12">
        <v>45748</v>
      </c>
      <c r="I583" s="24">
        <v>32288</v>
      </c>
      <c r="J583" s="27">
        <v>30302.29</v>
      </c>
      <c r="K583" s="3">
        <v>45798</v>
      </c>
      <c r="L583" s="91">
        <v>45831</v>
      </c>
      <c r="M583" s="11">
        <v>45833</v>
      </c>
      <c r="N583" s="18" t="s">
        <v>588</v>
      </c>
      <c r="O583" s="35"/>
      <c r="P583"/>
      <c r="Q583" t="s">
        <v>58</v>
      </c>
      <c r="R583" t="s">
        <v>231</v>
      </c>
      <c r="S583" t="str">
        <f>IFERROR(VLOOKUP(Tabela1[[#This Row],[CC]],CC!$A$1:$H$403,8,0),"")</f>
        <v>OP1</v>
      </c>
    </row>
    <row r="584" spans="1:19" ht="15.75" customHeight="1" x14ac:dyDescent="0.3">
      <c r="A584" s="25">
        <v>1387</v>
      </c>
      <c r="B584" s="25" t="str">
        <f>IFERROR(VLOOKUP(Tabela1[[#This Row],[CC]],#REF!,5,0),"")</f>
        <v/>
      </c>
      <c r="C584" t="s">
        <v>32</v>
      </c>
      <c r="D584" t="s">
        <v>24</v>
      </c>
      <c r="E584" t="s">
        <v>372</v>
      </c>
      <c r="F584" t="s">
        <v>586</v>
      </c>
      <c r="G584" s="110">
        <v>4060</v>
      </c>
      <c r="H584" s="12">
        <v>45748</v>
      </c>
      <c r="I584" s="24">
        <v>50416.800000000003</v>
      </c>
      <c r="J584" s="27">
        <v>47316.17</v>
      </c>
      <c r="K584" s="3">
        <v>45799</v>
      </c>
      <c r="L584" s="91">
        <v>45831</v>
      </c>
      <c r="M584" s="11">
        <v>45833</v>
      </c>
      <c r="N584" s="18" t="s">
        <v>588</v>
      </c>
      <c r="O584" s="35"/>
      <c r="P584"/>
      <c r="Q584" t="s">
        <v>58</v>
      </c>
      <c r="R584" t="s">
        <v>231</v>
      </c>
      <c r="S584" t="str">
        <f>IFERROR(VLOOKUP(Tabela1[[#This Row],[CC]],CC!$A$1:$H$403,8,0),"")</f>
        <v>OP1</v>
      </c>
    </row>
    <row r="585" spans="1:19" ht="15.75" customHeight="1" x14ac:dyDescent="0.3">
      <c r="A585" s="25">
        <v>1387</v>
      </c>
      <c r="B585" s="25" t="str">
        <f>IFERROR(VLOOKUP(Tabela1[[#This Row],[CC]],#REF!,5,0),"")</f>
        <v/>
      </c>
      <c r="C585" t="s">
        <v>32</v>
      </c>
      <c r="D585" t="s">
        <v>24</v>
      </c>
      <c r="E585" t="s">
        <v>372</v>
      </c>
      <c r="F585" t="s">
        <v>586</v>
      </c>
      <c r="G585" s="110">
        <v>4067</v>
      </c>
      <c r="H585" s="12">
        <v>45748</v>
      </c>
      <c r="I585" s="24">
        <v>40600</v>
      </c>
      <c r="J585" s="27">
        <v>38103.1</v>
      </c>
      <c r="K585" s="3">
        <v>45804</v>
      </c>
      <c r="L585" s="91">
        <v>45831</v>
      </c>
      <c r="M585" s="11">
        <v>45833</v>
      </c>
      <c r="N585" s="18" t="s">
        <v>588</v>
      </c>
      <c r="O585" s="35"/>
      <c r="P585"/>
      <c r="Q585" t="s">
        <v>58</v>
      </c>
      <c r="R585" t="s">
        <v>231</v>
      </c>
      <c r="S585" t="str">
        <f>IFERROR(VLOOKUP(Tabela1[[#This Row],[CC]],CC!$A$1:$H$403,8,0),"")</f>
        <v>OP1</v>
      </c>
    </row>
    <row r="586" spans="1:19" ht="15.75" customHeight="1" x14ac:dyDescent="0.3">
      <c r="A586" s="25">
        <v>1470</v>
      </c>
      <c r="B586" s="25" t="str">
        <f>IFERROR(VLOOKUP(Tabela1[[#This Row],[CC]],#REF!,5,0),"")</f>
        <v/>
      </c>
      <c r="C586" t="s">
        <v>67</v>
      </c>
      <c r="D586" t="s">
        <v>44</v>
      </c>
      <c r="E586" t="s">
        <v>475</v>
      </c>
      <c r="F586" t="s">
        <v>586</v>
      </c>
      <c r="G586" s="110">
        <v>8315</v>
      </c>
      <c r="H586" s="12">
        <v>45748</v>
      </c>
      <c r="I586" s="24">
        <v>36700</v>
      </c>
      <c r="J586" s="24">
        <v>33708.949999999997</v>
      </c>
      <c r="K586" s="3">
        <v>45782</v>
      </c>
      <c r="L586" s="91">
        <v>45789</v>
      </c>
      <c r="M586" s="11">
        <v>45792</v>
      </c>
      <c r="N586" s="18" t="s">
        <v>588</v>
      </c>
      <c r="O586" s="35">
        <v>0</v>
      </c>
      <c r="P586" s="26"/>
      <c r="Q586" t="s">
        <v>58</v>
      </c>
      <c r="R586" t="s">
        <v>183</v>
      </c>
      <c r="S586" t="str">
        <f>IFERROR(VLOOKUP(Tabela1[[#This Row],[CC]],CC!$A$1:$H$403,8,0),"")</f>
        <v>OP4</v>
      </c>
    </row>
    <row r="587" spans="1:19" ht="15.75" customHeight="1" x14ac:dyDescent="0.3">
      <c r="A587" s="25">
        <v>1273</v>
      </c>
      <c r="B587" s="25" t="str">
        <f>IFERROR(VLOOKUP(Tabela1[[#This Row],[CC]],#REF!,5,0),"")</f>
        <v/>
      </c>
      <c r="C587" t="s">
        <v>60</v>
      </c>
      <c r="D587" t="s">
        <v>19</v>
      </c>
      <c r="E587" t="s">
        <v>244</v>
      </c>
      <c r="F587" t="s">
        <v>586</v>
      </c>
      <c r="G587" s="110">
        <v>1257</v>
      </c>
      <c r="H587" s="12">
        <v>45748</v>
      </c>
      <c r="I587" s="2">
        <v>617803.57999999996</v>
      </c>
      <c r="J587" s="24">
        <v>554169.81000000006</v>
      </c>
      <c r="K587" s="3">
        <v>45797</v>
      </c>
      <c r="L587" s="91">
        <v>45817</v>
      </c>
      <c r="M587" s="11">
        <v>45818</v>
      </c>
      <c r="N587" s="18" t="s">
        <v>588</v>
      </c>
      <c r="O587" s="35">
        <v>0</v>
      </c>
      <c r="P587"/>
      <c r="Q587" t="s">
        <v>58</v>
      </c>
      <c r="R587" t="s">
        <v>195</v>
      </c>
      <c r="S587" t="str">
        <f>IFERROR(VLOOKUP(Tabela1[[#This Row],[CC]],CC!$A$1:$H$403,8,0),"")</f>
        <v>OP3</v>
      </c>
    </row>
    <row r="588" spans="1:19" ht="15.75" customHeight="1" x14ac:dyDescent="0.3">
      <c r="A588" s="25">
        <v>1273</v>
      </c>
      <c r="B588" s="25" t="str">
        <f>IFERROR(VLOOKUP(Tabela1[[#This Row],[CC]],#REF!,5,0),"")</f>
        <v/>
      </c>
      <c r="C588" t="s">
        <v>60</v>
      </c>
      <c r="D588" t="s">
        <v>19</v>
      </c>
      <c r="E588" t="s">
        <v>244</v>
      </c>
      <c r="F588" t="s">
        <v>586</v>
      </c>
      <c r="G588" s="110"/>
      <c r="H588" s="12">
        <v>45748</v>
      </c>
      <c r="I588" s="57">
        <v>94887.420000000042</v>
      </c>
      <c r="J588" s="24"/>
      <c r="K588" s="3">
        <v>45778</v>
      </c>
      <c r="L588" s="91"/>
      <c r="M588" s="11"/>
      <c r="N588" s="18" t="s">
        <v>572</v>
      </c>
      <c r="O588" s="35">
        <v>0</v>
      </c>
      <c r="P588"/>
      <c r="Q588" t="s">
        <v>58</v>
      </c>
      <c r="R588" t="s">
        <v>195</v>
      </c>
      <c r="S588" t="str">
        <f>IFERROR(VLOOKUP(Tabela1[[#This Row],[CC]],CC!$A$1:$H$403,8,0),"")</f>
        <v>OP3</v>
      </c>
    </row>
    <row r="589" spans="1:19" ht="15.75" customHeight="1" x14ac:dyDescent="0.3">
      <c r="A589" s="8">
        <v>1277</v>
      </c>
      <c r="B589" s="8" t="str">
        <f>IFERROR(VLOOKUP(Tabela1[[#This Row],[CC]],#REF!,5,0),"")</f>
        <v/>
      </c>
      <c r="C589" t="s">
        <v>60</v>
      </c>
      <c r="D589" t="s">
        <v>19</v>
      </c>
      <c r="E589" t="s">
        <v>248</v>
      </c>
      <c r="F589" t="s">
        <v>586</v>
      </c>
      <c r="G589" s="110">
        <v>1258</v>
      </c>
      <c r="H589" s="12">
        <v>45748</v>
      </c>
      <c r="I589" s="24">
        <v>154365.24</v>
      </c>
      <c r="J589" s="10">
        <v>138465.63</v>
      </c>
      <c r="K589" s="3">
        <v>45797</v>
      </c>
      <c r="L589" s="91">
        <v>45817</v>
      </c>
      <c r="M589" s="11">
        <v>45821</v>
      </c>
      <c r="N589" s="18" t="s">
        <v>588</v>
      </c>
      <c r="O589" s="34">
        <v>0</v>
      </c>
      <c r="P589"/>
      <c r="Q589" t="s">
        <v>58</v>
      </c>
      <c r="R589" t="s">
        <v>195</v>
      </c>
      <c r="S589" t="str">
        <f>IFERROR(VLOOKUP(Tabela1[[#This Row],[CC]],CC!$A$1:$H$403,8,0),"")</f>
        <v>OP3</v>
      </c>
    </row>
    <row r="590" spans="1:19" ht="15.75" customHeight="1" x14ac:dyDescent="0.3">
      <c r="A590" s="25">
        <v>1268</v>
      </c>
      <c r="B590" s="25" t="str">
        <f>IFERROR(VLOOKUP(Tabela1[[#This Row],[CC]],#REF!,5,0),"")</f>
        <v/>
      </c>
      <c r="C590" t="s">
        <v>51</v>
      </c>
      <c r="D590" t="s">
        <v>40</v>
      </c>
      <c r="E590" t="s">
        <v>238</v>
      </c>
      <c r="F590" t="s">
        <v>586</v>
      </c>
      <c r="G590" s="107">
        <v>4030</v>
      </c>
      <c r="H590" s="12">
        <v>45748</v>
      </c>
      <c r="I590" s="24">
        <v>99705.76</v>
      </c>
      <c r="J590" s="24">
        <v>93573.87</v>
      </c>
      <c r="K590" s="3">
        <v>45791</v>
      </c>
      <c r="L590" s="91">
        <v>45803</v>
      </c>
      <c r="M590" s="11">
        <v>45804</v>
      </c>
      <c r="N590" s="18" t="s">
        <v>588</v>
      </c>
      <c r="O590" s="35">
        <v>0</v>
      </c>
      <c r="P590"/>
      <c r="Q590" t="s">
        <v>55</v>
      </c>
      <c r="R590" t="s">
        <v>231</v>
      </c>
      <c r="S590" t="str">
        <f>IFERROR(VLOOKUP(Tabela1[[#This Row],[CC]],CC!$A$1:$H$403,8,0),"")</f>
        <v>OP2</v>
      </c>
    </row>
    <row r="591" spans="1:19" ht="15.75" customHeight="1" x14ac:dyDescent="0.3">
      <c r="A591" s="25">
        <v>1268</v>
      </c>
      <c r="B591" s="25" t="str">
        <f>IFERROR(VLOOKUP(Tabela1[[#This Row],[CC]],#REF!,5,0),"")</f>
        <v/>
      </c>
      <c r="C591" t="s">
        <v>51</v>
      </c>
      <c r="D591" t="s">
        <v>40</v>
      </c>
      <c r="E591" t="s">
        <v>238</v>
      </c>
      <c r="F591" t="s">
        <v>586</v>
      </c>
      <c r="G591" s="107">
        <v>4029</v>
      </c>
      <c r="H591" s="12">
        <v>45748</v>
      </c>
      <c r="I591" s="24">
        <v>1161883.8</v>
      </c>
      <c r="J591" s="27">
        <v>1090427.94</v>
      </c>
      <c r="K591" s="3">
        <v>45791</v>
      </c>
      <c r="L591" s="91">
        <v>45803</v>
      </c>
      <c r="M591" s="11">
        <v>45806</v>
      </c>
      <c r="N591" s="18" t="s">
        <v>588</v>
      </c>
      <c r="O591" s="35">
        <v>0</v>
      </c>
      <c r="P591"/>
      <c r="Q591" t="s">
        <v>55</v>
      </c>
      <c r="R591" t="s">
        <v>231</v>
      </c>
      <c r="S591" t="str">
        <f>IFERROR(VLOOKUP(Tabela1[[#This Row],[CC]],CC!$A$1:$H$403,8,0),"")</f>
        <v>OP2</v>
      </c>
    </row>
    <row r="592" spans="1:19" ht="15.75" customHeight="1" x14ac:dyDescent="0.3">
      <c r="A592" s="25">
        <v>1268</v>
      </c>
      <c r="B592" s="25" t="str">
        <f>IFERROR(VLOOKUP(Tabela1[[#This Row],[CC]],#REF!,5,0),"")</f>
        <v/>
      </c>
      <c r="C592" t="s">
        <v>51</v>
      </c>
      <c r="D592" t="s">
        <v>40</v>
      </c>
      <c r="E592" t="s">
        <v>238</v>
      </c>
      <c r="F592" t="s">
        <v>586</v>
      </c>
      <c r="G592" s="107">
        <v>4028</v>
      </c>
      <c r="H592" s="12">
        <v>45748</v>
      </c>
      <c r="I592" s="24">
        <v>87714.73</v>
      </c>
      <c r="J592" s="27">
        <v>82320.28</v>
      </c>
      <c r="K592" s="3">
        <v>45791</v>
      </c>
      <c r="L592" s="91">
        <v>45803</v>
      </c>
      <c r="M592" s="11">
        <v>45806</v>
      </c>
      <c r="N592" s="18" t="s">
        <v>588</v>
      </c>
      <c r="O592" s="35">
        <v>0</v>
      </c>
      <c r="P592"/>
      <c r="Q592" t="s">
        <v>55</v>
      </c>
      <c r="R592" t="s">
        <v>231</v>
      </c>
      <c r="S592" t="str">
        <f>IFERROR(VLOOKUP(Tabela1[[#This Row],[CC]],CC!$A$1:$H$403,8,0),"")</f>
        <v>OP2</v>
      </c>
    </row>
    <row r="593" spans="1:19" ht="15.75" customHeight="1" x14ac:dyDescent="0.3">
      <c r="A593" s="25">
        <v>1483</v>
      </c>
      <c r="B593" s="25" t="str">
        <f>IFERROR(VLOOKUP(Tabela1[[#This Row],[CC]],#REF!,5,0),"")</f>
        <v/>
      </c>
      <c r="C593" t="s">
        <v>67</v>
      </c>
      <c r="D593" t="s">
        <v>45</v>
      </c>
      <c r="E593" t="s">
        <v>488</v>
      </c>
      <c r="F593" t="s">
        <v>586</v>
      </c>
      <c r="G593" s="110">
        <v>8316</v>
      </c>
      <c r="H593" s="12">
        <v>45748</v>
      </c>
      <c r="I593" s="24">
        <v>53591.199999999997</v>
      </c>
      <c r="J593" s="24">
        <v>49527.08</v>
      </c>
      <c r="K593" s="3">
        <v>45782</v>
      </c>
      <c r="L593" s="91">
        <v>45817</v>
      </c>
      <c r="M593" s="11">
        <v>45819</v>
      </c>
      <c r="N593" s="18" t="s">
        <v>588</v>
      </c>
      <c r="O593" s="35">
        <v>0</v>
      </c>
      <c r="P593" s="26"/>
      <c r="Q593" t="s">
        <v>58</v>
      </c>
      <c r="R593" t="s">
        <v>183</v>
      </c>
      <c r="S593" t="str">
        <f>IFERROR(VLOOKUP(Tabela1[[#This Row],[CC]],CC!$A$1:$H$403,8,0),"")</f>
        <v>OP2</v>
      </c>
    </row>
    <row r="594" spans="1:19" ht="15.75" customHeight="1" x14ac:dyDescent="0.3">
      <c r="A594" s="25">
        <v>1483</v>
      </c>
      <c r="B594" s="25" t="str">
        <f>IFERROR(VLOOKUP(Tabela1[[#This Row],[CC]],#REF!,5,0),"")</f>
        <v/>
      </c>
      <c r="C594" t="s">
        <v>67</v>
      </c>
      <c r="D594" t="s">
        <v>45</v>
      </c>
      <c r="E594" t="s">
        <v>488</v>
      </c>
      <c r="F594" t="s">
        <v>586</v>
      </c>
      <c r="G594" s="110">
        <v>8317</v>
      </c>
      <c r="H594" s="12">
        <v>45748</v>
      </c>
      <c r="I594" s="24">
        <v>28856.799999999999</v>
      </c>
      <c r="J594" s="24">
        <v>27082.11</v>
      </c>
      <c r="K594" s="3">
        <v>45782</v>
      </c>
      <c r="L594" s="91">
        <v>45824</v>
      </c>
      <c r="M594" s="11">
        <v>45827</v>
      </c>
      <c r="N594" s="18" t="s">
        <v>588</v>
      </c>
      <c r="O594" s="35">
        <v>0</v>
      </c>
      <c r="P594" s="26"/>
      <c r="Q594" t="s">
        <v>58</v>
      </c>
      <c r="R594" t="s">
        <v>183</v>
      </c>
      <c r="S594" t="str">
        <f>IFERROR(VLOOKUP(Tabela1[[#This Row],[CC]],CC!$A$1:$H$403,8,0),"")</f>
        <v>OP2</v>
      </c>
    </row>
    <row r="595" spans="1:19" ht="15.75" customHeight="1" x14ac:dyDescent="0.3">
      <c r="A595" s="25">
        <v>1275</v>
      </c>
      <c r="B595" s="25" t="str">
        <f>IFERROR(VLOOKUP(Tabela1[[#This Row],[CC]],#REF!,5,0),"")</f>
        <v/>
      </c>
      <c r="C595" t="s">
        <v>51</v>
      </c>
      <c r="D595" t="s">
        <v>41</v>
      </c>
      <c r="E595" t="s">
        <v>246</v>
      </c>
      <c r="F595" t="s">
        <v>586</v>
      </c>
      <c r="G595" s="110">
        <v>3995</v>
      </c>
      <c r="H595" s="12">
        <v>45748</v>
      </c>
      <c r="I595" s="24">
        <v>16767.240000000002</v>
      </c>
      <c r="J595" s="24">
        <v>15736.05</v>
      </c>
      <c r="K595" s="3">
        <v>45779</v>
      </c>
      <c r="L595" s="91">
        <v>45803</v>
      </c>
      <c r="M595" s="11">
        <v>45806</v>
      </c>
      <c r="N595" s="18" t="s">
        <v>588</v>
      </c>
      <c r="O595" s="35">
        <v>0</v>
      </c>
      <c r="P595" s="26"/>
      <c r="Q595" t="s">
        <v>55</v>
      </c>
      <c r="R595" t="s">
        <v>231</v>
      </c>
      <c r="S595" t="str">
        <f>IFERROR(VLOOKUP(Tabela1[[#This Row],[CC]],CC!$A$1:$H$403,8,0),"")</f>
        <v>OP2</v>
      </c>
    </row>
    <row r="596" spans="1:19" ht="15.75" customHeight="1" x14ac:dyDescent="0.3">
      <c r="A596" s="25">
        <v>1479</v>
      </c>
      <c r="B596" s="25" t="str">
        <f>IFERROR(VLOOKUP(Tabela1[[#This Row],[CC]],#REF!,5,0),"")</f>
        <v/>
      </c>
      <c r="C596" t="s">
        <v>51</v>
      </c>
      <c r="D596" t="s">
        <v>41</v>
      </c>
      <c r="E596" t="s">
        <v>484</v>
      </c>
      <c r="F596" t="s">
        <v>586</v>
      </c>
      <c r="G596" s="110">
        <v>3996</v>
      </c>
      <c r="H596" s="12">
        <v>45748</v>
      </c>
      <c r="I596" s="24">
        <v>26040</v>
      </c>
      <c r="J596" s="27">
        <v>24438.54</v>
      </c>
      <c r="K596" s="3">
        <v>45779</v>
      </c>
      <c r="L596" s="91">
        <v>45803</v>
      </c>
      <c r="M596" s="11">
        <v>45806</v>
      </c>
      <c r="N596" s="18" t="s">
        <v>588</v>
      </c>
      <c r="O596" s="35">
        <v>0</v>
      </c>
      <c r="P596" s="26"/>
      <c r="Q596" t="s">
        <v>57</v>
      </c>
      <c r="R596" t="s">
        <v>231</v>
      </c>
      <c r="S596" t="str">
        <f>IFERROR(VLOOKUP(Tabela1[[#This Row],[CC]],CC!$A$1:$H$403,8,0),"")</f>
        <v>OP2</v>
      </c>
    </row>
    <row r="597" spans="1:19" ht="15.75" customHeight="1" x14ac:dyDescent="0.3">
      <c r="A597" s="8">
        <v>1298</v>
      </c>
      <c r="B597" s="8" t="str">
        <f>IFERROR(VLOOKUP(Tabela1[[#This Row],[CC]],#REF!,5,0),"")</f>
        <v/>
      </c>
      <c r="C597" t="str">
        <f>IFERROR(VLOOKUP(Tabela1[[#This Row],[CC]],CC!$A$1:$H$389,7,0),"")</f>
        <v>JOSÉ NETO</v>
      </c>
      <c r="D597" t="s">
        <v>17</v>
      </c>
      <c r="E597" t="s">
        <v>273</v>
      </c>
      <c r="F597" t="s">
        <v>586</v>
      </c>
      <c r="G597" s="110">
        <v>1251</v>
      </c>
      <c r="H597" s="12">
        <v>45748</v>
      </c>
      <c r="I597" s="24">
        <v>275594.28999999998</v>
      </c>
      <c r="J597" s="24">
        <v>258645.25</v>
      </c>
      <c r="K597" s="3">
        <v>45790</v>
      </c>
      <c r="L597" s="91">
        <v>45796</v>
      </c>
      <c r="M597" s="11">
        <v>45800</v>
      </c>
      <c r="N597" s="18" t="s">
        <v>588</v>
      </c>
      <c r="O597" s="34">
        <v>0</v>
      </c>
      <c r="P597"/>
      <c r="Q597" t="s">
        <v>58</v>
      </c>
      <c r="R597" t="s">
        <v>195</v>
      </c>
      <c r="S597" t="str">
        <f>IFERROR(VLOOKUP(Tabela1[[#This Row],[CC]],CC!$A$1:$H$403,8,0),"")</f>
        <v>OP2</v>
      </c>
    </row>
    <row r="598" spans="1:19" ht="15.75" customHeight="1" x14ac:dyDescent="0.3">
      <c r="A598" s="25">
        <v>1455</v>
      </c>
      <c r="B598" s="25" t="str">
        <f>IFERROR(VLOOKUP(Tabela1[[#This Row],[CC]],#REF!,5,0),"")</f>
        <v/>
      </c>
      <c r="C598" t="s">
        <v>70</v>
      </c>
      <c r="D598" t="s">
        <v>31</v>
      </c>
      <c r="E598" t="s">
        <v>455</v>
      </c>
      <c r="F598" t="s">
        <v>586</v>
      </c>
      <c r="G598" s="110">
        <v>8350</v>
      </c>
      <c r="H598" s="12">
        <v>45778</v>
      </c>
      <c r="I598" s="24">
        <v>54003.39</v>
      </c>
      <c r="J598" s="24">
        <v>47712</v>
      </c>
      <c r="K598" s="3">
        <v>45811</v>
      </c>
      <c r="L598" s="91">
        <v>45838</v>
      </c>
      <c r="M598" s="11">
        <v>45838</v>
      </c>
      <c r="N598" s="21" t="s">
        <v>588</v>
      </c>
      <c r="O598" s="41"/>
      <c r="P598" s="26"/>
      <c r="Q598" t="s">
        <v>58</v>
      </c>
      <c r="R598" t="s">
        <v>228</v>
      </c>
      <c r="S598" t="str">
        <f>IFERROR(VLOOKUP(Tabela1[[#This Row],[CC]],CC!$A$1:$H$403,8,0),"")</f>
        <v>OP4</v>
      </c>
    </row>
    <row r="599" spans="1:19" ht="15.75" customHeight="1" x14ac:dyDescent="0.3">
      <c r="A599" s="8">
        <v>1489</v>
      </c>
      <c r="B599" s="8" t="str">
        <f>IFERROR(VLOOKUP(Tabela1[[#This Row],[CC]],#REF!,5,0),"")</f>
        <v/>
      </c>
      <c r="C599" t="s">
        <v>51</v>
      </c>
      <c r="D599" t="s">
        <v>22</v>
      </c>
      <c r="E599" t="s">
        <v>494</v>
      </c>
      <c r="F599" t="s">
        <v>586</v>
      </c>
      <c r="G599" s="110">
        <v>4080</v>
      </c>
      <c r="H599" s="12">
        <v>45778</v>
      </c>
      <c r="I599" s="10">
        <v>42812.21</v>
      </c>
      <c r="J599" s="24">
        <v>40179.26</v>
      </c>
      <c r="K599" s="3">
        <v>45811</v>
      </c>
      <c r="L599" s="91">
        <v>45839</v>
      </c>
      <c r="M599" s="11">
        <v>45841</v>
      </c>
      <c r="N599" s="18" t="s">
        <v>588</v>
      </c>
      <c r="O599" s="37"/>
      <c r="P599" s="14"/>
      <c r="Q599" t="s">
        <v>57</v>
      </c>
      <c r="R599" t="s">
        <v>231</v>
      </c>
      <c r="S599" t="str">
        <f>IFERROR(VLOOKUP(Tabela1[[#This Row],[CC]],CC!$A$1:$H$403,8,0),"")</f>
        <v>OP2</v>
      </c>
    </row>
    <row r="600" spans="1:19" ht="15.75" customHeight="1" x14ac:dyDescent="0.3">
      <c r="A600" s="25">
        <v>1478</v>
      </c>
      <c r="B600" s="25" t="str">
        <f>IFERROR(VLOOKUP(Tabela1[[#This Row],[CC]],#REF!,5,0),"")</f>
        <v/>
      </c>
      <c r="C600" t="s">
        <v>32</v>
      </c>
      <c r="D600" t="s">
        <v>54</v>
      </c>
      <c r="E600" t="s">
        <v>483</v>
      </c>
      <c r="F600" t="s">
        <v>586</v>
      </c>
      <c r="G600" s="110">
        <v>8348</v>
      </c>
      <c r="H600" s="12">
        <v>45778</v>
      </c>
      <c r="I600" s="24">
        <v>76256.009999999995</v>
      </c>
      <c r="J600" s="24">
        <v>71566.27</v>
      </c>
      <c r="K600" s="3">
        <v>45807</v>
      </c>
      <c r="L600" s="91">
        <v>45831</v>
      </c>
      <c r="M600" s="11">
        <v>45835</v>
      </c>
      <c r="N600" s="18" t="s">
        <v>588</v>
      </c>
      <c r="O600" s="35"/>
      <c r="P600"/>
      <c r="Q600" t="s">
        <v>55</v>
      </c>
      <c r="R600" t="s">
        <v>231</v>
      </c>
      <c r="S600" t="str">
        <f>IFERROR(VLOOKUP(Tabela1[[#This Row],[CC]],CC!$A$1:$H$403,8,0),"")</f>
        <v>OP1</v>
      </c>
    </row>
    <row r="601" spans="1:19" ht="15.75" customHeight="1" x14ac:dyDescent="0.3">
      <c r="A601" s="8">
        <v>1499</v>
      </c>
      <c r="B601" s="8" t="str">
        <f>IFERROR(VLOOKUP(Tabela1[[#This Row],[CC]],#REF!,5,0),"")</f>
        <v/>
      </c>
      <c r="C601" t="s">
        <v>32</v>
      </c>
      <c r="D601" t="s">
        <v>36</v>
      </c>
      <c r="E601" t="s">
        <v>505</v>
      </c>
      <c r="F601" t="s">
        <v>586</v>
      </c>
      <c r="G601" s="110">
        <v>8418</v>
      </c>
      <c r="H601" s="12">
        <v>45778</v>
      </c>
      <c r="I601" s="24">
        <v>52900</v>
      </c>
      <c r="J601" s="10">
        <v>49646.65</v>
      </c>
      <c r="K601" s="3">
        <v>45846</v>
      </c>
      <c r="L601" s="91">
        <v>45866</v>
      </c>
      <c r="M601" s="11">
        <v>45866</v>
      </c>
      <c r="N601" s="18" t="s">
        <v>588</v>
      </c>
      <c r="O601" s="34">
        <v>0</v>
      </c>
      <c r="P601"/>
      <c r="Q601" t="s">
        <v>55</v>
      </c>
      <c r="R601" t="s">
        <v>228</v>
      </c>
      <c r="S601" t="str">
        <f>IFERROR(VLOOKUP(Tabela1[[#This Row],[CC]],CC!$A$1:$H$403,8,0),"")</f>
        <v>OP1</v>
      </c>
    </row>
    <row r="602" spans="1:19" ht="15.75" customHeight="1" x14ac:dyDescent="0.3">
      <c r="A602" s="8">
        <v>1391</v>
      </c>
      <c r="B602" s="8" t="str">
        <f>IFERROR(VLOOKUP(Tabela1[[#This Row],[CC]],#REF!,5,0),"")</f>
        <v/>
      </c>
      <c r="C602" t="s">
        <v>32</v>
      </c>
      <c r="D602" t="s">
        <v>52</v>
      </c>
      <c r="E602" t="s">
        <v>375</v>
      </c>
      <c r="F602" t="s">
        <v>586</v>
      </c>
      <c r="G602" s="110">
        <v>4105</v>
      </c>
      <c r="H602" s="12">
        <v>45778</v>
      </c>
      <c r="I602" s="28">
        <v>155376.51</v>
      </c>
      <c r="J602" s="39">
        <v>145820.85</v>
      </c>
      <c r="K602" s="3">
        <v>45817</v>
      </c>
      <c r="L602" s="91">
        <v>45831</v>
      </c>
      <c r="M602" s="11">
        <v>45833</v>
      </c>
      <c r="N602" s="1" t="s">
        <v>588</v>
      </c>
      <c r="O602" s="35">
        <v>0</v>
      </c>
      <c r="P602"/>
      <c r="Q602" t="s">
        <v>55</v>
      </c>
      <c r="R602" t="s">
        <v>231</v>
      </c>
      <c r="S602" t="str">
        <f>IFERROR(VLOOKUP(Tabela1[[#This Row],[CC]],CC!$A$1:$H$403,8,0),"")</f>
        <v>OP1</v>
      </c>
    </row>
    <row r="603" spans="1:19" ht="15.75" customHeight="1" x14ac:dyDescent="0.3">
      <c r="A603" s="8">
        <v>1391</v>
      </c>
      <c r="B603" s="8" t="str">
        <f>IFERROR(VLOOKUP(Tabela1[[#This Row],[CC]],#REF!,5,0),"")</f>
        <v/>
      </c>
      <c r="C603" t="s">
        <v>32</v>
      </c>
      <c r="D603" t="s">
        <v>52</v>
      </c>
      <c r="E603" t="s">
        <v>375</v>
      </c>
      <c r="F603" t="s">
        <v>586</v>
      </c>
      <c r="G603" s="110">
        <v>4109</v>
      </c>
      <c r="H603" s="12">
        <v>45778</v>
      </c>
      <c r="I603" s="28">
        <v>95468.17</v>
      </c>
      <c r="J603" s="39">
        <v>89596.88</v>
      </c>
      <c r="K603" s="3">
        <v>45817</v>
      </c>
      <c r="L603" s="91">
        <v>45831</v>
      </c>
      <c r="M603" s="11">
        <v>45833</v>
      </c>
      <c r="N603" s="1" t="s">
        <v>588</v>
      </c>
      <c r="O603" s="35">
        <v>0</v>
      </c>
      <c r="P603"/>
      <c r="Q603" t="s">
        <v>55</v>
      </c>
      <c r="R603" t="s">
        <v>231</v>
      </c>
      <c r="S603" t="str">
        <f>IFERROR(VLOOKUP(Tabela1[[#This Row],[CC]],CC!$A$1:$H$403,8,0),"")</f>
        <v>OP1</v>
      </c>
    </row>
    <row r="604" spans="1:19" ht="15.75" customHeight="1" x14ac:dyDescent="0.3">
      <c r="A604" s="8">
        <v>1391</v>
      </c>
      <c r="B604" s="8" t="str">
        <f>IFERROR(VLOOKUP(Tabela1[[#This Row],[CC]],#REF!,5,0),"")</f>
        <v/>
      </c>
      <c r="C604" t="s">
        <v>32</v>
      </c>
      <c r="D604" t="s">
        <v>52</v>
      </c>
      <c r="E604" t="s">
        <v>375</v>
      </c>
      <c r="F604" t="s">
        <v>586</v>
      </c>
      <c r="G604" s="110">
        <v>4107</v>
      </c>
      <c r="H604" s="12">
        <v>45778</v>
      </c>
      <c r="I604" s="28">
        <v>270546.01</v>
      </c>
      <c r="J604" s="39">
        <v>253907.43</v>
      </c>
      <c r="K604" s="3">
        <v>45817</v>
      </c>
      <c r="L604" s="91">
        <v>45831</v>
      </c>
      <c r="M604" s="11">
        <v>45833</v>
      </c>
      <c r="N604" s="1" t="s">
        <v>588</v>
      </c>
      <c r="O604" s="35">
        <v>0</v>
      </c>
      <c r="P604"/>
      <c r="Q604" t="s">
        <v>55</v>
      </c>
      <c r="R604" t="s">
        <v>231</v>
      </c>
      <c r="S604" t="str">
        <f>IFERROR(VLOOKUP(Tabela1[[#This Row],[CC]],CC!$A$1:$H$403,8,0),"")</f>
        <v>OP1</v>
      </c>
    </row>
    <row r="605" spans="1:19" x14ac:dyDescent="0.3">
      <c r="A605" s="8">
        <v>1391</v>
      </c>
      <c r="B605" s="8" t="str">
        <f>IFERROR(VLOOKUP(Tabela1[[#This Row],[CC]],#REF!,5,0),"")</f>
        <v/>
      </c>
      <c r="C605" t="s">
        <v>32</v>
      </c>
      <c r="D605" t="s">
        <v>52</v>
      </c>
      <c r="E605" t="s">
        <v>375</v>
      </c>
      <c r="F605" t="s">
        <v>586</v>
      </c>
      <c r="G605" s="110">
        <v>4116</v>
      </c>
      <c r="H605" s="12">
        <v>45778</v>
      </c>
      <c r="I605" s="28">
        <v>75234.3</v>
      </c>
      <c r="J605" s="39">
        <v>70607.399999999994</v>
      </c>
      <c r="K605" s="3">
        <v>45818</v>
      </c>
      <c r="L605" s="91">
        <v>45831</v>
      </c>
      <c r="M605" s="11">
        <v>45833</v>
      </c>
      <c r="N605" s="1" t="s">
        <v>588</v>
      </c>
      <c r="O605" s="35">
        <v>0</v>
      </c>
      <c r="P605"/>
      <c r="Q605" t="s">
        <v>55</v>
      </c>
      <c r="R605" t="s">
        <v>231</v>
      </c>
      <c r="S605" t="str">
        <f>IFERROR(VLOOKUP(Tabela1[[#This Row],[CC]],CC!$A$1:$H$403,8,0),"")</f>
        <v>OP1</v>
      </c>
    </row>
    <row r="606" spans="1:19" x14ac:dyDescent="0.3">
      <c r="A606" s="8">
        <v>1391</v>
      </c>
      <c r="B606" s="8" t="str">
        <f>IFERROR(VLOOKUP(Tabela1[[#This Row],[CC]],#REF!,5,0),"")</f>
        <v/>
      </c>
      <c r="C606" t="s">
        <v>32</v>
      </c>
      <c r="D606" t="s">
        <v>52</v>
      </c>
      <c r="E606" t="s">
        <v>375</v>
      </c>
      <c r="F606" t="s">
        <v>586</v>
      </c>
      <c r="G606" s="110">
        <v>4115</v>
      </c>
      <c r="H606" s="12">
        <v>45778</v>
      </c>
      <c r="I606" s="28">
        <v>107703.84</v>
      </c>
      <c r="J606" s="39">
        <v>101080.05</v>
      </c>
      <c r="K606" s="3">
        <v>45818</v>
      </c>
      <c r="L606" s="91">
        <v>45831</v>
      </c>
      <c r="M606" s="11">
        <v>45833</v>
      </c>
      <c r="N606" s="1" t="s">
        <v>588</v>
      </c>
      <c r="O606" s="35">
        <v>0</v>
      </c>
      <c r="P606"/>
      <c r="Q606" t="s">
        <v>55</v>
      </c>
      <c r="R606" t="s">
        <v>231</v>
      </c>
      <c r="S606" t="str">
        <f>IFERROR(VLOOKUP(Tabela1[[#This Row],[CC]],CC!$A$1:$H$403,8,0),"")</f>
        <v>OP1</v>
      </c>
    </row>
    <row r="607" spans="1:19" x14ac:dyDescent="0.3">
      <c r="A607" s="8">
        <v>1391</v>
      </c>
      <c r="B607" s="8" t="str">
        <f>IFERROR(VLOOKUP(Tabela1[[#This Row],[CC]],#REF!,5,0),"")</f>
        <v/>
      </c>
      <c r="C607" t="s">
        <v>32</v>
      </c>
      <c r="D607" t="s">
        <v>52</v>
      </c>
      <c r="E607" t="s">
        <v>375</v>
      </c>
      <c r="F607" t="s">
        <v>586</v>
      </c>
      <c r="G607" s="110">
        <v>4114</v>
      </c>
      <c r="H607" s="12">
        <v>45778</v>
      </c>
      <c r="I607" s="28">
        <v>3392.34</v>
      </c>
      <c r="J607" s="39">
        <v>3183.71</v>
      </c>
      <c r="K607" s="3">
        <v>45818</v>
      </c>
      <c r="L607" s="91">
        <v>45831</v>
      </c>
      <c r="M607" s="11">
        <v>45833</v>
      </c>
      <c r="N607" s="1" t="s">
        <v>588</v>
      </c>
      <c r="O607" s="35">
        <v>0</v>
      </c>
      <c r="P607"/>
      <c r="Q607" t="s">
        <v>55</v>
      </c>
      <c r="R607" t="s">
        <v>231</v>
      </c>
      <c r="S607" t="str">
        <f>IFERROR(VLOOKUP(Tabela1[[#This Row],[CC]],CC!$A$1:$H$403,8,0),"")</f>
        <v>OP1</v>
      </c>
    </row>
    <row r="608" spans="1:19" x14ac:dyDescent="0.3">
      <c r="A608" s="8">
        <v>1391</v>
      </c>
      <c r="B608" s="8" t="str">
        <f>IFERROR(VLOOKUP(Tabela1[[#This Row],[CC]],#REF!,5,0),"")</f>
        <v/>
      </c>
      <c r="C608" t="s">
        <v>32</v>
      </c>
      <c r="D608" t="s">
        <v>52</v>
      </c>
      <c r="E608" t="s">
        <v>375</v>
      </c>
      <c r="F608" t="s">
        <v>586</v>
      </c>
      <c r="G608" s="110">
        <v>4113</v>
      </c>
      <c r="H608" s="12">
        <v>45778</v>
      </c>
      <c r="I608" s="28">
        <v>8315.3700000000008</v>
      </c>
      <c r="J608" s="39">
        <v>7803.98</v>
      </c>
      <c r="K608" s="3">
        <v>45818</v>
      </c>
      <c r="L608" s="91">
        <v>45831</v>
      </c>
      <c r="M608" s="11">
        <v>45833</v>
      </c>
      <c r="N608" s="1" t="s">
        <v>588</v>
      </c>
      <c r="O608" s="35">
        <v>0</v>
      </c>
      <c r="P608"/>
      <c r="Q608" t="s">
        <v>55</v>
      </c>
      <c r="R608" t="s">
        <v>231</v>
      </c>
      <c r="S608" t="str">
        <f>IFERROR(VLOOKUP(Tabela1[[#This Row],[CC]],CC!$A$1:$H$403,8,0),"")</f>
        <v>OP1</v>
      </c>
    </row>
    <row r="609" spans="1:19" x14ac:dyDescent="0.3">
      <c r="A609" s="8">
        <v>1391</v>
      </c>
      <c r="B609" s="8" t="str">
        <f>IFERROR(VLOOKUP(Tabela1[[#This Row],[CC]],#REF!,5,0),"")</f>
        <v/>
      </c>
      <c r="C609" t="s">
        <v>32</v>
      </c>
      <c r="D609" t="s">
        <v>52</v>
      </c>
      <c r="E609" t="s">
        <v>375</v>
      </c>
      <c r="F609" t="s">
        <v>586</v>
      </c>
      <c r="G609" s="110">
        <v>4112</v>
      </c>
      <c r="H609" s="12">
        <v>45778</v>
      </c>
      <c r="I609" s="28">
        <v>12600.12</v>
      </c>
      <c r="J609" s="39">
        <v>11825.21</v>
      </c>
      <c r="K609" s="3">
        <v>45818</v>
      </c>
      <c r="L609" s="91">
        <v>45831</v>
      </c>
      <c r="M609" s="11">
        <v>45833</v>
      </c>
      <c r="N609" s="1" t="s">
        <v>588</v>
      </c>
      <c r="O609" s="35">
        <v>0</v>
      </c>
      <c r="P609"/>
      <c r="Q609" t="s">
        <v>55</v>
      </c>
      <c r="R609" t="s">
        <v>231</v>
      </c>
      <c r="S609" t="str">
        <f>IFERROR(VLOOKUP(Tabela1[[#This Row],[CC]],CC!$A$1:$H$403,8,0),"")</f>
        <v>OP1</v>
      </c>
    </row>
    <row r="610" spans="1:19" x14ac:dyDescent="0.3">
      <c r="A610" s="8">
        <v>1391</v>
      </c>
      <c r="B610" s="8" t="str">
        <f>IFERROR(VLOOKUP(Tabela1[[#This Row],[CC]],#REF!,5,0),"")</f>
        <v/>
      </c>
      <c r="C610" t="s">
        <v>32</v>
      </c>
      <c r="D610" t="s">
        <v>52</v>
      </c>
      <c r="E610" t="s">
        <v>375</v>
      </c>
      <c r="F610" t="s">
        <v>586</v>
      </c>
      <c r="G610" s="110">
        <v>4119</v>
      </c>
      <c r="H610" s="12">
        <v>45778</v>
      </c>
      <c r="I610" s="28">
        <v>30779.279999999999</v>
      </c>
      <c r="J610" s="39">
        <v>28886.35</v>
      </c>
      <c r="K610" s="3">
        <v>45819</v>
      </c>
      <c r="L610" s="91">
        <v>45831</v>
      </c>
      <c r="M610" s="11">
        <v>45834</v>
      </c>
      <c r="N610" s="1" t="s">
        <v>588</v>
      </c>
      <c r="O610" s="35">
        <v>0</v>
      </c>
      <c r="P610"/>
      <c r="Q610" t="s">
        <v>55</v>
      </c>
      <c r="R610" t="s">
        <v>231</v>
      </c>
      <c r="S610" t="str">
        <f>IFERROR(VLOOKUP(Tabela1[[#This Row],[CC]],CC!$A$1:$H$403,8,0),"")</f>
        <v>OP1</v>
      </c>
    </row>
    <row r="611" spans="1:19" x14ac:dyDescent="0.3">
      <c r="A611" s="25">
        <v>1294</v>
      </c>
      <c r="B611" s="25" t="str">
        <f>IFERROR(VLOOKUP(Tabela1[[#This Row],[CC]],#REF!,5,0),"")</f>
        <v/>
      </c>
      <c r="C611" t="s">
        <v>32</v>
      </c>
      <c r="D611" t="s">
        <v>52</v>
      </c>
      <c r="E611" t="s">
        <v>268</v>
      </c>
      <c r="F611" t="s">
        <v>586</v>
      </c>
      <c r="G611" s="110">
        <v>4069</v>
      </c>
      <c r="H611" s="12">
        <v>45778</v>
      </c>
      <c r="I611" s="28">
        <v>13537.5</v>
      </c>
      <c r="J611" s="28">
        <v>12704.95</v>
      </c>
      <c r="K611" s="3">
        <v>45805</v>
      </c>
      <c r="L611" s="91">
        <v>45817</v>
      </c>
      <c r="M611" s="11">
        <v>45820</v>
      </c>
      <c r="N611" s="1" t="s">
        <v>588</v>
      </c>
      <c r="O611" s="35">
        <v>0</v>
      </c>
      <c r="P611"/>
      <c r="Q611" t="s">
        <v>55</v>
      </c>
      <c r="R611" t="s">
        <v>231</v>
      </c>
      <c r="S611" t="str">
        <f>IFERROR(VLOOKUP(Tabela1[[#This Row],[CC]],CC!$A$1:$H$403,8,0),"")</f>
        <v>OP1</v>
      </c>
    </row>
    <row r="612" spans="1:19" x14ac:dyDescent="0.3">
      <c r="A612" s="25">
        <v>1294</v>
      </c>
      <c r="B612" s="25" t="str">
        <f>IFERROR(VLOOKUP(Tabela1[[#This Row],[CC]],#REF!,5,0),"")</f>
        <v/>
      </c>
      <c r="C612" t="s">
        <v>32</v>
      </c>
      <c r="D612" t="s">
        <v>52</v>
      </c>
      <c r="E612" t="s">
        <v>268</v>
      </c>
      <c r="F612" t="s">
        <v>586</v>
      </c>
      <c r="G612" s="110">
        <v>4068</v>
      </c>
      <c r="H612" s="12">
        <v>45778</v>
      </c>
      <c r="I612" s="28">
        <v>13537.5</v>
      </c>
      <c r="J612" s="28">
        <v>12704.95</v>
      </c>
      <c r="K612" s="3">
        <v>45805</v>
      </c>
      <c r="L612" s="91">
        <v>45817</v>
      </c>
      <c r="M612" s="11">
        <v>45820</v>
      </c>
      <c r="N612" s="1" t="s">
        <v>588</v>
      </c>
      <c r="O612" s="35">
        <v>0</v>
      </c>
      <c r="P612"/>
      <c r="Q612" t="s">
        <v>55</v>
      </c>
      <c r="R612" t="s">
        <v>231</v>
      </c>
      <c r="S612" t="str">
        <f>IFERROR(VLOOKUP(Tabela1[[#This Row],[CC]],CC!$A$1:$H$403,8,0),"")</f>
        <v>OP1</v>
      </c>
    </row>
    <row r="613" spans="1:19" x14ac:dyDescent="0.3">
      <c r="A613" s="25">
        <v>1294</v>
      </c>
      <c r="B613" s="25" t="str">
        <f>IFERROR(VLOOKUP(Tabela1[[#This Row],[CC]],#REF!,5,0),"")</f>
        <v/>
      </c>
      <c r="C613" t="s">
        <v>32</v>
      </c>
      <c r="D613" t="s">
        <v>52</v>
      </c>
      <c r="E613" t="s">
        <v>268</v>
      </c>
      <c r="F613" t="s">
        <v>586</v>
      </c>
      <c r="G613" s="110">
        <v>4083</v>
      </c>
      <c r="H613" s="12">
        <v>45778</v>
      </c>
      <c r="I613" s="28">
        <v>126601.58</v>
      </c>
      <c r="J613" s="28">
        <v>118815.59</v>
      </c>
      <c r="K613" s="3">
        <v>45813</v>
      </c>
      <c r="L613" s="91">
        <v>45824</v>
      </c>
      <c r="M613" s="11">
        <v>45828</v>
      </c>
      <c r="N613" s="1" t="s">
        <v>588</v>
      </c>
      <c r="O613" s="35">
        <v>0</v>
      </c>
      <c r="P613"/>
      <c r="Q613" t="s">
        <v>55</v>
      </c>
      <c r="R613" t="s">
        <v>231</v>
      </c>
      <c r="S613" t="str">
        <f>IFERROR(VLOOKUP(Tabela1[[#This Row],[CC]],CC!$A$1:$H$403,8,0),"")</f>
        <v>OP1</v>
      </c>
    </row>
    <row r="614" spans="1:19" x14ac:dyDescent="0.3">
      <c r="A614" s="25">
        <v>1294</v>
      </c>
      <c r="B614" s="25" t="str">
        <f>IFERROR(VLOOKUP(Tabela1[[#This Row],[CC]],#REF!,5,0),"")</f>
        <v/>
      </c>
      <c r="C614" t="s">
        <v>32</v>
      </c>
      <c r="D614" t="s">
        <v>52</v>
      </c>
      <c r="E614" t="s">
        <v>268</v>
      </c>
      <c r="F614" t="s">
        <v>586</v>
      </c>
      <c r="G614" s="110">
        <v>4100</v>
      </c>
      <c r="H614" s="12">
        <v>45778</v>
      </c>
      <c r="I614" s="28">
        <v>176880</v>
      </c>
      <c r="J614" s="39">
        <v>166001.88</v>
      </c>
      <c r="K614" s="3">
        <v>45817</v>
      </c>
      <c r="L614" s="91">
        <v>45831</v>
      </c>
      <c r="M614" s="11">
        <v>45833</v>
      </c>
      <c r="N614" s="1" t="s">
        <v>588</v>
      </c>
      <c r="O614" s="35">
        <v>0</v>
      </c>
      <c r="P614"/>
      <c r="Q614" t="s">
        <v>55</v>
      </c>
      <c r="R614" t="s">
        <v>231</v>
      </c>
      <c r="S614" t="str">
        <f>IFERROR(VLOOKUP(Tabela1[[#This Row],[CC]],CC!$A$1:$H$403,8,0),"")</f>
        <v>OP1</v>
      </c>
    </row>
    <row r="615" spans="1:19" x14ac:dyDescent="0.3">
      <c r="A615" s="25">
        <v>1294</v>
      </c>
      <c r="B615" s="25" t="str">
        <f>IFERROR(VLOOKUP(Tabela1[[#This Row],[CC]],#REF!,5,0),"")</f>
        <v/>
      </c>
      <c r="C615" t="s">
        <v>32</v>
      </c>
      <c r="D615" t="s">
        <v>52</v>
      </c>
      <c r="E615" t="s">
        <v>268</v>
      </c>
      <c r="F615" t="s">
        <v>586</v>
      </c>
      <c r="G615" s="110">
        <v>4108</v>
      </c>
      <c r="H615" s="12">
        <v>45778</v>
      </c>
      <c r="I615" s="28">
        <v>200696.16</v>
      </c>
      <c r="J615" s="39">
        <v>188353.35</v>
      </c>
      <c r="K615" s="3">
        <v>45817</v>
      </c>
      <c r="L615" s="91">
        <v>45831</v>
      </c>
      <c r="M615" s="11">
        <v>45833</v>
      </c>
      <c r="N615" s="1" t="s">
        <v>588</v>
      </c>
      <c r="O615" s="35">
        <v>0</v>
      </c>
      <c r="P615"/>
      <c r="Q615" t="s">
        <v>55</v>
      </c>
      <c r="R615" t="s">
        <v>231</v>
      </c>
      <c r="S615" t="str">
        <f>IFERROR(VLOOKUP(Tabela1[[#This Row],[CC]],CC!$A$1:$H$403,8,0),"")</f>
        <v>OP1</v>
      </c>
    </row>
    <row r="616" spans="1:19" x14ac:dyDescent="0.3">
      <c r="A616" s="25">
        <v>1294</v>
      </c>
      <c r="B616" s="25" t="str">
        <f>IFERROR(VLOOKUP(Tabela1[[#This Row],[CC]],#REF!,5,0),"")</f>
        <v/>
      </c>
      <c r="C616" t="s">
        <v>32</v>
      </c>
      <c r="D616" t="s">
        <v>52</v>
      </c>
      <c r="E616" t="s">
        <v>268</v>
      </c>
      <c r="F616" t="s">
        <v>586</v>
      </c>
      <c r="G616" s="110">
        <v>4111</v>
      </c>
      <c r="H616" s="12">
        <v>45778</v>
      </c>
      <c r="I616" s="28">
        <v>43190.28</v>
      </c>
      <c r="J616" s="39">
        <v>40534.080000000002</v>
      </c>
      <c r="K616" s="3">
        <v>45818</v>
      </c>
      <c r="L616" s="91">
        <v>45831</v>
      </c>
      <c r="M616" s="11">
        <v>45833</v>
      </c>
      <c r="N616" s="1" t="s">
        <v>588</v>
      </c>
      <c r="O616" s="35">
        <v>0</v>
      </c>
      <c r="P616"/>
      <c r="Q616" t="s">
        <v>55</v>
      </c>
      <c r="R616" t="s">
        <v>231</v>
      </c>
      <c r="S616" t="str">
        <f>IFERROR(VLOOKUP(Tabela1[[#This Row],[CC]],CC!$A$1:$H$403,8,0),"")</f>
        <v>OP1</v>
      </c>
    </row>
    <row r="617" spans="1:19" x14ac:dyDescent="0.3">
      <c r="A617" s="25">
        <v>1294</v>
      </c>
      <c r="B617" s="25" t="str">
        <f>IFERROR(VLOOKUP(Tabela1[[#This Row],[CC]],#REF!,5,0),"")</f>
        <v/>
      </c>
      <c r="C617" t="s">
        <v>32</v>
      </c>
      <c r="D617" t="s">
        <v>52</v>
      </c>
      <c r="E617" t="s">
        <v>268</v>
      </c>
      <c r="F617" t="s">
        <v>586</v>
      </c>
      <c r="G617" s="110">
        <v>4120</v>
      </c>
      <c r="H617" s="12">
        <v>45778</v>
      </c>
      <c r="I617" s="28">
        <v>322404</v>
      </c>
      <c r="J617" s="28">
        <v>302576.15000000002</v>
      </c>
      <c r="K617" s="3">
        <v>45819</v>
      </c>
      <c r="L617" s="91">
        <v>45831</v>
      </c>
      <c r="M617" s="11">
        <v>45834</v>
      </c>
      <c r="N617" s="1" t="s">
        <v>588</v>
      </c>
      <c r="O617" s="35">
        <v>0</v>
      </c>
      <c r="P617"/>
      <c r="Q617" t="s">
        <v>55</v>
      </c>
      <c r="R617" t="s">
        <v>231</v>
      </c>
      <c r="S617" t="str">
        <f>IFERROR(VLOOKUP(Tabela1[[#This Row],[CC]],CC!$A$1:$H$403,8,0),"")</f>
        <v>OP1</v>
      </c>
    </row>
    <row r="618" spans="1:19" x14ac:dyDescent="0.3">
      <c r="A618" s="25">
        <v>1285</v>
      </c>
      <c r="B618" s="25" t="str">
        <f>IFERROR(VLOOKUP(Tabela1[[#This Row],[CC]],#REF!,5,0),"")</f>
        <v/>
      </c>
      <c r="C618" t="s">
        <v>32</v>
      </c>
      <c r="D618" t="s">
        <v>52</v>
      </c>
      <c r="E618" t="s">
        <v>259</v>
      </c>
      <c r="F618" t="s">
        <v>586</v>
      </c>
      <c r="G618" s="110">
        <v>4066</v>
      </c>
      <c r="H618" s="12">
        <v>45778</v>
      </c>
      <c r="I618" s="24">
        <v>25339.38</v>
      </c>
      <c r="J618" s="27">
        <v>23781.01</v>
      </c>
      <c r="K618" s="3">
        <v>45803</v>
      </c>
      <c r="L618" s="91">
        <v>45831</v>
      </c>
      <c r="M618" s="11">
        <v>45833</v>
      </c>
      <c r="N618" s="1" t="s">
        <v>588</v>
      </c>
      <c r="O618" s="35">
        <v>0</v>
      </c>
      <c r="P618" s="26"/>
      <c r="Q618" t="s">
        <v>55</v>
      </c>
      <c r="R618" t="s">
        <v>231</v>
      </c>
      <c r="S618" t="str">
        <f>IFERROR(VLOOKUP(Tabela1[[#This Row],[CC]],CC!$A$1:$H$403,8,0),"")</f>
        <v>OP1</v>
      </c>
    </row>
    <row r="619" spans="1:19" x14ac:dyDescent="0.3">
      <c r="A619" s="25">
        <v>1285</v>
      </c>
      <c r="B619" s="25" t="str">
        <f>IFERROR(VLOOKUP(Tabela1[[#This Row],[CC]],#REF!,5,0),"")</f>
        <v/>
      </c>
      <c r="C619" t="s">
        <v>32</v>
      </c>
      <c r="D619" t="s">
        <v>52</v>
      </c>
      <c r="E619" t="s">
        <v>259</v>
      </c>
      <c r="F619" t="s">
        <v>586</v>
      </c>
      <c r="G619" s="110">
        <v>4065</v>
      </c>
      <c r="H619" s="12">
        <v>45778</v>
      </c>
      <c r="I619" s="24">
        <v>1828.59</v>
      </c>
      <c r="J619" s="27">
        <v>1716.13</v>
      </c>
      <c r="K619" s="3">
        <v>45803</v>
      </c>
      <c r="L619" s="91">
        <v>45831</v>
      </c>
      <c r="M619" s="11">
        <v>45833</v>
      </c>
      <c r="N619" s="1" t="s">
        <v>588</v>
      </c>
      <c r="O619" s="35">
        <v>0</v>
      </c>
      <c r="P619" s="26"/>
      <c r="Q619" t="s">
        <v>55</v>
      </c>
      <c r="R619" t="s">
        <v>231</v>
      </c>
      <c r="S619" t="str">
        <f>IFERROR(VLOOKUP(Tabela1[[#This Row],[CC]],CC!$A$1:$H$403,8,0),"")</f>
        <v>OP1</v>
      </c>
    </row>
    <row r="620" spans="1:19" x14ac:dyDescent="0.3">
      <c r="A620" s="25">
        <v>1285</v>
      </c>
      <c r="B620" s="25" t="str">
        <f>IFERROR(VLOOKUP(Tabela1[[#This Row],[CC]],#REF!,5,0),"")</f>
        <v/>
      </c>
      <c r="C620" t="s">
        <v>32</v>
      </c>
      <c r="D620" t="s">
        <v>52</v>
      </c>
      <c r="E620" t="s">
        <v>259</v>
      </c>
      <c r="F620" t="s">
        <v>586</v>
      </c>
      <c r="G620" s="110">
        <v>4064</v>
      </c>
      <c r="H620" s="12">
        <v>45778</v>
      </c>
      <c r="I620" s="24">
        <v>21273.89</v>
      </c>
      <c r="J620" s="27">
        <v>19965.54</v>
      </c>
      <c r="K620" s="3">
        <v>45803</v>
      </c>
      <c r="L620" s="91">
        <v>45831</v>
      </c>
      <c r="M620" s="11">
        <v>45833</v>
      </c>
      <c r="N620" s="1" t="s">
        <v>588</v>
      </c>
      <c r="O620" s="35">
        <v>0</v>
      </c>
      <c r="P620" s="26"/>
      <c r="Q620" t="s">
        <v>55</v>
      </c>
      <c r="R620" t="s">
        <v>231</v>
      </c>
      <c r="S620" t="str">
        <f>IFERROR(VLOOKUP(Tabela1[[#This Row],[CC]],CC!$A$1:$H$403,8,0),"")</f>
        <v>OP1</v>
      </c>
    </row>
    <row r="621" spans="1:19" x14ac:dyDescent="0.3">
      <c r="A621" s="25">
        <v>1292</v>
      </c>
      <c r="B621" s="25" t="str">
        <f>IFERROR(VLOOKUP(Tabela1[[#This Row],[CC]],#REF!,5,0),"")</f>
        <v/>
      </c>
      <c r="C621" t="s">
        <v>32</v>
      </c>
      <c r="D621" t="s">
        <v>56</v>
      </c>
      <c r="E621" t="s">
        <v>266</v>
      </c>
      <c r="F621" t="s">
        <v>586</v>
      </c>
      <c r="G621" s="110">
        <v>4085</v>
      </c>
      <c r="H621" s="12">
        <v>45778</v>
      </c>
      <c r="I621" s="24">
        <v>34633.19</v>
      </c>
      <c r="J621" s="24">
        <v>32503.25</v>
      </c>
      <c r="K621" s="3">
        <v>45814</v>
      </c>
      <c r="L621" s="91">
        <v>45831</v>
      </c>
      <c r="M621" s="11">
        <v>45831</v>
      </c>
      <c r="N621" s="1" t="s">
        <v>588</v>
      </c>
      <c r="O621" s="35">
        <v>0</v>
      </c>
      <c r="P621"/>
      <c r="Q621" t="s">
        <v>55</v>
      </c>
      <c r="R621" t="s">
        <v>231</v>
      </c>
      <c r="S621" t="str">
        <f>IFERROR(VLOOKUP(Tabela1[[#This Row],[CC]],CC!$A$1:$H$403,8,0),"")</f>
        <v>OP1</v>
      </c>
    </row>
    <row r="622" spans="1:19" x14ac:dyDescent="0.3">
      <c r="A622" s="25">
        <v>1292</v>
      </c>
      <c r="B622" s="25" t="str">
        <f>IFERROR(VLOOKUP(Tabela1[[#This Row],[CC]],#REF!,5,0),"")</f>
        <v/>
      </c>
      <c r="C622" t="s">
        <v>32</v>
      </c>
      <c r="D622" t="s">
        <v>56</v>
      </c>
      <c r="E622" t="s">
        <v>266</v>
      </c>
      <c r="F622" t="s">
        <v>586</v>
      </c>
      <c r="G622" s="110">
        <v>4099</v>
      </c>
      <c r="H622" s="12">
        <v>45778</v>
      </c>
      <c r="I622" s="24">
        <v>31008</v>
      </c>
      <c r="J622" s="27">
        <v>29101.01</v>
      </c>
      <c r="K622" s="3">
        <v>45817</v>
      </c>
      <c r="L622" s="91">
        <v>45831</v>
      </c>
      <c r="M622" s="11">
        <v>45833</v>
      </c>
      <c r="N622" s="1" t="s">
        <v>588</v>
      </c>
      <c r="O622" s="35">
        <v>0</v>
      </c>
      <c r="P622"/>
      <c r="Q622" t="s">
        <v>55</v>
      </c>
      <c r="R622" t="s">
        <v>231</v>
      </c>
      <c r="S622" t="str">
        <f>IFERROR(VLOOKUP(Tabela1[[#This Row],[CC]],CC!$A$1:$H$403,8,0),"")</f>
        <v>OP1</v>
      </c>
    </row>
    <row r="623" spans="1:19" x14ac:dyDescent="0.3">
      <c r="A623" s="25">
        <v>1292</v>
      </c>
      <c r="B623" s="25" t="str">
        <f>IFERROR(VLOOKUP(Tabela1[[#This Row],[CC]],#REF!,5,0),"")</f>
        <v/>
      </c>
      <c r="C623" t="s">
        <v>32</v>
      </c>
      <c r="D623" t="s">
        <v>56</v>
      </c>
      <c r="E623" t="s">
        <v>266</v>
      </c>
      <c r="F623" t="s">
        <v>586</v>
      </c>
      <c r="G623" s="110">
        <v>4117</v>
      </c>
      <c r="H623" s="12">
        <v>45778</v>
      </c>
      <c r="I623" s="24">
        <v>134253.73000000001</v>
      </c>
      <c r="J623" s="27">
        <v>125997.12</v>
      </c>
      <c r="K623" s="3">
        <v>45818</v>
      </c>
      <c r="L623" s="91">
        <v>45831</v>
      </c>
      <c r="M623" s="11">
        <v>45833</v>
      </c>
      <c r="N623" s="1" t="s">
        <v>588</v>
      </c>
      <c r="O623" s="35">
        <v>0</v>
      </c>
      <c r="P623"/>
      <c r="Q623" t="s">
        <v>55</v>
      </c>
      <c r="R623" t="s">
        <v>231</v>
      </c>
      <c r="S623" t="str">
        <f>IFERROR(VLOOKUP(Tabela1[[#This Row],[CC]],CC!$A$1:$H$403,8,0),"")</f>
        <v>OP1</v>
      </c>
    </row>
    <row r="624" spans="1:19" x14ac:dyDescent="0.3">
      <c r="A624" s="25">
        <v>1292</v>
      </c>
      <c r="B624" s="25" t="str">
        <f>IFERROR(VLOOKUP(Tabela1[[#This Row],[CC]],#REF!,5,0),"")</f>
        <v/>
      </c>
      <c r="C624" t="s">
        <v>32</v>
      </c>
      <c r="D624" t="s">
        <v>56</v>
      </c>
      <c r="E624" t="s">
        <v>266</v>
      </c>
      <c r="F624" t="s">
        <v>586</v>
      </c>
      <c r="G624" s="107">
        <v>4129</v>
      </c>
      <c r="H624" s="12">
        <v>45778</v>
      </c>
      <c r="I624" s="24">
        <v>57072</v>
      </c>
      <c r="J624" s="24">
        <v>53562.07</v>
      </c>
      <c r="K624" s="3">
        <v>45821</v>
      </c>
      <c r="L624" s="91">
        <v>45838</v>
      </c>
      <c r="M624" s="11">
        <v>45838</v>
      </c>
      <c r="N624" s="1" t="s">
        <v>588</v>
      </c>
      <c r="O624" s="35">
        <v>0</v>
      </c>
      <c r="P624"/>
      <c r="Q624" t="s">
        <v>55</v>
      </c>
      <c r="R624" t="s">
        <v>231</v>
      </c>
      <c r="S624" t="str">
        <f>IFERROR(VLOOKUP(Tabela1[[#This Row],[CC]],CC!$A$1:$H$403,8,0),"")</f>
        <v>OP1</v>
      </c>
    </row>
    <row r="625" spans="1:19" x14ac:dyDescent="0.3">
      <c r="A625" s="25">
        <v>1292</v>
      </c>
      <c r="B625" s="25" t="str">
        <f>IFERROR(VLOOKUP(Tabela1[[#This Row],[CC]],#REF!,5,0),"")</f>
        <v/>
      </c>
      <c r="C625" t="s">
        <v>32</v>
      </c>
      <c r="D625" t="s">
        <v>56</v>
      </c>
      <c r="E625" t="s">
        <v>266</v>
      </c>
      <c r="F625" t="s">
        <v>586</v>
      </c>
      <c r="G625" s="107">
        <v>4130</v>
      </c>
      <c r="H625" s="12">
        <v>45778</v>
      </c>
      <c r="I625" s="24">
        <v>60707.37</v>
      </c>
      <c r="J625" s="24">
        <v>56973.87</v>
      </c>
      <c r="K625" s="3">
        <v>45821</v>
      </c>
      <c r="L625" s="91">
        <v>45838</v>
      </c>
      <c r="M625" s="11">
        <v>45838</v>
      </c>
      <c r="N625" s="1" t="s">
        <v>588</v>
      </c>
      <c r="O625" s="35">
        <v>0</v>
      </c>
      <c r="P625"/>
      <c r="Q625" t="s">
        <v>55</v>
      </c>
      <c r="R625" t="s">
        <v>231</v>
      </c>
      <c r="S625" t="str">
        <f>IFERROR(VLOOKUP(Tabela1[[#This Row],[CC]],CC!$A$1:$H$403,8,0),"")</f>
        <v>OP1</v>
      </c>
    </row>
    <row r="626" spans="1:19" x14ac:dyDescent="0.3">
      <c r="A626" s="25">
        <v>1292</v>
      </c>
      <c r="B626" s="25" t="str">
        <f>IFERROR(VLOOKUP(Tabela1[[#This Row],[CC]],#REF!,5,0),"")</f>
        <v/>
      </c>
      <c r="C626" t="s">
        <v>32</v>
      </c>
      <c r="D626" t="s">
        <v>56</v>
      </c>
      <c r="E626" t="s">
        <v>266</v>
      </c>
      <c r="F626" t="s">
        <v>586</v>
      </c>
      <c r="G626" s="107">
        <v>4131</v>
      </c>
      <c r="H626" s="12">
        <v>45778</v>
      </c>
      <c r="I626" s="24">
        <v>130191.6</v>
      </c>
      <c r="J626" s="24">
        <v>122184.82</v>
      </c>
      <c r="K626" s="3">
        <v>45821</v>
      </c>
      <c r="L626" s="91">
        <v>45838</v>
      </c>
      <c r="M626" s="11">
        <v>45838</v>
      </c>
      <c r="N626" s="1" t="s">
        <v>588</v>
      </c>
      <c r="O626" s="35">
        <v>0</v>
      </c>
      <c r="P626"/>
      <c r="Q626" t="s">
        <v>55</v>
      </c>
      <c r="R626" t="s">
        <v>231</v>
      </c>
      <c r="S626" t="str">
        <f>IFERROR(VLOOKUP(Tabela1[[#This Row],[CC]],CC!$A$1:$H$403,8,0),"")</f>
        <v>OP1</v>
      </c>
    </row>
    <row r="627" spans="1:19" x14ac:dyDescent="0.3">
      <c r="A627" s="25">
        <v>1484</v>
      </c>
      <c r="B627" s="25" t="str">
        <f>IFERROR(VLOOKUP(Tabela1[[#This Row],[CC]],#REF!,5,0),"")</f>
        <v/>
      </c>
      <c r="C627" t="s">
        <v>32</v>
      </c>
      <c r="D627" t="s">
        <v>56</v>
      </c>
      <c r="E627" t="s">
        <v>489</v>
      </c>
      <c r="F627" t="s">
        <v>586</v>
      </c>
      <c r="G627" s="110">
        <v>4125</v>
      </c>
      <c r="H627" s="12">
        <v>45778</v>
      </c>
      <c r="I627" s="24">
        <v>36570.74</v>
      </c>
      <c r="J627" s="24">
        <v>34321.64</v>
      </c>
      <c r="K627" s="3">
        <v>45820</v>
      </c>
      <c r="L627" s="91">
        <v>45831</v>
      </c>
      <c r="M627" s="11">
        <v>45835</v>
      </c>
      <c r="N627" s="1" t="s">
        <v>588</v>
      </c>
      <c r="O627" s="35">
        <v>0</v>
      </c>
      <c r="P627"/>
      <c r="Q627" t="s">
        <v>57</v>
      </c>
      <c r="R627" t="s">
        <v>231</v>
      </c>
      <c r="S627" t="str">
        <f>IFERROR(VLOOKUP(Tabela1[[#This Row],[CC]],CC!$A$1:$H$403,8,0),"")</f>
        <v>OP1</v>
      </c>
    </row>
    <row r="628" spans="1:19" x14ac:dyDescent="0.3">
      <c r="A628" s="25">
        <v>1398</v>
      </c>
      <c r="B628" s="25" t="str">
        <f>IFERROR(VLOOKUP(Tabela1[[#This Row],[CC]],#REF!,5,0),"")</f>
        <v/>
      </c>
      <c r="C628" t="s">
        <v>67</v>
      </c>
      <c r="D628" t="s">
        <v>42</v>
      </c>
      <c r="E628" t="s">
        <v>383</v>
      </c>
      <c r="F628" t="s">
        <v>586</v>
      </c>
      <c r="G628" s="107">
        <v>8351</v>
      </c>
      <c r="H628" s="12">
        <v>45778</v>
      </c>
      <c r="I628" s="27">
        <v>48000</v>
      </c>
      <c r="J628" s="24">
        <v>45048</v>
      </c>
      <c r="K628" s="3">
        <v>45811</v>
      </c>
      <c r="L628" s="91">
        <v>45887</v>
      </c>
      <c r="M628" s="11">
        <v>45888</v>
      </c>
      <c r="N628" s="18" t="s">
        <v>588</v>
      </c>
      <c r="O628" s="35">
        <v>0</v>
      </c>
      <c r="P628"/>
      <c r="Q628" t="s">
        <v>58</v>
      </c>
      <c r="R628" t="s">
        <v>183</v>
      </c>
      <c r="S628" t="str">
        <f>IFERROR(VLOOKUP(Tabela1[[#This Row],[CC]],CC!$A$1:$H$403,8,0),"")</f>
        <v>OP2</v>
      </c>
    </row>
    <row r="629" spans="1:19" x14ac:dyDescent="0.3">
      <c r="A629" s="25">
        <v>1398</v>
      </c>
      <c r="B629" s="25" t="str">
        <f>IFERROR(VLOOKUP(Tabela1[[#This Row],[CC]],#REF!,5,0),"")</f>
        <v/>
      </c>
      <c r="C629" t="s">
        <v>67</v>
      </c>
      <c r="D629" t="s">
        <v>42</v>
      </c>
      <c r="E629" t="s">
        <v>383</v>
      </c>
      <c r="F629" t="s">
        <v>586</v>
      </c>
      <c r="G629" s="107">
        <v>8390</v>
      </c>
      <c r="H629" s="12">
        <v>45778</v>
      </c>
      <c r="I629" s="27">
        <v>22241.65</v>
      </c>
      <c r="J629" s="24">
        <v>20873.79</v>
      </c>
      <c r="K629" s="3">
        <v>45833</v>
      </c>
      <c r="L629" s="91">
        <v>45894</v>
      </c>
      <c r="M629" s="11">
        <v>45894</v>
      </c>
      <c r="N629" s="18" t="s">
        <v>588</v>
      </c>
      <c r="O629" s="35">
        <v>0</v>
      </c>
      <c r="P629"/>
      <c r="Q629" t="s">
        <v>58</v>
      </c>
      <c r="R629" t="s">
        <v>183</v>
      </c>
      <c r="S629" t="str">
        <f>IFERROR(VLOOKUP(Tabela1[[#This Row],[CC]],CC!$A$1:$H$403,8,0),"")</f>
        <v>OP2</v>
      </c>
    </row>
    <row r="630" spans="1:19" x14ac:dyDescent="0.3">
      <c r="A630" s="25">
        <v>1398</v>
      </c>
      <c r="B630" s="25" t="str">
        <f>IFERROR(VLOOKUP(Tabela1[[#This Row],[CC]],#REF!,5,0),"")</f>
        <v/>
      </c>
      <c r="C630" t="s">
        <v>67</v>
      </c>
      <c r="D630" t="s">
        <v>42</v>
      </c>
      <c r="E630" t="s">
        <v>383</v>
      </c>
      <c r="F630" t="s">
        <v>586</v>
      </c>
      <c r="G630" s="107">
        <v>8397</v>
      </c>
      <c r="H630" s="12">
        <v>45778</v>
      </c>
      <c r="I630" s="27">
        <v>5286.4358018114008</v>
      </c>
      <c r="J630" s="24">
        <v>4961.32</v>
      </c>
      <c r="K630" s="3">
        <v>45835</v>
      </c>
      <c r="L630" s="91">
        <v>45698</v>
      </c>
      <c r="M630" s="11">
        <v>45699</v>
      </c>
      <c r="N630" s="18" t="s">
        <v>588</v>
      </c>
      <c r="O630" s="35">
        <v>0</v>
      </c>
      <c r="P630"/>
      <c r="Q630" t="s">
        <v>58</v>
      </c>
      <c r="R630" t="s">
        <v>183</v>
      </c>
      <c r="S630" t="str">
        <f>IFERROR(VLOOKUP(Tabela1[[#This Row],[CC]],CC!$A$1:$H$403,8,0),"")</f>
        <v>OP2</v>
      </c>
    </row>
    <row r="631" spans="1:19" x14ac:dyDescent="0.3">
      <c r="A631" s="25">
        <v>1398</v>
      </c>
      <c r="B631" s="25" t="str">
        <f>IFERROR(VLOOKUP(Tabela1[[#This Row],[CC]],#REF!,5,0),"")</f>
        <v/>
      </c>
      <c r="C631" t="s">
        <v>67</v>
      </c>
      <c r="D631" t="s">
        <v>42</v>
      </c>
      <c r="E631" t="s">
        <v>383</v>
      </c>
      <c r="F631" t="s">
        <v>586</v>
      </c>
      <c r="G631" s="107">
        <v>8397</v>
      </c>
      <c r="H631" s="12">
        <v>45778</v>
      </c>
      <c r="I631" s="27">
        <v>20531.539690996269</v>
      </c>
      <c r="J631" s="24">
        <v>19268.849999999999</v>
      </c>
      <c r="K631" s="3">
        <v>45835</v>
      </c>
      <c r="L631" s="91">
        <v>45901</v>
      </c>
      <c r="M631" s="11">
        <v>45905</v>
      </c>
      <c r="N631" s="18" t="s">
        <v>588</v>
      </c>
      <c r="O631" s="35">
        <v>0</v>
      </c>
      <c r="P631"/>
      <c r="Q631" t="s">
        <v>58</v>
      </c>
      <c r="R631" t="s">
        <v>183</v>
      </c>
      <c r="S631" t="str">
        <f>IFERROR(VLOOKUP(Tabela1[[#This Row],[CC]],CC!$A$1:$H$403,8,0),"")</f>
        <v>OP2</v>
      </c>
    </row>
    <row r="632" spans="1:19" x14ac:dyDescent="0.3">
      <c r="A632" s="25">
        <v>1398</v>
      </c>
      <c r="B632" s="25" t="str">
        <f>IFERROR(VLOOKUP(Tabela1[[#This Row],[CC]],#REF!,5,0),"")</f>
        <v/>
      </c>
      <c r="C632" t="str">
        <f>IFERROR(VLOOKUP(Tabela1[[#This Row],[CC]],CC!$A$1:$H$389,7,0),"")</f>
        <v>RODRIGO CORUMBA</v>
      </c>
      <c r="D632" t="s">
        <v>42</v>
      </c>
      <c r="E632" t="s">
        <v>383</v>
      </c>
      <c r="F632" t="s">
        <v>586</v>
      </c>
      <c r="G632" s="110">
        <v>8579</v>
      </c>
      <c r="H632" s="12">
        <v>45931</v>
      </c>
      <c r="I632" s="27">
        <v>48000</v>
      </c>
      <c r="J632" s="27">
        <v>45048</v>
      </c>
      <c r="K632" s="3">
        <v>45964</v>
      </c>
      <c r="L632" s="91">
        <v>46125</v>
      </c>
      <c r="M632" s="11">
        <v>46126</v>
      </c>
      <c r="N632" s="18" t="s">
        <v>588</v>
      </c>
      <c r="O632" s="35"/>
      <c r="P632"/>
      <c r="Q632" t="s">
        <v>58</v>
      </c>
      <c r="R632" t="s">
        <v>183</v>
      </c>
      <c r="S632" t="str">
        <f>IFERROR(VLOOKUP(Tabela1[[#This Row],[CC]],CC!$A$1:$H$403,8,0),"")</f>
        <v>OP2</v>
      </c>
    </row>
    <row r="633" spans="1:19" x14ac:dyDescent="0.3">
      <c r="A633" s="25">
        <v>1398</v>
      </c>
      <c r="B633" s="25" t="str">
        <f>IFERROR(VLOOKUP(Tabela1[[#This Row],[CC]],#REF!,5,0),"")</f>
        <v/>
      </c>
      <c r="C633" t="s">
        <v>67</v>
      </c>
      <c r="D633" t="s">
        <v>42</v>
      </c>
      <c r="E633" t="s">
        <v>383</v>
      </c>
      <c r="F633" t="s">
        <v>586</v>
      </c>
      <c r="G633" s="107">
        <v>8391</v>
      </c>
      <c r="H633" s="12">
        <v>45778</v>
      </c>
      <c r="I633" s="27">
        <v>75919.81</v>
      </c>
      <c r="J633" s="24">
        <v>71250.740000000005</v>
      </c>
      <c r="K633" s="3">
        <v>45833</v>
      </c>
      <c r="L633" s="91">
        <v>45894</v>
      </c>
      <c r="M633" s="11">
        <v>45894</v>
      </c>
      <c r="N633" s="18" t="s">
        <v>588</v>
      </c>
      <c r="O633" s="35">
        <v>0</v>
      </c>
      <c r="P633"/>
      <c r="Q633" t="s">
        <v>58</v>
      </c>
      <c r="R633" t="s">
        <v>183</v>
      </c>
      <c r="S633" t="str">
        <f>IFERROR(VLOOKUP(Tabela1[[#This Row],[CC]],CC!$A$1:$H$403,8,0),"")</f>
        <v>OP2</v>
      </c>
    </row>
    <row r="634" spans="1:19" x14ac:dyDescent="0.3">
      <c r="A634" s="8">
        <v>1393</v>
      </c>
      <c r="B634" s="8" t="str">
        <f>IFERROR(VLOOKUP(Tabela1[[#This Row],[CC]],#REF!,5,0),"")</f>
        <v/>
      </c>
      <c r="C634" t="s">
        <v>70</v>
      </c>
      <c r="D634" t="str">
        <f>IFERROR(VLOOKUP(Tabela1[[#This Row],[CC]],CC!$A$1:$I$3869,3,0),"")</f>
        <v xml:space="preserve">DETRAN-BA </v>
      </c>
      <c r="E634" t="s">
        <v>377</v>
      </c>
      <c r="F634" t="s">
        <v>586</v>
      </c>
      <c r="G634" s="110">
        <v>8376</v>
      </c>
      <c r="H634" s="12">
        <v>45778</v>
      </c>
      <c r="I634" s="24">
        <v>457087.98</v>
      </c>
      <c r="J634" s="10">
        <v>410007.92</v>
      </c>
      <c r="K634" s="3">
        <v>45819</v>
      </c>
      <c r="L634" s="91">
        <v>45845</v>
      </c>
      <c r="M634" s="5">
        <v>45845</v>
      </c>
      <c r="N634" s="18" t="s">
        <v>588</v>
      </c>
      <c r="O634" s="34">
        <v>0</v>
      </c>
      <c r="P634" s="14"/>
      <c r="Q634" t="s">
        <v>58</v>
      </c>
      <c r="R634" t="s">
        <v>195</v>
      </c>
      <c r="S634" t="str">
        <f>IFERROR(VLOOKUP(Tabela1[[#This Row],[CC]],CC!$A$1:$H$403,8,0),"")</f>
        <v>OP4</v>
      </c>
    </row>
    <row r="635" spans="1:19" x14ac:dyDescent="0.3">
      <c r="A635" s="8">
        <v>1476</v>
      </c>
      <c r="B635" s="8" t="str">
        <f>IFERROR(VLOOKUP(Tabela1[[#This Row],[CC]],#REF!,5,0),"")</f>
        <v/>
      </c>
      <c r="C635" t="s">
        <v>70</v>
      </c>
      <c r="D635" t="s">
        <v>26</v>
      </c>
      <c r="E635" t="s">
        <v>481</v>
      </c>
      <c r="F635" t="s">
        <v>586</v>
      </c>
      <c r="G635" s="110">
        <v>8372</v>
      </c>
      <c r="H635" s="12">
        <v>45778</v>
      </c>
      <c r="I635" s="24">
        <v>318628.40000000002</v>
      </c>
      <c r="J635" s="24">
        <v>285809.68</v>
      </c>
      <c r="K635" s="3">
        <v>45819</v>
      </c>
      <c r="L635" s="91">
        <v>45845</v>
      </c>
      <c r="M635" s="5">
        <v>45845</v>
      </c>
      <c r="N635" s="21" t="s">
        <v>588</v>
      </c>
      <c r="O635" s="34"/>
      <c r="P635" s="14"/>
      <c r="Q635" t="s">
        <v>58</v>
      </c>
      <c r="R635" t="s">
        <v>195</v>
      </c>
      <c r="S635" t="str">
        <f>IFERROR(VLOOKUP(Tabela1[[#This Row],[CC]],CC!$A$1:$H$403,8,0),"")</f>
        <v>OP4</v>
      </c>
    </row>
    <row r="636" spans="1:19" x14ac:dyDescent="0.3">
      <c r="A636" s="8">
        <v>1476</v>
      </c>
      <c r="B636" s="8" t="str">
        <f>IFERROR(VLOOKUP(Tabela1[[#This Row],[CC]],#REF!,5,0),"")</f>
        <v/>
      </c>
      <c r="C636" t="s">
        <v>70</v>
      </c>
      <c r="D636" t="s">
        <v>26</v>
      </c>
      <c r="E636" t="s">
        <v>481</v>
      </c>
      <c r="F636" t="s">
        <v>586</v>
      </c>
      <c r="G636" s="110">
        <v>8371</v>
      </c>
      <c r="H636" s="12">
        <v>45778</v>
      </c>
      <c r="I636" s="24">
        <v>404.13</v>
      </c>
      <c r="J636" s="24">
        <v>362.51</v>
      </c>
      <c r="K636" s="3">
        <v>45819</v>
      </c>
      <c r="L636" s="91">
        <v>45845</v>
      </c>
      <c r="M636" s="5">
        <v>45845</v>
      </c>
      <c r="N636" s="21" t="s">
        <v>588</v>
      </c>
      <c r="O636" s="34"/>
      <c r="P636" s="14"/>
      <c r="Q636" t="s">
        <v>58</v>
      </c>
      <c r="R636" t="s">
        <v>195</v>
      </c>
      <c r="S636" t="str">
        <f>IFERROR(VLOOKUP(Tabela1[[#This Row],[CC]],CC!$A$1:$H$403,8,0),"")</f>
        <v>OP4</v>
      </c>
    </row>
    <row r="637" spans="1:19" x14ac:dyDescent="0.3">
      <c r="A637" s="25">
        <v>1296</v>
      </c>
      <c r="B637" s="25" t="str">
        <f>IFERROR(VLOOKUP(Tabela1[[#This Row],[CC]],#REF!,5,0),"")</f>
        <v/>
      </c>
      <c r="C637" t="s">
        <v>66</v>
      </c>
      <c r="D637" t="s">
        <v>16</v>
      </c>
      <c r="E637" t="s">
        <v>271</v>
      </c>
      <c r="F637" t="s">
        <v>586</v>
      </c>
      <c r="G637" s="107">
        <v>1269</v>
      </c>
      <c r="H637" s="12">
        <v>45778</v>
      </c>
      <c r="I637" s="24">
        <v>344136.04</v>
      </c>
      <c r="J637" s="24">
        <v>316088.96000000002</v>
      </c>
      <c r="K637" s="3">
        <v>45825</v>
      </c>
      <c r="L637" s="91">
        <v>45839</v>
      </c>
      <c r="M637" s="29">
        <v>45841</v>
      </c>
      <c r="N637" s="18" t="s">
        <v>588</v>
      </c>
      <c r="O637" s="41"/>
      <c r="P637" s="26"/>
      <c r="Q637" t="s">
        <v>58</v>
      </c>
      <c r="R637" t="s">
        <v>183</v>
      </c>
      <c r="S637" t="str">
        <f>IFERROR(VLOOKUP(Tabela1[[#This Row],[CC]],CC!$A$1:$H$403,8,0),"")</f>
        <v>OP2</v>
      </c>
    </row>
    <row r="638" spans="1:19" x14ac:dyDescent="0.3">
      <c r="A638" s="25">
        <v>1296</v>
      </c>
      <c r="B638" s="25" t="str">
        <f>IFERROR(VLOOKUP(Tabela1[[#This Row],[CC]],#REF!,5,0),"")</f>
        <v/>
      </c>
      <c r="C638" t="s">
        <v>66</v>
      </c>
      <c r="D638" t="s">
        <v>16</v>
      </c>
      <c r="E638" t="s">
        <v>271</v>
      </c>
      <c r="F638" t="s">
        <v>586</v>
      </c>
      <c r="G638" s="107">
        <v>1271</v>
      </c>
      <c r="H638" s="12">
        <v>45778</v>
      </c>
      <c r="I638" s="24">
        <v>462378.86</v>
      </c>
      <c r="J638" s="24">
        <v>424694.98</v>
      </c>
      <c r="K638" s="3">
        <v>45825</v>
      </c>
      <c r="L638" s="91">
        <v>45831</v>
      </c>
      <c r="M638" s="29">
        <v>45835</v>
      </c>
      <c r="N638" s="18" t="s">
        <v>588</v>
      </c>
      <c r="O638" s="41"/>
      <c r="P638" s="26"/>
      <c r="Q638" t="s">
        <v>58</v>
      </c>
      <c r="R638" t="s">
        <v>183</v>
      </c>
      <c r="S638" t="str">
        <f>IFERROR(VLOOKUP(Tabela1[[#This Row],[CC]],CC!$A$1:$H$403,8,0),"")</f>
        <v>OP2</v>
      </c>
    </row>
    <row r="639" spans="1:19" x14ac:dyDescent="0.3">
      <c r="A639" s="8">
        <v>1300</v>
      </c>
      <c r="B639" s="8" t="str">
        <f>IFERROR(VLOOKUP(Tabela1[[#This Row],[CC]],#REF!,5,0),"")</f>
        <v/>
      </c>
      <c r="C639" t="s">
        <v>66</v>
      </c>
      <c r="D639" t="s">
        <v>16</v>
      </c>
      <c r="E639" t="s">
        <v>275</v>
      </c>
      <c r="F639" t="s">
        <v>586</v>
      </c>
      <c r="G639" s="110">
        <v>1266</v>
      </c>
      <c r="H639" s="12">
        <v>45778</v>
      </c>
      <c r="I639" s="24">
        <v>319851.14</v>
      </c>
      <c r="J639" s="24">
        <v>293783.28000000003</v>
      </c>
      <c r="K639" s="3">
        <v>45824</v>
      </c>
      <c r="L639" s="91">
        <v>45852</v>
      </c>
      <c r="M639" s="5">
        <v>45854</v>
      </c>
      <c r="N639" s="36" t="s">
        <v>588</v>
      </c>
      <c r="O639" s="37">
        <v>0</v>
      </c>
      <c r="P639" s="14"/>
      <c r="Q639" t="s">
        <v>58</v>
      </c>
      <c r="R639" t="s">
        <v>183</v>
      </c>
      <c r="S639" t="str">
        <f>IFERROR(VLOOKUP(Tabela1[[#This Row],[CC]],CC!$A$1:$H$403,8,0),"")</f>
        <v>OP2</v>
      </c>
    </row>
    <row r="640" spans="1:19" x14ac:dyDescent="0.3">
      <c r="A640" s="25">
        <v>1300</v>
      </c>
      <c r="B640" s="25" t="str">
        <f>IFERROR(VLOOKUP(Tabela1[[#This Row],[CC]],#REF!,5,0),"")</f>
        <v/>
      </c>
      <c r="C640" t="s">
        <v>66</v>
      </c>
      <c r="D640" t="s">
        <v>16</v>
      </c>
      <c r="E640" t="s">
        <v>275</v>
      </c>
      <c r="F640" t="s">
        <v>586</v>
      </c>
      <c r="G640" s="110">
        <v>8398</v>
      </c>
      <c r="H640" s="12">
        <v>45778</v>
      </c>
      <c r="I640" s="24">
        <v>35127.120000000003</v>
      </c>
      <c r="J640" s="24">
        <v>32264.26</v>
      </c>
      <c r="K640" s="3">
        <v>45835</v>
      </c>
      <c r="L640" s="91">
        <v>45866</v>
      </c>
      <c r="M640" s="29">
        <v>45866</v>
      </c>
      <c r="N640" s="36" t="s">
        <v>588</v>
      </c>
      <c r="O640" s="41">
        <v>0</v>
      </c>
      <c r="P640" s="26"/>
      <c r="Q640" t="s">
        <v>58</v>
      </c>
      <c r="R640" t="s">
        <v>183</v>
      </c>
      <c r="S640" t="str">
        <f>IFERROR(VLOOKUP(Tabela1[[#This Row],[CC]],CC!$A$1:$H$403,8,0),"")</f>
        <v>OP2</v>
      </c>
    </row>
    <row r="641" spans="1:21" x14ac:dyDescent="0.3">
      <c r="A641" s="25">
        <v>1290</v>
      </c>
      <c r="B641" s="25" t="str">
        <f>IFERROR(VLOOKUP(Tabela1[[#This Row],[CC]],#REF!,5,0),"")</f>
        <v/>
      </c>
      <c r="C641" t="s">
        <v>70</v>
      </c>
      <c r="D641" t="s">
        <v>20</v>
      </c>
      <c r="E641" t="s">
        <v>264</v>
      </c>
      <c r="F641" t="s">
        <v>586</v>
      </c>
      <c r="G641" s="110">
        <v>8357</v>
      </c>
      <c r="H641" s="12">
        <v>45778</v>
      </c>
      <c r="I641" s="24">
        <v>53175.27</v>
      </c>
      <c r="J641" s="24">
        <v>46980.35</v>
      </c>
      <c r="K641" s="3">
        <v>45813</v>
      </c>
      <c r="L641" s="91">
        <v>45845</v>
      </c>
      <c r="M641" s="11">
        <v>45845</v>
      </c>
      <c r="N641" s="21" t="s">
        <v>588</v>
      </c>
      <c r="O641" s="35">
        <v>0</v>
      </c>
      <c r="P641" s="26"/>
      <c r="Q641" t="s">
        <v>58</v>
      </c>
      <c r="R641" t="s">
        <v>183</v>
      </c>
      <c r="S641" t="str">
        <f>IFERROR(VLOOKUP(Tabela1[[#This Row],[CC]],CC!$A$1:$H$403,8,0),"")</f>
        <v>OP4</v>
      </c>
    </row>
    <row r="642" spans="1:21" x14ac:dyDescent="0.3">
      <c r="A642" s="25">
        <v>1490</v>
      </c>
      <c r="B642" s="25" t="str">
        <f>IFERROR(VLOOKUP(Tabela1[[#This Row],[CC]],#REF!,5,0),"")</f>
        <v/>
      </c>
      <c r="C642" t="s">
        <v>70</v>
      </c>
      <c r="D642" t="s">
        <v>20</v>
      </c>
      <c r="E642" t="s">
        <v>495</v>
      </c>
      <c r="F642" t="s">
        <v>586</v>
      </c>
      <c r="G642" s="110">
        <v>8358</v>
      </c>
      <c r="H642" s="12">
        <v>45778</v>
      </c>
      <c r="I642" s="24">
        <v>2300</v>
      </c>
      <c r="J642" s="24">
        <v>2032.05</v>
      </c>
      <c r="K642" s="3">
        <v>45813</v>
      </c>
      <c r="L642" s="91">
        <v>45845</v>
      </c>
      <c r="M642" s="11">
        <v>45845</v>
      </c>
      <c r="N642" s="21" t="s">
        <v>588</v>
      </c>
      <c r="O642" s="35">
        <v>0</v>
      </c>
      <c r="P642" s="26"/>
      <c r="Q642" t="s">
        <v>58</v>
      </c>
      <c r="R642" t="s">
        <v>183</v>
      </c>
      <c r="S642" t="str">
        <f>IFERROR(VLOOKUP(Tabela1[[#This Row],[CC]],CC!$A$1:$H$403,8,0),"")</f>
        <v>OP4</v>
      </c>
    </row>
    <row r="643" spans="1:21" x14ac:dyDescent="0.3">
      <c r="A643" s="8">
        <v>1480</v>
      </c>
      <c r="B643" s="8" t="str">
        <f>IFERROR(VLOOKUP(Tabela1[[#This Row],[CC]],#REF!,5,0),"")</f>
        <v/>
      </c>
      <c r="C643" t="s">
        <v>51</v>
      </c>
      <c r="D643" t="s">
        <v>46</v>
      </c>
      <c r="E643" t="s">
        <v>590</v>
      </c>
      <c r="F643" t="s">
        <v>586</v>
      </c>
      <c r="G643" s="110">
        <v>4081</v>
      </c>
      <c r="H643" s="12">
        <v>45778</v>
      </c>
      <c r="I643" s="24">
        <v>276669.15999999997</v>
      </c>
      <c r="J643" s="10">
        <v>259654.01</v>
      </c>
      <c r="K643" s="3">
        <v>45811</v>
      </c>
      <c r="L643" s="91">
        <v>45831</v>
      </c>
      <c r="M643" s="5">
        <v>45835</v>
      </c>
      <c r="N643" s="18" t="s">
        <v>588</v>
      </c>
      <c r="O643" s="37"/>
      <c r="P643" s="14"/>
      <c r="Q643" t="s">
        <v>55</v>
      </c>
      <c r="R643" t="s">
        <v>231</v>
      </c>
      <c r="S643" t="str">
        <f>IFERROR(VLOOKUP(Tabela1[[#This Row],[CC]],CC!$A$1:$H$403,8,0),"")</f>
        <v>OP2</v>
      </c>
    </row>
    <row r="644" spans="1:21" x14ac:dyDescent="0.3">
      <c r="A644" s="8">
        <v>1480</v>
      </c>
      <c r="B644" s="8" t="str">
        <f>IFERROR(VLOOKUP(Tabela1[[#This Row],[CC]],#REF!,5,0),"")</f>
        <v/>
      </c>
      <c r="C644" t="s">
        <v>51</v>
      </c>
      <c r="D644" t="s">
        <v>46</v>
      </c>
      <c r="E644" t="s">
        <v>590</v>
      </c>
      <c r="F644" t="s">
        <v>586</v>
      </c>
      <c r="G644" s="110">
        <v>4118</v>
      </c>
      <c r="H644" s="12">
        <v>45778</v>
      </c>
      <c r="I644" s="24">
        <v>40182.239999999998</v>
      </c>
      <c r="J644" s="10">
        <v>37711.040000000001</v>
      </c>
      <c r="K644" s="3">
        <v>45818</v>
      </c>
      <c r="L644" s="91">
        <v>45831</v>
      </c>
      <c r="M644" s="5">
        <v>45835</v>
      </c>
      <c r="N644" s="18" t="s">
        <v>588</v>
      </c>
      <c r="O644" s="37"/>
      <c r="P644" s="14"/>
      <c r="Q644" t="s">
        <v>55</v>
      </c>
      <c r="R644" t="s">
        <v>231</v>
      </c>
      <c r="S644" t="str">
        <f>IFERROR(VLOOKUP(Tabela1[[#This Row],[CC]],CC!$A$1:$H$403,8,0),"")</f>
        <v>OP2</v>
      </c>
    </row>
    <row r="645" spans="1:21" x14ac:dyDescent="0.3">
      <c r="A645" s="8">
        <v>1475</v>
      </c>
      <c r="B645" s="8" t="str">
        <f>IFERROR(VLOOKUP(Tabela1[[#This Row],[CC]],#REF!,5,0),"")</f>
        <v/>
      </c>
      <c r="C645" t="s">
        <v>60</v>
      </c>
      <c r="D645" t="s">
        <v>35</v>
      </c>
      <c r="E645" t="s">
        <v>480</v>
      </c>
      <c r="F645" t="s">
        <v>586</v>
      </c>
      <c r="G645" s="110">
        <v>8367</v>
      </c>
      <c r="H645" s="12">
        <v>45778</v>
      </c>
      <c r="I645" s="24">
        <v>68083.960000000006</v>
      </c>
      <c r="J645" s="10">
        <v>61071.31</v>
      </c>
      <c r="K645" s="3">
        <v>45817</v>
      </c>
      <c r="L645" s="91">
        <v>45831</v>
      </c>
      <c r="M645" s="11">
        <v>45831</v>
      </c>
      <c r="N645" s="18" t="s">
        <v>588</v>
      </c>
      <c r="O645" s="34">
        <v>0</v>
      </c>
      <c r="P645"/>
      <c r="Q645" t="s">
        <v>55</v>
      </c>
      <c r="R645" t="s">
        <v>195</v>
      </c>
      <c r="S645" t="str">
        <f>IFERROR(VLOOKUP(Tabela1[[#This Row],[CC]],CC!$A$1:$H$403,8,0),"")</f>
        <v>OP3</v>
      </c>
    </row>
    <row r="646" spans="1:21" x14ac:dyDescent="0.3">
      <c r="A646" s="8">
        <v>1475</v>
      </c>
      <c r="B646" s="8" t="str">
        <f>IFERROR(VLOOKUP(Tabela1[[#This Row],[CC]],#REF!,5,0),"")</f>
        <v/>
      </c>
      <c r="C646" t="s">
        <v>60</v>
      </c>
      <c r="D646" t="s">
        <v>35</v>
      </c>
      <c r="E646" t="s">
        <v>480</v>
      </c>
      <c r="F646" t="s">
        <v>586</v>
      </c>
      <c r="G646" s="110">
        <v>8369</v>
      </c>
      <c r="H646" s="12">
        <v>45778</v>
      </c>
      <c r="I646" s="24">
        <v>8858.83</v>
      </c>
      <c r="J646" s="10">
        <v>7946.37</v>
      </c>
      <c r="K646" s="3">
        <v>45818</v>
      </c>
      <c r="L646" s="93">
        <v>45839</v>
      </c>
      <c r="M646" s="11">
        <v>45841</v>
      </c>
      <c r="N646" s="18" t="s">
        <v>588</v>
      </c>
      <c r="O646" s="34">
        <v>0</v>
      </c>
      <c r="P646"/>
      <c r="Q646" t="s">
        <v>55</v>
      </c>
      <c r="R646" t="s">
        <v>195</v>
      </c>
      <c r="S646" t="str">
        <f>IFERROR(VLOOKUP(Tabela1[[#This Row],[CC]],CC!$A$1:$H$403,8,0),"")</f>
        <v>OP3</v>
      </c>
    </row>
    <row r="647" spans="1:21" x14ac:dyDescent="0.3">
      <c r="A647" s="8">
        <v>1472</v>
      </c>
      <c r="B647" s="8" t="str">
        <f>IFERROR(VLOOKUP(Tabela1[[#This Row],[CC]],#REF!,5,0),"")</f>
        <v/>
      </c>
      <c r="C647" t="s">
        <v>32</v>
      </c>
      <c r="D647" t="s">
        <v>21</v>
      </c>
      <c r="E647" t="s">
        <v>477</v>
      </c>
      <c r="F647" t="s">
        <v>586</v>
      </c>
      <c r="G647" s="110">
        <v>4076</v>
      </c>
      <c r="H647" s="12">
        <v>45778</v>
      </c>
      <c r="I647" s="24">
        <v>115676.9</v>
      </c>
      <c r="J647" s="24">
        <v>108562.77</v>
      </c>
      <c r="K647" s="3">
        <v>45810</v>
      </c>
      <c r="L647" s="91">
        <v>45817</v>
      </c>
      <c r="M647" s="11">
        <v>45820</v>
      </c>
      <c r="N647" s="18" t="s">
        <v>588</v>
      </c>
      <c r="O647" s="37"/>
      <c r="P647" s="14"/>
      <c r="Q647" t="s">
        <v>57</v>
      </c>
      <c r="R647" t="s">
        <v>231</v>
      </c>
      <c r="S647" t="str">
        <f>IFERROR(VLOOKUP(Tabela1[[#This Row],[CC]],CC!$A$1:$H$403,8,0),"")</f>
        <v>OP1</v>
      </c>
    </row>
    <row r="648" spans="1:21" x14ac:dyDescent="0.3">
      <c r="A648" s="8">
        <v>1378</v>
      </c>
      <c r="B648" s="8" t="str">
        <f>IFERROR(VLOOKUP(Tabela1[[#This Row],[CC]],#REF!,5,0),"")</f>
        <v/>
      </c>
      <c r="C648" t="s">
        <v>51</v>
      </c>
      <c r="D648" t="s">
        <v>5</v>
      </c>
      <c r="E648" t="s">
        <v>361</v>
      </c>
      <c r="F648" t="s">
        <v>586</v>
      </c>
      <c r="G648" s="110">
        <v>8383</v>
      </c>
      <c r="H648" s="12">
        <v>45778</v>
      </c>
      <c r="I648" s="24">
        <v>4281.29</v>
      </c>
      <c r="J648" s="24">
        <v>4017.99</v>
      </c>
      <c r="K648" s="3">
        <v>45824</v>
      </c>
      <c r="L648" s="91">
        <v>45845</v>
      </c>
      <c r="M648" s="5">
        <v>45847</v>
      </c>
      <c r="N648" s="18" t="s">
        <v>588</v>
      </c>
      <c r="O648" s="34">
        <v>0</v>
      </c>
      <c r="P648"/>
      <c r="Q648" t="s">
        <v>57</v>
      </c>
      <c r="R648" t="s">
        <v>231</v>
      </c>
      <c r="S648" t="str">
        <f>IFERROR(VLOOKUP(Tabela1[[#This Row],[CC]],CC!$A$1:$H$403,8,0),"")</f>
        <v>OP2</v>
      </c>
      <c r="T648" t="s">
        <v>1</v>
      </c>
      <c r="U648" t="s">
        <v>2</v>
      </c>
    </row>
    <row r="649" spans="1:21" x14ac:dyDescent="0.3">
      <c r="A649" s="8">
        <v>1247</v>
      </c>
      <c r="B649" s="8" t="str">
        <f>IFERROR(VLOOKUP(Tabela1[[#This Row],[CC]],#REF!,5,0),"")</f>
        <v/>
      </c>
      <c r="C649" t="s">
        <v>70</v>
      </c>
      <c r="D649" t="s">
        <v>14</v>
      </c>
      <c r="E649" t="s">
        <v>214</v>
      </c>
      <c r="F649" t="s">
        <v>586</v>
      </c>
      <c r="G649" s="110">
        <v>8349</v>
      </c>
      <c r="H649" s="12">
        <v>45778</v>
      </c>
      <c r="I649" s="24">
        <v>38395.360000000001</v>
      </c>
      <c r="J649" s="24">
        <v>34440.629999999997</v>
      </c>
      <c r="K649" s="3">
        <v>45810</v>
      </c>
      <c r="L649" s="91">
        <v>45817</v>
      </c>
      <c r="M649" s="11">
        <v>45820</v>
      </c>
      <c r="N649" s="18" t="s">
        <v>588</v>
      </c>
      <c r="O649" s="34">
        <v>0</v>
      </c>
      <c r="P649"/>
      <c r="Q649" t="s">
        <v>58</v>
      </c>
      <c r="R649" t="s">
        <v>195</v>
      </c>
      <c r="S649" t="str">
        <f>IFERROR(VLOOKUP(Tabela1[[#This Row],[CC]],CC!$A$1:$H$403,8,0),"")</f>
        <v>OP4</v>
      </c>
    </row>
    <row r="650" spans="1:21" x14ac:dyDescent="0.3">
      <c r="A650" s="8">
        <v>1358</v>
      </c>
      <c r="B650" s="8" t="str">
        <f>IFERROR(VLOOKUP(Tabela1[[#This Row],[CC]],#REF!,5,0),"")</f>
        <v/>
      </c>
      <c r="C650" t="s">
        <v>70</v>
      </c>
      <c r="D650" t="s">
        <v>12</v>
      </c>
      <c r="E650" t="s">
        <v>335</v>
      </c>
      <c r="F650" t="s">
        <v>586</v>
      </c>
      <c r="G650" s="110">
        <v>8375</v>
      </c>
      <c r="H650" s="12">
        <v>45778</v>
      </c>
      <c r="I650" s="24">
        <v>85164.92</v>
      </c>
      <c r="J650" s="10">
        <v>76392.929999999993</v>
      </c>
      <c r="K650" s="3">
        <v>45819</v>
      </c>
      <c r="L650" s="91">
        <v>45852</v>
      </c>
      <c r="M650" s="11">
        <v>45852</v>
      </c>
      <c r="N650" s="18" t="s">
        <v>588</v>
      </c>
      <c r="O650" s="34">
        <v>0</v>
      </c>
      <c r="P650"/>
      <c r="Q650" t="s">
        <v>58</v>
      </c>
      <c r="R650" t="s">
        <v>195</v>
      </c>
      <c r="S650" t="str">
        <f>IFERROR(VLOOKUP(Tabela1[[#This Row],[CC]],CC!$A$1:$H$403,8,0),"")</f>
        <v>OP4</v>
      </c>
    </row>
    <row r="651" spans="1:21" x14ac:dyDescent="0.3">
      <c r="A651" s="8">
        <v>1358</v>
      </c>
      <c r="B651" s="8" t="str">
        <f>IFERROR(VLOOKUP(Tabela1[[#This Row],[CC]],#REF!,5,0),"")</f>
        <v/>
      </c>
      <c r="C651" t="s">
        <v>70</v>
      </c>
      <c r="D651" t="s">
        <v>12</v>
      </c>
      <c r="E651" t="s">
        <v>335</v>
      </c>
      <c r="F651" t="s">
        <v>586</v>
      </c>
      <c r="G651" s="110">
        <v>8374</v>
      </c>
      <c r="H651" s="12">
        <v>45778</v>
      </c>
      <c r="I651" s="24">
        <v>7307.4</v>
      </c>
      <c r="J651" s="10">
        <v>6554.73</v>
      </c>
      <c r="K651" s="3">
        <v>45819</v>
      </c>
      <c r="L651" s="91">
        <v>45852</v>
      </c>
      <c r="M651" s="11">
        <v>45852</v>
      </c>
      <c r="N651" s="18" t="s">
        <v>588</v>
      </c>
      <c r="O651" s="34">
        <v>0</v>
      </c>
      <c r="P651"/>
      <c r="Q651" t="s">
        <v>58</v>
      </c>
      <c r="R651" t="s">
        <v>195</v>
      </c>
      <c r="S651" t="str">
        <f>IFERROR(VLOOKUP(Tabela1[[#This Row],[CC]],CC!$A$1:$H$403,8,0),"")</f>
        <v>OP4</v>
      </c>
    </row>
    <row r="652" spans="1:21" x14ac:dyDescent="0.3">
      <c r="A652" s="8">
        <v>1473</v>
      </c>
      <c r="B652" s="8" t="str">
        <f>IFERROR(VLOOKUP(Tabela1[[#This Row],[CC]],#REF!,5,0),"")</f>
        <v/>
      </c>
      <c r="C652" t="s">
        <v>70</v>
      </c>
      <c r="D652" t="s">
        <v>63</v>
      </c>
      <c r="E652" t="s">
        <v>478</v>
      </c>
      <c r="F652" t="s">
        <v>586</v>
      </c>
      <c r="G652" s="110">
        <v>8384</v>
      </c>
      <c r="H652" s="12">
        <v>45778</v>
      </c>
      <c r="I652" s="24">
        <v>225302.23</v>
      </c>
      <c r="J652" s="24">
        <v>209915.8</v>
      </c>
      <c r="K652" s="3">
        <v>45825</v>
      </c>
      <c r="L652" s="91">
        <v>45839</v>
      </c>
      <c r="M652" s="11">
        <v>45840</v>
      </c>
      <c r="N652" s="18" t="s">
        <v>588</v>
      </c>
      <c r="O652" s="34"/>
      <c r="P652"/>
      <c r="Q652" t="s">
        <v>58</v>
      </c>
      <c r="R652" t="s">
        <v>195</v>
      </c>
      <c r="S652" t="str">
        <f>IFERROR(VLOOKUP(Tabela1[[#This Row],[CC]],CC!$A$1:$H$403,8,0),"")</f>
        <v>OP4</v>
      </c>
    </row>
    <row r="653" spans="1:21" x14ac:dyDescent="0.3">
      <c r="A653" s="25">
        <v>1462</v>
      </c>
      <c r="B653" s="25" t="str">
        <f>IFERROR(VLOOKUP(Tabela1[[#This Row],[CC]],#REF!,5,0),"")</f>
        <v/>
      </c>
      <c r="C653" t="s">
        <v>67</v>
      </c>
      <c r="D653" t="s">
        <v>76</v>
      </c>
      <c r="E653" t="s">
        <v>465</v>
      </c>
      <c r="F653" t="s">
        <v>586</v>
      </c>
      <c r="G653" s="110">
        <v>8354</v>
      </c>
      <c r="H653" s="12">
        <v>45778</v>
      </c>
      <c r="I653" s="24">
        <v>800</v>
      </c>
      <c r="J653" s="24">
        <v>750.8</v>
      </c>
      <c r="K653" s="3">
        <v>45811</v>
      </c>
      <c r="L653" s="91">
        <v>45810</v>
      </c>
      <c r="M653" s="11">
        <v>45814</v>
      </c>
      <c r="N653" s="18" t="s">
        <v>588</v>
      </c>
      <c r="O653" s="35">
        <v>0</v>
      </c>
      <c r="P653" s="26"/>
      <c r="Q653" t="s">
        <v>58</v>
      </c>
      <c r="R653" t="s">
        <v>228</v>
      </c>
      <c r="S653" t="str">
        <f>IFERROR(VLOOKUP(Tabela1[[#This Row],[CC]],CC!$A$1:$H$403,8,0),"")</f>
        <v>OP2</v>
      </c>
    </row>
    <row r="654" spans="1:21" x14ac:dyDescent="0.3">
      <c r="A654" s="25">
        <v>1390</v>
      </c>
      <c r="B654" s="25" t="str">
        <f>IFERROR(VLOOKUP(Tabela1[[#This Row],[CC]],#REF!,5,0),"")</f>
        <v/>
      </c>
      <c r="C654" t="s">
        <v>66</v>
      </c>
      <c r="D654" t="s">
        <v>11</v>
      </c>
      <c r="E654" t="s">
        <v>374</v>
      </c>
      <c r="F654" t="s">
        <v>586</v>
      </c>
      <c r="G654" s="110">
        <v>1292</v>
      </c>
      <c r="H654" s="51">
        <v>45870</v>
      </c>
      <c r="I654" s="24">
        <v>147656.07</v>
      </c>
      <c r="J654" s="24">
        <v>130454.15</v>
      </c>
      <c r="K654" s="3">
        <v>45909</v>
      </c>
      <c r="L654" s="91">
        <v>45992</v>
      </c>
      <c r="M654" s="11">
        <v>45995</v>
      </c>
      <c r="N654" s="18" t="s">
        <v>588</v>
      </c>
      <c r="O654" s="35">
        <v>0</v>
      </c>
      <c r="P654"/>
      <c r="Q654" t="s">
        <v>58</v>
      </c>
      <c r="R654" t="s">
        <v>183</v>
      </c>
      <c r="S654" t="str">
        <f>IFERROR(VLOOKUP(Tabela1[[#This Row],[CC]],CC!$A$1:$H$403,8,0),"")</f>
        <v>OP2</v>
      </c>
    </row>
    <row r="655" spans="1:21" x14ac:dyDescent="0.3">
      <c r="A655" s="13">
        <v>1260</v>
      </c>
      <c r="B655" s="13" t="str">
        <f>IFERROR(VLOOKUP(Tabela1[[#This Row],[CC]],#REF!,5,0),"")</f>
        <v/>
      </c>
      <c r="C655" t="s">
        <v>51</v>
      </c>
      <c r="D655" t="s">
        <v>39</v>
      </c>
      <c r="E655" t="s">
        <v>227</v>
      </c>
      <c r="F655" t="s">
        <v>586</v>
      </c>
      <c r="G655" s="110">
        <v>4075</v>
      </c>
      <c r="H655" s="12">
        <v>45778</v>
      </c>
      <c r="I655" s="24">
        <v>10914</v>
      </c>
      <c r="J655" s="24">
        <v>10242.790000000001</v>
      </c>
      <c r="K655" s="3">
        <v>45810</v>
      </c>
      <c r="L655" s="91">
        <v>45831</v>
      </c>
      <c r="M655" s="11">
        <v>45833</v>
      </c>
      <c r="N655" s="19" t="s">
        <v>588</v>
      </c>
      <c r="O655" s="34">
        <v>0</v>
      </c>
      <c r="P655"/>
      <c r="Q655" t="s">
        <v>55</v>
      </c>
      <c r="R655" t="s">
        <v>228</v>
      </c>
      <c r="S655" t="str">
        <f>IFERROR(VLOOKUP(Tabela1[[#This Row],[CC]],CC!$A$1:$H$403,8,0),"")</f>
        <v>OP2</v>
      </c>
    </row>
    <row r="656" spans="1:21" x14ac:dyDescent="0.3">
      <c r="A656" s="25">
        <v>1485</v>
      </c>
      <c r="B656" s="25" t="str">
        <f>IFERROR(VLOOKUP(Tabela1[[#This Row],[CC]],#REF!,5,0),"")</f>
        <v/>
      </c>
      <c r="C656" t="s">
        <v>51</v>
      </c>
      <c r="D656" t="s">
        <v>23</v>
      </c>
      <c r="E656" t="s">
        <v>591</v>
      </c>
      <c r="F656" t="s">
        <v>586</v>
      </c>
      <c r="G656" s="110">
        <v>4074</v>
      </c>
      <c r="H656" s="12">
        <v>45778</v>
      </c>
      <c r="I656" s="24">
        <v>27419.279999999999</v>
      </c>
      <c r="J656" s="24">
        <v>25732.99</v>
      </c>
      <c r="K656" s="3">
        <v>45810</v>
      </c>
      <c r="L656" s="91">
        <v>45831</v>
      </c>
      <c r="M656" s="11">
        <v>45835</v>
      </c>
      <c r="N656" s="18" t="s">
        <v>588</v>
      </c>
      <c r="O656" s="35">
        <v>0</v>
      </c>
      <c r="P656" s="26"/>
      <c r="Q656" t="s">
        <v>55</v>
      </c>
      <c r="R656" t="s">
        <v>231</v>
      </c>
      <c r="S656" t="str">
        <f>IFERROR(VLOOKUP(Tabela1[[#This Row],[CC]],CC!$A$1:$H$403,8,0),"")</f>
        <v>OP2</v>
      </c>
    </row>
    <row r="657" spans="1:19" x14ac:dyDescent="0.3">
      <c r="A657" s="8">
        <v>1482</v>
      </c>
      <c r="B657" s="8" t="str">
        <f>IFERROR(VLOOKUP(Tabela1[[#This Row],[CC]],#REF!,5,0),"")</f>
        <v/>
      </c>
      <c r="C657" t="s">
        <v>66</v>
      </c>
      <c r="D657" t="s">
        <v>16</v>
      </c>
      <c r="E657" t="s">
        <v>487</v>
      </c>
      <c r="F657" t="s">
        <v>586</v>
      </c>
      <c r="G657" s="110">
        <v>8360</v>
      </c>
      <c r="H657" s="12">
        <v>45778</v>
      </c>
      <c r="I657" s="24">
        <v>39000</v>
      </c>
      <c r="J657" s="24">
        <v>35236.5</v>
      </c>
      <c r="K657" s="3">
        <v>45813</v>
      </c>
      <c r="L657" s="91">
        <v>45831</v>
      </c>
      <c r="M657" s="11">
        <v>45835</v>
      </c>
      <c r="N657" s="36" t="s">
        <v>588</v>
      </c>
      <c r="O657" s="42"/>
      <c r="P657" s="14"/>
      <c r="Q657" t="s">
        <v>58</v>
      </c>
      <c r="R657" t="s">
        <v>183</v>
      </c>
      <c r="S657" t="str">
        <f>IFERROR(VLOOKUP(Tabela1[[#This Row],[CC]],CC!$A$1:$H$403,8,0),"")</f>
        <v>OP2</v>
      </c>
    </row>
    <row r="658" spans="1:19" x14ac:dyDescent="0.3">
      <c r="A658" s="25">
        <v>1262</v>
      </c>
      <c r="B658" s="25" t="str">
        <f>IFERROR(VLOOKUP(Tabela1[[#This Row],[CC]],#REF!,5,0),"")</f>
        <v/>
      </c>
      <c r="C658" t="s">
        <v>51</v>
      </c>
      <c r="D658" t="s">
        <v>25</v>
      </c>
      <c r="E658" t="s">
        <v>230</v>
      </c>
      <c r="F658" t="s">
        <v>586</v>
      </c>
      <c r="G658" s="110">
        <v>4134</v>
      </c>
      <c r="H658" s="12">
        <v>45778</v>
      </c>
      <c r="I658" s="24">
        <v>28774.95</v>
      </c>
      <c r="J658" s="24">
        <v>27005.29</v>
      </c>
      <c r="K658" s="3">
        <v>45826</v>
      </c>
      <c r="L658" s="91">
        <v>45831</v>
      </c>
      <c r="M658" s="11">
        <v>45835</v>
      </c>
      <c r="N658" s="18" t="s">
        <v>588</v>
      </c>
      <c r="O658" s="35">
        <v>0</v>
      </c>
      <c r="P658" s="26"/>
      <c r="Q658" t="s">
        <v>55</v>
      </c>
      <c r="R658" t="s">
        <v>231</v>
      </c>
      <c r="S658" t="str">
        <f>IFERROR(VLOOKUP(Tabela1[[#This Row],[CC]],CC!$A$1:$H$403,8,0),"")</f>
        <v>OP2</v>
      </c>
    </row>
    <row r="659" spans="1:19" x14ac:dyDescent="0.3">
      <c r="A659" s="25">
        <v>1262</v>
      </c>
      <c r="B659" s="25" t="str">
        <f>IFERROR(VLOOKUP(Tabela1[[#This Row],[CC]],#REF!,5,0),"")</f>
        <v/>
      </c>
      <c r="C659" t="s">
        <v>51</v>
      </c>
      <c r="D659" t="s">
        <v>25</v>
      </c>
      <c r="E659" t="s">
        <v>230</v>
      </c>
      <c r="F659" t="s">
        <v>586</v>
      </c>
      <c r="G659" s="110">
        <v>4135</v>
      </c>
      <c r="H659" s="12">
        <v>45778</v>
      </c>
      <c r="I659" s="24">
        <v>20648.32</v>
      </c>
      <c r="J659" s="24">
        <v>19378.46</v>
      </c>
      <c r="K659" s="3">
        <v>45826</v>
      </c>
      <c r="L659" s="91">
        <v>45831</v>
      </c>
      <c r="M659" s="11">
        <v>45835</v>
      </c>
      <c r="N659" s="18" t="s">
        <v>588</v>
      </c>
      <c r="O659" s="35">
        <v>0</v>
      </c>
      <c r="P659" s="26"/>
      <c r="Q659" t="s">
        <v>55</v>
      </c>
      <c r="R659" t="s">
        <v>231</v>
      </c>
      <c r="S659" t="str">
        <f>IFERROR(VLOOKUP(Tabela1[[#This Row],[CC]],CC!$A$1:$H$403,8,0),"")</f>
        <v>OP2</v>
      </c>
    </row>
    <row r="660" spans="1:19" x14ac:dyDescent="0.3">
      <c r="A660" s="25">
        <v>1262</v>
      </c>
      <c r="B660" s="25" t="str">
        <f>IFERROR(VLOOKUP(Tabela1[[#This Row],[CC]],#REF!,5,0),"")</f>
        <v/>
      </c>
      <c r="C660" t="s">
        <v>51</v>
      </c>
      <c r="D660" t="s">
        <v>25</v>
      </c>
      <c r="E660" t="s">
        <v>230</v>
      </c>
      <c r="F660" t="s">
        <v>586</v>
      </c>
      <c r="G660" s="110">
        <v>4136</v>
      </c>
      <c r="H660" s="12">
        <v>45778</v>
      </c>
      <c r="I660" s="24">
        <v>18710.580000000002</v>
      </c>
      <c r="J660" s="24">
        <v>17559.87</v>
      </c>
      <c r="K660" s="3">
        <v>45826</v>
      </c>
      <c r="L660" s="91">
        <v>45831</v>
      </c>
      <c r="M660" s="11">
        <v>45835</v>
      </c>
      <c r="N660" s="18" t="s">
        <v>588</v>
      </c>
      <c r="O660" s="35">
        <v>0</v>
      </c>
      <c r="P660" s="26"/>
      <c r="Q660" t="s">
        <v>55</v>
      </c>
      <c r="R660" t="s">
        <v>231</v>
      </c>
      <c r="S660" t="str">
        <f>IFERROR(VLOOKUP(Tabela1[[#This Row],[CC]],CC!$A$1:$H$403,8,0),"")</f>
        <v>OP2</v>
      </c>
    </row>
    <row r="661" spans="1:19" x14ac:dyDescent="0.3">
      <c r="A661" s="25">
        <v>1262</v>
      </c>
      <c r="B661" s="25" t="str">
        <f>IFERROR(VLOOKUP(Tabela1[[#This Row],[CC]],#REF!,5,0),"")</f>
        <v/>
      </c>
      <c r="C661" t="s">
        <v>51</v>
      </c>
      <c r="D661" t="s">
        <v>25</v>
      </c>
      <c r="E661" t="s">
        <v>230</v>
      </c>
      <c r="F661" t="s">
        <v>586</v>
      </c>
      <c r="G661" s="110">
        <v>4139</v>
      </c>
      <c r="H661" s="12">
        <v>45778</v>
      </c>
      <c r="I661" s="24">
        <v>8018.82</v>
      </c>
      <c r="J661" s="24">
        <v>7525.67</v>
      </c>
      <c r="K661" s="3">
        <v>45826</v>
      </c>
      <c r="L661" s="91">
        <v>45831</v>
      </c>
      <c r="M661" s="11">
        <v>45835</v>
      </c>
      <c r="N661" s="18" t="s">
        <v>588</v>
      </c>
      <c r="O661" s="35">
        <v>0</v>
      </c>
      <c r="P661" s="26"/>
      <c r="Q661" t="s">
        <v>55</v>
      </c>
      <c r="R661" t="s">
        <v>231</v>
      </c>
      <c r="S661" t="str">
        <f>IFERROR(VLOOKUP(Tabela1[[#This Row],[CC]],CC!$A$1:$H$403,8,0),"")</f>
        <v>OP2</v>
      </c>
    </row>
    <row r="662" spans="1:19" x14ac:dyDescent="0.3">
      <c r="A662" s="25">
        <v>1262</v>
      </c>
      <c r="B662" s="25" t="str">
        <f>IFERROR(VLOOKUP(Tabela1[[#This Row],[CC]],#REF!,5,0),"")</f>
        <v/>
      </c>
      <c r="C662" t="s">
        <v>51</v>
      </c>
      <c r="D662" t="s">
        <v>25</v>
      </c>
      <c r="E662" t="s">
        <v>230</v>
      </c>
      <c r="F662" t="s">
        <v>586</v>
      </c>
      <c r="G662" s="110">
        <v>4137</v>
      </c>
      <c r="H662" s="12">
        <v>45778</v>
      </c>
      <c r="I662" s="24">
        <v>65448.94</v>
      </c>
      <c r="J662" s="24">
        <v>61423.83</v>
      </c>
      <c r="K662" s="3">
        <v>45826</v>
      </c>
      <c r="L662" s="91">
        <v>45831</v>
      </c>
      <c r="M662" s="11">
        <v>45835</v>
      </c>
      <c r="N662" s="18" t="s">
        <v>588</v>
      </c>
      <c r="O662" s="35">
        <v>0</v>
      </c>
      <c r="P662" s="26"/>
      <c r="Q662" t="s">
        <v>55</v>
      </c>
      <c r="R662" t="s">
        <v>231</v>
      </c>
      <c r="S662" t="str">
        <f>IFERROR(VLOOKUP(Tabela1[[#This Row],[CC]],CC!$A$1:$H$403,8,0),"")</f>
        <v>OP2</v>
      </c>
    </row>
    <row r="663" spans="1:19" x14ac:dyDescent="0.3">
      <c r="A663" s="8">
        <v>1269</v>
      </c>
      <c r="B663" s="8" t="str">
        <f>IFERROR(VLOOKUP(Tabela1[[#This Row],[CC]],#REF!,5,0),"")</f>
        <v/>
      </c>
      <c r="C663" t="s">
        <v>51</v>
      </c>
      <c r="D663" t="s">
        <v>25</v>
      </c>
      <c r="E663" t="s">
        <v>239</v>
      </c>
      <c r="F663" t="s">
        <v>586</v>
      </c>
      <c r="G663" s="110">
        <v>4142</v>
      </c>
      <c r="H663" s="12">
        <v>45778</v>
      </c>
      <c r="I663" s="24">
        <v>30699.4</v>
      </c>
      <c r="J663" s="24">
        <v>28811.39</v>
      </c>
      <c r="K663" s="3">
        <v>45826</v>
      </c>
      <c r="L663" s="91">
        <v>45831</v>
      </c>
      <c r="M663" s="11">
        <v>45835</v>
      </c>
      <c r="N663" s="18" t="s">
        <v>588</v>
      </c>
      <c r="O663" s="34">
        <v>0</v>
      </c>
      <c r="P663" s="14"/>
      <c r="Q663" t="s">
        <v>58</v>
      </c>
      <c r="R663" t="s">
        <v>231</v>
      </c>
      <c r="S663" t="str">
        <f>IFERROR(VLOOKUP(Tabela1[[#This Row],[CC]],CC!$A$1:$H$403,8,0),"")</f>
        <v>OP2</v>
      </c>
    </row>
    <row r="664" spans="1:19" x14ac:dyDescent="0.3">
      <c r="A664" s="8">
        <v>1269</v>
      </c>
      <c r="B664" s="8" t="str">
        <f>IFERROR(VLOOKUP(Tabela1[[#This Row],[CC]],#REF!,5,0),"")</f>
        <v/>
      </c>
      <c r="C664" t="s">
        <v>51</v>
      </c>
      <c r="D664" t="s">
        <v>25</v>
      </c>
      <c r="E664" t="s">
        <v>239</v>
      </c>
      <c r="F664" t="s">
        <v>586</v>
      </c>
      <c r="G664" s="110">
        <v>4141</v>
      </c>
      <c r="H664" s="12">
        <v>45778</v>
      </c>
      <c r="I664" s="24">
        <v>6655.99</v>
      </c>
      <c r="J664" s="24">
        <v>6246.65</v>
      </c>
      <c r="K664" s="3">
        <v>45826</v>
      </c>
      <c r="L664" s="91">
        <v>45831</v>
      </c>
      <c r="M664" s="11">
        <v>45835</v>
      </c>
      <c r="N664" s="18" t="s">
        <v>588</v>
      </c>
      <c r="O664" s="34">
        <v>0</v>
      </c>
      <c r="P664" s="14"/>
      <c r="Q664" t="s">
        <v>58</v>
      </c>
      <c r="R664" t="s">
        <v>231</v>
      </c>
      <c r="S664" t="str">
        <f>IFERROR(VLOOKUP(Tabela1[[#This Row],[CC]],CC!$A$1:$H$403,8,0),"")</f>
        <v>OP2</v>
      </c>
    </row>
    <row r="665" spans="1:19" x14ac:dyDescent="0.3">
      <c r="A665" s="8">
        <v>1269</v>
      </c>
      <c r="B665" s="8" t="str">
        <f>IFERROR(VLOOKUP(Tabela1[[#This Row],[CC]],#REF!,5,0),"")</f>
        <v/>
      </c>
      <c r="C665" t="s">
        <v>51</v>
      </c>
      <c r="D665" t="s">
        <v>25</v>
      </c>
      <c r="E665" t="s">
        <v>239</v>
      </c>
      <c r="F665" t="s">
        <v>586</v>
      </c>
      <c r="G665" s="110">
        <v>4140</v>
      </c>
      <c r="H665" s="12">
        <v>45778</v>
      </c>
      <c r="I665" s="24">
        <v>10876.23</v>
      </c>
      <c r="J665" s="24">
        <v>10207.34</v>
      </c>
      <c r="K665" s="3">
        <v>45826</v>
      </c>
      <c r="L665" s="91">
        <v>45831</v>
      </c>
      <c r="M665" s="11">
        <v>45835</v>
      </c>
      <c r="N665" s="18" t="s">
        <v>588</v>
      </c>
      <c r="O665" s="34">
        <v>0</v>
      </c>
      <c r="P665" s="14"/>
      <c r="Q665" t="s">
        <v>58</v>
      </c>
      <c r="R665" t="s">
        <v>231</v>
      </c>
      <c r="S665" t="str">
        <f>IFERROR(VLOOKUP(Tabela1[[#This Row],[CC]],CC!$A$1:$H$403,8,0),"")</f>
        <v>OP2</v>
      </c>
    </row>
    <row r="666" spans="1:19" x14ac:dyDescent="0.3">
      <c r="A666" s="8">
        <v>1269</v>
      </c>
      <c r="B666" s="8" t="str">
        <f>IFERROR(VLOOKUP(Tabela1[[#This Row],[CC]],#REF!,5,0),"")</f>
        <v/>
      </c>
      <c r="C666" t="s">
        <v>51</v>
      </c>
      <c r="D666" t="s">
        <v>25</v>
      </c>
      <c r="E666" t="s">
        <v>239</v>
      </c>
      <c r="F666" t="s">
        <v>586</v>
      </c>
      <c r="G666" s="110">
        <v>4138</v>
      </c>
      <c r="H666" s="12">
        <v>45778</v>
      </c>
      <c r="I666" s="24">
        <v>198578.23</v>
      </c>
      <c r="J666" s="24">
        <v>186365.67</v>
      </c>
      <c r="K666" s="3">
        <v>45826</v>
      </c>
      <c r="L666" s="91">
        <v>45831</v>
      </c>
      <c r="M666" s="11">
        <v>45835</v>
      </c>
      <c r="N666" s="18" t="s">
        <v>588</v>
      </c>
      <c r="O666" s="34">
        <v>0</v>
      </c>
      <c r="P666" s="14"/>
      <c r="Q666" t="s">
        <v>58</v>
      </c>
      <c r="R666" t="s">
        <v>231</v>
      </c>
      <c r="S666" t="str">
        <f>IFERROR(VLOOKUP(Tabela1[[#This Row],[CC]],CC!$A$1:$H$403,8,0),"")</f>
        <v>OP2</v>
      </c>
    </row>
    <row r="667" spans="1:19" x14ac:dyDescent="0.3">
      <c r="A667" s="25">
        <v>1400</v>
      </c>
      <c r="B667" s="25" t="str">
        <f>IFERROR(VLOOKUP(Tabela1[[#This Row],[CC]],#REF!,5,0),"")</f>
        <v/>
      </c>
      <c r="C667" t="s">
        <v>64</v>
      </c>
      <c r="D667" t="s">
        <v>4</v>
      </c>
      <c r="E667" t="s">
        <v>385</v>
      </c>
      <c r="F667" t="s">
        <v>586</v>
      </c>
      <c r="G667" s="110">
        <v>8373</v>
      </c>
      <c r="H667" s="12">
        <v>45778</v>
      </c>
      <c r="I667" s="24">
        <v>77751.44</v>
      </c>
      <c r="J667" s="24">
        <v>70248.429999999993</v>
      </c>
      <c r="K667" s="3">
        <v>45819</v>
      </c>
      <c r="L667" s="91">
        <v>45839</v>
      </c>
      <c r="M667" s="11">
        <v>45841</v>
      </c>
      <c r="N667" s="18" t="s">
        <v>588</v>
      </c>
      <c r="O667" s="35">
        <v>0</v>
      </c>
      <c r="P667"/>
      <c r="Q667" t="s">
        <v>55</v>
      </c>
      <c r="R667" t="s">
        <v>183</v>
      </c>
      <c r="S667" t="str">
        <f>IFERROR(VLOOKUP(Tabela1[[#This Row],[CC]],CC!$A$1:$H$403,8,0),"")</f>
        <v>OP1</v>
      </c>
    </row>
    <row r="668" spans="1:19" x14ac:dyDescent="0.3">
      <c r="A668" s="25">
        <v>1400</v>
      </c>
      <c r="B668" s="25" t="str">
        <f>IFERROR(VLOOKUP(Tabela1[[#This Row],[CC]],#REF!,5,0),"")</f>
        <v/>
      </c>
      <c r="C668" t="s">
        <v>64</v>
      </c>
      <c r="D668" t="s">
        <v>4</v>
      </c>
      <c r="E668" t="s">
        <v>385</v>
      </c>
      <c r="F668" t="s">
        <v>586</v>
      </c>
      <c r="G668" s="110">
        <v>8633</v>
      </c>
      <c r="H668" s="12">
        <v>45748</v>
      </c>
      <c r="I668" s="24">
        <v>521197.7</v>
      </c>
      <c r="J668" s="27">
        <v>470902.12</v>
      </c>
      <c r="K668" s="3">
        <v>45992</v>
      </c>
      <c r="L668" s="91">
        <v>45992</v>
      </c>
      <c r="M668" s="11">
        <v>45995</v>
      </c>
      <c r="N668" s="18" t="s">
        <v>588</v>
      </c>
      <c r="O668" s="38"/>
      <c r="P668"/>
      <c r="Q668" t="s">
        <v>55</v>
      </c>
      <c r="R668" t="s">
        <v>183</v>
      </c>
      <c r="S668" t="str">
        <f>IFERROR(VLOOKUP(Tabela1[[#This Row],[CC]],CC!$A$1:$H$403,8,0),"")</f>
        <v>OP1</v>
      </c>
    </row>
    <row r="669" spans="1:19" x14ac:dyDescent="0.3">
      <c r="A669" s="25">
        <v>1400</v>
      </c>
      <c r="B669" s="25" t="str">
        <f>IFERROR(VLOOKUP(Tabela1[[#This Row],[CC]],#REF!,5,0),"")</f>
        <v/>
      </c>
      <c r="C669" t="s">
        <v>64</v>
      </c>
      <c r="D669" t="s">
        <v>4</v>
      </c>
      <c r="E669" t="s">
        <v>385</v>
      </c>
      <c r="F669" t="s">
        <v>586</v>
      </c>
      <c r="G669" s="110">
        <v>8634</v>
      </c>
      <c r="H669" s="12">
        <v>45778</v>
      </c>
      <c r="I669" s="24">
        <v>528436.46</v>
      </c>
      <c r="J669" s="27">
        <v>477442.34</v>
      </c>
      <c r="K669" s="3">
        <v>45992</v>
      </c>
      <c r="L669" s="91">
        <v>45992</v>
      </c>
      <c r="M669" s="11">
        <v>45995</v>
      </c>
      <c r="N669" s="18" t="s">
        <v>588</v>
      </c>
      <c r="O669" s="38"/>
      <c r="P669"/>
      <c r="Q669" t="s">
        <v>55</v>
      </c>
      <c r="R669" t="s">
        <v>183</v>
      </c>
      <c r="S669" t="str">
        <f>IFERROR(VLOOKUP(Tabela1[[#This Row],[CC]],CC!$A$1:$H$403,8,0),"")</f>
        <v>OP1</v>
      </c>
    </row>
    <row r="670" spans="1:19" x14ac:dyDescent="0.3">
      <c r="A670" s="8">
        <v>1366</v>
      </c>
      <c r="B670" s="8" t="str">
        <f>IFERROR(VLOOKUP(Tabela1[[#This Row],[CC]],#REF!,5,0),"")</f>
        <v/>
      </c>
      <c r="C670" t="s">
        <v>64</v>
      </c>
      <c r="D670" t="s">
        <v>4</v>
      </c>
      <c r="E670" t="s">
        <v>345</v>
      </c>
      <c r="F670" t="s">
        <v>586</v>
      </c>
      <c r="G670" s="110">
        <v>1268</v>
      </c>
      <c r="H670" s="12">
        <v>45778</v>
      </c>
      <c r="I670" s="24">
        <v>340150.71</v>
      </c>
      <c r="J670" s="10">
        <v>307326.14</v>
      </c>
      <c r="K670" s="3">
        <v>45825</v>
      </c>
      <c r="L670" s="91">
        <v>45839</v>
      </c>
      <c r="M670" s="11">
        <v>45841</v>
      </c>
      <c r="N670" s="18" t="s">
        <v>588</v>
      </c>
      <c r="O670" s="34">
        <v>0</v>
      </c>
      <c r="P670"/>
      <c r="Q670" t="s">
        <v>58</v>
      </c>
      <c r="R670" t="s">
        <v>183</v>
      </c>
      <c r="S670" t="str">
        <f>IFERROR(VLOOKUP(Tabela1[[#This Row],[CC]],CC!$A$1:$H$403,8,0),"")</f>
        <v>OP1</v>
      </c>
    </row>
    <row r="671" spans="1:19" x14ac:dyDescent="0.3">
      <c r="A671" s="8">
        <v>1388</v>
      </c>
      <c r="B671" s="8" t="str">
        <f>IFERROR(VLOOKUP(Tabela1[[#This Row],[CC]],#REF!,5,0),"")</f>
        <v/>
      </c>
      <c r="C671" t="s">
        <v>64</v>
      </c>
      <c r="D671" t="s">
        <v>4</v>
      </c>
      <c r="E671" t="s">
        <v>373</v>
      </c>
      <c r="F671" t="s">
        <v>586</v>
      </c>
      <c r="G671" s="110">
        <v>4173</v>
      </c>
      <c r="H671" s="12">
        <v>45778</v>
      </c>
      <c r="I671" s="24">
        <v>162071.75</v>
      </c>
      <c r="J671" s="24">
        <v>146431.82999999999</v>
      </c>
      <c r="K671" s="3">
        <v>45852</v>
      </c>
      <c r="L671" s="91">
        <v>45866</v>
      </c>
      <c r="M671" s="11">
        <v>45869</v>
      </c>
      <c r="N671" s="18" t="s">
        <v>588</v>
      </c>
      <c r="O671" s="34">
        <v>0</v>
      </c>
      <c r="P671"/>
      <c r="Q671" t="s">
        <v>55</v>
      </c>
      <c r="R671" t="s">
        <v>183</v>
      </c>
      <c r="S671" t="str">
        <f>IFERROR(VLOOKUP(Tabela1[[#This Row],[CC]],CC!$A$1:$H$403,8,0),"")</f>
        <v>OP1</v>
      </c>
    </row>
    <row r="672" spans="1:19" x14ac:dyDescent="0.3">
      <c r="A672" s="8">
        <v>1298</v>
      </c>
      <c r="B672" s="8" t="str">
        <f>IFERROR(VLOOKUP(Tabela1[[#This Row],[CC]],#REF!,5,0),"")</f>
        <v/>
      </c>
      <c r="C672" t="str">
        <f>IFERROR(VLOOKUP(Tabela1[[#This Row],[CC]],CC!$A$1:$H$389,7,0),"")</f>
        <v>JOSÉ NETO</v>
      </c>
      <c r="D672" t="s">
        <v>17</v>
      </c>
      <c r="E672" t="s">
        <v>273</v>
      </c>
      <c r="F672" t="s">
        <v>586</v>
      </c>
      <c r="G672" s="110">
        <v>1267</v>
      </c>
      <c r="H672" s="12">
        <v>45778</v>
      </c>
      <c r="I672" s="24">
        <v>275594.28999999998</v>
      </c>
      <c r="J672" s="24">
        <v>258645.25</v>
      </c>
      <c r="K672" s="3">
        <v>45824</v>
      </c>
      <c r="L672" s="91">
        <v>45831</v>
      </c>
      <c r="M672" s="11">
        <v>45835</v>
      </c>
      <c r="N672" s="18" t="s">
        <v>588</v>
      </c>
      <c r="O672" s="34">
        <v>0</v>
      </c>
      <c r="P672"/>
      <c r="Q672" t="s">
        <v>58</v>
      </c>
      <c r="R672" t="s">
        <v>195</v>
      </c>
      <c r="S672" t="str">
        <f>IFERROR(VLOOKUP(Tabela1[[#This Row],[CC]],CC!$A$1:$H$403,8,0),"")</f>
        <v>OP2</v>
      </c>
    </row>
    <row r="673" spans="1:19" x14ac:dyDescent="0.3">
      <c r="A673" s="8">
        <v>1289</v>
      </c>
      <c r="B673" s="8" t="str">
        <f>IFERROR(VLOOKUP(Tabela1[[#This Row],[CC]],#REF!,5,0),"")</f>
        <v/>
      </c>
      <c r="C673" t="s">
        <v>60</v>
      </c>
      <c r="D673" t="s">
        <v>15</v>
      </c>
      <c r="E673" t="s">
        <v>263</v>
      </c>
      <c r="F673" t="s">
        <v>586</v>
      </c>
      <c r="G673" s="110">
        <v>8368</v>
      </c>
      <c r="H673" s="12">
        <v>45778</v>
      </c>
      <c r="I673" s="24">
        <v>288631.78000000003</v>
      </c>
      <c r="J673" s="10">
        <v>269004.81</v>
      </c>
      <c r="K673" s="3">
        <v>45818</v>
      </c>
      <c r="L673" s="91">
        <v>45831</v>
      </c>
      <c r="M673" s="11">
        <v>45831</v>
      </c>
      <c r="N673" s="18" t="s">
        <v>588</v>
      </c>
      <c r="O673" s="34"/>
      <c r="P673"/>
      <c r="Q673" t="s">
        <v>58</v>
      </c>
      <c r="R673" t="s">
        <v>195</v>
      </c>
      <c r="S673" t="str">
        <f>IFERROR(VLOOKUP(Tabela1[[#This Row],[CC]],CC!$A$1:$H$403,8,0),"")</f>
        <v>OP3</v>
      </c>
    </row>
    <row r="674" spans="1:19" x14ac:dyDescent="0.3">
      <c r="A674" s="25">
        <v>1288</v>
      </c>
      <c r="B674" s="25" t="str">
        <f>IFERROR(VLOOKUP(Tabela1[[#This Row],[CC]],#REF!,5,0),"")</f>
        <v/>
      </c>
      <c r="C674" t="s">
        <v>60</v>
      </c>
      <c r="D674" t="s">
        <v>15</v>
      </c>
      <c r="E674" t="s">
        <v>262</v>
      </c>
      <c r="F674" t="s">
        <v>586</v>
      </c>
      <c r="G674" s="110">
        <v>8364</v>
      </c>
      <c r="H674" s="12">
        <v>45778</v>
      </c>
      <c r="I674" s="24">
        <v>393627.06</v>
      </c>
      <c r="J674" s="24">
        <v>366860.42</v>
      </c>
      <c r="K674" s="3">
        <v>45814</v>
      </c>
      <c r="L674" s="91">
        <v>45831</v>
      </c>
      <c r="M674" s="11">
        <v>45831</v>
      </c>
      <c r="N674" s="18" t="s">
        <v>588</v>
      </c>
      <c r="O674" s="35"/>
      <c r="P674"/>
      <c r="Q674" t="s">
        <v>55</v>
      </c>
      <c r="R674" t="s">
        <v>195</v>
      </c>
      <c r="S674" t="str">
        <f>IFERROR(VLOOKUP(Tabela1[[#This Row],[CC]],CC!$A$1:$H$403,8,0),"")</f>
        <v>OP3</v>
      </c>
    </row>
    <row r="675" spans="1:19" x14ac:dyDescent="0.3">
      <c r="A675" s="25">
        <v>1288</v>
      </c>
      <c r="B675" s="25" t="str">
        <f>IFERROR(VLOOKUP(Tabela1[[#This Row],[CC]],#REF!,5,0),"")</f>
        <v/>
      </c>
      <c r="C675" t="s">
        <v>60</v>
      </c>
      <c r="D675" t="s">
        <v>15</v>
      </c>
      <c r="E675" t="s">
        <v>262</v>
      </c>
      <c r="F675" t="s">
        <v>586</v>
      </c>
      <c r="G675" s="110">
        <v>8379</v>
      </c>
      <c r="H675" s="12">
        <v>45778</v>
      </c>
      <c r="I675" s="24">
        <v>219449.92</v>
      </c>
      <c r="J675" s="24">
        <v>204527.32</v>
      </c>
      <c r="K675" s="3">
        <v>45819</v>
      </c>
      <c r="L675" s="91">
        <v>45831</v>
      </c>
      <c r="M675" s="11">
        <v>45835</v>
      </c>
      <c r="N675" s="18" t="s">
        <v>588</v>
      </c>
      <c r="O675" s="35"/>
      <c r="P675"/>
      <c r="Q675" t="s">
        <v>55</v>
      </c>
      <c r="R675" t="s">
        <v>195</v>
      </c>
      <c r="S675" t="str">
        <f>IFERROR(VLOOKUP(Tabela1[[#This Row],[CC]],CC!$A$1:$H$403,8,0),"")</f>
        <v>OP3</v>
      </c>
    </row>
    <row r="676" spans="1:19" x14ac:dyDescent="0.3">
      <c r="A676" s="8">
        <v>1271</v>
      </c>
      <c r="B676" s="8" t="str">
        <f>IFERROR(VLOOKUP(Tabela1[[#This Row],[CC]],#REF!,5,0),"")</f>
        <v/>
      </c>
      <c r="C676" t="s">
        <v>60</v>
      </c>
      <c r="D676" t="s">
        <v>15</v>
      </c>
      <c r="E676" t="s">
        <v>242</v>
      </c>
      <c r="F676" t="s">
        <v>586</v>
      </c>
      <c r="G676" s="110">
        <v>8366</v>
      </c>
      <c r="H676" s="12">
        <v>45778</v>
      </c>
      <c r="I676" s="24">
        <v>255597.54</v>
      </c>
      <c r="J676" s="10">
        <v>238216.91</v>
      </c>
      <c r="K676" s="3">
        <v>45817</v>
      </c>
      <c r="L676" s="91">
        <v>45831</v>
      </c>
      <c r="M676" s="11">
        <v>45831</v>
      </c>
      <c r="N676" s="18" t="s">
        <v>588</v>
      </c>
      <c r="O676" s="34">
        <v>0</v>
      </c>
      <c r="P676"/>
      <c r="Q676" t="s">
        <v>58</v>
      </c>
      <c r="R676" t="s">
        <v>195</v>
      </c>
      <c r="S676" t="str">
        <f>IFERROR(VLOOKUP(Tabela1[[#This Row],[CC]],CC!$A$1:$H$403,8,0),"")</f>
        <v>OP3</v>
      </c>
    </row>
    <row r="677" spans="1:19" x14ac:dyDescent="0.3">
      <c r="A677" s="8">
        <v>1299</v>
      </c>
      <c r="B677" s="8" t="str">
        <f>IFERROR(VLOOKUP(Tabela1[[#This Row],[CC]],#REF!,5,0),"")</f>
        <v/>
      </c>
      <c r="C677" t="s">
        <v>60</v>
      </c>
      <c r="D677" t="s">
        <v>15</v>
      </c>
      <c r="E677" t="s">
        <v>274</v>
      </c>
      <c r="F677" t="s">
        <v>586</v>
      </c>
      <c r="G677" s="110">
        <v>8363</v>
      </c>
      <c r="H677" s="12">
        <v>45778</v>
      </c>
      <c r="I677" s="24">
        <v>1020096</v>
      </c>
      <c r="J677" s="10">
        <v>950729.47</v>
      </c>
      <c r="K677" s="3">
        <v>45814</v>
      </c>
      <c r="L677" s="91">
        <v>45824</v>
      </c>
      <c r="M677" s="11">
        <v>45825</v>
      </c>
      <c r="N677" s="18" t="s">
        <v>588</v>
      </c>
      <c r="O677" s="53">
        <v>0</v>
      </c>
      <c r="P677" s="14"/>
      <c r="Q677" t="s">
        <v>55</v>
      </c>
      <c r="R677" t="s">
        <v>195</v>
      </c>
      <c r="S677" t="str">
        <f>IFERROR(VLOOKUP(Tabela1[[#This Row],[CC]],CC!$A$1:$H$403,8,0),"")</f>
        <v>OP3</v>
      </c>
    </row>
    <row r="678" spans="1:19" x14ac:dyDescent="0.3">
      <c r="A678" s="8">
        <v>1394</v>
      </c>
      <c r="B678" s="8" t="str">
        <f>IFERROR(VLOOKUP(Tabela1[[#This Row],[CC]],#REF!,5,0),"")</f>
        <v/>
      </c>
      <c r="C678" t="s">
        <v>65</v>
      </c>
      <c r="D678" t="s">
        <v>18</v>
      </c>
      <c r="E678" t="s">
        <v>378</v>
      </c>
      <c r="F678" t="s">
        <v>586</v>
      </c>
      <c r="G678" s="110">
        <v>8361</v>
      </c>
      <c r="H678" s="12">
        <v>45778</v>
      </c>
      <c r="I678" s="24">
        <v>91705.61</v>
      </c>
      <c r="J678" s="24">
        <v>85469.63</v>
      </c>
      <c r="K678" s="3">
        <v>45814</v>
      </c>
      <c r="L678" s="91">
        <v>45824</v>
      </c>
      <c r="M678" s="5">
        <v>45824</v>
      </c>
      <c r="N678" s="21" t="s">
        <v>588</v>
      </c>
      <c r="O678" s="54">
        <v>0</v>
      </c>
      <c r="P678" s="14"/>
      <c r="Q678" t="s">
        <v>58</v>
      </c>
      <c r="R678" t="s">
        <v>195</v>
      </c>
      <c r="S678" t="str">
        <f>IFERROR(VLOOKUP(Tabela1[[#This Row],[CC]],CC!$A$1:$H$403,8,0),"")</f>
        <v>OP4</v>
      </c>
    </row>
    <row r="679" spans="1:19" x14ac:dyDescent="0.3">
      <c r="A679" s="8">
        <v>1394</v>
      </c>
      <c r="B679" s="8" t="str">
        <f>IFERROR(VLOOKUP(Tabela1[[#This Row],[CC]],#REF!,5,0),"")</f>
        <v/>
      </c>
      <c r="C679" t="s">
        <v>65</v>
      </c>
      <c r="D679" t="s">
        <v>18</v>
      </c>
      <c r="E679" t="s">
        <v>378</v>
      </c>
      <c r="F679" t="s">
        <v>586</v>
      </c>
      <c r="G679" s="110">
        <v>8367</v>
      </c>
      <c r="H679" s="12">
        <v>45778</v>
      </c>
      <c r="I679" s="24">
        <v>117291.83</v>
      </c>
      <c r="J679" s="24">
        <v>109315.98</v>
      </c>
      <c r="K679" s="3">
        <v>45817</v>
      </c>
      <c r="L679" s="91">
        <v>45831</v>
      </c>
      <c r="M679" s="5">
        <v>45835</v>
      </c>
      <c r="N679" s="21" t="s">
        <v>588</v>
      </c>
      <c r="O679" s="54">
        <v>0</v>
      </c>
      <c r="P679" s="14"/>
      <c r="Q679" t="s">
        <v>58</v>
      </c>
      <c r="R679" t="s">
        <v>195</v>
      </c>
      <c r="S679" t="str">
        <f>IFERROR(VLOOKUP(Tabela1[[#This Row],[CC]],CC!$A$1:$H$403,8,0),"")</f>
        <v>OP4</v>
      </c>
    </row>
    <row r="680" spans="1:19" x14ac:dyDescent="0.3">
      <c r="A680" s="8">
        <v>1394</v>
      </c>
      <c r="B680" s="8" t="str">
        <f>IFERROR(VLOOKUP(Tabela1[[#This Row],[CC]],#REF!,5,0),"")</f>
        <v/>
      </c>
      <c r="C680" t="s">
        <v>65</v>
      </c>
      <c r="D680" t="s">
        <v>18</v>
      </c>
      <c r="E680" t="s">
        <v>378</v>
      </c>
      <c r="F680" t="s">
        <v>586</v>
      </c>
      <c r="G680" s="110">
        <v>8377</v>
      </c>
      <c r="H680" s="12">
        <v>45778</v>
      </c>
      <c r="I680" s="24">
        <v>193066.28</v>
      </c>
      <c r="J680" s="24">
        <v>179937.77</v>
      </c>
      <c r="K680" s="3">
        <v>45819</v>
      </c>
      <c r="L680" s="91">
        <v>45839</v>
      </c>
      <c r="M680" s="5">
        <v>45839</v>
      </c>
      <c r="N680" s="21" t="s">
        <v>588</v>
      </c>
      <c r="O680" s="54">
        <v>0</v>
      </c>
      <c r="P680" s="14"/>
      <c r="Q680" t="s">
        <v>58</v>
      </c>
      <c r="R680" t="s">
        <v>195</v>
      </c>
      <c r="S680" t="str">
        <f>IFERROR(VLOOKUP(Tabela1[[#This Row],[CC]],CC!$A$1:$H$403,8,0),"")</f>
        <v>OP4</v>
      </c>
    </row>
    <row r="681" spans="1:19" x14ac:dyDescent="0.3">
      <c r="A681" s="8">
        <v>1394</v>
      </c>
      <c r="B681" s="8" t="str">
        <f>IFERROR(VLOOKUP(Tabela1[[#This Row],[CC]],#REF!,5,0),"")</f>
        <v/>
      </c>
      <c r="C681" t="s">
        <v>65</v>
      </c>
      <c r="D681" t="s">
        <v>18</v>
      </c>
      <c r="E681" t="s">
        <v>378</v>
      </c>
      <c r="F681" t="s">
        <v>586</v>
      </c>
      <c r="G681" s="110">
        <v>8378</v>
      </c>
      <c r="H681" s="12">
        <v>45778</v>
      </c>
      <c r="I681" s="24">
        <v>89335</v>
      </c>
      <c r="J681" s="24">
        <v>83260.22</v>
      </c>
      <c r="K681" s="3">
        <v>45819</v>
      </c>
      <c r="L681" s="91">
        <v>45831</v>
      </c>
      <c r="M681" s="5">
        <v>45828</v>
      </c>
      <c r="N681" s="21" t="s">
        <v>588</v>
      </c>
      <c r="O681" s="54">
        <v>0</v>
      </c>
      <c r="P681" s="14"/>
      <c r="Q681" t="s">
        <v>58</v>
      </c>
      <c r="R681" t="s">
        <v>195</v>
      </c>
      <c r="S681" t="str">
        <f>IFERROR(VLOOKUP(Tabela1[[#This Row],[CC]],CC!$A$1:$H$403,8,0),"")</f>
        <v>OP4</v>
      </c>
    </row>
    <row r="682" spans="1:19" x14ac:dyDescent="0.3">
      <c r="A682" s="8">
        <v>1394</v>
      </c>
      <c r="B682" s="8" t="str">
        <f>IFERROR(VLOOKUP(Tabela1[[#This Row],[CC]],#REF!,5,0),"")</f>
        <v/>
      </c>
      <c r="C682" t="s">
        <v>65</v>
      </c>
      <c r="D682" t="s">
        <v>18</v>
      </c>
      <c r="E682" t="s">
        <v>378</v>
      </c>
      <c r="F682" t="s">
        <v>586</v>
      </c>
      <c r="G682" s="110">
        <v>8380</v>
      </c>
      <c r="H682" s="12">
        <v>45778</v>
      </c>
      <c r="I682" s="24">
        <v>297806.21999999997</v>
      </c>
      <c r="J682" s="24">
        <v>277555.40000000002</v>
      </c>
      <c r="K682" s="3">
        <v>45819</v>
      </c>
      <c r="L682" s="91">
        <v>45838</v>
      </c>
      <c r="M682" s="5">
        <v>45838</v>
      </c>
      <c r="N682" s="21" t="s">
        <v>588</v>
      </c>
      <c r="O682" s="54">
        <v>0</v>
      </c>
      <c r="P682" s="14"/>
      <c r="Q682" t="s">
        <v>58</v>
      </c>
      <c r="R682" t="s">
        <v>195</v>
      </c>
      <c r="S682" t="str">
        <f>IFERROR(VLOOKUP(Tabela1[[#This Row],[CC]],CC!$A$1:$H$403,8,0),"")</f>
        <v>OP4</v>
      </c>
    </row>
    <row r="683" spans="1:19" x14ac:dyDescent="0.3">
      <c r="A683" s="8">
        <v>1394</v>
      </c>
      <c r="B683" s="8" t="str">
        <f>IFERROR(VLOOKUP(Tabela1[[#This Row],[CC]],#REF!,5,0),"")</f>
        <v/>
      </c>
      <c r="C683" t="s">
        <v>65</v>
      </c>
      <c r="D683" t="s">
        <v>18</v>
      </c>
      <c r="E683" t="s">
        <v>378</v>
      </c>
      <c r="F683" t="s">
        <v>586</v>
      </c>
      <c r="G683" s="110">
        <v>8382</v>
      </c>
      <c r="H683" s="12">
        <v>45778</v>
      </c>
      <c r="I683" s="24">
        <v>133850.94</v>
      </c>
      <c r="J683" s="24">
        <v>124749.07</v>
      </c>
      <c r="K683" s="3">
        <v>45821</v>
      </c>
      <c r="L683" s="91">
        <v>45839</v>
      </c>
      <c r="M683" s="5">
        <v>45840</v>
      </c>
      <c r="N683" s="21" t="s">
        <v>588</v>
      </c>
      <c r="O683" s="54">
        <v>0</v>
      </c>
      <c r="P683" s="14"/>
      <c r="Q683" t="s">
        <v>58</v>
      </c>
      <c r="R683" t="s">
        <v>195</v>
      </c>
      <c r="S683" t="str">
        <f>IFERROR(VLOOKUP(Tabela1[[#This Row],[CC]],CC!$A$1:$H$403,8,0),"")</f>
        <v>OP4</v>
      </c>
    </row>
    <row r="684" spans="1:19" x14ac:dyDescent="0.3">
      <c r="A684" s="8">
        <v>1394</v>
      </c>
      <c r="B684" s="8" t="str">
        <f>IFERROR(VLOOKUP(Tabela1[[#This Row],[CC]],#REF!,5,0),"")</f>
        <v/>
      </c>
      <c r="C684" t="s">
        <v>65</v>
      </c>
      <c r="D684" t="s">
        <v>18</v>
      </c>
      <c r="E684" t="s">
        <v>378</v>
      </c>
      <c r="F684" t="s">
        <v>586</v>
      </c>
      <c r="G684" s="110">
        <v>8393</v>
      </c>
      <c r="H684" s="12">
        <v>45778</v>
      </c>
      <c r="I684" s="24">
        <v>17881.25</v>
      </c>
      <c r="J684" s="24">
        <v>16665.32</v>
      </c>
      <c r="K684" s="3">
        <v>45833</v>
      </c>
      <c r="L684" s="91">
        <v>45852</v>
      </c>
      <c r="M684" s="5">
        <v>45855</v>
      </c>
      <c r="N684" s="21" t="s">
        <v>588</v>
      </c>
      <c r="O684" s="54">
        <v>0</v>
      </c>
      <c r="P684" s="14"/>
      <c r="Q684" t="s">
        <v>58</v>
      </c>
      <c r="R684" t="s">
        <v>195</v>
      </c>
      <c r="S684" t="str">
        <f>IFERROR(VLOOKUP(Tabela1[[#This Row],[CC]],CC!$A$1:$H$403,8,0),"")</f>
        <v>OP4</v>
      </c>
    </row>
    <row r="685" spans="1:19" x14ac:dyDescent="0.3">
      <c r="A685" s="8">
        <v>1394</v>
      </c>
      <c r="B685" s="8" t="str">
        <f>IFERROR(VLOOKUP(Tabela1[[#This Row],[CC]],#REF!,5,0),"")</f>
        <v/>
      </c>
      <c r="C685" t="s">
        <v>65</v>
      </c>
      <c r="D685" t="s">
        <v>18</v>
      </c>
      <c r="E685" t="s">
        <v>378</v>
      </c>
      <c r="F685" t="s">
        <v>586</v>
      </c>
      <c r="G685" s="110">
        <v>8396</v>
      </c>
      <c r="H685" s="12">
        <v>45778</v>
      </c>
      <c r="I685" s="24">
        <v>233745.96</v>
      </c>
      <c r="J685" s="24">
        <v>217851.23</v>
      </c>
      <c r="K685" s="3">
        <v>45835</v>
      </c>
      <c r="L685" s="91">
        <v>45852</v>
      </c>
      <c r="M685" s="5">
        <v>45854</v>
      </c>
      <c r="N685" s="21" t="s">
        <v>588</v>
      </c>
      <c r="O685" s="54">
        <v>0</v>
      </c>
      <c r="P685" s="14"/>
      <c r="Q685" t="s">
        <v>58</v>
      </c>
      <c r="R685" t="s">
        <v>195</v>
      </c>
      <c r="S685" t="str">
        <f>IFERROR(VLOOKUP(Tabela1[[#This Row],[CC]],CC!$A$1:$H$403,8,0),"")</f>
        <v>OP4</v>
      </c>
    </row>
    <row r="686" spans="1:19" x14ac:dyDescent="0.3">
      <c r="A686" s="25">
        <v>1500</v>
      </c>
      <c r="B686" s="25" t="str">
        <f>IFERROR(VLOOKUP(Tabela1[[#This Row],[CC]],#REF!,5,0),"")</f>
        <v/>
      </c>
      <c r="C686" t="s">
        <v>32</v>
      </c>
      <c r="D686" t="s">
        <v>24</v>
      </c>
      <c r="E686" t="s">
        <v>506</v>
      </c>
      <c r="F686" t="s">
        <v>586</v>
      </c>
      <c r="G686" s="110">
        <v>4082</v>
      </c>
      <c r="H686" s="12">
        <v>45778</v>
      </c>
      <c r="I686" s="24">
        <v>31621.38</v>
      </c>
      <c r="J686" s="24">
        <v>29676.67</v>
      </c>
      <c r="K686" s="3">
        <v>45812</v>
      </c>
      <c r="L686" s="91">
        <v>45831</v>
      </c>
      <c r="M686" s="11">
        <v>45833</v>
      </c>
      <c r="N686" s="18" t="s">
        <v>588</v>
      </c>
      <c r="O686" s="35"/>
      <c r="P686"/>
      <c r="Q686" t="s">
        <v>57</v>
      </c>
      <c r="R686" t="s">
        <v>231</v>
      </c>
      <c r="S686" t="str">
        <f>IFERROR(VLOOKUP(Tabela1[[#This Row],[CC]],CC!$A$1:$H$403,8,0),"")</f>
        <v>OP1</v>
      </c>
    </row>
    <row r="687" spans="1:19" x14ac:dyDescent="0.3">
      <c r="A687" s="25">
        <v>1360</v>
      </c>
      <c r="B687" s="25" t="str">
        <f>IFERROR(VLOOKUP(Tabela1[[#This Row],[CC]],#REF!,5,0),"")</f>
        <v/>
      </c>
      <c r="C687" t="s">
        <v>32</v>
      </c>
      <c r="D687" t="s">
        <v>24</v>
      </c>
      <c r="E687" t="s">
        <v>338</v>
      </c>
      <c r="F687" t="s">
        <v>586</v>
      </c>
      <c r="G687" s="110">
        <v>4040</v>
      </c>
      <c r="H687" s="12">
        <v>45778</v>
      </c>
      <c r="I687" s="24">
        <v>54348.800000000003</v>
      </c>
      <c r="J687" s="27">
        <v>51006.35</v>
      </c>
      <c r="K687" s="3">
        <v>45797</v>
      </c>
      <c r="L687" s="91">
        <v>45831</v>
      </c>
      <c r="M687" s="11">
        <v>45833</v>
      </c>
      <c r="N687" s="18" t="s">
        <v>588</v>
      </c>
      <c r="O687" s="35"/>
      <c r="P687"/>
      <c r="Q687" t="s">
        <v>55</v>
      </c>
      <c r="R687" t="s">
        <v>231</v>
      </c>
      <c r="S687" t="str">
        <f>IFERROR(VLOOKUP(Tabela1[[#This Row],[CC]],CC!$A$1:$H$403,8,0),"")</f>
        <v>OP1</v>
      </c>
    </row>
    <row r="688" spans="1:19" x14ac:dyDescent="0.3">
      <c r="A688" s="25">
        <v>1360</v>
      </c>
      <c r="B688" s="25" t="str">
        <f>IFERROR(VLOOKUP(Tabela1[[#This Row],[CC]],#REF!,5,0),"")</f>
        <v/>
      </c>
      <c r="C688" t="s">
        <v>32</v>
      </c>
      <c r="D688" t="s">
        <v>24</v>
      </c>
      <c r="E688" t="s">
        <v>338</v>
      </c>
      <c r="F688" t="s">
        <v>586</v>
      </c>
      <c r="G688" s="110">
        <v>4038</v>
      </c>
      <c r="H688" s="12">
        <v>45778</v>
      </c>
      <c r="I688" s="24">
        <v>174774.39999999999</v>
      </c>
      <c r="J688" s="27">
        <v>164025.78</v>
      </c>
      <c r="K688" s="3">
        <v>45797</v>
      </c>
      <c r="L688" s="91">
        <v>45831</v>
      </c>
      <c r="M688" s="11">
        <v>45833</v>
      </c>
      <c r="N688" s="18" t="s">
        <v>588</v>
      </c>
      <c r="O688" s="35"/>
      <c r="P688"/>
      <c r="Q688" t="s">
        <v>55</v>
      </c>
      <c r="R688" t="s">
        <v>231</v>
      </c>
      <c r="S688" t="str">
        <f>IFERROR(VLOOKUP(Tabela1[[#This Row],[CC]],CC!$A$1:$H$403,8,0),"")</f>
        <v>OP1</v>
      </c>
    </row>
    <row r="689" spans="1:19" x14ac:dyDescent="0.3">
      <c r="A689" s="25">
        <v>1360</v>
      </c>
      <c r="B689" s="25" t="str">
        <f>IFERROR(VLOOKUP(Tabela1[[#This Row],[CC]],#REF!,5,0),"")</f>
        <v/>
      </c>
      <c r="C689" t="s">
        <v>32</v>
      </c>
      <c r="D689" t="s">
        <v>24</v>
      </c>
      <c r="E689" t="s">
        <v>338</v>
      </c>
      <c r="F689" t="s">
        <v>586</v>
      </c>
      <c r="G689" s="110">
        <v>4045</v>
      </c>
      <c r="H689" s="12">
        <v>45778</v>
      </c>
      <c r="I689" s="24">
        <v>72457.600000000006</v>
      </c>
      <c r="J689" s="27">
        <v>68001.460000000006</v>
      </c>
      <c r="K689" s="3">
        <v>45798</v>
      </c>
      <c r="L689" s="93">
        <v>45831</v>
      </c>
      <c r="M689" s="11">
        <v>45833</v>
      </c>
      <c r="N689" s="18" t="s">
        <v>588</v>
      </c>
      <c r="O689" s="35"/>
      <c r="P689"/>
      <c r="Q689" t="s">
        <v>55</v>
      </c>
      <c r="R689" t="s">
        <v>231</v>
      </c>
      <c r="S689" t="str">
        <f>IFERROR(VLOOKUP(Tabela1[[#This Row],[CC]],CC!$A$1:$H$403,8,0),"")</f>
        <v>OP1</v>
      </c>
    </row>
    <row r="690" spans="1:19" x14ac:dyDescent="0.3">
      <c r="A690" s="25">
        <v>1360</v>
      </c>
      <c r="B690" s="25" t="str">
        <f>IFERROR(VLOOKUP(Tabela1[[#This Row],[CC]],#REF!,5,0),"")</f>
        <v/>
      </c>
      <c r="C690" t="s">
        <v>32</v>
      </c>
      <c r="D690" t="s">
        <v>24</v>
      </c>
      <c r="E690" t="s">
        <v>338</v>
      </c>
      <c r="F690" t="s">
        <v>586</v>
      </c>
      <c r="G690" s="110">
        <v>4044</v>
      </c>
      <c r="H690" s="12">
        <v>45778</v>
      </c>
      <c r="I690" s="24">
        <v>26224</v>
      </c>
      <c r="J690" s="27">
        <v>24611.22</v>
      </c>
      <c r="K690" s="3">
        <v>45798</v>
      </c>
      <c r="L690" s="93">
        <v>45831</v>
      </c>
      <c r="M690" s="11">
        <v>45833</v>
      </c>
      <c r="N690" s="18" t="s">
        <v>588</v>
      </c>
      <c r="O690" s="35"/>
      <c r="P690"/>
      <c r="Q690" t="s">
        <v>55</v>
      </c>
      <c r="R690" t="s">
        <v>231</v>
      </c>
      <c r="S690" t="str">
        <f>IFERROR(VLOOKUP(Tabela1[[#This Row],[CC]],CC!$A$1:$H$403,8,0),"")</f>
        <v>OP1</v>
      </c>
    </row>
    <row r="691" spans="1:19" x14ac:dyDescent="0.3">
      <c r="A691" s="25">
        <v>1360</v>
      </c>
      <c r="B691" s="25" t="str">
        <f>IFERROR(VLOOKUP(Tabela1[[#This Row],[CC]],#REF!,5,0),"")</f>
        <v/>
      </c>
      <c r="C691" t="s">
        <v>32</v>
      </c>
      <c r="D691" t="s">
        <v>24</v>
      </c>
      <c r="E691" t="s">
        <v>338</v>
      </c>
      <c r="F691" t="s">
        <v>586</v>
      </c>
      <c r="G691" s="110">
        <v>4042</v>
      </c>
      <c r="H691" s="12">
        <v>45778</v>
      </c>
      <c r="I691" s="24">
        <v>37369.599999999999</v>
      </c>
      <c r="J691" s="27">
        <v>35071.370000000003</v>
      </c>
      <c r="K691" s="3">
        <v>45798</v>
      </c>
      <c r="L691" s="93">
        <v>45831</v>
      </c>
      <c r="M691" s="11">
        <v>45833</v>
      </c>
      <c r="N691" s="18" t="s">
        <v>588</v>
      </c>
      <c r="O691" s="35"/>
      <c r="P691"/>
      <c r="Q691" t="s">
        <v>55</v>
      </c>
      <c r="R691" t="s">
        <v>231</v>
      </c>
      <c r="S691" t="str">
        <f>IFERROR(VLOOKUP(Tabela1[[#This Row],[CC]],CC!$A$1:$H$403,8,0),"")</f>
        <v>OP1</v>
      </c>
    </row>
    <row r="692" spans="1:19" x14ac:dyDescent="0.3">
      <c r="A692" s="25">
        <v>1360</v>
      </c>
      <c r="B692" s="25" t="str">
        <f>IFERROR(VLOOKUP(Tabela1[[#This Row],[CC]],#REF!,5,0),"")</f>
        <v/>
      </c>
      <c r="C692" t="s">
        <v>32</v>
      </c>
      <c r="D692" t="s">
        <v>24</v>
      </c>
      <c r="E692" t="s">
        <v>338</v>
      </c>
      <c r="F692" t="s">
        <v>586</v>
      </c>
      <c r="G692" s="110">
        <v>4041</v>
      </c>
      <c r="H692" s="12">
        <v>45778</v>
      </c>
      <c r="I692" s="24">
        <v>37369.599999999999</v>
      </c>
      <c r="J692" s="27">
        <v>35071.370000000003</v>
      </c>
      <c r="K692" s="3">
        <v>45798</v>
      </c>
      <c r="L692" s="93">
        <v>45831</v>
      </c>
      <c r="M692" s="11">
        <v>45833</v>
      </c>
      <c r="N692" s="18" t="s">
        <v>588</v>
      </c>
      <c r="O692" s="35"/>
      <c r="P692"/>
      <c r="Q692" t="s">
        <v>55</v>
      </c>
      <c r="R692" t="s">
        <v>231</v>
      </c>
      <c r="S692" t="str">
        <f>IFERROR(VLOOKUP(Tabela1[[#This Row],[CC]],CC!$A$1:$H$403,8,0),"")</f>
        <v>OP1</v>
      </c>
    </row>
    <row r="693" spans="1:19" x14ac:dyDescent="0.3">
      <c r="A693" s="25">
        <v>1360</v>
      </c>
      <c r="B693" s="25" t="str">
        <f>IFERROR(VLOOKUP(Tabela1[[#This Row],[CC]],#REF!,5,0),"")</f>
        <v/>
      </c>
      <c r="C693" t="s">
        <v>32</v>
      </c>
      <c r="D693" t="s">
        <v>24</v>
      </c>
      <c r="E693" t="s">
        <v>338</v>
      </c>
      <c r="F693" t="s">
        <v>586</v>
      </c>
      <c r="G693" s="110">
        <v>4059</v>
      </c>
      <c r="H693" s="12">
        <v>45778</v>
      </c>
      <c r="I693" s="24">
        <v>65704</v>
      </c>
      <c r="J693" s="27">
        <v>61663.199999999997</v>
      </c>
      <c r="K693" s="3">
        <v>45799</v>
      </c>
      <c r="L693" s="93">
        <v>45831</v>
      </c>
      <c r="M693" s="11">
        <v>45833</v>
      </c>
      <c r="N693" s="18" t="s">
        <v>588</v>
      </c>
      <c r="O693" s="35"/>
      <c r="P693"/>
      <c r="Q693" t="s">
        <v>55</v>
      </c>
      <c r="R693" t="s">
        <v>231</v>
      </c>
      <c r="S693" t="str">
        <f>IFERROR(VLOOKUP(Tabela1[[#This Row],[CC]],CC!$A$1:$H$403,8,0),"")</f>
        <v>OP1</v>
      </c>
    </row>
    <row r="694" spans="1:19" x14ac:dyDescent="0.3">
      <c r="A694" s="25">
        <v>1360</v>
      </c>
      <c r="B694" s="25" t="str">
        <f>IFERROR(VLOOKUP(Tabela1[[#This Row],[CC]],#REF!,5,0),"")</f>
        <v/>
      </c>
      <c r="C694" t="s">
        <v>32</v>
      </c>
      <c r="D694" t="s">
        <v>24</v>
      </c>
      <c r="E694" t="s">
        <v>338</v>
      </c>
      <c r="F694" t="s">
        <v>586</v>
      </c>
      <c r="G694" s="110">
        <v>4062</v>
      </c>
      <c r="H694" s="12">
        <v>45778</v>
      </c>
      <c r="I694" s="24">
        <v>30880</v>
      </c>
      <c r="J694" s="27">
        <v>28980.880000000001</v>
      </c>
      <c r="K694" s="3">
        <v>45800</v>
      </c>
      <c r="L694" s="93">
        <v>45831</v>
      </c>
      <c r="M694" s="11">
        <v>45833</v>
      </c>
      <c r="N694" s="18" t="s">
        <v>588</v>
      </c>
      <c r="O694" s="35"/>
      <c r="P694"/>
      <c r="Q694" t="s">
        <v>55</v>
      </c>
      <c r="R694" t="s">
        <v>231</v>
      </c>
      <c r="S694" t="str">
        <f>IFERROR(VLOOKUP(Tabela1[[#This Row],[CC]],CC!$A$1:$H$403,8,0),"")</f>
        <v>OP1</v>
      </c>
    </row>
    <row r="695" spans="1:19" x14ac:dyDescent="0.3">
      <c r="A695" s="25">
        <v>1360</v>
      </c>
      <c r="B695" s="25" t="str">
        <f>IFERROR(VLOOKUP(Tabela1[[#This Row],[CC]],#REF!,5,0),"")</f>
        <v/>
      </c>
      <c r="C695" t="s">
        <v>32</v>
      </c>
      <c r="D695" t="s">
        <v>24</v>
      </c>
      <c r="E695" t="s">
        <v>338</v>
      </c>
      <c r="F695" t="s">
        <v>586</v>
      </c>
      <c r="G695" s="110">
        <v>4071</v>
      </c>
      <c r="H695" s="12">
        <v>45778</v>
      </c>
      <c r="I695" s="24">
        <v>81404.800000000003</v>
      </c>
      <c r="J695" s="27">
        <v>76398.41</v>
      </c>
      <c r="K695" s="3">
        <v>45807</v>
      </c>
      <c r="L695" s="93">
        <v>45831</v>
      </c>
      <c r="M695" s="11">
        <v>45833</v>
      </c>
      <c r="N695" s="18" t="s">
        <v>588</v>
      </c>
      <c r="O695" s="35"/>
      <c r="P695"/>
      <c r="Q695" t="s">
        <v>55</v>
      </c>
      <c r="R695" t="s">
        <v>231</v>
      </c>
      <c r="S695" t="str">
        <f>IFERROR(VLOOKUP(Tabela1[[#This Row],[CC]],CC!$A$1:$H$403,8,0),"")</f>
        <v>OP1</v>
      </c>
    </row>
    <row r="696" spans="1:19" x14ac:dyDescent="0.3">
      <c r="A696" s="25">
        <v>1360</v>
      </c>
      <c r="B696" s="25" t="str">
        <f>IFERROR(VLOOKUP(Tabela1[[#This Row],[CC]],#REF!,5,0),"")</f>
        <v/>
      </c>
      <c r="C696" t="s">
        <v>32</v>
      </c>
      <c r="D696" t="s">
        <v>24</v>
      </c>
      <c r="E696" t="s">
        <v>338</v>
      </c>
      <c r="F696" t="s">
        <v>586</v>
      </c>
      <c r="G696" s="110">
        <v>4072</v>
      </c>
      <c r="H696" s="12">
        <v>45778</v>
      </c>
      <c r="I696" s="24">
        <v>53936</v>
      </c>
      <c r="J696" s="27">
        <v>50618.94</v>
      </c>
      <c r="K696" s="3">
        <v>45807</v>
      </c>
      <c r="L696" s="93">
        <v>45831</v>
      </c>
      <c r="M696" s="11">
        <v>45833</v>
      </c>
      <c r="N696" s="18" t="s">
        <v>588</v>
      </c>
      <c r="O696" s="35"/>
      <c r="P696"/>
      <c r="Q696" t="s">
        <v>55</v>
      </c>
      <c r="R696" t="s">
        <v>231</v>
      </c>
      <c r="S696" t="str">
        <f>IFERROR(VLOOKUP(Tabela1[[#This Row],[CC]],CC!$A$1:$H$403,8,0),"")</f>
        <v>OP1</v>
      </c>
    </row>
    <row r="697" spans="1:19" x14ac:dyDescent="0.3">
      <c r="A697" s="25">
        <v>1360</v>
      </c>
      <c r="B697" s="25" t="str">
        <f>IFERROR(VLOOKUP(Tabela1[[#This Row],[CC]],#REF!,5,0),"")</f>
        <v/>
      </c>
      <c r="C697" t="s">
        <v>32</v>
      </c>
      <c r="D697" t="s">
        <v>24</v>
      </c>
      <c r="E697" t="s">
        <v>338</v>
      </c>
      <c r="F697" t="s">
        <v>586</v>
      </c>
      <c r="G697" s="110">
        <v>4102</v>
      </c>
      <c r="H697" s="12">
        <v>45778</v>
      </c>
      <c r="I697" s="24">
        <v>104232</v>
      </c>
      <c r="J697" s="27">
        <v>97821.73</v>
      </c>
      <c r="K697" s="3">
        <v>45817</v>
      </c>
      <c r="L697" s="93">
        <v>45831</v>
      </c>
      <c r="M697" s="11">
        <v>45833</v>
      </c>
      <c r="N697" s="18" t="s">
        <v>588</v>
      </c>
      <c r="O697" s="35"/>
      <c r="P697"/>
      <c r="Q697" t="s">
        <v>55</v>
      </c>
      <c r="R697" t="s">
        <v>231</v>
      </c>
      <c r="S697" t="str">
        <f>IFERROR(VLOOKUP(Tabela1[[#This Row],[CC]],CC!$A$1:$H$403,8,0),"")</f>
        <v>OP1</v>
      </c>
    </row>
    <row r="698" spans="1:19" x14ac:dyDescent="0.3">
      <c r="A698" s="25">
        <v>1360</v>
      </c>
      <c r="B698" s="25" t="str">
        <f>IFERROR(VLOOKUP(Tabela1[[#This Row],[CC]],#REF!,5,0),"")</f>
        <v/>
      </c>
      <c r="C698" t="s">
        <v>32</v>
      </c>
      <c r="D698" t="s">
        <v>24</v>
      </c>
      <c r="E698" t="s">
        <v>338</v>
      </c>
      <c r="F698" t="s">
        <v>586</v>
      </c>
      <c r="G698" s="110">
        <v>4127</v>
      </c>
      <c r="H698" s="12">
        <v>45778</v>
      </c>
      <c r="I698" s="24">
        <v>43676.800000000003</v>
      </c>
      <c r="J698" s="27">
        <v>40990.68</v>
      </c>
      <c r="K698" s="3">
        <v>45820</v>
      </c>
      <c r="L698" s="93">
        <v>45831</v>
      </c>
      <c r="M698" s="11">
        <v>45833</v>
      </c>
      <c r="N698" s="18" t="s">
        <v>588</v>
      </c>
      <c r="O698" s="35"/>
      <c r="P698"/>
      <c r="Q698" t="s">
        <v>55</v>
      </c>
      <c r="R698" t="s">
        <v>231</v>
      </c>
      <c r="S698" t="str">
        <f>IFERROR(VLOOKUP(Tabela1[[#This Row],[CC]],CC!$A$1:$H$403,8,0),"")</f>
        <v>OP1</v>
      </c>
    </row>
    <row r="699" spans="1:19" x14ac:dyDescent="0.3">
      <c r="A699" s="25">
        <v>1387</v>
      </c>
      <c r="B699" s="25" t="str">
        <f>IFERROR(VLOOKUP(Tabela1[[#This Row],[CC]],#REF!,5,0),"")</f>
        <v/>
      </c>
      <c r="C699" t="s">
        <v>32</v>
      </c>
      <c r="D699" t="s">
        <v>24</v>
      </c>
      <c r="E699" t="s">
        <v>372</v>
      </c>
      <c r="F699" t="s">
        <v>586</v>
      </c>
      <c r="G699" s="110">
        <v>4039</v>
      </c>
      <c r="H699" s="12">
        <v>45778</v>
      </c>
      <c r="I699" s="24">
        <v>28390.32</v>
      </c>
      <c r="J699" s="27">
        <v>26644.32</v>
      </c>
      <c r="K699" s="3">
        <v>45797</v>
      </c>
      <c r="L699" s="93">
        <v>45831</v>
      </c>
      <c r="M699" s="11">
        <v>45833</v>
      </c>
      <c r="N699" s="18" t="s">
        <v>588</v>
      </c>
      <c r="O699" s="35"/>
      <c r="P699"/>
      <c r="Q699" t="s">
        <v>58</v>
      </c>
      <c r="R699" t="s">
        <v>231</v>
      </c>
      <c r="S699" t="str">
        <f>IFERROR(VLOOKUP(Tabela1[[#This Row],[CC]],CC!$A$1:$H$403,8,0),"")</f>
        <v>OP1</v>
      </c>
    </row>
    <row r="700" spans="1:19" x14ac:dyDescent="0.3">
      <c r="A700" s="25">
        <v>1387</v>
      </c>
      <c r="B700" s="25" t="str">
        <f>IFERROR(VLOOKUP(Tabela1[[#This Row],[CC]],#REF!,5,0),"")</f>
        <v/>
      </c>
      <c r="C700" t="s">
        <v>32</v>
      </c>
      <c r="D700" t="s">
        <v>24</v>
      </c>
      <c r="E700" t="s">
        <v>372</v>
      </c>
      <c r="F700" t="s">
        <v>586</v>
      </c>
      <c r="G700" s="110">
        <v>4057</v>
      </c>
      <c r="H700" s="12">
        <v>45778</v>
      </c>
      <c r="I700" s="24">
        <v>32288</v>
      </c>
      <c r="J700" s="27">
        <v>30302.29</v>
      </c>
      <c r="K700" s="3">
        <v>45798</v>
      </c>
      <c r="L700" s="93">
        <v>45831</v>
      </c>
      <c r="M700" s="11">
        <v>45833</v>
      </c>
      <c r="N700" s="18" t="s">
        <v>588</v>
      </c>
      <c r="O700" s="35"/>
      <c r="P700"/>
      <c r="Q700" t="s">
        <v>58</v>
      </c>
      <c r="R700" t="s">
        <v>231</v>
      </c>
      <c r="S700" t="str">
        <f>IFERROR(VLOOKUP(Tabela1[[#This Row],[CC]],CC!$A$1:$H$403,8,0),"")</f>
        <v>OP1</v>
      </c>
    </row>
    <row r="701" spans="1:19" x14ac:dyDescent="0.3">
      <c r="A701" s="25">
        <v>1387</v>
      </c>
      <c r="B701" s="25" t="str">
        <f>IFERROR(VLOOKUP(Tabela1[[#This Row],[CC]],#REF!,5,0),"")</f>
        <v/>
      </c>
      <c r="C701" t="s">
        <v>32</v>
      </c>
      <c r="D701" t="s">
        <v>24</v>
      </c>
      <c r="E701" t="s">
        <v>372</v>
      </c>
      <c r="F701" t="s">
        <v>586</v>
      </c>
      <c r="G701" s="110">
        <v>4055</v>
      </c>
      <c r="H701" s="12">
        <v>45778</v>
      </c>
      <c r="I701" s="24">
        <v>27535.200000000001</v>
      </c>
      <c r="J701" s="27">
        <v>25841.78</v>
      </c>
      <c r="K701" s="3">
        <v>45798</v>
      </c>
      <c r="L701" s="93">
        <v>45831</v>
      </c>
      <c r="M701" s="11">
        <v>45833</v>
      </c>
      <c r="N701" s="18" t="s">
        <v>588</v>
      </c>
      <c r="O701" s="35"/>
      <c r="P701"/>
      <c r="Q701" t="s">
        <v>58</v>
      </c>
      <c r="R701" t="s">
        <v>231</v>
      </c>
      <c r="S701" t="str">
        <f>IFERROR(VLOOKUP(Tabela1[[#This Row],[CC]],CC!$A$1:$H$403,8,0),"")</f>
        <v>OP1</v>
      </c>
    </row>
    <row r="702" spans="1:19" x14ac:dyDescent="0.3">
      <c r="A702" s="25">
        <v>1387</v>
      </c>
      <c r="B702" s="25" t="str">
        <f>IFERROR(VLOOKUP(Tabela1[[#This Row],[CC]],#REF!,5,0),"")</f>
        <v/>
      </c>
      <c r="C702" t="s">
        <v>32</v>
      </c>
      <c r="D702" t="s">
        <v>24</v>
      </c>
      <c r="E702" t="s">
        <v>372</v>
      </c>
      <c r="F702" t="s">
        <v>586</v>
      </c>
      <c r="G702" s="110">
        <v>4101</v>
      </c>
      <c r="H702" s="12">
        <v>45778</v>
      </c>
      <c r="I702" s="24">
        <v>77455.199999999997</v>
      </c>
      <c r="J702" s="27">
        <v>72691.7</v>
      </c>
      <c r="K702" s="3">
        <v>45817</v>
      </c>
      <c r="L702" s="91">
        <v>45831</v>
      </c>
      <c r="M702" s="11">
        <v>45833</v>
      </c>
      <c r="N702" s="18" t="s">
        <v>588</v>
      </c>
      <c r="O702" s="35"/>
      <c r="P702"/>
      <c r="Q702" t="s">
        <v>58</v>
      </c>
      <c r="R702" t="s">
        <v>231</v>
      </c>
      <c r="S702" t="str">
        <f>IFERROR(VLOOKUP(Tabela1[[#This Row],[CC]],CC!$A$1:$H$403,8,0),"")</f>
        <v>OP1</v>
      </c>
    </row>
    <row r="703" spans="1:19" x14ac:dyDescent="0.3">
      <c r="A703" s="25">
        <v>1470</v>
      </c>
      <c r="B703" s="25" t="str">
        <f>IFERROR(VLOOKUP(Tabela1[[#This Row],[CC]],#REF!,5,0),"")</f>
        <v/>
      </c>
      <c r="C703" t="s">
        <v>67</v>
      </c>
      <c r="D703" t="s">
        <v>44</v>
      </c>
      <c r="E703" t="s">
        <v>475</v>
      </c>
      <c r="F703" t="s">
        <v>586</v>
      </c>
      <c r="G703" s="110">
        <v>8355</v>
      </c>
      <c r="H703" s="12">
        <v>45778</v>
      </c>
      <c r="I703" s="24">
        <v>36700</v>
      </c>
      <c r="J703" s="24">
        <v>33708.949999999997</v>
      </c>
      <c r="K703" s="3">
        <v>45811</v>
      </c>
      <c r="L703" s="91">
        <v>45824</v>
      </c>
      <c r="M703" s="11">
        <v>45824</v>
      </c>
      <c r="N703" s="18" t="s">
        <v>588</v>
      </c>
      <c r="O703" s="35">
        <v>0</v>
      </c>
      <c r="P703" s="26"/>
      <c r="Q703" t="s">
        <v>58</v>
      </c>
      <c r="R703" t="s">
        <v>183</v>
      </c>
      <c r="S703" t="str">
        <f>IFERROR(VLOOKUP(Tabela1[[#This Row],[CC]],CC!$A$1:$H$403,8,0),"")</f>
        <v>OP4</v>
      </c>
    </row>
    <row r="704" spans="1:19" x14ac:dyDescent="0.3">
      <c r="A704" s="25">
        <v>1273</v>
      </c>
      <c r="B704" s="25" t="str">
        <f>IFERROR(VLOOKUP(Tabela1[[#This Row],[CC]],#REF!,5,0),"")</f>
        <v/>
      </c>
      <c r="C704" t="s">
        <v>60</v>
      </c>
      <c r="D704" t="s">
        <v>19</v>
      </c>
      <c r="E704" t="s">
        <v>244</v>
      </c>
      <c r="F704" t="s">
        <v>586</v>
      </c>
      <c r="G704" s="110">
        <v>1262</v>
      </c>
      <c r="H704" s="12">
        <v>45778</v>
      </c>
      <c r="I704" s="24">
        <v>647604.16</v>
      </c>
      <c r="J704" s="24">
        <v>580900.93000000005</v>
      </c>
      <c r="K704" s="3">
        <v>45821</v>
      </c>
      <c r="L704" s="91">
        <v>45839</v>
      </c>
      <c r="M704" s="11">
        <v>45842</v>
      </c>
      <c r="N704" s="18" t="s">
        <v>588</v>
      </c>
      <c r="O704" s="35">
        <v>0</v>
      </c>
      <c r="P704"/>
      <c r="Q704" t="s">
        <v>58</v>
      </c>
      <c r="R704" t="s">
        <v>195</v>
      </c>
      <c r="S704" t="str">
        <f>IFERROR(VLOOKUP(Tabela1[[#This Row],[CC]],CC!$A$1:$H$403,8,0),"")</f>
        <v>OP3</v>
      </c>
    </row>
    <row r="705" spans="1:19" x14ac:dyDescent="0.3">
      <c r="A705" s="8">
        <v>1277</v>
      </c>
      <c r="B705" s="8" t="str">
        <f>IFERROR(VLOOKUP(Tabela1[[#This Row],[CC]],#REF!,5,0),"")</f>
        <v/>
      </c>
      <c r="C705" t="s">
        <v>60</v>
      </c>
      <c r="D705" t="s">
        <v>19</v>
      </c>
      <c r="E705" t="s">
        <v>248</v>
      </c>
      <c r="F705" t="s">
        <v>586</v>
      </c>
      <c r="G705" s="110">
        <v>1261</v>
      </c>
      <c r="H705" s="12">
        <v>45778</v>
      </c>
      <c r="I705" s="24">
        <v>154365.24</v>
      </c>
      <c r="J705" s="10">
        <v>138465.63</v>
      </c>
      <c r="K705" s="3">
        <v>45818</v>
      </c>
      <c r="L705" s="91">
        <v>45839</v>
      </c>
      <c r="M705" s="11">
        <v>45842</v>
      </c>
      <c r="N705" s="18" t="s">
        <v>588</v>
      </c>
      <c r="O705" s="34">
        <v>0</v>
      </c>
      <c r="P705"/>
      <c r="Q705" t="s">
        <v>58</v>
      </c>
      <c r="R705" t="s">
        <v>195</v>
      </c>
      <c r="S705" t="str">
        <f>IFERROR(VLOOKUP(Tabela1[[#This Row],[CC]],CC!$A$1:$H$403,8,0),"")</f>
        <v>OP3</v>
      </c>
    </row>
    <row r="706" spans="1:19" x14ac:dyDescent="0.3">
      <c r="A706" s="25">
        <v>1268</v>
      </c>
      <c r="B706" s="25" t="str">
        <f>IFERROR(VLOOKUP(Tabela1[[#This Row],[CC]],#REF!,5,0),"")</f>
        <v/>
      </c>
      <c r="C706" t="s">
        <v>51</v>
      </c>
      <c r="D706" t="s">
        <v>40</v>
      </c>
      <c r="E706" t="s">
        <v>238</v>
      </c>
      <c r="F706" t="s">
        <v>586</v>
      </c>
      <c r="G706" s="110">
        <v>3998</v>
      </c>
      <c r="H706" s="12">
        <v>45778</v>
      </c>
      <c r="I706" s="24">
        <v>82737</v>
      </c>
      <c r="J706" s="27">
        <v>77648.67</v>
      </c>
      <c r="K706" s="3">
        <v>45782</v>
      </c>
      <c r="L706" s="91">
        <v>45803</v>
      </c>
      <c r="M706" s="11">
        <v>45807</v>
      </c>
      <c r="N706" s="18" t="s">
        <v>588</v>
      </c>
      <c r="O706" s="35">
        <v>0</v>
      </c>
      <c r="P706"/>
      <c r="Q706" t="s">
        <v>55</v>
      </c>
      <c r="R706" t="s">
        <v>231</v>
      </c>
      <c r="S706" t="str">
        <f>IFERROR(VLOOKUP(Tabela1[[#This Row],[CC]],CC!$A$1:$H$403,8,0),"")</f>
        <v>OP2</v>
      </c>
    </row>
    <row r="707" spans="1:19" x14ac:dyDescent="0.3">
      <c r="A707" s="25">
        <v>1268</v>
      </c>
      <c r="B707" s="25" t="str">
        <f>IFERROR(VLOOKUP(Tabela1[[#This Row],[CC]],#REF!,5,0),"")</f>
        <v/>
      </c>
      <c r="C707" t="s">
        <v>51</v>
      </c>
      <c r="D707" t="s">
        <v>40</v>
      </c>
      <c r="E707" t="s">
        <v>238</v>
      </c>
      <c r="F707" t="s">
        <v>586</v>
      </c>
      <c r="G707" s="110">
        <v>4092</v>
      </c>
      <c r="H707" s="12">
        <v>45778</v>
      </c>
      <c r="I707" s="24">
        <v>117873</v>
      </c>
      <c r="J707" s="24">
        <v>110623.81</v>
      </c>
      <c r="K707" s="3">
        <v>45817</v>
      </c>
      <c r="L707" s="91">
        <v>45831</v>
      </c>
      <c r="M707" s="11">
        <v>45832</v>
      </c>
      <c r="N707" s="18" t="s">
        <v>588</v>
      </c>
      <c r="O707" s="35">
        <v>0</v>
      </c>
      <c r="P707"/>
      <c r="Q707" t="s">
        <v>55</v>
      </c>
      <c r="R707" t="s">
        <v>231</v>
      </c>
      <c r="S707" t="str">
        <f>IFERROR(VLOOKUP(Tabela1[[#This Row],[CC]],CC!$A$1:$H$403,8,0),"")</f>
        <v>OP2</v>
      </c>
    </row>
    <row r="708" spans="1:19" x14ac:dyDescent="0.3">
      <c r="A708" s="25">
        <v>1268</v>
      </c>
      <c r="B708" s="25" t="str">
        <f>IFERROR(VLOOKUP(Tabela1[[#This Row],[CC]],#REF!,5,0),"")</f>
        <v/>
      </c>
      <c r="C708" t="s">
        <v>51</v>
      </c>
      <c r="D708" t="s">
        <v>40</v>
      </c>
      <c r="E708" t="s">
        <v>238</v>
      </c>
      <c r="F708" t="s">
        <v>586</v>
      </c>
      <c r="G708" s="107">
        <v>4121</v>
      </c>
      <c r="H708" s="12">
        <v>45778</v>
      </c>
      <c r="I708" s="24">
        <v>66317.960000000006</v>
      </c>
      <c r="J708" s="24">
        <v>62239.42</v>
      </c>
      <c r="K708" s="3">
        <v>45819</v>
      </c>
      <c r="L708" s="91">
        <v>45831</v>
      </c>
      <c r="M708" s="11">
        <v>45835</v>
      </c>
      <c r="N708" s="18" t="s">
        <v>588</v>
      </c>
      <c r="O708" s="35">
        <v>0</v>
      </c>
      <c r="P708"/>
      <c r="Q708" t="s">
        <v>55</v>
      </c>
      <c r="R708" t="s">
        <v>231</v>
      </c>
      <c r="S708" t="str">
        <f>IFERROR(VLOOKUP(Tabela1[[#This Row],[CC]],CC!$A$1:$H$403,8,0),"")</f>
        <v>OP2</v>
      </c>
    </row>
    <row r="709" spans="1:19" x14ac:dyDescent="0.3">
      <c r="A709" s="25">
        <v>1268</v>
      </c>
      <c r="B709" s="25" t="str">
        <f>IFERROR(VLOOKUP(Tabela1[[#This Row],[CC]],#REF!,5,0),"")</f>
        <v/>
      </c>
      <c r="C709" t="s">
        <v>51</v>
      </c>
      <c r="D709" t="s">
        <v>40</v>
      </c>
      <c r="E709" t="s">
        <v>238</v>
      </c>
      <c r="F709" t="s">
        <v>586</v>
      </c>
      <c r="G709" s="107">
        <v>4122</v>
      </c>
      <c r="H709" s="12">
        <v>45778</v>
      </c>
      <c r="I709" s="24">
        <v>1176952.8</v>
      </c>
      <c r="J709" s="24">
        <v>1104570.2</v>
      </c>
      <c r="K709" s="3">
        <v>45819</v>
      </c>
      <c r="L709" s="91">
        <v>45831</v>
      </c>
      <c r="M709" s="11">
        <v>45835</v>
      </c>
      <c r="N709" s="18" t="s">
        <v>588</v>
      </c>
      <c r="O709" s="35">
        <v>0</v>
      </c>
      <c r="P709"/>
      <c r="Q709" t="s">
        <v>55</v>
      </c>
      <c r="R709" t="s">
        <v>231</v>
      </c>
      <c r="S709" t="str">
        <f>IFERROR(VLOOKUP(Tabela1[[#This Row],[CC]],CC!$A$1:$H$403,8,0),"")</f>
        <v>OP2</v>
      </c>
    </row>
    <row r="710" spans="1:19" x14ac:dyDescent="0.3">
      <c r="A710" s="25">
        <v>1268</v>
      </c>
      <c r="B710" s="25" t="str">
        <f>IFERROR(VLOOKUP(Tabela1[[#This Row],[CC]],#REF!,5,0),"")</f>
        <v/>
      </c>
      <c r="C710" t="s">
        <v>51</v>
      </c>
      <c r="D710" t="s">
        <v>40</v>
      </c>
      <c r="E710" t="s">
        <v>238</v>
      </c>
      <c r="F710" t="s">
        <v>586</v>
      </c>
      <c r="G710" s="107">
        <v>4123</v>
      </c>
      <c r="H710" s="12">
        <v>45778</v>
      </c>
      <c r="I710" s="24">
        <v>90380.56</v>
      </c>
      <c r="J710" s="24">
        <v>84822.15</v>
      </c>
      <c r="K710" s="3">
        <v>45819</v>
      </c>
      <c r="L710" s="91">
        <v>45831</v>
      </c>
      <c r="M710" s="11">
        <v>45835</v>
      </c>
      <c r="N710" s="18" t="s">
        <v>588</v>
      </c>
      <c r="O710" s="35">
        <v>0</v>
      </c>
      <c r="P710"/>
      <c r="Q710" t="s">
        <v>55</v>
      </c>
      <c r="R710" t="s">
        <v>231</v>
      </c>
      <c r="S710" t="str">
        <f>IFERROR(VLOOKUP(Tabela1[[#This Row],[CC]],CC!$A$1:$H$403,8,0),"")</f>
        <v>OP2</v>
      </c>
    </row>
    <row r="711" spans="1:19" x14ac:dyDescent="0.3">
      <c r="A711" s="25">
        <v>1268</v>
      </c>
      <c r="B711" s="25" t="str">
        <f>IFERROR(VLOOKUP(Tabela1[[#This Row],[CC]],#REF!,5,0),"")</f>
        <v/>
      </c>
      <c r="C711" t="s">
        <v>51</v>
      </c>
      <c r="D711" t="s">
        <v>40</v>
      </c>
      <c r="E711" t="s">
        <v>238</v>
      </c>
      <c r="F711" t="s">
        <v>586</v>
      </c>
      <c r="G711" s="107">
        <v>4124</v>
      </c>
      <c r="H711" s="12">
        <v>45778</v>
      </c>
      <c r="I711" s="24">
        <v>50295.73</v>
      </c>
      <c r="J711" s="24">
        <v>47202.54</v>
      </c>
      <c r="K711" s="3">
        <v>45819</v>
      </c>
      <c r="L711" s="91">
        <v>45831</v>
      </c>
      <c r="M711" s="11">
        <v>45835</v>
      </c>
      <c r="N711" s="18" t="s">
        <v>588</v>
      </c>
      <c r="O711" s="35">
        <v>0</v>
      </c>
      <c r="P711"/>
      <c r="Q711" t="s">
        <v>55</v>
      </c>
      <c r="R711" t="s">
        <v>231</v>
      </c>
      <c r="S711" t="str">
        <f>IFERROR(VLOOKUP(Tabela1[[#This Row],[CC]],CC!$A$1:$H$403,8,0),"")</f>
        <v>OP2</v>
      </c>
    </row>
    <row r="712" spans="1:19" x14ac:dyDescent="0.3">
      <c r="A712" s="25">
        <v>1483</v>
      </c>
      <c r="B712" s="25" t="str">
        <f>IFERROR(VLOOKUP(Tabela1[[#This Row],[CC]],#REF!,5,0),"")</f>
        <v/>
      </c>
      <c r="C712" t="s">
        <v>67</v>
      </c>
      <c r="D712" t="s">
        <v>45</v>
      </c>
      <c r="E712" t="s">
        <v>488</v>
      </c>
      <c r="F712" t="s">
        <v>586</v>
      </c>
      <c r="G712" s="110">
        <v>8352</v>
      </c>
      <c r="H712" s="12">
        <v>45778</v>
      </c>
      <c r="I712" s="24">
        <v>53591.199999999997</v>
      </c>
      <c r="J712" s="24">
        <v>49527.08</v>
      </c>
      <c r="K712" s="3">
        <v>45811</v>
      </c>
      <c r="L712" s="91">
        <v>45845</v>
      </c>
      <c r="M712" s="11">
        <v>45846</v>
      </c>
      <c r="N712" s="18" t="s">
        <v>588</v>
      </c>
      <c r="O712" s="35">
        <v>0</v>
      </c>
      <c r="P712" s="26"/>
      <c r="Q712" t="s">
        <v>58</v>
      </c>
      <c r="R712" t="s">
        <v>183</v>
      </c>
      <c r="S712" t="str">
        <f>IFERROR(VLOOKUP(Tabela1[[#This Row],[CC]],CC!$A$1:$H$403,8,0),"")</f>
        <v>OP2</v>
      </c>
    </row>
    <row r="713" spans="1:19" x14ac:dyDescent="0.3">
      <c r="A713" s="25">
        <v>1483</v>
      </c>
      <c r="B713" s="25" t="str">
        <f>IFERROR(VLOOKUP(Tabela1[[#This Row],[CC]],#REF!,5,0),"")</f>
        <v/>
      </c>
      <c r="C713" t="s">
        <v>67</v>
      </c>
      <c r="D713" t="s">
        <v>45</v>
      </c>
      <c r="E713" t="s">
        <v>488</v>
      </c>
      <c r="F713" t="s">
        <v>586</v>
      </c>
      <c r="G713" s="110">
        <v>8353</v>
      </c>
      <c r="H713" s="12">
        <v>45778</v>
      </c>
      <c r="I713" s="24">
        <v>28856.799999999999</v>
      </c>
      <c r="J713" s="24">
        <v>25552.11</v>
      </c>
      <c r="K713" s="3">
        <v>45811</v>
      </c>
      <c r="L713" s="91">
        <v>45845</v>
      </c>
      <c r="M713" s="11">
        <v>45846</v>
      </c>
      <c r="N713" s="18" t="s">
        <v>588</v>
      </c>
      <c r="O713" s="35">
        <v>0</v>
      </c>
      <c r="P713" s="26"/>
      <c r="Q713" t="s">
        <v>58</v>
      </c>
      <c r="R713" t="s">
        <v>183</v>
      </c>
      <c r="S713" t="str">
        <f>IFERROR(VLOOKUP(Tabela1[[#This Row],[CC]],CC!$A$1:$H$403,8,0),"")</f>
        <v>OP2</v>
      </c>
    </row>
    <row r="714" spans="1:19" x14ac:dyDescent="0.3">
      <c r="A714" s="25">
        <v>1275</v>
      </c>
      <c r="B714" s="25" t="str">
        <f>IFERROR(VLOOKUP(Tabela1[[#This Row],[CC]],#REF!,5,0),"")</f>
        <v/>
      </c>
      <c r="C714" t="s">
        <v>51</v>
      </c>
      <c r="D714" t="s">
        <v>41</v>
      </c>
      <c r="E714" t="s">
        <v>246</v>
      </c>
      <c r="F714" t="s">
        <v>586</v>
      </c>
      <c r="G714" s="110">
        <v>4079</v>
      </c>
      <c r="H714" s="12">
        <v>45778</v>
      </c>
      <c r="I714" s="24">
        <v>16767.240000000002</v>
      </c>
      <c r="J714" s="24">
        <v>15736.05</v>
      </c>
      <c r="K714" s="3">
        <v>45811</v>
      </c>
      <c r="L714" s="91">
        <v>45838</v>
      </c>
      <c r="M714" s="11">
        <v>45838</v>
      </c>
      <c r="N714" s="18" t="s">
        <v>588</v>
      </c>
      <c r="O714" s="35">
        <v>0</v>
      </c>
      <c r="P714" s="26"/>
      <c r="Q714" t="s">
        <v>55</v>
      </c>
      <c r="R714" t="s">
        <v>231</v>
      </c>
      <c r="S714" t="str">
        <f>IFERROR(VLOOKUP(Tabela1[[#This Row],[CC]],CC!$A$1:$H$403,8,0),"")</f>
        <v>OP2</v>
      </c>
    </row>
    <row r="715" spans="1:19" x14ac:dyDescent="0.3">
      <c r="A715" s="25">
        <v>1479</v>
      </c>
      <c r="B715" s="25" t="str">
        <f>IFERROR(VLOOKUP(Tabela1[[#This Row],[CC]],#REF!,5,0),"")</f>
        <v/>
      </c>
      <c r="C715" t="s">
        <v>51</v>
      </c>
      <c r="D715" t="s">
        <v>41</v>
      </c>
      <c r="E715" t="s">
        <v>484</v>
      </c>
      <c r="F715" t="s">
        <v>586</v>
      </c>
      <c r="G715" s="110">
        <v>4078</v>
      </c>
      <c r="H715" s="12">
        <v>45778</v>
      </c>
      <c r="I715" s="24">
        <v>26040</v>
      </c>
      <c r="J715" s="24">
        <v>24438.54</v>
      </c>
      <c r="K715" s="3">
        <v>45811</v>
      </c>
      <c r="L715" s="91">
        <v>45838</v>
      </c>
      <c r="M715" s="11">
        <v>45838</v>
      </c>
      <c r="N715" s="18" t="s">
        <v>588</v>
      </c>
      <c r="O715" s="35">
        <v>0</v>
      </c>
      <c r="P715" s="26"/>
      <c r="Q715" t="s">
        <v>57</v>
      </c>
      <c r="R715" t="s">
        <v>231</v>
      </c>
      <c r="S715" t="str">
        <f>IFERROR(VLOOKUP(Tabela1[[#This Row],[CC]],CC!$A$1:$H$403,8,0),"")</f>
        <v>OP2</v>
      </c>
    </row>
    <row r="716" spans="1:19" x14ac:dyDescent="0.3">
      <c r="A716" s="25">
        <v>1455</v>
      </c>
      <c r="B716" s="25" t="str">
        <f>IFERROR(VLOOKUP(Tabela1[[#This Row],[CC]],#REF!,5,0),"")</f>
        <v/>
      </c>
      <c r="C716" t="s">
        <v>70</v>
      </c>
      <c r="D716" t="s">
        <v>31</v>
      </c>
      <c r="E716" t="s">
        <v>455</v>
      </c>
      <c r="F716" t="s">
        <v>586</v>
      </c>
      <c r="G716" s="110">
        <v>8399</v>
      </c>
      <c r="H716" s="12">
        <v>45809</v>
      </c>
      <c r="I716" s="24">
        <v>54003.39</v>
      </c>
      <c r="J716" s="24">
        <v>47712</v>
      </c>
      <c r="K716" s="3">
        <v>45839</v>
      </c>
      <c r="L716" s="91">
        <v>45866</v>
      </c>
      <c r="M716" s="11">
        <v>45868</v>
      </c>
      <c r="N716" s="21" t="s">
        <v>588</v>
      </c>
      <c r="O716" s="41"/>
      <c r="P716" s="26"/>
      <c r="Q716" t="s">
        <v>58</v>
      </c>
      <c r="R716" t="s">
        <v>228</v>
      </c>
      <c r="S716" t="str">
        <f>IFERROR(VLOOKUP(Tabela1[[#This Row],[CC]],CC!$A$1:$H$403,8,0),"")</f>
        <v>OP4</v>
      </c>
    </row>
    <row r="717" spans="1:19" x14ac:dyDescent="0.3">
      <c r="A717" s="25">
        <v>1455</v>
      </c>
      <c r="B717" s="25" t="str">
        <f>IFERROR(VLOOKUP(Tabela1[[#This Row],[CC]],#REF!,5,0),"")</f>
        <v/>
      </c>
      <c r="C717" t="s">
        <v>70</v>
      </c>
      <c r="D717" t="s">
        <v>31</v>
      </c>
      <c r="E717" t="s">
        <v>455</v>
      </c>
      <c r="F717" t="s">
        <v>586</v>
      </c>
      <c r="G717" s="110">
        <v>8403</v>
      </c>
      <c r="H717" s="12">
        <v>45809</v>
      </c>
      <c r="I717" s="24">
        <v>3432</v>
      </c>
      <c r="J717" s="24">
        <v>3032.17</v>
      </c>
      <c r="K717" s="3">
        <v>45839</v>
      </c>
      <c r="L717" s="91">
        <v>45866</v>
      </c>
      <c r="M717" s="11">
        <v>45868</v>
      </c>
      <c r="N717" s="21" t="s">
        <v>588</v>
      </c>
      <c r="O717" s="41"/>
      <c r="P717" s="26"/>
      <c r="Q717" t="s">
        <v>58</v>
      </c>
      <c r="R717" t="s">
        <v>228</v>
      </c>
      <c r="S717" t="str">
        <f>IFERROR(VLOOKUP(Tabela1[[#This Row],[CC]],CC!$A$1:$H$403,8,0),"")</f>
        <v>OP4</v>
      </c>
    </row>
    <row r="718" spans="1:19" x14ac:dyDescent="0.3">
      <c r="A718" s="25">
        <v>1497</v>
      </c>
      <c r="B718" s="25" t="str">
        <f>IFERROR(VLOOKUP(Tabela1[[#This Row],[CC]],#REF!,5,0),"")</f>
        <v/>
      </c>
      <c r="C718" t="s">
        <v>70</v>
      </c>
      <c r="D718" t="s">
        <v>31</v>
      </c>
      <c r="E718" t="s">
        <v>503</v>
      </c>
      <c r="F718" t="s">
        <v>586</v>
      </c>
      <c r="G718" s="110">
        <v>8417</v>
      </c>
      <c r="H718" s="12">
        <v>45809</v>
      </c>
      <c r="I718" s="24">
        <v>5472.8</v>
      </c>
      <c r="J718" s="24">
        <v>4835.22</v>
      </c>
      <c r="K718" s="3">
        <v>45846</v>
      </c>
      <c r="L718" s="91">
        <v>45866</v>
      </c>
      <c r="M718" s="11">
        <v>45868</v>
      </c>
      <c r="N718" s="21" t="s">
        <v>588</v>
      </c>
      <c r="O718" s="41"/>
      <c r="P718" s="26"/>
      <c r="Q718" t="s">
        <v>58</v>
      </c>
      <c r="R718" t="s">
        <v>228</v>
      </c>
      <c r="S718" t="str">
        <f>IFERROR(VLOOKUP(Tabela1[[#This Row],[CC]],CC!$A$1:$H$403,8,0),"")</f>
        <v>OP4</v>
      </c>
    </row>
    <row r="719" spans="1:19" x14ac:dyDescent="0.3">
      <c r="A719" s="8">
        <v>1489</v>
      </c>
      <c r="B719" s="8" t="str">
        <f>IFERROR(VLOOKUP(Tabela1[[#This Row],[CC]],#REF!,5,0),"")</f>
        <v/>
      </c>
      <c r="C719" t="s">
        <v>51</v>
      </c>
      <c r="D719" t="s">
        <v>22</v>
      </c>
      <c r="E719" t="s">
        <v>494</v>
      </c>
      <c r="F719" t="s">
        <v>586</v>
      </c>
      <c r="G719" s="110">
        <v>4152</v>
      </c>
      <c r="H719" s="12">
        <v>45809</v>
      </c>
      <c r="I719" s="24">
        <v>42812.21</v>
      </c>
      <c r="J719" s="24">
        <v>40179.26</v>
      </c>
      <c r="K719" s="3">
        <v>45841</v>
      </c>
      <c r="L719" s="91">
        <v>45873</v>
      </c>
      <c r="M719" s="11">
        <v>45873</v>
      </c>
      <c r="N719" s="18" t="s">
        <v>588</v>
      </c>
      <c r="O719" s="37"/>
      <c r="P719" s="14"/>
      <c r="Q719" t="s">
        <v>57</v>
      </c>
      <c r="R719" t="s">
        <v>231</v>
      </c>
      <c r="S719" t="str">
        <f>IFERROR(VLOOKUP(Tabela1[[#This Row],[CC]],CC!$A$1:$H$403,8,0),"")</f>
        <v>OP2</v>
      </c>
    </row>
    <row r="720" spans="1:19" x14ac:dyDescent="0.3">
      <c r="A720" s="25">
        <v>1478</v>
      </c>
      <c r="B720" s="25" t="str">
        <f>IFERROR(VLOOKUP(Tabela1[[#This Row],[CC]],#REF!,5,0),"")</f>
        <v/>
      </c>
      <c r="C720" t="s">
        <v>32</v>
      </c>
      <c r="D720" t="s">
        <v>54</v>
      </c>
      <c r="E720" t="s">
        <v>483</v>
      </c>
      <c r="F720" t="s">
        <v>586</v>
      </c>
      <c r="G720" s="110">
        <v>8414</v>
      </c>
      <c r="H720" s="12">
        <v>45809</v>
      </c>
      <c r="I720" s="24">
        <v>91208.01</v>
      </c>
      <c r="J720" s="24">
        <v>85598.720000000001</v>
      </c>
      <c r="K720" s="3">
        <v>45845</v>
      </c>
      <c r="L720" s="91">
        <v>45866</v>
      </c>
      <c r="M720" s="11">
        <v>45868</v>
      </c>
      <c r="N720" s="18" t="s">
        <v>588</v>
      </c>
      <c r="O720" s="35"/>
      <c r="P720"/>
      <c r="Q720" t="s">
        <v>55</v>
      </c>
      <c r="R720" t="s">
        <v>231</v>
      </c>
      <c r="S720" t="str">
        <f>IFERROR(VLOOKUP(Tabela1[[#This Row],[CC]],CC!$A$1:$H$403,8,0),"")</f>
        <v>OP1</v>
      </c>
    </row>
    <row r="721" spans="1:19" x14ac:dyDescent="0.3">
      <c r="A721" s="8">
        <v>1499</v>
      </c>
      <c r="B721" s="8" t="str">
        <f>IFERROR(VLOOKUP(Tabela1[[#This Row],[CC]],#REF!,5,0),"")</f>
        <v/>
      </c>
      <c r="C721" t="s">
        <v>32</v>
      </c>
      <c r="D721" t="s">
        <v>36</v>
      </c>
      <c r="E721" t="s">
        <v>505</v>
      </c>
      <c r="F721" t="s">
        <v>586</v>
      </c>
      <c r="G721" s="110">
        <v>8418</v>
      </c>
      <c r="H721" s="12">
        <v>45809</v>
      </c>
      <c r="I721" s="24">
        <v>52900</v>
      </c>
      <c r="J721" s="10">
        <v>49646.65</v>
      </c>
      <c r="K721" s="3">
        <v>45846</v>
      </c>
      <c r="L721" s="91">
        <v>45866</v>
      </c>
      <c r="M721" s="11">
        <v>45866</v>
      </c>
      <c r="N721" s="18" t="s">
        <v>588</v>
      </c>
      <c r="O721" s="34">
        <v>0</v>
      </c>
      <c r="P721"/>
      <c r="Q721" t="s">
        <v>55</v>
      </c>
      <c r="R721" t="s">
        <v>228</v>
      </c>
      <c r="S721" t="str">
        <f>IFERROR(VLOOKUP(Tabela1[[#This Row],[CC]],CC!$A$1:$H$403,8,0),"")</f>
        <v>OP1</v>
      </c>
    </row>
    <row r="722" spans="1:19" x14ac:dyDescent="0.3">
      <c r="A722" s="8">
        <v>1391</v>
      </c>
      <c r="B722" s="8" t="str">
        <f>IFERROR(VLOOKUP(Tabela1[[#This Row],[CC]],#REF!,5,0),"")</f>
        <v/>
      </c>
      <c r="C722" t="s">
        <v>32</v>
      </c>
      <c r="D722" t="s">
        <v>52</v>
      </c>
      <c r="E722" t="s">
        <v>375</v>
      </c>
      <c r="F722" t="s">
        <v>586</v>
      </c>
      <c r="G722" s="110">
        <v>4156</v>
      </c>
      <c r="H722" s="12">
        <v>45809</v>
      </c>
      <c r="I722" s="24">
        <v>209666.12</v>
      </c>
      <c r="J722" s="28">
        <v>196771.66</v>
      </c>
      <c r="K722" s="3">
        <v>45846</v>
      </c>
      <c r="L722" s="91">
        <v>45859</v>
      </c>
      <c r="M722" s="11">
        <v>45861</v>
      </c>
      <c r="N722" s="1" t="s">
        <v>588</v>
      </c>
      <c r="O722" s="35">
        <v>0</v>
      </c>
      <c r="P722"/>
      <c r="Q722" t="s">
        <v>55</v>
      </c>
      <c r="R722" t="s">
        <v>231</v>
      </c>
      <c r="S722" t="str">
        <f>IFERROR(VLOOKUP(Tabela1[[#This Row],[CC]],CC!$A$1:$H$403,8,0),"")</f>
        <v>OP1</v>
      </c>
    </row>
    <row r="723" spans="1:19" x14ac:dyDescent="0.3">
      <c r="A723" s="8">
        <v>1391</v>
      </c>
      <c r="B723" s="8" t="str">
        <f>IFERROR(VLOOKUP(Tabela1[[#This Row],[CC]],#REF!,5,0),"")</f>
        <v/>
      </c>
      <c r="C723" t="s">
        <v>32</v>
      </c>
      <c r="D723" t="s">
        <v>52</v>
      </c>
      <c r="E723" t="s">
        <v>375</v>
      </c>
      <c r="F723" t="s">
        <v>586</v>
      </c>
      <c r="G723" s="110">
        <v>4157</v>
      </c>
      <c r="H723" s="12">
        <v>45809</v>
      </c>
      <c r="I723" s="24">
        <v>264202.61</v>
      </c>
      <c r="J723" s="28">
        <v>247954.15</v>
      </c>
      <c r="K723" s="3">
        <v>45846</v>
      </c>
      <c r="L723" s="91">
        <v>45859</v>
      </c>
      <c r="M723" s="11">
        <v>45861</v>
      </c>
      <c r="N723" s="1" t="s">
        <v>588</v>
      </c>
      <c r="O723" s="35">
        <v>0</v>
      </c>
      <c r="P723"/>
      <c r="Q723" t="s">
        <v>55</v>
      </c>
      <c r="R723" t="s">
        <v>231</v>
      </c>
      <c r="S723" t="str">
        <f>IFERROR(VLOOKUP(Tabela1[[#This Row],[CC]],CC!$A$1:$H$403,8,0),"")</f>
        <v>OP1</v>
      </c>
    </row>
    <row r="724" spans="1:19" x14ac:dyDescent="0.3">
      <c r="A724" s="8">
        <v>1391</v>
      </c>
      <c r="B724" s="8" t="str">
        <f>IFERROR(VLOOKUP(Tabela1[[#This Row],[CC]],#REF!,5,0),"")</f>
        <v/>
      </c>
      <c r="C724" t="s">
        <v>32</v>
      </c>
      <c r="D724" t="s">
        <v>52</v>
      </c>
      <c r="E724" t="s">
        <v>375</v>
      </c>
      <c r="F724" t="s">
        <v>586</v>
      </c>
      <c r="G724" s="110">
        <v>4158</v>
      </c>
      <c r="H724" s="12">
        <v>45809</v>
      </c>
      <c r="I724" s="24">
        <v>228078.72</v>
      </c>
      <c r="J724" s="28">
        <v>214051.88</v>
      </c>
      <c r="K724" s="3">
        <v>45846</v>
      </c>
      <c r="L724" s="91">
        <v>45859</v>
      </c>
      <c r="M724" s="11">
        <v>45861</v>
      </c>
      <c r="N724" s="1" t="s">
        <v>588</v>
      </c>
      <c r="O724" s="35">
        <v>0</v>
      </c>
      <c r="P724"/>
      <c r="Q724" t="s">
        <v>55</v>
      </c>
      <c r="R724" t="s">
        <v>231</v>
      </c>
      <c r="S724" t="str">
        <f>IFERROR(VLOOKUP(Tabela1[[#This Row],[CC]],CC!$A$1:$H$403,8,0),"")</f>
        <v>OP1</v>
      </c>
    </row>
    <row r="725" spans="1:19" x14ac:dyDescent="0.3">
      <c r="A725" s="8">
        <v>1391</v>
      </c>
      <c r="B725" s="8" t="str">
        <f>IFERROR(VLOOKUP(Tabela1[[#This Row],[CC]],#REF!,5,0),"")</f>
        <v/>
      </c>
      <c r="C725" t="s">
        <v>32</v>
      </c>
      <c r="D725" t="s">
        <v>52</v>
      </c>
      <c r="E725" t="s">
        <v>375</v>
      </c>
      <c r="F725" t="s">
        <v>586</v>
      </c>
      <c r="G725" s="110">
        <v>4159</v>
      </c>
      <c r="H725" s="12">
        <v>45809</v>
      </c>
      <c r="I725" s="24">
        <v>36831.120000000003</v>
      </c>
      <c r="J725" s="28">
        <v>34566</v>
      </c>
      <c r="K725" s="3">
        <v>45846</v>
      </c>
      <c r="L725" s="91">
        <v>45859</v>
      </c>
      <c r="M725" s="11">
        <v>45861</v>
      </c>
      <c r="N725" s="1" t="s">
        <v>588</v>
      </c>
      <c r="O725" s="35">
        <v>0</v>
      </c>
      <c r="P725"/>
      <c r="Q725" t="s">
        <v>55</v>
      </c>
      <c r="R725" t="s">
        <v>231</v>
      </c>
      <c r="S725" t="str">
        <f>IFERROR(VLOOKUP(Tabela1[[#This Row],[CC]],CC!$A$1:$H$403,8,0),"")</f>
        <v>OP1</v>
      </c>
    </row>
    <row r="726" spans="1:19" x14ac:dyDescent="0.3">
      <c r="A726" s="8">
        <v>1391</v>
      </c>
      <c r="B726" s="8" t="str">
        <f>IFERROR(VLOOKUP(Tabela1[[#This Row],[CC]],#REF!,5,0),"")</f>
        <v/>
      </c>
      <c r="C726" t="s">
        <v>32</v>
      </c>
      <c r="D726" t="s">
        <v>52</v>
      </c>
      <c r="E726" t="s">
        <v>375</v>
      </c>
      <c r="F726" t="s">
        <v>586</v>
      </c>
      <c r="G726" s="110">
        <v>4161</v>
      </c>
      <c r="H726" s="12">
        <v>45809</v>
      </c>
      <c r="I726" s="24">
        <v>94986.11</v>
      </c>
      <c r="J726" s="28">
        <v>89144.47</v>
      </c>
      <c r="K726" s="3">
        <v>45848</v>
      </c>
      <c r="L726" s="91">
        <v>45859</v>
      </c>
      <c r="M726" s="11">
        <v>45863</v>
      </c>
      <c r="N726" s="1" t="s">
        <v>588</v>
      </c>
      <c r="O726" s="35">
        <v>0</v>
      </c>
      <c r="P726"/>
      <c r="Q726" t="s">
        <v>55</v>
      </c>
      <c r="R726" t="s">
        <v>231</v>
      </c>
      <c r="S726" t="str">
        <f>IFERROR(VLOOKUP(Tabela1[[#This Row],[CC]],CC!$A$1:$H$403,8,0),"")</f>
        <v>OP1</v>
      </c>
    </row>
    <row r="727" spans="1:19" x14ac:dyDescent="0.3">
      <c r="A727" s="8">
        <v>1391</v>
      </c>
      <c r="B727" s="8" t="str">
        <f>IFERROR(VLOOKUP(Tabela1[[#This Row],[CC]],#REF!,5,0),"")</f>
        <v/>
      </c>
      <c r="C727" t="s">
        <v>32</v>
      </c>
      <c r="D727" t="s">
        <v>52</v>
      </c>
      <c r="E727" t="s">
        <v>375</v>
      </c>
      <c r="F727" t="s">
        <v>586</v>
      </c>
      <c r="G727" s="110">
        <v>4162</v>
      </c>
      <c r="H727" s="12">
        <v>45809</v>
      </c>
      <c r="I727" s="24">
        <v>27847.919999999998</v>
      </c>
      <c r="J727" s="28">
        <v>26135.27</v>
      </c>
      <c r="K727" s="3">
        <v>45848</v>
      </c>
      <c r="L727" s="91">
        <v>45859</v>
      </c>
      <c r="M727" s="11">
        <v>45863</v>
      </c>
      <c r="N727" s="1" t="s">
        <v>588</v>
      </c>
      <c r="O727" s="35">
        <v>0</v>
      </c>
      <c r="P727"/>
      <c r="Q727" t="s">
        <v>55</v>
      </c>
      <c r="R727" t="s">
        <v>231</v>
      </c>
      <c r="S727" t="str">
        <f>IFERROR(VLOOKUP(Tabela1[[#This Row],[CC]],CC!$A$1:$H$403,8,0),"")</f>
        <v>OP1</v>
      </c>
    </row>
    <row r="728" spans="1:19" x14ac:dyDescent="0.3">
      <c r="A728" s="8">
        <v>1391</v>
      </c>
      <c r="B728" s="8" t="str">
        <f>IFERROR(VLOOKUP(Tabela1[[#This Row],[CC]],#REF!,5,0),"")</f>
        <v/>
      </c>
      <c r="C728" t="s">
        <v>32</v>
      </c>
      <c r="D728" t="s">
        <v>52</v>
      </c>
      <c r="E728" t="s">
        <v>375</v>
      </c>
      <c r="F728" t="s">
        <v>586</v>
      </c>
      <c r="G728" s="110">
        <v>4168</v>
      </c>
      <c r="H728" s="12">
        <v>45809</v>
      </c>
      <c r="I728" s="24">
        <v>141684.71</v>
      </c>
      <c r="J728" s="28">
        <v>132971.1</v>
      </c>
      <c r="K728" s="3">
        <v>45852</v>
      </c>
      <c r="L728" s="91">
        <v>45866</v>
      </c>
      <c r="M728" s="11">
        <v>45867</v>
      </c>
      <c r="N728" s="1" t="s">
        <v>588</v>
      </c>
      <c r="O728" s="35">
        <v>0</v>
      </c>
      <c r="P728"/>
      <c r="Q728" t="s">
        <v>55</v>
      </c>
      <c r="R728" t="s">
        <v>231</v>
      </c>
      <c r="S728" t="str">
        <f>IFERROR(VLOOKUP(Tabela1[[#This Row],[CC]],CC!$A$1:$H$403,8,0),"")</f>
        <v>OP1</v>
      </c>
    </row>
    <row r="729" spans="1:19" x14ac:dyDescent="0.3">
      <c r="A729" s="25">
        <v>1294</v>
      </c>
      <c r="B729" s="25" t="str">
        <f>IFERROR(VLOOKUP(Tabela1[[#This Row],[CC]],#REF!,5,0),"")</f>
        <v/>
      </c>
      <c r="C729" t="s">
        <v>32</v>
      </c>
      <c r="D729" t="s">
        <v>52</v>
      </c>
      <c r="E729" t="s">
        <v>268</v>
      </c>
      <c r="F729" t="s">
        <v>586</v>
      </c>
      <c r="G729" s="110">
        <v>4143</v>
      </c>
      <c r="H729" s="12">
        <v>45809</v>
      </c>
      <c r="I729" s="24">
        <v>3562.53</v>
      </c>
      <c r="J729" s="28">
        <v>3343.43</v>
      </c>
      <c r="K729" s="3">
        <v>45828</v>
      </c>
      <c r="L729" s="91">
        <v>45845</v>
      </c>
      <c r="M729" s="11">
        <v>45845</v>
      </c>
      <c r="N729" s="1" t="s">
        <v>588</v>
      </c>
      <c r="O729" s="35">
        <v>0</v>
      </c>
      <c r="P729"/>
      <c r="Q729" t="s">
        <v>55</v>
      </c>
      <c r="R729" t="s">
        <v>231</v>
      </c>
      <c r="S729" t="str">
        <f>IFERROR(VLOOKUP(Tabela1[[#This Row],[CC]],CC!$A$1:$H$403,8,0),"")</f>
        <v>OP1</v>
      </c>
    </row>
    <row r="730" spans="1:19" x14ac:dyDescent="0.3">
      <c r="A730" s="25">
        <v>1294</v>
      </c>
      <c r="B730" s="25" t="str">
        <f>IFERROR(VLOOKUP(Tabela1[[#This Row],[CC]],#REF!,5,0),"")</f>
        <v/>
      </c>
      <c r="C730" t="s">
        <v>32</v>
      </c>
      <c r="D730" t="s">
        <v>52</v>
      </c>
      <c r="E730" t="s">
        <v>268</v>
      </c>
      <c r="F730" t="s">
        <v>586</v>
      </c>
      <c r="G730" s="110">
        <v>4160</v>
      </c>
      <c r="H730" s="12">
        <v>45809</v>
      </c>
      <c r="I730" s="24">
        <v>193280.5</v>
      </c>
      <c r="J730" s="28">
        <v>181393.75</v>
      </c>
      <c r="K730" s="3">
        <v>45846</v>
      </c>
      <c r="L730" s="91">
        <v>45859</v>
      </c>
      <c r="M730" s="11">
        <v>45861</v>
      </c>
      <c r="N730" s="1" t="s">
        <v>588</v>
      </c>
      <c r="O730" s="35">
        <v>0</v>
      </c>
      <c r="P730"/>
      <c r="Q730" t="s">
        <v>55</v>
      </c>
      <c r="R730" t="s">
        <v>231</v>
      </c>
      <c r="S730" t="str">
        <f>IFERROR(VLOOKUP(Tabela1[[#This Row],[CC]],CC!$A$1:$H$403,8,0),"")</f>
        <v>OP1</v>
      </c>
    </row>
    <row r="731" spans="1:19" x14ac:dyDescent="0.3">
      <c r="A731" s="25">
        <v>1294</v>
      </c>
      <c r="B731" s="25" t="str">
        <f>IFERROR(VLOOKUP(Tabela1[[#This Row],[CC]],#REF!,5,0),"")</f>
        <v/>
      </c>
      <c r="C731" t="s">
        <v>32</v>
      </c>
      <c r="D731" t="s">
        <v>52</v>
      </c>
      <c r="E731" t="s">
        <v>268</v>
      </c>
      <c r="F731" t="s">
        <v>586</v>
      </c>
      <c r="G731" s="110">
        <v>4169</v>
      </c>
      <c r="H731" s="12">
        <v>45809</v>
      </c>
      <c r="I731" s="116">
        <v>181704</v>
      </c>
      <c r="J731" s="28">
        <v>170529.2</v>
      </c>
      <c r="K731" s="3">
        <v>45852</v>
      </c>
      <c r="L731" s="91">
        <v>45866</v>
      </c>
      <c r="M731" s="11">
        <v>45867</v>
      </c>
      <c r="N731" s="1" t="s">
        <v>588</v>
      </c>
      <c r="O731" s="35">
        <v>0</v>
      </c>
      <c r="P731"/>
      <c r="Q731" t="s">
        <v>55</v>
      </c>
      <c r="R731" t="s">
        <v>231</v>
      </c>
      <c r="S731" t="str">
        <f>IFERROR(VLOOKUP(Tabela1[[#This Row],[CC]],CC!$A$1:$H$403,8,0),"")</f>
        <v>OP1</v>
      </c>
    </row>
    <row r="732" spans="1:19" x14ac:dyDescent="0.3">
      <c r="A732" s="25">
        <v>1294</v>
      </c>
      <c r="B732" s="25" t="str">
        <f>IFERROR(VLOOKUP(Tabela1[[#This Row],[CC]],#REF!,5,0),"")</f>
        <v/>
      </c>
      <c r="C732" t="s">
        <v>32</v>
      </c>
      <c r="D732" t="s">
        <v>52</v>
      </c>
      <c r="E732" t="s">
        <v>268</v>
      </c>
      <c r="F732" t="s">
        <v>586</v>
      </c>
      <c r="G732" s="110">
        <v>4170</v>
      </c>
      <c r="H732" s="12">
        <v>45809</v>
      </c>
      <c r="I732" s="24">
        <v>280194</v>
      </c>
      <c r="J732" s="28">
        <v>262962.07</v>
      </c>
      <c r="K732" s="3">
        <v>45852</v>
      </c>
      <c r="L732" s="91">
        <v>45866</v>
      </c>
      <c r="M732" s="11">
        <v>45867</v>
      </c>
      <c r="N732" s="1" t="s">
        <v>588</v>
      </c>
      <c r="O732" s="35">
        <v>0</v>
      </c>
      <c r="P732"/>
      <c r="Q732" t="s">
        <v>55</v>
      </c>
      <c r="R732" t="s">
        <v>231</v>
      </c>
      <c r="S732" t="str">
        <f>IFERROR(VLOOKUP(Tabela1[[#This Row],[CC]],CC!$A$1:$H$403,8,0),"")</f>
        <v>OP1</v>
      </c>
    </row>
    <row r="733" spans="1:19" x14ac:dyDescent="0.3">
      <c r="A733" s="25">
        <v>1294</v>
      </c>
      <c r="B733" s="25" t="str">
        <f>IFERROR(VLOOKUP(Tabela1[[#This Row],[CC]],#REF!,5,0),"")</f>
        <v/>
      </c>
      <c r="C733" t="s">
        <v>32</v>
      </c>
      <c r="D733" t="s">
        <v>52</v>
      </c>
      <c r="E733" t="s">
        <v>268</v>
      </c>
      <c r="F733" t="s">
        <v>586</v>
      </c>
      <c r="G733" s="110">
        <v>4180</v>
      </c>
      <c r="H733" s="12">
        <v>45809</v>
      </c>
      <c r="I733" s="24">
        <v>136954.01</v>
      </c>
      <c r="J733" s="28">
        <v>128531.34</v>
      </c>
      <c r="K733" s="3">
        <v>45854</v>
      </c>
      <c r="L733" s="91">
        <v>45866</v>
      </c>
      <c r="M733" s="11">
        <v>45869</v>
      </c>
      <c r="N733" s="1" t="s">
        <v>588</v>
      </c>
      <c r="O733" s="35">
        <v>0</v>
      </c>
      <c r="P733"/>
      <c r="Q733" t="s">
        <v>55</v>
      </c>
      <c r="R733" t="s">
        <v>231</v>
      </c>
      <c r="S733" t="str">
        <f>IFERROR(VLOOKUP(Tabela1[[#This Row],[CC]],CC!$A$1:$H$403,8,0),"")</f>
        <v>OP1</v>
      </c>
    </row>
    <row r="734" spans="1:19" x14ac:dyDescent="0.3">
      <c r="A734" s="25">
        <v>1294</v>
      </c>
      <c r="B734" s="25" t="str">
        <f>IFERROR(VLOOKUP(Tabela1[[#This Row],[CC]],#REF!,5,0),"")</f>
        <v/>
      </c>
      <c r="C734" t="s">
        <v>32</v>
      </c>
      <c r="D734" t="s">
        <v>52</v>
      </c>
      <c r="E734" t="s">
        <v>268</v>
      </c>
      <c r="F734" t="s">
        <v>586</v>
      </c>
      <c r="G734" s="110">
        <v>4181</v>
      </c>
      <c r="H734" s="12">
        <v>45809</v>
      </c>
      <c r="I734" s="24">
        <v>17761.52</v>
      </c>
      <c r="J734" s="28">
        <v>16669.189999999999</v>
      </c>
      <c r="K734" s="3">
        <v>45854</v>
      </c>
      <c r="L734" s="91">
        <v>45866</v>
      </c>
      <c r="M734" s="11">
        <v>45869</v>
      </c>
      <c r="N734" s="1" t="s">
        <v>588</v>
      </c>
      <c r="O734" s="35">
        <v>0</v>
      </c>
      <c r="P734"/>
      <c r="Q734" t="s">
        <v>55</v>
      </c>
      <c r="R734" t="s">
        <v>231</v>
      </c>
      <c r="S734" t="str">
        <f>IFERROR(VLOOKUP(Tabela1[[#This Row],[CC]],CC!$A$1:$H$403,8,0),"")</f>
        <v>OP1</v>
      </c>
    </row>
    <row r="735" spans="1:19" x14ac:dyDescent="0.3">
      <c r="A735" s="25">
        <v>1285</v>
      </c>
      <c r="B735" s="25" t="str">
        <f>IFERROR(VLOOKUP(Tabela1[[#This Row],[CC]],#REF!,5,0),"")</f>
        <v/>
      </c>
      <c r="C735" t="s">
        <v>32</v>
      </c>
      <c r="D735" t="s">
        <v>52</v>
      </c>
      <c r="E735" t="s">
        <v>259</v>
      </c>
      <c r="F735" t="s">
        <v>586</v>
      </c>
      <c r="G735" s="110">
        <v>4145</v>
      </c>
      <c r="H735" s="12">
        <v>45809</v>
      </c>
      <c r="I735" s="24">
        <v>25534.32</v>
      </c>
      <c r="J735" s="24">
        <v>23963.96</v>
      </c>
      <c r="K735" s="3">
        <v>45834</v>
      </c>
      <c r="L735" s="91">
        <v>45866</v>
      </c>
      <c r="M735" s="11">
        <v>45866</v>
      </c>
      <c r="N735" s="1" t="s">
        <v>588</v>
      </c>
      <c r="O735" s="35">
        <v>0</v>
      </c>
      <c r="P735" s="26"/>
      <c r="Q735" t="s">
        <v>55</v>
      </c>
      <c r="R735" t="s">
        <v>231</v>
      </c>
      <c r="S735" t="str">
        <f>IFERROR(VLOOKUP(Tabela1[[#This Row],[CC]],CC!$A$1:$H$403,8,0),"")</f>
        <v>OP1</v>
      </c>
    </row>
    <row r="736" spans="1:19" x14ac:dyDescent="0.3">
      <c r="A736" s="25">
        <v>1285</v>
      </c>
      <c r="B736" s="25" t="str">
        <f>IFERROR(VLOOKUP(Tabela1[[#This Row],[CC]],#REF!,5,0),"")</f>
        <v/>
      </c>
      <c r="C736" t="s">
        <v>32</v>
      </c>
      <c r="D736" t="s">
        <v>52</v>
      </c>
      <c r="E736" t="s">
        <v>259</v>
      </c>
      <c r="F736" t="s">
        <v>586</v>
      </c>
      <c r="G736" s="110">
        <v>4146</v>
      </c>
      <c r="H736" s="12">
        <v>45809</v>
      </c>
      <c r="I736" s="24">
        <v>9803.48</v>
      </c>
      <c r="J736" s="24">
        <v>9200.57</v>
      </c>
      <c r="K736" s="3">
        <v>45834</v>
      </c>
      <c r="L736" s="91">
        <v>45866</v>
      </c>
      <c r="M736" s="11">
        <v>45866</v>
      </c>
      <c r="N736" s="1" t="s">
        <v>588</v>
      </c>
      <c r="O736" s="35">
        <v>0</v>
      </c>
      <c r="P736" s="26"/>
      <c r="Q736" t="s">
        <v>55</v>
      </c>
      <c r="R736" t="s">
        <v>231</v>
      </c>
      <c r="S736" t="str">
        <f>IFERROR(VLOOKUP(Tabela1[[#This Row],[CC]],CC!$A$1:$H$403,8,0),"")</f>
        <v>OP1</v>
      </c>
    </row>
    <row r="737" spans="1:19" x14ac:dyDescent="0.3">
      <c r="A737" s="25">
        <v>1292</v>
      </c>
      <c r="B737" s="25" t="str">
        <f>IFERROR(VLOOKUP(Tabela1[[#This Row],[CC]],#REF!,5,0),"")</f>
        <v/>
      </c>
      <c r="C737" t="s">
        <v>32</v>
      </c>
      <c r="D737" t="s">
        <v>56</v>
      </c>
      <c r="E737" t="s">
        <v>266</v>
      </c>
      <c r="F737" t="s">
        <v>586</v>
      </c>
      <c r="G737" s="110">
        <v>4166</v>
      </c>
      <c r="H737" s="12">
        <v>45809</v>
      </c>
      <c r="I737" s="24">
        <v>116552.48</v>
      </c>
      <c r="J737" s="24">
        <v>109384.5</v>
      </c>
      <c r="K737" s="3">
        <v>45849</v>
      </c>
      <c r="L737" s="91">
        <v>45866</v>
      </c>
      <c r="M737" s="11">
        <v>45866</v>
      </c>
      <c r="N737" s="1" t="s">
        <v>588</v>
      </c>
      <c r="O737" s="35">
        <v>0</v>
      </c>
      <c r="P737"/>
      <c r="Q737" t="s">
        <v>55</v>
      </c>
      <c r="R737" t="s">
        <v>231</v>
      </c>
      <c r="S737" t="str">
        <f>IFERROR(VLOOKUP(Tabela1[[#This Row],[CC]],CC!$A$1:$H$403,8,0),"")</f>
        <v>OP1</v>
      </c>
    </row>
    <row r="738" spans="1:19" x14ac:dyDescent="0.3">
      <c r="A738" s="25">
        <v>1292</v>
      </c>
      <c r="B738" s="25" t="str">
        <f>IFERROR(VLOOKUP(Tabela1[[#This Row],[CC]],#REF!,5,0),"")</f>
        <v/>
      </c>
      <c r="C738" t="s">
        <v>32</v>
      </c>
      <c r="D738" t="s">
        <v>56</v>
      </c>
      <c r="E738" t="s">
        <v>266</v>
      </c>
      <c r="F738" t="s">
        <v>586</v>
      </c>
      <c r="G738" s="110">
        <v>4164</v>
      </c>
      <c r="H738" s="12">
        <v>45809</v>
      </c>
      <c r="I738" s="24">
        <v>134253.73000000001</v>
      </c>
      <c r="J738" s="24">
        <v>125997.12</v>
      </c>
      <c r="K738" s="3">
        <v>45849</v>
      </c>
      <c r="L738" s="91">
        <v>45866</v>
      </c>
      <c r="M738" s="11">
        <v>45866</v>
      </c>
      <c r="N738" s="1" t="s">
        <v>588</v>
      </c>
      <c r="O738" s="35">
        <v>0</v>
      </c>
      <c r="P738"/>
      <c r="Q738" t="s">
        <v>55</v>
      </c>
      <c r="R738" t="s">
        <v>231</v>
      </c>
      <c r="S738" t="str">
        <f>IFERROR(VLOOKUP(Tabela1[[#This Row],[CC]],CC!$A$1:$H$403,8,0),"")</f>
        <v>OP1</v>
      </c>
    </row>
    <row r="739" spans="1:19" x14ac:dyDescent="0.3">
      <c r="A739" s="25">
        <v>1292</v>
      </c>
      <c r="B739" s="25" t="str">
        <f>IFERROR(VLOOKUP(Tabela1[[#This Row],[CC]],#REF!,5,0),"")</f>
        <v/>
      </c>
      <c r="C739" t="s">
        <v>32</v>
      </c>
      <c r="D739" t="s">
        <v>56</v>
      </c>
      <c r="E739" t="s">
        <v>266</v>
      </c>
      <c r="F739" t="s">
        <v>586</v>
      </c>
      <c r="G739" s="110">
        <v>4165</v>
      </c>
      <c r="H739" s="12">
        <v>45809</v>
      </c>
      <c r="I739" s="24">
        <v>34633.19</v>
      </c>
      <c r="J739" s="24">
        <v>32503.25</v>
      </c>
      <c r="K739" s="3">
        <v>45849</v>
      </c>
      <c r="L739" s="91">
        <v>45866</v>
      </c>
      <c r="M739" s="11">
        <v>45866</v>
      </c>
      <c r="N739" s="1" t="s">
        <v>588</v>
      </c>
      <c r="O739" s="35">
        <v>0</v>
      </c>
      <c r="P739"/>
      <c r="Q739" t="s">
        <v>55</v>
      </c>
      <c r="R739" t="s">
        <v>231</v>
      </c>
      <c r="S739" t="str">
        <f>IFERROR(VLOOKUP(Tabela1[[#This Row],[CC]],CC!$A$1:$H$403,8,0),"")</f>
        <v>OP1</v>
      </c>
    </row>
    <row r="740" spans="1:19" x14ac:dyDescent="0.3">
      <c r="A740" s="25">
        <v>1292</v>
      </c>
      <c r="B740" s="25" t="str">
        <f>IFERROR(VLOOKUP(Tabela1[[#This Row],[CC]],#REF!,5,0),"")</f>
        <v/>
      </c>
      <c r="C740" t="s">
        <v>32</v>
      </c>
      <c r="D740" t="s">
        <v>56</v>
      </c>
      <c r="E740" t="s">
        <v>266</v>
      </c>
      <c r="F740" t="s">
        <v>586</v>
      </c>
      <c r="G740" s="110">
        <v>4171</v>
      </c>
      <c r="H740" s="12">
        <v>45809</v>
      </c>
      <c r="I740" s="24">
        <v>31008</v>
      </c>
      <c r="J740" s="24">
        <v>29101.01</v>
      </c>
      <c r="K740" s="3">
        <v>45852</v>
      </c>
      <c r="L740" s="91">
        <v>45866</v>
      </c>
      <c r="M740" s="11">
        <v>45867</v>
      </c>
      <c r="N740" s="1" t="s">
        <v>588</v>
      </c>
      <c r="O740" s="35">
        <v>0</v>
      </c>
      <c r="P740"/>
      <c r="Q740" t="s">
        <v>55</v>
      </c>
      <c r="R740" t="s">
        <v>231</v>
      </c>
      <c r="S740" t="str">
        <f>IFERROR(VLOOKUP(Tabela1[[#This Row],[CC]],CC!$A$1:$H$403,8,0),"")</f>
        <v>OP1</v>
      </c>
    </row>
    <row r="741" spans="1:19" x14ac:dyDescent="0.3">
      <c r="A741" s="25">
        <v>1292</v>
      </c>
      <c r="B741" s="25" t="str">
        <f>IFERROR(VLOOKUP(Tabela1[[#This Row],[CC]],#REF!,5,0),"")</f>
        <v/>
      </c>
      <c r="C741" t="s">
        <v>32</v>
      </c>
      <c r="D741" t="s">
        <v>56</v>
      </c>
      <c r="E741" t="s">
        <v>266</v>
      </c>
      <c r="F741" t="s">
        <v>586</v>
      </c>
      <c r="G741" s="110">
        <v>4182</v>
      </c>
      <c r="H741" s="12">
        <v>45809</v>
      </c>
      <c r="I741" s="24">
        <v>33408</v>
      </c>
      <c r="J741" s="24">
        <v>31353.41</v>
      </c>
      <c r="K741" s="3">
        <v>45859</v>
      </c>
      <c r="L741" s="91">
        <v>45873</v>
      </c>
      <c r="M741" s="11">
        <v>45874</v>
      </c>
      <c r="N741" s="1" t="s">
        <v>588</v>
      </c>
      <c r="O741" s="35">
        <v>0</v>
      </c>
      <c r="P741"/>
      <c r="Q741" t="s">
        <v>55</v>
      </c>
      <c r="R741" t="s">
        <v>231</v>
      </c>
      <c r="S741" t="str">
        <f>IFERROR(VLOOKUP(Tabela1[[#This Row],[CC]],CC!$A$1:$H$403,8,0),"")</f>
        <v>OP1</v>
      </c>
    </row>
    <row r="742" spans="1:19" x14ac:dyDescent="0.3">
      <c r="A742" s="25">
        <v>1484</v>
      </c>
      <c r="B742" s="25" t="str">
        <f>IFERROR(VLOOKUP(Tabela1[[#This Row],[CC]],#REF!,5,0),"")</f>
        <v/>
      </c>
      <c r="C742" t="s">
        <v>32</v>
      </c>
      <c r="D742" t="s">
        <v>56</v>
      </c>
      <c r="E742" t="s">
        <v>489</v>
      </c>
      <c r="F742" t="s">
        <v>586</v>
      </c>
      <c r="G742" s="110">
        <v>4178</v>
      </c>
      <c r="H742" s="12">
        <v>45809</v>
      </c>
      <c r="I742" s="24">
        <v>36570.74</v>
      </c>
      <c r="J742" s="24">
        <v>34321.64</v>
      </c>
      <c r="K742" s="3">
        <v>45853</v>
      </c>
      <c r="L742" s="91">
        <v>45866</v>
      </c>
      <c r="M742" s="11">
        <v>45868</v>
      </c>
      <c r="N742" s="1" t="s">
        <v>588</v>
      </c>
      <c r="O742" s="35">
        <v>0</v>
      </c>
      <c r="P742"/>
      <c r="Q742" t="s">
        <v>57</v>
      </c>
      <c r="R742" t="s">
        <v>231</v>
      </c>
      <c r="S742" t="str">
        <f>IFERROR(VLOOKUP(Tabela1[[#This Row],[CC]],CC!$A$1:$H$403,8,0),"")</f>
        <v>OP1</v>
      </c>
    </row>
    <row r="743" spans="1:19" x14ac:dyDescent="0.3">
      <c r="A743" s="25">
        <v>1484</v>
      </c>
      <c r="B743" s="25" t="str">
        <f>IFERROR(VLOOKUP(Tabela1[[#This Row],[CC]],#REF!,5,0),"")</f>
        <v/>
      </c>
      <c r="C743" t="s">
        <v>32</v>
      </c>
      <c r="D743" t="s">
        <v>56</v>
      </c>
      <c r="E743" t="s">
        <v>489</v>
      </c>
      <c r="F743" t="s">
        <v>586</v>
      </c>
      <c r="G743" s="110">
        <v>4179</v>
      </c>
      <c r="H743" s="12">
        <v>45809</v>
      </c>
      <c r="I743" s="24">
        <v>15398.24</v>
      </c>
      <c r="J743" s="24">
        <v>14451.25</v>
      </c>
      <c r="K743" s="3">
        <v>45853</v>
      </c>
      <c r="L743" s="91">
        <v>45866</v>
      </c>
      <c r="M743" s="11">
        <v>45868</v>
      </c>
      <c r="N743" s="1" t="s">
        <v>588</v>
      </c>
      <c r="O743" s="35">
        <v>0</v>
      </c>
      <c r="P743"/>
      <c r="Q743" t="s">
        <v>57</v>
      </c>
      <c r="R743" t="s">
        <v>231</v>
      </c>
      <c r="S743" t="str">
        <f>IFERROR(VLOOKUP(Tabela1[[#This Row],[CC]],CC!$A$1:$H$403,8,0),"")</f>
        <v>OP1</v>
      </c>
    </row>
    <row r="744" spans="1:19" x14ac:dyDescent="0.3">
      <c r="A744" s="25">
        <v>1398</v>
      </c>
      <c r="B744" s="25" t="str">
        <f>IFERROR(VLOOKUP(Tabela1[[#This Row],[CC]],#REF!,5,0),"")</f>
        <v/>
      </c>
      <c r="C744" t="s">
        <v>67</v>
      </c>
      <c r="D744" t="s">
        <v>42</v>
      </c>
      <c r="E744" t="s">
        <v>383</v>
      </c>
      <c r="F744" t="s">
        <v>586</v>
      </c>
      <c r="G744" s="107">
        <v>8439</v>
      </c>
      <c r="H744" s="12">
        <v>45809</v>
      </c>
      <c r="I744" s="27">
        <v>5562</v>
      </c>
      <c r="J744" s="24">
        <v>5219.9399999999996</v>
      </c>
      <c r="K744" s="3">
        <v>45862</v>
      </c>
      <c r="L744" s="91">
        <v>45894</v>
      </c>
      <c r="M744" s="11">
        <v>45894</v>
      </c>
      <c r="N744" s="18" t="s">
        <v>588</v>
      </c>
      <c r="O744" s="35">
        <v>0</v>
      </c>
      <c r="P744"/>
      <c r="Q744" t="s">
        <v>58</v>
      </c>
      <c r="R744" t="s">
        <v>183</v>
      </c>
      <c r="S744" t="str">
        <f>IFERROR(VLOOKUP(Tabela1[[#This Row],[CC]],CC!$A$1:$H$403,8,0),"")</f>
        <v>OP2</v>
      </c>
    </row>
    <row r="745" spans="1:19" x14ac:dyDescent="0.3">
      <c r="A745" s="25">
        <v>1398</v>
      </c>
      <c r="B745" s="25" t="str">
        <f>IFERROR(VLOOKUP(Tabela1[[#This Row],[CC]],#REF!,5,0),"")</f>
        <v/>
      </c>
      <c r="C745" t="s">
        <v>67</v>
      </c>
      <c r="D745" t="s">
        <v>42</v>
      </c>
      <c r="E745" t="s">
        <v>383</v>
      </c>
      <c r="F745" t="s">
        <v>586</v>
      </c>
      <c r="G745" s="107">
        <v>8442</v>
      </c>
      <c r="H745" s="12">
        <v>45809</v>
      </c>
      <c r="I745" s="27">
        <v>26093.54</v>
      </c>
      <c r="J745" s="24">
        <v>24488.79</v>
      </c>
      <c r="K745" s="3">
        <v>45866</v>
      </c>
      <c r="L745" s="91">
        <v>45894</v>
      </c>
      <c r="M745" s="11">
        <v>45896</v>
      </c>
      <c r="N745" s="18" t="s">
        <v>588</v>
      </c>
      <c r="O745" s="35">
        <v>0</v>
      </c>
      <c r="P745"/>
      <c r="Q745" t="s">
        <v>58</v>
      </c>
      <c r="R745" t="s">
        <v>183</v>
      </c>
      <c r="S745" t="str">
        <f>IFERROR(VLOOKUP(Tabela1[[#This Row],[CC]],CC!$A$1:$H$403,8,0),"")</f>
        <v>OP2</v>
      </c>
    </row>
    <row r="746" spans="1:19" x14ac:dyDescent="0.3">
      <c r="A746" s="25">
        <v>1398</v>
      </c>
      <c r="B746" s="25" t="str">
        <f>IFERROR(VLOOKUP(Tabela1[[#This Row],[CC]],#REF!,5,0),"")</f>
        <v/>
      </c>
      <c r="C746" t="s">
        <v>67</v>
      </c>
      <c r="D746" t="s">
        <v>42</v>
      </c>
      <c r="E746" t="s">
        <v>383</v>
      </c>
      <c r="F746" t="s">
        <v>586</v>
      </c>
      <c r="G746" s="107">
        <v>8426</v>
      </c>
      <c r="H746" s="12">
        <v>45809</v>
      </c>
      <c r="I746" s="27">
        <v>48000</v>
      </c>
      <c r="J746" s="24">
        <v>45048</v>
      </c>
      <c r="K746" s="3">
        <v>45852</v>
      </c>
      <c r="L746" s="91">
        <v>45943</v>
      </c>
      <c r="M746" s="11">
        <v>45945</v>
      </c>
      <c r="N746" s="18" t="s">
        <v>588</v>
      </c>
      <c r="O746" s="35">
        <v>0</v>
      </c>
      <c r="P746"/>
      <c r="Q746" t="s">
        <v>58</v>
      </c>
      <c r="R746" t="s">
        <v>183</v>
      </c>
      <c r="S746" t="str">
        <f>IFERROR(VLOOKUP(Tabela1[[#This Row],[CC]],CC!$A$1:$H$403,8,0),"")</f>
        <v>OP2</v>
      </c>
    </row>
    <row r="747" spans="1:19" x14ac:dyDescent="0.3">
      <c r="A747" s="97">
        <v>1398</v>
      </c>
      <c r="B747" s="97" t="str">
        <f>IFERROR(VLOOKUP(Tabela1[[#This Row],[CC]],#REF!,5,0),"")</f>
        <v/>
      </c>
      <c r="C747" t="s">
        <v>67</v>
      </c>
      <c r="D747" t="s">
        <v>42</v>
      </c>
      <c r="E747" t="s">
        <v>383</v>
      </c>
      <c r="F747" s="30" t="s">
        <v>586</v>
      </c>
      <c r="G747" s="111">
        <v>8440</v>
      </c>
      <c r="H747" s="98">
        <v>45809</v>
      </c>
      <c r="I747" s="99">
        <v>20181.879999999903</v>
      </c>
      <c r="J747" s="100">
        <v>20873.79</v>
      </c>
      <c r="K747" s="101">
        <v>45862</v>
      </c>
      <c r="L747" s="94">
        <v>45922</v>
      </c>
      <c r="M747" s="102">
        <v>45922</v>
      </c>
      <c r="N747" s="18" t="s">
        <v>588</v>
      </c>
      <c r="O747" s="35">
        <v>0</v>
      </c>
      <c r="P747"/>
      <c r="Q747" t="s">
        <v>58</v>
      </c>
      <c r="R747" t="s">
        <v>183</v>
      </c>
      <c r="S747" t="str">
        <f>IFERROR(VLOOKUP(Tabela1[[#This Row],[CC]],CC!$A$1:$H$403,8,0),"")</f>
        <v>OP2</v>
      </c>
    </row>
    <row r="748" spans="1:19" x14ac:dyDescent="0.3">
      <c r="A748" s="25">
        <v>1398</v>
      </c>
      <c r="B748" s="25" t="str">
        <f>IFERROR(VLOOKUP(Tabela1[[#This Row],[CC]],#REF!,5,0),"")</f>
        <v/>
      </c>
      <c r="C748" t="s">
        <v>67</v>
      </c>
      <c r="D748" t="s">
        <v>42</v>
      </c>
      <c r="E748" t="s">
        <v>383</v>
      </c>
      <c r="F748" t="s">
        <v>586</v>
      </c>
      <c r="G748" s="107">
        <v>8441</v>
      </c>
      <c r="H748" s="12">
        <v>45809</v>
      </c>
      <c r="I748" s="27">
        <v>75919.81</v>
      </c>
      <c r="J748" s="24">
        <v>71250.740000000005</v>
      </c>
      <c r="K748" s="3">
        <v>45862</v>
      </c>
      <c r="L748" s="91">
        <v>45922</v>
      </c>
      <c r="M748" s="11">
        <v>45922</v>
      </c>
      <c r="N748" s="18" t="s">
        <v>588</v>
      </c>
      <c r="O748" s="35">
        <v>0</v>
      </c>
      <c r="P748"/>
      <c r="Q748" t="s">
        <v>58</v>
      </c>
      <c r="R748" t="s">
        <v>183</v>
      </c>
      <c r="S748" t="str">
        <f>IFERROR(VLOOKUP(Tabela1[[#This Row],[CC]],CC!$A$1:$H$403,8,0),"")</f>
        <v>OP2</v>
      </c>
    </row>
    <row r="749" spans="1:19" x14ac:dyDescent="0.3">
      <c r="A749" s="8">
        <v>1393</v>
      </c>
      <c r="B749" s="8" t="str">
        <f>IFERROR(VLOOKUP(Tabela1[[#This Row],[CC]],#REF!,5,0),"")</f>
        <v/>
      </c>
      <c r="C749" t="s">
        <v>70</v>
      </c>
      <c r="D749" t="str">
        <f>IFERROR(VLOOKUP(Tabela1[[#This Row],[CC]],CC!$A$1:$I$3869,3,0),"")</f>
        <v xml:space="preserve">DETRAN-BA </v>
      </c>
      <c r="E749" t="s">
        <v>377</v>
      </c>
      <c r="F749" t="s">
        <v>586</v>
      </c>
      <c r="G749" s="110">
        <v>8419</v>
      </c>
      <c r="H749" s="12">
        <v>45809</v>
      </c>
      <c r="I749" s="24">
        <v>464317.66</v>
      </c>
      <c r="J749" s="10">
        <v>416492.94</v>
      </c>
      <c r="K749" s="3">
        <v>45846</v>
      </c>
      <c r="L749" s="91">
        <v>45870</v>
      </c>
      <c r="M749" s="5">
        <v>45870</v>
      </c>
      <c r="N749" s="18" t="s">
        <v>588</v>
      </c>
      <c r="O749" s="34">
        <v>0</v>
      </c>
      <c r="P749" s="14"/>
      <c r="Q749" t="s">
        <v>58</v>
      </c>
      <c r="R749" t="s">
        <v>195</v>
      </c>
      <c r="S749" t="str">
        <f>IFERROR(VLOOKUP(Tabela1[[#This Row],[CC]],CC!$A$1:$H$403,8,0),"")</f>
        <v>OP4</v>
      </c>
    </row>
    <row r="750" spans="1:19" x14ac:dyDescent="0.3">
      <c r="A750" s="8">
        <v>1476</v>
      </c>
      <c r="B750" s="8" t="str">
        <f>IFERROR(VLOOKUP(Tabela1[[#This Row],[CC]],#REF!,5,0),"")</f>
        <v/>
      </c>
      <c r="C750" t="s">
        <v>70</v>
      </c>
      <c r="D750" t="s">
        <v>26</v>
      </c>
      <c r="E750" t="s">
        <v>481</v>
      </c>
      <c r="F750" t="s">
        <v>586</v>
      </c>
      <c r="G750" s="110">
        <v>8413</v>
      </c>
      <c r="H750" s="12">
        <v>45809</v>
      </c>
      <c r="I750" s="24">
        <v>318628.40000000002</v>
      </c>
      <c r="J750" s="24">
        <v>285809.68</v>
      </c>
      <c r="K750" s="3">
        <v>45845</v>
      </c>
      <c r="L750" s="91">
        <v>45859</v>
      </c>
      <c r="M750" s="5">
        <v>45860</v>
      </c>
      <c r="N750" s="21" t="s">
        <v>588</v>
      </c>
      <c r="O750" s="34"/>
      <c r="P750" s="14"/>
      <c r="Q750" t="s">
        <v>58</v>
      </c>
      <c r="R750" t="s">
        <v>195</v>
      </c>
      <c r="S750" t="str">
        <f>IFERROR(VLOOKUP(Tabela1[[#This Row],[CC]],CC!$A$1:$H$403,8,0),"")</f>
        <v>OP4</v>
      </c>
    </row>
    <row r="751" spans="1:19" x14ac:dyDescent="0.3">
      <c r="A751" s="25">
        <v>1296</v>
      </c>
      <c r="B751" s="25" t="str">
        <f>IFERROR(VLOOKUP(Tabela1[[#This Row],[CC]],#REF!,5,0),"")</f>
        <v/>
      </c>
      <c r="C751" t="s">
        <v>66</v>
      </c>
      <c r="D751" t="s">
        <v>16</v>
      </c>
      <c r="E751" t="s">
        <v>271</v>
      </c>
      <c r="F751" t="s">
        <v>586</v>
      </c>
      <c r="G751" s="107">
        <v>1274</v>
      </c>
      <c r="H751" s="12">
        <v>45809</v>
      </c>
      <c r="I751" s="24">
        <v>142287.91</v>
      </c>
      <c r="J751" s="24">
        <v>130691.44</v>
      </c>
      <c r="K751" s="3">
        <v>45855</v>
      </c>
      <c r="L751" s="91">
        <v>45866</v>
      </c>
      <c r="M751" s="29">
        <v>45866</v>
      </c>
      <c r="N751" s="18" t="s">
        <v>588</v>
      </c>
      <c r="O751" s="41"/>
      <c r="P751" s="26"/>
      <c r="Q751" t="s">
        <v>58</v>
      </c>
      <c r="R751" t="s">
        <v>183</v>
      </c>
      <c r="S751" t="str">
        <f>IFERROR(VLOOKUP(Tabela1[[#This Row],[CC]],CC!$A$1:$H$403,8,0),"")</f>
        <v>OP2</v>
      </c>
    </row>
    <row r="752" spans="1:19" x14ac:dyDescent="0.3">
      <c r="A752" s="25">
        <v>1296</v>
      </c>
      <c r="B752" s="25" t="str">
        <f>IFERROR(VLOOKUP(Tabela1[[#This Row],[CC]],#REF!,5,0),"")</f>
        <v/>
      </c>
      <c r="C752" t="s">
        <v>66</v>
      </c>
      <c r="D752" t="s">
        <v>16</v>
      </c>
      <c r="E752" t="s">
        <v>271</v>
      </c>
      <c r="F752" t="s">
        <v>586</v>
      </c>
      <c r="G752" s="107">
        <v>1275</v>
      </c>
      <c r="H752" s="12">
        <v>45809</v>
      </c>
      <c r="I752" s="24">
        <v>330619.28999999998</v>
      </c>
      <c r="J752" s="24">
        <v>303673.81</v>
      </c>
      <c r="K752" s="3">
        <v>45855</v>
      </c>
      <c r="L752" s="91">
        <v>45866</v>
      </c>
      <c r="M752" s="29">
        <v>45866</v>
      </c>
      <c r="N752" s="18" t="s">
        <v>588</v>
      </c>
      <c r="O752" s="41"/>
      <c r="P752" s="26"/>
      <c r="Q752" t="s">
        <v>58</v>
      </c>
      <c r="R752" t="s">
        <v>183</v>
      </c>
      <c r="S752" t="str">
        <f>IFERROR(VLOOKUP(Tabela1[[#This Row],[CC]],CC!$A$1:$H$403,8,0),"")</f>
        <v>OP2</v>
      </c>
    </row>
    <row r="753" spans="1:21" x14ac:dyDescent="0.3">
      <c r="A753" s="25">
        <v>1296</v>
      </c>
      <c r="B753" s="25" t="str">
        <f>IFERROR(VLOOKUP(Tabela1[[#This Row],[CC]],#REF!,5,0),"")</f>
        <v/>
      </c>
      <c r="C753" t="s">
        <v>66</v>
      </c>
      <c r="D753" t="s">
        <v>16</v>
      </c>
      <c r="E753" t="s">
        <v>271</v>
      </c>
      <c r="F753" t="s">
        <v>586</v>
      </c>
      <c r="G753" s="107">
        <v>1276</v>
      </c>
      <c r="H753" s="12">
        <v>45809</v>
      </c>
      <c r="I753" s="24">
        <v>308252.58</v>
      </c>
      <c r="J753" s="24">
        <v>283129.99</v>
      </c>
      <c r="K753" s="3">
        <v>45855</v>
      </c>
      <c r="L753" s="91">
        <v>45866</v>
      </c>
      <c r="M753" s="29">
        <v>45866</v>
      </c>
      <c r="N753" s="18" t="s">
        <v>588</v>
      </c>
      <c r="O753" s="41"/>
      <c r="P753" s="26"/>
      <c r="Q753" t="s">
        <v>58</v>
      </c>
      <c r="R753" t="s">
        <v>183</v>
      </c>
      <c r="S753" t="str">
        <f>IFERROR(VLOOKUP(Tabela1[[#This Row],[CC]],CC!$A$1:$H$403,8,0),"")</f>
        <v>OP2</v>
      </c>
    </row>
    <row r="754" spans="1:21" x14ac:dyDescent="0.3">
      <c r="A754" s="8">
        <v>1300</v>
      </c>
      <c r="B754" s="8" t="str">
        <f>IFERROR(VLOOKUP(Tabela1[[#This Row],[CC]],#REF!,5,0),"")</f>
        <v/>
      </c>
      <c r="C754" t="s">
        <v>66</v>
      </c>
      <c r="D754" t="s">
        <v>16</v>
      </c>
      <c r="E754" t="s">
        <v>275</v>
      </c>
      <c r="F754" t="s">
        <v>586</v>
      </c>
      <c r="G754" s="110">
        <v>8411</v>
      </c>
      <c r="H754" s="12">
        <v>45809</v>
      </c>
      <c r="I754" s="24">
        <v>35127.120000000003</v>
      </c>
      <c r="J754" s="10">
        <v>32264.26</v>
      </c>
      <c r="K754" s="3">
        <v>45845</v>
      </c>
      <c r="L754" s="91">
        <v>45873</v>
      </c>
      <c r="M754" s="5">
        <v>45875</v>
      </c>
      <c r="N754" s="36" t="s">
        <v>588</v>
      </c>
      <c r="O754" s="37">
        <v>0</v>
      </c>
      <c r="P754" s="14"/>
      <c r="Q754" t="s">
        <v>58</v>
      </c>
      <c r="R754" t="s">
        <v>183</v>
      </c>
      <c r="S754" t="str">
        <f>IFERROR(VLOOKUP(Tabela1[[#This Row],[CC]],CC!$A$1:$H$403,8,0),"")</f>
        <v>OP2</v>
      </c>
    </row>
    <row r="755" spans="1:21" x14ac:dyDescent="0.3">
      <c r="A755" s="8">
        <v>1300</v>
      </c>
      <c r="B755" s="8" t="str">
        <f>IFERROR(VLOOKUP(Tabela1[[#This Row],[CC]],#REF!,5,0),"")</f>
        <v/>
      </c>
      <c r="C755" t="s">
        <v>66</v>
      </c>
      <c r="D755" t="s">
        <v>16</v>
      </c>
      <c r="E755" t="s">
        <v>275</v>
      </c>
      <c r="F755" t="s">
        <v>586</v>
      </c>
      <c r="G755" s="110">
        <v>1272</v>
      </c>
      <c r="H755" s="12">
        <v>45809</v>
      </c>
      <c r="I755" s="24">
        <v>287717.94</v>
      </c>
      <c r="J755" s="10">
        <v>264268.92</v>
      </c>
      <c r="K755" s="3">
        <v>45853</v>
      </c>
      <c r="L755" s="91">
        <v>45915</v>
      </c>
      <c r="M755" s="5">
        <v>45916</v>
      </c>
      <c r="N755" s="36" t="s">
        <v>588</v>
      </c>
      <c r="O755" s="37">
        <v>0</v>
      </c>
      <c r="P755" s="14"/>
      <c r="Q755" t="s">
        <v>58</v>
      </c>
      <c r="R755" t="s">
        <v>183</v>
      </c>
      <c r="S755" t="str">
        <f>IFERROR(VLOOKUP(Tabela1[[#This Row],[CC]],CC!$A$1:$H$403,8,0),"")</f>
        <v>OP2</v>
      </c>
    </row>
    <row r="756" spans="1:21" x14ac:dyDescent="0.3">
      <c r="A756" s="8">
        <v>1300</v>
      </c>
      <c r="B756" s="8" t="str">
        <f>IFERROR(VLOOKUP(Tabela1[[#This Row],[CC]],#REF!,5,0),"")</f>
        <v/>
      </c>
      <c r="C756" t="s">
        <v>66</v>
      </c>
      <c r="D756" t="s">
        <v>16</v>
      </c>
      <c r="E756" t="s">
        <v>275</v>
      </c>
      <c r="F756" t="s">
        <v>586</v>
      </c>
      <c r="G756" s="110">
        <v>8448</v>
      </c>
      <c r="H756" s="12">
        <v>45809</v>
      </c>
      <c r="I756" s="24">
        <v>35127.120000000003</v>
      </c>
      <c r="J756" s="10">
        <v>32264.26</v>
      </c>
      <c r="K756" s="3">
        <v>45874</v>
      </c>
      <c r="L756" s="91">
        <v>45908</v>
      </c>
      <c r="M756" s="5">
        <v>45908</v>
      </c>
      <c r="N756" s="36" t="s">
        <v>588</v>
      </c>
      <c r="O756" s="37">
        <v>0</v>
      </c>
      <c r="P756" s="14"/>
      <c r="Q756" t="s">
        <v>58</v>
      </c>
      <c r="R756" t="s">
        <v>183</v>
      </c>
      <c r="S756" t="str">
        <f>IFERROR(VLOOKUP(Tabela1[[#This Row],[CC]],CC!$A$1:$H$403,8,0),"")</f>
        <v>OP2</v>
      </c>
    </row>
    <row r="757" spans="1:21" x14ac:dyDescent="0.3">
      <c r="A757" s="25">
        <v>1290</v>
      </c>
      <c r="B757" s="25" t="str">
        <f>IFERROR(VLOOKUP(Tabela1[[#This Row],[CC]],#REF!,5,0),"")</f>
        <v/>
      </c>
      <c r="C757" t="s">
        <v>70</v>
      </c>
      <c r="D757" t="s">
        <v>20</v>
      </c>
      <c r="E757" t="s">
        <v>264</v>
      </c>
      <c r="F757" t="s">
        <v>586</v>
      </c>
      <c r="G757" s="110">
        <v>8410</v>
      </c>
      <c r="H757" s="12">
        <v>45809</v>
      </c>
      <c r="I757" s="24">
        <v>53175.27</v>
      </c>
      <c r="J757" s="24">
        <v>46980.35</v>
      </c>
      <c r="K757" s="3">
        <v>45842</v>
      </c>
      <c r="L757" s="91">
        <v>45873</v>
      </c>
      <c r="M757" s="11">
        <v>45875</v>
      </c>
      <c r="N757" s="21" t="s">
        <v>588</v>
      </c>
      <c r="O757" s="35">
        <v>0</v>
      </c>
      <c r="P757" s="26"/>
      <c r="Q757" t="s">
        <v>58</v>
      </c>
      <c r="R757" t="s">
        <v>183</v>
      </c>
      <c r="S757" t="str">
        <f>IFERROR(VLOOKUP(Tabela1[[#This Row],[CC]],CC!$A$1:$H$403,8,0),"")</f>
        <v>OP4</v>
      </c>
    </row>
    <row r="758" spans="1:21" x14ac:dyDescent="0.3">
      <c r="A758" s="25">
        <v>1490</v>
      </c>
      <c r="B758" s="25" t="str">
        <f>IFERROR(VLOOKUP(Tabela1[[#This Row],[CC]],#REF!,5,0),"")</f>
        <v/>
      </c>
      <c r="C758" t="s">
        <v>70</v>
      </c>
      <c r="D758" t="s">
        <v>20</v>
      </c>
      <c r="E758" t="s">
        <v>495</v>
      </c>
      <c r="F758" t="s">
        <v>586</v>
      </c>
      <c r="G758" s="110">
        <v>8406</v>
      </c>
      <c r="H758" s="12">
        <v>45809</v>
      </c>
      <c r="I758" s="24">
        <v>2300</v>
      </c>
      <c r="J758" s="24">
        <v>2032.05</v>
      </c>
      <c r="K758" s="3">
        <v>45842</v>
      </c>
      <c r="L758" s="91">
        <v>45873</v>
      </c>
      <c r="M758" s="11">
        <v>45873</v>
      </c>
      <c r="N758" s="21" t="s">
        <v>588</v>
      </c>
      <c r="O758" s="35">
        <v>0</v>
      </c>
      <c r="P758" s="26"/>
      <c r="Q758" t="s">
        <v>58</v>
      </c>
      <c r="R758" t="s">
        <v>183</v>
      </c>
      <c r="S758" t="str">
        <f>IFERROR(VLOOKUP(Tabela1[[#This Row],[CC]],CC!$A$1:$H$403,8,0),"")</f>
        <v>OP4</v>
      </c>
    </row>
    <row r="759" spans="1:21" x14ac:dyDescent="0.3">
      <c r="A759" s="8">
        <v>1480</v>
      </c>
      <c r="B759" s="8" t="str">
        <f>IFERROR(VLOOKUP(Tabela1[[#This Row],[CC]],#REF!,5,0),"")</f>
        <v/>
      </c>
      <c r="C759" t="s">
        <v>51</v>
      </c>
      <c r="D759" t="s">
        <v>46</v>
      </c>
      <c r="E759" t="s">
        <v>590</v>
      </c>
      <c r="F759" t="s">
        <v>586</v>
      </c>
      <c r="G759" s="110">
        <v>4167</v>
      </c>
      <c r="H759" s="12">
        <v>45809</v>
      </c>
      <c r="I759" s="24">
        <v>329664.71999999997</v>
      </c>
      <c r="J759" s="24">
        <v>309390.34000000003</v>
      </c>
      <c r="K759" s="3">
        <v>45849</v>
      </c>
      <c r="L759" s="91">
        <v>45866</v>
      </c>
      <c r="M759" s="5">
        <v>45868</v>
      </c>
      <c r="N759" s="18" t="s">
        <v>588</v>
      </c>
      <c r="O759" s="37"/>
      <c r="P759" s="14"/>
      <c r="Q759" t="s">
        <v>55</v>
      </c>
      <c r="R759" t="s">
        <v>231</v>
      </c>
      <c r="S759" t="str">
        <f>IFERROR(VLOOKUP(Tabela1[[#This Row],[CC]],CC!$A$1:$H$403,8,0),"")</f>
        <v>OP2</v>
      </c>
    </row>
    <row r="760" spans="1:21" x14ac:dyDescent="0.3">
      <c r="A760" s="8">
        <v>1475</v>
      </c>
      <c r="B760" s="8" t="str">
        <f>IFERROR(VLOOKUP(Tabela1[[#This Row],[CC]],#REF!,5,0),"")</f>
        <v/>
      </c>
      <c r="C760" t="s">
        <v>60</v>
      </c>
      <c r="D760" t="s">
        <v>35</v>
      </c>
      <c r="E760" t="s">
        <v>480</v>
      </c>
      <c r="F760" t="s">
        <v>586</v>
      </c>
      <c r="G760" s="110">
        <v>8405</v>
      </c>
      <c r="H760" s="12">
        <v>45809</v>
      </c>
      <c r="I760" s="24">
        <v>70696.11</v>
      </c>
      <c r="J760" s="10">
        <v>63414.42</v>
      </c>
      <c r="K760" s="3">
        <v>45842</v>
      </c>
      <c r="L760" s="91">
        <v>45852</v>
      </c>
      <c r="M760" s="11">
        <v>45856</v>
      </c>
      <c r="N760" s="18" t="s">
        <v>588</v>
      </c>
      <c r="O760" s="34">
        <v>0</v>
      </c>
      <c r="P760"/>
      <c r="Q760" t="s">
        <v>55</v>
      </c>
      <c r="R760" t="s">
        <v>195</v>
      </c>
      <c r="S760" t="str">
        <f>IFERROR(VLOOKUP(Tabela1[[#This Row],[CC]],CC!$A$1:$H$403,8,0),"")</f>
        <v>OP3</v>
      </c>
    </row>
    <row r="761" spans="1:21" x14ac:dyDescent="0.3">
      <c r="A761" s="8">
        <v>1472</v>
      </c>
      <c r="B761" s="8" t="str">
        <f>IFERROR(VLOOKUP(Tabela1[[#This Row],[CC]],#REF!,5,0),"")</f>
        <v/>
      </c>
      <c r="C761" t="s">
        <v>32</v>
      </c>
      <c r="D761" t="s">
        <v>21</v>
      </c>
      <c r="E761" t="s">
        <v>477</v>
      </c>
      <c r="F761" t="s">
        <v>586</v>
      </c>
      <c r="G761" s="110">
        <v>4147</v>
      </c>
      <c r="H761" s="12">
        <v>45809</v>
      </c>
      <c r="I761" s="24">
        <v>80422.2</v>
      </c>
      <c r="J761" s="24">
        <v>75476.240000000005</v>
      </c>
      <c r="K761" s="3">
        <v>45839</v>
      </c>
      <c r="L761" s="91">
        <v>45859</v>
      </c>
      <c r="M761" s="11">
        <v>45859</v>
      </c>
      <c r="N761" s="18" t="s">
        <v>588</v>
      </c>
      <c r="O761" s="37"/>
      <c r="P761" s="14"/>
      <c r="Q761" t="s">
        <v>57</v>
      </c>
      <c r="R761" t="s">
        <v>231</v>
      </c>
      <c r="S761" t="str">
        <f>IFERROR(VLOOKUP(Tabela1[[#This Row],[CC]],CC!$A$1:$H$403,8,0),"")</f>
        <v>OP1</v>
      </c>
    </row>
    <row r="762" spans="1:21" x14ac:dyDescent="0.3">
      <c r="A762" s="8">
        <v>1378</v>
      </c>
      <c r="B762" s="8" t="str">
        <f>IFERROR(VLOOKUP(Tabela1[[#This Row],[CC]],#REF!,5,0),"")</f>
        <v/>
      </c>
      <c r="C762" t="s">
        <v>51</v>
      </c>
      <c r="D762" t="s">
        <v>5</v>
      </c>
      <c r="E762" t="s">
        <v>361</v>
      </c>
      <c r="F762" t="s">
        <v>586</v>
      </c>
      <c r="G762" s="110">
        <v>8433</v>
      </c>
      <c r="H762" s="12">
        <v>45809</v>
      </c>
      <c r="I762" s="24">
        <v>4281.29</v>
      </c>
      <c r="J762" s="10">
        <v>4017.99</v>
      </c>
      <c r="K762" s="3">
        <v>45855</v>
      </c>
      <c r="L762" s="91">
        <v>45880</v>
      </c>
      <c r="M762" s="5">
        <v>45881</v>
      </c>
      <c r="N762" s="18" t="s">
        <v>588</v>
      </c>
      <c r="O762" s="34">
        <v>0</v>
      </c>
      <c r="P762"/>
      <c r="Q762" t="s">
        <v>57</v>
      </c>
      <c r="R762" t="s">
        <v>231</v>
      </c>
      <c r="S762" t="str">
        <f>IFERROR(VLOOKUP(Tabela1[[#This Row],[CC]],CC!$A$1:$H$403,8,0),"")</f>
        <v>OP2</v>
      </c>
      <c r="T762" t="s">
        <v>1</v>
      </c>
      <c r="U762" t="s">
        <v>2</v>
      </c>
    </row>
    <row r="763" spans="1:21" x14ac:dyDescent="0.3">
      <c r="A763" s="8">
        <v>1247</v>
      </c>
      <c r="B763" s="8" t="str">
        <f>IFERROR(VLOOKUP(Tabela1[[#This Row],[CC]],#REF!,5,0),"")</f>
        <v/>
      </c>
      <c r="C763" t="s">
        <v>70</v>
      </c>
      <c r="D763" t="s">
        <v>14</v>
      </c>
      <c r="E763" t="s">
        <v>214</v>
      </c>
      <c r="F763" t="s">
        <v>586</v>
      </c>
      <c r="G763" s="110">
        <v>8400</v>
      </c>
      <c r="H763" s="12">
        <v>45809</v>
      </c>
      <c r="I763" s="24">
        <v>38395.360000000001</v>
      </c>
      <c r="J763" s="24">
        <v>34440.629999999997</v>
      </c>
      <c r="K763" s="3">
        <v>45839</v>
      </c>
      <c r="L763" s="91">
        <v>45852</v>
      </c>
      <c r="M763" s="11">
        <v>45852</v>
      </c>
      <c r="N763" s="18" t="s">
        <v>588</v>
      </c>
      <c r="O763" s="34">
        <v>0</v>
      </c>
      <c r="P763"/>
      <c r="Q763" t="s">
        <v>58</v>
      </c>
      <c r="R763" t="s">
        <v>195</v>
      </c>
      <c r="S763" t="str">
        <f>IFERROR(VLOOKUP(Tabela1[[#This Row],[CC]],CC!$A$1:$H$403,8,0),"")</f>
        <v>OP4</v>
      </c>
    </row>
    <row r="764" spans="1:21" x14ac:dyDescent="0.3">
      <c r="A764" s="25">
        <v>1358</v>
      </c>
      <c r="B764" s="25" t="str">
        <f>IFERROR(VLOOKUP(Tabela1[[#This Row],[CC]],#REF!,5,0),"")</f>
        <v/>
      </c>
      <c r="C764" t="s">
        <v>70</v>
      </c>
      <c r="D764" t="s">
        <v>12</v>
      </c>
      <c r="E764" t="s">
        <v>335</v>
      </c>
      <c r="F764" t="s">
        <v>586</v>
      </c>
      <c r="G764" s="110">
        <v>8427</v>
      </c>
      <c r="H764" s="12">
        <v>45809</v>
      </c>
      <c r="I764" s="24">
        <v>89150.64</v>
      </c>
      <c r="J764" s="24">
        <v>79968.13</v>
      </c>
      <c r="K764" s="3">
        <v>45852</v>
      </c>
      <c r="L764" s="91">
        <v>45880</v>
      </c>
      <c r="M764" s="11">
        <v>45883</v>
      </c>
      <c r="N764" s="18" t="s">
        <v>588</v>
      </c>
      <c r="O764" s="35">
        <v>0</v>
      </c>
      <c r="P764"/>
      <c r="Q764" t="s">
        <v>58</v>
      </c>
      <c r="R764" t="s">
        <v>195</v>
      </c>
      <c r="S764" t="str">
        <f>IFERROR(VLOOKUP(Tabela1[[#This Row],[CC]],CC!$A$1:$H$403,8,0),"")</f>
        <v>OP4</v>
      </c>
    </row>
    <row r="765" spans="1:21" x14ac:dyDescent="0.3">
      <c r="A765" s="8">
        <v>1358</v>
      </c>
      <c r="B765" s="8" t="str">
        <f>IFERROR(VLOOKUP(Tabela1[[#This Row],[CC]],#REF!,5,0),"")</f>
        <v/>
      </c>
      <c r="C765" t="s">
        <v>70</v>
      </c>
      <c r="D765" t="s">
        <v>12</v>
      </c>
      <c r="E765" t="s">
        <v>335</v>
      </c>
      <c r="F765" t="s">
        <v>586</v>
      </c>
      <c r="G765" s="110">
        <v>8428</v>
      </c>
      <c r="H765" s="12">
        <v>45809</v>
      </c>
      <c r="I765" s="24">
        <v>8736.76</v>
      </c>
      <c r="J765" s="24">
        <v>7836.87</v>
      </c>
      <c r="K765" s="3">
        <v>45852</v>
      </c>
      <c r="L765" s="91">
        <v>45880</v>
      </c>
      <c r="M765" s="11">
        <v>45880</v>
      </c>
      <c r="N765" s="18" t="s">
        <v>588</v>
      </c>
      <c r="O765" s="34">
        <v>0</v>
      </c>
      <c r="P765"/>
      <c r="Q765" t="s">
        <v>58</v>
      </c>
      <c r="R765" t="s">
        <v>195</v>
      </c>
      <c r="S765" t="str">
        <f>IFERROR(VLOOKUP(Tabela1[[#This Row],[CC]],CC!$A$1:$H$403,8,0),"")</f>
        <v>OP4</v>
      </c>
    </row>
    <row r="766" spans="1:21" x14ac:dyDescent="0.3">
      <c r="A766" s="8">
        <v>1473</v>
      </c>
      <c r="B766" s="8" t="str">
        <f>IFERROR(VLOOKUP(Tabela1[[#This Row],[CC]],#REF!,5,0),"")</f>
        <v/>
      </c>
      <c r="C766" t="s">
        <v>70</v>
      </c>
      <c r="D766" t="s">
        <v>63</v>
      </c>
      <c r="E766" t="s">
        <v>478</v>
      </c>
      <c r="F766" t="s">
        <v>586</v>
      </c>
      <c r="G766" s="110">
        <v>8449</v>
      </c>
      <c r="H766" s="12">
        <v>45809</v>
      </c>
      <c r="I766" s="24">
        <v>225527.76</v>
      </c>
      <c r="J766" s="24">
        <v>207875.76</v>
      </c>
      <c r="K766" s="3">
        <v>45874</v>
      </c>
      <c r="L766" s="91">
        <v>45880</v>
      </c>
      <c r="M766" s="11">
        <v>45884</v>
      </c>
      <c r="N766" s="18" t="s">
        <v>588</v>
      </c>
      <c r="O766" s="34">
        <v>0</v>
      </c>
      <c r="P766"/>
      <c r="Q766" t="s">
        <v>58</v>
      </c>
      <c r="R766" t="s">
        <v>195</v>
      </c>
      <c r="S766" t="str">
        <f>IFERROR(VLOOKUP(Tabela1[[#This Row],[CC]],CC!$A$1:$H$403,8,0),"")</f>
        <v>OP4</v>
      </c>
    </row>
    <row r="767" spans="1:21" x14ac:dyDescent="0.3">
      <c r="A767" s="25">
        <v>1462</v>
      </c>
      <c r="B767" s="25" t="str">
        <f>IFERROR(VLOOKUP(Tabela1[[#This Row],[CC]],#REF!,5,0),"")</f>
        <v/>
      </c>
      <c r="C767" t="s">
        <v>67</v>
      </c>
      <c r="D767" t="s">
        <v>76</v>
      </c>
      <c r="E767" t="s">
        <v>465</v>
      </c>
      <c r="F767" t="s">
        <v>586</v>
      </c>
      <c r="G767" s="110">
        <v>8467</v>
      </c>
      <c r="H767" s="12">
        <v>45809</v>
      </c>
      <c r="I767" s="24">
        <v>1342.67</v>
      </c>
      <c r="J767" s="24">
        <v>1260.0899999999999</v>
      </c>
      <c r="K767" s="3">
        <v>45880</v>
      </c>
      <c r="L767" s="91">
        <v>45880</v>
      </c>
      <c r="M767" s="11">
        <v>45880</v>
      </c>
      <c r="N767" s="18" t="s">
        <v>588</v>
      </c>
      <c r="O767" s="35">
        <v>0</v>
      </c>
      <c r="P767" s="26"/>
      <c r="Q767" t="s">
        <v>58</v>
      </c>
      <c r="R767" t="s">
        <v>228</v>
      </c>
      <c r="S767" t="str">
        <f>IFERROR(VLOOKUP(Tabela1[[#This Row],[CC]],CC!$A$1:$H$403,8,0),"")</f>
        <v>OP2</v>
      </c>
    </row>
    <row r="768" spans="1:21" x14ac:dyDescent="0.3">
      <c r="A768" s="8">
        <v>1390</v>
      </c>
      <c r="B768" s="8" t="str">
        <f>IFERROR(VLOOKUP(Tabela1[[#This Row],[CC]],#REF!,5,0),"")</f>
        <v/>
      </c>
      <c r="C768" t="s">
        <v>66</v>
      </c>
      <c r="D768" t="s">
        <v>11</v>
      </c>
      <c r="E768" t="s">
        <v>374</v>
      </c>
      <c r="F768" t="s">
        <v>586</v>
      </c>
      <c r="G768" s="110">
        <v>652</v>
      </c>
      <c r="H768" s="12">
        <v>44927</v>
      </c>
      <c r="I768" s="10">
        <v>34342.573333333334</v>
      </c>
      <c r="J768" s="10">
        <v>32301.82</v>
      </c>
      <c r="K768" s="3">
        <v>44973</v>
      </c>
      <c r="L768" s="91">
        <v>46013</v>
      </c>
      <c r="M768" s="11">
        <v>46014</v>
      </c>
      <c r="N768" s="18" t="s">
        <v>588</v>
      </c>
      <c r="O768" s="34">
        <v>0</v>
      </c>
      <c r="P768"/>
      <c r="Q768" t="s">
        <v>58</v>
      </c>
      <c r="R768" t="s">
        <v>183</v>
      </c>
      <c r="S768" t="str">
        <f>IFERROR(VLOOKUP(Tabela1[[#This Row],[CC]],CC!$A$1:$H$403,8,0),"")</f>
        <v>OP2</v>
      </c>
      <c r="T768" t="s">
        <v>1</v>
      </c>
      <c r="U768" t="s">
        <v>10</v>
      </c>
    </row>
    <row r="769" spans="1:19" x14ac:dyDescent="0.3">
      <c r="A769" s="13">
        <v>1260</v>
      </c>
      <c r="B769" s="13" t="str">
        <f>IFERROR(VLOOKUP(Tabela1[[#This Row],[CC]],#REF!,5,0),"")</f>
        <v/>
      </c>
      <c r="C769" t="s">
        <v>51</v>
      </c>
      <c r="D769" t="s">
        <v>39</v>
      </c>
      <c r="E769" t="s">
        <v>227</v>
      </c>
      <c r="F769" t="s">
        <v>586</v>
      </c>
      <c r="G769" s="110">
        <v>4148</v>
      </c>
      <c r="H769" s="12">
        <v>45809</v>
      </c>
      <c r="I769" s="24">
        <v>10914</v>
      </c>
      <c r="J769" s="24">
        <v>10242.790000000001</v>
      </c>
      <c r="K769" s="3">
        <v>45839</v>
      </c>
      <c r="L769" s="91">
        <v>45859</v>
      </c>
      <c r="M769" s="11">
        <v>45861</v>
      </c>
      <c r="N769" s="19" t="s">
        <v>588</v>
      </c>
      <c r="O769" s="34">
        <v>0</v>
      </c>
      <c r="P769"/>
      <c r="Q769" t="s">
        <v>55</v>
      </c>
      <c r="R769" t="s">
        <v>228</v>
      </c>
      <c r="S769" t="str">
        <f>IFERROR(VLOOKUP(Tabela1[[#This Row],[CC]],CC!$A$1:$H$403,8,0),"")</f>
        <v>OP2</v>
      </c>
    </row>
    <row r="770" spans="1:19" x14ac:dyDescent="0.3">
      <c r="A770" s="25">
        <v>1485</v>
      </c>
      <c r="B770" s="25" t="str">
        <f>IFERROR(VLOOKUP(Tabela1[[#This Row],[CC]],#REF!,5,0),"")</f>
        <v/>
      </c>
      <c r="C770" t="s">
        <v>51</v>
      </c>
      <c r="D770" t="s">
        <v>23</v>
      </c>
      <c r="E770" t="s">
        <v>591</v>
      </c>
      <c r="F770" t="s">
        <v>586</v>
      </c>
      <c r="G770" s="110">
        <v>4226</v>
      </c>
      <c r="H770" s="12">
        <v>45809</v>
      </c>
      <c r="I770" s="24">
        <v>27092.86</v>
      </c>
      <c r="J770" s="24">
        <v>25426.65</v>
      </c>
      <c r="K770" s="3">
        <v>45874</v>
      </c>
      <c r="L770" s="91">
        <v>45929</v>
      </c>
      <c r="M770" s="11">
        <v>45930</v>
      </c>
      <c r="N770" s="18" t="s">
        <v>588</v>
      </c>
      <c r="O770" s="35"/>
      <c r="P770" s="26"/>
      <c r="Q770" t="s">
        <v>55</v>
      </c>
      <c r="R770" t="s">
        <v>231</v>
      </c>
      <c r="S770" t="str">
        <f>IFERROR(VLOOKUP(Tabela1[[#This Row],[CC]],CC!$A$1:$H$403,8,0),"")</f>
        <v>OP2</v>
      </c>
    </row>
    <row r="771" spans="1:19" x14ac:dyDescent="0.3">
      <c r="A771" s="8">
        <v>1482</v>
      </c>
      <c r="B771" s="8" t="str">
        <f>IFERROR(VLOOKUP(Tabela1[[#This Row],[CC]],#REF!,5,0),"")</f>
        <v/>
      </c>
      <c r="C771" t="s">
        <v>66</v>
      </c>
      <c r="D771" t="s">
        <v>16</v>
      </c>
      <c r="E771" t="s">
        <v>487</v>
      </c>
      <c r="F771" t="s">
        <v>586</v>
      </c>
      <c r="G771" s="110">
        <v>8407</v>
      </c>
      <c r="H771" s="12">
        <v>45809</v>
      </c>
      <c r="I771" s="24">
        <v>39000</v>
      </c>
      <c r="J771" s="24">
        <v>35236.5</v>
      </c>
      <c r="K771" s="3">
        <v>45842</v>
      </c>
      <c r="L771" s="91">
        <v>45866</v>
      </c>
      <c r="M771" s="11">
        <v>45868</v>
      </c>
      <c r="N771" s="36" t="s">
        <v>588</v>
      </c>
      <c r="O771" s="42"/>
      <c r="P771" s="14"/>
      <c r="Q771" t="s">
        <v>58</v>
      </c>
      <c r="R771" t="s">
        <v>183</v>
      </c>
      <c r="S771" t="str">
        <f>IFERROR(VLOOKUP(Tabela1[[#This Row],[CC]],CC!$A$1:$H$403,8,0),"")</f>
        <v>OP2</v>
      </c>
    </row>
    <row r="772" spans="1:19" x14ac:dyDescent="0.3">
      <c r="A772" s="25">
        <v>1262</v>
      </c>
      <c r="B772" s="25" t="str">
        <f>IFERROR(VLOOKUP(Tabela1[[#This Row],[CC]],#REF!,5,0),"")</f>
        <v/>
      </c>
      <c r="C772" t="s">
        <v>51</v>
      </c>
      <c r="D772" t="s">
        <v>25</v>
      </c>
      <c r="E772" t="s">
        <v>230</v>
      </c>
      <c r="F772" t="s">
        <v>586</v>
      </c>
      <c r="G772" s="110">
        <v>4188</v>
      </c>
      <c r="H772" s="12">
        <v>45809</v>
      </c>
      <c r="I772" s="24">
        <v>4945.8100000000004</v>
      </c>
      <c r="J772" s="24">
        <v>4641.6400000000003</v>
      </c>
      <c r="K772" s="3">
        <v>45860</v>
      </c>
      <c r="L772" s="91">
        <v>45866</v>
      </c>
      <c r="M772" s="11">
        <v>45869</v>
      </c>
      <c r="N772" s="18" t="s">
        <v>588</v>
      </c>
      <c r="O772" s="34">
        <v>0</v>
      </c>
      <c r="P772" s="14"/>
      <c r="Q772" t="s">
        <v>55</v>
      </c>
      <c r="R772" t="s">
        <v>231</v>
      </c>
      <c r="S772" t="str">
        <f>IFERROR(VLOOKUP(Tabela1[[#This Row],[CC]],CC!$A$1:$H$403,8,0),"")</f>
        <v>OP2</v>
      </c>
    </row>
    <row r="773" spans="1:19" x14ac:dyDescent="0.3">
      <c r="A773" s="25">
        <v>1262</v>
      </c>
      <c r="B773" s="25" t="str">
        <f>IFERROR(VLOOKUP(Tabela1[[#This Row],[CC]],#REF!,5,0),"")</f>
        <v/>
      </c>
      <c r="C773" t="s">
        <v>51</v>
      </c>
      <c r="D773" t="s">
        <v>25</v>
      </c>
      <c r="E773" t="s">
        <v>230</v>
      </c>
      <c r="F773" t="s">
        <v>586</v>
      </c>
      <c r="G773" s="110">
        <v>4183</v>
      </c>
      <c r="H773" s="12">
        <v>45809</v>
      </c>
      <c r="I773" s="24">
        <v>32021.86</v>
      </c>
      <c r="J773" s="27">
        <v>30052.51</v>
      </c>
      <c r="K773" s="3">
        <v>45860</v>
      </c>
      <c r="L773" s="91">
        <v>45866</v>
      </c>
      <c r="M773" s="11">
        <v>45869</v>
      </c>
      <c r="N773" s="18" t="s">
        <v>588</v>
      </c>
      <c r="O773" s="35">
        <v>0</v>
      </c>
      <c r="P773" s="26"/>
      <c r="Q773" t="s">
        <v>55</v>
      </c>
      <c r="R773" t="s">
        <v>231</v>
      </c>
      <c r="S773" t="str">
        <f>IFERROR(VLOOKUP(Tabela1[[#This Row],[CC]],CC!$A$1:$H$403,8,0),"")</f>
        <v>OP2</v>
      </c>
    </row>
    <row r="774" spans="1:19" x14ac:dyDescent="0.3">
      <c r="A774" s="25">
        <v>1262</v>
      </c>
      <c r="B774" s="25" t="str">
        <f>IFERROR(VLOOKUP(Tabela1[[#This Row],[CC]],#REF!,5,0),"")</f>
        <v/>
      </c>
      <c r="C774" t="s">
        <v>51</v>
      </c>
      <c r="D774" t="s">
        <v>25</v>
      </c>
      <c r="E774" t="s">
        <v>230</v>
      </c>
      <c r="F774" t="s">
        <v>586</v>
      </c>
      <c r="G774" s="110">
        <v>4184</v>
      </c>
      <c r="H774" s="12">
        <v>45809</v>
      </c>
      <c r="I774" s="24">
        <v>18782.93</v>
      </c>
      <c r="J774" s="27">
        <v>17627.78</v>
      </c>
      <c r="K774" s="3">
        <v>45860</v>
      </c>
      <c r="L774" s="91">
        <v>45866</v>
      </c>
      <c r="M774" s="11">
        <v>45869</v>
      </c>
      <c r="N774" s="18" t="s">
        <v>588</v>
      </c>
      <c r="O774" s="35">
        <v>0</v>
      </c>
      <c r="P774" s="26"/>
      <c r="Q774" t="s">
        <v>55</v>
      </c>
      <c r="R774" t="s">
        <v>231</v>
      </c>
      <c r="S774" t="str">
        <f>IFERROR(VLOOKUP(Tabela1[[#This Row],[CC]],CC!$A$1:$H$403,8,0),"")</f>
        <v>OP2</v>
      </c>
    </row>
    <row r="775" spans="1:19" x14ac:dyDescent="0.3">
      <c r="A775" s="25">
        <v>1262</v>
      </c>
      <c r="B775" s="25" t="str">
        <f>IFERROR(VLOOKUP(Tabela1[[#This Row],[CC]],#REF!,5,0),"")</f>
        <v/>
      </c>
      <c r="C775" t="s">
        <v>51</v>
      </c>
      <c r="D775" t="s">
        <v>25</v>
      </c>
      <c r="E775" t="s">
        <v>230</v>
      </c>
      <c r="F775" t="s">
        <v>586</v>
      </c>
      <c r="G775" s="110">
        <v>4185</v>
      </c>
      <c r="H775" s="12">
        <v>45809</v>
      </c>
      <c r="I775" s="24">
        <v>17258.98</v>
      </c>
      <c r="J775" s="27">
        <v>16197.56</v>
      </c>
      <c r="K775" s="3">
        <v>45860</v>
      </c>
      <c r="L775" s="91">
        <v>45866</v>
      </c>
      <c r="M775" s="11">
        <v>45869</v>
      </c>
      <c r="N775" s="18" t="s">
        <v>588</v>
      </c>
      <c r="O775" s="35">
        <v>0</v>
      </c>
      <c r="P775" s="26"/>
      <c r="Q775" t="s">
        <v>55</v>
      </c>
      <c r="R775" t="s">
        <v>231</v>
      </c>
      <c r="S775" t="str">
        <f>IFERROR(VLOOKUP(Tabela1[[#This Row],[CC]],CC!$A$1:$H$403,8,0),"")</f>
        <v>OP2</v>
      </c>
    </row>
    <row r="776" spans="1:19" x14ac:dyDescent="0.3">
      <c r="A776" s="25">
        <v>1262</v>
      </c>
      <c r="B776" s="25" t="str">
        <f>IFERROR(VLOOKUP(Tabela1[[#This Row],[CC]],#REF!,5,0),"")</f>
        <v/>
      </c>
      <c r="C776" t="s">
        <v>51</v>
      </c>
      <c r="D776" t="s">
        <v>25</v>
      </c>
      <c r="E776" t="s">
        <v>230</v>
      </c>
      <c r="F776" t="s">
        <v>586</v>
      </c>
      <c r="G776" s="110">
        <v>4186</v>
      </c>
      <c r="H776" s="12">
        <v>45809</v>
      </c>
      <c r="I776" s="24">
        <v>57945.79</v>
      </c>
      <c r="J776" s="27">
        <v>54382.12</v>
      </c>
      <c r="K776" s="3">
        <v>45860</v>
      </c>
      <c r="L776" s="91">
        <v>45866</v>
      </c>
      <c r="M776" s="11">
        <v>45869</v>
      </c>
      <c r="N776" s="18" t="s">
        <v>588</v>
      </c>
      <c r="O776" s="35">
        <v>0</v>
      </c>
      <c r="P776" s="26"/>
      <c r="Q776" t="s">
        <v>55</v>
      </c>
      <c r="R776" t="s">
        <v>231</v>
      </c>
      <c r="S776" t="str">
        <f>IFERROR(VLOOKUP(Tabela1[[#This Row],[CC]],CC!$A$1:$H$403,8,0),"")</f>
        <v>OP2</v>
      </c>
    </row>
    <row r="777" spans="1:19" x14ac:dyDescent="0.3">
      <c r="A777" s="25">
        <v>1262</v>
      </c>
      <c r="B777" s="25" t="str">
        <f>IFERROR(VLOOKUP(Tabela1[[#This Row],[CC]],#REF!,5,0),"")</f>
        <v/>
      </c>
      <c r="C777" t="s">
        <v>51</v>
      </c>
      <c r="D777" t="s">
        <v>25</v>
      </c>
      <c r="E777" t="s">
        <v>230</v>
      </c>
      <c r="F777" t="s">
        <v>586</v>
      </c>
      <c r="G777" s="110">
        <v>4189</v>
      </c>
      <c r="H777" s="12">
        <v>45809</v>
      </c>
      <c r="I777" s="24">
        <v>7396.7</v>
      </c>
      <c r="J777" s="27">
        <v>6941.8</v>
      </c>
      <c r="K777" s="3">
        <v>45860</v>
      </c>
      <c r="L777" s="91">
        <v>45866</v>
      </c>
      <c r="M777" s="11">
        <v>45869</v>
      </c>
      <c r="N777" s="18" t="s">
        <v>588</v>
      </c>
      <c r="O777" s="35">
        <v>0</v>
      </c>
      <c r="P777" s="26"/>
      <c r="Q777" t="s">
        <v>55</v>
      </c>
      <c r="R777" t="s">
        <v>231</v>
      </c>
      <c r="S777" t="str">
        <f>IFERROR(VLOOKUP(Tabela1[[#This Row],[CC]],CC!$A$1:$H$403,8,0),"")</f>
        <v>OP2</v>
      </c>
    </row>
    <row r="778" spans="1:19" x14ac:dyDescent="0.3">
      <c r="A778" s="8">
        <v>1269</v>
      </c>
      <c r="B778" s="8" t="str">
        <f>IFERROR(VLOOKUP(Tabela1[[#This Row],[CC]],#REF!,5,0),"")</f>
        <v/>
      </c>
      <c r="C778" t="s">
        <v>51</v>
      </c>
      <c r="D778" t="s">
        <v>25</v>
      </c>
      <c r="E778" t="s">
        <v>239</v>
      </c>
      <c r="F778" t="s">
        <v>586</v>
      </c>
      <c r="G778" s="110">
        <v>4187</v>
      </c>
      <c r="H778" s="12">
        <v>45809</v>
      </c>
      <c r="I778" s="24">
        <v>198578.23</v>
      </c>
      <c r="J778" s="24">
        <v>186365.67</v>
      </c>
      <c r="K778" s="3">
        <v>45860</v>
      </c>
      <c r="L778" s="91">
        <v>45866</v>
      </c>
      <c r="M778" s="11">
        <v>45869</v>
      </c>
      <c r="N778" s="18" t="s">
        <v>588</v>
      </c>
      <c r="O778" s="34">
        <v>0</v>
      </c>
      <c r="P778" s="14"/>
      <c r="Q778" t="s">
        <v>58</v>
      </c>
      <c r="R778" t="s">
        <v>231</v>
      </c>
      <c r="S778" t="str">
        <f>IFERROR(VLOOKUP(Tabela1[[#This Row],[CC]],CC!$A$1:$H$403,8,0),"")</f>
        <v>OP2</v>
      </c>
    </row>
    <row r="779" spans="1:19" x14ac:dyDescent="0.3">
      <c r="A779" s="8">
        <v>1269</v>
      </c>
      <c r="B779" s="8" t="str">
        <f>IFERROR(VLOOKUP(Tabela1[[#This Row],[CC]],#REF!,5,0),"")</f>
        <v/>
      </c>
      <c r="C779" t="s">
        <v>51</v>
      </c>
      <c r="D779" t="s">
        <v>25</v>
      </c>
      <c r="E779" t="s">
        <v>239</v>
      </c>
      <c r="F779" t="s">
        <v>586</v>
      </c>
      <c r="G779" s="110">
        <v>4190</v>
      </c>
      <c r="H779" s="12">
        <v>45809</v>
      </c>
      <c r="I779" s="24">
        <v>10876.23</v>
      </c>
      <c r="J779" s="24">
        <v>10207.35</v>
      </c>
      <c r="K779" s="3">
        <v>45860</v>
      </c>
      <c r="L779" s="91">
        <v>45866</v>
      </c>
      <c r="M779" s="11">
        <v>45869</v>
      </c>
      <c r="N779" s="18" t="s">
        <v>588</v>
      </c>
      <c r="O779" s="34">
        <v>0</v>
      </c>
      <c r="P779" s="14"/>
      <c r="Q779" t="s">
        <v>58</v>
      </c>
      <c r="R779" t="s">
        <v>231</v>
      </c>
      <c r="S779" t="str">
        <f>IFERROR(VLOOKUP(Tabela1[[#This Row],[CC]],CC!$A$1:$H$403,8,0),"")</f>
        <v>OP2</v>
      </c>
    </row>
    <row r="780" spans="1:19" x14ac:dyDescent="0.3">
      <c r="A780" s="8">
        <v>1269</v>
      </c>
      <c r="B780" s="8" t="str">
        <f>IFERROR(VLOOKUP(Tabela1[[#This Row],[CC]],#REF!,5,0),"")</f>
        <v/>
      </c>
      <c r="C780" t="s">
        <v>51</v>
      </c>
      <c r="D780" t="s">
        <v>25</v>
      </c>
      <c r="E780" t="s">
        <v>239</v>
      </c>
      <c r="F780" t="s">
        <v>586</v>
      </c>
      <c r="G780" s="110">
        <v>4191</v>
      </c>
      <c r="H780" s="12">
        <v>45809</v>
      </c>
      <c r="I780" s="24">
        <v>6655.99</v>
      </c>
      <c r="J780" s="24">
        <v>6246.65</v>
      </c>
      <c r="K780" s="3">
        <v>45860</v>
      </c>
      <c r="L780" s="91">
        <v>45866</v>
      </c>
      <c r="M780" s="11">
        <v>45869</v>
      </c>
      <c r="N780" s="18" t="s">
        <v>588</v>
      </c>
      <c r="O780" s="34">
        <v>0</v>
      </c>
      <c r="P780" s="14"/>
      <c r="Q780" t="s">
        <v>58</v>
      </c>
      <c r="R780" t="s">
        <v>231</v>
      </c>
      <c r="S780" t="str">
        <f>IFERROR(VLOOKUP(Tabela1[[#This Row],[CC]],CC!$A$1:$H$403,8,0),"")</f>
        <v>OP2</v>
      </c>
    </row>
    <row r="781" spans="1:19" x14ac:dyDescent="0.3">
      <c r="A781" s="8">
        <v>1269</v>
      </c>
      <c r="B781" s="8" t="str">
        <f>IFERROR(VLOOKUP(Tabela1[[#This Row],[CC]],#REF!,5,0),"")</f>
        <v/>
      </c>
      <c r="C781" t="s">
        <v>51</v>
      </c>
      <c r="D781" t="s">
        <v>25</v>
      </c>
      <c r="E781" t="s">
        <v>239</v>
      </c>
      <c r="F781" t="s">
        <v>586</v>
      </c>
      <c r="G781" s="110">
        <v>4192</v>
      </c>
      <c r="H781" s="12">
        <v>45809</v>
      </c>
      <c r="I781" s="24">
        <v>30699.4</v>
      </c>
      <c r="J781" s="24">
        <v>28811.39</v>
      </c>
      <c r="K781" s="3">
        <v>45860</v>
      </c>
      <c r="L781" s="91">
        <v>45866</v>
      </c>
      <c r="M781" s="11">
        <v>45869</v>
      </c>
      <c r="N781" s="18" t="s">
        <v>588</v>
      </c>
      <c r="O781" s="34">
        <v>0</v>
      </c>
      <c r="P781" s="14"/>
      <c r="Q781" t="s">
        <v>58</v>
      </c>
      <c r="R781" t="s">
        <v>231</v>
      </c>
      <c r="S781" t="str">
        <f>IFERROR(VLOOKUP(Tabela1[[#This Row],[CC]],CC!$A$1:$H$403,8,0),"")</f>
        <v>OP2</v>
      </c>
    </row>
    <row r="782" spans="1:19" x14ac:dyDescent="0.3">
      <c r="A782" s="25">
        <v>1400</v>
      </c>
      <c r="B782" s="25" t="str">
        <f>IFERROR(VLOOKUP(Tabela1[[#This Row],[CC]],#REF!,5,0),"")</f>
        <v/>
      </c>
      <c r="C782" t="s">
        <v>64</v>
      </c>
      <c r="D782" t="s">
        <v>4</v>
      </c>
      <c r="E782" t="s">
        <v>385</v>
      </c>
      <c r="F782" t="s">
        <v>586</v>
      </c>
      <c r="G782" s="110">
        <v>8444</v>
      </c>
      <c r="H782" s="12">
        <v>45809</v>
      </c>
      <c r="I782" s="24">
        <v>77751.44</v>
      </c>
      <c r="J782" s="24">
        <v>70248.44</v>
      </c>
      <c r="K782" s="3">
        <v>45870</v>
      </c>
      <c r="L782" s="91">
        <v>45873</v>
      </c>
      <c r="M782" s="11">
        <v>45876</v>
      </c>
      <c r="N782" s="18" t="s">
        <v>588</v>
      </c>
      <c r="O782" s="38">
        <v>0</v>
      </c>
      <c r="P782"/>
      <c r="Q782" t="s">
        <v>55</v>
      </c>
      <c r="R782" t="s">
        <v>183</v>
      </c>
      <c r="S782" t="str">
        <f>IFERROR(VLOOKUP(Tabela1[[#This Row],[CC]],CC!$A$1:$H$403,8,0),"")</f>
        <v>OP1</v>
      </c>
    </row>
    <row r="783" spans="1:19" x14ac:dyDescent="0.3">
      <c r="A783" s="25">
        <v>1400</v>
      </c>
      <c r="B783" s="25" t="str">
        <f>IFERROR(VLOOKUP(Tabela1[[#This Row],[CC]],#REF!,5,0),"")</f>
        <v/>
      </c>
      <c r="C783" t="s">
        <v>64</v>
      </c>
      <c r="D783" t="s">
        <v>4</v>
      </c>
      <c r="E783" t="s">
        <v>385</v>
      </c>
      <c r="F783" t="s">
        <v>586</v>
      </c>
      <c r="G783" s="110">
        <v>8635</v>
      </c>
      <c r="H783" s="12">
        <v>45809</v>
      </c>
      <c r="I783" s="24">
        <v>471529.37</v>
      </c>
      <c r="J783" s="27">
        <v>426026.79</v>
      </c>
      <c r="K783" s="3">
        <v>45992</v>
      </c>
      <c r="L783" s="91">
        <v>45992</v>
      </c>
      <c r="M783" s="11">
        <v>45995</v>
      </c>
      <c r="N783" s="18" t="s">
        <v>588</v>
      </c>
      <c r="O783" s="38"/>
      <c r="P783"/>
      <c r="Q783" t="s">
        <v>55</v>
      </c>
      <c r="R783" t="s">
        <v>183</v>
      </c>
      <c r="S783" t="str">
        <f>IFERROR(VLOOKUP(Tabela1[[#This Row],[CC]],CC!$A$1:$H$403,8,0),"")</f>
        <v>OP1</v>
      </c>
    </row>
    <row r="784" spans="1:19" x14ac:dyDescent="0.3">
      <c r="A784" s="8">
        <v>1366</v>
      </c>
      <c r="B784" s="8" t="str">
        <f>IFERROR(VLOOKUP(Tabela1[[#This Row],[CC]],#REF!,5,0),"")</f>
        <v/>
      </c>
      <c r="C784" t="s">
        <v>64</v>
      </c>
      <c r="D784" t="s">
        <v>4</v>
      </c>
      <c r="E784" t="s">
        <v>345</v>
      </c>
      <c r="F784" t="s">
        <v>586</v>
      </c>
      <c r="G784" s="110">
        <v>1280</v>
      </c>
      <c r="H784" s="12">
        <v>45809</v>
      </c>
      <c r="I784" s="24">
        <v>328350.03000000003</v>
      </c>
      <c r="J784" s="10">
        <v>296664.25</v>
      </c>
      <c r="K784" s="3">
        <v>45870</v>
      </c>
      <c r="L784" s="91">
        <v>45873</v>
      </c>
      <c r="M784" s="11">
        <v>45876</v>
      </c>
      <c r="N784" s="18" t="s">
        <v>588</v>
      </c>
      <c r="O784" s="34">
        <v>0</v>
      </c>
      <c r="P784"/>
      <c r="Q784" t="s">
        <v>58</v>
      </c>
      <c r="R784" t="s">
        <v>183</v>
      </c>
      <c r="S784" t="str">
        <f>IFERROR(VLOOKUP(Tabela1[[#This Row],[CC]],CC!$A$1:$H$403,8,0),"")</f>
        <v>OP1</v>
      </c>
    </row>
    <row r="785" spans="1:19" x14ac:dyDescent="0.3">
      <c r="A785" s="25">
        <v>1388</v>
      </c>
      <c r="B785" s="25" t="str">
        <f>IFERROR(VLOOKUP(Tabela1[[#This Row],[CC]],#REF!,5,0),"")</f>
        <v/>
      </c>
      <c r="C785" t="s">
        <v>64</v>
      </c>
      <c r="D785" t="s">
        <v>4</v>
      </c>
      <c r="E785" t="s">
        <v>373</v>
      </c>
      <c r="F785" t="s">
        <v>586</v>
      </c>
      <c r="G785" s="110">
        <v>4219</v>
      </c>
      <c r="H785" s="12">
        <v>45809</v>
      </c>
      <c r="I785" s="24">
        <v>180632.85</v>
      </c>
      <c r="J785" s="24">
        <v>163201.78</v>
      </c>
      <c r="K785" s="3">
        <v>45870</v>
      </c>
      <c r="L785" s="91">
        <v>45873</v>
      </c>
      <c r="M785" s="11">
        <v>45876</v>
      </c>
      <c r="N785" s="18" t="s">
        <v>588</v>
      </c>
      <c r="O785" s="35">
        <v>0</v>
      </c>
      <c r="P785"/>
      <c r="Q785" t="s">
        <v>55</v>
      </c>
      <c r="R785" t="s">
        <v>183</v>
      </c>
      <c r="S785" t="str">
        <f>IFERROR(VLOOKUP(Tabela1[[#This Row],[CC]],CC!$A$1:$H$403,8,0),"")</f>
        <v>OP1</v>
      </c>
    </row>
    <row r="786" spans="1:19" x14ac:dyDescent="0.3">
      <c r="A786" s="8">
        <v>1298</v>
      </c>
      <c r="B786" s="8" t="str">
        <f>IFERROR(VLOOKUP(Tabela1[[#This Row],[CC]],#REF!,5,0),"")</f>
        <v/>
      </c>
      <c r="C786" t="str">
        <f>IFERROR(VLOOKUP(Tabela1[[#This Row],[CC]],CC!$A$1:$H$389,7,0),"")</f>
        <v>JOSÉ NETO</v>
      </c>
      <c r="D786" t="s">
        <v>17</v>
      </c>
      <c r="E786" t="s">
        <v>273</v>
      </c>
      <c r="F786" t="s">
        <v>586</v>
      </c>
      <c r="G786" s="110">
        <v>1273</v>
      </c>
      <c r="H786" s="12">
        <v>45809</v>
      </c>
      <c r="I786" s="24">
        <v>275594.28999999998</v>
      </c>
      <c r="J786" s="24">
        <v>258645.25</v>
      </c>
      <c r="K786" s="3">
        <v>45854</v>
      </c>
      <c r="L786" s="91">
        <v>45859</v>
      </c>
      <c r="M786" s="11">
        <v>45863</v>
      </c>
      <c r="N786" s="18" t="s">
        <v>588</v>
      </c>
      <c r="O786" s="34">
        <v>0</v>
      </c>
      <c r="P786"/>
      <c r="Q786" t="s">
        <v>58</v>
      </c>
      <c r="R786" t="s">
        <v>195</v>
      </c>
      <c r="S786" t="str">
        <f>IFERROR(VLOOKUP(Tabela1[[#This Row],[CC]],CC!$A$1:$H$403,8,0),"")</f>
        <v>OP2</v>
      </c>
    </row>
    <row r="787" spans="1:19" x14ac:dyDescent="0.3">
      <c r="A787" s="8">
        <v>1289</v>
      </c>
      <c r="B787" s="8" t="str">
        <f>IFERROR(VLOOKUP(Tabela1[[#This Row],[CC]],#REF!,5,0),"")</f>
        <v/>
      </c>
      <c r="C787" t="s">
        <v>60</v>
      </c>
      <c r="D787" t="s">
        <v>15</v>
      </c>
      <c r="E787" t="s">
        <v>263</v>
      </c>
      <c r="F787" t="s">
        <v>586</v>
      </c>
      <c r="G787" s="110">
        <v>8401</v>
      </c>
      <c r="H787" s="12">
        <v>45809</v>
      </c>
      <c r="I787" s="24">
        <v>257289.7</v>
      </c>
      <c r="J787" s="10">
        <v>239794</v>
      </c>
      <c r="K787" s="3">
        <v>45839</v>
      </c>
      <c r="L787" s="91">
        <v>45852</v>
      </c>
      <c r="M787" s="11">
        <v>45853</v>
      </c>
      <c r="N787" s="18" t="s">
        <v>588</v>
      </c>
      <c r="O787" s="34"/>
      <c r="P787"/>
      <c r="Q787" t="s">
        <v>58</v>
      </c>
      <c r="R787" t="s">
        <v>195</v>
      </c>
      <c r="S787" t="str">
        <f>IFERROR(VLOOKUP(Tabela1[[#This Row],[CC]],CC!$A$1:$H$403,8,0),"")</f>
        <v>OP3</v>
      </c>
    </row>
    <row r="788" spans="1:19" x14ac:dyDescent="0.3">
      <c r="A788" s="25">
        <v>1288</v>
      </c>
      <c r="B788" s="25" t="str">
        <f>IFERROR(VLOOKUP(Tabela1[[#This Row],[CC]],#REF!,5,0),"")</f>
        <v/>
      </c>
      <c r="C788" t="s">
        <v>60</v>
      </c>
      <c r="D788" t="s">
        <v>15</v>
      </c>
      <c r="E788" t="s">
        <v>262</v>
      </c>
      <c r="F788" t="s">
        <v>586</v>
      </c>
      <c r="G788" s="110">
        <v>8409</v>
      </c>
      <c r="H788" s="12">
        <v>45809</v>
      </c>
      <c r="I788" s="24">
        <v>393626.28</v>
      </c>
      <c r="J788" s="24">
        <v>366859.69</v>
      </c>
      <c r="K788" s="3">
        <v>45842</v>
      </c>
      <c r="L788" s="91">
        <v>45852</v>
      </c>
      <c r="M788" s="11">
        <v>45853</v>
      </c>
      <c r="N788" s="18" t="s">
        <v>588</v>
      </c>
      <c r="O788" s="35"/>
      <c r="P788"/>
      <c r="Q788" t="s">
        <v>55</v>
      </c>
      <c r="R788" t="s">
        <v>195</v>
      </c>
      <c r="S788" t="str">
        <f>IFERROR(VLOOKUP(Tabela1[[#This Row],[CC]],CC!$A$1:$H$403,8,0),"")</f>
        <v>OP3</v>
      </c>
    </row>
    <row r="789" spans="1:19" x14ac:dyDescent="0.3">
      <c r="A789" s="8">
        <v>1271</v>
      </c>
      <c r="B789" s="8" t="str">
        <f>IFERROR(VLOOKUP(Tabela1[[#This Row],[CC]],#REF!,5,0),"")</f>
        <v/>
      </c>
      <c r="C789" t="s">
        <v>60</v>
      </c>
      <c r="D789" t="s">
        <v>15</v>
      </c>
      <c r="E789" t="s">
        <v>242</v>
      </c>
      <c r="F789" t="s">
        <v>586</v>
      </c>
      <c r="G789" s="110">
        <v>8415</v>
      </c>
      <c r="H789" s="12">
        <v>45809</v>
      </c>
      <c r="I789" s="24">
        <v>255597.54</v>
      </c>
      <c r="J789" s="10">
        <v>238216.91</v>
      </c>
      <c r="K789" s="3">
        <v>45846</v>
      </c>
      <c r="L789" s="91">
        <v>45852</v>
      </c>
      <c r="M789" s="11">
        <v>45853</v>
      </c>
      <c r="N789" s="18" t="s">
        <v>588</v>
      </c>
      <c r="O789" s="34">
        <v>0</v>
      </c>
      <c r="P789"/>
      <c r="Q789" t="s">
        <v>58</v>
      </c>
      <c r="R789" t="s">
        <v>195</v>
      </c>
      <c r="S789" t="str">
        <f>IFERROR(VLOOKUP(Tabela1[[#This Row],[CC]],CC!$A$1:$H$403,8,0),"")</f>
        <v>OP3</v>
      </c>
    </row>
    <row r="790" spans="1:19" x14ac:dyDescent="0.3">
      <c r="A790" s="8">
        <v>1299</v>
      </c>
      <c r="B790" s="8" t="str">
        <f>IFERROR(VLOOKUP(Tabela1[[#This Row],[CC]],#REF!,5,0),"")</f>
        <v/>
      </c>
      <c r="C790" t="s">
        <v>60</v>
      </c>
      <c r="D790" t="s">
        <v>15</v>
      </c>
      <c r="E790" t="s">
        <v>274</v>
      </c>
      <c r="F790" t="s">
        <v>586</v>
      </c>
      <c r="G790" s="110">
        <v>8408</v>
      </c>
      <c r="H790" s="12">
        <v>45809</v>
      </c>
      <c r="I790" s="24">
        <v>1020096</v>
      </c>
      <c r="J790" s="10">
        <v>950729.47</v>
      </c>
      <c r="K790" s="3">
        <v>45842</v>
      </c>
      <c r="L790" s="91">
        <v>45852</v>
      </c>
      <c r="M790" s="11">
        <v>45856</v>
      </c>
      <c r="N790" s="18" t="s">
        <v>588</v>
      </c>
      <c r="O790" s="53">
        <v>0</v>
      </c>
      <c r="P790" s="14"/>
      <c r="Q790" t="s">
        <v>55</v>
      </c>
      <c r="R790" t="s">
        <v>195</v>
      </c>
      <c r="S790" t="str">
        <f>IFERROR(VLOOKUP(Tabela1[[#This Row],[CC]],CC!$A$1:$H$403,8,0),"")</f>
        <v>OP3</v>
      </c>
    </row>
    <row r="791" spans="1:19" x14ac:dyDescent="0.3">
      <c r="A791" s="8">
        <v>1394</v>
      </c>
      <c r="B791" s="8" t="str">
        <f>IFERROR(VLOOKUP(Tabela1[[#This Row],[CC]],#REF!,5,0),"")</f>
        <v/>
      </c>
      <c r="C791" t="s">
        <v>65</v>
      </c>
      <c r="D791" t="s">
        <v>18</v>
      </c>
      <c r="E791" t="s">
        <v>378</v>
      </c>
      <c r="F791" t="s">
        <v>586</v>
      </c>
      <c r="G791" s="110">
        <v>8412</v>
      </c>
      <c r="H791" s="51">
        <v>45809</v>
      </c>
      <c r="I791" s="24">
        <v>76253.39</v>
      </c>
      <c r="J791" s="24">
        <v>71068.160000000003</v>
      </c>
      <c r="K791" s="3">
        <v>45845</v>
      </c>
      <c r="L791" s="91">
        <v>45859</v>
      </c>
      <c r="M791" s="5">
        <v>45859</v>
      </c>
      <c r="N791" s="21" t="s">
        <v>588</v>
      </c>
      <c r="O791" s="54">
        <v>0</v>
      </c>
      <c r="P791" s="14"/>
      <c r="Q791" t="s">
        <v>58</v>
      </c>
      <c r="R791" t="s">
        <v>195</v>
      </c>
      <c r="S791" t="str">
        <f>IFERROR(VLOOKUP(Tabela1[[#This Row],[CC]],CC!$A$1:$H$403,8,0),"")</f>
        <v>OP4</v>
      </c>
    </row>
    <row r="792" spans="1:19" x14ac:dyDescent="0.3">
      <c r="A792" s="8">
        <v>1394</v>
      </c>
      <c r="B792" s="8" t="str">
        <f>IFERROR(VLOOKUP(Tabela1[[#This Row],[CC]],#REF!,5,0),"")</f>
        <v/>
      </c>
      <c r="C792" t="s">
        <v>65</v>
      </c>
      <c r="D792" t="s">
        <v>18</v>
      </c>
      <c r="E792" t="s">
        <v>378</v>
      </c>
      <c r="F792" t="s">
        <v>586</v>
      </c>
      <c r="G792" s="110">
        <v>8416</v>
      </c>
      <c r="H792" s="51">
        <v>45809</v>
      </c>
      <c r="I792" s="24">
        <v>117291.83</v>
      </c>
      <c r="J792" s="24">
        <v>109315.98</v>
      </c>
      <c r="K792" s="3">
        <v>45846</v>
      </c>
      <c r="L792" s="91">
        <v>45859</v>
      </c>
      <c r="M792" s="5">
        <v>45859</v>
      </c>
      <c r="N792" s="21" t="s">
        <v>588</v>
      </c>
      <c r="O792" s="54">
        <v>0</v>
      </c>
      <c r="P792" s="14"/>
      <c r="Q792" t="s">
        <v>58</v>
      </c>
      <c r="R792" t="s">
        <v>195</v>
      </c>
      <c r="S792" t="str">
        <f>IFERROR(VLOOKUP(Tabela1[[#This Row],[CC]],CC!$A$1:$H$403,8,0),"")</f>
        <v>OP4</v>
      </c>
    </row>
    <row r="793" spans="1:19" x14ac:dyDescent="0.3">
      <c r="A793" s="8">
        <v>1394</v>
      </c>
      <c r="B793" s="8" t="str">
        <f>IFERROR(VLOOKUP(Tabela1[[#This Row],[CC]],#REF!,5,0),"")</f>
        <v/>
      </c>
      <c r="C793" t="s">
        <v>65</v>
      </c>
      <c r="D793" t="s">
        <v>18</v>
      </c>
      <c r="E793" t="s">
        <v>378</v>
      </c>
      <c r="F793" t="s">
        <v>586</v>
      </c>
      <c r="G793" s="110">
        <v>8429</v>
      </c>
      <c r="H793" s="51">
        <v>45809</v>
      </c>
      <c r="I793" s="24">
        <v>151907.14000000001</v>
      </c>
      <c r="J793" s="24">
        <v>141577.46</v>
      </c>
      <c r="K793" s="3">
        <v>45854</v>
      </c>
      <c r="L793" s="91">
        <v>45866</v>
      </c>
      <c r="M793" s="5">
        <v>45866</v>
      </c>
      <c r="N793" s="21" t="s">
        <v>588</v>
      </c>
      <c r="O793" s="54">
        <v>0</v>
      </c>
      <c r="P793" s="14"/>
      <c r="Q793" t="s">
        <v>58</v>
      </c>
      <c r="R793" t="s">
        <v>195</v>
      </c>
      <c r="S793" t="str">
        <f>IFERROR(VLOOKUP(Tabela1[[#This Row],[CC]],CC!$A$1:$H$403,8,0),"")</f>
        <v>OP4</v>
      </c>
    </row>
    <row r="794" spans="1:19" x14ac:dyDescent="0.3">
      <c r="A794" s="8">
        <v>1394</v>
      </c>
      <c r="B794" s="8" t="str">
        <f>IFERROR(VLOOKUP(Tabela1[[#This Row],[CC]],#REF!,5,0),"")</f>
        <v/>
      </c>
      <c r="C794" t="s">
        <v>65</v>
      </c>
      <c r="D794" t="s">
        <v>18</v>
      </c>
      <c r="E794" t="s">
        <v>378</v>
      </c>
      <c r="F794" t="s">
        <v>586</v>
      </c>
      <c r="G794" s="110">
        <v>8430</v>
      </c>
      <c r="H794" s="51">
        <v>45809</v>
      </c>
      <c r="I794" s="24">
        <v>133850.94</v>
      </c>
      <c r="J794" s="24">
        <v>124749.07</v>
      </c>
      <c r="K794" s="3">
        <v>45854</v>
      </c>
      <c r="L794" s="91">
        <v>45866</v>
      </c>
      <c r="M794" s="5">
        <v>45867</v>
      </c>
      <c r="N794" s="1" t="s">
        <v>588</v>
      </c>
      <c r="O794" s="54">
        <v>0</v>
      </c>
      <c r="P794" s="14"/>
      <c r="Q794" t="s">
        <v>58</v>
      </c>
      <c r="R794" t="s">
        <v>195</v>
      </c>
      <c r="S794" t="str">
        <f>IFERROR(VLOOKUP(Tabela1[[#This Row],[CC]],CC!$A$1:$H$403,8,0),"")</f>
        <v>OP4</v>
      </c>
    </row>
    <row r="795" spans="1:19" x14ac:dyDescent="0.3">
      <c r="A795" s="8">
        <v>1394</v>
      </c>
      <c r="B795" s="8" t="str">
        <f>IFERROR(VLOOKUP(Tabela1[[#This Row],[CC]],#REF!,5,0),"")</f>
        <v/>
      </c>
      <c r="C795" t="s">
        <v>65</v>
      </c>
      <c r="D795" t="s">
        <v>18</v>
      </c>
      <c r="E795" t="s">
        <v>378</v>
      </c>
      <c r="F795" t="s">
        <v>586</v>
      </c>
      <c r="G795" s="110">
        <v>8431</v>
      </c>
      <c r="H795" s="51">
        <v>45809</v>
      </c>
      <c r="I795" s="24">
        <v>297806.21999999997</v>
      </c>
      <c r="J795" s="24">
        <v>277555.40000000002</v>
      </c>
      <c r="K795" s="3">
        <v>45855</v>
      </c>
      <c r="L795" s="91">
        <v>45866</v>
      </c>
      <c r="M795" s="29">
        <v>45869</v>
      </c>
      <c r="N795" s="36" t="s">
        <v>588</v>
      </c>
      <c r="O795" s="54">
        <v>0</v>
      </c>
      <c r="P795" s="14"/>
      <c r="Q795" t="s">
        <v>58</v>
      </c>
      <c r="R795" t="s">
        <v>195</v>
      </c>
      <c r="S795" t="str">
        <f>IFERROR(VLOOKUP(Tabela1[[#This Row],[CC]],CC!$A$1:$H$403,8,0),"")</f>
        <v>OP4</v>
      </c>
    </row>
    <row r="796" spans="1:19" x14ac:dyDescent="0.3">
      <c r="A796" s="8">
        <v>1394</v>
      </c>
      <c r="B796" s="8" t="str">
        <f>IFERROR(VLOOKUP(Tabela1[[#This Row],[CC]],#REF!,5,0),"")</f>
        <v/>
      </c>
      <c r="C796" t="s">
        <v>65</v>
      </c>
      <c r="D796" t="s">
        <v>18</v>
      </c>
      <c r="E796" t="s">
        <v>378</v>
      </c>
      <c r="F796" t="s">
        <v>586</v>
      </c>
      <c r="G796" s="110">
        <v>8432</v>
      </c>
      <c r="H796" s="51">
        <v>45809</v>
      </c>
      <c r="I796" s="24">
        <v>89335</v>
      </c>
      <c r="J796" s="24">
        <v>83260.22</v>
      </c>
      <c r="K796" s="3">
        <v>45855</v>
      </c>
      <c r="L796" s="91">
        <v>45866</v>
      </c>
      <c r="M796" s="29">
        <v>45869</v>
      </c>
      <c r="N796" s="36" t="s">
        <v>588</v>
      </c>
      <c r="O796" s="54">
        <v>0</v>
      </c>
      <c r="P796" s="14"/>
      <c r="Q796" t="s">
        <v>58</v>
      </c>
      <c r="R796" t="s">
        <v>195</v>
      </c>
      <c r="S796" t="str">
        <f>IFERROR(VLOOKUP(Tabela1[[#This Row],[CC]],CC!$A$1:$H$403,8,0),"")</f>
        <v>OP4</v>
      </c>
    </row>
    <row r="797" spans="1:19" x14ac:dyDescent="0.3">
      <c r="A797" s="8">
        <v>1394</v>
      </c>
      <c r="B797" s="8" t="str">
        <f>IFERROR(VLOOKUP(Tabela1[[#This Row],[CC]],#REF!,5,0),"")</f>
        <v/>
      </c>
      <c r="C797" t="s">
        <v>65</v>
      </c>
      <c r="D797" t="s">
        <v>18</v>
      </c>
      <c r="E797" t="s">
        <v>378</v>
      </c>
      <c r="F797" t="s">
        <v>586</v>
      </c>
      <c r="G797" s="110">
        <v>8435</v>
      </c>
      <c r="H797" s="51">
        <v>45809</v>
      </c>
      <c r="I797" s="24">
        <v>18317.38</v>
      </c>
      <c r="J797" s="24">
        <v>17071.8</v>
      </c>
      <c r="K797" s="3">
        <v>45856</v>
      </c>
      <c r="L797" s="91">
        <v>45866</v>
      </c>
      <c r="M797" s="29">
        <v>45869</v>
      </c>
      <c r="N797" s="36" t="s">
        <v>588</v>
      </c>
      <c r="O797" s="54">
        <v>0</v>
      </c>
      <c r="P797" s="14"/>
      <c r="Q797" t="s">
        <v>58</v>
      </c>
      <c r="R797" t="s">
        <v>195</v>
      </c>
      <c r="S797" t="str">
        <f>IFERROR(VLOOKUP(Tabela1[[#This Row],[CC]],CC!$A$1:$H$403,8,0),"")</f>
        <v>OP4</v>
      </c>
    </row>
    <row r="798" spans="1:19" x14ac:dyDescent="0.3">
      <c r="A798" s="8">
        <v>1394</v>
      </c>
      <c r="B798" s="8" t="str">
        <f>IFERROR(VLOOKUP(Tabela1[[#This Row],[CC]],#REF!,5,0),"")</f>
        <v/>
      </c>
      <c r="C798" t="s">
        <v>65</v>
      </c>
      <c r="D798" t="s">
        <v>18</v>
      </c>
      <c r="E798" t="s">
        <v>378</v>
      </c>
      <c r="F798" t="s">
        <v>586</v>
      </c>
      <c r="G798" s="110">
        <v>8437</v>
      </c>
      <c r="H798" s="51">
        <v>45809</v>
      </c>
      <c r="I798" s="24">
        <v>226733.58</v>
      </c>
      <c r="J798" s="24">
        <v>211315.7</v>
      </c>
      <c r="K798" s="3">
        <v>45859</v>
      </c>
      <c r="L798" s="91">
        <v>45866</v>
      </c>
      <c r="M798" s="29">
        <v>45869</v>
      </c>
      <c r="N798" s="36" t="s">
        <v>588</v>
      </c>
      <c r="O798" s="54">
        <v>0</v>
      </c>
      <c r="P798" s="14"/>
      <c r="Q798" t="s">
        <v>58</v>
      </c>
      <c r="R798" t="s">
        <v>195</v>
      </c>
      <c r="S798" t="str">
        <f>IFERROR(VLOOKUP(Tabela1[[#This Row],[CC]],CC!$A$1:$H$403,8,0),"")</f>
        <v>OP4</v>
      </c>
    </row>
    <row r="799" spans="1:19" x14ac:dyDescent="0.3">
      <c r="A799" s="8">
        <v>1394</v>
      </c>
      <c r="B799" s="8" t="str">
        <f>IFERROR(VLOOKUP(Tabela1[[#This Row],[CC]],#REF!,5,0),"")</f>
        <v/>
      </c>
      <c r="C799" t="s">
        <v>65</v>
      </c>
      <c r="D799" t="s">
        <v>18</v>
      </c>
      <c r="E799" t="s">
        <v>378</v>
      </c>
      <c r="F799" t="s">
        <v>586</v>
      </c>
      <c r="G799" s="110">
        <v>8628</v>
      </c>
      <c r="H799" s="12">
        <v>45931</v>
      </c>
      <c r="I799" s="24">
        <v>27680.2</v>
      </c>
      <c r="J799" s="24">
        <v>25797.95</v>
      </c>
      <c r="K799" s="3">
        <v>45986</v>
      </c>
      <c r="L799" s="91">
        <v>45992</v>
      </c>
      <c r="M799" s="5">
        <v>45994</v>
      </c>
      <c r="N799" s="21" t="s">
        <v>588</v>
      </c>
      <c r="O799" s="54">
        <v>0</v>
      </c>
      <c r="P799" s="14"/>
      <c r="Q799" t="s">
        <v>58</v>
      </c>
      <c r="R799" t="s">
        <v>195</v>
      </c>
      <c r="S799" t="str">
        <f>IFERROR(VLOOKUP(Tabela1[[#This Row],[CC]],CC!$A$1:$H$403,8,0),"")</f>
        <v>OP4</v>
      </c>
    </row>
    <row r="800" spans="1:19" x14ac:dyDescent="0.3">
      <c r="A800" s="8">
        <v>1394</v>
      </c>
      <c r="B800" s="8" t="str">
        <f>IFERROR(VLOOKUP(Tabela1[[#This Row],[CC]],#REF!,5,0),"")</f>
        <v/>
      </c>
      <c r="C800" t="s">
        <v>65</v>
      </c>
      <c r="D800" t="s">
        <v>18</v>
      </c>
      <c r="E800" t="s">
        <v>378</v>
      </c>
      <c r="F800" t="s">
        <v>586</v>
      </c>
      <c r="G800" s="110">
        <v>8630</v>
      </c>
      <c r="H800" s="12">
        <v>45931</v>
      </c>
      <c r="I800" s="24">
        <v>37439.58</v>
      </c>
      <c r="J800" s="24">
        <v>34893.69</v>
      </c>
      <c r="K800" s="3">
        <v>45986</v>
      </c>
      <c r="L800" s="91">
        <v>45992</v>
      </c>
      <c r="M800" s="5">
        <v>45994</v>
      </c>
      <c r="N800" s="21" t="s">
        <v>588</v>
      </c>
      <c r="O800" s="54">
        <v>0</v>
      </c>
      <c r="P800" s="14"/>
      <c r="Q800" t="s">
        <v>58</v>
      </c>
      <c r="R800" t="s">
        <v>195</v>
      </c>
      <c r="S800" t="str">
        <f>IFERROR(VLOOKUP(Tabela1[[#This Row],[CC]],CC!$A$1:$H$403,8,0),"")</f>
        <v>OP4</v>
      </c>
    </row>
    <row r="801" spans="1:19" x14ac:dyDescent="0.3">
      <c r="A801" s="25">
        <v>1500</v>
      </c>
      <c r="B801" s="25" t="str">
        <f>IFERROR(VLOOKUP(Tabela1[[#This Row],[CC]],#REF!,5,0),"")</f>
        <v/>
      </c>
      <c r="C801" t="s">
        <v>32</v>
      </c>
      <c r="D801" t="s">
        <v>24</v>
      </c>
      <c r="E801" t="s">
        <v>506</v>
      </c>
      <c r="F801" t="s">
        <v>586</v>
      </c>
      <c r="G801" s="110">
        <v>4094</v>
      </c>
      <c r="H801" s="12">
        <v>45809</v>
      </c>
      <c r="I801" s="24">
        <v>75100.77</v>
      </c>
      <c r="J801" s="24">
        <v>70482.070000000007</v>
      </c>
      <c r="K801" s="3">
        <v>45817</v>
      </c>
      <c r="L801" s="91">
        <v>45831</v>
      </c>
      <c r="M801" s="11">
        <v>45833</v>
      </c>
      <c r="N801" s="18" t="s">
        <v>588</v>
      </c>
      <c r="O801" s="35"/>
      <c r="P801"/>
      <c r="Q801" t="s">
        <v>57</v>
      </c>
      <c r="R801" t="s">
        <v>231</v>
      </c>
      <c r="S801" t="str">
        <f>IFERROR(VLOOKUP(Tabela1[[#This Row],[CC]],CC!$A$1:$H$403,8,0),"")</f>
        <v>OP1</v>
      </c>
    </row>
    <row r="802" spans="1:19" x14ac:dyDescent="0.3">
      <c r="A802" s="25">
        <v>1360</v>
      </c>
      <c r="B802" s="25" t="str">
        <f>IFERROR(VLOOKUP(Tabela1[[#This Row],[CC]],#REF!,5,0),"")</f>
        <v/>
      </c>
      <c r="C802" t="s">
        <v>32</v>
      </c>
      <c r="D802" t="s">
        <v>24</v>
      </c>
      <c r="E802" t="s">
        <v>338</v>
      </c>
      <c r="F802" t="s">
        <v>586</v>
      </c>
      <c r="G802" s="110">
        <v>4086</v>
      </c>
      <c r="H802" s="12">
        <v>45809</v>
      </c>
      <c r="I802" s="24">
        <v>51239.199999999997</v>
      </c>
      <c r="J802" s="27">
        <v>48087.99</v>
      </c>
      <c r="K802" s="3">
        <v>45814</v>
      </c>
      <c r="L802" s="91">
        <v>45831</v>
      </c>
      <c r="M802" s="11">
        <v>45833</v>
      </c>
      <c r="N802" s="18" t="s">
        <v>588</v>
      </c>
      <c r="O802" s="35"/>
      <c r="P802"/>
      <c r="Q802" t="s">
        <v>55</v>
      </c>
      <c r="R802" t="s">
        <v>231</v>
      </c>
      <c r="S802" t="str">
        <f>IFERROR(VLOOKUP(Tabela1[[#This Row],[CC]],CC!$A$1:$H$403,8,0),"")</f>
        <v>OP1</v>
      </c>
    </row>
    <row r="803" spans="1:19" x14ac:dyDescent="0.3">
      <c r="A803" s="25">
        <v>1360</v>
      </c>
      <c r="B803" s="25" t="str">
        <f>IFERROR(VLOOKUP(Tabela1[[#This Row],[CC]],#REF!,5,0),"")</f>
        <v/>
      </c>
      <c r="C803" t="s">
        <v>32</v>
      </c>
      <c r="D803" t="s">
        <v>24</v>
      </c>
      <c r="E803" t="s">
        <v>338</v>
      </c>
      <c r="F803" t="s">
        <v>586</v>
      </c>
      <c r="G803" s="110">
        <v>4087</v>
      </c>
      <c r="H803" s="12">
        <v>45809</v>
      </c>
      <c r="I803" s="24">
        <v>79277.759999999995</v>
      </c>
      <c r="J803" s="27">
        <v>74402.17</v>
      </c>
      <c r="K803" s="3">
        <v>45814</v>
      </c>
      <c r="L803" s="91">
        <v>45831</v>
      </c>
      <c r="M803" s="11">
        <v>45833</v>
      </c>
      <c r="N803" s="18" t="s">
        <v>588</v>
      </c>
      <c r="O803" s="35"/>
      <c r="P803"/>
      <c r="Q803" t="s">
        <v>55</v>
      </c>
      <c r="R803" t="s">
        <v>231</v>
      </c>
      <c r="S803" t="str">
        <f>IFERROR(VLOOKUP(Tabela1[[#This Row],[CC]],CC!$A$1:$H$403,8,0),"")</f>
        <v>OP1</v>
      </c>
    </row>
    <row r="804" spans="1:19" x14ac:dyDescent="0.3">
      <c r="A804" s="25">
        <v>1360</v>
      </c>
      <c r="B804" s="25" t="str">
        <f>IFERROR(VLOOKUP(Tabela1[[#This Row],[CC]],#REF!,5,0),"")</f>
        <v/>
      </c>
      <c r="C804" t="s">
        <v>32</v>
      </c>
      <c r="D804" t="s">
        <v>24</v>
      </c>
      <c r="E804" t="s">
        <v>338</v>
      </c>
      <c r="F804" t="s">
        <v>586</v>
      </c>
      <c r="G804" s="110">
        <v>4088</v>
      </c>
      <c r="H804" s="12">
        <v>45809</v>
      </c>
      <c r="I804" s="24">
        <v>133200.07999999999</v>
      </c>
      <c r="J804" s="27">
        <v>125008.28</v>
      </c>
      <c r="K804" s="3">
        <v>45814</v>
      </c>
      <c r="L804" s="91">
        <v>45831</v>
      </c>
      <c r="M804" s="11">
        <v>45833</v>
      </c>
      <c r="N804" s="18" t="s">
        <v>588</v>
      </c>
      <c r="O804" s="35"/>
      <c r="P804"/>
      <c r="Q804" t="s">
        <v>55</v>
      </c>
      <c r="R804" t="s">
        <v>231</v>
      </c>
      <c r="S804" t="str">
        <f>IFERROR(VLOOKUP(Tabela1[[#This Row],[CC]],CC!$A$1:$H$403,8,0),"")</f>
        <v>OP1</v>
      </c>
    </row>
    <row r="805" spans="1:19" x14ac:dyDescent="0.3">
      <c r="A805" s="25">
        <v>1360</v>
      </c>
      <c r="B805" s="25" t="str">
        <f>IFERROR(VLOOKUP(Tabela1[[#This Row],[CC]],#REF!,5,0),"")</f>
        <v/>
      </c>
      <c r="C805" t="s">
        <v>32</v>
      </c>
      <c r="D805" t="s">
        <v>24</v>
      </c>
      <c r="E805" t="s">
        <v>338</v>
      </c>
      <c r="F805" t="s">
        <v>586</v>
      </c>
      <c r="G805" s="110">
        <v>4091</v>
      </c>
      <c r="H805" s="12">
        <v>45809</v>
      </c>
      <c r="I805" s="24">
        <v>24912.799999999999</v>
      </c>
      <c r="J805" s="27">
        <v>23380.67</v>
      </c>
      <c r="K805" s="3">
        <v>45814</v>
      </c>
      <c r="L805" s="91">
        <v>45831</v>
      </c>
      <c r="M805" s="11">
        <v>45833</v>
      </c>
      <c r="N805" s="18" t="s">
        <v>588</v>
      </c>
      <c r="O805" s="35"/>
      <c r="P805"/>
      <c r="Q805" t="s">
        <v>55</v>
      </c>
      <c r="R805" t="s">
        <v>231</v>
      </c>
      <c r="S805" t="str">
        <f>IFERROR(VLOOKUP(Tabela1[[#This Row],[CC]],CC!$A$1:$H$403,8,0),"")</f>
        <v>OP1</v>
      </c>
    </row>
    <row r="806" spans="1:19" x14ac:dyDescent="0.3">
      <c r="A806" s="25">
        <v>1360</v>
      </c>
      <c r="B806" s="25" t="str">
        <f>IFERROR(VLOOKUP(Tabela1[[#This Row],[CC]],#REF!,5,0),"")</f>
        <v/>
      </c>
      <c r="C806" t="s">
        <v>32</v>
      </c>
      <c r="D806" t="s">
        <v>24</v>
      </c>
      <c r="E806" t="s">
        <v>338</v>
      </c>
      <c r="F806" t="s">
        <v>586</v>
      </c>
      <c r="G806" s="110">
        <v>4093</v>
      </c>
      <c r="H806" s="12">
        <v>45809</v>
      </c>
      <c r="I806" s="24">
        <v>27668.48</v>
      </c>
      <c r="J806" s="24">
        <v>27668.48</v>
      </c>
      <c r="K806" s="3">
        <v>45817</v>
      </c>
      <c r="L806" s="91">
        <v>45831</v>
      </c>
      <c r="M806" s="11">
        <v>45833</v>
      </c>
      <c r="N806" s="18" t="s">
        <v>588</v>
      </c>
      <c r="O806" s="35"/>
      <c r="P806"/>
      <c r="Q806" t="s">
        <v>55</v>
      </c>
      <c r="R806" t="s">
        <v>231</v>
      </c>
      <c r="S806" t="str">
        <f>IFERROR(VLOOKUP(Tabela1[[#This Row],[CC]],CC!$A$1:$H$403,8,0),"")</f>
        <v>OP1</v>
      </c>
    </row>
    <row r="807" spans="1:19" x14ac:dyDescent="0.3">
      <c r="A807" s="25">
        <v>1360</v>
      </c>
      <c r="B807" s="25" t="str">
        <f>IFERROR(VLOOKUP(Tabela1[[#This Row],[CC]],#REF!,5,0),"")</f>
        <v/>
      </c>
      <c r="C807" t="s">
        <v>32</v>
      </c>
      <c r="D807" t="s">
        <v>24</v>
      </c>
      <c r="E807" t="s">
        <v>338</v>
      </c>
      <c r="F807" t="s">
        <v>586</v>
      </c>
      <c r="G807" s="110">
        <v>4095</v>
      </c>
      <c r="H807" s="12">
        <v>45809</v>
      </c>
      <c r="I807" s="24">
        <v>137533.72</v>
      </c>
      <c r="J807" s="27">
        <v>129075.39</v>
      </c>
      <c r="K807" s="3">
        <v>45817</v>
      </c>
      <c r="L807" s="91">
        <v>45831</v>
      </c>
      <c r="M807" s="11">
        <v>45833</v>
      </c>
      <c r="N807" s="18" t="s">
        <v>588</v>
      </c>
      <c r="O807" s="35"/>
      <c r="P807"/>
      <c r="Q807" t="s">
        <v>55</v>
      </c>
      <c r="R807" t="s">
        <v>231</v>
      </c>
      <c r="S807" t="str">
        <f>IFERROR(VLOOKUP(Tabela1[[#This Row],[CC]],CC!$A$1:$H$403,8,0),"")</f>
        <v>OP1</v>
      </c>
    </row>
    <row r="808" spans="1:19" x14ac:dyDescent="0.3">
      <c r="A808" s="25">
        <v>1360</v>
      </c>
      <c r="B808" s="25" t="str">
        <f>IFERROR(VLOOKUP(Tabela1[[#This Row],[CC]],#REF!,5,0),"")</f>
        <v/>
      </c>
      <c r="C808" t="s">
        <v>32</v>
      </c>
      <c r="D808" t="s">
        <v>24</v>
      </c>
      <c r="E808" t="s">
        <v>338</v>
      </c>
      <c r="F808" t="s">
        <v>586</v>
      </c>
      <c r="G808" s="110">
        <v>4096</v>
      </c>
      <c r="H808" s="12">
        <v>45809</v>
      </c>
      <c r="I808" s="24">
        <v>68834.720000000001</v>
      </c>
      <c r="J808" s="24">
        <v>64601.38</v>
      </c>
      <c r="K808" s="3">
        <v>45817</v>
      </c>
      <c r="L808" s="91">
        <v>45831</v>
      </c>
      <c r="M808" s="11">
        <v>45833</v>
      </c>
      <c r="N808" s="18" t="s">
        <v>588</v>
      </c>
      <c r="O808" s="35"/>
      <c r="P808"/>
      <c r="Q808" t="s">
        <v>55</v>
      </c>
      <c r="R808" t="s">
        <v>231</v>
      </c>
      <c r="S808" t="str">
        <f>IFERROR(VLOOKUP(Tabela1[[#This Row],[CC]],CC!$A$1:$H$403,8,0),"")</f>
        <v>OP1</v>
      </c>
    </row>
    <row r="809" spans="1:19" x14ac:dyDescent="0.3">
      <c r="A809" s="25">
        <v>1360</v>
      </c>
      <c r="B809" s="25" t="str">
        <f>IFERROR(VLOOKUP(Tabela1[[#This Row],[CC]],#REF!,5,0),"")</f>
        <v/>
      </c>
      <c r="C809" t="s">
        <v>32</v>
      </c>
      <c r="D809" t="s">
        <v>24</v>
      </c>
      <c r="E809" t="s">
        <v>338</v>
      </c>
      <c r="F809" t="s">
        <v>586</v>
      </c>
      <c r="G809" s="110">
        <v>4097</v>
      </c>
      <c r="H809" s="12">
        <v>45809</v>
      </c>
      <c r="I809" s="24">
        <v>62418.8</v>
      </c>
      <c r="J809" s="27">
        <v>58580.05</v>
      </c>
      <c r="K809" s="3">
        <v>45817</v>
      </c>
      <c r="L809" s="91">
        <v>45831</v>
      </c>
      <c r="M809" s="11">
        <v>45833</v>
      </c>
      <c r="N809" s="18" t="s">
        <v>588</v>
      </c>
      <c r="O809" s="35"/>
      <c r="P809"/>
      <c r="Q809" t="s">
        <v>55</v>
      </c>
      <c r="R809" t="s">
        <v>231</v>
      </c>
      <c r="S809" t="str">
        <f>IFERROR(VLOOKUP(Tabela1[[#This Row],[CC]],CC!$A$1:$H$403,8,0),"")</f>
        <v>OP1</v>
      </c>
    </row>
    <row r="810" spans="1:19" x14ac:dyDescent="0.3">
      <c r="A810" s="25">
        <v>1360</v>
      </c>
      <c r="B810" s="25" t="str">
        <f>IFERROR(VLOOKUP(Tabela1[[#This Row],[CC]],#REF!,5,0),"")</f>
        <v/>
      </c>
      <c r="C810" t="s">
        <v>32</v>
      </c>
      <c r="D810" t="s">
        <v>24</v>
      </c>
      <c r="E810" t="s">
        <v>338</v>
      </c>
      <c r="F810" t="s">
        <v>586</v>
      </c>
      <c r="G810" s="110">
        <v>4098</v>
      </c>
      <c r="H810" s="12">
        <v>45809</v>
      </c>
      <c r="I810" s="24">
        <v>29336</v>
      </c>
      <c r="J810" s="27">
        <v>27531.84</v>
      </c>
      <c r="K810" s="3">
        <v>45817</v>
      </c>
      <c r="L810" s="91">
        <v>45831</v>
      </c>
      <c r="M810" s="11">
        <v>45833</v>
      </c>
      <c r="N810" s="18" t="s">
        <v>588</v>
      </c>
      <c r="O810" s="35"/>
      <c r="P810"/>
      <c r="Q810" t="s">
        <v>55</v>
      </c>
      <c r="R810" t="s">
        <v>231</v>
      </c>
      <c r="S810" t="str">
        <f>IFERROR(VLOOKUP(Tabela1[[#This Row],[CC]],CC!$A$1:$H$403,8,0),"")</f>
        <v>OP1</v>
      </c>
    </row>
    <row r="811" spans="1:19" x14ac:dyDescent="0.3">
      <c r="A811" s="25">
        <v>1360</v>
      </c>
      <c r="B811" s="25" t="str">
        <f>IFERROR(VLOOKUP(Tabela1[[#This Row],[CC]],#REF!,5,0),"")</f>
        <v/>
      </c>
      <c r="C811" t="s">
        <v>32</v>
      </c>
      <c r="D811" t="s">
        <v>24</v>
      </c>
      <c r="E811" t="s">
        <v>338</v>
      </c>
      <c r="F811" t="s">
        <v>586</v>
      </c>
      <c r="G811" s="110">
        <v>4104</v>
      </c>
      <c r="H811" s="12">
        <v>45809</v>
      </c>
      <c r="I811" s="24">
        <v>95620.4</v>
      </c>
      <c r="J811" s="27">
        <v>89739.75</v>
      </c>
      <c r="K811" s="3">
        <v>45817</v>
      </c>
      <c r="L811" s="91">
        <v>45831</v>
      </c>
      <c r="M811" s="11">
        <v>45833</v>
      </c>
      <c r="N811" s="18" t="s">
        <v>588</v>
      </c>
      <c r="O811" s="35"/>
      <c r="P811"/>
      <c r="Q811" t="s">
        <v>55</v>
      </c>
      <c r="R811" t="s">
        <v>231</v>
      </c>
      <c r="S811" t="str">
        <f>IFERROR(VLOOKUP(Tabela1[[#This Row],[CC]],CC!$A$1:$H$403,8,0),"")</f>
        <v>OP1</v>
      </c>
    </row>
    <row r="812" spans="1:19" x14ac:dyDescent="0.3">
      <c r="A812" s="25">
        <v>1360</v>
      </c>
      <c r="B812" s="25" t="str">
        <f>IFERROR(VLOOKUP(Tabela1[[#This Row],[CC]],#REF!,5,0),"")</f>
        <v/>
      </c>
      <c r="C812" t="s">
        <v>32</v>
      </c>
      <c r="D812" t="s">
        <v>24</v>
      </c>
      <c r="E812" t="s">
        <v>338</v>
      </c>
      <c r="F812" t="s">
        <v>586</v>
      </c>
      <c r="G812" s="110">
        <v>4110</v>
      </c>
      <c r="H812" s="12">
        <v>45809</v>
      </c>
      <c r="I812" s="24">
        <v>18684.8</v>
      </c>
      <c r="J812" s="27">
        <v>17535.689999999999</v>
      </c>
      <c r="K812" s="3">
        <v>45818</v>
      </c>
      <c r="L812" s="91">
        <v>45831</v>
      </c>
      <c r="M812" s="11">
        <v>45833</v>
      </c>
      <c r="N812" s="18" t="s">
        <v>588</v>
      </c>
      <c r="O812" s="35"/>
      <c r="P812"/>
      <c r="Q812" t="s">
        <v>55</v>
      </c>
      <c r="R812" t="s">
        <v>231</v>
      </c>
      <c r="S812" t="str">
        <f>IFERROR(VLOOKUP(Tabela1[[#This Row],[CC]],CC!$A$1:$H$403,8,0),"")</f>
        <v>OP1</v>
      </c>
    </row>
    <row r="813" spans="1:19" x14ac:dyDescent="0.3">
      <c r="A813" s="25">
        <v>1360</v>
      </c>
      <c r="B813" s="25" t="str">
        <f>IFERROR(VLOOKUP(Tabela1[[#This Row],[CC]],#REF!,5,0),"")</f>
        <v/>
      </c>
      <c r="C813" t="s">
        <v>32</v>
      </c>
      <c r="D813" t="s">
        <v>24</v>
      </c>
      <c r="E813" t="s">
        <v>338</v>
      </c>
      <c r="F813" t="s">
        <v>586</v>
      </c>
      <c r="G813" s="110">
        <v>4128</v>
      </c>
      <c r="H813" s="12">
        <v>45809</v>
      </c>
      <c r="I813" s="24">
        <v>90756.160000000003</v>
      </c>
      <c r="J813" s="27">
        <v>85174.66</v>
      </c>
      <c r="K813" s="3">
        <v>45820</v>
      </c>
      <c r="L813" s="91">
        <v>45831</v>
      </c>
      <c r="M813" s="11">
        <v>45833</v>
      </c>
      <c r="N813" s="18" t="s">
        <v>588</v>
      </c>
      <c r="O813" s="35"/>
      <c r="P813"/>
      <c r="Q813" t="s">
        <v>55</v>
      </c>
      <c r="R813" t="s">
        <v>231</v>
      </c>
      <c r="S813" t="str">
        <f>IFERROR(VLOOKUP(Tabela1[[#This Row],[CC]],CC!$A$1:$H$403,8,0),"")</f>
        <v>OP1</v>
      </c>
    </row>
    <row r="814" spans="1:19" x14ac:dyDescent="0.3">
      <c r="A814" s="25">
        <v>1360</v>
      </c>
      <c r="B814" s="25" t="str">
        <f>IFERROR(VLOOKUP(Tabela1[[#This Row],[CC]],#REF!,5,0),"")</f>
        <v/>
      </c>
      <c r="C814" t="s">
        <v>32</v>
      </c>
      <c r="D814" t="s">
        <v>24</v>
      </c>
      <c r="E814" t="s">
        <v>338</v>
      </c>
      <c r="F814" t="s">
        <v>586</v>
      </c>
      <c r="G814" s="110">
        <v>4144</v>
      </c>
      <c r="H814" s="12">
        <v>45809</v>
      </c>
      <c r="I814" s="24">
        <v>35501.120000000003</v>
      </c>
      <c r="J814" s="27">
        <v>33317.800000000003</v>
      </c>
      <c r="K814" s="3">
        <v>45833</v>
      </c>
      <c r="L814" s="91">
        <v>45859</v>
      </c>
      <c r="M814" s="11">
        <v>45863</v>
      </c>
      <c r="N814" s="18" t="s">
        <v>588</v>
      </c>
      <c r="O814" s="35"/>
      <c r="P814"/>
      <c r="Q814" t="s">
        <v>55</v>
      </c>
      <c r="R814" t="s">
        <v>231</v>
      </c>
      <c r="S814" t="str">
        <f>IFERROR(VLOOKUP(Tabela1[[#This Row],[CC]],CC!$A$1:$H$403,8,0),"")</f>
        <v>OP1</v>
      </c>
    </row>
    <row r="815" spans="1:19" x14ac:dyDescent="0.3">
      <c r="A815" s="8">
        <v>1298</v>
      </c>
      <c r="B815" s="8" t="str">
        <f>IFERROR(VLOOKUP(Tabela1[[#This Row],[CC]],#REF!,5,0),"")</f>
        <v/>
      </c>
      <c r="C815" t="str">
        <f>IFERROR(VLOOKUP(Tabela1[[#This Row],[CC]],CC!$A$1:$H$389,7,0),"")</f>
        <v>JOSÉ NETO</v>
      </c>
      <c r="D815" t="str">
        <f>IFERROR(VLOOKUP(Tabela1[[#This Row],[CC]],CC!$A$1:$I$3869,3,0),"")</f>
        <v>SEBRAE</v>
      </c>
      <c r="E815" t="str">
        <f>IFERROR(VLOOKUP(Tabela1[[#This Row],[CC]],CC!$A$1:$H$389,2,0),"")</f>
        <v>SEBRAE-SP DC NOVO (1298)</v>
      </c>
      <c r="F815" t="s">
        <v>586</v>
      </c>
      <c r="G815" s="106">
        <v>1316</v>
      </c>
      <c r="H815" s="12">
        <v>45962</v>
      </c>
      <c r="I815" s="24">
        <v>294000.96000000002</v>
      </c>
      <c r="J815" s="27">
        <v>275919.90000000002</v>
      </c>
      <c r="K815" s="3">
        <v>45994</v>
      </c>
      <c r="L815" s="91">
        <v>46006</v>
      </c>
      <c r="M815" s="11">
        <v>46010</v>
      </c>
      <c r="N815" s="18" t="s">
        <v>588</v>
      </c>
      <c r="O815" s="34">
        <v>0</v>
      </c>
      <c r="P815"/>
      <c r="Q815" t="str">
        <f>IFERROR(VLOOKUP(Tabela1[[#This Row],[CC]],CC!$A$1:$H$389,5,0),"")</f>
        <v>CSA</v>
      </c>
      <c r="R815" t="str">
        <f>IFERROR(VLOOKUP(Tabela1[[#This Row],[CC]],CC!$A$1:$H$389,6,0),"")</f>
        <v>PS</v>
      </c>
      <c r="S815" t="str">
        <f>IFERROR(VLOOKUP(Tabela1[[#This Row],[CC]],CC!$A$1:$H$403,8,0),"")</f>
        <v>OP2</v>
      </c>
    </row>
    <row r="816" spans="1:19" x14ac:dyDescent="0.3">
      <c r="A816" s="25">
        <v>1387</v>
      </c>
      <c r="B816" s="25" t="str">
        <f>IFERROR(VLOOKUP(Tabela1[[#This Row],[CC]],#REF!,5,0),"")</f>
        <v/>
      </c>
      <c r="C816" t="s">
        <v>32</v>
      </c>
      <c r="D816" t="s">
        <v>24</v>
      </c>
      <c r="E816" t="s">
        <v>372</v>
      </c>
      <c r="F816" t="s">
        <v>586</v>
      </c>
      <c r="G816" s="110">
        <v>4089</v>
      </c>
      <c r="H816" s="12">
        <v>45809</v>
      </c>
      <c r="I816" s="24">
        <v>38570</v>
      </c>
      <c r="J816" s="27">
        <v>36197.94</v>
      </c>
      <c r="K816" s="3">
        <v>45814</v>
      </c>
      <c r="L816" s="91">
        <v>45831</v>
      </c>
      <c r="M816" s="11">
        <v>45833</v>
      </c>
      <c r="N816" s="18" t="s">
        <v>588</v>
      </c>
      <c r="O816" s="35"/>
      <c r="P816"/>
      <c r="Q816" t="s">
        <v>58</v>
      </c>
      <c r="R816" t="s">
        <v>231</v>
      </c>
      <c r="S816" t="str">
        <f>IFERROR(VLOOKUP(Tabela1[[#This Row],[CC]],CC!$A$1:$H$403,8,0),"")</f>
        <v>OP1</v>
      </c>
    </row>
    <row r="817" spans="1:19" x14ac:dyDescent="0.3">
      <c r="A817" s="25">
        <v>1387</v>
      </c>
      <c r="B817" s="25" t="str">
        <f>IFERROR(VLOOKUP(Tabela1[[#This Row],[CC]],#REF!,5,0),"")</f>
        <v/>
      </c>
      <c r="C817" t="s">
        <v>32</v>
      </c>
      <c r="D817" t="s">
        <v>24</v>
      </c>
      <c r="E817" t="s">
        <v>372</v>
      </c>
      <c r="F817" t="s">
        <v>586</v>
      </c>
      <c r="G817" s="110">
        <v>4090</v>
      </c>
      <c r="H817" s="12">
        <v>45809</v>
      </c>
      <c r="I817" s="24">
        <v>25686.48</v>
      </c>
      <c r="J817" s="27">
        <v>24106.77</v>
      </c>
      <c r="K817" s="3">
        <v>45814</v>
      </c>
      <c r="L817" s="91">
        <v>45831</v>
      </c>
      <c r="M817" s="11">
        <v>45833</v>
      </c>
      <c r="N817" s="18" t="s">
        <v>588</v>
      </c>
      <c r="O817" s="35"/>
      <c r="P817"/>
      <c r="Q817" t="s">
        <v>58</v>
      </c>
      <c r="R817" t="s">
        <v>231</v>
      </c>
      <c r="S817" t="str">
        <f>IFERROR(VLOOKUP(Tabela1[[#This Row],[CC]],CC!$A$1:$H$403,8,0),"")</f>
        <v>OP1</v>
      </c>
    </row>
    <row r="818" spans="1:19" x14ac:dyDescent="0.3">
      <c r="A818" s="25">
        <v>1387</v>
      </c>
      <c r="B818" s="25" t="str">
        <f>IFERROR(VLOOKUP(Tabela1[[#This Row],[CC]],#REF!,5,0),"")</f>
        <v/>
      </c>
      <c r="C818" t="s">
        <v>32</v>
      </c>
      <c r="D818" t="s">
        <v>24</v>
      </c>
      <c r="E818" t="s">
        <v>372</v>
      </c>
      <c r="F818" t="s">
        <v>586</v>
      </c>
      <c r="G818" s="110">
        <v>4103</v>
      </c>
      <c r="H818" s="12">
        <v>45809</v>
      </c>
      <c r="I818" s="24">
        <v>76103.28</v>
      </c>
      <c r="J818" s="27">
        <v>71422.929999999993</v>
      </c>
      <c r="K818" s="3">
        <v>45817</v>
      </c>
      <c r="L818" s="91">
        <v>45831</v>
      </c>
      <c r="M818" s="11">
        <v>45833</v>
      </c>
      <c r="N818" s="18" t="s">
        <v>588</v>
      </c>
      <c r="O818" s="35"/>
      <c r="P818"/>
      <c r="Q818" t="s">
        <v>58</v>
      </c>
      <c r="R818" t="s">
        <v>231</v>
      </c>
      <c r="S818" t="str">
        <f>IFERROR(VLOOKUP(Tabela1[[#This Row],[CC]],CC!$A$1:$H$403,8,0),"")</f>
        <v>OP1</v>
      </c>
    </row>
    <row r="819" spans="1:19" x14ac:dyDescent="0.3">
      <c r="A819" s="25">
        <v>1387</v>
      </c>
      <c r="B819" s="25" t="str">
        <f>IFERROR(VLOOKUP(Tabela1[[#This Row],[CC]],#REF!,5,0),"")</f>
        <v/>
      </c>
      <c r="C819" t="s">
        <v>32</v>
      </c>
      <c r="D819" t="s">
        <v>24</v>
      </c>
      <c r="E819" t="s">
        <v>372</v>
      </c>
      <c r="F819" t="s">
        <v>586</v>
      </c>
      <c r="G819" s="110">
        <v>4149</v>
      </c>
      <c r="H819" s="12">
        <v>45809</v>
      </c>
      <c r="I819" s="24">
        <v>8571.36</v>
      </c>
      <c r="J819" s="27">
        <v>8044.23</v>
      </c>
      <c r="K819" s="3">
        <v>45841</v>
      </c>
      <c r="L819" s="91">
        <v>45894</v>
      </c>
      <c r="M819" s="11">
        <v>45896</v>
      </c>
      <c r="N819" s="18" t="s">
        <v>588</v>
      </c>
      <c r="O819" s="35"/>
      <c r="P819"/>
      <c r="Q819" t="s">
        <v>58</v>
      </c>
      <c r="R819" t="s">
        <v>231</v>
      </c>
      <c r="S819" t="str">
        <f>IFERROR(VLOOKUP(Tabela1[[#This Row],[CC]],CC!$A$1:$H$403,8,0),"")</f>
        <v>OP1</v>
      </c>
    </row>
    <row r="820" spans="1:19" x14ac:dyDescent="0.3">
      <c r="A820" s="25">
        <v>1470</v>
      </c>
      <c r="B820" s="25" t="str">
        <f>IFERROR(VLOOKUP(Tabela1[[#This Row],[CC]],#REF!,5,0),"")</f>
        <v/>
      </c>
      <c r="C820" t="s">
        <v>67</v>
      </c>
      <c r="D820" t="s">
        <v>44</v>
      </c>
      <c r="E820" t="s">
        <v>475</v>
      </c>
      <c r="F820" t="s">
        <v>586</v>
      </c>
      <c r="G820" s="110">
        <v>8425</v>
      </c>
      <c r="H820" s="12">
        <v>45809</v>
      </c>
      <c r="I820" s="24">
        <v>36700</v>
      </c>
      <c r="J820" s="24">
        <v>33708.949999999997</v>
      </c>
      <c r="K820" s="3">
        <v>45852</v>
      </c>
      <c r="L820" s="91">
        <v>45866</v>
      </c>
      <c r="M820" s="11">
        <v>45868</v>
      </c>
      <c r="N820" s="18" t="s">
        <v>588</v>
      </c>
      <c r="O820" s="35">
        <v>0</v>
      </c>
      <c r="P820" s="26"/>
      <c r="Q820" t="s">
        <v>58</v>
      </c>
      <c r="R820" t="s">
        <v>183</v>
      </c>
      <c r="S820" t="str">
        <f>IFERROR(VLOOKUP(Tabela1[[#This Row],[CC]],CC!$A$1:$H$403,8,0),"")</f>
        <v>OP4</v>
      </c>
    </row>
    <row r="821" spans="1:19" x14ac:dyDescent="0.3">
      <c r="A821" s="25">
        <v>1273</v>
      </c>
      <c r="B821" s="25" t="str">
        <f>IFERROR(VLOOKUP(Tabela1[[#This Row],[CC]],#REF!,5,0),"")</f>
        <v/>
      </c>
      <c r="C821" t="s">
        <v>60</v>
      </c>
      <c r="D821" t="s">
        <v>19</v>
      </c>
      <c r="E821" t="s">
        <v>244</v>
      </c>
      <c r="F821" t="s">
        <v>586</v>
      </c>
      <c r="G821" s="110">
        <v>1278</v>
      </c>
      <c r="H821" s="12">
        <v>45809</v>
      </c>
      <c r="I821" s="24">
        <v>568914.26</v>
      </c>
      <c r="J821" s="24">
        <v>510316.09</v>
      </c>
      <c r="K821" s="3">
        <v>45859</v>
      </c>
      <c r="L821" s="91">
        <v>45880</v>
      </c>
      <c r="M821" s="11">
        <v>45884</v>
      </c>
      <c r="N821" s="18" t="s">
        <v>588</v>
      </c>
      <c r="O821" s="35">
        <v>0</v>
      </c>
      <c r="P821"/>
      <c r="Q821" t="s">
        <v>58</v>
      </c>
      <c r="R821" t="s">
        <v>195</v>
      </c>
      <c r="S821" t="str">
        <f>IFERROR(VLOOKUP(Tabela1[[#This Row],[CC]],CC!$A$1:$H$403,8,0),"")</f>
        <v>OP3</v>
      </c>
    </row>
    <row r="822" spans="1:19" x14ac:dyDescent="0.3">
      <c r="A822" s="8">
        <v>1277</v>
      </c>
      <c r="B822" s="8" t="str">
        <f>IFERROR(VLOOKUP(Tabela1[[#This Row],[CC]],#REF!,5,0),"")</f>
        <v/>
      </c>
      <c r="C822" t="s">
        <v>60</v>
      </c>
      <c r="D822" t="s">
        <v>19</v>
      </c>
      <c r="E822" t="s">
        <v>248</v>
      </c>
      <c r="F822" t="s">
        <v>586</v>
      </c>
      <c r="G822" s="110">
        <v>1279</v>
      </c>
      <c r="H822" s="12">
        <v>45809</v>
      </c>
      <c r="I822" s="24">
        <v>154365.24</v>
      </c>
      <c r="J822" s="10">
        <v>138465.63</v>
      </c>
      <c r="K822" s="3">
        <v>45861</v>
      </c>
      <c r="L822" s="91">
        <v>45873</v>
      </c>
      <c r="M822" s="11">
        <v>45877</v>
      </c>
      <c r="N822" s="18" t="s">
        <v>588</v>
      </c>
      <c r="O822" s="34">
        <v>0</v>
      </c>
      <c r="P822"/>
      <c r="Q822" t="s">
        <v>58</v>
      </c>
      <c r="R822" t="s">
        <v>195</v>
      </c>
      <c r="S822" t="str">
        <f>IFERROR(VLOOKUP(Tabela1[[#This Row],[CC]],CC!$A$1:$H$403,8,0),"")</f>
        <v>OP3</v>
      </c>
    </row>
    <row r="823" spans="1:19" x14ac:dyDescent="0.3">
      <c r="A823" s="25">
        <v>1268</v>
      </c>
      <c r="B823" s="25" t="str">
        <f>IFERROR(VLOOKUP(Tabela1[[#This Row],[CC]],#REF!,5,0),"")</f>
        <v/>
      </c>
      <c r="C823" t="s">
        <v>51</v>
      </c>
      <c r="D823" t="s">
        <v>40</v>
      </c>
      <c r="E823" t="s">
        <v>238</v>
      </c>
      <c r="F823" t="s">
        <v>586</v>
      </c>
      <c r="G823" s="110">
        <v>4077</v>
      </c>
      <c r="H823" s="12">
        <v>45809</v>
      </c>
      <c r="I823" s="24">
        <v>82737</v>
      </c>
      <c r="J823" s="24">
        <v>77648.679999999993</v>
      </c>
      <c r="K823" s="3">
        <v>45811</v>
      </c>
      <c r="L823" s="91">
        <v>45838</v>
      </c>
      <c r="M823" s="11">
        <v>45838</v>
      </c>
      <c r="N823" s="18" t="s">
        <v>588</v>
      </c>
      <c r="O823" s="35">
        <v>0</v>
      </c>
      <c r="P823"/>
      <c r="Q823" t="s">
        <v>55</v>
      </c>
      <c r="R823" t="s">
        <v>231</v>
      </c>
      <c r="S823" t="str">
        <f>IFERROR(VLOOKUP(Tabela1[[#This Row],[CC]],CC!$A$1:$H$403,8,0),"")</f>
        <v>OP2</v>
      </c>
    </row>
    <row r="824" spans="1:19" x14ac:dyDescent="0.3">
      <c r="A824" s="25">
        <v>1268</v>
      </c>
      <c r="B824" s="25" t="str">
        <f>IFERROR(VLOOKUP(Tabela1[[#This Row],[CC]],#REF!,5,0),"")</f>
        <v/>
      </c>
      <c r="C824" t="s">
        <v>51</v>
      </c>
      <c r="D824" t="s">
        <v>40</v>
      </c>
      <c r="E824" t="s">
        <v>238</v>
      </c>
      <c r="F824" t="s">
        <v>586</v>
      </c>
      <c r="G824" s="110">
        <v>4154</v>
      </c>
      <c r="H824" s="12">
        <v>45809</v>
      </c>
      <c r="I824" s="24">
        <v>82737</v>
      </c>
      <c r="J824" s="24">
        <v>77648.679999999993</v>
      </c>
      <c r="K824" s="3">
        <v>45842</v>
      </c>
      <c r="L824" s="91">
        <v>45866</v>
      </c>
      <c r="M824" s="11">
        <v>45867</v>
      </c>
      <c r="N824" s="18" t="s">
        <v>588</v>
      </c>
      <c r="O824" s="35">
        <v>0</v>
      </c>
      <c r="P824"/>
      <c r="Q824" t="s">
        <v>55</v>
      </c>
      <c r="R824" t="s">
        <v>231</v>
      </c>
      <c r="S824" t="str">
        <f>IFERROR(VLOOKUP(Tabela1[[#This Row],[CC]],CC!$A$1:$H$403,8,0),"")</f>
        <v>OP2</v>
      </c>
    </row>
    <row r="825" spans="1:19" x14ac:dyDescent="0.3">
      <c r="A825" s="25">
        <v>1268</v>
      </c>
      <c r="B825" s="25" t="str">
        <f>IFERROR(VLOOKUP(Tabela1[[#This Row],[CC]],#REF!,5,0),"")</f>
        <v/>
      </c>
      <c r="C825" t="s">
        <v>51</v>
      </c>
      <c r="D825" t="s">
        <v>40</v>
      </c>
      <c r="E825" t="s">
        <v>238</v>
      </c>
      <c r="F825" t="s">
        <v>586</v>
      </c>
      <c r="G825" s="110">
        <v>4155</v>
      </c>
      <c r="H825" s="12">
        <v>45809</v>
      </c>
      <c r="I825" s="24">
        <v>134712</v>
      </c>
      <c r="J825" s="24">
        <v>126427.21</v>
      </c>
      <c r="K825" s="3">
        <v>45845</v>
      </c>
      <c r="L825" s="91">
        <v>45859</v>
      </c>
      <c r="M825" s="11">
        <v>45862</v>
      </c>
      <c r="N825" s="18" t="s">
        <v>588</v>
      </c>
      <c r="O825" s="35">
        <v>0</v>
      </c>
      <c r="P825"/>
      <c r="Q825" t="s">
        <v>55</v>
      </c>
      <c r="R825" t="s">
        <v>231</v>
      </c>
      <c r="S825" t="str">
        <f>IFERROR(VLOOKUP(Tabela1[[#This Row],[CC]],CC!$A$1:$H$403,8,0),"")</f>
        <v>OP2</v>
      </c>
    </row>
    <row r="826" spans="1:19" x14ac:dyDescent="0.3">
      <c r="A826" s="25">
        <v>1268</v>
      </c>
      <c r="B826" s="25" t="str">
        <f>IFERROR(VLOOKUP(Tabela1[[#This Row],[CC]],#REF!,5,0),"")</f>
        <v/>
      </c>
      <c r="C826" t="s">
        <v>51</v>
      </c>
      <c r="D826" t="s">
        <v>40</v>
      </c>
      <c r="E826" t="s">
        <v>238</v>
      </c>
      <c r="F826" t="s">
        <v>586</v>
      </c>
      <c r="G826" s="110">
        <v>4174</v>
      </c>
      <c r="H826" s="12">
        <v>45809</v>
      </c>
      <c r="I826" s="24">
        <v>40342.400000000001</v>
      </c>
      <c r="J826" s="24">
        <v>37861.339999999997</v>
      </c>
      <c r="K826" s="3">
        <v>45852</v>
      </c>
      <c r="L826" s="91">
        <v>45866</v>
      </c>
      <c r="M826" s="11">
        <v>45868</v>
      </c>
      <c r="N826" s="18" t="s">
        <v>588</v>
      </c>
      <c r="O826" s="35">
        <v>0</v>
      </c>
      <c r="P826"/>
      <c r="Q826" t="s">
        <v>55</v>
      </c>
      <c r="R826" t="s">
        <v>231</v>
      </c>
      <c r="S826" t="str">
        <f>IFERROR(VLOOKUP(Tabela1[[#This Row],[CC]],CC!$A$1:$H$403,8,0),"")</f>
        <v>OP2</v>
      </c>
    </row>
    <row r="827" spans="1:19" x14ac:dyDescent="0.3">
      <c r="A827" s="25">
        <v>1268</v>
      </c>
      <c r="B827" s="25" t="str">
        <f>IFERROR(VLOOKUP(Tabela1[[#This Row],[CC]],#REF!,5,0),"")</f>
        <v/>
      </c>
      <c r="C827" t="s">
        <v>51</v>
      </c>
      <c r="D827" t="s">
        <v>40</v>
      </c>
      <c r="E827" t="s">
        <v>238</v>
      </c>
      <c r="F827" t="s">
        <v>586</v>
      </c>
      <c r="G827" s="110">
        <v>4175</v>
      </c>
      <c r="H827" s="12">
        <v>45809</v>
      </c>
      <c r="I827" s="24">
        <v>78307.600000000006</v>
      </c>
      <c r="J827" s="24">
        <v>73491.69</v>
      </c>
      <c r="K827" s="3">
        <v>45852</v>
      </c>
      <c r="L827" s="91">
        <v>45866</v>
      </c>
      <c r="M827" s="11">
        <v>45868</v>
      </c>
      <c r="N827" s="18" t="s">
        <v>588</v>
      </c>
      <c r="O827" s="35">
        <v>0</v>
      </c>
      <c r="P827"/>
      <c r="Q827" t="s">
        <v>55</v>
      </c>
      <c r="R827" t="s">
        <v>231</v>
      </c>
      <c r="S827" t="str">
        <f>IFERROR(VLOOKUP(Tabela1[[#This Row],[CC]],CC!$A$1:$H$403,8,0),"")</f>
        <v>OP2</v>
      </c>
    </row>
    <row r="828" spans="1:19" x14ac:dyDescent="0.3">
      <c r="A828" s="25">
        <v>1268</v>
      </c>
      <c r="B828" s="25" t="str">
        <f>IFERROR(VLOOKUP(Tabela1[[#This Row],[CC]],#REF!,5,0),"")</f>
        <v/>
      </c>
      <c r="C828" t="s">
        <v>51</v>
      </c>
      <c r="D828" t="s">
        <v>40</v>
      </c>
      <c r="E828" t="s">
        <v>238</v>
      </c>
      <c r="F828" t="s">
        <v>586</v>
      </c>
      <c r="G828" s="110">
        <v>4176</v>
      </c>
      <c r="H828" s="12">
        <v>45809</v>
      </c>
      <c r="I828" s="24">
        <v>1175596.22</v>
      </c>
      <c r="J828" s="24">
        <v>1103297.05</v>
      </c>
      <c r="K828" s="3">
        <v>45852</v>
      </c>
      <c r="L828" s="91">
        <v>45866</v>
      </c>
      <c r="M828" s="11">
        <v>45868</v>
      </c>
      <c r="N828" s="18" t="s">
        <v>588</v>
      </c>
      <c r="O828" s="35">
        <v>0</v>
      </c>
      <c r="P828"/>
      <c r="Q828" t="s">
        <v>55</v>
      </c>
      <c r="R828" t="s">
        <v>231</v>
      </c>
      <c r="S828" t="str">
        <f>IFERROR(VLOOKUP(Tabela1[[#This Row],[CC]],CC!$A$1:$H$403,8,0),"")</f>
        <v>OP2</v>
      </c>
    </row>
    <row r="829" spans="1:19" x14ac:dyDescent="0.3">
      <c r="A829" s="25">
        <v>1268</v>
      </c>
      <c r="B829" s="25" t="str">
        <f>IFERROR(VLOOKUP(Tabela1[[#This Row],[CC]],#REF!,5,0),"")</f>
        <v/>
      </c>
      <c r="C829" t="s">
        <v>51</v>
      </c>
      <c r="D829" t="s">
        <v>40</v>
      </c>
      <c r="E829" t="s">
        <v>238</v>
      </c>
      <c r="F829" t="s">
        <v>586</v>
      </c>
      <c r="G829" s="110">
        <v>4177</v>
      </c>
      <c r="H829" s="12">
        <v>45809</v>
      </c>
      <c r="I829" s="24">
        <v>100686.39999999999</v>
      </c>
      <c r="J829" s="24">
        <v>94494.18</v>
      </c>
      <c r="K829" s="3">
        <v>45852</v>
      </c>
      <c r="L829" s="91">
        <v>45866</v>
      </c>
      <c r="M829" s="11">
        <v>45868</v>
      </c>
      <c r="N829" s="18" t="s">
        <v>588</v>
      </c>
      <c r="O829" s="35">
        <v>0</v>
      </c>
      <c r="P829"/>
      <c r="Q829" t="s">
        <v>55</v>
      </c>
      <c r="R829" t="s">
        <v>231</v>
      </c>
      <c r="S829" t="str">
        <f>IFERROR(VLOOKUP(Tabela1[[#This Row],[CC]],CC!$A$1:$H$403,8,0),"")</f>
        <v>OP2</v>
      </c>
    </row>
    <row r="830" spans="1:19" x14ac:dyDescent="0.3">
      <c r="A830" s="25">
        <v>1483</v>
      </c>
      <c r="B830" s="25" t="str">
        <f>IFERROR(VLOOKUP(Tabela1[[#This Row],[CC]],#REF!,5,0),"")</f>
        <v/>
      </c>
      <c r="C830" t="s">
        <v>67</v>
      </c>
      <c r="D830" t="s">
        <v>45</v>
      </c>
      <c r="E830" t="s">
        <v>488</v>
      </c>
      <c r="F830" t="s">
        <v>586</v>
      </c>
      <c r="G830" s="110">
        <v>8422</v>
      </c>
      <c r="H830" s="12">
        <v>45809</v>
      </c>
      <c r="I830" s="24">
        <v>53591.199999999997</v>
      </c>
      <c r="J830" s="24">
        <v>49527.08</v>
      </c>
      <c r="K830" s="3">
        <v>45852</v>
      </c>
      <c r="L830" s="91">
        <v>45880</v>
      </c>
      <c r="M830" s="11">
        <v>45882</v>
      </c>
      <c r="N830" s="18" t="s">
        <v>588</v>
      </c>
      <c r="O830" s="35">
        <v>0</v>
      </c>
      <c r="P830" s="26"/>
      <c r="Q830" t="s">
        <v>58</v>
      </c>
      <c r="R830" t="s">
        <v>183</v>
      </c>
      <c r="S830" t="str">
        <f>IFERROR(VLOOKUP(Tabela1[[#This Row],[CC]],CC!$A$1:$H$403,8,0),"")</f>
        <v>OP2</v>
      </c>
    </row>
    <row r="831" spans="1:19" x14ac:dyDescent="0.3">
      <c r="A831" s="25">
        <v>1483</v>
      </c>
      <c r="B831" s="25" t="str">
        <f>IFERROR(VLOOKUP(Tabela1[[#This Row],[CC]],#REF!,5,0),"")</f>
        <v/>
      </c>
      <c r="C831" t="s">
        <v>67</v>
      </c>
      <c r="D831" t="s">
        <v>45</v>
      </c>
      <c r="E831" t="s">
        <v>488</v>
      </c>
      <c r="F831" t="s">
        <v>586</v>
      </c>
      <c r="G831" s="110">
        <v>8423</v>
      </c>
      <c r="H831" s="12">
        <v>45809</v>
      </c>
      <c r="I831" s="24">
        <v>28856.799999999999</v>
      </c>
      <c r="J831" s="24">
        <v>26062.11</v>
      </c>
      <c r="K831" s="3">
        <v>45852</v>
      </c>
      <c r="L831" s="91">
        <v>45887</v>
      </c>
      <c r="M831" s="11">
        <v>45889</v>
      </c>
      <c r="N831" s="18" t="s">
        <v>588</v>
      </c>
      <c r="O831" s="35">
        <v>0</v>
      </c>
      <c r="P831" s="26"/>
      <c r="Q831" t="s">
        <v>58</v>
      </c>
      <c r="R831" t="s">
        <v>183</v>
      </c>
      <c r="S831" t="str">
        <f>IFERROR(VLOOKUP(Tabela1[[#This Row],[CC]],CC!$A$1:$H$403,8,0),"")</f>
        <v>OP2</v>
      </c>
    </row>
    <row r="832" spans="1:19" x14ac:dyDescent="0.3">
      <c r="A832" s="25">
        <v>1275</v>
      </c>
      <c r="B832" s="25" t="str">
        <f>IFERROR(VLOOKUP(Tabela1[[#This Row],[CC]],#REF!,5,0),"")</f>
        <v/>
      </c>
      <c r="C832" t="s">
        <v>51</v>
      </c>
      <c r="D832" t="s">
        <v>41</v>
      </c>
      <c r="E832" t="s">
        <v>246</v>
      </c>
      <c r="F832" t="s">
        <v>586</v>
      </c>
      <c r="G832" s="110">
        <v>4151</v>
      </c>
      <c r="H832" s="12">
        <v>45809</v>
      </c>
      <c r="I832" s="24">
        <v>16767.240000000002</v>
      </c>
      <c r="J832" s="24">
        <v>15736.05</v>
      </c>
      <c r="K832" s="3">
        <v>45841</v>
      </c>
      <c r="L832" s="91">
        <v>45866</v>
      </c>
      <c r="M832" s="11">
        <v>45868</v>
      </c>
      <c r="N832" s="18" t="s">
        <v>588</v>
      </c>
      <c r="O832" s="35">
        <v>0</v>
      </c>
      <c r="P832" s="26"/>
      <c r="Q832" t="s">
        <v>55</v>
      </c>
      <c r="R832" t="s">
        <v>231</v>
      </c>
      <c r="S832" t="str">
        <f>IFERROR(VLOOKUP(Tabela1[[#This Row],[CC]],CC!$A$1:$H$403,8,0),"")</f>
        <v>OP2</v>
      </c>
    </row>
    <row r="833" spans="1:19" x14ac:dyDescent="0.3">
      <c r="A833" s="25">
        <v>1479</v>
      </c>
      <c r="B833" s="25" t="str">
        <f>IFERROR(VLOOKUP(Tabela1[[#This Row],[CC]],#REF!,5,0),"")</f>
        <v/>
      </c>
      <c r="C833" t="s">
        <v>51</v>
      </c>
      <c r="D833" t="s">
        <v>41</v>
      </c>
      <c r="E833" t="s">
        <v>484</v>
      </c>
      <c r="F833" t="s">
        <v>586</v>
      </c>
      <c r="G833" s="110">
        <v>4153</v>
      </c>
      <c r="H833" s="12">
        <v>45809</v>
      </c>
      <c r="I833" s="24">
        <v>14880</v>
      </c>
      <c r="J833" s="24">
        <v>13964.88</v>
      </c>
      <c r="K833" s="3">
        <v>45841</v>
      </c>
      <c r="L833" s="91">
        <v>45866</v>
      </c>
      <c r="M833" s="11">
        <v>45868</v>
      </c>
      <c r="N833" s="18" t="s">
        <v>588</v>
      </c>
      <c r="O833" s="35">
        <v>0</v>
      </c>
      <c r="P833" s="26"/>
      <c r="Q833" t="s">
        <v>57</v>
      </c>
      <c r="R833" t="s">
        <v>231</v>
      </c>
      <c r="S833" t="str">
        <f>IFERROR(VLOOKUP(Tabela1[[#This Row],[CC]],CC!$A$1:$H$403,8,0),"")</f>
        <v>OP2</v>
      </c>
    </row>
    <row r="834" spans="1:19" x14ac:dyDescent="0.3">
      <c r="A834" s="25">
        <v>1455</v>
      </c>
      <c r="B834" s="25" t="str">
        <f>IFERROR(VLOOKUP(Tabela1[[#This Row],[CC]],#REF!,5,0),"")</f>
        <v/>
      </c>
      <c r="C834" t="s">
        <v>70</v>
      </c>
      <c r="D834" t="s">
        <v>31</v>
      </c>
      <c r="E834" t="s">
        <v>455</v>
      </c>
      <c r="F834" t="s">
        <v>586</v>
      </c>
      <c r="G834" s="110">
        <v>8447</v>
      </c>
      <c r="H834" s="12">
        <v>45839</v>
      </c>
      <c r="I834" s="24">
        <v>54003.39</v>
      </c>
      <c r="J834" s="24">
        <v>47712</v>
      </c>
      <c r="K834" s="3">
        <v>45874</v>
      </c>
      <c r="L834" s="91">
        <v>45901</v>
      </c>
      <c r="M834" s="11">
        <v>45901</v>
      </c>
      <c r="N834" s="21" t="s">
        <v>588</v>
      </c>
      <c r="O834" s="41"/>
      <c r="P834" s="26"/>
      <c r="Q834" t="s">
        <v>58</v>
      </c>
      <c r="R834" t="s">
        <v>228</v>
      </c>
      <c r="S834" t="str">
        <f>IFERROR(VLOOKUP(Tabela1[[#This Row],[CC]],CC!$A$1:$H$403,8,0),"")</f>
        <v>OP4</v>
      </c>
    </row>
    <row r="835" spans="1:19" x14ac:dyDescent="0.3">
      <c r="A835" s="8">
        <v>1489</v>
      </c>
      <c r="B835" s="8" t="str">
        <f>IFERROR(VLOOKUP(Tabela1[[#This Row],[CC]],#REF!,5,0),"")</f>
        <v/>
      </c>
      <c r="C835" t="s">
        <v>51</v>
      </c>
      <c r="D835" t="s">
        <v>22</v>
      </c>
      <c r="E835" t="s">
        <v>494</v>
      </c>
      <c r="F835" t="s">
        <v>586</v>
      </c>
      <c r="G835" s="110">
        <v>4223</v>
      </c>
      <c r="H835" s="12">
        <v>45839</v>
      </c>
      <c r="I835" s="24">
        <v>42812.21</v>
      </c>
      <c r="J835" s="24">
        <v>40179.26</v>
      </c>
      <c r="K835" s="3">
        <v>45873</v>
      </c>
      <c r="L835" s="91">
        <v>45901</v>
      </c>
      <c r="M835" s="11">
        <v>45904</v>
      </c>
      <c r="N835" s="18" t="s">
        <v>588</v>
      </c>
      <c r="O835" s="37"/>
      <c r="P835" s="14"/>
      <c r="Q835" t="s">
        <v>57</v>
      </c>
      <c r="R835" t="s">
        <v>231</v>
      </c>
      <c r="S835" t="str">
        <f>IFERROR(VLOOKUP(Tabela1[[#This Row],[CC]],CC!$A$1:$H$403,8,0),"")</f>
        <v>OP2</v>
      </c>
    </row>
    <row r="836" spans="1:19" x14ac:dyDescent="0.3">
      <c r="A836" s="8">
        <v>1357</v>
      </c>
      <c r="B836" s="8" t="str">
        <f>IFERROR(VLOOKUP(Tabela1[[#This Row],[CC]],#REF!,5,0),"")</f>
        <v/>
      </c>
      <c r="C836" t="s">
        <v>51</v>
      </c>
      <c r="D836" t="s">
        <v>53</v>
      </c>
      <c r="E836" t="s">
        <v>592</v>
      </c>
      <c r="F836" t="s">
        <v>586</v>
      </c>
      <c r="G836" s="110">
        <v>4222</v>
      </c>
      <c r="H836" s="12">
        <v>45839</v>
      </c>
      <c r="I836" s="24">
        <v>14150.77</v>
      </c>
      <c r="J836" s="10">
        <v>13281.56</v>
      </c>
      <c r="K836" s="3">
        <v>45873</v>
      </c>
      <c r="L836" s="91">
        <v>46006</v>
      </c>
      <c r="M836" s="5">
        <v>46010</v>
      </c>
      <c r="N836" s="18" t="s">
        <v>588</v>
      </c>
      <c r="O836" s="37"/>
      <c r="P836" s="14"/>
      <c r="Q836" t="s">
        <v>55</v>
      </c>
      <c r="R836" t="s">
        <v>231</v>
      </c>
      <c r="S836" t="str">
        <f>IFERROR(VLOOKUP(Tabela1[[#This Row],[CC]],CC!$A$1:$H$403,8,0),"")</f>
        <v>OP2</v>
      </c>
    </row>
    <row r="837" spans="1:19" x14ac:dyDescent="0.3">
      <c r="A837" s="25">
        <v>1478</v>
      </c>
      <c r="B837" s="25" t="str">
        <f>IFERROR(VLOOKUP(Tabela1[[#This Row],[CC]],#REF!,5,0),"")</f>
        <v/>
      </c>
      <c r="C837" t="s">
        <v>32</v>
      </c>
      <c r="D837" t="s">
        <v>54</v>
      </c>
      <c r="E837" t="s">
        <v>483</v>
      </c>
      <c r="F837" t="s">
        <v>586</v>
      </c>
      <c r="G837" s="110">
        <v>8463</v>
      </c>
      <c r="H837" s="12">
        <v>45839</v>
      </c>
      <c r="I837" s="24">
        <v>20754.55</v>
      </c>
      <c r="J837" s="24">
        <v>19478.14</v>
      </c>
      <c r="K837" s="3">
        <v>45877</v>
      </c>
      <c r="L837" s="91">
        <v>45901</v>
      </c>
      <c r="M837" s="11">
        <v>45901</v>
      </c>
      <c r="N837" s="18" t="s">
        <v>588</v>
      </c>
      <c r="O837" s="35"/>
      <c r="P837"/>
      <c r="Q837" t="s">
        <v>55</v>
      </c>
      <c r="R837" t="s">
        <v>231</v>
      </c>
      <c r="S837" t="str">
        <f>IFERROR(VLOOKUP(Tabela1[[#This Row],[CC]],CC!$A$1:$H$403,8,0),"")</f>
        <v>OP1</v>
      </c>
    </row>
    <row r="838" spans="1:19" x14ac:dyDescent="0.3">
      <c r="A838" s="25">
        <v>1478</v>
      </c>
      <c r="B838" s="25" t="str">
        <f>IFERROR(VLOOKUP(Tabela1[[#This Row],[CC]],#REF!,5,0),"")</f>
        <v/>
      </c>
      <c r="C838" t="s">
        <v>32</v>
      </c>
      <c r="D838" t="s">
        <v>54</v>
      </c>
      <c r="E838" t="s">
        <v>483</v>
      </c>
      <c r="F838" t="s">
        <v>586</v>
      </c>
      <c r="G838" s="110">
        <v>8464</v>
      </c>
      <c r="H838" s="12">
        <v>45839</v>
      </c>
      <c r="I838" s="24">
        <v>29087.69</v>
      </c>
      <c r="J838" s="24">
        <v>27298.79</v>
      </c>
      <c r="K838" s="3">
        <v>45877</v>
      </c>
      <c r="L838" s="91">
        <v>45901</v>
      </c>
      <c r="M838" s="11">
        <v>45901</v>
      </c>
      <c r="N838" s="18" t="s">
        <v>588</v>
      </c>
      <c r="O838" s="35"/>
      <c r="P838"/>
      <c r="Q838" t="s">
        <v>55</v>
      </c>
      <c r="R838" t="s">
        <v>231</v>
      </c>
      <c r="S838" t="str">
        <f>IFERROR(VLOOKUP(Tabela1[[#This Row],[CC]],CC!$A$1:$H$403,8,0),"")</f>
        <v>OP1</v>
      </c>
    </row>
    <row r="839" spans="1:19" x14ac:dyDescent="0.3">
      <c r="A839" s="25">
        <v>1478</v>
      </c>
      <c r="B839" s="25" t="str">
        <f>IFERROR(VLOOKUP(Tabela1[[#This Row],[CC]],#REF!,5,0),"")</f>
        <v/>
      </c>
      <c r="C839" t="s">
        <v>32</v>
      </c>
      <c r="D839" t="s">
        <v>54</v>
      </c>
      <c r="E839" t="s">
        <v>483</v>
      </c>
      <c r="F839" t="s">
        <v>586</v>
      </c>
      <c r="G839" s="110">
        <v>8465</v>
      </c>
      <c r="H839" s="12">
        <v>45839</v>
      </c>
      <c r="I839" s="24">
        <v>13993.56</v>
      </c>
      <c r="J839" s="24">
        <v>13132.95</v>
      </c>
      <c r="K839" s="3">
        <v>45877</v>
      </c>
      <c r="L839" s="91">
        <v>45901</v>
      </c>
      <c r="M839" s="11">
        <v>45901</v>
      </c>
      <c r="N839" s="18" t="s">
        <v>588</v>
      </c>
      <c r="O839" s="35"/>
      <c r="P839"/>
      <c r="Q839" t="s">
        <v>55</v>
      </c>
      <c r="R839" t="s">
        <v>231</v>
      </c>
      <c r="S839" t="str">
        <f>IFERROR(VLOOKUP(Tabela1[[#This Row],[CC]],CC!$A$1:$H$403,8,0),"")</f>
        <v>OP1</v>
      </c>
    </row>
    <row r="840" spans="1:19" x14ac:dyDescent="0.3">
      <c r="A840" s="25">
        <v>1478</v>
      </c>
      <c r="B840" s="25" t="str">
        <f>IFERROR(VLOOKUP(Tabela1[[#This Row],[CC]],#REF!,5,0),"")</f>
        <v/>
      </c>
      <c r="C840" t="s">
        <v>32</v>
      </c>
      <c r="D840" t="s">
        <v>54</v>
      </c>
      <c r="E840" t="s">
        <v>483</v>
      </c>
      <c r="F840" t="s">
        <v>586</v>
      </c>
      <c r="G840" s="110">
        <v>8466</v>
      </c>
      <c r="H840" s="12">
        <v>45839</v>
      </c>
      <c r="I840" s="24">
        <v>26413.8</v>
      </c>
      <c r="J840" s="24">
        <v>24789.35</v>
      </c>
      <c r="K840" s="3">
        <v>45877</v>
      </c>
      <c r="L840" s="91">
        <v>45901</v>
      </c>
      <c r="M840" s="11">
        <v>45901</v>
      </c>
      <c r="N840" s="18" t="s">
        <v>588</v>
      </c>
      <c r="O840" s="35"/>
      <c r="P840"/>
      <c r="Q840" t="s">
        <v>55</v>
      </c>
      <c r="R840" t="s">
        <v>231</v>
      </c>
      <c r="S840" t="str">
        <f>IFERROR(VLOOKUP(Tabela1[[#This Row],[CC]],CC!$A$1:$H$403,8,0),"")</f>
        <v>OP1</v>
      </c>
    </row>
    <row r="841" spans="1:19" x14ac:dyDescent="0.3">
      <c r="A841" s="8">
        <v>1499</v>
      </c>
      <c r="B841" s="8" t="str">
        <f>IFERROR(VLOOKUP(Tabela1[[#This Row],[CC]],#REF!,5,0),"")</f>
        <v/>
      </c>
      <c r="C841" t="s">
        <v>32</v>
      </c>
      <c r="D841" t="s">
        <v>36</v>
      </c>
      <c r="E841" t="s">
        <v>505</v>
      </c>
      <c r="F841" t="s">
        <v>586</v>
      </c>
      <c r="G841" s="110">
        <v>8450</v>
      </c>
      <c r="H841" s="12">
        <v>45839</v>
      </c>
      <c r="I841" s="24">
        <v>52900</v>
      </c>
      <c r="J841" s="10">
        <v>49646.65</v>
      </c>
      <c r="K841" s="3">
        <v>45875</v>
      </c>
      <c r="L841" s="91">
        <v>45894</v>
      </c>
      <c r="M841" s="11">
        <v>45895</v>
      </c>
      <c r="N841" s="18" t="s">
        <v>588</v>
      </c>
      <c r="O841" s="34">
        <v>0</v>
      </c>
      <c r="P841"/>
      <c r="Q841" t="s">
        <v>55</v>
      </c>
      <c r="R841" t="s">
        <v>228</v>
      </c>
      <c r="S841" t="str">
        <f>IFERROR(VLOOKUP(Tabela1[[#This Row],[CC]],CC!$A$1:$H$403,8,0),"")</f>
        <v>OP1</v>
      </c>
    </row>
    <row r="842" spans="1:19" x14ac:dyDescent="0.3">
      <c r="A842" s="25">
        <v>1391</v>
      </c>
      <c r="B842" s="25" t="str">
        <f>IFERROR(VLOOKUP(Tabela1[[#This Row],[CC]],#REF!,5,0),"")</f>
        <v/>
      </c>
      <c r="C842" t="s">
        <v>32</v>
      </c>
      <c r="D842" t="s">
        <v>52</v>
      </c>
      <c r="E842" t="s">
        <v>375</v>
      </c>
      <c r="F842" t="s">
        <v>586</v>
      </c>
      <c r="G842" s="110">
        <v>4232</v>
      </c>
      <c r="H842" s="12">
        <v>45839</v>
      </c>
      <c r="I842" s="24">
        <v>117149.53</v>
      </c>
      <c r="J842" s="28">
        <v>109944.84</v>
      </c>
      <c r="K842" s="3">
        <v>45877</v>
      </c>
      <c r="L842" s="91">
        <v>45894</v>
      </c>
      <c r="M842" s="11">
        <v>45894</v>
      </c>
      <c r="N842" s="1" t="s">
        <v>588</v>
      </c>
      <c r="O842" s="35">
        <v>0</v>
      </c>
      <c r="P842"/>
      <c r="Q842" t="s">
        <v>55</v>
      </c>
      <c r="R842" t="s">
        <v>231</v>
      </c>
      <c r="S842" t="str">
        <f>IFERROR(VLOOKUP(Tabela1[[#This Row],[CC]],CC!$A$1:$H$403,8,0),"")</f>
        <v>OP1</v>
      </c>
    </row>
    <row r="843" spans="1:19" x14ac:dyDescent="0.3">
      <c r="A843" s="25">
        <v>1391</v>
      </c>
      <c r="B843" s="25" t="str">
        <f>IFERROR(VLOOKUP(Tabela1[[#This Row],[CC]],#REF!,5,0),"")</f>
        <v/>
      </c>
      <c r="C843" t="s">
        <v>32</v>
      </c>
      <c r="D843" t="s">
        <v>52</v>
      </c>
      <c r="E843" t="s">
        <v>375</v>
      </c>
      <c r="F843" t="s">
        <v>586</v>
      </c>
      <c r="G843" s="110">
        <v>4233</v>
      </c>
      <c r="H843" s="12">
        <v>45839</v>
      </c>
      <c r="I843" s="24">
        <v>126870.48</v>
      </c>
      <c r="J843" s="28">
        <v>119067.94</v>
      </c>
      <c r="K843" s="3">
        <v>45880</v>
      </c>
      <c r="L843" s="91">
        <v>45894</v>
      </c>
      <c r="M843" s="11">
        <v>45895</v>
      </c>
      <c r="N843" s="1" t="s">
        <v>588</v>
      </c>
      <c r="O843" s="35">
        <v>0</v>
      </c>
      <c r="P843"/>
      <c r="Q843" t="s">
        <v>55</v>
      </c>
      <c r="R843" t="s">
        <v>231</v>
      </c>
      <c r="S843" t="str">
        <f>IFERROR(VLOOKUP(Tabela1[[#This Row],[CC]],CC!$A$1:$H$403,8,0),"")</f>
        <v>OP1</v>
      </c>
    </row>
    <row r="844" spans="1:19" x14ac:dyDescent="0.3">
      <c r="A844" s="8">
        <v>1391</v>
      </c>
      <c r="B844" s="8" t="str">
        <f>IFERROR(VLOOKUP(Tabela1[[#This Row],[CC]],#REF!,5,0),"")</f>
        <v/>
      </c>
      <c r="C844" t="s">
        <v>32</v>
      </c>
      <c r="D844" t="s">
        <v>52</v>
      </c>
      <c r="E844" t="s">
        <v>375</v>
      </c>
      <c r="F844" t="s">
        <v>586</v>
      </c>
      <c r="G844" s="110">
        <v>4234</v>
      </c>
      <c r="H844" s="12">
        <v>45839</v>
      </c>
      <c r="I844" s="24">
        <v>152052.48000000001</v>
      </c>
      <c r="J844" s="39">
        <v>142701.25</v>
      </c>
      <c r="K844" s="3">
        <v>45881</v>
      </c>
      <c r="L844" s="91">
        <v>45894</v>
      </c>
      <c r="M844" s="11">
        <v>45896</v>
      </c>
      <c r="N844" s="1" t="s">
        <v>588</v>
      </c>
      <c r="O844" s="35">
        <v>0</v>
      </c>
      <c r="P844"/>
      <c r="Q844" t="s">
        <v>55</v>
      </c>
      <c r="R844" t="s">
        <v>231</v>
      </c>
      <c r="S844" t="str">
        <f>IFERROR(VLOOKUP(Tabela1[[#This Row],[CC]],CC!$A$1:$H$403,8,0),"")</f>
        <v>OP1</v>
      </c>
    </row>
    <row r="845" spans="1:19" x14ac:dyDescent="0.3">
      <c r="A845" s="8">
        <v>1391</v>
      </c>
      <c r="B845" s="8" t="str">
        <f>IFERROR(VLOOKUP(Tabela1[[#This Row],[CC]],#REF!,5,0),"")</f>
        <v/>
      </c>
      <c r="C845" t="s">
        <v>32</v>
      </c>
      <c r="D845" t="s">
        <v>52</v>
      </c>
      <c r="E845" t="s">
        <v>375</v>
      </c>
      <c r="F845" t="s">
        <v>586</v>
      </c>
      <c r="G845" s="110">
        <v>4236</v>
      </c>
      <c r="H845" s="12">
        <v>45839</v>
      </c>
      <c r="I845" s="24">
        <v>293858.01</v>
      </c>
      <c r="J845" s="39">
        <v>275785.74</v>
      </c>
      <c r="K845" s="3">
        <v>45881</v>
      </c>
      <c r="L845" s="91">
        <v>45894</v>
      </c>
      <c r="M845" s="11">
        <v>45896</v>
      </c>
      <c r="N845" s="1" t="s">
        <v>588</v>
      </c>
      <c r="O845" s="35">
        <v>0</v>
      </c>
      <c r="P845"/>
      <c r="Q845" t="s">
        <v>55</v>
      </c>
      <c r="R845" t="s">
        <v>231</v>
      </c>
      <c r="S845" t="str">
        <f>IFERROR(VLOOKUP(Tabela1[[#This Row],[CC]],CC!$A$1:$H$403,8,0),"")</f>
        <v>OP1</v>
      </c>
    </row>
    <row r="846" spans="1:19" x14ac:dyDescent="0.3">
      <c r="A846" s="8">
        <v>1391</v>
      </c>
      <c r="B846" s="8" t="str">
        <f>IFERROR(VLOOKUP(Tabela1[[#This Row],[CC]],#REF!,5,0),"")</f>
        <v/>
      </c>
      <c r="C846" t="s">
        <v>32</v>
      </c>
      <c r="D846" t="s">
        <v>52</v>
      </c>
      <c r="E846" t="s">
        <v>375</v>
      </c>
      <c r="F846" t="s">
        <v>586</v>
      </c>
      <c r="G846" s="110">
        <v>4237</v>
      </c>
      <c r="H846" s="12">
        <v>45839</v>
      </c>
      <c r="I846" s="24">
        <v>151942.25</v>
      </c>
      <c r="J846" s="39">
        <v>142597.81</v>
      </c>
      <c r="K846" s="3">
        <v>45881</v>
      </c>
      <c r="L846" s="91">
        <v>45894</v>
      </c>
      <c r="M846" s="11">
        <v>45896</v>
      </c>
      <c r="N846" s="1" t="s">
        <v>588</v>
      </c>
      <c r="O846" s="35">
        <v>0</v>
      </c>
      <c r="P846"/>
      <c r="Q846" t="s">
        <v>55</v>
      </c>
      <c r="R846" t="s">
        <v>231</v>
      </c>
      <c r="S846" t="str">
        <f>IFERROR(VLOOKUP(Tabela1[[#This Row],[CC]],CC!$A$1:$H$403,8,0),"")</f>
        <v>OP1</v>
      </c>
    </row>
    <row r="847" spans="1:19" x14ac:dyDescent="0.3">
      <c r="A847" s="8">
        <v>1391</v>
      </c>
      <c r="B847" s="8" t="str">
        <f>IFERROR(VLOOKUP(Tabela1[[#This Row],[CC]],#REF!,5,0),"")</f>
        <v/>
      </c>
      <c r="C847" t="s">
        <v>32</v>
      </c>
      <c r="D847" t="s">
        <v>52</v>
      </c>
      <c r="E847" t="s">
        <v>375</v>
      </c>
      <c r="F847" t="s">
        <v>586</v>
      </c>
      <c r="G847" s="110">
        <v>4238</v>
      </c>
      <c r="H847" s="12">
        <v>45839</v>
      </c>
      <c r="I847" s="24">
        <v>11725.44</v>
      </c>
      <c r="J847" s="39">
        <v>11004.33</v>
      </c>
      <c r="K847" s="3">
        <v>45881</v>
      </c>
      <c r="L847" s="91">
        <v>45894</v>
      </c>
      <c r="M847" s="11">
        <v>45896</v>
      </c>
      <c r="N847" s="1" t="s">
        <v>588</v>
      </c>
      <c r="O847" s="35">
        <v>0</v>
      </c>
      <c r="P847"/>
      <c r="Q847" t="s">
        <v>55</v>
      </c>
      <c r="R847" t="s">
        <v>231</v>
      </c>
      <c r="S847" t="str">
        <f>IFERROR(VLOOKUP(Tabela1[[#This Row],[CC]],CC!$A$1:$H$403,8,0),"")</f>
        <v>OP1</v>
      </c>
    </row>
    <row r="848" spans="1:19" x14ac:dyDescent="0.3">
      <c r="A848" s="8">
        <v>1391</v>
      </c>
      <c r="B848" s="8" t="str">
        <f>IFERROR(VLOOKUP(Tabela1[[#This Row],[CC]],#REF!,5,0),"")</f>
        <v/>
      </c>
      <c r="C848" t="s">
        <v>32</v>
      </c>
      <c r="D848" t="s">
        <v>52</v>
      </c>
      <c r="E848" t="s">
        <v>375</v>
      </c>
      <c r="F848" t="s">
        <v>586</v>
      </c>
      <c r="G848" s="110">
        <v>4245</v>
      </c>
      <c r="H848" s="12">
        <v>45839</v>
      </c>
      <c r="I848" s="24">
        <v>113460.48</v>
      </c>
      <c r="J848" s="39">
        <v>106482.66</v>
      </c>
      <c r="K848" s="3">
        <v>45882</v>
      </c>
      <c r="L848" s="91">
        <v>45894</v>
      </c>
      <c r="M848" s="11">
        <v>45897</v>
      </c>
      <c r="N848" s="1" t="s">
        <v>588</v>
      </c>
      <c r="O848" s="35">
        <v>0</v>
      </c>
      <c r="P848"/>
      <c r="Q848" t="s">
        <v>55</v>
      </c>
      <c r="R848" t="s">
        <v>231</v>
      </c>
      <c r="S848" t="str">
        <f>IFERROR(VLOOKUP(Tabela1[[#This Row],[CC]],CC!$A$1:$H$403,8,0),"")</f>
        <v>OP1</v>
      </c>
    </row>
    <row r="849" spans="1:19" x14ac:dyDescent="0.3">
      <c r="A849" s="8">
        <v>1391</v>
      </c>
      <c r="B849" s="8" t="str">
        <f>IFERROR(VLOOKUP(Tabela1[[#This Row],[CC]],#REF!,5,0),"")</f>
        <v/>
      </c>
      <c r="C849" t="s">
        <v>32</v>
      </c>
      <c r="D849" t="s">
        <v>52</v>
      </c>
      <c r="E849" t="s">
        <v>375</v>
      </c>
      <c r="F849" t="s">
        <v>586</v>
      </c>
      <c r="G849" s="110">
        <v>4246</v>
      </c>
      <c r="H849" s="12">
        <v>45839</v>
      </c>
      <c r="I849" s="24">
        <v>42646.559999999998</v>
      </c>
      <c r="J849" s="39">
        <v>40023.79</v>
      </c>
      <c r="K849" s="3">
        <v>45882</v>
      </c>
      <c r="L849" s="91">
        <v>45894</v>
      </c>
      <c r="M849" s="11">
        <v>45897</v>
      </c>
      <c r="N849" s="1" t="s">
        <v>588</v>
      </c>
      <c r="O849" s="35">
        <v>0</v>
      </c>
      <c r="P849"/>
      <c r="Q849" t="s">
        <v>55</v>
      </c>
      <c r="R849" t="s">
        <v>231</v>
      </c>
      <c r="S849" t="str">
        <f>IFERROR(VLOOKUP(Tabela1[[#This Row],[CC]],CC!$A$1:$H$403,8,0),"")</f>
        <v>OP1</v>
      </c>
    </row>
    <row r="850" spans="1:19" x14ac:dyDescent="0.3">
      <c r="A850" s="8">
        <v>1391</v>
      </c>
      <c r="B850" s="8" t="str">
        <f>IFERROR(VLOOKUP(Tabela1[[#This Row],[CC]],#REF!,5,0),"")</f>
        <v/>
      </c>
      <c r="C850" t="s">
        <v>32</v>
      </c>
      <c r="D850" t="s">
        <v>52</v>
      </c>
      <c r="E850" t="s">
        <v>375</v>
      </c>
      <c r="F850" t="s">
        <v>586</v>
      </c>
      <c r="G850" s="110">
        <v>4247</v>
      </c>
      <c r="H850" s="12">
        <v>45839</v>
      </c>
      <c r="I850" s="24">
        <v>204716.49</v>
      </c>
      <c r="J850" s="39">
        <v>192126.42</v>
      </c>
      <c r="K850" s="3">
        <v>45882</v>
      </c>
      <c r="L850" s="91">
        <v>45894</v>
      </c>
      <c r="M850" s="11">
        <v>45897</v>
      </c>
      <c r="N850" s="1" t="s">
        <v>588</v>
      </c>
      <c r="O850" s="35">
        <v>0</v>
      </c>
      <c r="P850"/>
      <c r="Q850" t="s">
        <v>55</v>
      </c>
      <c r="R850" t="s">
        <v>231</v>
      </c>
      <c r="S850" t="str">
        <f>IFERROR(VLOOKUP(Tabela1[[#This Row],[CC]],CC!$A$1:$H$403,8,0),"")</f>
        <v>OP1</v>
      </c>
    </row>
    <row r="851" spans="1:19" x14ac:dyDescent="0.3">
      <c r="A851" s="8">
        <v>1391</v>
      </c>
      <c r="B851" s="8" t="str">
        <f>IFERROR(VLOOKUP(Tabela1[[#This Row],[CC]],#REF!,5,0),"")</f>
        <v/>
      </c>
      <c r="C851" t="s">
        <v>32</v>
      </c>
      <c r="D851" t="s">
        <v>52</v>
      </c>
      <c r="E851" t="s">
        <v>375</v>
      </c>
      <c r="F851" t="s">
        <v>586</v>
      </c>
      <c r="G851" s="110">
        <v>4258</v>
      </c>
      <c r="H851" s="12">
        <v>45839</v>
      </c>
      <c r="I851" s="24">
        <v>1111.48</v>
      </c>
      <c r="J851" s="28">
        <v>1043.1400000000001</v>
      </c>
      <c r="K851" s="3">
        <v>45884</v>
      </c>
      <c r="L851" s="91">
        <v>45901</v>
      </c>
      <c r="M851" s="11">
        <v>45901</v>
      </c>
      <c r="N851" s="1" t="s">
        <v>588</v>
      </c>
      <c r="O851" s="35">
        <v>0</v>
      </c>
      <c r="P851"/>
      <c r="Q851" t="s">
        <v>55</v>
      </c>
      <c r="R851" t="s">
        <v>231</v>
      </c>
      <c r="S851" t="str">
        <f>IFERROR(VLOOKUP(Tabela1[[#This Row],[CC]],CC!$A$1:$H$403,8,0),"")</f>
        <v>OP1</v>
      </c>
    </row>
    <row r="852" spans="1:19" x14ac:dyDescent="0.3">
      <c r="A852" s="25">
        <v>1294</v>
      </c>
      <c r="B852" s="25" t="str">
        <f>IFERROR(VLOOKUP(Tabela1[[#This Row],[CC]],#REF!,5,0),"")</f>
        <v/>
      </c>
      <c r="C852" t="s">
        <v>32</v>
      </c>
      <c r="D852" t="s">
        <v>52</v>
      </c>
      <c r="E852" t="s">
        <v>268</v>
      </c>
      <c r="F852" t="s">
        <v>586</v>
      </c>
      <c r="G852" s="110">
        <v>4231</v>
      </c>
      <c r="H852" s="12">
        <v>45839</v>
      </c>
      <c r="I852" s="24">
        <v>212256</v>
      </c>
      <c r="J852" s="28">
        <v>199202.26</v>
      </c>
      <c r="K852" s="3">
        <v>45877</v>
      </c>
      <c r="L852" s="91">
        <v>45894</v>
      </c>
      <c r="M852" s="11">
        <v>45894</v>
      </c>
      <c r="N852" s="1" t="s">
        <v>588</v>
      </c>
      <c r="O852" s="35">
        <v>0</v>
      </c>
      <c r="P852"/>
      <c r="Q852" t="s">
        <v>55</v>
      </c>
      <c r="R852" t="s">
        <v>231</v>
      </c>
      <c r="S852" t="str">
        <f>IFERROR(VLOOKUP(Tabela1[[#This Row],[CC]],CC!$A$1:$H$403,8,0),"")</f>
        <v>OP1</v>
      </c>
    </row>
    <row r="853" spans="1:19" x14ac:dyDescent="0.3">
      <c r="A853" s="25">
        <v>1294</v>
      </c>
      <c r="B853" s="25" t="str">
        <f>IFERROR(VLOOKUP(Tabela1[[#This Row],[CC]],#REF!,5,0),"")</f>
        <v/>
      </c>
      <c r="C853" t="s">
        <v>32</v>
      </c>
      <c r="D853" t="s">
        <v>52</v>
      </c>
      <c r="E853" t="s">
        <v>268</v>
      </c>
      <c r="F853" t="s">
        <v>586</v>
      </c>
      <c r="G853" s="110">
        <v>4235</v>
      </c>
      <c r="H853" s="12">
        <v>45839</v>
      </c>
      <c r="I853" s="24">
        <v>228465.44</v>
      </c>
      <c r="J853" s="28">
        <v>214414.82</v>
      </c>
      <c r="K853" s="3">
        <v>45881</v>
      </c>
      <c r="L853" s="91">
        <v>45894</v>
      </c>
      <c r="M853" s="11">
        <v>45896</v>
      </c>
      <c r="N853" s="1" t="s">
        <v>588</v>
      </c>
      <c r="O853" s="35">
        <v>0</v>
      </c>
      <c r="P853"/>
      <c r="Q853" t="s">
        <v>55</v>
      </c>
      <c r="R853" t="s">
        <v>231</v>
      </c>
      <c r="S853" t="str">
        <f>IFERROR(VLOOKUP(Tabela1[[#This Row],[CC]],CC!$A$1:$H$403,8,0),"")</f>
        <v>OP1</v>
      </c>
    </row>
    <row r="854" spans="1:19" x14ac:dyDescent="0.3">
      <c r="A854" s="25">
        <v>1294</v>
      </c>
      <c r="B854" s="25" t="str">
        <f>IFERROR(VLOOKUP(Tabela1[[#This Row],[CC]],#REF!,5,0),"")</f>
        <v/>
      </c>
      <c r="C854" t="s">
        <v>32</v>
      </c>
      <c r="D854" t="s">
        <v>52</v>
      </c>
      <c r="E854" t="s">
        <v>268</v>
      </c>
      <c r="F854" t="s">
        <v>586</v>
      </c>
      <c r="G854" s="110">
        <v>4239</v>
      </c>
      <c r="H854" s="12">
        <v>45839</v>
      </c>
      <c r="I854" s="116">
        <v>185528.51</v>
      </c>
      <c r="J854" s="28">
        <v>174118.5</v>
      </c>
      <c r="K854" s="3">
        <v>45881</v>
      </c>
      <c r="L854" s="91">
        <v>45894</v>
      </c>
      <c r="M854" s="11">
        <v>45896</v>
      </c>
      <c r="N854" s="1" t="s">
        <v>588</v>
      </c>
      <c r="O854" s="35">
        <v>0</v>
      </c>
      <c r="P854"/>
      <c r="Q854" t="s">
        <v>55</v>
      </c>
      <c r="R854" t="s">
        <v>231</v>
      </c>
      <c r="S854" t="str">
        <f>IFERROR(VLOOKUP(Tabela1[[#This Row],[CC]],CC!$A$1:$H$403,8,0),"")</f>
        <v>OP1</v>
      </c>
    </row>
    <row r="855" spans="1:19" x14ac:dyDescent="0.3">
      <c r="A855" s="25">
        <v>1294</v>
      </c>
      <c r="B855" s="25" t="str">
        <f>IFERROR(VLOOKUP(Tabela1[[#This Row],[CC]],#REF!,5,0),"")</f>
        <v/>
      </c>
      <c r="C855" t="s">
        <v>32</v>
      </c>
      <c r="D855" t="s">
        <v>52</v>
      </c>
      <c r="E855" t="s">
        <v>268</v>
      </c>
      <c r="F855" t="s">
        <v>586</v>
      </c>
      <c r="G855" s="110">
        <v>4240</v>
      </c>
      <c r="H855" s="12">
        <v>45839</v>
      </c>
      <c r="I855" s="24">
        <v>167314.19</v>
      </c>
      <c r="J855" s="28">
        <v>157024.37</v>
      </c>
      <c r="K855" s="3">
        <v>45881</v>
      </c>
      <c r="L855" s="91">
        <v>45894</v>
      </c>
      <c r="M855" s="11">
        <v>45896</v>
      </c>
      <c r="N855" s="1" t="s">
        <v>588</v>
      </c>
      <c r="O855" s="35">
        <v>0</v>
      </c>
      <c r="P855"/>
      <c r="Q855" t="s">
        <v>55</v>
      </c>
      <c r="R855" t="s">
        <v>231</v>
      </c>
      <c r="S855" t="str">
        <f>IFERROR(VLOOKUP(Tabela1[[#This Row],[CC]],CC!$A$1:$H$403,8,0),"")</f>
        <v>OP1</v>
      </c>
    </row>
    <row r="856" spans="1:19" x14ac:dyDescent="0.3">
      <c r="A856" s="25">
        <v>1294</v>
      </c>
      <c r="B856" s="25" t="str">
        <f>IFERROR(VLOOKUP(Tabela1[[#This Row],[CC]],#REF!,5,0),"")</f>
        <v/>
      </c>
      <c r="C856" t="s">
        <v>32</v>
      </c>
      <c r="D856" t="s">
        <v>52</v>
      </c>
      <c r="E856" t="s">
        <v>268</v>
      </c>
      <c r="F856" t="s">
        <v>586</v>
      </c>
      <c r="G856" s="110">
        <v>4241</v>
      </c>
      <c r="H856" s="12">
        <v>45839</v>
      </c>
      <c r="I856" s="24">
        <v>166765.92000000001</v>
      </c>
      <c r="J856" s="28">
        <v>156509.81</v>
      </c>
      <c r="K856" s="3">
        <v>45881</v>
      </c>
      <c r="L856" s="91">
        <v>45894</v>
      </c>
      <c r="M856" s="11">
        <v>45896</v>
      </c>
      <c r="N856" s="1" t="s">
        <v>588</v>
      </c>
      <c r="O856" s="35">
        <v>0</v>
      </c>
      <c r="P856"/>
      <c r="Q856" t="s">
        <v>55</v>
      </c>
      <c r="R856" t="s">
        <v>231</v>
      </c>
      <c r="S856" t="str">
        <f>IFERROR(VLOOKUP(Tabela1[[#This Row],[CC]],CC!$A$1:$H$403,8,0),"")</f>
        <v>OP1</v>
      </c>
    </row>
    <row r="857" spans="1:19" x14ac:dyDescent="0.3">
      <c r="A857" s="25">
        <v>1294</v>
      </c>
      <c r="B857" s="25" t="str">
        <f>IFERROR(VLOOKUP(Tabela1[[#This Row],[CC]],#REF!,5,0),"")</f>
        <v/>
      </c>
      <c r="C857" t="s">
        <v>32</v>
      </c>
      <c r="D857" t="s">
        <v>52</v>
      </c>
      <c r="E857" t="s">
        <v>268</v>
      </c>
      <c r="F857" t="s">
        <v>586</v>
      </c>
      <c r="G857" s="110">
        <v>4244</v>
      </c>
      <c r="H857" s="12">
        <v>45839</v>
      </c>
      <c r="I857" s="24">
        <v>165207.51</v>
      </c>
      <c r="J857" s="28">
        <v>155047.25</v>
      </c>
      <c r="K857" s="3">
        <v>45881</v>
      </c>
      <c r="L857" s="93">
        <v>45894</v>
      </c>
      <c r="M857" s="11">
        <v>45896</v>
      </c>
      <c r="N857" s="1" t="s">
        <v>588</v>
      </c>
      <c r="O857" s="35">
        <v>0</v>
      </c>
      <c r="P857"/>
      <c r="Q857" t="s">
        <v>55</v>
      </c>
      <c r="R857" t="s">
        <v>231</v>
      </c>
      <c r="S857" t="str">
        <f>IFERROR(VLOOKUP(Tabela1[[#This Row],[CC]],CC!$A$1:$H$403,8,0),"")</f>
        <v>OP1</v>
      </c>
    </row>
    <row r="858" spans="1:19" x14ac:dyDescent="0.3">
      <c r="A858" s="25">
        <v>1294</v>
      </c>
      <c r="B858" s="25" t="str">
        <f>IFERROR(VLOOKUP(Tabela1[[#This Row],[CC]],#REF!,5,0),"")</f>
        <v/>
      </c>
      <c r="C858" t="s">
        <v>32</v>
      </c>
      <c r="D858" t="s">
        <v>52</v>
      </c>
      <c r="E858" t="s">
        <v>268</v>
      </c>
      <c r="F858" t="s">
        <v>586</v>
      </c>
      <c r="G858" s="110">
        <v>4254</v>
      </c>
      <c r="H858" s="12">
        <v>45839</v>
      </c>
      <c r="I858" s="24">
        <v>274566</v>
      </c>
      <c r="J858" s="28">
        <v>257680.19</v>
      </c>
      <c r="K858" s="3">
        <v>45883</v>
      </c>
      <c r="L858" s="93">
        <v>45894</v>
      </c>
      <c r="M858" s="11">
        <v>45897</v>
      </c>
      <c r="N858" s="1" t="s">
        <v>588</v>
      </c>
      <c r="O858" s="35">
        <v>0</v>
      </c>
      <c r="P858"/>
      <c r="Q858" t="s">
        <v>55</v>
      </c>
      <c r="R858" t="s">
        <v>231</v>
      </c>
      <c r="S858" t="str">
        <f>IFERROR(VLOOKUP(Tabela1[[#This Row],[CC]],CC!$A$1:$H$403,8,0),"")</f>
        <v>OP1</v>
      </c>
    </row>
    <row r="859" spans="1:19" x14ac:dyDescent="0.3">
      <c r="A859" s="25">
        <v>1285</v>
      </c>
      <c r="B859" s="25" t="str">
        <f>IFERROR(VLOOKUP(Tabela1[[#This Row],[CC]],#REF!,5,0),"")</f>
        <v/>
      </c>
      <c r="C859" t="s">
        <v>32</v>
      </c>
      <c r="D859" t="s">
        <v>52</v>
      </c>
      <c r="E859" t="s">
        <v>259</v>
      </c>
      <c r="F859" t="s">
        <v>586</v>
      </c>
      <c r="G859" s="110">
        <v>4214</v>
      </c>
      <c r="H859" s="12">
        <v>45839</v>
      </c>
      <c r="I859" s="24">
        <v>13375.12</v>
      </c>
      <c r="J859" s="24">
        <v>12552.55</v>
      </c>
      <c r="K859" s="3">
        <v>45866</v>
      </c>
      <c r="L859" s="93">
        <v>45894</v>
      </c>
      <c r="M859" s="11">
        <v>45896</v>
      </c>
      <c r="N859" s="1" t="s">
        <v>588</v>
      </c>
      <c r="O859" s="35">
        <v>0</v>
      </c>
      <c r="P859" s="26"/>
      <c r="Q859" t="s">
        <v>55</v>
      </c>
      <c r="R859" t="s">
        <v>231</v>
      </c>
      <c r="S859" t="str">
        <f>IFERROR(VLOOKUP(Tabela1[[#This Row],[CC]],CC!$A$1:$H$403,8,0),"")</f>
        <v>OP1</v>
      </c>
    </row>
    <row r="860" spans="1:19" x14ac:dyDescent="0.3">
      <c r="A860" s="25">
        <v>1285</v>
      </c>
      <c r="B860" s="25" t="str">
        <f>IFERROR(VLOOKUP(Tabela1[[#This Row],[CC]],#REF!,5,0),"")</f>
        <v/>
      </c>
      <c r="C860" t="s">
        <v>32</v>
      </c>
      <c r="D860" t="s">
        <v>52</v>
      </c>
      <c r="E860" t="s">
        <v>259</v>
      </c>
      <c r="F860" t="s">
        <v>586</v>
      </c>
      <c r="G860" s="110">
        <v>4292</v>
      </c>
      <c r="H860" s="12">
        <v>45839</v>
      </c>
      <c r="I860" s="24">
        <v>25534.32</v>
      </c>
      <c r="J860" s="24">
        <v>23963.97</v>
      </c>
      <c r="K860" s="3">
        <v>45895</v>
      </c>
      <c r="L860" s="93">
        <v>45922</v>
      </c>
      <c r="M860" s="11">
        <v>45925</v>
      </c>
      <c r="N860" s="1" t="s">
        <v>588</v>
      </c>
      <c r="O860" s="35">
        <v>0</v>
      </c>
      <c r="P860" s="26"/>
      <c r="Q860" t="s">
        <v>55</v>
      </c>
      <c r="R860" t="s">
        <v>231</v>
      </c>
      <c r="S860" t="str">
        <f>IFERROR(VLOOKUP(Tabela1[[#This Row],[CC]],CC!$A$1:$H$403,8,0),"")</f>
        <v>OP1</v>
      </c>
    </row>
    <row r="861" spans="1:19" x14ac:dyDescent="0.3">
      <c r="A861" s="25">
        <v>1292</v>
      </c>
      <c r="B861" s="25" t="str">
        <f>IFERROR(VLOOKUP(Tabela1[[#This Row],[CC]],#REF!,5,0),"")</f>
        <v/>
      </c>
      <c r="C861" t="s">
        <v>32</v>
      </c>
      <c r="D861" t="s">
        <v>56</v>
      </c>
      <c r="E861" t="s">
        <v>266</v>
      </c>
      <c r="F861" t="s">
        <v>586</v>
      </c>
      <c r="G861" s="110">
        <v>4243</v>
      </c>
      <c r="H861" s="12">
        <v>45839</v>
      </c>
      <c r="I861" s="24">
        <v>136391.20000000001</v>
      </c>
      <c r="J861" s="24">
        <v>128003.14</v>
      </c>
      <c r="K861" s="3">
        <v>45881</v>
      </c>
      <c r="L861" s="91">
        <v>45894</v>
      </c>
      <c r="M861" s="11">
        <v>45896</v>
      </c>
      <c r="N861" s="1" t="s">
        <v>588</v>
      </c>
      <c r="O861" s="35">
        <v>0</v>
      </c>
      <c r="P861"/>
      <c r="Q861" t="s">
        <v>55</v>
      </c>
      <c r="R861" t="s">
        <v>231</v>
      </c>
      <c r="S861" t="str">
        <f>IFERROR(VLOOKUP(Tabela1[[#This Row],[CC]],CC!$A$1:$H$403,8,0),"")</f>
        <v>OP1</v>
      </c>
    </row>
    <row r="862" spans="1:19" x14ac:dyDescent="0.3">
      <c r="A862" s="25">
        <v>1292</v>
      </c>
      <c r="B862" s="25" t="str">
        <f>IFERROR(VLOOKUP(Tabela1[[#This Row],[CC]],#REF!,5,0),"")</f>
        <v/>
      </c>
      <c r="C862" t="s">
        <v>32</v>
      </c>
      <c r="D862" t="s">
        <v>56</v>
      </c>
      <c r="E862" t="s">
        <v>266</v>
      </c>
      <c r="F862" t="s">
        <v>586</v>
      </c>
      <c r="G862" s="110">
        <v>4248</v>
      </c>
      <c r="H862" s="12">
        <v>45839</v>
      </c>
      <c r="I862" s="24">
        <v>34633.19</v>
      </c>
      <c r="J862" s="24">
        <v>32503.24</v>
      </c>
      <c r="K862" s="3">
        <v>45882</v>
      </c>
      <c r="L862" s="91">
        <v>45894</v>
      </c>
      <c r="M862" s="11">
        <v>45897</v>
      </c>
      <c r="N862" s="1" t="s">
        <v>588</v>
      </c>
      <c r="O862" s="35">
        <v>0</v>
      </c>
      <c r="P862"/>
      <c r="Q862" t="s">
        <v>55</v>
      </c>
      <c r="R862" t="s">
        <v>231</v>
      </c>
      <c r="S862" t="str">
        <f>IFERROR(VLOOKUP(Tabela1[[#This Row],[CC]],CC!$A$1:$H$403,8,0),"")</f>
        <v>OP1</v>
      </c>
    </row>
    <row r="863" spans="1:19" x14ac:dyDescent="0.3">
      <c r="A863" s="25">
        <v>1292</v>
      </c>
      <c r="B863" s="25" t="str">
        <f>IFERROR(VLOOKUP(Tabela1[[#This Row],[CC]],#REF!,5,0),"")</f>
        <v/>
      </c>
      <c r="C863" t="s">
        <v>32</v>
      </c>
      <c r="D863" t="s">
        <v>56</v>
      </c>
      <c r="E863" t="s">
        <v>266</v>
      </c>
      <c r="F863" t="s">
        <v>586</v>
      </c>
      <c r="G863" s="110">
        <v>4255</v>
      </c>
      <c r="H863" s="12">
        <v>45839</v>
      </c>
      <c r="I863" s="24">
        <v>134253.73000000001</v>
      </c>
      <c r="J863" s="24">
        <v>125997.12</v>
      </c>
      <c r="K863" s="3">
        <v>45883</v>
      </c>
      <c r="L863" s="91">
        <v>45894</v>
      </c>
      <c r="M863" s="11">
        <v>45898</v>
      </c>
      <c r="N863" s="1" t="s">
        <v>588</v>
      </c>
      <c r="O863" s="35">
        <v>0</v>
      </c>
      <c r="P863"/>
      <c r="Q863" t="s">
        <v>55</v>
      </c>
      <c r="R863" t="s">
        <v>231</v>
      </c>
      <c r="S863" t="str">
        <f>IFERROR(VLOOKUP(Tabela1[[#This Row],[CC]],CC!$A$1:$H$403,8,0),"")</f>
        <v>OP1</v>
      </c>
    </row>
    <row r="864" spans="1:19" x14ac:dyDescent="0.3">
      <c r="A864" s="25">
        <v>1292</v>
      </c>
      <c r="B864" s="25" t="str">
        <f>IFERROR(VLOOKUP(Tabela1[[#This Row],[CC]],#REF!,5,0),"")</f>
        <v/>
      </c>
      <c r="C864" t="s">
        <v>32</v>
      </c>
      <c r="D864" t="s">
        <v>56</v>
      </c>
      <c r="E864" t="s">
        <v>266</v>
      </c>
      <c r="F864" t="s">
        <v>586</v>
      </c>
      <c r="G864" s="110">
        <v>4256</v>
      </c>
      <c r="H864" s="12">
        <v>45839</v>
      </c>
      <c r="I864" s="24">
        <v>31008</v>
      </c>
      <c r="J864" s="24">
        <v>29101.01</v>
      </c>
      <c r="K864" s="3">
        <v>45883</v>
      </c>
      <c r="L864" s="91">
        <v>45894</v>
      </c>
      <c r="M864" s="11">
        <v>45898</v>
      </c>
      <c r="N864" s="1" t="s">
        <v>588</v>
      </c>
      <c r="O864" s="35">
        <v>0</v>
      </c>
      <c r="P864"/>
      <c r="Q864" t="s">
        <v>55</v>
      </c>
      <c r="R864" t="s">
        <v>231</v>
      </c>
      <c r="S864" t="str">
        <f>IFERROR(VLOOKUP(Tabela1[[#This Row],[CC]],CC!$A$1:$H$403,8,0),"")</f>
        <v>OP1</v>
      </c>
    </row>
    <row r="865" spans="1:19" x14ac:dyDescent="0.3">
      <c r="A865" s="25">
        <v>1292</v>
      </c>
      <c r="B865" s="25" t="str">
        <f>IFERROR(VLOOKUP(Tabela1[[#This Row],[CC]],#REF!,5,0),"")</f>
        <v/>
      </c>
      <c r="C865" t="s">
        <v>32</v>
      </c>
      <c r="D865" t="s">
        <v>56</v>
      </c>
      <c r="E865" t="s">
        <v>266</v>
      </c>
      <c r="F865" t="s">
        <v>586</v>
      </c>
      <c r="G865" s="110">
        <v>4257</v>
      </c>
      <c r="H865" s="12">
        <v>45839</v>
      </c>
      <c r="I865" s="24">
        <v>16152.4</v>
      </c>
      <c r="J865" s="24">
        <v>15159.02</v>
      </c>
      <c r="K865" s="3">
        <v>45883</v>
      </c>
      <c r="L865" s="91">
        <v>45901</v>
      </c>
      <c r="M865" s="11">
        <v>45904</v>
      </c>
      <c r="N865" s="1" t="s">
        <v>588</v>
      </c>
      <c r="O865" s="35">
        <v>0</v>
      </c>
      <c r="P865"/>
      <c r="Q865" t="s">
        <v>55</v>
      </c>
      <c r="R865" t="s">
        <v>231</v>
      </c>
      <c r="S865" t="str">
        <f>IFERROR(VLOOKUP(Tabela1[[#This Row],[CC]],CC!$A$1:$H$403,8,0),"")</f>
        <v>OP1</v>
      </c>
    </row>
    <row r="866" spans="1:19" x14ac:dyDescent="0.3">
      <c r="A866" s="25">
        <v>1484</v>
      </c>
      <c r="B866" s="25" t="str">
        <f>IFERROR(VLOOKUP(Tabela1[[#This Row],[CC]],#REF!,5,0),"")</f>
        <v/>
      </c>
      <c r="C866" t="s">
        <v>32</v>
      </c>
      <c r="D866" t="s">
        <v>56</v>
      </c>
      <c r="E866" t="s">
        <v>489</v>
      </c>
      <c r="F866" t="s">
        <v>586</v>
      </c>
      <c r="G866" s="110">
        <v>4230</v>
      </c>
      <c r="H866" s="12">
        <v>45839</v>
      </c>
      <c r="I866" s="24">
        <v>36601.06</v>
      </c>
      <c r="J866" s="24">
        <v>34350.089999999997</v>
      </c>
      <c r="K866" s="3">
        <v>45877</v>
      </c>
      <c r="L866" s="91">
        <v>45894</v>
      </c>
      <c r="M866" s="11">
        <v>45898</v>
      </c>
      <c r="N866" s="1" t="s">
        <v>588</v>
      </c>
      <c r="O866" s="35">
        <v>0</v>
      </c>
      <c r="P866"/>
      <c r="Q866" t="s">
        <v>57</v>
      </c>
      <c r="R866" t="s">
        <v>231</v>
      </c>
      <c r="S866" t="str">
        <f>IFERROR(VLOOKUP(Tabela1[[#This Row],[CC]],CC!$A$1:$H$403,8,0),"")</f>
        <v>OP1</v>
      </c>
    </row>
    <row r="867" spans="1:19" x14ac:dyDescent="0.3">
      <c r="A867" s="25">
        <v>1484</v>
      </c>
      <c r="B867" s="25" t="str">
        <f>IFERROR(VLOOKUP(Tabela1[[#This Row],[CC]],#REF!,5,0),"")</f>
        <v/>
      </c>
      <c r="C867" t="s">
        <v>32</v>
      </c>
      <c r="D867" t="s">
        <v>56</v>
      </c>
      <c r="E867" t="s">
        <v>489</v>
      </c>
      <c r="F867" t="s">
        <v>586</v>
      </c>
      <c r="G867" s="110">
        <v>4242</v>
      </c>
      <c r="H867" s="12">
        <v>45839</v>
      </c>
      <c r="I867" s="24">
        <v>61248</v>
      </c>
      <c r="J867" s="24">
        <v>57481.25</v>
      </c>
      <c r="K867" s="3">
        <v>45881</v>
      </c>
      <c r="L867" s="91">
        <v>45894</v>
      </c>
      <c r="M867" s="11">
        <v>45896</v>
      </c>
      <c r="N867" s="1" t="s">
        <v>588</v>
      </c>
      <c r="O867" s="35">
        <v>0</v>
      </c>
      <c r="P867"/>
      <c r="Q867" t="s">
        <v>57</v>
      </c>
      <c r="R867" t="s">
        <v>231</v>
      </c>
      <c r="S867" t="str">
        <f>IFERROR(VLOOKUP(Tabela1[[#This Row],[CC]],CC!$A$1:$H$403,8,0),"")</f>
        <v>OP1</v>
      </c>
    </row>
    <row r="868" spans="1:19" x14ac:dyDescent="0.3">
      <c r="A868" s="25">
        <v>1398</v>
      </c>
      <c r="B868" s="25" t="str">
        <f>IFERROR(VLOOKUP(Tabela1[[#This Row],[CC]],#REF!,5,0),"")</f>
        <v/>
      </c>
      <c r="C868" t="s">
        <v>67</v>
      </c>
      <c r="D868" t="s">
        <v>42</v>
      </c>
      <c r="E868" t="s">
        <v>383</v>
      </c>
      <c r="F868" t="s">
        <v>586</v>
      </c>
      <c r="G868" s="110">
        <v>8451</v>
      </c>
      <c r="H868" s="12">
        <v>45839</v>
      </c>
      <c r="I868" s="27">
        <v>48000</v>
      </c>
      <c r="J868" s="24">
        <v>45048</v>
      </c>
      <c r="K868" s="3">
        <v>45875</v>
      </c>
      <c r="L868" s="91">
        <v>45943</v>
      </c>
      <c r="M868" s="11">
        <v>45945</v>
      </c>
      <c r="N868" s="18" t="s">
        <v>588</v>
      </c>
      <c r="O868" s="35">
        <v>0</v>
      </c>
      <c r="P868"/>
      <c r="Q868" t="s">
        <v>58</v>
      </c>
      <c r="R868" t="s">
        <v>183</v>
      </c>
      <c r="S868" t="str">
        <f>IFERROR(VLOOKUP(Tabela1[[#This Row],[CC]],CC!$A$1:$H$403,8,0),"")</f>
        <v>OP2</v>
      </c>
    </row>
    <row r="869" spans="1:19" x14ac:dyDescent="0.3">
      <c r="A869" s="25">
        <v>1398</v>
      </c>
      <c r="B869" s="25" t="str">
        <f>IFERROR(VLOOKUP(Tabela1[[#This Row],[CC]],#REF!,5,0),"")</f>
        <v/>
      </c>
      <c r="C869" t="s">
        <v>67</v>
      </c>
      <c r="D869" t="s">
        <v>42</v>
      </c>
      <c r="E869" t="s">
        <v>383</v>
      </c>
      <c r="F869" t="s">
        <v>586</v>
      </c>
      <c r="G869" s="110">
        <v>8480</v>
      </c>
      <c r="H869" s="12">
        <v>45839</v>
      </c>
      <c r="I869" s="27">
        <v>26093.54</v>
      </c>
      <c r="J869" s="24">
        <v>24488.78</v>
      </c>
      <c r="K869" s="3">
        <v>45888</v>
      </c>
      <c r="L869" s="91">
        <v>45915</v>
      </c>
      <c r="M869" s="11">
        <v>45918</v>
      </c>
      <c r="N869" s="18" t="s">
        <v>588</v>
      </c>
      <c r="O869" s="35">
        <v>0</v>
      </c>
      <c r="P869"/>
      <c r="Q869" t="s">
        <v>58</v>
      </c>
      <c r="R869" t="s">
        <v>183</v>
      </c>
      <c r="S869" t="str">
        <f>IFERROR(VLOOKUP(Tabela1[[#This Row],[CC]],CC!$A$1:$H$403,8,0),"")</f>
        <v>OP2</v>
      </c>
    </row>
    <row r="870" spans="1:19" x14ac:dyDescent="0.3">
      <c r="A870" s="25">
        <v>1398</v>
      </c>
      <c r="B870" s="25" t="str">
        <f>IFERROR(VLOOKUP(Tabela1[[#This Row],[CC]],#REF!,5,0),"")</f>
        <v/>
      </c>
      <c r="C870" t="s">
        <v>67</v>
      </c>
      <c r="D870" t="s">
        <v>42</v>
      </c>
      <c r="E870" t="s">
        <v>383</v>
      </c>
      <c r="F870" t="s">
        <v>586</v>
      </c>
      <c r="G870" s="110">
        <v>8615</v>
      </c>
      <c r="H870" s="12">
        <v>45931</v>
      </c>
      <c r="I870" s="24">
        <v>75919.81</v>
      </c>
      <c r="J870" s="27">
        <v>71250.740000000005</v>
      </c>
      <c r="K870" s="3">
        <v>45980</v>
      </c>
      <c r="L870" s="91">
        <v>46041</v>
      </c>
      <c r="M870" s="11">
        <v>46041</v>
      </c>
      <c r="N870" s="18" t="s">
        <v>588</v>
      </c>
      <c r="O870" s="35">
        <v>0</v>
      </c>
      <c r="P870"/>
      <c r="Q870" t="s">
        <v>58</v>
      </c>
      <c r="R870" t="s">
        <v>183</v>
      </c>
      <c r="S870" t="str">
        <f>IFERROR(VLOOKUP(Tabela1[[#This Row],[CC]],CC!$A$1:$H$403,8,0),"")</f>
        <v>OP2</v>
      </c>
    </row>
    <row r="871" spans="1:19" x14ac:dyDescent="0.3">
      <c r="A871" s="25">
        <v>1398</v>
      </c>
      <c r="B871" s="25" t="str">
        <f>IFERROR(VLOOKUP(Tabela1[[#This Row],[CC]],#REF!,5,0),"")</f>
        <v/>
      </c>
      <c r="C871" t="s">
        <v>67</v>
      </c>
      <c r="D871" t="s">
        <v>42</v>
      </c>
      <c r="E871" t="s">
        <v>383</v>
      </c>
      <c r="F871" t="s">
        <v>586</v>
      </c>
      <c r="G871" s="110">
        <v>8502</v>
      </c>
      <c r="H871" s="12">
        <v>45839</v>
      </c>
      <c r="I871" s="27">
        <v>5562</v>
      </c>
      <c r="J871" s="24">
        <v>5219.9399999999996</v>
      </c>
      <c r="K871" s="3">
        <v>45905</v>
      </c>
      <c r="L871" s="91">
        <v>45936</v>
      </c>
      <c r="M871" s="11">
        <v>45936</v>
      </c>
      <c r="N871" s="18" t="s">
        <v>588</v>
      </c>
      <c r="O871" s="35">
        <v>0</v>
      </c>
      <c r="P871"/>
      <c r="Q871" t="s">
        <v>58</v>
      </c>
      <c r="R871" t="s">
        <v>183</v>
      </c>
      <c r="S871" t="str">
        <f>IFERROR(VLOOKUP(Tabela1[[#This Row],[CC]],CC!$A$1:$H$403,8,0),"")</f>
        <v>OP2</v>
      </c>
    </row>
    <row r="872" spans="1:19" x14ac:dyDescent="0.3">
      <c r="A872" s="25">
        <v>1398</v>
      </c>
      <c r="B872" s="25" t="str">
        <f>IFERROR(VLOOKUP(Tabela1[[#This Row],[CC]],#REF!,5,0),"")</f>
        <v/>
      </c>
      <c r="C872" t="s">
        <v>67</v>
      </c>
      <c r="D872" t="s">
        <v>42</v>
      </c>
      <c r="E872" t="s">
        <v>383</v>
      </c>
      <c r="F872" t="s">
        <v>586</v>
      </c>
      <c r="G872" s="110">
        <v>7904</v>
      </c>
      <c r="H872" s="12">
        <v>45352</v>
      </c>
      <c r="I872" s="27">
        <v>3202.73</v>
      </c>
      <c r="J872" s="24">
        <v>2927.12</v>
      </c>
      <c r="K872" s="3">
        <v>45427</v>
      </c>
      <c r="L872" s="91">
        <v>45985</v>
      </c>
      <c r="M872" s="11">
        <v>45987</v>
      </c>
      <c r="N872" s="18" t="s">
        <v>588</v>
      </c>
      <c r="O872" s="35">
        <v>0</v>
      </c>
      <c r="P872"/>
      <c r="Q872" t="s">
        <v>58</v>
      </c>
      <c r="R872" t="s">
        <v>183</v>
      </c>
      <c r="S872" t="str">
        <f>IFERROR(VLOOKUP(Tabela1[[#This Row],[CC]],CC!$A$1:$H$403,8,0),"")</f>
        <v>OP2</v>
      </c>
    </row>
    <row r="873" spans="1:19" x14ac:dyDescent="0.3">
      <c r="A873" s="8">
        <v>1393</v>
      </c>
      <c r="B873" s="8" t="str">
        <f>IFERROR(VLOOKUP(Tabela1[[#This Row],[CC]],#REF!,5,0),"")</f>
        <v/>
      </c>
      <c r="C873" t="s">
        <v>70</v>
      </c>
      <c r="D873" t="str">
        <f>IFERROR(VLOOKUP(Tabela1[[#This Row],[CC]],CC!$A$1:$I$3869,3,0),"")</f>
        <v xml:space="preserve">DETRAN-BA </v>
      </c>
      <c r="E873" t="s">
        <v>377</v>
      </c>
      <c r="F873" t="s">
        <v>586</v>
      </c>
      <c r="G873" s="110">
        <v>8469</v>
      </c>
      <c r="H873" s="12">
        <v>45839</v>
      </c>
      <c r="I873" s="24">
        <v>473894.04</v>
      </c>
      <c r="J873" s="24">
        <v>425082.96</v>
      </c>
      <c r="K873" s="3">
        <v>45880</v>
      </c>
      <c r="L873" s="91">
        <v>45901</v>
      </c>
      <c r="M873" s="5">
        <v>45902</v>
      </c>
      <c r="N873" s="18" t="s">
        <v>588</v>
      </c>
      <c r="O873" s="34">
        <v>0</v>
      </c>
      <c r="P873" s="14"/>
      <c r="Q873" t="s">
        <v>58</v>
      </c>
      <c r="R873" t="s">
        <v>195</v>
      </c>
      <c r="S873" t="str">
        <f>IFERROR(VLOOKUP(Tabela1[[#This Row],[CC]],CC!$A$1:$H$403,8,0),"")</f>
        <v>OP4</v>
      </c>
    </row>
    <row r="874" spans="1:19" x14ac:dyDescent="0.3">
      <c r="A874" s="8">
        <v>1476</v>
      </c>
      <c r="B874" s="8" t="str">
        <f>IFERROR(VLOOKUP(Tabela1[[#This Row],[CC]],#REF!,5,0),"")</f>
        <v/>
      </c>
      <c r="C874" t="s">
        <v>70</v>
      </c>
      <c r="D874" t="s">
        <v>26</v>
      </c>
      <c r="E874" t="s">
        <v>481</v>
      </c>
      <c r="F874" t="s">
        <v>586</v>
      </c>
      <c r="G874" s="110">
        <v>8455</v>
      </c>
      <c r="H874" s="12">
        <v>45839</v>
      </c>
      <c r="I874" s="24">
        <v>495.3</v>
      </c>
      <c r="J874" s="24">
        <v>444.28</v>
      </c>
      <c r="K874" s="3">
        <v>45875</v>
      </c>
      <c r="L874" s="91">
        <v>45894</v>
      </c>
      <c r="M874" s="5">
        <v>45898</v>
      </c>
      <c r="N874" s="21" t="s">
        <v>588</v>
      </c>
      <c r="O874" s="34"/>
      <c r="P874" s="14"/>
      <c r="Q874" t="s">
        <v>58</v>
      </c>
      <c r="R874" t="s">
        <v>195</v>
      </c>
      <c r="S874" t="str">
        <f>IFERROR(VLOOKUP(Tabela1[[#This Row],[CC]],CC!$A$1:$H$403,8,0),"")</f>
        <v>OP4</v>
      </c>
    </row>
    <row r="875" spans="1:19" x14ac:dyDescent="0.3">
      <c r="A875" s="25">
        <v>1476</v>
      </c>
      <c r="B875" s="25" t="str">
        <f>IFERROR(VLOOKUP(Tabela1[[#This Row],[CC]],#REF!,5,0),"")</f>
        <v/>
      </c>
      <c r="C875" t="s">
        <v>70</v>
      </c>
      <c r="D875" t="s">
        <v>26</v>
      </c>
      <c r="E875" t="s">
        <v>481</v>
      </c>
      <c r="F875" t="s">
        <v>586</v>
      </c>
      <c r="G875" s="110">
        <v>8461</v>
      </c>
      <c r="H875" s="12">
        <v>45839</v>
      </c>
      <c r="I875" s="24">
        <v>318628.40000000002</v>
      </c>
      <c r="J875" s="24">
        <v>285809.68</v>
      </c>
      <c r="K875" s="3">
        <v>45877</v>
      </c>
      <c r="L875" s="91">
        <v>45894</v>
      </c>
      <c r="M875" s="29">
        <v>45898</v>
      </c>
      <c r="N875" s="21" t="s">
        <v>588</v>
      </c>
      <c r="O875" s="35"/>
      <c r="P875" s="26"/>
      <c r="Q875" t="s">
        <v>58</v>
      </c>
      <c r="R875" t="s">
        <v>195</v>
      </c>
      <c r="S875" t="str">
        <f>IFERROR(VLOOKUP(Tabela1[[#This Row],[CC]],CC!$A$1:$H$403,8,0),"")</f>
        <v>OP4</v>
      </c>
    </row>
    <row r="876" spans="1:19" x14ac:dyDescent="0.3">
      <c r="A876" s="25">
        <v>1296</v>
      </c>
      <c r="B876" s="25" t="str">
        <f>IFERROR(VLOOKUP(Tabela1[[#This Row],[CC]],#REF!,5,0),"")</f>
        <v/>
      </c>
      <c r="C876" t="s">
        <v>66</v>
      </c>
      <c r="D876" t="s">
        <v>16</v>
      </c>
      <c r="E876" t="s">
        <v>271</v>
      </c>
      <c r="F876" t="s">
        <v>586</v>
      </c>
      <c r="G876" s="110">
        <v>1281</v>
      </c>
      <c r="H876" s="12">
        <v>45839</v>
      </c>
      <c r="I876" s="24">
        <v>818703.81</v>
      </c>
      <c r="J876" s="24">
        <v>751979.46</v>
      </c>
      <c r="K876" s="3">
        <v>45880</v>
      </c>
      <c r="L876" s="91">
        <v>45894</v>
      </c>
      <c r="M876" s="29">
        <v>45895</v>
      </c>
      <c r="N876" s="18" t="s">
        <v>588</v>
      </c>
      <c r="O876" s="41"/>
      <c r="P876" s="26"/>
      <c r="Q876" t="s">
        <v>58</v>
      </c>
      <c r="R876" t="s">
        <v>183</v>
      </c>
      <c r="S876" t="str">
        <f>IFERROR(VLOOKUP(Tabela1[[#This Row],[CC]],CC!$A$1:$H$403,8,0),"")</f>
        <v>OP2</v>
      </c>
    </row>
    <row r="877" spans="1:19" x14ac:dyDescent="0.3">
      <c r="A877" s="8">
        <v>1300</v>
      </c>
      <c r="B877" s="8" t="str">
        <f>IFERROR(VLOOKUP(Tabela1[[#This Row],[CC]],#REF!,5,0),"")</f>
        <v/>
      </c>
      <c r="C877" t="s">
        <v>66</v>
      </c>
      <c r="D877" t="s">
        <v>16</v>
      </c>
      <c r="E877" t="s">
        <v>275</v>
      </c>
      <c r="F877" t="s">
        <v>586</v>
      </c>
      <c r="G877" s="110">
        <v>1283</v>
      </c>
      <c r="H877" s="12">
        <v>45839</v>
      </c>
      <c r="I877" s="24">
        <v>287717.94</v>
      </c>
      <c r="J877" s="10">
        <v>264268.92</v>
      </c>
      <c r="K877" s="3">
        <v>45883</v>
      </c>
      <c r="L877" s="91">
        <v>45887</v>
      </c>
      <c r="M877" s="5">
        <v>45887</v>
      </c>
      <c r="N877" s="36" t="s">
        <v>588</v>
      </c>
      <c r="O877" s="37">
        <v>0</v>
      </c>
      <c r="P877" s="14"/>
      <c r="Q877" t="s">
        <v>58</v>
      </c>
      <c r="R877" t="s">
        <v>183</v>
      </c>
      <c r="S877" t="str">
        <f>IFERROR(VLOOKUP(Tabela1[[#This Row],[CC]],CC!$A$1:$H$403,8,0),"")</f>
        <v>OP2</v>
      </c>
    </row>
    <row r="878" spans="1:19" x14ac:dyDescent="0.3">
      <c r="A878" s="25">
        <v>1290</v>
      </c>
      <c r="B878" s="25" t="str">
        <f>IFERROR(VLOOKUP(Tabela1[[#This Row],[CC]],#REF!,5,0),"")</f>
        <v/>
      </c>
      <c r="C878" t="s">
        <v>70</v>
      </c>
      <c r="D878" t="s">
        <v>20</v>
      </c>
      <c r="E878" t="s">
        <v>264</v>
      </c>
      <c r="F878" t="s">
        <v>586</v>
      </c>
      <c r="G878" s="110">
        <v>8457</v>
      </c>
      <c r="H878" s="12">
        <v>45839</v>
      </c>
      <c r="I878" s="24">
        <v>53175.27</v>
      </c>
      <c r="J878" s="24">
        <v>46980.35</v>
      </c>
      <c r="K878" s="3">
        <v>45876</v>
      </c>
      <c r="L878" s="91">
        <v>45908</v>
      </c>
      <c r="M878" s="11">
        <v>45908</v>
      </c>
      <c r="N878" s="21" t="s">
        <v>588</v>
      </c>
      <c r="O878" s="35">
        <v>0</v>
      </c>
      <c r="P878" s="26"/>
      <c r="Q878" t="s">
        <v>58</v>
      </c>
      <c r="R878" t="s">
        <v>183</v>
      </c>
      <c r="S878" t="str">
        <f>IFERROR(VLOOKUP(Tabela1[[#This Row],[CC]],CC!$A$1:$H$403,8,0),"")</f>
        <v>OP4</v>
      </c>
    </row>
    <row r="879" spans="1:19" x14ac:dyDescent="0.3">
      <c r="A879" s="25">
        <v>1490</v>
      </c>
      <c r="B879" s="25" t="str">
        <f>IFERROR(VLOOKUP(Tabela1[[#This Row],[CC]],#REF!,5,0),"")</f>
        <v/>
      </c>
      <c r="C879" t="s">
        <v>70</v>
      </c>
      <c r="D879" t="s">
        <v>20</v>
      </c>
      <c r="E879" t="s">
        <v>495</v>
      </c>
      <c r="F879" t="s">
        <v>586</v>
      </c>
      <c r="G879" s="110">
        <v>8462</v>
      </c>
      <c r="H879" s="12">
        <v>45839</v>
      </c>
      <c r="I879" s="24">
        <v>2300</v>
      </c>
      <c r="J879" s="24">
        <v>2032.05</v>
      </c>
      <c r="K879" s="3">
        <v>45877</v>
      </c>
      <c r="L879" s="91">
        <v>45908</v>
      </c>
      <c r="M879" s="11">
        <v>45908</v>
      </c>
      <c r="N879" s="21" t="s">
        <v>588</v>
      </c>
      <c r="O879" s="35">
        <v>0</v>
      </c>
      <c r="P879" s="26"/>
      <c r="Q879" t="s">
        <v>58</v>
      </c>
      <c r="R879" t="s">
        <v>183</v>
      </c>
      <c r="S879" t="str">
        <f>IFERROR(VLOOKUP(Tabela1[[#This Row],[CC]],CC!$A$1:$H$403,8,0),"")</f>
        <v>OP4</v>
      </c>
    </row>
    <row r="880" spans="1:19" x14ac:dyDescent="0.3">
      <c r="A880" s="8">
        <v>1480</v>
      </c>
      <c r="B880" s="8" t="str">
        <f>IFERROR(VLOOKUP(Tabela1[[#This Row],[CC]],#REF!,5,0),"")</f>
        <v/>
      </c>
      <c r="C880" t="s">
        <v>51</v>
      </c>
      <c r="D880" t="s">
        <v>46</v>
      </c>
      <c r="E880" t="s">
        <v>590</v>
      </c>
      <c r="F880" t="s">
        <v>586</v>
      </c>
      <c r="G880" s="110">
        <v>4259</v>
      </c>
      <c r="H880" s="12">
        <v>45839</v>
      </c>
      <c r="I880" s="24">
        <v>331667.28000000003</v>
      </c>
      <c r="J880" s="10">
        <v>311269.74</v>
      </c>
      <c r="K880" s="3">
        <v>45888</v>
      </c>
      <c r="L880" s="91">
        <v>45894</v>
      </c>
      <c r="M880" s="5">
        <v>45897</v>
      </c>
      <c r="N880" s="18" t="s">
        <v>588</v>
      </c>
      <c r="O880" s="37"/>
      <c r="P880" s="14"/>
      <c r="Q880" t="s">
        <v>55</v>
      </c>
      <c r="R880" t="s">
        <v>231</v>
      </c>
      <c r="S880" t="str">
        <f>IFERROR(VLOOKUP(Tabela1[[#This Row],[CC]],CC!$A$1:$H$403,8,0),"")</f>
        <v>OP2</v>
      </c>
    </row>
    <row r="881" spans="1:21" x14ac:dyDescent="0.3">
      <c r="A881" s="8">
        <v>1475</v>
      </c>
      <c r="B881" s="8" t="str">
        <f>IFERROR(VLOOKUP(Tabela1[[#This Row],[CC]],#REF!,5,0),"")</f>
        <v/>
      </c>
      <c r="C881" t="s">
        <v>60</v>
      </c>
      <c r="D881" t="s">
        <v>35</v>
      </c>
      <c r="E881" t="s">
        <v>480</v>
      </c>
      <c r="F881" t="s">
        <v>586</v>
      </c>
      <c r="G881" s="110">
        <v>8446</v>
      </c>
      <c r="H881" s="12">
        <v>45839</v>
      </c>
      <c r="I881" s="24">
        <v>70696.11</v>
      </c>
      <c r="J881" s="10">
        <v>63414.42</v>
      </c>
      <c r="K881" s="3">
        <v>45874</v>
      </c>
      <c r="L881" s="91">
        <v>45880</v>
      </c>
      <c r="M881" s="11">
        <v>45882</v>
      </c>
      <c r="N881" s="18" t="s">
        <v>588</v>
      </c>
      <c r="O881" s="34">
        <v>0</v>
      </c>
      <c r="P881"/>
      <c r="Q881" t="s">
        <v>55</v>
      </c>
      <c r="R881" t="s">
        <v>195</v>
      </c>
      <c r="S881" t="str">
        <f>IFERROR(VLOOKUP(Tabela1[[#This Row],[CC]],CC!$A$1:$H$403,8,0),"")</f>
        <v>OP3</v>
      </c>
    </row>
    <row r="882" spans="1:21" x14ac:dyDescent="0.3">
      <c r="A882" s="8">
        <v>1472</v>
      </c>
      <c r="B882" s="8" t="str">
        <f>IFERROR(VLOOKUP(Tabela1[[#This Row],[CC]],#REF!,5,0),"")</f>
        <v/>
      </c>
      <c r="C882" t="s">
        <v>32</v>
      </c>
      <c r="D882" t="s">
        <v>21</v>
      </c>
      <c r="E882" t="s">
        <v>477</v>
      </c>
      <c r="F882" t="s">
        <v>586</v>
      </c>
      <c r="G882" s="110">
        <v>4217</v>
      </c>
      <c r="H882" s="12">
        <v>45839</v>
      </c>
      <c r="I882" s="24">
        <v>100742.39999999999</v>
      </c>
      <c r="J882" s="24">
        <v>94546.74</v>
      </c>
      <c r="K882" s="3">
        <v>45868</v>
      </c>
      <c r="L882" s="91">
        <v>45873</v>
      </c>
      <c r="M882" s="11">
        <v>45875</v>
      </c>
      <c r="N882" s="18" t="s">
        <v>588</v>
      </c>
      <c r="O882" s="37"/>
      <c r="P882" s="14"/>
      <c r="Q882" t="s">
        <v>57</v>
      </c>
      <c r="R882" t="s">
        <v>231</v>
      </c>
      <c r="S882" t="str">
        <f>IFERROR(VLOOKUP(Tabela1[[#This Row],[CC]],CC!$A$1:$H$403,8,0),"")</f>
        <v>OP1</v>
      </c>
    </row>
    <row r="883" spans="1:21" x14ac:dyDescent="0.3">
      <c r="A883" s="8">
        <v>1378</v>
      </c>
      <c r="B883" s="8" t="str">
        <f>IFERROR(VLOOKUP(Tabela1[[#This Row],[CC]],#REF!,5,0),"")</f>
        <v/>
      </c>
      <c r="C883" t="s">
        <v>51</v>
      </c>
      <c r="D883" t="s">
        <v>5</v>
      </c>
      <c r="E883" t="s">
        <v>361</v>
      </c>
      <c r="F883" t="s">
        <v>586</v>
      </c>
      <c r="G883" s="110">
        <v>8479</v>
      </c>
      <c r="H883" s="12">
        <v>45839</v>
      </c>
      <c r="I883" s="24">
        <v>4281.29</v>
      </c>
      <c r="J883" s="10">
        <v>4017.99</v>
      </c>
      <c r="K883" s="3">
        <v>45887</v>
      </c>
      <c r="L883" s="91">
        <v>45908</v>
      </c>
      <c r="M883" s="5">
        <v>45908</v>
      </c>
      <c r="N883" s="18" t="s">
        <v>588</v>
      </c>
      <c r="O883" s="34">
        <v>0</v>
      </c>
      <c r="P883"/>
      <c r="Q883" t="s">
        <v>57</v>
      </c>
      <c r="R883" t="s">
        <v>231</v>
      </c>
      <c r="S883" t="str">
        <f>IFERROR(VLOOKUP(Tabela1[[#This Row],[CC]],CC!$A$1:$H$403,8,0),"")</f>
        <v>OP2</v>
      </c>
      <c r="T883" t="s">
        <v>1</v>
      </c>
      <c r="U883" t="s">
        <v>2</v>
      </c>
    </row>
    <row r="884" spans="1:21" x14ac:dyDescent="0.3">
      <c r="A884" s="8">
        <v>1247</v>
      </c>
      <c r="B884" s="8" t="str">
        <f>IFERROR(VLOOKUP(Tabela1[[#This Row],[CC]],#REF!,5,0),"")</f>
        <v/>
      </c>
      <c r="C884" t="s">
        <v>70</v>
      </c>
      <c r="D884" t="s">
        <v>14</v>
      </c>
      <c r="E884" t="s">
        <v>214</v>
      </c>
      <c r="F884" t="s">
        <v>586</v>
      </c>
      <c r="G884" s="110">
        <v>8445</v>
      </c>
      <c r="H884" s="12">
        <v>45839</v>
      </c>
      <c r="I884" s="24">
        <v>38395.360000000001</v>
      </c>
      <c r="J884" s="24">
        <v>34440.629999999997</v>
      </c>
      <c r="K884" s="3">
        <v>45870</v>
      </c>
      <c r="L884" s="91">
        <v>45887</v>
      </c>
      <c r="M884" s="11">
        <v>45889</v>
      </c>
      <c r="N884" s="18" t="s">
        <v>588</v>
      </c>
      <c r="O884" s="34">
        <v>0</v>
      </c>
      <c r="P884"/>
      <c r="Q884" t="s">
        <v>58</v>
      </c>
      <c r="R884" t="s">
        <v>195</v>
      </c>
      <c r="S884" t="str">
        <f>IFERROR(VLOOKUP(Tabela1[[#This Row],[CC]],CC!$A$1:$H$403,8,0),"")</f>
        <v>OP4</v>
      </c>
    </row>
    <row r="885" spans="1:21" x14ac:dyDescent="0.3">
      <c r="A885" s="8">
        <v>1358</v>
      </c>
      <c r="B885" s="8" t="str">
        <f>IFERROR(VLOOKUP(Tabela1[[#This Row],[CC]],#REF!,5,0),"")</f>
        <v/>
      </c>
      <c r="C885" t="s">
        <v>70</v>
      </c>
      <c r="D885" t="s">
        <v>12</v>
      </c>
      <c r="E885" t="s">
        <v>335</v>
      </c>
      <c r="F885" t="s">
        <v>586</v>
      </c>
      <c r="G885" s="110">
        <v>8474</v>
      </c>
      <c r="H885" s="12">
        <v>45839</v>
      </c>
      <c r="I885" s="24">
        <v>89150.64</v>
      </c>
      <c r="J885" s="45">
        <v>79968.13</v>
      </c>
      <c r="K885" s="3">
        <v>45883</v>
      </c>
      <c r="L885" s="91">
        <v>45894</v>
      </c>
      <c r="M885" s="11">
        <v>45898</v>
      </c>
      <c r="N885" s="18" t="s">
        <v>588</v>
      </c>
      <c r="O885" s="34">
        <v>0</v>
      </c>
      <c r="P885"/>
      <c r="Q885" t="s">
        <v>58</v>
      </c>
      <c r="R885" t="s">
        <v>195</v>
      </c>
      <c r="S885" t="str">
        <f>IFERROR(VLOOKUP(Tabela1[[#This Row],[CC]],CC!$A$1:$H$403,8,0),"")</f>
        <v>OP4</v>
      </c>
    </row>
    <row r="886" spans="1:21" x14ac:dyDescent="0.3">
      <c r="A886" s="8">
        <v>1358</v>
      </c>
      <c r="B886" s="8" t="str">
        <f>IFERROR(VLOOKUP(Tabela1[[#This Row],[CC]],#REF!,5,0),"")</f>
        <v/>
      </c>
      <c r="C886" t="s">
        <v>70</v>
      </c>
      <c r="D886" t="s">
        <v>12</v>
      </c>
      <c r="E886" t="s">
        <v>335</v>
      </c>
      <c r="F886" t="s">
        <v>586</v>
      </c>
      <c r="G886" s="110">
        <v>8475</v>
      </c>
      <c r="H886" s="12">
        <v>45839</v>
      </c>
      <c r="I886" s="24">
        <v>8202.98</v>
      </c>
      <c r="J886" s="45">
        <v>7358.08</v>
      </c>
      <c r="K886" s="3">
        <v>45883</v>
      </c>
      <c r="L886" s="91">
        <v>45915</v>
      </c>
      <c r="M886" s="11">
        <v>45919</v>
      </c>
      <c r="N886" s="18" t="s">
        <v>588</v>
      </c>
      <c r="O886" s="34">
        <v>0</v>
      </c>
      <c r="P886"/>
      <c r="Q886" t="s">
        <v>58</v>
      </c>
      <c r="R886" t="s">
        <v>195</v>
      </c>
      <c r="S886" t="str">
        <f>IFERROR(VLOOKUP(Tabela1[[#This Row],[CC]],CC!$A$1:$H$403,8,0),"")</f>
        <v>OP4</v>
      </c>
    </row>
    <row r="887" spans="1:21" x14ac:dyDescent="0.3">
      <c r="A887" s="8">
        <v>1473</v>
      </c>
      <c r="B887" s="8" t="str">
        <f>IFERROR(VLOOKUP(Tabela1[[#This Row],[CC]],#REF!,5,0),"")</f>
        <v/>
      </c>
      <c r="C887" t="s">
        <v>70</v>
      </c>
      <c r="D887" t="s">
        <v>63</v>
      </c>
      <c r="E887" t="s">
        <v>478</v>
      </c>
      <c r="F887" t="s">
        <v>586</v>
      </c>
      <c r="G887" s="110">
        <v>8483</v>
      </c>
      <c r="H887" s="12">
        <v>45839</v>
      </c>
      <c r="I887" s="24">
        <v>55544.98</v>
      </c>
      <c r="J887" s="24">
        <v>51767.92</v>
      </c>
      <c r="K887" s="3">
        <v>45901</v>
      </c>
      <c r="L887" s="91">
        <v>45915</v>
      </c>
      <c r="M887" s="11">
        <v>45919</v>
      </c>
      <c r="N887" s="18" t="s">
        <v>588</v>
      </c>
      <c r="O887" s="34">
        <v>0</v>
      </c>
      <c r="P887"/>
      <c r="Q887" t="s">
        <v>58</v>
      </c>
      <c r="R887" t="s">
        <v>195</v>
      </c>
      <c r="S887" t="str">
        <f>IFERROR(VLOOKUP(Tabela1[[#This Row],[CC]],CC!$A$1:$H$403,8,0),"")</f>
        <v>OP4</v>
      </c>
    </row>
    <row r="888" spans="1:21" x14ac:dyDescent="0.3">
      <c r="A888" s="8">
        <v>1473</v>
      </c>
      <c r="B888" s="8" t="str">
        <f>IFERROR(VLOOKUP(Tabela1[[#This Row],[CC]],#REF!,5,0),"")</f>
        <v/>
      </c>
      <c r="C888" t="s">
        <v>70</v>
      </c>
      <c r="D888" t="s">
        <v>63</v>
      </c>
      <c r="E888" t="s">
        <v>478</v>
      </c>
      <c r="F888" t="s">
        <v>586</v>
      </c>
      <c r="G888" s="110">
        <v>8521</v>
      </c>
      <c r="H888" s="12">
        <v>45839</v>
      </c>
      <c r="I888" s="24">
        <v>236280.79</v>
      </c>
      <c r="J888" s="24">
        <v>220180.69</v>
      </c>
      <c r="K888" s="3">
        <v>45919</v>
      </c>
      <c r="L888" s="91">
        <v>45943</v>
      </c>
      <c r="M888" s="11">
        <v>45943</v>
      </c>
      <c r="N888" s="18" t="s">
        <v>588</v>
      </c>
      <c r="O888" s="34">
        <v>0</v>
      </c>
      <c r="P888"/>
      <c r="Q888" t="s">
        <v>58</v>
      </c>
      <c r="R888" t="s">
        <v>195</v>
      </c>
      <c r="S888" t="str">
        <f>IFERROR(VLOOKUP(Tabela1[[#This Row],[CC]],CC!$A$1:$H$403,8,0),"")</f>
        <v>OP4</v>
      </c>
    </row>
    <row r="889" spans="1:21" x14ac:dyDescent="0.3">
      <c r="A889" s="25">
        <v>1462</v>
      </c>
      <c r="B889" s="25" t="str">
        <f>IFERROR(VLOOKUP(Tabela1[[#This Row],[CC]],#REF!,5,0),"")</f>
        <v/>
      </c>
      <c r="C889" t="s">
        <v>67</v>
      </c>
      <c r="D889" t="s">
        <v>76</v>
      </c>
      <c r="E889" t="s">
        <v>465</v>
      </c>
      <c r="F889" t="s">
        <v>586</v>
      </c>
      <c r="G889" s="110">
        <v>8468</v>
      </c>
      <c r="H889" s="12">
        <v>45839</v>
      </c>
      <c r="I889" s="24">
        <v>1342.67</v>
      </c>
      <c r="J889" s="24">
        <v>1260.0899999999999</v>
      </c>
      <c r="K889" s="3">
        <v>45880</v>
      </c>
      <c r="L889" s="91">
        <v>45880</v>
      </c>
      <c r="M889" s="11">
        <v>45884</v>
      </c>
      <c r="N889" s="18" t="s">
        <v>588</v>
      </c>
      <c r="O889" s="35">
        <v>0</v>
      </c>
      <c r="P889" s="26"/>
      <c r="Q889" t="s">
        <v>58</v>
      </c>
      <c r="R889" t="s">
        <v>228</v>
      </c>
      <c r="S889" t="str">
        <f>IFERROR(VLOOKUP(Tabela1[[#This Row],[CC]],CC!$A$1:$H$403,8,0),"")</f>
        <v>OP2</v>
      </c>
    </row>
    <row r="890" spans="1:21" x14ac:dyDescent="0.3">
      <c r="A890" s="8">
        <v>1390</v>
      </c>
      <c r="B890" s="8" t="str">
        <f>IFERROR(VLOOKUP(Tabela1[[#This Row],[CC]],#REF!,5,0),"")</f>
        <v/>
      </c>
      <c r="C890" t="s">
        <v>66</v>
      </c>
      <c r="D890" t="s">
        <v>11</v>
      </c>
      <c r="E890" t="s">
        <v>374</v>
      </c>
      <c r="F890" t="s">
        <v>586</v>
      </c>
      <c r="G890" s="110">
        <v>652</v>
      </c>
      <c r="H890" s="12">
        <v>44927</v>
      </c>
      <c r="I890" s="10">
        <v>34342.573333333334</v>
      </c>
      <c r="J890" s="10">
        <v>32301.82</v>
      </c>
      <c r="K890" s="3">
        <v>44973</v>
      </c>
      <c r="L890" s="91">
        <v>46013</v>
      </c>
      <c r="M890" s="11">
        <v>46014</v>
      </c>
      <c r="N890" s="18" t="s">
        <v>588</v>
      </c>
      <c r="O890" s="34">
        <v>0</v>
      </c>
      <c r="P890"/>
      <c r="Q890" t="s">
        <v>58</v>
      </c>
      <c r="R890" t="s">
        <v>183</v>
      </c>
      <c r="S890" t="str">
        <f>IFERROR(VLOOKUP(Tabela1[[#This Row],[CC]],CC!$A$1:$H$403,8,0),"")</f>
        <v>OP2</v>
      </c>
      <c r="T890" t="s">
        <v>1</v>
      </c>
      <c r="U890" t="s">
        <v>10</v>
      </c>
    </row>
    <row r="891" spans="1:21" x14ac:dyDescent="0.3">
      <c r="A891" s="13">
        <v>1260</v>
      </c>
      <c r="B891" s="13" t="str">
        <f>IFERROR(VLOOKUP(Tabela1[[#This Row],[CC]],#REF!,5,0),"")</f>
        <v/>
      </c>
      <c r="C891" t="s">
        <v>51</v>
      </c>
      <c r="D891" t="s">
        <v>39</v>
      </c>
      <c r="E891" t="s">
        <v>227</v>
      </c>
      <c r="F891" t="s">
        <v>586</v>
      </c>
      <c r="G891" s="110">
        <v>4220</v>
      </c>
      <c r="H891" s="12">
        <v>45839</v>
      </c>
      <c r="I891" s="24">
        <v>10914</v>
      </c>
      <c r="J891" s="24">
        <v>10242.790000000001</v>
      </c>
      <c r="K891" s="3">
        <v>45870</v>
      </c>
      <c r="L891" s="91">
        <v>45887</v>
      </c>
      <c r="M891" s="11">
        <v>45889</v>
      </c>
      <c r="N891" s="19" t="s">
        <v>588</v>
      </c>
      <c r="O891" s="34">
        <v>0</v>
      </c>
      <c r="P891"/>
      <c r="Q891" t="s">
        <v>55</v>
      </c>
      <c r="R891" t="s">
        <v>228</v>
      </c>
      <c r="S891" t="str">
        <f>IFERROR(VLOOKUP(Tabela1[[#This Row],[CC]],CC!$A$1:$H$403,8,0),"")</f>
        <v>OP2</v>
      </c>
    </row>
    <row r="892" spans="1:21" x14ac:dyDescent="0.3">
      <c r="A892" s="25">
        <v>1485</v>
      </c>
      <c r="B892" s="25" t="str">
        <f>IFERROR(VLOOKUP(Tabela1[[#This Row],[CC]],#REF!,5,0),"")</f>
        <v/>
      </c>
      <c r="C892" t="s">
        <v>51</v>
      </c>
      <c r="D892" t="s">
        <v>23</v>
      </c>
      <c r="E892" t="s">
        <v>591</v>
      </c>
      <c r="F892" t="s">
        <v>586</v>
      </c>
      <c r="G892" s="110">
        <v>4227</v>
      </c>
      <c r="H892" s="12">
        <v>45839</v>
      </c>
      <c r="I892" s="24">
        <v>27092.86</v>
      </c>
      <c r="J892" s="24">
        <v>25426.65</v>
      </c>
      <c r="K892" s="3">
        <v>45874</v>
      </c>
      <c r="L892" s="91">
        <v>45929</v>
      </c>
      <c r="M892" s="11">
        <v>45930</v>
      </c>
      <c r="N892" s="18" t="s">
        <v>588</v>
      </c>
      <c r="O892" s="35"/>
      <c r="P892" s="26"/>
      <c r="Q892" t="s">
        <v>55</v>
      </c>
      <c r="R892" t="s">
        <v>231</v>
      </c>
      <c r="S892" t="str">
        <f>IFERROR(VLOOKUP(Tabela1[[#This Row],[CC]],CC!$A$1:$H$403,8,0),"")</f>
        <v>OP2</v>
      </c>
    </row>
    <row r="893" spans="1:21" x14ac:dyDescent="0.3">
      <c r="A893" s="8">
        <v>1482</v>
      </c>
      <c r="B893" s="8" t="str">
        <f>IFERROR(VLOOKUP(Tabela1[[#This Row],[CC]],#REF!,5,0),"")</f>
        <v/>
      </c>
      <c r="C893" t="s">
        <v>66</v>
      </c>
      <c r="D893" t="s">
        <v>16</v>
      </c>
      <c r="E893" t="s">
        <v>487</v>
      </c>
      <c r="F893" t="s">
        <v>586</v>
      </c>
      <c r="G893" s="110">
        <v>8443</v>
      </c>
      <c r="H893" s="12">
        <v>45839</v>
      </c>
      <c r="I893" s="24">
        <v>39000</v>
      </c>
      <c r="J893" s="24">
        <v>35236.5</v>
      </c>
      <c r="K893" s="3">
        <v>45870</v>
      </c>
      <c r="L893" s="91">
        <v>45894</v>
      </c>
      <c r="M893" s="11">
        <v>45898</v>
      </c>
      <c r="N893" s="36" t="s">
        <v>588</v>
      </c>
      <c r="O893" s="42"/>
      <c r="P893" s="14"/>
      <c r="Q893" t="s">
        <v>58</v>
      </c>
      <c r="R893" t="s">
        <v>183</v>
      </c>
      <c r="S893" t="str">
        <f>IFERROR(VLOOKUP(Tabela1[[#This Row],[CC]],CC!$A$1:$H$403,8,0),"")</f>
        <v>OP2</v>
      </c>
    </row>
    <row r="894" spans="1:21" x14ac:dyDescent="0.3">
      <c r="A894" s="25">
        <v>1262</v>
      </c>
      <c r="B894" s="25" t="str">
        <f>IFERROR(VLOOKUP(Tabela1[[#This Row],[CC]],#REF!,5,0),"")</f>
        <v/>
      </c>
      <c r="C894" t="s">
        <v>51</v>
      </c>
      <c r="D894" t="s">
        <v>25</v>
      </c>
      <c r="E894" t="s">
        <v>230</v>
      </c>
      <c r="F894" t="s">
        <v>586</v>
      </c>
      <c r="G894" s="110">
        <v>4260</v>
      </c>
      <c r="H894" s="12">
        <v>45839</v>
      </c>
      <c r="I894" s="24">
        <v>32213.51</v>
      </c>
      <c r="J894" s="24">
        <v>30232.37</v>
      </c>
      <c r="K894" s="3">
        <v>45890</v>
      </c>
      <c r="L894" s="91">
        <v>45894</v>
      </c>
      <c r="M894" s="11">
        <v>45898</v>
      </c>
      <c r="N894" s="18" t="s">
        <v>588</v>
      </c>
      <c r="O894" s="35">
        <v>0</v>
      </c>
      <c r="P894" s="26"/>
      <c r="Q894" t="s">
        <v>55</v>
      </c>
      <c r="R894" t="s">
        <v>231</v>
      </c>
      <c r="S894" t="str">
        <f>IFERROR(VLOOKUP(Tabela1[[#This Row],[CC]],CC!$A$1:$H$403,8,0),"")</f>
        <v>OP2</v>
      </c>
    </row>
    <row r="895" spans="1:21" x14ac:dyDescent="0.3">
      <c r="A895" s="25">
        <v>1360</v>
      </c>
      <c r="B895" s="25" t="str">
        <f>IFERROR(VLOOKUP(Tabela1[[#This Row],[CC]],#REF!,5,0),"")</f>
        <v/>
      </c>
      <c r="C895" t="s">
        <v>32</v>
      </c>
      <c r="D895" t="s">
        <v>24</v>
      </c>
      <c r="E895" t="s">
        <v>338</v>
      </c>
      <c r="F895" t="s">
        <v>586</v>
      </c>
      <c r="G895" s="110">
        <v>4150</v>
      </c>
      <c r="H895" s="12">
        <v>45809</v>
      </c>
      <c r="I895" s="24">
        <v>26435.279999999999</v>
      </c>
      <c r="J895" s="27">
        <v>24809.51</v>
      </c>
      <c r="K895" s="3">
        <v>45841</v>
      </c>
      <c r="L895" s="91">
        <v>45894</v>
      </c>
      <c r="M895" s="11">
        <v>45896</v>
      </c>
      <c r="N895" s="18" t="s">
        <v>588</v>
      </c>
      <c r="O895" s="35"/>
      <c r="P895"/>
      <c r="Q895" t="s">
        <v>55</v>
      </c>
      <c r="R895" t="s">
        <v>231</v>
      </c>
      <c r="S895" t="str">
        <f>IFERROR(VLOOKUP(Tabela1[[#This Row],[CC]],CC!$A$1:$H$403,8,0),"")</f>
        <v>OP1</v>
      </c>
    </row>
    <row r="896" spans="1:21" x14ac:dyDescent="0.3">
      <c r="A896" s="25">
        <v>1262</v>
      </c>
      <c r="B896" s="25" t="str">
        <f>IFERROR(VLOOKUP(Tabela1[[#This Row],[CC]],#REF!,5,0),"")</f>
        <v/>
      </c>
      <c r="C896" t="s">
        <v>51</v>
      </c>
      <c r="D896" t="s">
        <v>25</v>
      </c>
      <c r="E896" t="s">
        <v>230</v>
      </c>
      <c r="F896" t="s">
        <v>586</v>
      </c>
      <c r="G896" s="110">
        <v>4262</v>
      </c>
      <c r="H896" s="12">
        <v>45839</v>
      </c>
      <c r="I896" s="24">
        <v>12185.04</v>
      </c>
      <c r="J896" s="24">
        <v>11435.66</v>
      </c>
      <c r="K896" s="3">
        <v>45890</v>
      </c>
      <c r="L896" s="91">
        <v>45894</v>
      </c>
      <c r="M896" s="11">
        <v>45898</v>
      </c>
      <c r="N896" s="18" t="s">
        <v>588</v>
      </c>
      <c r="O896" s="35">
        <v>0</v>
      </c>
      <c r="P896" s="26"/>
      <c r="Q896" t="s">
        <v>55</v>
      </c>
      <c r="R896" t="s">
        <v>231</v>
      </c>
      <c r="S896" t="str">
        <f>IFERROR(VLOOKUP(Tabela1[[#This Row],[CC]],CC!$A$1:$H$403,8,0),"")</f>
        <v>OP2</v>
      </c>
    </row>
    <row r="897" spans="1:19" x14ac:dyDescent="0.3">
      <c r="A897" s="25">
        <v>1262</v>
      </c>
      <c r="B897" s="25" t="str">
        <f>IFERROR(VLOOKUP(Tabela1[[#This Row],[CC]],#REF!,5,0),"")</f>
        <v/>
      </c>
      <c r="C897" t="s">
        <v>51</v>
      </c>
      <c r="D897" t="s">
        <v>25</v>
      </c>
      <c r="E897" t="s">
        <v>230</v>
      </c>
      <c r="F897" t="s">
        <v>586</v>
      </c>
      <c r="G897" s="110">
        <v>4263</v>
      </c>
      <c r="H897" s="12">
        <v>45839</v>
      </c>
      <c r="I897" s="24">
        <v>55484.9</v>
      </c>
      <c r="J897" s="24">
        <v>52072.58</v>
      </c>
      <c r="K897" s="3">
        <v>45890</v>
      </c>
      <c r="L897" s="91">
        <v>45894</v>
      </c>
      <c r="M897" s="11">
        <v>45898</v>
      </c>
      <c r="N897" s="18" t="s">
        <v>588</v>
      </c>
      <c r="O897" s="35">
        <v>0</v>
      </c>
      <c r="P897" s="26"/>
      <c r="Q897" t="s">
        <v>55</v>
      </c>
      <c r="R897" t="s">
        <v>231</v>
      </c>
      <c r="S897" t="str">
        <f>IFERROR(VLOOKUP(Tabela1[[#This Row],[CC]],CC!$A$1:$H$403,8,0),"")</f>
        <v>OP2</v>
      </c>
    </row>
    <row r="898" spans="1:19" x14ac:dyDescent="0.3">
      <c r="A898" s="25">
        <v>1262</v>
      </c>
      <c r="B898" s="25" t="str">
        <f>IFERROR(VLOOKUP(Tabela1[[#This Row],[CC]],#REF!,5,0),"")</f>
        <v/>
      </c>
      <c r="C898" t="s">
        <v>51</v>
      </c>
      <c r="D898" t="s">
        <v>25</v>
      </c>
      <c r="E898" t="s">
        <v>230</v>
      </c>
      <c r="F898" t="s">
        <v>586</v>
      </c>
      <c r="G898" s="110">
        <v>4266</v>
      </c>
      <c r="H898" s="12">
        <v>45839</v>
      </c>
      <c r="I898" s="24">
        <v>5222.16</v>
      </c>
      <c r="J898" s="24">
        <v>4901.01</v>
      </c>
      <c r="K898" s="3">
        <v>45890</v>
      </c>
      <c r="L898" s="91">
        <v>45894</v>
      </c>
      <c r="M898" s="11">
        <v>45898</v>
      </c>
      <c r="N898" s="18" t="s">
        <v>588</v>
      </c>
      <c r="O898" s="35">
        <v>0</v>
      </c>
      <c r="P898" s="26"/>
      <c r="Q898" t="s">
        <v>55</v>
      </c>
      <c r="R898" t="s">
        <v>231</v>
      </c>
      <c r="S898" t="str">
        <f>IFERROR(VLOOKUP(Tabela1[[#This Row],[CC]],CC!$A$1:$H$403,8,0),"")</f>
        <v>OP2</v>
      </c>
    </row>
    <row r="899" spans="1:19" x14ac:dyDescent="0.3">
      <c r="A899" s="8">
        <v>1269</v>
      </c>
      <c r="B899" s="8" t="str">
        <f>IFERROR(VLOOKUP(Tabela1[[#This Row],[CC]],#REF!,5,0),"")</f>
        <v/>
      </c>
      <c r="C899" t="s">
        <v>51</v>
      </c>
      <c r="D899" t="s">
        <v>25</v>
      </c>
      <c r="E899" t="s">
        <v>239</v>
      </c>
      <c r="F899" t="s">
        <v>586</v>
      </c>
      <c r="G899" s="110">
        <v>4264</v>
      </c>
      <c r="H899" s="12">
        <v>45839</v>
      </c>
      <c r="I899" s="24">
        <v>198578.23</v>
      </c>
      <c r="J899" s="24">
        <v>186365.67</v>
      </c>
      <c r="K899" s="3">
        <v>45890</v>
      </c>
      <c r="L899" s="91">
        <v>45894</v>
      </c>
      <c r="M899" s="11">
        <v>45898</v>
      </c>
      <c r="N899" s="18" t="s">
        <v>588</v>
      </c>
      <c r="O899" s="34">
        <v>0</v>
      </c>
      <c r="P899" s="14"/>
      <c r="Q899" t="s">
        <v>58</v>
      </c>
      <c r="R899" t="s">
        <v>231</v>
      </c>
      <c r="S899" t="str">
        <f>IFERROR(VLOOKUP(Tabela1[[#This Row],[CC]],CC!$A$1:$H$403,8,0),"")</f>
        <v>OP2</v>
      </c>
    </row>
    <row r="900" spans="1:19" x14ac:dyDescent="0.3">
      <c r="A900" s="8">
        <v>1269</v>
      </c>
      <c r="B900" s="8" t="str">
        <f>IFERROR(VLOOKUP(Tabela1[[#This Row],[CC]],#REF!,5,0),"")</f>
        <v/>
      </c>
      <c r="C900" t="s">
        <v>51</v>
      </c>
      <c r="D900" t="s">
        <v>25</v>
      </c>
      <c r="E900" t="s">
        <v>239</v>
      </c>
      <c r="F900" t="s">
        <v>586</v>
      </c>
      <c r="G900" s="110">
        <v>4265</v>
      </c>
      <c r="H900" s="12">
        <v>45839</v>
      </c>
      <c r="I900" s="24">
        <v>9979.68</v>
      </c>
      <c r="J900" s="24">
        <v>9365.92</v>
      </c>
      <c r="K900" s="3">
        <v>45890</v>
      </c>
      <c r="L900" s="91">
        <v>45894</v>
      </c>
      <c r="M900" s="11">
        <v>45898</v>
      </c>
      <c r="N900" s="18" t="s">
        <v>588</v>
      </c>
      <c r="O900" s="34">
        <v>0</v>
      </c>
      <c r="P900" s="14"/>
      <c r="Q900" t="s">
        <v>58</v>
      </c>
      <c r="R900" t="s">
        <v>231</v>
      </c>
      <c r="S900" t="str">
        <f>IFERROR(VLOOKUP(Tabela1[[#This Row],[CC]],CC!$A$1:$H$403,8,0),"")</f>
        <v>OP2</v>
      </c>
    </row>
    <row r="901" spans="1:19" x14ac:dyDescent="0.3">
      <c r="A901" s="8">
        <v>1269</v>
      </c>
      <c r="B901" s="8" t="str">
        <f>IFERROR(VLOOKUP(Tabela1[[#This Row],[CC]],#REF!,5,0),"")</f>
        <v/>
      </c>
      <c r="C901" t="s">
        <v>51</v>
      </c>
      <c r="D901" t="s">
        <v>25</v>
      </c>
      <c r="E901" t="s">
        <v>239</v>
      </c>
      <c r="F901" t="s">
        <v>586</v>
      </c>
      <c r="G901" s="110">
        <v>4267</v>
      </c>
      <c r="H901" s="12">
        <v>45839</v>
      </c>
      <c r="I901" s="24">
        <v>10876.23</v>
      </c>
      <c r="J901" s="24">
        <v>10207.34</v>
      </c>
      <c r="K901" s="3">
        <v>45890</v>
      </c>
      <c r="L901" s="91">
        <v>45894</v>
      </c>
      <c r="M901" s="11">
        <v>45898</v>
      </c>
      <c r="N901" s="18" t="s">
        <v>588</v>
      </c>
      <c r="O901" s="34">
        <v>0</v>
      </c>
      <c r="P901" s="14"/>
      <c r="Q901" t="s">
        <v>58</v>
      </c>
      <c r="R901" t="s">
        <v>231</v>
      </c>
      <c r="S901" t="str">
        <f>IFERROR(VLOOKUP(Tabela1[[#This Row],[CC]],CC!$A$1:$H$403,8,0),"")</f>
        <v>OP2</v>
      </c>
    </row>
    <row r="902" spans="1:19" x14ac:dyDescent="0.3">
      <c r="A902" s="8">
        <v>1269</v>
      </c>
      <c r="B902" s="8" t="str">
        <f>IFERROR(VLOOKUP(Tabela1[[#This Row],[CC]],#REF!,5,0),"")</f>
        <v/>
      </c>
      <c r="C902" t="s">
        <v>51</v>
      </c>
      <c r="D902" t="s">
        <v>25</v>
      </c>
      <c r="E902" t="s">
        <v>239</v>
      </c>
      <c r="F902" t="s">
        <v>586</v>
      </c>
      <c r="G902" s="110">
        <v>4268</v>
      </c>
      <c r="H902" s="12">
        <v>45839</v>
      </c>
      <c r="I902" s="24">
        <v>6655.99</v>
      </c>
      <c r="J902" s="24">
        <v>6246.65</v>
      </c>
      <c r="K902" s="3">
        <v>45890</v>
      </c>
      <c r="L902" s="91">
        <v>45894</v>
      </c>
      <c r="M902" s="11">
        <v>45898</v>
      </c>
      <c r="N902" s="18" t="s">
        <v>588</v>
      </c>
      <c r="O902" s="34">
        <v>0</v>
      </c>
      <c r="P902" s="14"/>
      <c r="Q902" t="s">
        <v>58</v>
      </c>
      <c r="R902" t="s">
        <v>231</v>
      </c>
      <c r="S902" t="str">
        <f>IFERROR(VLOOKUP(Tabela1[[#This Row],[CC]],CC!$A$1:$H$403,8,0),"")</f>
        <v>OP2</v>
      </c>
    </row>
    <row r="903" spans="1:19" x14ac:dyDescent="0.3">
      <c r="A903" s="8">
        <v>1269</v>
      </c>
      <c r="B903" s="8" t="str">
        <f>IFERROR(VLOOKUP(Tabela1[[#This Row],[CC]],#REF!,5,0),"")</f>
        <v/>
      </c>
      <c r="C903" t="s">
        <v>51</v>
      </c>
      <c r="D903" t="s">
        <v>25</v>
      </c>
      <c r="E903" t="s">
        <v>239</v>
      </c>
      <c r="F903" t="s">
        <v>586</v>
      </c>
      <c r="G903" s="110">
        <v>4269</v>
      </c>
      <c r="H903" s="12">
        <v>45839</v>
      </c>
      <c r="I903" s="24">
        <v>30699.39</v>
      </c>
      <c r="J903" s="24">
        <v>28811.38</v>
      </c>
      <c r="K903" s="3">
        <v>45890</v>
      </c>
      <c r="L903" s="91">
        <v>45894</v>
      </c>
      <c r="M903" s="11">
        <v>45898</v>
      </c>
      <c r="N903" s="18" t="s">
        <v>588</v>
      </c>
      <c r="O903" s="34">
        <v>0</v>
      </c>
      <c r="P903" s="14"/>
      <c r="Q903" t="s">
        <v>58</v>
      </c>
      <c r="R903" t="s">
        <v>231</v>
      </c>
      <c r="S903" t="str">
        <f>IFERROR(VLOOKUP(Tabela1[[#This Row],[CC]],CC!$A$1:$H$403,8,0),"")</f>
        <v>OP2</v>
      </c>
    </row>
    <row r="904" spans="1:19" x14ac:dyDescent="0.3">
      <c r="A904" s="25">
        <v>1400</v>
      </c>
      <c r="B904" s="25" t="str">
        <f>IFERROR(VLOOKUP(Tabela1[[#This Row],[CC]],#REF!,5,0),"")</f>
        <v/>
      </c>
      <c r="C904" t="s">
        <v>64</v>
      </c>
      <c r="D904" t="s">
        <v>4</v>
      </c>
      <c r="E904" t="s">
        <v>385</v>
      </c>
      <c r="F904" t="s">
        <v>586</v>
      </c>
      <c r="G904" s="110">
        <v>8476</v>
      </c>
      <c r="H904" s="12">
        <v>45839</v>
      </c>
      <c r="I904" s="24">
        <v>77751.44</v>
      </c>
      <c r="J904" s="24">
        <v>70248.429999999993</v>
      </c>
      <c r="K904" s="3">
        <v>45884</v>
      </c>
      <c r="L904" s="91">
        <v>45901</v>
      </c>
      <c r="M904" s="11">
        <v>45904</v>
      </c>
      <c r="N904" s="18" t="s">
        <v>588</v>
      </c>
      <c r="O904" s="38"/>
      <c r="P904"/>
      <c r="Q904" t="s">
        <v>55</v>
      </c>
      <c r="R904" t="s">
        <v>183</v>
      </c>
      <c r="S904" t="str">
        <f>IFERROR(VLOOKUP(Tabela1[[#This Row],[CC]],CC!$A$1:$H$403,8,0),"")</f>
        <v>OP1</v>
      </c>
    </row>
    <row r="905" spans="1:19" x14ac:dyDescent="0.3">
      <c r="A905" s="25">
        <v>1400</v>
      </c>
      <c r="B905" s="25" t="str">
        <f>IFERROR(VLOOKUP(Tabela1[[#This Row],[CC]],#REF!,5,0),"")</f>
        <v/>
      </c>
      <c r="C905" t="s">
        <v>64</v>
      </c>
      <c r="D905" t="s">
        <v>4</v>
      </c>
      <c r="E905" t="s">
        <v>385</v>
      </c>
      <c r="F905" t="s">
        <v>586</v>
      </c>
      <c r="G905" s="110">
        <v>8636</v>
      </c>
      <c r="H905" s="12">
        <v>45839</v>
      </c>
      <c r="I905" s="24">
        <v>524581.19999999995</v>
      </c>
      <c r="J905" s="27">
        <v>473959.12</v>
      </c>
      <c r="K905" s="3">
        <v>45992</v>
      </c>
      <c r="L905" s="91">
        <v>45992</v>
      </c>
      <c r="M905" s="11">
        <v>45995</v>
      </c>
      <c r="N905" s="18" t="s">
        <v>588</v>
      </c>
      <c r="O905" s="35"/>
      <c r="P905"/>
      <c r="Q905" t="s">
        <v>55</v>
      </c>
      <c r="R905" t="s">
        <v>183</v>
      </c>
      <c r="S905" t="str">
        <f>IFERROR(VLOOKUP(Tabela1[[#This Row],[CC]],CC!$A$1:$H$403,8,0),"")</f>
        <v>OP1</v>
      </c>
    </row>
    <row r="906" spans="1:19" x14ac:dyDescent="0.3">
      <c r="A906" s="8">
        <v>1366</v>
      </c>
      <c r="B906" s="8" t="str">
        <f>IFERROR(VLOOKUP(Tabela1[[#This Row],[CC]],#REF!,5,0),"")</f>
        <v/>
      </c>
      <c r="C906" t="s">
        <v>64</v>
      </c>
      <c r="D906" t="s">
        <v>4</v>
      </c>
      <c r="E906" t="s">
        <v>345</v>
      </c>
      <c r="F906" t="s">
        <v>586</v>
      </c>
      <c r="G906" s="110">
        <v>1285</v>
      </c>
      <c r="H906" s="12">
        <v>45839</v>
      </c>
      <c r="I906" s="24">
        <v>338807.37</v>
      </c>
      <c r="J906" s="10">
        <v>306112.39</v>
      </c>
      <c r="K906" s="3">
        <v>45884</v>
      </c>
      <c r="L906" s="91">
        <v>45901</v>
      </c>
      <c r="M906" s="11">
        <v>45904</v>
      </c>
      <c r="N906" s="18" t="s">
        <v>588</v>
      </c>
      <c r="O906" s="34">
        <v>0</v>
      </c>
      <c r="P906"/>
      <c r="Q906" t="s">
        <v>58</v>
      </c>
      <c r="R906" t="s">
        <v>183</v>
      </c>
      <c r="S906" t="str">
        <f>IFERROR(VLOOKUP(Tabela1[[#This Row],[CC]],CC!$A$1:$H$403,8,0),"")</f>
        <v>OP1</v>
      </c>
    </row>
    <row r="907" spans="1:19" x14ac:dyDescent="0.3">
      <c r="A907" s="25">
        <v>1388</v>
      </c>
      <c r="B907" s="25" t="str">
        <f>IFERROR(VLOOKUP(Tabela1[[#This Row],[CC]],#REF!,5,0),"")</f>
        <v/>
      </c>
      <c r="C907" t="s">
        <v>64</v>
      </c>
      <c r="D907" t="s">
        <v>4</v>
      </c>
      <c r="E907" t="s">
        <v>373</v>
      </c>
      <c r="F907" t="s">
        <v>586</v>
      </c>
      <c r="G907" s="110">
        <v>4414</v>
      </c>
      <c r="H907" s="12">
        <v>45839</v>
      </c>
      <c r="I907" s="24">
        <v>189134.02</v>
      </c>
      <c r="J907" s="24">
        <v>170882.6</v>
      </c>
      <c r="K907" s="3">
        <v>45938</v>
      </c>
      <c r="L907" s="91">
        <v>45950</v>
      </c>
      <c r="M907" s="11">
        <v>45953</v>
      </c>
      <c r="N907" s="18" t="s">
        <v>588</v>
      </c>
      <c r="O907" s="35"/>
      <c r="P907"/>
      <c r="Q907" t="s">
        <v>55</v>
      </c>
      <c r="R907" t="s">
        <v>183</v>
      </c>
      <c r="S907" t="str">
        <f>IFERROR(VLOOKUP(Tabela1[[#This Row],[CC]],CC!$A$1:$H$403,8,0),"")</f>
        <v>OP1</v>
      </c>
    </row>
    <row r="908" spans="1:19" x14ac:dyDescent="0.3">
      <c r="A908" s="8">
        <v>1298</v>
      </c>
      <c r="B908" s="8" t="str">
        <f>IFERROR(VLOOKUP(Tabela1[[#This Row],[CC]],#REF!,5,0),"")</f>
        <v/>
      </c>
      <c r="C908" t="str">
        <f>IFERROR(VLOOKUP(Tabela1[[#This Row],[CC]],CC!$A$1:$H$389,7,0),"")</f>
        <v>JOSÉ NETO</v>
      </c>
      <c r="D908" t="s">
        <v>17</v>
      </c>
      <c r="E908" t="s">
        <v>273</v>
      </c>
      <c r="F908" t="s">
        <v>586</v>
      </c>
      <c r="G908" s="110">
        <v>1290</v>
      </c>
      <c r="H908" s="12">
        <v>45839</v>
      </c>
      <c r="I908" s="24">
        <v>275594.28999999998</v>
      </c>
      <c r="J908" s="24">
        <v>258645.25</v>
      </c>
      <c r="K908" s="3">
        <v>45890</v>
      </c>
      <c r="L908" s="91">
        <v>45894</v>
      </c>
      <c r="M908" s="11">
        <v>45898</v>
      </c>
      <c r="N908" s="18" t="s">
        <v>588</v>
      </c>
      <c r="O908" s="54"/>
      <c r="P908"/>
      <c r="Q908" t="s">
        <v>58</v>
      </c>
      <c r="R908" t="s">
        <v>195</v>
      </c>
      <c r="S908" t="str">
        <f>IFERROR(VLOOKUP(Tabela1[[#This Row],[CC]],CC!$A$1:$H$403,8,0),"")</f>
        <v>OP2</v>
      </c>
    </row>
    <row r="909" spans="1:19" x14ac:dyDescent="0.3">
      <c r="A909" s="8">
        <v>1289</v>
      </c>
      <c r="B909" s="8" t="str">
        <f>IFERROR(VLOOKUP(Tabela1[[#This Row],[CC]],#REF!,5,0),"")</f>
        <v/>
      </c>
      <c r="C909" t="s">
        <v>60</v>
      </c>
      <c r="D909" t="s">
        <v>15</v>
      </c>
      <c r="E909" t="s">
        <v>263</v>
      </c>
      <c r="F909" t="s">
        <v>586</v>
      </c>
      <c r="G909" s="110">
        <v>8472</v>
      </c>
      <c r="H909" s="12">
        <v>45839</v>
      </c>
      <c r="I909" s="24">
        <v>288631.78000000003</v>
      </c>
      <c r="J909" s="24">
        <v>269004.81</v>
      </c>
      <c r="K909" s="3">
        <v>45880</v>
      </c>
      <c r="L909" s="91">
        <v>45894</v>
      </c>
      <c r="M909" s="11">
        <v>45895</v>
      </c>
      <c r="N909" s="18" t="s">
        <v>588</v>
      </c>
      <c r="O909" s="34"/>
      <c r="P909"/>
      <c r="Q909" t="s">
        <v>58</v>
      </c>
      <c r="R909" t="s">
        <v>195</v>
      </c>
      <c r="S909" t="str">
        <f>IFERROR(VLOOKUP(Tabela1[[#This Row],[CC]],CC!$A$1:$H$403,8,0),"")</f>
        <v>OP3</v>
      </c>
    </row>
    <row r="910" spans="1:19" x14ac:dyDescent="0.3">
      <c r="A910" s="25">
        <v>1288</v>
      </c>
      <c r="B910" s="25" t="str">
        <f>IFERROR(VLOOKUP(Tabela1[[#This Row],[CC]],#REF!,5,0),"")</f>
        <v/>
      </c>
      <c r="C910" t="s">
        <v>60</v>
      </c>
      <c r="D910" t="s">
        <v>15</v>
      </c>
      <c r="E910" t="s">
        <v>262</v>
      </c>
      <c r="F910" t="s">
        <v>586</v>
      </c>
      <c r="G910" s="110">
        <v>8470</v>
      </c>
      <c r="H910" s="12">
        <v>45839</v>
      </c>
      <c r="I910" s="24">
        <v>378334.86</v>
      </c>
      <c r="J910" s="24">
        <v>352608.09</v>
      </c>
      <c r="K910" s="3">
        <v>45880</v>
      </c>
      <c r="L910" s="91">
        <v>45887</v>
      </c>
      <c r="M910" s="11">
        <v>45891</v>
      </c>
      <c r="N910" s="18" t="s">
        <v>588</v>
      </c>
      <c r="O910" s="35"/>
      <c r="P910"/>
      <c r="Q910" t="s">
        <v>55</v>
      </c>
      <c r="R910" t="s">
        <v>195</v>
      </c>
      <c r="S910" t="str">
        <f>IFERROR(VLOOKUP(Tabela1[[#This Row],[CC]],CC!$A$1:$H$403,8,0),"")</f>
        <v>OP3</v>
      </c>
    </row>
    <row r="911" spans="1:19" x14ac:dyDescent="0.3">
      <c r="A911" s="25">
        <v>1288</v>
      </c>
      <c r="B911" s="25" t="str">
        <f>IFERROR(VLOOKUP(Tabela1[[#This Row],[CC]],#REF!,5,0),"")</f>
        <v/>
      </c>
      <c r="C911" t="s">
        <v>60</v>
      </c>
      <c r="D911" t="s">
        <v>15</v>
      </c>
      <c r="E911" t="s">
        <v>262</v>
      </c>
      <c r="F911" t="s">
        <v>586</v>
      </c>
      <c r="G911" s="110">
        <v>8470</v>
      </c>
      <c r="H911" s="12">
        <v>45839</v>
      </c>
      <c r="I911" s="24">
        <v>15290.359999999986</v>
      </c>
      <c r="J911" s="24">
        <v>14250.619999999995</v>
      </c>
      <c r="K911" s="3">
        <v>45880</v>
      </c>
      <c r="L911" s="91">
        <v>45922</v>
      </c>
      <c r="M911" s="11">
        <v>45925</v>
      </c>
      <c r="N911" s="18" t="s">
        <v>588</v>
      </c>
      <c r="O911" s="35"/>
      <c r="P911"/>
      <c r="Q911" t="s">
        <v>55</v>
      </c>
      <c r="R911" t="s">
        <v>195</v>
      </c>
      <c r="S911" t="str">
        <f>IFERROR(VLOOKUP(Tabela1[[#This Row],[CC]],CC!$A$1:$H$403,8,0),"")</f>
        <v>OP3</v>
      </c>
    </row>
    <row r="912" spans="1:19" x14ac:dyDescent="0.3">
      <c r="A912" s="8">
        <v>1271</v>
      </c>
      <c r="B912" s="8" t="str">
        <f>IFERROR(VLOOKUP(Tabela1[[#This Row],[CC]],#REF!,5,0),"")</f>
        <v/>
      </c>
      <c r="C912" t="s">
        <v>60</v>
      </c>
      <c r="D912" t="s">
        <v>15</v>
      </c>
      <c r="E912" t="s">
        <v>242</v>
      </c>
      <c r="F912" t="s">
        <v>586</v>
      </c>
      <c r="G912" s="110">
        <v>8458</v>
      </c>
      <c r="H912" s="12">
        <v>45839</v>
      </c>
      <c r="I912" s="24">
        <v>255597.54</v>
      </c>
      <c r="J912" s="10">
        <v>238216.91</v>
      </c>
      <c r="K912" s="3">
        <v>45876</v>
      </c>
      <c r="L912" s="91">
        <v>45880</v>
      </c>
      <c r="M912" s="11">
        <v>45883</v>
      </c>
      <c r="N912" s="18" t="s">
        <v>588</v>
      </c>
      <c r="O912" s="34">
        <v>0</v>
      </c>
      <c r="P912"/>
      <c r="Q912" t="s">
        <v>58</v>
      </c>
      <c r="R912" t="s">
        <v>195</v>
      </c>
      <c r="S912" t="str">
        <f>IFERROR(VLOOKUP(Tabela1[[#This Row],[CC]],CC!$A$1:$H$403,8,0),"")</f>
        <v>OP3</v>
      </c>
    </row>
    <row r="913" spans="1:19" x14ac:dyDescent="0.3">
      <c r="A913" s="8">
        <v>1299</v>
      </c>
      <c r="B913" s="8" t="str">
        <f>IFERROR(VLOOKUP(Tabela1[[#This Row],[CC]],#REF!,5,0),"")</f>
        <v/>
      </c>
      <c r="C913" t="s">
        <v>60</v>
      </c>
      <c r="D913" t="s">
        <v>15</v>
      </c>
      <c r="E913" t="s">
        <v>274</v>
      </c>
      <c r="F913" t="s">
        <v>586</v>
      </c>
      <c r="G913" s="110">
        <v>8471</v>
      </c>
      <c r="H913" s="12">
        <v>45839</v>
      </c>
      <c r="I913" s="24">
        <v>611958.6587982832</v>
      </c>
      <c r="J913" s="24">
        <v>570345.47</v>
      </c>
      <c r="K913" s="3">
        <v>45880</v>
      </c>
      <c r="L913" s="91">
        <v>45908</v>
      </c>
      <c r="M913" s="11">
        <v>45911</v>
      </c>
      <c r="N913" s="18" t="s">
        <v>588</v>
      </c>
      <c r="O913" s="53"/>
      <c r="P913" s="14"/>
      <c r="Q913" t="s">
        <v>55</v>
      </c>
      <c r="R913" t="s">
        <v>195</v>
      </c>
      <c r="S913" t="str">
        <f>IFERROR(VLOOKUP(Tabela1[[#This Row],[CC]],CC!$A$1:$H$403,8,0),"")</f>
        <v>OP3</v>
      </c>
    </row>
    <row r="914" spans="1:19" x14ac:dyDescent="0.3">
      <c r="A914" s="8">
        <v>1299</v>
      </c>
      <c r="B914" s="8" t="str">
        <f>IFERROR(VLOOKUP(Tabela1[[#This Row],[CC]],#REF!,5,0),"")</f>
        <v/>
      </c>
      <c r="C914" t="s">
        <v>60</v>
      </c>
      <c r="D914" t="s">
        <v>15</v>
      </c>
      <c r="E914" t="s">
        <v>274</v>
      </c>
      <c r="F914" t="s">
        <v>586</v>
      </c>
      <c r="G914" s="110">
        <v>8471</v>
      </c>
      <c r="H914" s="12">
        <v>45839</v>
      </c>
      <c r="I914" s="24">
        <v>408137.33905579394</v>
      </c>
      <c r="J914" s="24">
        <v>380384</v>
      </c>
      <c r="K914" s="3">
        <v>45880</v>
      </c>
      <c r="L914" s="91">
        <v>45908</v>
      </c>
      <c r="M914" s="11">
        <v>45911</v>
      </c>
      <c r="N914" s="18" t="s">
        <v>588</v>
      </c>
      <c r="O914" s="53"/>
      <c r="P914" s="14"/>
      <c r="Q914" t="s">
        <v>55</v>
      </c>
      <c r="R914" t="s">
        <v>195</v>
      </c>
      <c r="S914" t="str">
        <f>IFERROR(VLOOKUP(Tabela1[[#This Row],[CC]],CC!$A$1:$H$403,8,0),"")</f>
        <v>OP3</v>
      </c>
    </row>
    <row r="915" spans="1:19" x14ac:dyDescent="0.3">
      <c r="A915" s="8">
        <v>1394</v>
      </c>
      <c r="B915" s="8" t="str">
        <f>IFERROR(VLOOKUP(Tabela1[[#This Row],[CC]],#REF!,5,0),"")</f>
        <v/>
      </c>
      <c r="C915" t="s">
        <v>65</v>
      </c>
      <c r="D915" t="s">
        <v>18</v>
      </c>
      <c r="E915" t="s">
        <v>378</v>
      </c>
      <c r="F915" t="s">
        <v>586</v>
      </c>
      <c r="G915" s="110">
        <v>8456</v>
      </c>
      <c r="H915" s="12">
        <v>45839</v>
      </c>
      <c r="I915" s="24">
        <v>117291.83</v>
      </c>
      <c r="J915" s="10">
        <v>109315.98</v>
      </c>
      <c r="K915" s="3">
        <v>45876</v>
      </c>
      <c r="L915" s="91">
        <v>45880</v>
      </c>
      <c r="M915" s="5">
        <v>45882</v>
      </c>
      <c r="N915" s="21" t="s">
        <v>588</v>
      </c>
      <c r="O915" s="54">
        <v>0</v>
      </c>
      <c r="P915" s="14"/>
      <c r="Q915" t="s">
        <v>58</v>
      </c>
      <c r="R915" t="s">
        <v>195</v>
      </c>
      <c r="S915" t="str">
        <f>IFERROR(VLOOKUP(Tabela1[[#This Row],[CC]],CC!$A$1:$H$403,8,0),"")</f>
        <v>OP4</v>
      </c>
    </row>
    <row r="916" spans="1:19" x14ac:dyDescent="0.3">
      <c r="A916" s="8">
        <v>1394</v>
      </c>
      <c r="B916" s="8" t="str">
        <f>IFERROR(VLOOKUP(Tabela1[[#This Row],[CC]],#REF!,5,0),"")</f>
        <v/>
      </c>
      <c r="C916" t="s">
        <v>65</v>
      </c>
      <c r="D916" t="s">
        <v>18</v>
      </c>
      <c r="E916" t="s">
        <v>378</v>
      </c>
      <c r="F916" t="s">
        <v>586</v>
      </c>
      <c r="G916" s="110">
        <v>8459</v>
      </c>
      <c r="H916" s="12">
        <v>45839</v>
      </c>
      <c r="I916" s="24">
        <v>99263.77</v>
      </c>
      <c r="J916" s="10">
        <v>92513.83</v>
      </c>
      <c r="K916" s="3">
        <v>45876</v>
      </c>
      <c r="L916" s="91">
        <v>45887</v>
      </c>
      <c r="M916" s="5">
        <v>45887</v>
      </c>
      <c r="N916" s="21" t="s">
        <v>588</v>
      </c>
      <c r="O916" s="54">
        <v>0</v>
      </c>
      <c r="P916" s="14"/>
      <c r="Q916" t="s">
        <v>58</v>
      </c>
      <c r="R916" t="s">
        <v>195</v>
      </c>
      <c r="S916" t="str">
        <f>IFERROR(VLOOKUP(Tabela1[[#This Row],[CC]],CC!$A$1:$H$403,8,0),"")</f>
        <v>OP4</v>
      </c>
    </row>
    <row r="917" spans="1:19" x14ac:dyDescent="0.3">
      <c r="A917" s="8">
        <v>1394</v>
      </c>
      <c r="B917" s="8" t="str">
        <f>IFERROR(VLOOKUP(Tabela1[[#This Row],[CC]],#REF!,5,0),"")</f>
        <v/>
      </c>
      <c r="C917" t="s">
        <v>65</v>
      </c>
      <c r="D917" t="s">
        <v>18</v>
      </c>
      <c r="E917" t="s">
        <v>378</v>
      </c>
      <c r="F917" t="s">
        <v>586</v>
      </c>
      <c r="G917" s="110">
        <v>8473</v>
      </c>
      <c r="H917" s="12">
        <v>45839</v>
      </c>
      <c r="I917" s="24">
        <v>20934.14</v>
      </c>
      <c r="J917" s="10">
        <v>19510.62</v>
      </c>
      <c r="K917" s="3">
        <v>45882</v>
      </c>
      <c r="L917" s="91">
        <v>45894</v>
      </c>
      <c r="M917" s="5">
        <v>45897</v>
      </c>
      <c r="N917" s="21" t="s">
        <v>588</v>
      </c>
      <c r="O917" s="54">
        <v>0</v>
      </c>
      <c r="P917" s="14"/>
      <c r="Q917" t="s">
        <v>58</v>
      </c>
      <c r="R917" t="s">
        <v>195</v>
      </c>
      <c r="S917" t="str">
        <f>IFERROR(VLOOKUP(Tabela1[[#This Row],[CC]],CC!$A$1:$H$403,8,0),"")</f>
        <v>OP4</v>
      </c>
    </row>
    <row r="918" spans="1:19" x14ac:dyDescent="0.3">
      <c r="A918" s="8">
        <v>1394</v>
      </c>
      <c r="B918" s="8" t="str">
        <f>IFERROR(VLOOKUP(Tabela1[[#This Row],[CC]],#REF!,5,0),"")</f>
        <v/>
      </c>
      <c r="C918" t="s">
        <v>65</v>
      </c>
      <c r="D918" t="s">
        <v>18</v>
      </c>
      <c r="E918" t="s">
        <v>378</v>
      </c>
      <c r="F918" t="s">
        <v>586</v>
      </c>
      <c r="G918" s="110">
        <v>8477</v>
      </c>
      <c r="H918" s="12">
        <v>45839</v>
      </c>
      <c r="I918" s="24">
        <v>297806.21999999997</v>
      </c>
      <c r="J918" s="10">
        <v>277555.40000000002</v>
      </c>
      <c r="K918" s="3">
        <v>45884</v>
      </c>
      <c r="L918" s="91">
        <v>45894</v>
      </c>
      <c r="M918" s="5">
        <v>45896</v>
      </c>
      <c r="N918" s="21" t="s">
        <v>588</v>
      </c>
      <c r="O918" s="54">
        <v>0</v>
      </c>
      <c r="P918" s="14"/>
      <c r="Q918" t="s">
        <v>58</v>
      </c>
      <c r="R918" t="s">
        <v>195</v>
      </c>
      <c r="S918" t="str">
        <f>IFERROR(VLOOKUP(Tabela1[[#This Row],[CC]],CC!$A$1:$H$403,8,0),"")</f>
        <v>OP4</v>
      </c>
    </row>
    <row r="919" spans="1:19" x14ac:dyDescent="0.3">
      <c r="A919" s="8">
        <v>1394</v>
      </c>
      <c r="B919" s="8" t="str">
        <f>IFERROR(VLOOKUP(Tabela1[[#This Row],[CC]],#REF!,5,0),"")</f>
        <v/>
      </c>
      <c r="C919" t="s">
        <v>65</v>
      </c>
      <c r="D919" t="s">
        <v>18</v>
      </c>
      <c r="E919" t="s">
        <v>378</v>
      </c>
      <c r="F919" t="s">
        <v>586</v>
      </c>
      <c r="G919" s="110">
        <v>8478</v>
      </c>
      <c r="H919" s="12">
        <v>45839</v>
      </c>
      <c r="I919" s="24">
        <v>89335</v>
      </c>
      <c r="J919" s="10">
        <v>83260.22</v>
      </c>
      <c r="K919" s="3">
        <v>45884</v>
      </c>
      <c r="L919" s="91">
        <v>45887</v>
      </c>
      <c r="M919" s="5">
        <v>45891</v>
      </c>
      <c r="N919" s="21" t="s">
        <v>588</v>
      </c>
      <c r="O919" s="54">
        <v>0</v>
      </c>
      <c r="P919" s="14"/>
      <c r="Q919" t="s">
        <v>58</v>
      </c>
      <c r="R919" t="s">
        <v>195</v>
      </c>
      <c r="S919" t="str">
        <f>IFERROR(VLOOKUP(Tabela1[[#This Row],[CC]],CC!$A$1:$H$403,8,0),"")</f>
        <v>OP4</v>
      </c>
    </row>
    <row r="920" spans="1:19" x14ac:dyDescent="0.3">
      <c r="A920" s="8">
        <v>1394</v>
      </c>
      <c r="B920" s="8" t="str">
        <f>IFERROR(VLOOKUP(Tabela1[[#This Row],[CC]],#REF!,5,0),"")</f>
        <v/>
      </c>
      <c r="C920" t="s">
        <v>65</v>
      </c>
      <c r="D920" t="s">
        <v>18</v>
      </c>
      <c r="E920" t="s">
        <v>378</v>
      </c>
      <c r="F920" t="s">
        <v>586</v>
      </c>
      <c r="G920" s="110">
        <v>8481</v>
      </c>
      <c r="H920" s="12">
        <v>45839</v>
      </c>
      <c r="I920" s="24">
        <v>199315.68</v>
      </c>
      <c r="J920" s="10">
        <v>185762.22</v>
      </c>
      <c r="K920" s="3">
        <v>45888</v>
      </c>
      <c r="L920" s="91">
        <v>45894</v>
      </c>
      <c r="M920" s="5">
        <v>45896</v>
      </c>
      <c r="N920" s="21" t="s">
        <v>588</v>
      </c>
      <c r="O920" s="54">
        <v>0</v>
      </c>
      <c r="P920" s="14"/>
      <c r="Q920" t="s">
        <v>58</v>
      </c>
      <c r="R920" t="s">
        <v>195</v>
      </c>
      <c r="S920" t="str">
        <f>IFERROR(VLOOKUP(Tabela1[[#This Row],[CC]],CC!$A$1:$H$403,8,0),"")</f>
        <v>OP4</v>
      </c>
    </row>
    <row r="921" spans="1:19" x14ac:dyDescent="0.3">
      <c r="A921" s="8">
        <v>1394</v>
      </c>
      <c r="B921" s="8" t="str">
        <f>IFERROR(VLOOKUP(Tabela1[[#This Row],[CC]],#REF!,5,0),"")</f>
        <v/>
      </c>
      <c r="C921" t="s">
        <v>65</v>
      </c>
      <c r="D921" t="s">
        <v>18</v>
      </c>
      <c r="E921" t="s">
        <v>378</v>
      </c>
      <c r="F921" t="s">
        <v>586</v>
      </c>
      <c r="G921" s="110">
        <v>8482</v>
      </c>
      <c r="H921" s="12">
        <v>45839</v>
      </c>
      <c r="I921" s="24">
        <v>133850.94</v>
      </c>
      <c r="J921" s="10">
        <v>124749.07</v>
      </c>
      <c r="K921" s="3">
        <v>45894</v>
      </c>
      <c r="L921" s="91">
        <v>45901</v>
      </c>
      <c r="M921" s="5">
        <v>45903</v>
      </c>
      <c r="N921" s="21" t="s">
        <v>588</v>
      </c>
      <c r="O921" s="54">
        <v>0</v>
      </c>
      <c r="P921" s="14"/>
      <c r="Q921" t="s">
        <v>58</v>
      </c>
      <c r="R921" t="s">
        <v>195</v>
      </c>
      <c r="S921" t="str">
        <f>IFERROR(VLOOKUP(Tabela1[[#This Row],[CC]],CC!$A$1:$H$403,8,0),"")</f>
        <v>OP4</v>
      </c>
    </row>
    <row r="922" spans="1:19" x14ac:dyDescent="0.3">
      <c r="A922" s="8">
        <v>1394</v>
      </c>
      <c r="B922" s="8" t="str">
        <f>IFERROR(VLOOKUP(Tabela1[[#This Row],[CC]],#REF!,5,0),"")</f>
        <v/>
      </c>
      <c r="C922" t="s">
        <v>65</v>
      </c>
      <c r="D922" t="s">
        <v>18</v>
      </c>
      <c r="E922" t="s">
        <v>378</v>
      </c>
      <c r="F922" t="s">
        <v>586</v>
      </c>
      <c r="G922" s="110">
        <v>8512</v>
      </c>
      <c r="H922" s="12">
        <v>45839</v>
      </c>
      <c r="I922" s="24">
        <v>233745.96</v>
      </c>
      <c r="J922" s="10">
        <v>217851.23</v>
      </c>
      <c r="K922" s="3">
        <v>45911</v>
      </c>
      <c r="L922" s="91">
        <v>45915</v>
      </c>
      <c r="M922" s="5">
        <v>45918</v>
      </c>
      <c r="N922" s="21" t="s">
        <v>588</v>
      </c>
      <c r="O922" s="54">
        <v>0</v>
      </c>
      <c r="P922" s="14"/>
      <c r="Q922" t="s">
        <v>58</v>
      </c>
      <c r="R922" t="s">
        <v>195</v>
      </c>
      <c r="S922" t="str">
        <f>IFERROR(VLOOKUP(Tabela1[[#This Row],[CC]],CC!$A$1:$H$403,8,0),"")</f>
        <v>OP4</v>
      </c>
    </row>
    <row r="923" spans="1:19" x14ac:dyDescent="0.3">
      <c r="A923" s="25">
        <v>1500</v>
      </c>
      <c r="B923" s="25" t="str">
        <f>IFERROR(VLOOKUP(Tabela1[[#This Row],[CC]],#REF!,5,0),"")</f>
        <v/>
      </c>
      <c r="C923" t="s">
        <v>32</v>
      </c>
      <c r="D923" t="s">
        <v>24</v>
      </c>
      <c r="E923" t="s">
        <v>506</v>
      </c>
      <c r="F923" t="s">
        <v>586</v>
      </c>
      <c r="G923" s="110">
        <v>4202</v>
      </c>
      <c r="H923" s="12">
        <v>45839</v>
      </c>
      <c r="I923" s="24">
        <v>17786.88</v>
      </c>
      <c r="J923" s="24">
        <v>16692.990000000002</v>
      </c>
      <c r="K923" s="3">
        <v>45861</v>
      </c>
      <c r="L923" s="91">
        <v>45894</v>
      </c>
      <c r="M923" s="11">
        <v>45896</v>
      </c>
      <c r="N923" s="18" t="s">
        <v>588</v>
      </c>
      <c r="O923" s="35"/>
      <c r="P923"/>
      <c r="Q923" t="s">
        <v>57</v>
      </c>
      <c r="R923" t="s">
        <v>231</v>
      </c>
      <c r="S923" t="str">
        <f>IFERROR(VLOOKUP(Tabela1[[#This Row],[CC]],CC!$A$1:$H$403,8,0),"")</f>
        <v>OP1</v>
      </c>
    </row>
    <row r="924" spans="1:19" x14ac:dyDescent="0.3">
      <c r="A924" s="25">
        <v>1500</v>
      </c>
      <c r="B924" s="25" t="str">
        <f>IFERROR(VLOOKUP(Tabela1[[#This Row],[CC]],#REF!,5,0),"")</f>
        <v/>
      </c>
      <c r="C924" t="s">
        <v>32</v>
      </c>
      <c r="D924" t="s">
        <v>24</v>
      </c>
      <c r="E924" t="s">
        <v>506</v>
      </c>
      <c r="F924" t="s">
        <v>586</v>
      </c>
      <c r="G924" s="110">
        <v>4215</v>
      </c>
      <c r="H924" s="12">
        <v>45839</v>
      </c>
      <c r="I924" s="24">
        <v>45455.360000000001</v>
      </c>
      <c r="J924" s="24">
        <v>42659.86</v>
      </c>
      <c r="K924" s="3">
        <v>45866</v>
      </c>
      <c r="L924" s="91">
        <v>45894</v>
      </c>
      <c r="M924" s="11">
        <v>45896</v>
      </c>
      <c r="N924" s="18" t="s">
        <v>588</v>
      </c>
      <c r="O924" s="35"/>
      <c r="P924"/>
      <c r="Q924" t="s">
        <v>57</v>
      </c>
      <c r="R924" t="s">
        <v>231</v>
      </c>
      <c r="S924" t="str">
        <f>IFERROR(VLOOKUP(Tabela1[[#This Row],[CC]],CC!$A$1:$H$403,8,0),"")</f>
        <v>OP1</v>
      </c>
    </row>
    <row r="925" spans="1:19" x14ac:dyDescent="0.3">
      <c r="A925" s="25">
        <v>1500</v>
      </c>
      <c r="B925" s="25" t="str">
        <f>IFERROR(VLOOKUP(Tabela1[[#This Row],[CC]],#REF!,5,0),"")</f>
        <v/>
      </c>
      <c r="C925" t="s">
        <v>32</v>
      </c>
      <c r="D925" t="s">
        <v>24</v>
      </c>
      <c r="E925" t="s">
        <v>506</v>
      </c>
      <c r="F925" t="s">
        <v>586</v>
      </c>
      <c r="G925" s="110">
        <v>4216</v>
      </c>
      <c r="H925" s="12">
        <v>45839</v>
      </c>
      <c r="I925" s="24">
        <v>51385.02</v>
      </c>
      <c r="J925" s="24">
        <v>48224.84</v>
      </c>
      <c r="K925" s="3">
        <v>45866</v>
      </c>
      <c r="L925" s="91">
        <v>45894</v>
      </c>
      <c r="M925" s="11">
        <v>45896</v>
      </c>
      <c r="N925" s="18" t="s">
        <v>588</v>
      </c>
      <c r="O925" s="35"/>
      <c r="P925"/>
      <c r="Q925" t="s">
        <v>57</v>
      </c>
      <c r="R925" t="s">
        <v>231</v>
      </c>
      <c r="S925" t="str">
        <f>IFERROR(VLOOKUP(Tabela1[[#This Row],[CC]],CC!$A$1:$H$403,8,0),"")</f>
        <v>OP1</v>
      </c>
    </row>
    <row r="926" spans="1:19" x14ac:dyDescent="0.3">
      <c r="A926" s="25">
        <v>1360</v>
      </c>
      <c r="B926" s="25" t="str">
        <f>IFERROR(VLOOKUP(Tabela1[[#This Row],[CC]],#REF!,5,0),"")</f>
        <v/>
      </c>
      <c r="C926" t="s">
        <v>32</v>
      </c>
      <c r="D926" t="s">
        <v>24</v>
      </c>
      <c r="E926" t="s">
        <v>338</v>
      </c>
      <c r="F926" t="s">
        <v>586</v>
      </c>
      <c r="G926" s="110">
        <v>4193</v>
      </c>
      <c r="H926" s="12">
        <v>45839</v>
      </c>
      <c r="I926" s="24">
        <v>182024.48</v>
      </c>
      <c r="J926" s="65">
        <v>170829.97</v>
      </c>
      <c r="K926" s="3">
        <v>45860</v>
      </c>
      <c r="L926" s="91">
        <v>45894</v>
      </c>
      <c r="M926" s="11">
        <v>45896</v>
      </c>
      <c r="N926" s="18" t="s">
        <v>588</v>
      </c>
      <c r="O926" s="35"/>
      <c r="P926"/>
      <c r="Q926" t="s">
        <v>55</v>
      </c>
      <c r="R926" t="s">
        <v>231</v>
      </c>
      <c r="S926" t="str">
        <f>IFERROR(VLOOKUP(Tabela1[[#This Row],[CC]],CC!$A$1:$H$403,8,0),"")</f>
        <v>OP1</v>
      </c>
    </row>
    <row r="927" spans="1:19" x14ac:dyDescent="0.3">
      <c r="A927" s="25">
        <v>1360</v>
      </c>
      <c r="B927" s="25" t="str">
        <f>IFERROR(VLOOKUP(Tabela1[[#This Row],[CC]],#REF!,5,0),"")</f>
        <v/>
      </c>
      <c r="C927" t="s">
        <v>32</v>
      </c>
      <c r="D927" t="s">
        <v>24</v>
      </c>
      <c r="E927" t="s">
        <v>338</v>
      </c>
      <c r="F927" t="s">
        <v>586</v>
      </c>
      <c r="G927" s="110">
        <v>4194</v>
      </c>
      <c r="H927" s="12">
        <v>45839</v>
      </c>
      <c r="I927" s="24">
        <v>46640</v>
      </c>
      <c r="J927" s="65">
        <v>43771.63</v>
      </c>
      <c r="K927" s="3">
        <v>45860</v>
      </c>
      <c r="L927" s="91">
        <v>45894</v>
      </c>
      <c r="M927" s="11">
        <v>45896</v>
      </c>
      <c r="N927" s="18" t="s">
        <v>588</v>
      </c>
      <c r="O927" s="35"/>
      <c r="P927"/>
      <c r="Q927" t="s">
        <v>55</v>
      </c>
      <c r="R927" t="s">
        <v>231</v>
      </c>
      <c r="S927" t="str">
        <f>IFERROR(VLOOKUP(Tabela1[[#This Row],[CC]],CC!$A$1:$H$403,8,0),"")</f>
        <v>OP1</v>
      </c>
    </row>
    <row r="928" spans="1:19" x14ac:dyDescent="0.3">
      <c r="A928" s="25">
        <v>1360</v>
      </c>
      <c r="B928" s="25" t="str">
        <f>IFERROR(VLOOKUP(Tabela1[[#This Row],[CC]],#REF!,5,0),"")</f>
        <v/>
      </c>
      <c r="C928" t="s">
        <v>32</v>
      </c>
      <c r="D928" t="s">
        <v>24</v>
      </c>
      <c r="E928" t="s">
        <v>338</v>
      </c>
      <c r="F928" t="s">
        <v>586</v>
      </c>
      <c r="G928" s="110">
        <v>4195</v>
      </c>
      <c r="H928" s="12">
        <v>45839</v>
      </c>
      <c r="I928" s="24">
        <v>28846.400000000001</v>
      </c>
      <c r="J928" s="65">
        <v>27072.34</v>
      </c>
      <c r="K928" s="3">
        <v>45861</v>
      </c>
      <c r="L928" s="91">
        <v>45894</v>
      </c>
      <c r="M928" s="11">
        <v>45896</v>
      </c>
      <c r="N928" s="18" t="s">
        <v>588</v>
      </c>
      <c r="O928" s="35"/>
      <c r="P928"/>
      <c r="Q928" t="s">
        <v>55</v>
      </c>
      <c r="R928" t="s">
        <v>231</v>
      </c>
      <c r="S928" t="str">
        <f>IFERROR(VLOOKUP(Tabela1[[#This Row],[CC]],CC!$A$1:$H$403,8,0),"")</f>
        <v>OP1</v>
      </c>
    </row>
    <row r="929" spans="1:19" x14ac:dyDescent="0.3">
      <c r="A929" s="25">
        <v>1360</v>
      </c>
      <c r="B929" s="25" t="str">
        <f>IFERROR(VLOOKUP(Tabela1[[#This Row],[CC]],#REF!,5,0),"")</f>
        <v/>
      </c>
      <c r="C929" t="s">
        <v>32</v>
      </c>
      <c r="D929" t="s">
        <v>24</v>
      </c>
      <c r="E929" t="s">
        <v>338</v>
      </c>
      <c r="F929" t="s">
        <v>586</v>
      </c>
      <c r="G929" s="110">
        <v>4196</v>
      </c>
      <c r="H929" s="12">
        <v>45839</v>
      </c>
      <c r="I929" s="24">
        <v>202030.56</v>
      </c>
      <c r="J929" s="65">
        <v>189605.66</v>
      </c>
      <c r="K929" s="3">
        <v>45861</v>
      </c>
      <c r="L929" s="91">
        <v>45894</v>
      </c>
      <c r="M929" s="11">
        <v>45896</v>
      </c>
      <c r="N929" s="18" t="s">
        <v>588</v>
      </c>
      <c r="O929" s="35"/>
      <c r="P929"/>
      <c r="Q929" t="s">
        <v>55</v>
      </c>
      <c r="R929" t="s">
        <v>231</v>
      </c>
      <c r="S929" t="str">
        <f>IFERROR(VLOOKUP(Tabela1[[#This Row],[CC]],CC!$A$1:$H$403,8,0),"")</f>
        <v>OP1</v>
      </c>
    </row>
    <row r="930" spans="1:19" x14ac:dyDescent="0.3">
      <c r="A930" s="25">
        <v>1360</v>
      </c>
      <c r="B930" s="25" t="str">
        <f>IFERROR(VLOOKUP(Tabela1[[#This Row],[CC]],#REF!,5,0),"")</f>
        <v/>
      </c>
      <c r="C930" t="s">
        <v>32</v>
      </c>
      <c r="D930" t="s">
        <v>24</v>
      </c>
      <c r="E930" t="s">
        <v>338</v>
      </c>
      <c r="F930" t="s">
        <v>586</v>
      </c>
      <c r="G930" s="110">
        <v>4199</v>
      </c>
      <c r="H930" s="12">
        <v>45839</v>
      </c>
      <c r="I930" s="24">
        <v>25160</v>
      </c>
      <c r="J930" s="65">
        <v>23612.65</v>
      </c>
      <c r="K930" s="3">
        <v>45861</v>
      </c>
      <c r="L930" s="91">
        <v>45894</v>
      </c>
      <c r="M930" s="11">
        <v>45896</v>
      </c>
      <c r="N930" s="18" t="s">
        <v>588</v>
      </c>
      <c r="O930" s="35"/>
      <c r="P930"/>
      <c r="Q930" t="s">
        <v>55</v>
      </c>
      <c r="R930" t="s">
        <v>231</v>
      </c>
      <c r="S930" t="str">
        <f>IFERROR(VLOOKUP(Tabela1[[#This Row],[CC]],CC!$A$1:$H$403,8,0),"")</f>
        <v>OP1</v>
      </c>
    </row>
    <row r="931" spans="1:19" x14ac:dyDescent="0.3">
      <c r="A931" s="25">
        <v>1360</v>
      </c>
      <c r="B931" s="25" t="str">
        <f>IFERROR(VLOOKUP(Tabela1[[#This Row],[CC]],#REF!,5,0),"")</f>
        <v/>
      </c>
      <c r="C931" t="s">
        <v>32</v>
      </c>
      <c r="D931" t="s">
        <v>24</v>
      </c>
      <c r="E931" t="s">
        <v>338</v>
      </c>
      <c r="F931" t="s">
        <v>586</v>
      </c>
      <c r="G931" s="110">
        <v>4200</v>
      </c>
      <c r="H931" s="12">
        <v>45839</v>
      </c>
      <c r="I931" s="24">
        <v>694.4</v>
      </c>
      <c r="J931" s="27">
        <v>651.70000000000005</v>
      </c>
      <c r="K931" s="3">
        <v>45861</v>
      </c>
      <c r="L931" s="91">
        <v>45894</v>
      </c>
      <c r="M931" s="11">
        <v>45896</v>
      </c>
      <c r="N931" s="18" t="s">
        <v>588</v>
      </c>
      <c r="O931" s="35"/>
      <c r="P931"/>
      <c r="Q931" t="s">
        <v>55</v>
      </c>
      <c r="R931" t="s">
        <v>231</v>
      </c>
      <c r="S931" t="str">
        <f>IFERROR(VLOOKUP(Tabela1[[#This Row],[CC]],CC!$A$1:$H$403,8,0),"")</f>
        <v>OP1</v>
      </c>
    </row>
    <row r="932" spans="1:19" x14ac:dyDescent="0.3">
      <c r="A932" s="25">
        <v>1360</v>
      </c>
      <c r="B932" s="25" t="str">
        <f>IFERROR(VLOOKUP(Tabela1[[#This Row],[CC]],#REF!,5,0),"")</f>
        <v/>
      </c>
      <c r="C932" t="s">
        <v>32</v>
      </c>
      <c r="D932" t="s">
        <v>24</v>
      </c>
      <c r="E932" t="s">
        <v>338</v>
      </c>
      <c r="F932" t="s">
        <v>586</v>
      </c>
      <c r="G932" s="110">
        <v>4201</v>
      </c>
      <c r="H932" s="12">
        <v>45839</v>
      </c>
      <c r="I932" s="24">
        <v>72788.69</v>
      </c>
      <c r="J932" s="27">
        <v>68312.179999999993</v>
      </c>
      <c r="K932" s="3">
        <v>45861</v>
      </c>
      <c r="L932" s="91">
        <v>45894</v>
      </c>
      <c r="M932" s="11">
        <v>45896</v>
      </c>
      <c r="N932" s="18" t="s">
        <v>588</v>
      </c>
      <c r="O932" s="35"/>
      <c r="P932"/>
      <c r="Q932" t="s">
        <v>55</v>
      </c>
      <c r="R932" t="s">
        <v>231</v>
      </c>
      <c r="S932" t="str">
        <f>IFERROR(VLOOKUP(Tabela1[[#This Row],[CC]],CC!$A$1:$H$403,8,0),"")</f>
        <v>OP1</v>
      </c>
    </row>
    <row r="933" spans="1:19" x14ac:dyDescent="0.3">
      <c r="A933" s="25">
        <v>1360</v>
      </c>
      <c r="B933" s="25" t="str">
        <f>IFERROR(VLOOKUP(Tabela1[[#This Row],[CC]],#REF!,5,0),"")</f>
        <v/>
      </c>
      <c r="C933" t="s">
        <v>32</v>
      </c>
      <c r="D933" t="s">
        <v>24</v>
      </c>
      <c r="E933" t="s">
        <v>338</v>
      </c>
      <c r="F933" t="s">
        <v>586</v>
      </c>
      <c r="G933" s="110">
        <v>4203</v>
      </c>
      <c r="H933" s="12">
        <v>45839</v>
      </c>
      <c r="I933" s="24">
        <v>13896</v>
      </c>
      <c r="J933" s="27">
        <v>13041.4</v>
      </c>
      <c r="K933" s="3">
        <v>45861</v>
      </c>
      <c r="L933" s="91">
        <v>45894</v>
      </c>
      <c r="M933" s="11">
        <v>45896</v>
      </c>
      <c r="N933" s="18" t="s">
        <v>588</v>
      </c>
      <c r="O933" s="35"/>
      <c r="P933"/>
      <c r="Q933" t="s">
        <v>55</v>
      </c>
      <c r="R933" t="s">
        <v>231</v>
      </c>
      <c r="S933" t="str">
        <f>IFERROR(VLOOKUP(Tabela1[[#This Row],[CC]],CC!$A$1:$H$403,8,0),"")</f>
        <v>OP1</v>
      </c>
    </row>
    <row r="934" spans="1:19" x14ac:dyDescent="0.3">
      <c r="A934" s="25">
        <v>1360</v>
      </c>
      <c r="B934" s="25" t="str">
        <f>IFERROR(VLOOKUP(Tabela1[[#This Row],[CC]],#REF!,5,0),"")</f>
        <v/>
      </c>
      <c r="C934" t="s">
        <v>32</v>
      </c>
      <c r="D934" t="s">
        <v>24</v>
      </c>
      <c r="E934" t="s">
        <v>338</v>
      </c>
      <c r="F934" t="s">
        <v>586</v>
      </c>
      <c r="G934" s="110">
        <v>4205</v>
      </c>
      <c r="H934" s="12">
        <v>45839</v>
      </c>
      <c r="I934" s="24">
        <v>45989.440000000002</v>
      </c>
      <c r="J934" s="27">
        <v>43161.1</v>
      </c>
      <c r="K934" s="3">
        <v>45861</v>
      </c>
      <c r="L934" s="91">
        <v>45894</v>
      </c>
      <c r="M934" s="11">
        <v>45896</v>
      </c>
      <c r="N934" s="18" t="s">
        <v>588</v>
      </c>
      <c r="O934" s="35"/>
      <c r="P934"/>
      <c r="Q934" t="s">
        <v>55</v>
      </c>
      <c r="R934" t="s">
        <v>231</v>
      </c>
      <c r="S934" t="str">
        <f>IFERROR(VLOOKUP(Tabela1[[#This Row],[CC]],CC!$A$1:$H$403,8,0),"")</f>
        <v>OP1</v>
      </c>
    </row>
    <row r="935" spans="1:19" x14ac:dyDescent="0.3">
      <c r="A935" s="25">
        <v>1360</v>
      </c>
      <c r="B935" s="25" t="str">
        <f>IFERROR(VLOOKUP(Tabela1[[#This Row],[CC]],#REF!,5,0),"")</f>
        <v/>
      </c>
      <c r="C935" t="s">
        <v>32</v>
      </c>
      <c r="D935" t="s">
        <v>24</v>
      </c>
      <c r="E935" t="s">
        <v>338</v>
      </c>
      <c r="F935" t="s">
        <v>586</v>
      </c>
      <c r="G935" s="110">
        <v>4206</v>
      </c>
      <c r="H935" s="12">
        <v>45839</v>
      </c>
      <c r="I935" s="24">
        <v>72274.399999999994</v>
      </c>
      <c r="J935" s="27">
        <v>67829.53</v>
      </c>
      <c r="K935" s="3">
        <v>45863</v>
      </c>
      <c r="L935" s="91">
        <v>45894</v>
      </c>
      <c r="M935" s="11">
        <v>45896</v>
      </c>
      <c r="N935" s="18" t="s">
        <v>588</v>
      </c>
      <c r="O935" s="35"/>
      <c r="P935"/>
      <c r="Q935" t="s">
        <v>55</v>
      </c>
      <c r="R935" t="s">
        <v>231</v>
      </c>
      <c r="S935" t="str">
        <f>IFERROR(VLOOKUP(Tabela1[[#This Row],[CC]],CC!$A$1:$H$403,8,0),"")</f>
        <v>OP1</v>
      </c>
    </row>
    <row r="936" spans="1:19" x14ac:dyDescent="0.3">
      <c r="A936" s="25">
        <v>1360</v>
      </c>
      <c r="B936" s="25" t="str">
        <f>IFERROR(VLOOKUP(Tabela1[[#This Row],[CC]],#REF!,5,0),"")</f>
        <v/>
      </c>
      <c r="C936" t="s">
        <v>32</v>
      </c>
      <c r="D936" t="s">
        <v>24</v>
      </c>
      <c r="E936" t="s">
        <v>338</v>
      </c>
      <c r="F936" t="s">
        <v>586</v>
      </c>
      <c r="G936" s="110">
        <v>4208</v>
      </c>
      <c r="H936" s="12">
        <v>45839</v>
      </c>
      <c r="I936" s="24">
        <v>68015.199999999997</v>
      </c>
      <c r="J936" s="27">
        <v>63832.26</v>
      </c>
      <c r="K936" s="3">
        <v>45863</v>
      </c>
      <c r="L936" s="91">
        <v>45894</v>
      </c>
      <c r="M936" s="11">
        <v>45896</v>
      </c>
      <c r="N936" s="18" t="s">
        <v>588</v>
      </c>
      <c r="O936" s="35"/>
      <c r="P936"/>
      <c r="Q936" t="s">
        <v>55</v>
      </c>
      <c r="R936" t="s">
        <v>231</v>
      </c>
      <c r="S936" t="str">
        <f>IFERROR(VLOOKUP(Tabela1[[#This Row],[CC]],CC!$A$1:$H$403,8,0),"")</f>
        <v>OP1</v>
      </c>
    </row>
    <row r="937" spans="1:19" x14ac:dyDescent="0.3">
      <c r="A937" s="25">
        <v>1360</v>
      </c>
      <c r="B937" s="25" t="str">
        <f>IFERROR(VLOOKUP(Tabela1[[#This Row],[CC]],#REF!,5,0),"")</f>
        <v/>
      </c>
      <c r="C937" t="s">
        <v>32</v>
      </c>
      <c r="D937" t="s">
        <v>24</v>
      </c>
      <c r="E937" t="s">
        <v>338</v>
      </c>
      <c r="F937" t="s">
        <v>586</v>
      </c>
      <c r="G937" s="110">
        <v>4209</v>
      </c>
      <c r="H937" s="12">
        <v>45839</v>
      </c>
      <c r="I937" s="24">
        <v>79055.679999999993</v>
      </c>
      <c r="J937" s="27">
        <v>74193.75</v>
      </c>
      <c r="K937" s="3">
        <v>45863</v>
      </c>
      <c r="L937" s="91">
        <v>45894</v>
      </c>
      <c r="M937" s="11">
        <v>45896</v>
      </c>
      <c r="N937" s="18" t="s">
        <v>588</v>
      </c>
      <c r="O937" s="35"/>
      <c r="P937"/>
      <c r="Q937" t="s">
        <v>55</v>
      </c>
      <c r="R937" t="s">
        <v>231</v>
      </c>
      <c r="S937" t="str">
        <f>IFERROR(VLOOKUP(Tabela1[[#This Row],[CC]],CC!$A$1:$H$403,8,0),"")</f>
        <v>OP1</v>
      </c>
    </row>
    <row r="938" spans="1:19" x14ac:dyDescent="0.3">
      <c r="A938" s="25">
        <v>1360</v>
      </c>
      <c r="B938" s="25" t="str">
        <f>IFERROR(VLOOKUP(Tabela1[[#This Row],[CC]],#REF!,5,0),"")</f>
        <v/>
      </c>
      <c r="C938" t="s">
        <v>32</v>
      </c>
      <c r="D938" t="s">
        <v>24</v>
      </c>
      <c r="E938" t="s">
        <v>338</v>
      </c>
      <c r="F938" t="s">
        <v>586</v>
      </c>
      <c r="G938" s="110">
        <v>4210</v>
      </c>
      <c r="H938" s="12">
        <v>45839</v>
      </c>
      <c r="I938" s="24">
        <v>110209.36</v>
      </c>
      <c r="J938" s="27">
        <v>103431.49</v>
      </c>
      <c r="K938" s="3">
        <v>45863</v>
      </c>
      <c r="L938" s="91">
        <v>45894</v>
      </c>
      <c r="M938" s="11">
        <v>45896</v>
      </c>
      <c r="N938" s="18" t="s">
        <v>588</v>
      </c>
      <c r="O938" s="35"/>
      <c r="P938"/>
      <c r="Q938" t="s">
        <v>55</v>
      </c>
      <c r="R938" t="s">
        <v>231</v>
      </c>
      <c r="S938" t="str">
        <f>IFERROR(VLOOKUP(Tabela1[[#This Row],[CC]],CC!$A$1:$H$403,8,0),"")</f>
        <v>OP1</v>
      </c>
    </row>
    <row r="939" spans="1:19" x14ac:dyDescent="0.3">
      <c r="A939" s="25">
        <v>1360</v>
      </c>
      <c r="B939" s="25" t="str">
        <f>IFERROR(VLOOKUP(Tabela1[[#This Row],[CC]],#REF!,5,0),"")</f>
        <v/>
      </c>
      <c r="C939" t="s">
        <v>32</v>
      </c>
      <c r="D939" t="s">
        <v>24</v>
      </c>
      <c r="E939" t="s">
        <v>338</v>
      </c>
      <c r="F939" t="s">
        <v>586</v>
      </c>
      <c r="G939" s="110">
        <v>4211</v>
      </c>
      <c r="H939" s="12">
        <v>45839</v>
      </c>
      <c r="I939" s="24">
        <v>87403.66</v>
      </c>
      <c r="J939" s="27">
        <v>82028.34</v>
      </c>
      <c r="K939" s="3">
        <v>45863</v>
      </c>
      <c r="L939" s="91">
        <v>45894</v>
      </c>
      <c r="M939" s="11">
        <v>45896</v>
      </c>
      <c r="N939" s="18" t="s">
        <v>588</v>
      </c>
      <c r="O939" s="35"/>
      <c r="P939"/>
      <c r="Q939" t="s">
        <v>55</v>
      </c>
      <c r="R939" t="s">
        <v>231</v>
      </c>
      <c r="S939" t="str">
        <f>IFERROR(VLOOKUP(Tabela1[[#This Row],[CC]],CC!$A$1:$H$403,8,0),"")</f>
        <v>OP1</v>
      </c>
    </row>
    <row r="940" spans="1:19" x14ac:dyDescent="0.3">
      <c r="A940" s="25">
        <v>1360</v>
      </c>
      <c r="B940" s="25" t="str">
        <f>IFERROR(VLOOKUP(Tabela1[[#This Row],[CC]],#REF!,5,0),"")</f>
        <v/>
      </c>
      <c r="C940" t="s">
        <v>32</v>
      </c>
      <c r="D940" t="s">
        <v>24</v>
      </c>
      <c r="E940" t="s">
        <v>338</v>
      </c>
      <c r="F940" t="s">
        <v>586</v>
      </c>
      <c r="G940" s="110">
        <v>4212</v>
      </c>
      <c r="H940" s="12">
        <v>45839</v>
      </c>
      <c r="I940" s="24">
        <v>30880</v>
      </c>
      <c r="J940" s="27">
        <v>28980.880000000001</v>
      </c>
      <c r="K940" s="3">
        <v>45866</v>
      </c>
      <c r="L940" s="91">
        <v>45894</v>
      </c>
      <c r="M940" s="11">
        <v>45896</v>
      </c>
      <c r="N940" s="18" t="s">
        <v>588</v>
      </c>
      <c r="O940" s="35"/>
      <c r="P940"/>
      <c r="Q940" t="s">
        <v>55</v>
      </c>
      <c r="R940" t="s">
        <v>231</v>
      </c>
      <c r="S940" t="str">
        <f>IFERROR(VLOOKUP(Tabela1[[#This Row],[CC]],CC!$A$1:$H$403,8,0),"")</f>
        <v>OP1</v>
      </c>
    </row>
    <row r="941" spans="1:19" x14ac:dyDescent="0.3">
      <c r="A941" s="25">
        <v>1360</v>
      </c>
      <c r="B941" s="25" t="str">
        <f>IFERROR(VLOOKUP(Tabela1[[#This Row],[CC]],#REF!,5,0),"")</f>
        <v/>
      </c>
      <c r="C941" t="s">
        <v>32</v>
      </c>
      <c r="D941" t="s">
        <v>24</v>
      </c>
      <c r="E941" t="s">
        <v>338</v>
      </c>
      <c r="F941" t="s">
        <v>586</v>
      </c>
      <c r="G941" s="110">
        <v>4213</v>
      </c>
      <c r="H941" s="12">
        <v>45839</v>
      </c>
      <c r="I941" s="24">
        <v>33968</v>
      </c>
      <c r="J941" s="27">
        <v>31878.97</v>
      </c>
      <c r="K941" s="3">
        <v>45866</v>
      </c>
      <c r="L941" s="91">
        <v>45894</v>
      </c>
      <c r="M941" s="11">
        <v>45896</v>
      </c>
      <c r="N941" s="18" t="s">
        <v>588</v>
      </c>
      <c r="O941" s="35"/>
      <c r="P941"/>
      <c r="Q941" t="s">
        <v>55</v>
      </c>
      <c r="R941" t="s">
        <v>231</v>
      </c>
      <c r="S941" t="str">
        <f>IFERROR(VLOOKUP(Tabela1[[#This Row],[CC]],CC!$A$1:$H$403,8,0),"")</f>
        <v>OP1</v>
      </c>
    </row>
    <row r="942" spans="1:19" x14ac:dyDescent="0.3">
      <c r="A942" s="25">
        <v>1360</v>
      </c>
      <c r="B942" s="25" t="str">
        <f>IFERROR(VLOOKUP(Tabela1[[#This Row],[CC]],#REF!,5,0),"")</f>
        <v/>
      </c>
      <c r="C942" t="s">
        <v>32</v>
      </c>
      <c r="D942" t="s">
        <v>24</v>
      </c>
      <c r="E942" t="s">
        <v>338</v>
      </c>
      <c r="F942" t="s">
        <v>586</v>
      </c>
      <c r="G942" s="110">
        <v>4218</v>
      </c>
      <c r="H942" s="12">
        <v>45839</v>
      </c>
      <c r="I942" s="24">
        <v>39238.080000000002</v>
      </c>
      <c r="J942" s="24">
        <v>36824.94</v>
      </c>
      <c r="K942" s="3">
        <v>45869</v>
      </c>
      <c r="L942" s="91">
        <v>45901</v>
      </c>
      <c r="M942" s="11">
        <v>45901</v>
      </c>
      <c r="N942" s="18" t="s">
        <v>588</v>
      </c>
      <c r="O942" s="35"/>
      <c r="P942"/>
      <c r="Q942" t="s">
        <v>55</v>
      </c>
      <c r="R942" t="s">
        <v>231</v>
      </c>
      <c r="S942" t="str">
        <f>IFERROR(VLOOKUP(Tabela1[[#This Row],[CC]],CC!$A$1:$H$403,8,0),"")</f>
        <v>OP1</v>
      </c>
    </row>
    <row r="943" spans="1:19" x14ac:dyDescent="0.3">
      <c r="A943" s="25">
        <v>1360</v>
      </c>
      <c r="B943" s="25" t="str">
        <f>IFERROR(VLOOKUP(Tabela1[[#This Row],[CC]],#REF!,5,0),"")</f>
        <v/>
      </c>
      <c r="C943" t="s">
        <v>32</v>
      </c>
      <c r="D943" t="s">
        <v>24</v>
      </c>
      <c r="E943" t="s">
        <v>338</v>
      </c>
      <c r="F943" t="s">
        <v>586</v>
      </c>
      <c r="G943" s="110">
        <v>4384</v>
      </c>
      <c r="H943" s="12">
        <v>45839</v>
      </c>
      <c r="I943" s="24">
        <v>12254.21</v>
      </c>
      <c r="J943" s="24">
        <v>11500.58</v>
      </c>
      <c r="K943" s="3">
        <v>45931</v>
      </c>
      <c r="L943" s="91">
        <v>45936</v>
      </c>
      <c r="M943" s="11">
        <v>45937</v>
      </c>
      <c r="N943" s="18" t="s">
        <v>588</v>
      </c>
      <c r="O943" s="35"/>
      <c r="P943"/>
      <c r="Q943" t="s">
        <v>55</v>
      </c>
      <c r="R943" t="s">
        <v>231</v>
      </c>
      <c r="S943" t="str">
        <f>IFERROR(VLOOKUP(Tabela1[[#This Row],[CC]],CC!$A$1:$H$403,8,0),"")</f>
        <v>OP1</v>
      </c>
    </row>
    <row r="944" spans="1:19" x14ac:dyDescent="0.3">
      <c r="A944" s="25">
        <v>1387</v>
      </c>
      <c r="B944" s="25" t="str">
        <f>IFERROR(VLOOKUP(Tabela1[[#This Row],[CC]],#REF!,5,0),"")</f>
        <v/>
      </c>
      <c r="C944" t="s">
        <v>32</v>
      </c>
      <c r="D944" t="s">
        <v>24</v>
      </c>
      <c r="E944" t="s">
        <v>372</v>
      </c>
      <c r="F944" t="s">
        <v>586</v>
      </c>
      <c r="G944" s="110">
        <v>4197</v>
      </c>
      <c r="H944" s="12">
        <v>45839</v>
      </c>
      <c r="I944" s="24">
        <v>29920</v>
      </c>
      <c r="J944" s="27">
        <v>28079.919999999998</v>
      </c>
      <c r="K944" s="3">
        <v>45861</v>
      </c>
      <c r="L944" s="91">
        <v>45894</v>
      </c>
      <c r="M944" s="11">
        <v>45896</v>
      </c>
      <c r="N944" s="18" t="s">
        <v>588</v>
      </c>
      <c r="O944" s="35"/>
      <c r="P944"/>
      <c r="Q944" t="s">
        <v>58</v>
      </c>
      <c r="R944" t="s">
        <v>231</v>
      </c>
      <c r="S944" t="str">
        <f>IFERROR(VLOOKUP(Tabela1[[#This Row],[CC]],CC!$A$1:$H$403,8,0),"")</f>
        <v>OP1</v>
      </c>
    </row>
    <row r="945" spans="1:19" x14ac:dyDescent="0.3">
      <c r="A945" s="25">
        <v>1387</v>
      </c>
      <c r="B945" s="25" t="str">
        <f>IFERROR(VLOOKUP(Tabela1[[#This Row],[CC]],#REF!,5,0),"")</f>
        <v/>
      </c>
      <c r="C945" t="s">
        <v>32</v>
      </c>
      <c r="D945" t="s">
        <v>24</v>
      </c>
      <c r="E945" t="s">
        <v>372</v>
      </c>
      <c r="F945" t="s">
        <v>586</v>
      </c>
      <c r="G945" s="110">
        <v>4207</v>
      </c>
      <c r="H945" s="12">
        <v>45839</v>
      </c>
      <c r="I945" s="24">
        <v>82559.839999999997</v>
      </c>
      <c r="J945" s="27">
        <v>77482.399999999994</v>
      </c>
      <c r="K945" s="3">
        <v>45863</v>
      </c>
      <c r="L945" s="91">
        <v>45894</v>
      </c>
      <c r="M945" s="11">
        <v>45896</v>
      </c>
      <c r="N945" s="18" t="s">
        <v>588</v>
      </c>
      <c r="O945" s="35"/>
      <c r="P945"/>
      <c r="Q945" t="s">
        <v>58</v>
      </c>
      <c r="R945" t="s">
        <v>231</v>
      </c>
      <c r="S945" t="str">
        <f>IFERROR(VLOOKUP(Tabela1[[#This Row],[CC]],CC!$A$1:$H$403,8,0),"")</f>
        <v>OP1</v>
      </c>
    </row>
    <row r="946" spans="1:19" x14ac:dyDescent="0.3">
      <c r="A946" s="25">
        <v>1387</v>
      </c>
      <c r="B946" s="25" t="str">
        <f>IFERROR(VLOOKUP(Tabela1[[#This Row],[CC]],#REF!,5,0),"")</f>
        <v/>
      </c>
      <c r="C946" t="s">
        <v>32</v>
      </c>
      <c r="D946" t="s">
        <v>24</v>
      </c>
      <c r="E946" t="s">
        <v>372</v>
      </c>
      <c r="F946" t="s">
        <v>586</v>
      </c>
      <c r="G946" s="110">
        <v>4204</v>
      </c>
      <c r="H946" s="12">
        <v>45839</v>
      </c>
      <c r="I946" s="24">
        <v>29742.240000000002</v>
      </c>
      <c r="J946" s="27">
        <v>27913.1</v>
      </c>
      <c r="K946" s="3">
        <v>45861</v>
      </c>
      <c r="L946" s="91">
        <v>45894</v>
      </c>
      <c r="M946" s="11">
        <v>45896</v>
      </c>
      <c r="N946" s="18" t="s">
        <v>588</v>
      </c>
      <c r="O946" s="35"/>
      <c r="P946"/>
      <c r="Q946" t="s">
        <v>58</v>
      </c>
      <c r="R946" t="s">
        <v>231</v>
      </c>
      <c r="S946" t="str">
        <f>IFERROR(VLOOKUP(Tabela1[[#This Row],[CC]],CC!$A$1:$H$403,8,0),"")</f>
        <v>OP1</v>
      </c>
    </row>
    <row r="947" spans="1:19" x14ac:dyDescent="0.3">
      <c r="A947" s="25">
        <v>1389</v>
      </c>
      <c r="B947" s="25" t="str">
        <f>IFERROR(VLOOKUP(Tabela1[[#This Row],[CC]],#REF!,5,0),"")</f>
        <v/>
      </c>
      <c r="C947" t="s">
        <v>67</v>
      </c>
      <c r="D947" t="s">
        <v>159</v>
      </c>
      <c r="E947" t="s">
        <v>69</v>
      </c>
      <c r="F947" t="s">
        <v>586</v>
      </c>
      <c r="G947" s="110">
        <v>4163</v>
      </c>
      <c r="H947" s="12">
        <v>45839</v>
      </c>
      <c r="I947" s="24">
        <v>1177.6500000000001</v>
      </c>
      <c r="J947" s="24">
        <v>1105.23</v>
      </c>
      <c r="K947" s="3">
        <v>45849</v>
      </c>
      <c r="L947" s="91">
        <v>45852</v>
      </c>
      <c r="M947" s="11">
        <v>45854</v>
      </c>
      <c r="N947" s="18" t="s">
        <v>588</v>
      </c>
      <c r="O947" s="35">
        <v>0</v>
      </c>
      <c r="P947" s="26"/>
      <c r="Q947" t="s">
        <v>58</v>
      </c>
      <c r="R947" t="s">
        <v>88</v>
      </c>
      <c r="S947" t="str">
        <f>IFERROR(VLOOKUP(Tabela1[[#This Row],[CC]],CC!$A$1:$H$403,8,0),"")</f>
        <v>OP</v>
      </c>
    </row>
    <row r="948" spans="1:19" x14ac:dyDescent="0.3">
      <c r="A948" s="25">
        <v>1470</v>
      </c>
      <c r="B948" s="25" t="str">
        <f>IFERROR(VLOOKUP(Tabela1[[#This Row],[CC]],#REF!,5,0),"")</f>
        <v/>
      </c>
      <c r="C948" t="s">
        <v>67</v>
      </c>
      <c r="D948" t="s">
        <v>44</v>
      </c>
      <c r="E948" t="s">
        <v>475</v>
      </c>
      <c r="F948" t="s">
        <v>586</v>
      </c>
      <c r="G948" s="110">
        <v>8460</v>
      </c>
      <c r="H948" s="12">
        <v>45839</v>
      </c>
      <c r="I948" s="24">
        <v>36700</v>
      </c>
      <c r="J948" s="24">
        <v>33708.949999999997</v>
      </c>
      <c r="K948" s="3">
        <v>45877</v>
      </c>
      <c r="L948" s="91">
        <v>45894</v>
      </c>
      <c r="M948" s="11">
        <v>45898</v>
      </c>
      <c r="N948" s="18" t="s">
        <v>588</v>
      </c>
      <c r="O948" s="35">
        <v>0</v>
      </c>
      <c r="P948" s="26"/>
      <c r="Q948" t="s">
        <v>58</v>
      </c>
      <c r="R948" t="s">
        <v>183</v>
      </c>
      <c r="S948" t="str">
        <f>IFERROR(VLOOKUP(Tabela1[[#This Row],[CC]],CC!$A$1:$H$403,8,0),"")</f>
        <v>OP4</v>
      </c>
    </row>
    <row r="949" spans="1:19" x14ac:dyDescent="0.3">
      <c r="A949" s="25">
        <v>1273</v>
      </c>
      <c r="B949" s="25" t="str">
        <f>IFERROR(VLOOKUP(Tabela1[[#This Row],[CC]],#REF!,5,0),"")</f>
        <v/>
      </c>
      <c r="C949" t="s">
        <v>60</v>
      </c>
      <c r="D949" t="s">
        <v>19</v>
      </c>
      <c r="E949" t="s">
        <v>244</v>
      </c>
      <c r="F949" t="s">
        <v>586</v>
      </c>
      <c r="G949" s="110">
        <v>1289</v>
      </c>
      <c r="H949" s="12">
        <v>45839</v>
      </c>
      <c r="I949" s="24">
        <v>572666.5</v>
      </c>
      <c r="J949" s="24">
        <v>513681.85</v>
      </c>
      <c r="K949" s="3">
        <v>45888</v>
      </c>
      <c r="L949" s="91">
        <v>45901</v>
      </c>
      <c r="M949" s="11">
        <v>45902</v>
      </c>
      <c r="N949" s="18" t="s">
        <v>588</v>
      </c>
      <c r="O949" s="35">
        <v>0</v>
      </c>
      <c r="P949"/>
      <c r="Q949" t="s">
        <v>58</v>
      </c>
      <c r="R949" t="s">
        <v>195</v>
      </c>
      <c r="S949" t="str">
        <f>IFERROR(VLOOKUP(Tabela1[[#This Row],[CC]],CC!$A$1:$H$403,8,0),"")</f>
        <v>OP3</v>
      </c>
    </row>
    <row r="950" spans="1:19" x14ac:dyDescent="0.3">
      <c r="A950" s="8">
        <v>1277</v>
      </c>
      <c r="B950" s="8" t="str">
        <f>IFERROR(VLOOKUP(Tabela1[[#This Row],[CC]],#REF!,5,0),"")</f>
        <v/>
      </c>
      <c r="C950" t="s">
        <v>60</v>
      </c>
      <c r="D950" t="s">
        <v>19</v>
      </c>
      <c r="E950" t="s">
        <v>248</v>
      </c>
      <c r="F950" t="s">
        <v>586</v>
      </c>
      <c r="G950" s="110">
        <v>1293</v>
      </c>
      <c r="H950" s="12">
        <v>45839</v>
      </c>
      <c r="I950" s="24">
        <v>134447.14000000001</v>
      </c>
      <c r="J950" s="10">
        <v>120599.09</v>
      </c>
      <c r="K950" s="3">
        <v>45909</v>
      </c>
      <c r="L950" s="91">
        <v>45943</v>
      </c>
      <c r="M950" s="11">
        <v>45947</v>
      </c>
      <c r="N950" s="18" t="s">
        <v>588</v>
      </c>
      <c r="O950" s="35"/>
      <c r="P950"/>
      <c r="Q950" t="s">
        <v>58</v>
      </c>
      <c r="R950" t="s">
        <v>195</v>
      </c>
      <c r="S950" t="str">
        <f>IFERROR(VLOOKUP(Tabela1[[#This Row],[CC]],CC!$A$1:$H$403,8,0),"")</f>
        <v>OP3</v>
      </c>
    </row>
    <row r="951" spans="1:19" x14ac:dyDescent="0.3">
      <c r="A951" s="25">
        <v>1277</v>
      </c>
      <c r="B951" s="25" t="str">
        <f>IFERROR(VLOOKUP(Tabela1[[#This Row],[CC]],#REF!,5,0),"")</f>
        <v/>
      </c>
      <c r="C951" t="s">
        <v>60</v>
      </c>
      <c r="D951" t="s">
        <v>19</v>
      </c>
      <c r="E951" t="s">
        <v>248</v>
      </c>
      <c r="F951" t="s">
        <v>586</v>
      </c>
      <c r="G951" s="110">
        <v>1287</v>
      </c>
      <c r="H951" s="12">
        <v>45839</v>
      </c>
      <c r="I951" s="24">
        <v>20954.12</v>
      </c>
      <c r="J951" s="27">
        <v>18795.849999999999</v>
      </c>
      <c r="K951" s="3">
        <v>45887</v>
      </c>
      <c r="L951" s="91">
        <v>45950</v>
      </c>
      <c r="M951" s="11">
        <v>45951</v>
      </c>
      <c r="N951" s="18" t="s">
        <v>588</v>
      </c>
      <c r="O951" s="35"/>
      <c r="P951"/>
      <c r="Q951" t="s">
        <v>58</v>
      </c>
      <c r="R951" t="s">
        <v>195</v>
      </c>
      <c r="S951" t="str">
        <f>IFERROR(VLOOKUP(Tabela1[[#This Row],[CC]],CC!$A$1:$H$403,8,0),"")</f>
        <v>OP3</v>
      </c>
    </row>
    <row r="952" spans="1:19" x14ac:dyDescent="0.3">
      <c r="A952" s="25">
        <v>1268</v>
      </c>
      <c r="B952" s="25" t="str">
        <f>IFERROR(VLOOKUP(Tabela1[[#This Row],[CC]],#REF!,5,0),"")</f>
        <v/>
      </c>
      <c r="C952" t="s">
        <v>51</v>
      </c>
      <c r="D952" t="s">
        <v>40</v>
      </c>
      <c r="E952" t="s">
        <v>238</v>
      </c>
      <c r="F952" t="s">
        <v>586</v>
      </c>
      <c r="G952" s="110">
        <v>4229</v>
      </c>
      <c r="H952" s="12">
        <v>45839</v>
      </c>
      <c r="I952" s="24">
        <v>30310.2</v>
      </c>
      <c r="J952" s="24">
        <v>28446.12</v>
      </c>
      <c r="K952" s="3">
        <v>45876</v>
      </c>
      <c r="L952" s="91">
        <v>45894</v>
      </c>
      <c r="M952" s="11">
        <v>45894</v>
      </c>
      <c r="N952" s="18" t="s">
        <v>588</v>
      </c>
      <c r="O952" s="35">
        <v>0</v>
      </c>
      <c r="P952"/>
      <c r="Q952" t="s">
        <v>55</v>
      </c>
      <c r="R952" t="s">
        <v>231</v>
      </c>
      <c r="S952" t="str">
        <f>IFERROR(VLOOKUP(Tabela1[[#This Row],[CC]],CC!$A$1:$H$403,8,0),"")</f>
        <v>OP2</v>
      </c>
    </row>
    <row r="953" spans="1:19" x14ac:dyDescent="0.3">
      <c r="A953" s="25">
        <v>1268</v>
      </c>
      <c r="B953" s="25" t="str">
        <f>IFERROR(VLOOKUP(Tabela1[[#This Row],[CC]],#REF!,5,0),"")</f>
        <v/>
      </c>
      <c r="C953" t="s">
        <v>51</v>
      </c>
      <c r="D953" t="s">
        <v>40</v>
      </c>
      <c r="E953" t="s">
        <v>238</v>
      </c>
      <c r="F953" t="s">
        <v>586</v>
      </c>
      <c r="G953" s="107">
        <v>4249</v>
      </c>
      <c r="H953" s="12">
        <v>45839</v>
      </c>
      <c r="I953" s="24">
        <v>48769.84</v>
      </c>
      <c r="J953" s="24">
        <v>45770.49</v>
      </c>
      <c r="K953" s="3">
        <v>45883</v>
      </c>
      <c r="L953" s="91">
        <v>45894</v>
      </c>
      <c r="M953" s="11">
        <v>45897</v>
      </c>
      <c r="N953" s="18" t="s">
        <v>588</v>
      </c>
      <c r="O953" s="35">
        <v>0</v>
      </c>
      <c r="P953"/>
      <c r="Q953" t="s">
        <v>55</v>
      </c>
      <c r="R953" t="s">
        <v>231</v>
      </c>
      <c r="S953" t="str">
        <f>IFERROR(VLOOKUP(Tabela1[[#This Row],[CC]],CC!$A$1:$H$403,8,0),"")</f>
        <v>OP2</v>
      </c>
    </row>
    <row r="954" spans="1:19" x14ac:dyDescent="0.3">
      <c r="A954" s="25">
        <v>1268</v>
      </c>
      <c r="B954" s="25" t="str">
        <f>IFERROR(VLOOKUP(Tabela1[[#This Row],[CC]],#REF!,5,0),"")</f>
        <v/>
      </c>
      <c r="C954" t="s">
        <v>51</v>
      </c>
      <c r="D954" t="s">
        <v>40</v>
      </c>
      <c r="E954" t="s">
        <v>238</v>
      </c>
      <c r="F954" t="s">
        <v>586</v>
      </c>
      <c r="G954" s="107">
        <v>4250</v>
      </c>
      <c r="H954" s="12">
        <v>45839</v>
      </c>
      <c r="I954" s="24">
        <v>145255.51999999999</v>
      </c>
      <c r="J954" s="24">
        <v>136322.31</v>
      </c>
      <c r="K954" s="3">
        <v>45883</v>
      </c>
      <c r="L954" s="91">
        <v>45894</v>
      </c>
      <c r="M954" s="11">
        <v>45897</v>
      </c>
      <c r="N954" s="18" t="s">
        <v>588</v>
      </c>
      <c r="O954" s="35">
        <v>0</v>
      </c>
      <c r="P954"/>
      <c r="Q954" t="s">
        <v>55</v>
      </c>
      <c r="R954" t="s">
        <v>231</v>
      </c>
      <c r="S954" t="str">
        <f>IFERROR(VLOOKUP(Tabela1[[#This Row],[CC]],CC!$A$1:$H$403,8,0),"")</f>
        <v>OP2</v>
      </c>
    </row>
    <row r="955" spans="1:19" x14ac:dyDescent="0.3">
      <c r="A955" s="25">
        <v>1268</v>
      </c>
      <c r="B955" s="25" t="str">
        <f>IFERROR(VLOOKUP(Tabela1[[#This Row],[CC]],#REF!,5,0),"")</f>
        <v/>
      </c>
      <c r="C955" t="s">
        <v>51</v>
      </c>
      <c r="D955" t="s">
        <v>40</v>
      </c>
      <c r="E955" t="s">
        <v>238</v>
      </c>
      <c r="F955" t="s">
        <v>586</v>
      </c>
      <c r="G955" s="107">
        <v>4251</v>
      </c>
      <c r="H955" s="12">
        <v>45839</v>
      </c>
      <c r="I955" s="24">
        <v>1193868.51</v>
      </c>
      <c r="J955" s="24">
        <v>1120445.5900000001</v>
      </c>
      <c r="K955" s="3">
        <v>45883</v>
      </c>
      <c r="L955" s="91">
        <v>45894</v>
      </c>
      <c r="M955" s="11">
        <v>45897</v>
      </c>
      <c r="N955" s="18" t="s">
        <v>588</v>
      </c>
      <c r="O955" s="35">
        <v>0</v>
      </c>
      <c r="P955"/>
      <c r="Q955" t="s">
        <v>55</v>
      </c>
      <c r="R955" t="s">
        <v>231</v>
      </c>
      <c r="S955" t="str">
        <f>IFERROR(VLOOKUP(Tabela1[[#This Row],[CC]],CC!$A$1:$H$403,8,0),"")</f>
        <v>OP2</v>
      </c>
    </row>
    <row r="956" spans="1:19" x14ac:dyDescent="0.3">
      <c r="A956" s="25">
        <v>1268</v>
      </c>
      <c r="B956" s="25" t="str">
        <f>IFERROR(VLOOKUP(Tabela1[[#This Row],[CC]],#REF!,5,0),"")</f>
        <v/>
      </c>
      <c r="C956" t="s">
        <v>51</v>
      </c>
      <c r="D956" t="s">
        <v>40</v>
      </c>
      <c r="E956" t="s">
        <v>238</v>
      </c>
      <c r="F956" t="s">
        <v>586</v>
      </c>
      <c r="G956" s="107">
        <v>4252</v>
      </c>
      <c r="H956" s="12">
        <v>45839</v>
      </c>
      <c r="I956" s="24">
        <v>110755.04</v>
      </c>
      <c r="J956" s="24">
        <v>103943.6</v>
      </c>
      <c r="K956" s="3">
        <v>45883</v>
      </c>
      <c r="L956" s="91">
        <v>45894</v>
      </c>
      <c r="M956" s="11">
        <v>45897</v>
      </c>
      <c r="N956" s="18" t="s">
        <v>588</v>
      </c>
      <c r="O956" s="35">
        <v>0</v>
      </c>
      <c r="P956"/>
      <c r="Q956" t="s">
        <v>55</v>
      </c>
      <c r="R956" t="s">
        <v>231</v>
      </c>
      <c r="S956" t="str">
        <f>IFERROR(VLOOKUP(Tabela1[[#This Row],[CC]],CC!$A$1:$H$403,8,0),"")</f>
        <v>OP2</v>
      </c>
    </row>
    <row r="957" spans="1:19" x14ac:dyDescent="0.3">
      <c r="A957" s="25">
        <v>1268</v>
      </c>
      <c r="B957" s="25" t="str">
        <f>IFERROR(VLOOKUP(Tabela1[[#This Row],[CC]],#REF!,5,0),"")</f>
        <v/>
      </c>
      <c r="C957" t="s">
        <v>51</v>
      </c>
      <c r="D957" t="s">
        <v>40</v>
      </c>
      <c r="E957" t="s">
        <v>238</v>
      </c>
      <c r="F957" t="s">
        <v>586</v>
      </c>
      <c r="G957" s="107">
        <v>4253</v>
      </c>
      <c r="H957" s="12">
        <v>45839</v>
      </c>
      <c r="I957" s="24">
        <v>51503.92</v>
      </c>
      <c r="J957" s="24">
        <v>48336.43</v>
      </c>
      <c r="K957" s="3">
        <v>45883</v>
      </c>
      <c r="L957" s="91">
        <v>45894</v>
      </c>
      <c r="M957" s="11">
        <v>45897</v>
      </c>
      <c r="N957" s="18" t="s">
        <v>588</v>
      </c>
      <c r="O957" s="35">
        <v>0</v>
      </c>
      <c r="P957"/>
      <c r="Q957" t="s">
        <v>55</v>
      </c>
      <c r="R957" t="s">
        <v>231</v>
      </c>
      <c r="S957" t="str">
        <f>IFERROR(VLOOKUP(Tabela1[[#This Row],[CC]],CC!$A$1:$H$403,8,0),"")</f>
        <v>OP2</v>
      </c>
    </row>
    <row r="958" spans="1:19" x14ac:dyDescent="0.3">
      <c r="A958" s="25">
        <v>1483</v>
      </c>
      <c r="B958" s="25" t="str">
        <f>IFERROR(VLOOKUP(Tabela1[[#This Row],[CC]],#REF!,5,0),"")</f>
        <v/>
      </c>
      <c r="C958" t="s">
        <v>67</v>
      </c>
      <c r="D958" t="s">
        <v>45</v>
      </c>
      <c r="E958" t="s">
        <v>488</v>
      </c>
      <c r="F958" t="s">
        <v>586</v>
      </c>
      <c r="G958" s="110">
        <v>8452</v>
      </c>
      <c r="H958" s="12">
        <v>45839</v>
      </c>
      <c r="I958" s="24">
        <v>53591.199999999997</v>
      </c>
      <c r="J958" s="24">
        <v>49527.08</v>
      </c>
      <c r="K958" s="3">
        <v>45875</v>
      </c>
      <c r="L958" s="91">
        <v>45915</v>
      </c>
      <c r="M958" s="11">
        <v>45917</v>
      </c>
      <c r="N958" s="18" t="s">
        <v>588</v>
      </c>
      <c r="O958" s="35">
        <v>0</v>
      </c>
      <c r="P958" s="26"/>
      <c r="Q958" t="s">
        <v>58</v>
      </c>
      <c r="R958" t="s">
        <v>183</v>
      </c>
      <c r="S958" t="str">
        <f>IFERROR(VLOOKUP(Tabela1[[#This Row],[CC]],CC!$A$1:$H$403,8,0),"")</f>
        <v>OP2</v>
      </c>
    </row>
    <row r="959" spans="1:19" x14ac:dyDescent="0.3">
      <c r="A959" s="25">
        <v>1483</v>
      </c>
      <c r="B959" s="25" t="str">
        <f>IFERROR(VLOOKUP(Tabela1[[#This Row],[CC]],#REF!,5,0),"")</f>
        <v/>
      </c>
      <c r="C959" t="s">
        <v>67</v>
      </c>
      <c r="D959" t="s">
        <v>45</v>
      </c>
      <c r="E959" t="s">
        <v>488</v>
      </c>
      <c r="F959" t="s">
        <v>586</v>
      </c>
      <c r="G959" s="110">
        <v>8453</v>
      </c>
      <c r="H959" s="12">
        <v>45839</v>
      </c>
      <c r="I959" s="24">
        <v>28856.799999999999</v>
      </c>
      <c r="J959" s="24">
        <v>27082.11</v>
      </c>
      <c r="K959" s="3">
        <v>45875</v>
      </c>
      <c r="L959" s="91">
        <v>45901</v>
      </c>
      <c r="M959" s="11">
        <v>45903</v>
      </c>
      <c r="N959" s="18" t="s">
        <v>588</v>
      </c>
      <c r="O959" s="35">
        <v>0</v>
      </c>
      <c r="P959" s="26"/>
      <c r="Q959" t="s">
        <v>58</v>
      </c>
      <c r="R959" t="s">
        <v>183</v>
      </c>
      <c r="S959" t="str">
        <f>IFERROR(VLOOKUP(Tabela1[[#This Row],[CC]],CC!$A$1:$H$403,8,0),"")</f>
        <v>OP2</v>
      </c>
    </row>
    <row r="960" spans="1:19" x14ac:dyDescent="0.3">
      <c r="A960" s="25">
        <v>1275</v>
      </c>
      <c r="B960" s="25" t="str">
        <f>IFERROR(VLOOKUP(Tabela1[[#This Row],[CC]],#REF!,5,0),"")</f>
        <v/>
      </c>
      <c r="C960" t="s">
        <v>51</v>
      </c>
      <c r="D960" t="s">
        <v>41</v>
      </c>
      <c r="E960" t="s">
        <v>246</v>
      </c>
      <c r="F960" t="s">
        <v>586</v>
      </c>
      <c r="G960" s="110">
        <v>4225</v>
      </c>
      <c r="H960" s="12">
        <v>45839</v>
      </c>
      <c r="I960" s="24">
        <v>16767.240000000002</v>
      </c>
      <c r="J960" s="24">
        <v>15736.05</v>
      </c>
      <c r="K960" s="3">
        <v>45874</v>
      </c>
      <c r="L960" s="91">
        <v>45894</v>
      </c>
      <c r="M960" s="11">
        <v>45898</v>
      </c>
      <c r="N960" s="18" t="s">
        <v>588</v>
      </c>
      <c r="O960" s="35">
        <v>0</v>
      </c>
      <c r="P960" s="26"/>
      <c r="Q960" t="s">
        <v>55</v>
      </c>
      <c r="R960" t="s">
        <v>231</v>
      </c>
      <c r="S960" t="str">
        <f>IFERROR(VLOOKUP(Tabela1[[#This Row],[CC]],CC!$A$1:$H$403,8,0),"")</f>
        <v>OP2</v>
      </c>
    </row>
    <row r="961" spans="1:19" x14ac:dyDescent="0.3">
      <c r="A961" s="25">
        <v>1479</v>
      </c>
      <c r="B961" s="25" t="str">
        <f>IFERROR(VLOOKUP(Tabela1[[#This Row],[CC]],#REF!,5,0),"")</f>
        <v/>
      </c>
      <c r="C961" t="s">
        <v>51</v>
      </c>
      <c r="D961" t="s">
        <v>41</v>
      </c>
      <c r="E961" t="s">
        <v>484</v>
      </c>
      <c r="F961" t="s">
        <v>586</v>
      </c>
      <c r="G961" s="110">
        <v>4224</v>
      </c>
      <c r="H961" s="12">
        <v>45839</v>
      </c>
      <c r="I961" s="24">
        <v>26040</v>
      </c>
      <c r="J961" s="24">
        <v>24438.54</v>
      </c>
      <c r="K961" s="3">
        <v>45874</v>
      </c>
      <c r="L961" s="91">
        <v>45894</v>
      </c>
      <c r="M961" s="11">
        <v>45898</v>
      </c>
      <c r="N961" s="18" t="s">
        <v>588</v>
      </c>
      <c r="O961" s="35">
        <v>0</v>
      </c>
      <c r="P961" s="26"/>
      <c r="Q961" t="s">
        <v>57</v>
      </c>
      <c r="R961" t="s">
        <v>231</v>
      </c>
      <c r="S961" t="str">
        <f>IFERROR(VLOOKUP(Tabela1[[#This Row],[CC]],CC!$A$1:$H$403,8,0),"")</f>
        <v>OP2</v>
      </c>
    </row>
    <row r="962" spans="1:19" x14ac:dyDescent="0.3">
      <c r="A962" s="25">
        <v>1455</v>
      </c>
      <c r="B962" s="25" t="str">
        <f>IFERROR(VLOOKUP(Tabela1[[#This Row],[CC]],#REF!,5,0),"")</f>
        <v/>
      </c>
      <c r="C962" t="s">
        <v>70</v>
      </c>
      <c r="D962" t="s">
        <v>31</v>
      </c>
      <c r="E962" t="s">
        <v>455</v>
      </c>
      <c r="F962" t="s">
        <v>586</v>
      </c>
      <c r="G962" s="110">
        <v>8484</v>
      </c>
      <c r="H962" s="12">
        <v>45870</v>
      </c>
      <c r="I962" s="24">
        <v>54003.39</v>
      </c>
      <c r="J962" s="24">
        <v>47712</v>
      </c>
      <c r="K962" s="3">
        <v>45901</v>
      </c>
      <c r="L962" s="91">
        <v>45929</v>
      </c>
      <c r="M962" s="11">
        <v>45930</v>
      </c>
      <c r="N962" s="21" t="s">
        <v>588</v>
      </c>
      <c r="O962" s="41"/>
      <c r="P962" s="26"/>
      <c r="Q962" t="s">
        <v>58</v>
      </c>
      <c r="R962" t="s">
        <v>228</v>
      </c>
      <c r="S962" t="str">
        <f>IFERROR(VLOOKUP(Tabela1[[#This Row],[CC]],CC!$A$1:$H$403,8,0),"")</f>
        <v>OP4</v>
      </c>
    </row>
    <row r="963" spans="1:19" ht="13.95" customHeight="1" x14ac:dyDescent="0.3">
      <c r="A963" s="25">
        <v>1489</v>
      </c>
      <c r="B963" s="25" t="str">
        <f>IFERROR(VLOOKUP(Tabela1[[#This Row],[CC]],#REF!,5,0),"")</f>
        <v/>
      </c>
      <c r="C963" t="s">
        <v>51</v>
      </c>
      <c r="D963" t="s">
        <v>22</v>
      </c>
      <c r="E963" t="s">
        <v>494</v>
      </c>
      <c r="F963" t="s">
        <v>586</v>
      </c>
      <c r="G963" s="110">
        <v>4302</v>
      </c>
      <c r="H963" s="12">
        <v>45870</v>
      </c>
      <c r="I963" s="24">
        <v>42812.21</v>
      </c>
      <c r="J963" s="24">
        <v>40179.26</v>
      </c>
      <c r="K963" s="3">
        <v>45901</v>
      </c>
      <c r="L963" s="91">
        <v>45931</v>
      </c>
      <c r="M963" s="11">
        <v>45931</v>
      </c>
      <c r="N963" s="18" t="s">
        <v>588</v>
      </c>
      <c r="O963" s="41"/>
      <c r="P963" s="26"/>
      <c r="Q963" t="s">
        <v>57</v>
      </c>
      <c r="R963" t="s">
        <v>231</v>
      </c>
      <c r="S963" t="str">
        <f>IFERROR(VLOOKUP(Tabela1[[#This Row],[CC]],CC!$A$1:$H$403,8,0),"")</f>
        <v>OP2</v>
      </c>
    </row>
    <row r="964" spans="1:19" x14ac:dyDescent="0.3">
      <c r="A964" s="8">
        <v>1357</v>
      </c>
      <c r="B964" s="8" t="str">
        <f>IFERROR(VLOOKUP(Tabela1[[#This Row],[CC]],#REF!,5,0),"")</f>
        <v/>
      </c>
      <c r="C964" t="s">
        <v>51</v>
      </c>
      <c r="D964" t="s">
        <v>53</v>
      </c>
      <c r="E964" t="s">
        <v>592</v>
      </c>
      <c r="F964" t="s">
        <v>586</v>
      </c>
      <c r="G964" s="110">
        <v>4306</v>
      </c>
      <c r="H964" s="12">
        <v>45870</v>
      </c>
      <c r="I964" s="24">
        <v>14150.77</v>
      </c>
      <c r="J964" s="10">
        <v>13280.5</v>
      </c>
      <c r="K964" s="3">
        <v>45902</v>
      </c>
      <c r="L964" s="91">
        <v>46034</v>
      </c>
      <c r="M964" s="5">
        <v>46036</v>
      </c>
      <c r="N964" s="18" t="s">
        <v>588</v>
      </c>
      <c r="O964" s="37"/>
      <c r="P964" s="14"/>
      <c r="Q964" t="s">
        <v>55</v>
      </c>
      <c r="R964" t="s">
        <v>231</v>
      </c>
      <c r="S964" t="str">
        <f>IFERROR(VLOOKUP(Tabela1[[#This Row],[CC]],CC!$A$1:$H$403,8,0),"")</f>
        <v>OP2</v>
      </c>
    </row>
    <row r="965" spans="1:19" x14ac:dyDescent="0.3">
      <c r="A965" s="8">
        <v>1357</v>
      </c>
      <c r="B965" s="8" t="str">
        <f>IFERROR(VLOOKUP(Tabela1[[#This Row],[CC]],#REF!,5,0),"")</f>
        <v/>
      </c>
      <c r="C965" t="s">
        <v>51</v>
      </c>
      <c r="D965" t="s">
        <v>53</v>
      </c>
      <c r="E965" t="s">
        <v>592</v>
      </c>
      <c r="F965" t="s">
        <v>586</v>
      </c>
      <c r="G965" s="110">
        <v>4720</v>
      </c>
      <c r="H965" s="12">
        <v>45992</v>
      </c>
      <c r="I965" s="27">
        <v>17625.599999999999</v>
      </c>
      <c r="J965" s="17">
        <v>16541.62</v>
      </c>
      <c r="K965" s="3">
        <v>46028</v>
      </c>
      <c r="L965" s="91">
        <v>46048</v>
      </c>
      <c r="M965" s="5">
        <v>46048</v>
      </c>
      <c r="N965" s="18" t="s">
        <v>588</v>
      </c>
      <c r="O965" s="37"/>
      <c r="P965" s="14"/>
      <c r="Q965" t="s">
        <v>55</v>
      </c>
      <c r="R965" t="s">
        <v>231</v>
      </c>
      <c r="S965" t="str">
        <f>IFERROR(VLOOKUP(Tabela1[[#This Row],[CC]],CC!$A$1:$H$403,8,0),"")</f>
        <v>OP2</v>
      </c>
    </row>
    <row r="966" spans="1:19" x14ac:dyDescent="0.3">
      <c r="A966" s="8">
        <v>1357</v>
      </c>
      <c r="B966" s="8" t="str">
        <f>IFERROR(VLOOKUP(Tabela1[[#This Row],[CC]],#REF!,5,0),"")</f>
        <v/>
      </c>
      <c r="C966" t="s">
        <v>51</v>
      </c>
      <c r="D966" t="s">
        <v>53</v>
      </c>
      <c r="E966" t="s">
        <v>592</v>
      </c>
      <c r="F966" t="s">
        <v>586</v>
      </c>
      <c r="G966" s="110">
        <v>4805</v>
      </c>
      <c r="H966" s="12">
        <v>46023</v>
      </c>
      <c r="I966" s="27">
        <v>23133.599999999999</v>
      </c>
      <c r="J966" s="10">
        <v>21710.880000000001</v>
      </c>
      <c r="K966" s="3">
        <v>46056</v>
      </c>
      <c r="L966" s="91">
        <v>46076</v>
      </c>
      <c r="M966" s="5">
        <v>46077</v>
      </c>
      <c r="N966" s="18" t="s">
        <v>588</v>
      </c>
      <c r="O966" s="37"/>
      <c r="P966" s="14"/>
      <c r="Q966" t="s">
        <v>55</v>
      </c>
      <c r="R966" t="s">
        <v>231</v>
      </c>
      <c r="S966" t="str">
        <f>IFERROR(VLOOKUP(Tabela1[[#This Row],[CC]],CC!$A$1:$H$403,8,0),"")</f>
        <v>OP2</v>
      </c>
    </row>
    <row r="967" spans="1:19" x14ac:dyDescent="0.3">
      <c r="A967" s="8">
        <v>1357</v>
      </c>
      <c r="B967" s="8" t="str">
        <f>IFERROR(VLOOKUP(Tabela1[[#This Row],[CC]],#REF!,5,0),"")</f>
        <v/>
      </c>
      <c r="C967" t="s">
        <v>51</v>
      </c>
      <c r="D967" t="s">
        <v>53</v>
      </c>
      <c r="E967" t="s">
        <v>592</v>
      </c>
      <c r="F967" t="s">
        <v>586</v>
      </c>
      <c r="G967" s="110">
        <v>4815</v>
      </c>
      <c r="H967" s="12">
        <v>46023</v>
      </c>
      <c r="I967" s="27">
        <v>32166</v>
      </c>
      <c r="J967" s="10">
        <v>30187.79</v>
      </c>
      <c r="K967" s="3">
        <v>46057</v>
      </c>
      <c r="L967" s="91">
        <v>46076</v>
      </c>
      <c r="M967" s="5">
        <v>46079</v>
      </c>
      <c r="N967" s="18" t="s">
        <v>588</v>
      </c>
      <c r="O967" s="37"/>
      <c r="P967" s="14"/>
      <c r="Q967" t="s">
        <v>55</v>
      </c>
      <c r="R967" t="s">
        <v>231</v>
      </c>
      <c r="S967" t="str">
        <f>IFERROR(VLOOKUP(Tabela1[[#This Row],[CC]],CC!$A$1:$H$403,8,0),"")</f>
        <v>OP2</v>
      </c>
    </row>
    <row r="968" spans="1:19" x14ac:dyDescent="0.3">
      <c r="A968" s="25">
        <v>1357</v>
      </c>
      <c r="B968" s="25" t="str">
        <f>IFERROR(VLOOKUP(Tabela1[[#This Row],[CC]],#REF!,5,0),"")</f>
        <v/>
      </c>
      <c r="C968" t="s">
        <v>51</v>
      </c>
      <c r="D968" t="s">
        <v>53</v>
      </c>
      <c r="E968" t="s">
        <v>592</v>
      </c>
      <c r="F968" t="s">
        <v>586</v>
      </c>
      <c r="G968" s="110">
        <v>4907</v>
      </c>
      <c r="H968" s="12">
        <v>46054</v>
      </c>
      <c r="I968" s="27">
        <v>32166</v>
      </c>
      <c r="J968" s="27">
        <v>30187.79</v>
      </c>
      <c r="K968" s="3">
        <v>46084</v>
      </c>
      <c r="L968" s="91">
        <v>46104</v>
      </c>
      <c r="M968" s="29">
        <v>46105</v>
      </c>
      <c r="N968" s="18" t="s">
        <v>588</v>
      </c>
      <c r="O968" s="41"/>
      <c r="P968" s="26"/>
      <c r="Q968" t="s">
        <v>55</v>
      </c>
      <c r="R968" t="s">
        <v>231</v>
      </c>
      <c r="S968" t="str">
        <f>IFERROR(VLOOKUP(Tabela1[[#This Row],[CC]],CC!$A$1:$H$403,8,0),"")</f>
        <v>OP2</v>
      </c>
    </row>
    <row r="969" spans="1:19" x14ac:dyDescent="0.3">
      <c r="A969" s="25">
        <v>1357</v>
      </c>
      <c r="B969" s="25" t="str">
        <f>IFERROR(VLOOKUP(Tabela1[[#This Row],[CC]],#REF!,5,0),"")</f>
        <v/>
      </c>
      <c r="C969" t="s">
        <v>51</v>
      </c>
      <c r="D969" t="s">
        <v>53</v>
      </c>
      <c r="E969" t="s">
        <v>592</v>
      </c>
      <c r="F969" t="s">
        <v>586</v>
      </c>
      <c r="G969" s="110">
        <v>4908</v>
      </c>
      <c r="H969" s="12">
        <v>46054</v>
      </c>
      <c r="I969" s="27">
        <v>66036.97</v>
      </c>
      <c r="J969" s="27">
        <v>61975.7</v>
      </c>
      <c r="K969" s="3">
        <v>46084</v>
      </c>
      <c r="L969" s="91">
        <v>46097</v>
      </c>
      <c r="M969" s="29">
        <v>46100</v>
      </c>
      <c r="N969" s="18" t="s">
        <v>588</v>
      </c>
      <c r="O969" s="41"/>
      <c r="P969" s="26"/>
      <c r="Q969" t="s">
        <v>55</v>
      </c>
      <c r="R969" t="s">
        <v>231</v>
      </c>
      <c r="S969" t="str">
        <f>IFERROR(VLOOKUP(Tabela1[[#This Row],[CC]],CC!$A$1:$H$403,8,0),"")</f>
        <v>OP2</v>
      </c>
    </row>
    <row r="970" spans="1:19" x14ac:dyDescent="0.3">
      <c r="A970" s="8">
        <v>1357</v>
      </c>
      <c r="B970" s="8" t="str">
        <f>IFERROR(VLOOKUP(Tabela1[[#This Row],[CC]],#REF!,5,0),"")</f>
        <v/>
      </c>
      <c r="C970" t="s">
        <v>51</v>
      </c>
      <c r="D970" t="s">
        <v>53</v>
      </c>
      <c r="E970" t="s">
        <v>592</v>
      </c>
      <c r="F970" t="s">
        <v>586</v>
      </c>
      <c r="G970" s="110">
        <v>4910</v>
      </c>
      <c r="H970" s="12">
        <v>46054</v>
      </c>
      <c r="I970" s="27">
        <v>19415.7</v>
      </c>
      <c r="J970" s="24">
        <v>18221.63</v>
      </c>
      <c r="K970" s="3">
        <v>46084</v>
      </c>
      <c r="L970" s="91">
        <v>46125</v>
      </c>
      <c r="M970" s="5">
        <v>46126</v>
      </c>
      <c r="N970" s="18" t="s">
        <v>588</v>
      </c>
      <c r="O970" s="37"/>
      <c r="P970" s="14"/>
      <c r="Q970" t="s">
        <v>55</v>
      </c>
      <c r="R970" t="s">
        <v>231</v>
      </c>
      <c r="S970" t="str">
        <f>IFERROR(VLOOKUP(Tabela1[[#This Row],[CC]],CC!$A$1:$H$403,8,0),"")</f>
        <v>OP2</v>
      </c>
    </row>
    <row r="971" spans="1:19" x14ac:dyDescent="0.3">
      <c r="A971" s="8">
        <v>1357</v>
      </c>
      <c r="B971" s="8" t="str">
        <f>IFERROR(VLOOKUP(Tabela1[[#This Row],[CC]],#REF!,5,0),"")</f>
        <v/>
      </c>
      <c r="C971" t="s">
        <v>51</v>
      </c>
      <c r="D971" t="s">
        <v>53</v>
      </c>
      <c r="E971" t="s">
        <v>592</v>
      </c>
      <c r="F971" t="s">
        <v>586</v>
      </c>
      <c r="G971" s="110">
        <v>4941</v>
      </c>
      <c r="H971" s="12">
        <v>46054</v>
      </c>
      <c r="I971" s="27">
        <v>5361</v>
      </c>
      <c r="J971" s="27">
        <v>5031.29</v>
      </c>
      <c r="K971" s="3">
        <v>46093</v>
      </c>
      <c r="L971" s="91">
        <v>46111</v>
      </c>
      <c r="M971" s="5">
        <v>46112</v>
      </c>
      <c r="N971" s="18" t="s">
        <v>588</v>
      </c>
      <c r="O971" s="37"/>
      <c r="P971" s="14"/>
      <c r="Q971" t="s">
        <v>55</v>
      </c>
      <c r="R971" t="s">
        <v>231</v>
      </c>
      <c r="S971" t="str">
        <f>IFERROR(VLOOKUP(Tabela1[[#This Row],[CC]],CC!$A$1:$H$403,8,0),"")</f>
        <v>OP2</v>
      </c>
    </row>
    <row r="972" spans="1:19" ht="13.95" customHeight="1" x14ac:dyDescent="0.3">
      <c r="A972" s="8">
        <v>1357</v>
      </c>
      <c r="B972" s="8" t="str">
        <f>IFERROR(VLOOKUP(Tabela1[[#This Row],[CC]],#REF!,5,0),"")</f>
        <v/>
      </c>
      <c r="C972" t="s">
        <v>51</v>
      </c>
      <c r="D972" t="s">
        <v>53</v>
      </c>
      <c r="E972" t="s">
        <v>592</v>
      </c>
      <c r="F972" t="s">
        <v>586</v>
      </c>
      <c r="G972" s="110">
        <v>5025</v>
      </c>
      <c r="H972" s="12">
        <v>46082</v>
      </c>
      <c r="I972" s="27">
        <v>47176.800000000003</v>
      </c>
      <c r="J972" s="24">
        <v>44275.43</v>
      </c>
      <c r="K972" s="3">
        <v>46114</v>
      </c>
      <c r="L972" s="91">
        <v>46139</v>
      </c>
      <c r="M972" s="5">
        <v>46140</v>
      </c>
      <c r="N972" s="18" t="s">
        <v>588</v>
      </c>
      <c r="O972" s="37"/>
      <c r="P972" s="14"/>
      <c r="Q972" t="s">
        <v>55</v>
      </c>
      <c r="R972" t="s">
        <v>231</v>
      </c>
      <c r="S972" t="str">
        <f>IFERROR(VLOOKUP(Tabela1[[#This Row],[CC]],CC!$A$1:$H$403,8,0),"")</f>
        <v>OP2</v>
      </c>
    </row>
    <row r="973" spans="1:19" ht="13.95" customHeight="1" x14ac:dyDescent="0.3">
      <c r="A973" s="8">
        <v>1357</v>
      </c>
      <c r="B973" s="8" t="str">
        <f>IFERROR(VLOOKUP(Tabela1[[#This Row],[CC]],#REF!,5,0),"")</f>
        <v/>
      </c>
      <c r="C973" t="s">
        <v>51</v>
      </c>
      <c r="D973" t="s">
        <v>53</v>
      </c>
      <c r="E973" t="s">
        <v>592</v>
      </c>
      <c r="F973" t="s">
        <v>586</v>
      </c>
      <c r="G973" s="110">
        <v>5026</v>
      </c>
      <c r="H973" s="12">
        <v>46082</v>
      </c>
      <c r="I973" s="27">
        <v>24920.95</v>
      </c>
      <c r="J973" s="24">
        <v>23388.31</v>
      </c>
      <c r="K973" s="3">
        <v>46114</v>
      </c>
      <c r="L973" s="91">
        <v>46139</v>
      </c>
      <c r="M973" s="5">
        <v>46139</v>
      </c>
      <c r="N973" s="18" t="s">
        <v>588</v>
      </c>
      <c r="O973" s="37"/>
      <c r="P973" s="14"/>
      <c r="Q973" t="s">
        <v>55</v>
      </c>
      <c r="R973" t="s">
        <v>231</v>
      </c>
      <c r="S973" t="str">
        <f>IFERROR(VLOOKUP(Tabela1[[#This Row],[CC]],CC!$A$1:$H$403,8,0),"")</f>
        <v>OP2</v>
      </c>
    </row>
    <row r="974" spans="1:19" x14ac:dyDescent="0.3">
      <c r="A974" s="8">
        <v>1357</v>
      </c>
      <c r="B974" s="8" t="str">
        <f>IFERROR(VLOOKUP(Tabela1[[#This Row],[CC]],#REF!,5,0),"")</f>
        <v/>
      </c>
      <c r="C974" t="s">
        <v>51</v>
      </c>
      <c r="D974" t="s">
        <v>53</v>
      </c>
      <c r="E974" t="s">
        <v>592</v>
      </c>
      <c r="F974" t="s">
        <v>586</v>
      </c>
      <c r="G974" s="110">
        <v>5118</v>
      </c>
      <c r="H974" s="12">
        <v>46113</v>
      </c>
      <c r="I974" s="27">
        <v>18227.400000000001</v>
      </c>
      <c r="J974" s="24">
        <v>17106.43</v>
      </c>
      <c r="K974" s="3">
        <v>46147</v>
      </c>
      <c r="L974" s="91">
        <v>46167</v>
      </c>
      <c r="M974" s="5">
        <v>46168</v>
      </c>
      <c r="N974" s="18" t="s">
        <v>588</v>
      </c>
      <c r="O974" s="37"/>
      <c r="P974" s="14"/>
      <c r="Q974" t="s">
        <v>55</v>
      </c>
      <c r="R974" t="s">
        <v>231</v>
      </c>
      <c r="S974" t="str">
        <f>IFERROR(VLOOKUP(Tabela1[[#This Row],[CC]],CC!$A$1:$H$403,8,0),"")</f>
        <v>OP2</v>
      </c>
    </row>
    <row r="975" spans="1:19" x14ac:dyDescent="0.3">
      <c r="A975" s="8">
        <v>1357</v>
      </c>
      <c r="B975" s="8" t="str">
        <f>IFERROR(VLOOKUP(Tabela1[[#This Row],[CC]],#REF!,5,0),"")</f>
        <v/>
      </c>
      <c r="C975" t="s">
        <v>51</v>
      </c>
      <c r="D975" t="s">
        <v>53</v>
      </c>
      <c r="E975" t="s">
        <v>592</v>
      </c>
      <c r="F975" t="s">
        <v>586</v>
      </c>
      <c r="G975" s="110">
        <v>5119</v>
      </c>
      <c r="H975" s="12">
        <v>46113</v>
      </c>
      <c r="I975" s="27">
        <v>27522</v>
      </c>
      <c r="J975" s="24">
        <v>25829.4</v>
      </c>
      <c r="K975" s="3">
        <v>46147</v>
      </c>
      <c r="L975" s="91">
        <v>46167</v>
      </c>
      <c r="M975" s="5">
        <v>46168</v>
      </c>
      <c r="N975" s="18" t="s">
        <v>588</v>
      </c>
      <c r="O975" s="37"/>
      <c r="P975" s="14"/>
      <c r="Q975" t="s">
        <v>55</v>
      </c>
      <c r="R975" t="s">
        <v>231</v>
      </c>
      <c r="S975" t="str">
        <f>IFERROR(VLOOKUP(Tabela1[[#This Row],[CC]],CC!$A$1:$H$403,8,0),"")</f>
        <v>OP2</v>
      </c>
    </row>
    <row r="976" spans="1:19" x14ac:dyDescent="0.3">
      <c r="A976" s="8">
        <v>1357</v>
      </c>
      <c r="B976" s="8" t="str">
        <f>IFERROR(VLOOKUP(Tabela1[[#This Row],[CC]],#REF!,5,0),"")</f>
        <v/>
      </c>
      <c r="C976" t="s">
        <v>51</v>
      </c>
      <c r="D976" t="s">
        <v>53</v>
      </c>
      <c r="E976" t="s">
        <v>592</v>
      </c>
      <c r="F976" t="s">
        <v>586</v>
      </c>
      <c r="G976" s="110">
        <v>5120</v>
      </c>
      <c r="H976" s="12">
        <v>46113</v>
      </c>
      <c r="I976" s="27">
        <v>22032</v>
      </c>
      <c r="J976" s="24">
        <v>20677.03</v>
      </c>
      <c r="K976" s="3">
        <v>46147</v>
      </c>
      <c r="L976" s="91">
        <v>46167</v>
      </c>
      <c r="M976" s="5">
        <v>46168</v>
      </c>
      <c r="N976" s="18" t="s">
        <v>588</v>
      </c>
      <c r="O976" s="37"/>
      <c r="P976" s="14"/>
      <c r="Q976" t="s">
        <v>55</v>
      </c>
      <c r="R976" t="s">
        <v>231</v>
      </c>
      <c r="S976" t="str">
        <f>IFERROR(VLOOKUP(Tabela1[[#This Row],[CC]],CC!$A$1:$H$403,8,0),"")</f>
        <v>OP2</v>
      </c>
    </row>
    <row r="977" spans="1:19" x14ac:dyDescent="0.3">
      <c r="A977" s="13">
        <v>1260</v>
      </c>
      <c r="B977" s="13" t="str">
        <f>IFERROR(VLOOKUP(Tabela1[[#This Row],[CC]],#REF!,5,0),"")</f>
        <v/>
      </c>
      <c r="C977" t="str">
        <f>IFERROR(VLOOKUP(Tabela1[[#This Row],[CC]],CC!$A$1:$H$389,7,0),"")</f>
        <v>RODRIGO CORUMBA</v>
      </c>
      <c r="D977" t="str">
        <f>IFERROR(VLOOKUP(Tabela1[[#This Row],[CC]],CC!$A$1:$I$3869,3,0),"")</f>
        <v>PETZ</v>
      </c>
      <c r="E977" t="str">
        <f>IFERROR(VLOOKUP(Tabela1[[#This Row],[CC]],CC!$A$1:$H$389,2,0),"")</f>
        <v>PETZ - ADS (1260)</v>
      </c>
      <c r="F977" t="s">
        <v>586</v>
      </c>
      <c r="G977" s="107">
        <v>5200</v>
      </c>
      <c r="H977" s="12">
        <v>46143</v>
      </c>
      <c r="I977" s="24">
        <v>11009.7</v>
      </c>
      <c r="J977" s="24">
        <v>10332.6</v>
      </c>
      <c r="K977" s="3">
        <v>46174</v>
      </c>
      <c r="L977" s="91">
        <v>46195</v>
      </c>
      <c r="M977" s="11"/>
      <c r="N977" s="19" t="s">
        <v>587</v>
      </c>
      <c r="O977" s="34">
        <v>0</v>
      </c>
      <c r="P977"/>
      <c r="Q977" t="str">
        <f>IFERROR(VLOOKUP(Tabela1[[#This Row],[CC]],CC!$A$1:$H$389,5,0),"")</f>
        <v>ADS</v>
      </c>
      <c r="R977" t="str">
        <f>IFERROR(VLOOKUP(Tabela1[[#This Row],[CC]],CC!$A$1:$H$389,6,0),"")</f>
        <v>MS</v>
      </c>
      <c r="S977" t="str">
        <f>IFERROR(VLOOKUP(Tabela1[[#This Row],[CC]],CC!$A$1:$H$403,8,0),"")</f>
        <v>OP2</v>
      </c>
    </row>
    <row r="978" spans="1:19" x14ac:dyDescent="0.3">
      <c r="A978" s="25">
        <v>1478</v>
      </c>
      <c r="B978" s="25" t="str">
        <f>IFERROR(VLOOKUP(Tabela1[[#This Row],[CC]],#REF!,5,0),"")</f>
        <v/>
      </c>
      <c r="C978" t="s">
        <v>32</v>
      </c>
      <c r="D978" t="s">
        <v>54</v>
      </c>
      <c r="E978" t="s">
        <v>483</v>
      </c>
      <c r="F978" t="s">
        <v>586</v>
      </c>
      <c r="G978" s="107">
        <v>8493</v>
      </c>
      <c r="H978" s="12">
        <v>45870</v>
      </c>
      <c r="I978" s="24">
        <v>13993.56</v>
      </c>
      <c r="J978" s="24">
        <v>13132.95</v>
      </c>
      <c r="K978" s="3">
        <v>45904</v>
      </c>
      <c r="L978" s="91">
        <v>45929</v>
      </c>
      <c r="M978" s="11">
        <v>45930</v>
      </c>
      <c r="N978" s="18" t="s">
        <v>588</v>
      </c>
      <c r="O978" s="35"/>
      <c r="P978"/>
      <c r="Q978" t="s">
        <v>55</v>
      </c>
      <c r="R978" t="s">
        <v>231</v>
      </c>
      <c r="S978" t="str">
        <f>IFERROR(VLOOKUP(Tabela1[[#This Row],[CC]],CC!$A$1:$H$403,8,0),"")</f>
        <v>OP1</v>
      </c>
    </row>
    <row r="979" spans="1:19" x14ac:dyDescent="0.3">
      <c r="A979" s="25">
        <v>1478</v>
      </c>
      <c r="B979" s="25" t="str">
        <f>IFERROR(VLOOKUP(Tabela1[[#This Row],[CC]],#REF!,5,0),"")</f>
        <v/>
      </c>
      <c r="C979" t="s">
        <v>32</v>
      </c>
      <c r="D979" t="s">
        <v>54</v>
      </c>
      <c r="E979" t="s">
        <v>483</v>
      </c>
      <c r="F979" t="s">
        <v>586</v>
      </c>
      <c r="G979" s="107">
        <v>8494</v>
      </c>
      <c r="H979" s="12">
        <v>45870</v>
      </c>
      <c r="I979" s="24">
        <v>29087.69</v>
      </c>
      <c r="J979" s="24">
        <v>27298.79</v>
      </c>
      <c r="K979" s="3">
        <v>45904</v>
      </c>
      <c r="L979" s="91">
        <v>45929</v>
      </c>
      <c r="M979" s="11">
        <v>45930</v>
      </c>
      <c r="N979" s="18" t="s">
        <v>588</v>
      </c>
      <c r="O979" s="35"/>
      <c r="P979"/>
      <c r="Q979" t="s">
        <v>55</v>
      </c>
      <c r="R979" t="s">
        <v>231</v>
      </c>
      <c r="S979" t="str">
        <f>IFERROR(VLOOKUP(Tabela1[[#This Row],[CC]],CC!$A$1:$H$403,8,0),"")</f>
        <v>OP1</v>
      </c>
    </row>
    <row r="980" spans="1:19" x14ac:dyDescent="0.3">
      <c r="A980" s="25">
        <v>1478</v>
      </c>
      <c r="B980" s="25" t="str">
        <f>IFERROR(VLOOKUP(Tabela1[[#This Row],[CC]],#REF!,5,0),"")</f>
        <v/>
      </c>
      <c r="C980" t="s">
        <v>32</v>
      </c>
      <c r="D980" t="s">
        <v>54</v>
      </c>
      <c r="E980" t="s">
        <v>483</v>
      </c>
      <c r="F980" t="s">
        <v>586</v>
      </c>
      <c r="G980" s="107">
        <v>8495</v>
      </c>
      <c r="H980" s="12">
        <v>45870</v>
      </c>
      <c r="I980" s="24">
        <v>26413.8</v>
      </c>
      <c r="J980" s="24">
        <v>24789.35</v>
      </c>
      <c r="K980" s="3">
        <v>45904</v>
      </c>
      <c r="L980" s="91">
        <v>45929</v>
      </c>
      <c r="M980" s="11">
        <v>45930</v>
      </c>
      <c r="N980" s="18" t="s">
        <v>588</v>
      </c>
      <c r="O980" s="35"/>
      <c r="P980"/>
      <c r="Q980" t="s">
        <v>55</v>
      </c>
      <c r="R980" t="s">
        <v>231</v>
      </c>
      <c r="S980" t="str">
        <f>IFERROR(VLOOKUP(Tabela1[[#This Row],[CC]],CC!$A$1:$H$403,8,0),"")</f>
        <v>OP1</v>
      </c>
    </row>
    <row r="981" spans="1:19" x14ac:dyDescent="0.3">
      <c r="A981" s="25">
        <v>1478</v>
      </c>
      <c r="B981" s="25" t="str">
        <f>IFERROR(VLOOKUP(Tabela1[[#This Row],[CC]],#REF!,5,0),"")</f>
        <v/>
      </c>
      <c r="C981" t="s">
        <v>32</v>
      </c>
      <c r="D981" t="s">
        <v>54</v>
      </c>
      <c r="E981" t="s">
        <v>483</v>
      </c>
      <c r="F981" t="s">
        <v>586</v>
      </c>
      <c r="G981" s="107">
        <v>8496</v>
      </c>
      <c r="H981" s="12">
        <v>45870</v>
      </c>
      <c r="I981" s="24">
        <v>20754.55</v>
      </c>
      <c r="J981" s="24">
        <v>19478.14</v>
      </c>
      <c r="K981" s="3">
        <v>45904</v>
      </c>
      <c r="L981" s="91">
        <v>45929</v>
      </c>
      <c r="M981" s="11">
        <v>45930</v>
      </c>
      <c r="N981" s="18" t="s">
        <v>588</v>
      </c>
      <c r="O981" s="35"/>
      <c r="P981"/>
      <c r="Q981" t="s">
        <v>55</v>
      </c>
      <c r="R981" t="s">
        <v>231</v>
      </c>
      <c r="S981" t="str">
        <f>IFERROR(VLOOKUP(Tabela1[[#This Row],[CC]],CC!$A$1:$H$403,8,0),"")</f>
        <v>OP1</v>
      </c>
    </row>
    <row r="982" spans="1:19" x14ac:dyDescent="0.3">
      <c r="A982" s="8">
        <v>1499</v>
      </c>
      <c r="B982" s="8" t="str">
        <f>IFERROR(VLOOKUP(Tabela1[[#This Row],[CC]],#REF!,5,0),"")</f>
        <v/>
      </c>
      <c r="C982" t="s">
        <v>32</v>
      </c>
      <c r="D982" t="s">
        <v>36</v>
      </c>
      <c r="E982" t="s">
        <v>505</v>
      </c>
      <c r="F982" t="s">
        <v>586</v>
      </c>
      <c r="G982" s="107">
        <v>8534</v>
      </c>
      <c r="H982" s="12">
        <v>45870</v>
      </c>
      <c r="I982" s="24">
        <v>52900</v>
      </c>
      <c r="J982" s="10">
        <v>49646.65</v>
      </c>
      <c r="K982" s="3">
        <v>45931</v>
      </c>
      <c r="L982" s="91">
        <v>45950</v>
      </c>
      <c r="M982" s="11">
        <v>45951</v>
      </c>
      <c r="N982" s="18" t="s">
        <v>588</v>
      </c>
      <c r="O982" s="34">
        <v>0</v>
      </c>
      <c r="P982"/>
      <c r="Q982" t="s">
        <v>55</v>
      </c>
      <c r="R982" t="s">
        <v>228</v>
      </c>
      <c r="S982" t="str">
        <f>IFERROR(VLOOKUP(Tabela1[[#This Row],[CC]],CC!$A$1:$H$403,8,0),"")</f>
        <v>OP1</v>
      </c>
    </row>
    <row r="983" spans="1:19" x14ac:dyDescent="0.3">
      <c r="A983" s="25">
        <v>1499</v>
      </c>
      <c r="B983" s="25" t="str">
        <f>IFERROR(VLOOKUP(Tabela1[[#This Row],[CC]],#REF!,5,0),"")</f>
        <v/>
      </c>
      <c r="C983" t="s">
        <v>32</v>
      </c>
      <c r="D983" t="s">
        <v>36</v>
      </c>
      <c r="E983" t="s">
        <v>505</v>
      </c>
      <c r="F983" t="s">
        <v>586</v>
      </c>
      <c r="G983" s="107">
        <v>8596</v>
      </c>
      <c r="H983" s="12">
        <v>45870</v>
      </c>
      <c r="I983" s="24">
        <v>8744</v>
      </c>
      <c r="J983" s="24">
        <v>8206.24</v>
      </c>
      <c r="K983" s="3">
        <v>45968</v>
      </c>
      <c r="L983" s="91">
        <v>46013</v>
      </c>
      <c r="M983" s="11">
        <v>46013</v>
      </c>
      <c r="N983" s="18" t="s">
        <v>588</v>
      </c>
      <c r="O983" s="35">
        <v>0</v>
      </c>
      <c r="P983"/>
      <c r="Q983" t="s">
        <v>55</v>
      </c>
      <c r="R983" t="s">
        <v>228</v>
      </c>
      <c r="S983" t="str">
        <f>IFERROR(VLOOKUP(Tabela1[[#This Row],[CC]],CC!$A$1:$H$403,8,0),"")</f>
        <v>OP1</v>
      </c>
    </row>
    <row r="984" spans="1:19" x14ac:dyDescent="0.3">
      <c r="A984" s="25">
        <v>1391</v>
      </c>
      <c r="B984" s="25" t="str">
        <f>IFERROR(VLOOKUP(Tabela1[[#This Row],[CC]],#REF!,5,0),"")</f>
        <v/>
      </c>
      <c r="C984" t="s">
        <v>32</v>
      </c>
      <c r="D984" t="s">
        <v>52</v>
      </c>
      <c r="E984" t="s">
        <v>375</v>
      </c>
      <c r="F984" t="s">
        <v>586</v>
      </c>
      <c r="G984" s="107">
        <v>4307</v>
      </c>
      <c r="H984" s="12">
        <v>45870</v>
      </c>
      <c r="I984" s="24">
        <v>102110.06</v>
      </c>
      <c r="J984" s="39">
        <v>95830.29</v>
      </c>
      <c r="K984" s="3">
        <v>45905</v>
      </c>
      <c r="L984" s="91">
        <v>45922</v>
      </c>
      <c r="M984" s="11">
        <v>45922</v>
      </c>
      <c r="N984" s="1" t="s">
        <v>588</v>
      </c>
      <c r="O984" s="35">
        <v>0</v>
      </c>
      <c r="P984"/>
      <c r="Q984" t="s">
        <v>55</v>
      </c>
      <c r="R984" t="s">
        <v>231</v>
      </c>
      <c r="S984" t="str">
        <f>IFERROR(VLOOKUP(Tabela1[[#This Row],[CC]],CC!$A$1:$H$403,8,0),"")</f>
        <v>OP1</v>
      </c>
    </row>
    <row r="985" spans="1:19" x14ac:dyDescent="0.3">
      <c r="A985" s="25">
        <v>1391</v>
      </c>
      <c r="B985" s="25" t="str">
        <f>IFERROR(VLOOKUP(Tabela1[[#This Row],[CC]],#REF!,5,0),"")</f>
        <v/>
      </c>
      <c r="C985" t="s">
        <v>32</v>
      </c>
      <c r="D985" t="s">
        <v>52</v>
      </c>
      <c r="E985" t="s">
        <v>375</v>
      </c>
      <c r="F985" t="s">
        <v>586</v>
      </c>
      <c r="G985" s="107">
        <v>4308</v>
      </c>
      <c r="H985" s="12">
        <v>45870</v>
      </c>
      <c r="I985" s="24">
        <v>167099.34</v>
      </c>
      <c r="J985" s="39">
        <v>156822.73000000001</v>
      </c>
      <c r="K985" s="3">
        <v>45905</v>
      </c>
      <c r="L985" s="91">
        <v>45922</v>
      </c>
      <c r="M985" s="11">
        <v>45922</v>
      </c>
      <c r="N985" s="1" t="s">
        <v>588</v>
      </c>
      <c r="O985" s="35">
        <v>0</v>
      </c>
      <c r="P985"/>
      <c r="Q985" t="s">
        <v>55</v>
      </c>
      <c r="R985" t="s">
        <v>231</v>
      </c>
      <c r="S985" t="str">
        <f>IFERROR(VLOOKUP(Tabela1[[#This Row],[CC]],CC!$A$1:$H$403,8,0),"")</f>
        <v>OP1</v>
      </c>
    </row>
    <row r="986" spans="1:19" x14ac:dyDescent="0.3">
      <c r="A986" s="25">
        <v>1391</v>
      </c>
      <c r="B986" s="25" t="str">
        <f>IFERROR(VLOOKUP(Tabela1[[#This Row],[CC]],#REF!,5,0),"")</f>
        <v/>
      </c>
      <c r="C986" t="s">
        <v>32</v>
      </c>
      <c r="D986" t="s">
        <v>52</v>
      </c>
      <c r="E986" t="s">
        <v>375</v>
      </c>
      <c r="F986" t="s">
        <v>586</v>
      </c>
      <c r="G986" s="107">
        <v>4309</v>
      </c>
      <c r="H986" s="12">
        <v>45870</v>
      </c>
      <c r="I986" s="24">
        <v>254846.1</v>
      </c>
      <c r="J986" s="39">
        <v>239173.07</v>
      </c>
      <c r="K986" s="3">
        <v>45905</v>
      </c>
      <c r="L986" s="91">
        <v>45922</v>
      </c>
      <c r="M986" s="11">
        <v>45922</v>
      </c>
      <c r="N986" s="1" t="s">
        <v>588</v>
      </c>
      <c r="O986" s="35">
        <v>0</v>
      </c>
      <c r="P986"/>
      <c r="Q986" t="s">
        <v>55</v>
      </c>
      <c r="R986" t="s">
        <v>231</v>
      </c>
      <c r="S986" t="str">
        <f>IFERROR(VLOOKUP(Tabela1[[#This Row],[CC]],CC!$A$1:$H$403,8,0),"")</f>
        <v>OP1</v>
      </c>
    </row>
    <row r="987" spans="1:19" x14ac:dyDescent="0.3">
      <c r="A987" s="25">
        <v>1391</v>
      </c>
      <c r="B987" s="25" t="str">
        <f>IFERROR(VLOOKUP(Tabela1[[#This Row],[CC]],#REF!,5,0),"")</f>
        <v/>
      </c>
      <c r="C987" t="s">
        <v>32</v>
      </c>
      <c r="D987" t="s">
        <v>52</v>
      </c>
      <c r="E987" t="s">
        <v>375</v>
      </c>
      <c r="F987" t="s">
        <v>586</v>
      </c>
      <c r="G987" s="107">
        <v>4310</v>
      </c>
      <c r="H987" s="12">
        <v>45870</v>
      </c>
      <c r="I987" s="24">
        <v>17269.2</v>
      </c>
      <c r="J987" s="39">
        <v>16207.14</v>
      </c>
      <c r="K987" s="3">
        <v>45908</v>
      </c>
      <c r="L987" s="91">
        <v>45922</v>
      </c>
      <c r="M987" s="11">
        <v>45923</v>
      </c>
      <c r="N987" s="1" t="s">
        <v>588</v>
      </c>
      <c r="O987" s="35">
        <v>0</v>
      </c>
      <c r="P987"/>
      <c r="Q987" t="s">
        <v>55</v>
      </c>
      <c r="R987" t="s">
        <v>231</v>
      </c>
      <c r="S987" t="str">
        <f>IFERROR(VLOOKUP(Tabela1[[#This Row],[CC]],CC!$A$1:$H$403,8,0),"")</f>
        <v>OP1</v>
      </c>
    </row>
    <row r="988" spans="1:19" x14ac:dyDescent="0.3">
      <c r="A988" s="25">
        <v>1391</v>
      </c>
      <c r="B988" s="25" t="str">
        <f>IFERROR(VLOOKUP(Tabela1[[#This Row],[CC]],#REF!,5,0),"")</f>
        <v/>
      </c>
      <c r="C988" t="s">
        <v>32</v>
      </c>
      <c r="D988" t="s">
        <v>52</v>
      </c>
      <c r="E988" t="s">
        <v>375</v>
      </c>
      <c r="F988" t="s">
        <v>586</v>
      </c>
      <c r="G988" s="107">
        <v>4318</v>
      </c>
      <c r="H988" s="12">
        <v>45870</v>
      </c>
      <c r="I988" s="24">
        <v>126870.48</v>
      </c>
      <c r="J988" s="39">
        <v>119067.95</v>
      </c>
      <c r="K988" s="3">
        <v>45910</v>
      </c>
      <c r="L988" s="91">
        <v>45922</v>
      </c>
      <c r="M988" s="11">
        <v>45925</v>
      </c>
      <c r="N988" s="1" t="s">
        <v>588</v>
      </c>
      <c r="O988" s="35">
        <v>0</v>
      </c>
      <c r="P988"/>
      <c r="Q988" t="s">
        <v>55</v>
      </c>
      <c r="R988" t="s">
        <v>231</v>
      </c>
      <c r="S988" t="str">
        <f>IFERROR(VLOOKUP(Tabela1[[#This Row],[CC]],CC!$A$1:$H$403,8,0),"")</f>
        <v>OP1</v>
      </c>
    </row>
    <row r="989" spans="1:19" x14ac:dyDescent="0.3">
      <c r="A989" s="25">
        <v>1391</v>
      </c>
      <c r="B989" s="25" t="str">
        <f>IFERROR(VLOOKUP(Tabela1[[#This Row],[CC]],#REF!,5,0),"")</f>
        <v/>
      </c>
      <c r="C989" t="s">
        <v>32</v>
      </c>
      <c r="D989" t="s">
        <v>52</v>
      </c>
      <c r="E989" t="s">
        <v>375</v>
      </c>
      <c r="F989" t="s">
        <v>586</v>
      </c>
      <c r="G989" s="107">
        <v>4319</v>
      </c>
      <c r="H989" s="12">
        <v>45870</v>
      </c>
      <c r="I989" s="24">
        <v>232436.4</v>
      </c>
      <c r="J989" s="39">
        <v>218141.56</v>
      </c>
      <c r="K989" s="3">
        <v>45910</v>
      </c>
      <c r="L989" s="91">
        <v>45922</v>
      </c>
      <c r="M989" s="11">
        <v>45925</v>
      </c>
      <c r="N989" s="1" t="s">
        <v>588</v>
      </c>
      <c r="O989" s="35">
        <v>0</v>
      </c>
      <c r="P989"/>
      <c r="Q989" t="s">
        <v>55</v>
      </c>
      <c r="R989" t="s">
        <v>231</v>
      </c>
      <c r="S989" t="str">
        <f>IFERROR(VLOOKUP(Tabela1[[#This Row],[CC]],CC!$A$1:$H$403,8,0),"")</f>
        <v>OP1</v>
      </c>
    </row>
    <row r="990" spans="1:19" x14ac:dyDescent="0.3">
      <c r="A990" s="25">
        <v>1391</v>
      </c>
      <c r="B990" s="25" t="str">
        <f>IFERROR(VLOOKUP(Tabela1[[#This Row],[CC]],#REF!,5,0),"")</f>
        <v/>
      </c>
      <c r="C990" t="s">
        <v>32</v>
      </c>
      <c r="D990" t="s">
        <v>52</v>
      </c>
      <c r="E990" t="s">
        <v>375</v>
      </c>
      <c r="F990" t="s">
        <v>586</v>
      </c>
      <c r="G990" s="107">
        <v>4320</v>
      </c>
      <c r="H990" s="12">
        <v>45870</v>
      </c>
      <c r="I990" s="24">
        <v>126870.48</v>
      </c>
      <c r="J990" s="39">
        <v>119067.95</v>
      </c>
      <c r="K990" s="3">
        <v>45910</v>
      </c>
      <c r="L990" s="91">
        <v>45922</v>
      </c>
      <c r="M990" s="11">
        <v>45925</v>
      </c>
      <c r="N990" s="1" t="s">
        <v>588</v>
      </c>
      <c r="O990" s="35">
        <v>0</v>
      </c>
      <c r="P990"/>
      <c r="Q990" t="s">
        <v>55</v>
      </c>
      <c r="R990" t="s">
        <v>231</v>
      </c>
      <c r="S990" t="str">
        <f>IFERROR(VLOOKUP(Tabela1[[#This Row],[CC]],CC!$A$1:$H$403,8,0),"")</f>
        <v>OP1</v>
      </c>
    </row>
    <row r="991" spans="1:19" x14ac:dyDescent="0.3">
      <c r="A991" s="8">
        <v>1391</v>
      </c>
      <c r="B991" s="8" t="str">
        <f>IFERROR(VLOOKUP(Tabela1[[#This Row],[CC]],#REF!,5,0),"")</f>
        <v/>
      </c>
      <c r="C991" t="s">
        <v>32</v>
      </c>
      <c r="D991" t="s">
        <v>52</v>
      </c>
      <c r="E991" t="s">
        <v>375</v>
      </c>
      <c r="F991" t="s">
        <v>586</v>
      </c>
      <c r="G991" s="107">
        <v>4339</v>
      </c>
      <c r="H991" s="12">
        <v>45870</v>
      </c>
      <c r="I991" s="24">
        <v>134788.62</v>
      </c>
      <c r="J991" s="28">
        <v>126499.12</v>
      </c>
      <c r="K991" s="3">
        <v>45911</v>
      </c>
      <c r="L991" s="91">
        <v>45922</v>
      </c>
      <c r="M991" s="11">
        <v>45926</v>
      </c>
      <c r="N991" s="1" t="s">
        <v>588</v>
      </c>
      <c r="O991" s="35">
        <v>0</v>
      </c>
      <c r="P991"/>
      <c r="Q991" t="s">
        <v>55</v>
      </c>
      <c r="R991" t="s">
        <v>231</v>
      </c>
      <c r="S991" t="str">
        <f>IFERROR(VLOOKUP(Tabela1[[#This Row],[CC]],CC!$A$1:$H$403,8,0),"")</f>
        <v>OP1</v>
      </c>
    </row>
    <row r="992" spans="1:19" x14ac:dyDescent="0.3">
      <c r="A992" s="8">
        <v>1391</v>
      </c>
      <c r="B992" s="8" t="str">
        <f>IFERROR(VLOOKUP(Tabela1[[#This Row],[CC]],#REF!,5,0),"")</f>
        <v/>
      </c>
      <c r="C992" t="s">
        <v>32</v>
      </c>
      <c r="D992" t="s">
        <v>52</v>
      </c>
      <c r="E992" t="s">
        <v>375</v>
      </c>
      <c r="F992" t="s">
        <v>586</v>
      </c>
      <c r="G992" s="107">
        <v>4341</v>
      </c>
      <c r="H992" s="12">
        <v>45870</v>
      </c>
      <c r="I992" s="24">
        <v>30779.279999999999</v>
      </c>
      <c r="J992" s="28">
        <v>28886.35</v>
      </c>
      <c r="K992" s="3">
        <v>45912</v>
      </c>
      <c r="L992" s="91">
        <v>45929</v>
      </c>
      <c r="M992" s="11">
        <v>45929</v>
      </c>
      <c r="N992" s="1" t="s">
        <v>588</v>
      </c>
      <c r="O992" s="35">
        <v>0</v>
      </c>
      <c r="P992"/>
      <c r="Q992" t="s">
        <v>55</v>
      </c>
      <c r="R992" t="s">
        <v>231</v>
      </c>
      <c r="S992" t="str">
        <f>IFERROR(VLOOKUP(Tabela1[[#This Row],[CC]],CC!$A$1:$H$403,8,0),"")</f>
        <v>OP1</v>
      </c>
    </row>
    <row r="993" spans="1:19" x14ac:dyDescent="0.3">
      <c r="A993" s="8">
        <v>1391</v>
      </c>
      <c r="B993" s="8" t="str">
        <f>IFERROR(VLOOKUP(Tabela1[[#This Row],[CC]],#REF!,5,0),"")</f>
        <v/>
      </c>
      <c r="C993" t="s">
        <v>32</v>
      </c>
      <c r="D993" t="s">
        <v>52</v>
      </c>
      <c r="E993" t="s">
        <v>375</v>
      </c>
      <c r="F993" t="s">
        <v>586</v>
      </c>
      <c r="G993" s="107">
        <v>4347</v>
      </c>
      <c r="H993" s="12">
        <v>45870</v>
      </c>
      <c r="I993" s="24">
        <v>29077.200000000001</v>
      </c>
      <c r="J993" s="28">
        <v>27288.95</v>
      </c>
      <c r="K993" s="3">
        <v>45912</v>
      </c>
      <c r="L993" s="91">
        <v>45929</v>
      </c>
      <c r="M993" s="11">
        <v>45929</v>
      </c>
      <c r="N993" s="1" t="s">
        <v>588</v>
      </c>
      <c r="O993" s="35">
        <v>0</v>
      </c>
      <c r="P993"/>
      <c r="Q993" t="s">
        <v>55</v>
      </c>
      <c r="R993" t="s">
        <v>231</v>
      </c>
      <c r="S993" t="str">
        <f>IFERROR(VLOOKUP(Tabela1[[#This Row],[CC]],CC!$A$1:$H$403,8,0),"")</f>
        <v>OP1</v>
      </c>
    </row>
    <row r="994" spans="1:19" x14ac:dyDescent="0.3">
      <c r="A994" s="25">
        <v>1294</v>
      </c>
      <c r="B994" s="25" t="str">
        <f>IFERROR(VLOOKUP(Tabela1[[#This Row],[CC]],#REF!,5,0),"")</f>
        <v/>
      </c>
      <c r="C994" t="s">
        <v>32</v>
      </c>
      <c r="D994" t="s">
        <v>52</v>
      </c>
      <c r="E994" t="s">
        <v>268</v>
      </c>
      <c r="F994" t="s">
        <v>586</v>
      </c>
      <c r="G994" s="107">
        <v>4312</v>
      </c>
      <c r="H994" s="12">
        <v>45870</v>
      </c>
      <c r="I994" s="24">
        <v>13192.46</v>
      </c>
      <c r="J994" s="28">
        <v>12381.13</v>
      </c>
      <c r="K994" s="3">
        <v>45909</v>
      </c>
      <c r="L994" s="91">
        <v>45922</v>
      </c>
      <c r="M994" s="11">
        <v>45924</v>
      </c>
      <c r="N994" s="1" t="s">
        <v>588</v>
      </c>
      <c r="O994" s="35">
        <v>0</v>
      </c>
      <c r="P994"/>
      <c r="Q994" t="s">
        <v>55</v>
      </c>
      <c r="R994" t="s">
        <v>231</v>
      </c>
      <c r="S994" t="str">
        <f>IFERROR(VLOOKUP(Tabela1[[#This Row],[CC]],CC!$A$1:$H$403,8,0),"")</f>
        <v>OP1</v>
      </c>
    </row>
    <row r="995" spans="1:19" x14ac:dyDescent="0.3">
      <c r="A995" s="25">
        <v>1294</v>
      </c>
      <c r="B995" s="25" t="str">
        <f>IFERROR(VLOOKUP(Tabela1[[#This Row],[CC]],#REF!,5,0),"")</f>
        <v/>
      </c>
      <c r="C995" t="s">
        <v>32</v>
      </c>
      <c r="D995" t="s">
        <v>52</v>
      </c>
      <c r="E995" t="s">
        <v>268</v>
      </c>
      <c r="F995" t="s">
        <v>586</v>
      </c>
      <c r="G995" s="107">
        <v>4313</v>
      </c>
      <c r="H995" s="12">
        <v>45870</v>
      </c>
      <c r="I995" s="24">
        <v>167314.19</v>
      </c>
      <c r="J995" s="28">
        <v>157024.37</v>
      </c>
      <c r="K995" s="3">
        <v>45909</v>
      </c>
      <c r="L995" s="91">
        <v>45922</v>
      </c>
      <c r="M995" s="11">
        <v>45924</v>
      </c>
      <c r="N995" s="1" t="s">
        <v>588</v>
      </c>
      <c r="O995" s="35">
        <v>0</v>
      </c>
      <c r="P995"/>
      <c r="Q995" t="s">
        <v>55</v>
      </c>
      <c r="R995" t="s">
        <v>231</v>
      </c>
      <c r="S995" t="str">
        <f>IFERROR(VLOOKUP(Tabela1[[#This Row],[CC]],CC!$A$1:$H$403,8,0),"")</f>
        <v>OP1</v>
      </c>
    </row>
    <row r="996" spans="1:19" x14ac:dyDescent="0.3">
      <c r="A996" s="25">
        <v>1294</v>
      </c>
      <c r="B996" s="25" t="str">
        <f>IFERROR(VLOOKUP(Tabela1[[#This Row],[CC]],#REF!,5,0),"")</f>
        <v/>
      </c>
      <c r="C996" t="s">
        <v>32</v>
      </c>
      <c r="D996" t="s">
        <v>52</v>
      </c>
      <c r="E996" t="s">
        <v>268</v>
      </c>
      <c r="F996" t="s">
        <v>586</v>
      </c>
      <c r="G996" s="107">
        <v>4314</v>
      </c>
      <c r="H996" s="12">
        <v>45870</v>
      </c>
      <c r="I996" s="24">
        <v>166765.92000000001</v>
      </c>
      <c r="J996" s="28">
        <v>156509.81</v>
      </c>
      <c r="K996" s="3">
        <v>45909</v>
      </c>
      <c r="L996" s="91">
        <v>45922</v>
      </c>
      <c r="M996" s="11">
        <v>45924</v>
      </c>
      <c r="N996" s="1" t="s">
        <v>588</v>
      </c>
      <c r="O996" s="35">
        <v>0</v>
      </c>
      <c r="P996"/>
      <c r="Q996" t="s">
        <v>55</v>
      </c>
      <c r="R996" t="s">
        <v>231</v>
      </c>
      <c r="S996" t="str">
        <f>IFERROR(VLOOKUP(Tabela1[[#This Row],[CC]],CC!$A$1:$H$403,8,0),"")</f>
        <v>OP1</v>
      </c>
    </row>
    <row r="997" spans="1:19" x14ac:dyDescent="0.3">
      <c r="A997" s="25">
        <v>1294</v>
      </c>
      <c r="B997" s="25" t="str">
        <f>IFERROR(VLOOKUP(Tabela1[[#This Row],[CC]],#REF!,5,0),"")</f>
        <v/>
      </c>
      <c r="C997" t="s">
        <v>32</v>
      </c>
      <c r="D997" t="s">
        <v>52</v>
      </c>
      <c r="E997" t="s">
        <v>268</v>
      </c>
      <c r="F997" t="s">
        <v>586</v>
      </c>
      <c r="G997" s="107">
        <v>4315</v>
      </c>
      <c r="H997" s="12">
        <v>45870</v>
      </c>
      <c r="I997" s="24">
        <v>91673.4</v>
      </c>
      <c r="J997" s="28">
        <v>86035.49</v>
      </c>
      <c r="K997" s="3">
        <v>45909</v>
      </c>
      <c r="L997" s="91">
        <v>45922</v>
      </c>
      <c r="M997" s="11">
        <v>45924</v>
      </c>
      <c r="N997" s="1" t="s">
        <v>588</v>
      </c>
      <c r="O997" s="35">
        <v>0</v>
      </c>
      <c r="P997"/>
      <c r="Q997" t="s">
        <v>55</v>
      </c>
      <c r="R997" t="s">
        <v>231</v>
      </c>
      <c r="S997" t="str">
        <f>IFERROR(VLOOKUP(Tabela1[[#This Row],[CC]],CC!$A$1:$H$403,8,0),"")</f>
        <v>OP1</v>
      </c>
    </row>
    <row r="998" spans="1:19" x14ac:dyDescent="0.3">
      <c r="A998" s="25">
        <v>1294</v>
      </c>
      <c r="B998" s="25" t="str">
        <f>IFERROR(VLOOKUP(Tabela1[[#This Row],[CC]],#REF!,5,0),"")</f>
        <v/>
      </c>
      <c r="C998" t="s">
        <v>32</v>
      </c>
      <c r="D998" t="s">
        <v>52</v>
      </c>
      <c r="E998" t="s">
        <v>268</v>
      </c>
      <c r="F998" t="s">
        <v>586</v>
      </c>
      <c r="G998" s="107">
        <v>4316</v>
      </c>
      <c r="H998" s="12">
        <v>45870</v>
      </c>
      <c r="I998" s="116">
        <v>185528.51</v>
      </c>
      <c r="J998" s="28">
        <v>174118.49</v>
      </c>
      <c r="K998" s="3">
        <v>45909</v>
      </c>
      <c r="L998" s="91">
        <v>45922</v>
      </c>
      <c r="M998" s="11">
        <v>45924</v>
      </c>
      <c r="N998" s="1" t="s">
        <v>588</v>
      </c>
      <c r="O998" s="35">
        <v>0</v>
      </c>
      <c r="P998"/>
      <c r="Q998" t="s">
        <v>55</v>
      </c>
      <c r="R998" t="s">
        <v>231</v>
      </c>
      <c r="S998" t="str">
        <f>IFERROR(VLOOKUP(Tabela1[[#This Row],[CC]],CC!$A$1:$H$403,8,0),"")</f>
        <v>OP1</v>
      </c>
    </row>
    <row r="999" spans="1:19" x14ac:dyDescent="0.3">
      <c r="A999" s="25">
        <v>1294</v>
      </c>
      <c r="B999" s="25" t="str">
        <f>IFERROR(VLOOKUP(Tabela1[[#This Row],[CC]],#REF!,5,0),"")</f>
        <v/>
      </c>
      <c r="C999" t="s">
        <v>32</v>
      </c>
      <c r="D999" t="s">
        <v>52</v>
      </c>
      <c r="E999" t="s">
        <v>268</v>
      </c>
      <c r="F999" t="s">
        <v>586</v>
      </c>
      <c r="G999" s="107">
        <v>4329</v>
      </c>
      <c r="H999" s="12">
        <v>45870</v>
      </c>
      <c r="I999" s="24">
        <v>139002.92000000001</v>
      </c>
      <c r="J999" s="28">
        <v>130454.24</v>
      </c>
      <c r="K999" s="3">
        <v>45911</v>
      </c>
      <c r="L999" s="91">
        <v>45922</v>
      </c>
      <c r="M999" s="11">
        <v>45926</v>
      </c>
      <c r="N999" s="1" t="s">
        <v>588</v>
      </c>
      <c r="O999" s="35">
        <v>0</v>
      </c>
      <c r="P999"/>
      <c r="Q999" t="s">
        <v>55</v>
      </c>
      <c r="R999" t="s">
        <v>231</v>
      </c>
      <c r="S999" t="str">
        <f>IFERROR(VLOOKUP(Tabela1[[#This Row],[CC]],CC!$A$1:$H$403,8,0),"")</f>
        <v>OP1</v>
      </c>
    </row>
    <row r="1000" spans="1:19" x14ac:dyDescent="0.3">
      <c r="A1000" s="25">
        <v>1294</v>
      </c>
      <c r="B1000" s="25" t="str">
        <f>IFERROR(VLOOKUP(Tabela1[[#This Row],[CC]],#REF!,5,0),"")</f>
        <v/>
      </c>
      <c r="C1000" t="s">
        <v>32</v>
      </c>
      <c r="D1000" t="s">
        <v>52</v>
      </c>
      <c r="E1000" t="s">
        <v>268</v>
      </c>
      <c r="F1000" t="s">
        <v>586</v>
      </c>
      <c r="G1000" s="107">
        <v>4330</v>
      </c>
      <c r="H1000" s="12">
        <v>45870</v>
      </c>
      <c r="I1000" s="24">
        <v>202608</v>
      </c>
      <c r="J1000" s="28">
        <v>190147.61</v>
      </c>
      <c r="K1000" s="3">
        <v>45911</v>
      </c>
      <c r="L1000" s="91">
        <v>45922</v>
      </c>
      <c r="M1000" s="11">
        <v>45926</v>
      </c>
      <c r="N1000" s="1" t="s">
        <v>588</v>
      </c>
      <c r="O1000" s="35">
        <v>0</v>
      </c>
      <c r="P1000"/>
      <c r="Q1000" t="s">
        <v>55</v>
      </c>
      <c r="R1000" t="s">
        <v>231</v>
      </c>
      <c r="S1000" t="str">
        <f>IFERROR(VLOOKUP(Tabela1[[#This Row],[CC]],CC!$A$1:$H$403,8,0),"")</f>
        <v>OP1</v>
      </c>
    </row>
    <row r="1001" spans="1:19" x14ac:dyDescent="0.3">
      <c r="A1001" s="25">
        <v>1294</v>
      </c>
      <c r="B1001" s="25" t="str">
        <f>IFERROR(VLOOKUP(Tabela1[[#This Row],[CC]],#REF!,5,0),"")</f>
        <v/>
      </c>
      <c r="C1001" t="s">
        <v>32</v>
      </c>
      <c r="D1001" t="s">
        <v>52</v>
      </c>
      <c r="E1001" t="s">
        <v>268</v>
      </c>
      <c r="F1001" t="s">
        <v>586</v>
      </c>
      <c r="G1001" s="107">
        <v>4331</v>
      </c>
      <c r="H1001" s="12">
        <v>45870</v>
      </c>
      <c r="I1001" s="116">
        <v>181920.64000000001</v>
      </c>
      <c r="J1001" s="28">
        <v>170732.52</v>
      </c>
      <c r="K1001" s="3">
        <v>45911</v>
      </c>
      <c r="L1001" s="91">
        <v>45922</v>
      </c>
      <c r="M1001" s="11">
        <v>45926</v>
      </c>
      <c r="N1001" s="1" t="s">
        <v>588</v>
      </c>
      <c r="O1001" s="35">
        <v>0</v>
      </c>
      <c r="P1001"/>
      <c r="Q1001" t="s">
        <v>55</v>
      </c>
      <c r="R1001" t="s">
        <v>231</v>
      </c>
      <c r="S1001" t="str">
        <f>IFERROR(VLOOKUP(Tabela1[[#This Row],[CC]],CC!$A$1:$H$403,8,0),"")</f>
        <v>OP1</v>
      </c>
    </row>
    <row r="1002" spans="1:19" x14ac:dyDescent="0.3">
      <c r="A1002" s="25">
        <v>1294</v>
      </c>
      <c r="B1002" s="25" t="str">
        <f>IFERROR(VLOOKUP(Tabela1[[#This Row],[CC]],#REF!,5,0),"")</f>
        <v/>
      </c>
      <c r="C1002" t="s">
        <v>32</v>
      </c>
      <c r="D1002" t="s">
        <v>52</v>
      </c>
      <c r="E1002" t="s">
        <v>268</v>
      </c>
      <c r="F1002" t="s">
        <v>586</v>
      </c>
      <c r="G1002" s="107">
        <v>4338</v>
      </c>
      <c r="H1002" s="12">
        <v>45870</v>
      </c>
      <c r="I1002" s="24">
        <v>128748.48</v>
      </c>
      <c r="J1002" s="28">
        <v>120830.45</v>
      </c>
      <c r="K1002" s="3">
        <v>45911</v>
      </c>
      <c r="L1002" s="91">
        <v>45922</v>
      </c>
      <c r="M1002" s="11">
        <v>45926</v>
      </c>
      <c r="N1002" s="1" t="s">
        <v>588</v>
      </c>
      <c r="O1002" s="35">
        <v>0</v>
      </c>
      <c r="P1002"/>
      <c r="Q1002" t="s">
        <v>55</v>
      </c>
      <c r="R1002" t="s">
        <v>231</v>
      </c>
      <c r="S1002" t="str">
        <f>IFERROR(VLOOKUP(Tabela1[[#This Row],[CC]],CC!$A$1:$H$403,8,0),"")</f>
        <v>OP1</v>
      </c>
    </row>
    <row r="1003" spans="1:19" x14ac:dyDescent="0.3">
      <c r="A1003" s="25">
        <v>1294</v>
      </c>
      <c r="B1003" s="25" t="str">
        <f>IFERROR(VLOOKUP(Tabela1[[#This Row],[CC]],#REF!,5,0),"")</f>
        <v/>
      </c>
      <c r="C1003" t="s">
        <v>32</v>
      </c>
      <c r="D1003" t="s">
        <v>52</v>
      </c>
      <c r="E1003" t="s">
        <v>268</v>
      </c>
      <c r="F1003" t="s">
        <v>586</v>
      </c>
      <c r="G1003" s="107">
        <v>4353</v>
      </c>
      <c r="H1003" s="12">
        <v>45870</v>
      </c>
      <c r="I1003" s="24">
        <v>276165.96000000002</v>
      </c>
      <c r="J1003" s="28">
        <v>259181.75</v>
      </c>
      <c r="K1003" s="3">
        <v>45912</v>
      </c>
      <c r="L1003" s="91">
        <v>45929</v>
      </c>
      <c r="M1003" s="11">
        <v>45929</v>
      </c>
      <c r="N1003" s="1" t="s">
        <v>588</v>
      </c>
      <c r="O1003" s="35">
        <v>0</v>
      </c>
      <c r="P1003"/>
      <c r="Q1003" t="s">
        <v>55</v>
      </c>
      <c r="R1003" t="s">
        <v>231</v>
      </c>
      <c r="S1003" t="str">
        <f>IFERROR(VLOOKUP(Tabela1[[#This Row],[CC]],CC!$A$1:$H$403,8,0),"")</f>
        <v>OP1</v>
      </c>
    </row>
    <row r="1004" spans="1:19" x14ac:dyDescent="0.3">
      <c r="A1004" s="25">
        <v>1292</v>
      </c>
      <c r="B1004" s="25" t="str">
        <f>IFERROR(VLOOKUP(Tabela1[[#This Row],[CC]],#REF!,5,0),"")</f>
        <v/>
      </c>
      <c r="C1004" t="s">
        <v>32</v>
      </c>
      <c r="D1004" t="s">
        <v>56</v>
      </c>
      <c r="E1004" t="s">
        <v>266</v>
      </c>
      <c r="F1004" t="s">
        <v>586</v>
      </c>
      <c r="G1004" s="107">
        <v>4325</v>
      </c>
      <c r="H1004" s="12">
        <v>45870</v>
      </c>
      <c r="I1004" s="24">
        <v>58290</v>
      </c>
      <c r="J1004" s="24">
        <v>54705.16</v>
      </c>
      <c r="K1004" s="3">
        <v>45911</v>
      </c>
      <c r="L1004" s="91">
        <v>45922</v>
      </c>
      <c r="M1004" s="11">
        <v>45926</v>
      </c>
      <c r="N1004" s="1" t="s">
        <v>588</v>
      </c>
      <c r="O1004" s="35">
        <v>0</v>
      </c>
      <c r="P1004"/>
      <c r="Q1004" t="s">
        <v>55</v>
      </c>
      <c r="R1004" t="s">
        <v>231</v>
      </c>
      <c r="S1004" t="str">
        <f>IFERROR(VLOOKUP(Tabela1[[#This Row],[CC]],CC!$A$1:$H$403,8,0),"")</f>
        <v>OP1</v>
      </c>
    </row>
    <row r="1005" spans="1:19" x14ac:dyDescent="0.3">
      <c r="A1005" s="25">
        <v>1292</v>
      </c>
      <c r="B1005" s="25" t="str">
        <f>IFERROR(VLOOKUP(Tabela1[[#This Row],[CC]],#REF!,5,0),"")</f>
        <v/>
      </c>
      <c r="C1005" t="s">
        <v>32</v>
      </c>
      <c r="D1005" t="s">
        <v>56</v>
      </c>
      <c r="E1005" t="s">
        <v>266</v>
      </c>
      <c r="F1005" t="s">
        <v>586</v>
      </c>
      <c r="G1005" s="107">
        <v>4300</v>
      </c>
      <c r="H1005" s="12">
        <v>45870</v>
      </c>
      <c r="I1005" s="24">
        <v>48434.61</v>
      </c>
      <c r="J1005" s="24">
        <v>45455.88</v>
      </c>
      <c r="K1005" s="3">
        <v>45901</v>
      </c>
      <c r="L1005" s="91">
        <v>45915</v>
      </c>
      <c r="M1005" s="11">
        <v>45916</v>
      </c>
      <c r="N1005" s="1" t="s">
        <v>588</v>
      </c>
      <c r="O1005" s="35">
        <v>0</v>
      </c>
      <c r="P1005"/>
      <c r="Q1005" t="s">
        <v>55</v>
      </c>
      <c r="R1005" t="s">
        <v>231</v>
      </c>
      <c r="S1005" t="str">
        <f>IFERROR(VLOOKUP(Tabela1[[#This Row],[CC]],CC!$A$1:$H$403,8,0),"")</f>
        <v>OP1</v>
      </c>
    </row>
    <row r="1006" spans="1:19" x14ac:dyDescent="0.3">
      <c r="A1006" s="25">
        <v>1292</v>
      </c>
      <c r="B1006" s="25" t="str">
        <f>IFERROR(VLOOKUP(Tabela1[[#This Row],[CC]],#REF!,5,0),"")</f>
        <v/>
      </c>
      <c r="C1006" t="s">
        <v>32</v>
      </c>
      <c r="D1006" t="s">
        <v>56</v>
      </c>
      <c r="E1006" t="s">
        <v>266</v>
      </c>
      <c r="F1006" t="s">
        <v>586</v>
      </c>
      <c r="G1006" s="107">
        <v>4317</v>
      </c>
      <c r="H1006" s="12">
        <v>45870</v>
      </c>
      <c r="I1006" s="24">
        <v>31008</v>
      </c>
      <c r="J1006" s="24">
        <v>29101.01</v>
      </c>
      <c r="K1006" s="3">
        <v>45910</v>
      </c>
      <c r="L1006" s="91">
        <v>45922</v>
      </c>
      <c r="M1006" s="11">
        <v>45925</v>
      </c>
      <c r="N1006" s="1" t="s">
        <v>588</v>
      </c>
      <c r="O1006" s="35">
        <v>0</v>
      </c>
      <c r="P1006"/>
      <c r="Q1006" t="s">
        <v>55</v>
      </c>
      <c r="R1006" t="s">
        <v>231</v>
      </c>
      <c r="S1006" t="str">
        <f>IFERROR(VLOOKUP(Tabela1[[#This Row],[CC]],CC!$A$1:$H$403,8,0),"")</f>
        <v>OP1</v>
      </c>
    </row>
    <row r="1007" spans="1:19" x14ac:dyDescent="0.3">
      <c r="A1007" s="25">
        <v>1292</v>
      </c>
      <c r="B1007" s="25" t="str">
        <f>IFERROR(VLOOKUP(Tabela1[[#This Row],[CC]],#REF!,5,0),"")</f>
        <v/>
      </c>
      <c r="C1007" t="s">
        <v>32</v>
      </c>
      <c r="D1007" t="s">
        <v>56</v>
      </c>
      <c r="E1007" t="s">
        <v>266</v>
      </c>
      <c r="F1007" t="s">
        <v>586</v>
      </c>
      <c r="G1007" s="107">
        <v>4354</v>
      </c>
      <c r="H1007" s="12">
        <v>45870</v>
      </c>
      <c r="I1007" s="24">
        <v>34633.19</v>
      </c>
      <c r="J1007" s="24">
        <v>32503.25</v>
      </c>
      <c r="K1007" s="3">
        <v>45912</v>
      </c>
      <c r="L1007" s="91">
        <v>45929</v>
      </c>
      <c r="M1007" s="11">
        <v>45929</v>
      </c>
      <c r="N1007" s="1" t="s">
        <v>588</v>
      </c>
      <c r="O1007" s="35">
        <v>0</v>
      </c>
      <c r="P1007"/>
      <c r="Q1007" t="s">
        <v>55</v>
      </c>
      <c r="R1007" t="s">
        <v>231</v>
      </c>
      <c r="S1007" t="str">
        <f>IFERROR(VLOOKUP(Tabela1[[#This Row],[CC]],CC!$A$1:$H$403,8,0),"")</f>
        <v>OP1</v>
      </c>
    </row>
    <row r="1008" spans="1:19" x14ac:dyDescent="0.3">
      <c r="A1008" s="25">
        <v>1292</v>
      </c>
      <c r="B1008" s="25" t="str">
        <f>IFERROR(VLOOKUP(Tabela1[[#This Row],[CC]],#REF!,5,0),"")</f>
        <v/>
      </c>
      <c r="C1008" t="s">
        <v>32</v>
      </c>
      <c r="D1008" t="s">
        <v>56</v>
      </c>
      <c r="E1008" t="s">
        <v>266</v>
      </c>
      <c r="F1008" t="s">
        <v>586</v>
      </c>
      <c r="G1008" s="107">
        <v>4355</v>
      </c>
      <c r="H1008" s="12">
        <v>45870</v>
      </c>
      <c r="I1008" s="24">
        <v>124611.96</v>
      </c>
      <c r="J1008" s="24">
        <v>116948.32</v>
      </c>
      <c r="K1008" s="3">
        <v>45915</v>
      </c>
      <c r="L1008" s="91">
        <v>45929</v>
      </c>
      <c r="M1008" s="11">
        <v>45930</v>
      </c>
      <c r="N1008" s="1" t="s">
        <v>588</v>
      </c>
      <c r="O1008" s="35">
        <v>0</v>
      </c>
      <c r="P1008"/>
      <c r="Q1008" t="s">
        <v>55</v>
      </c>
      <c r="R1008" t="s">
        <v>231</v>
      </c>
      <c r="S1008" t="str">
        <f>IFERROR(VLOOKUP(Tabela1[[#This Row],[CC]],CC!$A$1:$H$403,8,0),"")</f>
        <v>OP1</v>
      </c>
    </row>
    <row r="1009" spans="1:19" x14ac:dyDescent="0.3">
      <c r="A1009" s="25">
        <v>1292</v>
      </c>
      <c r="B1009" s="25" t="str">
        <f>IFERROR(VLOOKUP(Tabela1[[#This Row],[CC]],#REF!,5,0),"")</f>
        <v/>
      </c>
      <c r="C1009" t="s">
        <v>32</v>
      </c>
      <c r="D1009" t="s">
        <v>56</v>
      </c>
      <c r="E1009" t="s">
        <v>266</v>
      </c>
      <c r="F1009" t="s">
        <v>586</v>
      </c>
      <c r="G1009" s="107">
        <v>4356</v>
      </c>
      <c r="H1009" s="12">
        <v>45870</v>
      </c>
      <c r="I1009" s="24">
        <v>48434.61</v>
      </c>
      <c r="J1009" s="24">
        <v>45455.88</v>
      </c>
      <c r="K1009" s="3">
        <v>45915</v>
      </c>
      <c r="L1009" s="91">
        <v>45929</v>
      </c>
      <c r="M1009" s="11">
        <v>45930</v>
      </c>
      <c r="N1009" s="1" t="s">
        <v>588</v>
      </c>
      <c r="O1009" s="35">
        <v>0</v>
      </c>
      <c r="P1009"/>
      <c r="Q1009" t="s">
        <v>55</v>
      </c>
      <c r="R1009" t="s">
        <v>231</v>
      </c>
      <c r="S1009" t="str">
        <f>IFERROR(VLOOKUP(Tabela1[[#This Row],[CC]],CC!$A$1:$H$403,8,0),"")</f>
        <v>OP1</v>
      </c>
    </row>
    <row r="1010" spans="1:19" x14ac:dyDescent="0.3">
      <c r="A1010" s="25">
        <v>1484</v>
      </c>
      <c r="B1010" s="25" t="str">
        <f>IFERROR(VLOOKUP(Tabela1[[#This Row],[CC]],#REF!,5,0),"")</f>
        <v/>
      </c>
      <c r="C1010" t="s">
        <v>32</v>
      </c>
      <c r="D1010" t="s">
        <v>56</v>
      </c>
      <c r="E1010" t="s">
        <v>489</v>
      </c>
      <c r="F1010" t="s">
        <v>586</v>
      </c>
      <c r="G1010" s="107">
        <v>4311</v>
      </c>
      <c r="H1010" s="12">
        <v>45870</v>
      </c>
      <c r="I1010" s="24">
        <v>36601.06</v>
      </c>
      <c r="J1010" s="24">
        <v>34350.089999999997</v>
      </c>
      <c r="K1010" s="3">
        <v>45908</v>
      </c>
      <c r="L1010" s="91">
        <v>45922</v>
      </c>
      <c r="M1010" s="11">
        <v>45926</v>
      </c>
      <c r="N1010" s="1" t="s">
        <v>588</v>
      </c>
      <c r="O1010" s="35">
        <v>0</v>
      </c>
      <c r="P1010"/>
      <c r="Q1010" t="s">
        <v>57</v>
      </c>
      <c r="R1010" t="s">
        <v>231</v>
      </c>
      <c r="S1010" t="str">
        <f>IFERROR(VLOOKUP(Tabela1[[#This Row],[CC]],CC!$A$1:$H$403,8,0),"")</f>
        <v>OP1</v>
      </c>
    </row>
    <row r="1011" spans="1:19" x14ac:dyDescent="0.3">
      <c r="A1011" s="25">
        <v>1398</v>
      </c>
      <c r="B1011" s="25" t="str">
        <f>IFERROR(VLOOKUP(Tabela1[[#This Row],[CC]],#REF!,5,0),"")</f>
        <v/>
      </c>
      <c r="C1011" t="s">
        <v>67</v>
      </c>
      <c r="D1011" t="s">
        <v>42</v>
      </c>
      <c r="E1011" t="s">
        <v>383</v>
      </c>
      <c r="F1011" t="s">
        <v>586</v>
      </c>
      <c r="G1011" s="107">
        <v>7937</v>
      </c>
      <c r="H1011" s="12">
        <v>45413</v>
      </c>
      <c r="I1011" s="27">
        <v>1671.12</v>
      </c>
      <c r="J1011" s="24">
        <v>1463.56</v>
      </c>
      <c r="K1011" s="3">
        <v>45463</v>
      </c>
      <c r="L1011" s="91">
        <v>45985</v>
      </c>
      <c r="M1011" s="11">
        <v>45987</v>
      </c>
      <c r="N1011" s="18" t="s">
        <v>588</v>
      </c>
      <c r="O1011" s="35">
        <v>0</v>
      </c>
      <c r="P1011"/>
      <c r="Q1011" t="s">
        <v>58</v>
      </c>
      <c r="R1011" t="s">
        <v>183</v>
      </c>
      <c r="S1011" t="str">
        <f>IFERROR(VLOOKUP(Tabela1[[#This Row],[CC]],CC!$A$1:$H$403,8,0),"")</f>
        <v>OP2</v>
      </c>
    </row>
    <row r="1012" spans="1:19" x14ac:dyDescent="0.3">
      <c r="A1012" s="25">
        <v>1398</v>
      </c>
      <c r="B1012" s="25" t="str">
        <f>IFERROR(VLOOKUP(Tabela1[[#This Row],[CC]],#REF!,5,0),"")</f>
        <v/>
      </c>
      <c r="C1012" t="s">
        <v>67</v>
      </c>
      <c r="D1012" t="s">
        <v>42</v>
      </c>
      <c r="E1012" t="s">
        <v>383</v>
      </c>
      <c r="F1012" t="s">
        <v>586</v>
      </c>
      <c r="G1012" s="107">
        <v>8505</v>
      </c>
      <c r="H1012" s="12">
        <v>45870</v>
      </c>
      <c r="I1012" s="27">
        <v>26093.54</v>
      </c>
      <c r="J1012" s="24">
        <v>24488.79</v>
      </c>
      <c r="K1012" s="3">
        <v>45909</v>
      </c>
      <c r="L1012" s="91">
        <v>45936</v>
      </c>
      <c r="M1012" s="11">
        <v>45939</v>
      </c>
      <c r="N1012" s="18" t="s">
        <v>588</v>
      </c>
      <c r="O1012" s="35">
        <v>0</v>
      </c>
      <c r="P1012"/>
      <c r="Q1012" t="s">
        <v>58</v>
      </c>
      <c r="R1012" t="s">
        <v>183</v>
      </c>
      <c r="S1012" t="str">
        <f>IFERROR(VLOOKUP(Tabela1[[#This Row],[CC]],CC!$A$1:$H$403,8,0),"")</f>
        <v>OP2</v>
      </c>
    </row>
    <row r="1013" spans="1:19" x14ac:dyDescent="0.3">
      <c r="A1013" s="25">
        <v>1398</v>
      </c>
      <c r="B1013" s="25" t="str">
        <f>IFERROR(VLOOKUP(Tabela1[[#This Row],[CC]],#REF!,5,0),"")</f>
        <v/>
      </c>
      <c r="C1013" t="str">
        <f>IFERROR(VLOOKUP(Tabela1[[#This Row],[CC]],CC!$A$1:$H$389,7,0),"")</f>
        <v>RODRIGO CORUMBA</v>
      </c>
      <c r="D1013" t="str">
        <f>IFERROR(VLOOKUP(Tabela1[[#This Row],[CC]],CC!$A$1:$I$3869,3,0),"")</f>
        <v>COMPASS</v>
      </c>
      <c r="E1013" t="str">
        <f>IFERROR(VLOOKUP(Tabela1[[#This Row],[CC]],CC!$A$1:$H$389,2,0),"")</f>
        <v>COMPASS (1398)</v>
      </c>
      <c r="F1013" t="s">
        <v>586</v>
      </c>
      <c r="G1013" s="107">
        <v>7962</v>
      </c>
      <c r="H1013" s="12">
        <v>45444</v>
      </c>
      <c r="I1013" s="27">
        <v>1671.12</v>
      </c>
      <c r="J1013" s="24">
        <v>1463.56</v>
      </c>
      <c r="K1013" s="3">
        <v>45497</v>
      </c>
      <c r="L1013" s="91">
        <v>45985</v>
      </c>
      <c r="M1013" s="11">
        <v>45987</v>
      </c>
      <c r="N1013" s="18" t="s">
        <v>588</v>
      </c>
      <c r="O1013" s="35">
        <v>0</v>
      </c>
      <c r="P1013"/>
      <c r="Q1013" t="str">
        <f>IFERROR(VLOOKUP(Tabela1[[#This Row],[CC]],CC!$A$1:$H$389,5,0),"")</f>
        <v>CSA</v>
      </c>
      <c r="R1013" t="str">
        <f>IFERROR(VLOOKUP(Tabela1[[#This Row],[CC]],CC!$A$1:$H$389,6,0),"")</f>
        <v>UT</v>
      </c>
      <c r="S1013" t="str">
        <f>IFERROR(VLOOKUP(Tabela1[[#This Row],[CC]],CC!$A$1:$H$403,8,0),"")</f>
        <v>OP2</v>
      </c>
    </row>
    <row r="1014" spans="1:19" x14ac:dyDescent="0.3">
      <c r="A1014" s="25">
        <v>1398</v>
      </c>
      <c r="B1014" s="25" t="str">
        <f>IFERROR(VLOOKUP(Tabela1[[#This Row],[CC]],#REF!,5,0),"")</f>
        <v/>
      </c>
      <c r="C1014" t="str">
        <f>IFERROR(VLOOKUP(Tabela1[[#This Row],[CC]],CC!$A$1:$H$389,7,0),"")</f>
        <v>RODRIGO CORUMBA</v>
      </c>
      <c r="D1014" t="str">
        <f>IFERROR(VLOOKUP(Tabela1[[#This Row],[CC]],CC!$A$1:$I$3869,3,0),"")</f>
        <v>COMPASS</v>
      </c>
      <c r="E1014" t="str">
        <f>IFERROR(VLOOKUP(Tabela1[[#This Row],[CC]],CC!$A$1:$H$389,2,0),"")</f>
        <v>COMPASS (1398)</v>
      </c>
      <c r="F1014" t="s">
        <v>586</v>
      </c>
      <c r="G1014" s="107">
        <v>7978</v>
      </c>
      <c r="H1014" s="12">
        <v>45474</v>
      </c>
      <c r="I1014" s="27">
        <v>1671.1199999999953</v>
      </c>
      <c r="J1014" s="24">
        <v>1463.5599999999977</v>
      </c>
      <c r="K1014" s="3">
        <v>45511</v>
      </c>
      <c r="L1014" s="91">
        <v>45985</v>
      </c>
      <c r="M1014" s="11">
        <v>45987</v>
      </c>
      <c r="N1014" s="18" t="s">
        <v>588</v>
      </c>
      <c r="O1014" s="35">
        <v>0</v>
      </c>
      <c r="P1014"/>
      <c r="Q1014" t="str">
        <f>IFERROR(VLOOKUP(Tabela1[[#This Row],[CC]],CC!$A$1:$H$389,5,0),"")</f>
        <v>CSA</v>
      </c>
      <c r="R1014" t="str">
        <f>IFERROR(VLOOKUP(Tabela1[[#This Row],[CC]],CC!$A$1:$H$389,6,0),"")</f>
        <v>UT</v>
      </c>
      <c r="S1014" t="str">
        <f>IFERROR(VLOOKUP(Tabela1[[#This Row],[CC]],CC!$A$1:$H$403,8,0),"")</f>
        <v>OP2</v>
      </c>
    </row>
    <row r="1015" spans="1:19" x14ac:dyDescent="0.3">
      <c r="A1015" s="8">
        <v>1393</v>
      </c>
      <c r="B1015" s="8" t="str">
        <f>IFERROR(VLOOKUP(Tabela1[[#This Row],[CC]],#REF!,5,0),"")</f>
        <v/>
      </c>
      <c r="C1015" t="str">
        <f>IFERROR(VLOOKUP(Tabela1[[#This Row],[CC]],CC!$A$1:$H$389,7,0),"")</f>
        <v>ROGERIO GORDILHO</v>
      </c>
      <c r="D1015" t="str">
        <f>IFERROR(VLOOKUP(Tabela1[[#This Row],[CC]],CC!$A$1:$I$3869,3,0),"")</f>
        <v xml:space="preserve">DETRAN-BA </v>
      </c>
      <c r="E1015" t="str">
        <f>IFERROR(VLOOKUP(Tabela1[[#This Row],[CC]],CC!$A$1:$H$389,2,0),"")</f>
        <v>DETRAN - N3 (1393)</v>
      </c>
      <c r="F1015" t="s">
        <v>586</v>
      </c>
      <c r="G1015" s="107">
        <v>8507</v>
      </c>
      <c r="H1015" s="12">
        <v>45870</v>
      </c>
      <c r="I1015" s="24">
        <v>475106.24</v>
      </c>
      <c r="J1015" s="10">
        <v>426170.3</v>
      </c>
      <c r="K1015" s="3">
        <v>45909</v>
      </c>
      <c r="L1015" s="91">
        <v>45936</v>
      </c>
      <c r="M1015" s="5">
        <v>45940</v>
      </c>
      <c r="N1015" s="18" t="s">
        <v>588</v>
      </c>
      <c r="O1015" s="34">
        <v>0</v>
      </c>
      <c r="P1015" s="14"/>
      <c r="Q1015" t="str">
        <f>IFERROR(VLOOKUP(Tabela1[[#This Row],[CC]],CC!$A$1:$H$389,5,0),"")</f>
        <v>CSA</v>
      </c>
      <c r="R1015" t="str">
        <f>IFERROR(VLOOKUP(Tabela1[[#This Row],[CC]],CC!$A$1:$H$389,6,0),"")</f>
        <v>PS</v>
      </c>
      <c r="S1015" t="str">
        <f>IFERROR(VLOOKUP(Tabela1[[#This Row],[CC]],CC!$A$1:$H$403,8,0),"")</f>
        <v>OP4</v>
      </c>
    </row>
    <row r="1016" spans="1:19" x14ac:dyDescent="0.3">
      <c r="A1016" s="8">
        <v>1476</v>
      </c>
      <c r="B1016" s="8" t="str">
        <f>IFERROR(VLOOKUP(Tabela1[[#This Row],[CC]],#REF!,5,0),"")</f>
        <v/>
      </c>
      <c r="C1016" t="str">
        <f>IFERROR(VLOOKUP(Tabela1[[#This Row],[CC]],CC!$A$1:$H$389,7,0),"")</f>
        <v>ROGERIO GORDILHO</v>
      </c>
      <c r="D1016" t="str">
        <f>IFERROR(VLOOKUP(Tabela1[[#This Row],[CC]],CC!$A$1:$I$3869,3,0),"")</f>
        <v>DPE</v>
      </c>
      <c r="E1016" t="str">
        <f>IFERROR(VLOOKUP(Tabela1[[#This Row],[CC]],CC!$A$1:$H$389,2,0),"")</f>
        <v>DPE - BA Digital Center (1476)</v>
      </c>
      <c r="F1016" t="s">
        <v>586</v>
      </c>
      <c r="G1016" s="107">
        <v>8497</v>
      </c>
      <c r="H1016" s="12">
        <v>45870</v>
      </c>
      <c r="I1016" s="24">
        <v>318628.40000000002</v>
      </c>
      <c r="J1016" s="24">
        <v>285809.68</v>
      </c>
      <c r="K1016" s="3">
        <v>45904</v>
      </c>
      <c r="L1016" s="91">
        <v>45929</v>
      </c>
      <c r="M1016" s="5">
        <v>45929</v>
      </c>
      <c r="N1016" s="21" t="s">
        <v>588</v>
      </c>
      <c r="O1016" s="34"/>
      <c r="P1016" s="14"/>
      <c r="Q1016" t="str">
        <f>IFERROR(VLOOKUP(Tabela1[[#This Row],[CC]],CC!$A$1:$H$389,5,0),"")</f>
        <v>CSA</v>
      </c>
      <c r="R1016" t="str">
        <f>IFERROR(VLOOKUP(Tabela1[[#This Row],[CC]],CC!$A$1:$H$389,6,0),"")</f>
        <v>PS</v>
      </c>
      <c r="S1016" t="str">
        <f>IFERROR(VLOOKUP(Tabela1[[#This Row],[CC]],CC!$A$1:$H$403,8,0),"")</f>
        <v>OP4</v>
      </c>
    </row>
    <row r="1017" spans="1:19" x14ac:dyDescent="0.3">
      <c r="A1017" s="8">
        <v>1476</v>
      </c>
      <c r="B1017" s="8" t="str">
        <f>IFERROR(VLOOKUP(Tabela1[[#This Row],[CC]],#REF!,5,0),"")</f>
        <v/>
      </c>
      <c r="C1017" t="str">
        <f>IFERROR(VLOOKUP(Tabela1[[#This Row],[CC]],CC!$A$1:$H$389,7,0),"")</f>
        <v>ROGERIO GORDILHO</v>
      </c>
      <c r="D1017" t="str">
        <f>IFERROR(VLOOKUP(Tabela1[[#This Row],[CC]],CC!$A$1:$I$3869,3,0),"")</f>
        <v>DPE</v>
      </c>
      <c r="E1017" t="str">
        <f>IFERROR(VLOOKUP(Tabela1[[#This Row],[CC]],CC!$A$1:$H$389,2,0),"")</f>
        <v>DPE - BA Digital Center (1476)</v>
      </c>
      <c r="F1017" t="s">
        <v>586</v>
      </c>
      <c r="G1017" s="107">
        <v>8798</v>
      </c>
      <c r="H1017" s="12">
        <v>45870</v>
      </c>
      <c r="I1017" s="24">
        <v>273.12</v>
      </c>
      <c r="J1017" s="24">
        <v>244.99</v>
      </c>
      <c r="K1017" s="3">
        <v>45904</v>
      </c>
      <c r="L1017" s="91">
        <v>45929</v>
      </c>
      <c r="M1017" s="5">
        <v>45929</v>
      </c>
      <c r="N1017" s="21" t="s">
        <v>588</v>
      </c>
      <c r="O1017" s="34"/>
      <c r="P1017" s="14"/>
      <c r="Q1017" t="str">
        <f>IFERROR(VLOOKUP(Tabela1[[#This Row],[CC]],CC!$A$1:$H$389,5,0),"")</f>
        <v>CSA</v>
      </c>
      <c r="R1017" t="str">
        <f>IFERROR(VLOOKUP(Tabela1[[#This Row],[CC]],CC!$A$1:$H$389,6,0),"")</f>
        <v>PS</v>
      </c>
      <c r="S1017" t="str">
        <f>IFERROR(VLOOKUP(Tabela1[[#This Row],[CC]],CC!$A$1:$H$403,8,0),"")</f>
        <v>OP4</v>
      </c>
    </row>
    <row r="1018" spans="1:19" x14ac:dyDescent="0.3">
      <c r="A1018" s="25">
        <v>1296</v>
      </c>
      <c r="B1018" s="25" t="str">
        <f>IFERROR(VLOOKUP(Tabela1[[#This Row],[CC]],#REF!,5,0),"")</f>
        <v/>
      </c>
      <c r="C1018" t="str">
        <f>IFERROR(VLOOKUP(Tabela1[[#This Row],[CC]],CC!$A$1:$H$389,7,0),"")</f>
        <v>JOSÉ NETO</v>
      </c>
      <c r="D1018" t="str">
        <f>IFERROR(VLOOKUP(Tabela1[[#This Row],[CC]],CC!$A$1:$I$3869,3,0),"")</f>
        <v>AXIA</v>
      </c>
      <c r="E1018" t="str">
        <f>IFERROR(VLOOKUP(Tabela1[[#This Row],[CC]],CC!$A$1:$H$389,2,0),"")</f>
        <v>ELETROBRAS DIGITAL SUPORT (1296)</v>
      </c>
      <c r="F1018" t="s">
        <v>586</v>
      </c>
      <c r="G1018" s="107">
        <v>8491</v>
      </c>
      <c r="H1018" s="12">
        <v>45870</v>
      </c>
      <c r="I1018" s="24">
        <v>35000</v>
      </c>
      <c r="J1018" s="24">
        <v>32147.5</v>
      </c>
      <c r="K1018" s="3">
        <v>45903</v>
      </c>
      <c r="L1018" s="91">
        <v>45936</v>
      </c>
      <c r="M1018" s="29">
        <v>45936</v>
      </c>
      <c r="N1018" s="18" t="s">
        <v>588</v>
      </c>
      <c r="O1018" s="41"/>
      <c r="P1018" s="26"/>
      <c r="Q1018" t="str">
        <f>IFERROR(VLOOKUP(Tabela1[[#This Row],[CC]],CC!$A$1:$H$389,5,0),"")</f>
        <v>CSA</v>
      </c>
      <c r="R1018" t="str">
        <f>IFERROR(VLOOKUP(Tabela1[[#This Row],[CC]],CC!$A$1:$H$389,6,0),"")</f>
        <v>UT</v>
      </c>
      <c r="S1018" t="str">
        <f>IFERROR(VLOOKUP(Tabela1[[#This Row],[CC]],CC!$A$1:$H$403,8,0),"")</f>
        <v>OP2</v>
      </c>
    </row>
    <row r="1019" spans="1:19" x14ac:dyDescent="0.3">
      <c r="A1019" s="25">
        <v>1262</v>
      </c>
      <c r="B1019" s="25" t="str">
        <f>IFERROR(VLOOKUP(Tabela1[[#This Row],[CC]],#REF!,5,0),"")</f>
        <v/>
      </c>
      <c r="C1019" t="s">
        <v>51</v>
      </c>
      <c r="D1019" t="s">
        <v>25</v>
      </c>
      <c r="E1019" t="s">
        <v>230</v>
      </c>
      <c r="F1019" t="s">
        <v>586</v>
      </c>
      <c r="G1019" s="107">
        <v>4261</v>
      </c>
      <c r="H1019" s="12">
        <v>45839</v>
      </c>
      <c r="I1019" s="24">
        <v>15016.96</v>
      </c>
      <c r="J1019" s="24">
        <v>14093.42</v>
      </c>
      <c r="K1019" s="3">
        <v>45890</v>
      </c>
      <c r="L1019" s="91">
        <v>45894</v>
      </c>
      <c r="M1019" s="11">
        <v>45898</v>
      </c>
      <c r="N1019" s="18" t="s">
        <v>588</v>
      </c>
      <c r="O1019" s="35">
        <v>0</v>
      </c>
      <c r="P1019" s="26"/>
      <c r="Q1019" t="s">
        <v>55</v>
      </c>
      <c r="R1019" t="s">
        <v>231</v>
      </c>
      <c r="S1019" t="str">
        <f>IFERROR(VLOOKUP(Tabela1[[#This Row],[CC]],CC!$A$1:$H$403,8,0),"")</f>
        <v>OP2</v>
      </c>
    </row>
    <row r="1020" spans="1:19" x14ac:dyDescent="0.3">
      <c r="A1020" s="8">
        <v>1300</v>
      </c>
      <c r="B1020" s="8" t="str">
        <f>IFERROR(VLOOKUP(Tabela1[[#This Row],[CC]],#REF!,5,0),"")</f>
        <v/>
      </c>
      <c r="C1020" t="str">
        <f>IFERROR(VLOOKUP(Tabela1[[#This Row],[CC]],CC!$A$1:$H$389,7,0),"")</f>
        <v>JOSÉ NETO</v>
      </c>
      <c r="D1020" t="str">
        <f>IFERROR(VLOOKUP(Tabela1[[#This Row],[CC]],CC!$A$1:$I$3869,3,0),"")</f>
        <v>AXIA</v>
      </c>
      <c r="E1020" t="str">
        <f>IFERROR(VLOOKUP(Tabela1[[#This Row],[CC]],CC!$A$1:$H$389,2,0),"")</f>
        <v>ELETROBRAS RS NOVO (1300)</v>
      </c>
      <c r="F1020" t="s">
        <v>586</v>
      </c>
      <c r="G1020" s="107">
        <v>1295</v>
      </c>
      <c r="H1020" s="12">
        <v>45870</v>
      </c>
      <c r="I1020" s="24">
        <v>287717.94</v>
      </c>
      <c r="J1020" s="10">
        <v>264268.92</v>
      </c>
      <c r="K1020" s="3">
        <v>45911</v>
      </c>
      <c r="L1020" s="91">
        <v>45957</v>
      </c>
      <c r="M1020" s="5">
        <v>45957</v>
      </c>
      <c r="N1020" s="36" t="s">
        <v>588</v>
      </c>
      <c r="O1020" s="37">
        <v>0</v>
      </c>
      <c r="P1020" s="14"/>
      <c r="Q1020" t="str">
        <f>IFERROR(VLOOKUP(Tabela1[[#This Row],[CC]],CC!$A$1:$H$389,5,0),"")</f>
        <v>CSA</v>
      </c>
      <c r="R1020" t="str">
        <f>IFERROR(VLOOKUP(Tabela1[[#This Row],[CC]],CC!$A$1:$H$389,6,0),"")</f>
        <v>UT</v>
      </c>
      <c r="S1020" t="str">
        <f>IFERROR(VLOOKUP(Tabela1[[#This Row],[CC]],CC!$A$1:$H$403,8,0),"")</f>
        <v>OP2</v>
      </c>
    </row>
    <row r="1021" spans="1:19" x14ac:dyDescent="0.3">
      <c r="A1021" s="8">
        <v>1300</v>
      </c>
      <c r="B1021" s="8" t="str">
        <f>IFERROR(VLOOKUP(Tabela1[[#This Row],[CC]],#REF!,5,0),"")</f>
        <v/>
      </c>
      <c r="C1021" t="str">
        <f>IFERROR(VLOOKUP(Tabela1[[#This Row],[CC]],CC!$A$1:$H$389,7,0),"")</f>
        <v>JOSÉ NETO</v>
      </c>
      <c r="D1021" t="str">
        <f>IFERROR(VLOOKUP(Tabela1[[#This Row],[CC]],CC!$A$1:$I$3869,3,0),"")</f>
        <v>AXIA</v>
      </c>
      <c r="E1021" t="str">
        <f>IFERROR(VLOOKUP(Tabela1[[#This Row],[CC]],CC!$A$1:$H$389,2,0),"")</f>
        <v>ELETROBRAS RS NOVO (1300)</v>
      </c>
      <c r="F1021" t="s">
        <v>586</v>
      </c>
      <c r="G1021" s="107">
        <v>8514</v>
      </c>
      <c r="H1021" s="12">
        <v>45870</v>
      </c>
      <c r="I1021" s="24">
        <v>35127.120000000003</v>
      </c>
      <c r="J1021" s="10">
        <v>32264.26</v>
      </c>
      <c r="K1021" s="3">
        <v>45912</v>
      </c>
      <c r="L1021" s="91">
        <v>45943</v>
      </c>
      <c r="M1021" s="5">
        <v>45946</v>
      </c>
      <c r="N1021" s="36" t="s">
        <v>588</v>
      </c>
      <c r="O1021" s="37">
        <v>0</v>
      </c>
      <c r="P1021" s="14"/>
      <c r="Q1021" t="str">
        <f>IFERROR(VLOOKUP(Tabela1[[#This Row],[CC]],CC!$A$1:$H$389,5,0),"")</f>
        <v>CSA</v>
      </c>
      <c r="R1021" t="str">
        <f>IFERROR(VLOOKUP(Tabela1[[#This Row],[CC]],CC!$A$1:$H$389,6,0),"")</f>
        <v>UT</v>
      </c>
      <c r="S1021" t="str">
        <f>IFERROR(VLOOKUP(Tabela1[[#This Row],[CC]],CC!$A$1:$H$403,8,0),"")</f>
        <v>OP2</v>
      </c>
    </row>
    <row r="1022" spans="1:19" x14ac:dyDescent="0.3">
      <c r="A1022" s="25">
        <v>1290</v>
      </c>
      <c r="B1022" s="25" t="str">
        <f>IFERROR(VLOOKUP(Tabela1[[#This Row],[CC]],#REF!,5,0),"")</f>
        <v/>
      </c>
      <c r="C1022" t="str">
        <f>IFERROR(VLOOKUP(Tabela1[[#This Row],[CC]],CC!$A$1:$H$389,7,0),"")</f>
        <v>ROGERIO GORDILHO</v>
      </c>
      <c r="D1022" t="str">
        <f>IFERROR(VLOOKUP(Tabela1[[#This Row],[CC]],CC!$A$1:$I$3869,3,0),"")</f>
        <v>EMBASA</v>
      </c>
      <c r="E1022" t="str">
        <f>IFERROR(VLOOKUP(Tabela1[[#This Row],[CC]],CC!$A$1:$H$389,2,0),"")</f>
        <v>EMBASA - NOVO (1290)</v>
      </c>
      <c r="F1022" t="s">
        <v>586</v>
      </c>
      <c r="G1022" s="107">
        <v>8499</v>
      </c>
      <c r="H1022" s="12">
        <v>45870</v>
      </c>
      <c r="I1022" s="24">
        <v>53175.27</v>
      </c>
      <c r="J1022" s="24">
        <v>46980.35</v>
      </c>
      <c r="K1022" s="3">
        <v>45904</v>
      </c>
      <c r="L1022" s="91">
        <v>45936</v>
      </c>
      <c r="M1022" s="11">
        <v>45936</v>
      </c>
      <c r="N1022" s="21" t="s">
        <v>588</v>
      </c>
      <c r="O1022" s="35">
        <v>0</v>
      </c>
      <c r="P1022" s="26"/>
      <c r="Q1022" t="str">
        <f>IFERROR(VLOOKUP(Tabela1[[#This Row],[CC]],CC!$A$1:$H$389,5,0),"")</f>
        <v>CSA</v>
      </c>
      <c r="R1022" t="str">
        <f>IFERROR(VLOOKUP(Tabela1[[#This Row],[CC]],CC!$A$1:$H$389,6,0),"")</f>
        <v>UT</v>
      </c>
      <c r="S1022" t="str">
        <f>IFERROR(VLOOKUP(Tabela1[[#This Row],[CC]],CC!$A$1:$H$403,8,0),"")</f>
        <v>OP4</v>
      </c>
    </row>
    <row r="1023" spans="1:19" x14ac:dyDescent="0.3">
      <c r="A1023" s="25">
        <v>1490</v>
      </c>
      <c r="B1023" s="25" t="str">
        <f>IFERROR(VLOOKUP(Tabela1[[#This Row],[CC]],#REF!,5,0),"")</f>
        <v/>
      </c>
      <c r="C1023" t="str">
        <f>IFERROR(VLOOKUP(Tabela1[[#This Row],[CC]],CC!$A$1:$H$389,7,0),"")</f>
        <v>ROGERIO GORDILHO</v>
      </c>
      <c r="D1023" t="str">
        <f>IFERROR(VLOOKUP(Tabela1[[#This Row],[CC]],CC!$A$1:$I$3869,3,0),"")</f>
        <v>EMBASA</v>
      </c>
      <c r="E1023" t="str">
        <f>IFERROR(VLOOKUP(Tabela1[[#This Row],[CC]],CC!$A$1:$H$389,2,0),"")</f>
        <v>EMBASA - Sustentação ITSM (1490)</v>
      </c>
      <c r="F1023" t="s">
        <v>586</v>
      </c>
      <c r="G1023" s="107">
        <v>8500</v>
      </c>
      <c r="H1023" s="12">
        <v>45870</v>
      </c>
      <c r="I1023" s="24">
        <v>2300</v>
      </c>
      <c r="J1023" s="24">
        <v>2032.05</v>
      </c>
      <c r="K1023" s="3">
        <v>45904</v>
      </c>
      <c r="L1023" s="91">
        <v>45936</v>
      </c>
      <c r="M1023" s="11">
        <v>45936</v>
      </c>
      <c r="N1023" s="21" t="s">
        <v>588</v>
      </c>
      <c r="O1023" s="35">
        <v>0</v>
      </c>
      <c r="P1023" s="26"/>
      <c r="Q1023" t="str">
        <f>IFERROR(VLOOKUP(Tabela1[[#This Row],[CC]],CC!$A$1:$H$389,5,0),"")</f>
        <v>CSA</v>
      </c>
      <c r="R1023" t="str">
        <f>IFERROR(VLOOKUP(Tabela1[[#This Row],[CC]],CC!$A$1:$H$389,6,0),"")</f>
        <v>UT</v>
      </c>
      <c r="S1023" t="str">
        <f>IFERROR(VLOOKUP(Tabela1[[#This Row],[CC]],CC!$A$1:$H$403,8,0),"")</f>
        <v>OP4</v>
      </c>
    </row>
    <row r="1024" spans="1:19" x14ac:dyDescent="0.3">
      <c r="A1024" s="8">
        <v>1480</v>
      </c>
      <c r="B1024" s="8" t="str">
        <f>IFERROR(VLOOKUP(Tabela1[[#This Row],[CC]],#REF!,5,0),"")</f>
        <v/>
      </c>
      <c r="C1024" t="str">
        <f>IFERROR(VLOOKUP(Tabela1[[#This Row],[CC]],CC!$A$1:$H$389,7,0),"")</f>
        <v>RODRIGO CORUMBA</v>
      </c>
      <c r="D1024" t="str">
        <f>IFERROR(VLOOKUP(Tabela1[[#This Row],[CC]],CC!$A$1:$I$3869,3,0),"")</f>
        <v>ENTREPAY</v>
      </c>
      <c r="E1024" t="str">
        <f>IFERROR(VLOOKUP(Tabela1[[#This Row],[CC]],CC!$A$1:$H$389,2,0),"")</f>
        <v>Entrepay ADS Alocação (1480)</v>
      </c>
      <c r="F1024" t="s">
        <v>586</v>
      </c>
      <c r="G1024" s="107">
        <v>4361</v>
      </c>
      <c r="H1024" s="12">
        <v>45870</v>
      </c>
      <c r="I1024" s="24">
        <v>323657.03999999998</v>
      </c>
      <c r="J1024" s="10">
        <v>303752.13</v>
      </c>
      <c r="K1024" s="3">
        <v>45916</v>
      </c>
      <c r="L1024" s="91">
        <v>45929</v>
      </c>
      <c r="M1024" s="5">
        <v>45930</v>
      </c>
      <c r="N1024" s="18" t="s">
        <v>588</v>
      </c>
      <c r="O1024" s="37"/>
      <c r="P1024" s="14"/>
      <c r="Q1024" t="str">
        <f>IFERROR(VLOOKUP(Tabela1[[#This Row],[CC]],CC!$A$1:$H$389,5,0),"")</f>
        <v>ADS</v>
      </c>
      <c r="R1024" t="str">
        <f>IFERROR(VLOOKUP(Tabela1[[#This Row],[CC]],CC!$A$1:$H$389,6,0),"")</f>
        <v>FS</v>
      </c>
      <c r="S1024" t="str">
        <f>IFERROR(VLOOKUP(Tabela1[[#This Row],[CC]],CC!$A$1:$H$403,8,0),"")</f>
        <v>OP2</v>
      </c>
    </row>
    <row r="1025" spans="1:21" x14ac:dyDescent="0.3">
      <c r="A1025" s="8">
        <v>1475</v>
      </c>
      <c r="B1025" s="8" t="str">
        <f>IFERROR(VLOOKUP(Tabela1[[#This Row],[CC]],#REF!,5,0),"")</f>
        <v/>
      </c>
      <c r="C1025" t="str">
        <f>IFERROR(VLOOKUP(Tabela1[[#This Row],[CC]],CC!$A$1:$H$389,7,0),"")</f>
        <v>LIZANDRA PIMENTA</v>
      </c>
      <c r="D1025" t="str">
        <f>IFERROR(VLOOKUP(Tabela1[[#This Row],[CC]],CC!$A$1:$I$3869,3,0),"")</f>
        <v>FAPESB</v>
      </c>
      <c r="E1025" t="str">
        <f>IFERROR(VLOOKUP(Tabela1[[#This Row],[CC]],CC!$A$1:$H$389,2,0),"")</f>
        <v>FAPESB Sustentação (1475)</v>
      </c>
      <c r="F1025" t="s">
        <v>586</v>
      </c>
      <c r="G1025" s="107">
        <v>8492</v>
      </c>
      <c r="H1025" s="12">
        <v>45870</v>
      </c>
      <c r="I1025" s="24">
        <v>70696.11</v>
      </c>
      <c r="J1025" s="10">
        <v>63414.42</v>
      </c>
      <c r="K1025" s="3">
        <v>45904</v>
      </c>
      <c r="L1025" s="91">
        <v>45915</v>
      </c>
      <c r="M1025" s="11">
        <v>45918</v>
      </c>
      <c r="N1025" s="18" t="s">
        <v>588</v>
      </c>
      <c r="O1025" s="34">
        <v>0</v>
      </c>
      <c r="P1025"/>
      <c r="Q1025" t="str">
        <f>IFERROR(VLOOKUP(Tabela1[[#This Row],[CC]],CC!$A$1:$H$389,5,0),"")</f>
        <v>ADS</v>
      </c>
      <c r="R1025" t="str">
        <f>IFERROR(VLOOKUP(Tabela1[[#This Row],[CC]],CC!$A$1:$H$389,6,0),"")</f>
        <v>PS</v>
      </c>
      <c r="S1025" t="str">
        <f>IFERROR(VLOOKUP(Tabela1[[#This Row],[CC]],CC!$A$1:$H$403,8,0),"")</f>
        <v>OP3</v>
      </c>
    </row>
    <row r="1026" spans="1:21" x14ac:dyDescent="0.3">
      <c r="A1026" s="8">
        <v>1472</v>
      </c>
      <c r="B1026" s="8" t="str">
        <f>IFERROR(VLOOKUP(Tabela1[[#This Row],[CC]],#REF!,5,0),"")</f>
        <v/>
      </c>
      <c r="C1026" t="str">
        <f>IFERROR(VLOOKUP(Tabela1[[#This Row],[CC]],CC!$A$1:$H$389,7,0),"")</f>
        <v>RITA ANDRADE</v>
      </c>
      <c r="D1026" t="str">
        <f>IFERROR(VLOOKUP(Tabela1[[#This Row],[CC]],CC!$A$1:$I$3869,3,0),"")</f>
        <v>FICO</v>
      </c>
      <c r="E1026" t="str">
        <f>IFERROR(VLOOKUP(Tabela1[[#This Row],[CC]],CC!$A$1:$H$389,2,0),"")</f>
        <v>FICO (1472)</v>
      </c>
      <c r="F1026" t="s">
        <v>586</v>
      </c>
      <c r="G1026" s="107">
        <v>4301</v>
      </c>
      <c r="H1026" s="12">
        <v>45870</v>
      </c>
      <c r="I1026" s="24">
        <v>93301.2</v>
      </c>
      <c r="J1026" s="24">
        <v>87563.17</v>
      </c>
      <c r="K1026" s="3">
        <f>Tabela1[[#This Row],[MÊS SERVIÇO]]+31</f>
        <v>45901</v>
      </c>
      <c r="L1026" s="91">
        <v>45908</v>
      </c>
      <c r="M1026" s="11">
        <v>45909</v>
      </c>
      <c r="N1026" s="18" t="s">
        <v>588</v>
      </c>
      <c r="O1026" s="37"/>
      <c r="P1026" s="14"/>
      <c r="Q1026" t="str">
        <f>IFERROR(VLOOKUP(Tabela1[[#This Row],[CC]],CC!$A$1:$H$389,5,0),"")</f>
        <v>BPS</v>
      </c>
      <c r="R1026" t="str">
        <f>IFERROR(VLOOKUP(Tabela1[[#This Row],[CC]],CC!$A$1:$H$389,6,0),"")</f>
        <v>FS</v>
      </c>
      <c r="S1026" t="str">
        <f>IFERROR(VLOOKUP(Tabela1[[#This Row],[CC]],CC!$A$1:$H$403,8,0),"")</f>
        <v>OP1</v>
      </c>
    </row>
    <row r="1027" spans="1:21" x14ac:dyDescent="0.3">
      <c r="A1027" s="25">
        <v>1378</v>
      </c>
      <c r="B1027" s="25" t="str">
        <f>IFERROR(VLOOKUP(Tabela1[[#This Row],[CC]],#REF!,5,0),"")</f>
        <v/>
      </c>
      <c r="C1027" t="s">
        <v>51</v>
      </c>
      <c r="D1027" t="str">
        <f>IFERROR(VLOOKUP(Tabela1[[#This Row],[CC]],CC!$A$1:$I$3869,3,0),"")</f>
        <v xml:space="preserve"> FUNCEF</v>
      </c>
      <c r="E1027" t="str">
        <f>IFERROR(VLOOKUP(Tabela1[[#This Row],[CC]],CC!$A$1:$H$389,2,0),"")</f>
        <v>SF – FUNCEF (1378)</v>
      </c>
      <c r="F1027" t="s">
        <v>586</v>
      </c>
      <c r="G1027" s="107">
        <v>8516</v>
      </c>
      <c r="H1027" s="12">
        <v>45870</v>
      </c>
      <c r="I1027" s="24">
        <v>4281.29</v>
      </c>
      <c r="J1027" s="24">
        <v>4017.99</v>
      </c>
      <c r="K1027" s="3">
        <v>45916</v>
      </c>
      <c r="L1027" s="91">
        <v>45936</v>
      </c>
      <c r="M1027" s="29">
        <v>45937</v>
      </c>
      <c r="N1027" s="18" t="s">
        <v>588</v>
      </c>
      <c r="O1027" s="35">
        <v>0</v>
      </c>
      <c r="P1027"/>
      <c r="Q1027" t="str">
        <f>IFERROR(VLOOKUP(Tabela1[[#This Row],[CC]],CC!$A$1:$H$389,5,0),"")</f>
        <v>BPS</v>
      </c>
      <c r="R1027" t="str">
        <f>IFERROR(VLOOKUP(Tabela1[[#This Row],[CC]],CC!$A$1:$H$389,6,0),"")</f>
        <v>FS</v>
      </c>
      <c r="S1027" t="str">
        <f>IFERROR(VLOOKUP(Tabela1[[#This Row],[CC]],CC!$A$1:$H$403,8,0),"")</f>
        <v>OP2</v>
      </c>
      <c r="T1027" t="s">
        <v>1</v>
      </c>
      <c r="U1027" t="s">
        <v>2</v>
      </c>
    </row>
    <row r="1028" spans="1:21" x14ac:dyDescent="0.3">
      <c r="A1028" s="8">
        <v>1247</v>
      </c>
      <c r="B1028" s="8" t="str">
        <f>IFERROR(VLOOKUP(Tabela1[[#This Row],[CC]],#REF!,5,0),"")</f>
        <v/>
      </c>
      <c r="C1028" t="str">
        <f>IFERROR(VLOOKUP(Tabela1[[#This Row],[CC]],CC!$A$1:$H$389,7,0),"")</f>
        <v>ROGERIO GORDILHO</v>
      </c>
      <c r="D1028" t="str">
        <f>IFERROR(VLOOKUP(Tabela1[[#This Row],[CC]],CC!$A$1:$I$3869,3,0),"")</f>
        <v>IBAMETRO</v>
      </c>
      <c r="E1028" t="str">
        <f>IFERROR(VLOOKUP(Tabela1[[#This Row],[CC]],CC!$A$1:$H$389,2,0),"")</f>
        <v>IBAMETRO (1247)</v>
      </c>
      <c r="F1028" t="s">
        <v>586</v>
      </c>
      <c r="G1028" s="107">
        <v>8485</v>
      </c>
      <c r="H1028" s="12">
        <v>45870</v>
      </c>
      <c r="I1028" s="24">
        <v>38395.360000000001</v>
      </c>
      <c r="J1028" s="24">
        <v>34440.629999999997</v>
      </c>
      <c r="K1028" s="3">
        <v>45901</v>
      </c>
      <c r="L1028" s="91">
        <v>45908</v>
      </c>
      <c r="M1028" s="11">
        <v>45911</v>
      </c>
      <c r="N1028" s="18" t="s">
        <v>588</v>
      </c>
      <c r="O1028" s="34">
        <v>0</v>
      </c>
      <c r="P1028"/>
      <c r="Q1028" t="str">
        <f>IFERROR(VLOOKUP(Tabela1[[#This Row],[CC]],CC!$A$1:$H$389,5,0),"")</f>
        <v>CSA</v>
      </c>
      <c r="R1028" t="str">
        <f>IFERROR(VLOOKUP(Tabela1[[#This Row],[CC]],CC!$A$1:$H$389,6,0),"")</f>
        <v>PS</v>
      </c>
      <c r="S1028" t="str">
        <f>IFERROR(VLOOKUP(Tabela1[[#This Row],[CC]],CC!$A$1:$H$403,8,0),"")</f>
        <v>OP4</v>
      </c>
    </row>
    <row r="1029" spans="1:21" x14ac:dyDescent="0.3">
      <c r="A1029" s="8">
        <v>1358</v>
      </c>
      <c r="B1029" s="8" t="str">
        <f>IFERROR(VLOOKUP(Tabela1[[#This Row],[CC]],#REF!,5,0),"")</f>
        <v/>
      </c>
      <c r="C1029" t="str">
        <f>IFERROR(VLOOKUP(Tabela1[[#This Row],[CC]],CC!$A$1:$H$389,7,0),"")</f>
        <v>ROGERIO GORDILHO</v>
      </c>
      <c r="D1029" t="str">
        <f>IFERROR(VLOOKUP(Tabela1[[#This Row],[CC]],CC!$A$1:$I$3869,3,0),"")</f>
        <v>INEMA</v>
      </c>
      <c r="E1029" t="str">
        <f>IFERROR(VLOOKUP(Tabela1[[#This Row],[CC]],CC!$A$1:$H$389,2,0),"")</f>
        <v>INEMA N3 (1358)</v>
      </c>
      <c r="F1029" t="s">
        <v>586</v>
      </c>
      <c r="G1029" s="107">
        <v>8504</v>
      </c>
      <c r="H1029" s="12">
        <v>45870</v>
      </c>
      <c r="I1029" s="24">
        <v>89150.64</v>
      </c>
      <c r="J1029" s="24">
        <v>79968.13</v>
      </c>
      <c r="K1029" s="3">
        <v>45908</v>
      </c>
      <c r="L1029" s="91">
        <v>45929</v>
      </c>
      <c r="M1029" s="11">
        <v>45929</v>
      </c>
      <c r="N1029" s="18" t="s">
        <v>588</v>
      </c>
      <c r="O1029" s="34">
        <v>0</v>
      </c>
      <c r="P1029"/>
      <c r="Q1029" t="str">
        <f>IFERROR(VLOOKUP(Tabela1[[#This Row],[CC]],CC!$A$1:$H$389,5,0),"")</f>
        <v>CSA</v>
      </c>
      <c r="R1029" t="str">
        <f>IFERROR(VLOOKUP(Tabela1[[#This Row],[CC]],CC!$A$1:$H$389,6,0),"")</f>
        <v>PS</v>
      </c>
      <c r="S1029" t="str">
        <f>IFERROR(VLOOKUP(Tabela1[[#This Row],[CC]],CC!$A$1:$H$403,8,0),"")</f>
        <v>OP4</v>
      </c>
    </row>
    <row r="1030" spans="1:21" x14ac:dyDescent="0.3">
      <c r="A1030" s="25">
        <v>1473</v>
      </c>
      <c r="B1030" s="25" t="str">
        <f>IFERROR(VLOOKUP(Tabela1[[#This Row],[CC]],#REF!,5,0),"")</f>
        <v/>
      </c>
      <c r="C1030" t="str">
        <f>IFERROR(VLOOKUP(Tabela1[[#This Row],[CC]],CC!$A$1:$H$389,7,0),"")</f>
        <v>ROGERIO GORDILHO</v>
      </c>
      <c r="D1030" t="str">
        <f>IFERROR(VLOOKUP(Tabela1[[#This Row],[CC]],CC!$A$1:$I$3869,3,0),"")</f>
        <v>MP_BA</v>
      </c>
      <c r="E1030" t="str">
        <f>IFERROR(VLOOKUP(Tabela1[[#This Row],[CC]],CC!$A$1:$H$389,2,0),"")</f>
        <v>MP - BA I (1473)</v>
      </c>
      <c r="F1030" t="s">
        <v>586</v>
      </c>
      <c r="G1030" s="107">
        <v>8553</v>
      </c>
      <c r="H1030" s="12">
        <v>45870</v>
      </c>
      <c r="I1030" s="24">
        <v>236280.79</v>
      </c>
      <c r="J1030" s="24">
        <v>220213.69</v>
      </c>
      <c r="K1030" s="3">
        <v>45940</v>
      </c>
      <c r="L1030" s="91">
        <v>45950</v>
      </c>
      <c r="M1030" s="11">
        <v>45954</v>
      </c>
      <c r="N1030" s="18" t="s">
        <v>588</v>
      </c>
      <c r="O1030" s="35">
        <v>0</v>
      </c>
      <c r="P1030"/>
      <c r="Q1030" t="str">
        <f>IFERROR(VLOOKUP(Tabela1[[#This Row],[CC]],CC!$A$1:$H$389,5,0),"")</f>
        <v>CSA</v>
      </c>
      <c r="R1030" t="str">
        <f>IFERROR(VLOOKUP(Tabela1[[#This Row],[CC]],CC!$A$1:$H$389,6,0),"")</f>
        <v>PS</v>
      </c>
      <c r="S1030" t="str">
        <f>IFERROR(VLOOKUP(Tabela1[[#This Row],[CC]],CC!$A$1:$H$403,8,0),"")</f>
        <v>OP4</v>
      </c>
    </row>
    <row r="1031" spans="1:21" x14ac:dyDescent="0.3">
      <c r="A1031" s="25">
        <v>1462</v>
      </c>
      <c r="B1031" s="25" t="str">
        <f>IFERROR(VLOOKUP(Tabela1[[#This Row],[CC]],#REF!,5,0),"")</f>
        <v/>
      </c>
      <c r="C1031" t="str">
        <f>IFERROR(VLOOKUP(Tabela1[[#This Row],[CC]],CC!$A$1:$H$389,7,0),"")</f>
        <v>EVANDRO BRAGA</v>
      </c>
      <c r="D1031" t="str">
        <f>IFERROR(VLOOKUP(Tabela1[[#This Row],[CC]],CC!$A$1:$I$3869,3,0),"")</f>
        <v>COMPASS</v>
      </c>
      <c r="E1031" t="str">
        <f>IFERROR(VLOOKUP(Tabela1[[#This Row],[CC]],CC!$A$1:$H$389,2,0),"")</f>
        <v>GAS BRASILIANO (1462)</v>
      </c>
      <c r="F1031" t="s">
        <v>586</v>
      </c>
      <c r="G1031" s="107">
        <v>8486</v>
      </c>
      <c r="H1031" s="12">
        <v>45870</v>
      </c>
      <c r="I1031" s="24">
        <v>1342.67</v>
      </c>
      <c r="J1031" s="24">
        <v>1260.0899999999999</v>
      </c>
      <c r="K1031" s="3">
        <v>45903</v>
      </c>
      <c r="L1031" s="91">
        <v>45901</v>
      </c>
      <c r="M1031" s="11">
        <v>45905</v>
      </c>
      <c r="N1031" s="18" t="s">
        <v>588</v>
      </c>
      <c r="O1031" s="35">
        <v>0</v>
      </c>
      <c r="P1031" s="26"/>
      <c r="Q1031" t="str">
        <f>IFERROR(VLOOKUP(Tabela1[[#This Row],[CC]],CC!$A$1:$H$389,5,0),"")</f>
        <v>CSA</v>
      </c>
      <c r="R1031" t="str">
        <f>IFERROR(VLOOKUP(Tabela1[[#This Row],[CC]],CC!$A$1:$H$389,6,0),"")</f>
        <v>UT</v>
      </c>
      <c r="S1031" t="str">
        <f>IFERROR(VLOOKUP(Tabela1[[#This Row],[CC]],CC!$A$1:$H$403,8,0),"")</f>
        <v>OP2</v>
      </c>
    </row>
    <row r="1032" spans="1:21" x14ac:dyDescent="0.3">
      <c r="A1032" s="8">
        <v>1390</v>
      </c>
      <c r="B1032" s="8" t="str">
        <f>IFERROR(VLOOKUP(Tabela1[[#This Row],[CC]],#REF!,5,0),"")</f>
        <v/>
      </c>
      <c r="C1032" t="str">
        <f>IFERROR(VLOOKUP(Tabela1[[#This Row],[CC]],CC!$A$1:$H$389,7,0),"")</f>
        <v>JOSÉ NETO</v>
      </c>
      <c r="D1032" t="str">
        <f>IFERROR(VLOOKUP(Tabela1[[#This Row],[CC]],CC!$A$1:$I$3869,3,0),"")</f>
        <v>OI</v>
      </c>
      <c r="E1032" t="str">
        <f>IFERROR(VLOOKUP(Tabela1[[#This Row],[CC]],CC!$A$1:$H$389,2,0),"")</f>
        <v>OI - DIGITAL SUPORT (1390)</v>
      </c>
      <c r="F1032" t="s">
        <v>586</v>
      </c>
      <c r="G1032" s="107">
        <v>652</v>
      </c>
      <c r="H1032" s="12">
        <v>44927</v>
      </c>
      <c r="I1032" s="10">
        <f>103027.72/3</f>
        <v>34342.573333333334</v>
      </c>
      <c r="J1032" s="10">
        <v>32301.82</v>
      </c>
      <c r="K1032" s="3">
        <v>44973</v>
      </c>
      <c r="L1032" s="91">
        <v>46013</v>
      </c>
      <c r="M1032" s="11">
        <v>46014</v>
      </c>
      <c r="N1032" s="18" t="s">
        <v>588</v>
      </c>
      <c r="O1032" s="34">
        <v>0</v>
      </c>
      <c r="P1032"/>
      <c r="Q1032" t="str">
        <f>IFERROR(VLOOKUP(Tabela1[[#This Row],[CC]],CC!$A$1:$H$389,5,0),"")</f>
        <v>CSA</v>
      </c>
      <c r="R1032" t="str">
        <f>IFERROR(VLOOKUP(Tabela1[[#This Row],[CC]],CC!$A$1:$H$389,6,0),"")</f>
        <v>UT</v>
      </c>
      <c r="S1032" t="str">
        <f>IFERROR(VLOOKUP(Tabela1[[#This Row],[CC]],CC!$A$1:$H$403,8,0),"")</f>
        <v>OP2</v>
      </c>
      <c r="T1032" t="s">
        <v>1</v>
      </c>
      <c r="U1032" t="s">
        <v>10</v>
      </c>
    </row>
    <row r="1033" spans="1:21" x14ac:dyDescent="0.3">
      <c r="A1033" s="13">
        <v>1260</v>
      </c>
      <c r="B1033" s="13" t="str">
        <f>IFERROR(VLOOKUP(Tabela1[[#This Row],[CC]],#REF!,5,0),"")</f>
        <v/>
      </c>
      <c r="C1033" t="str">
        <f>IFERROR(VLOOKUP(Tabela1[[#This Row],[CC]],CC!$A$1:$H$389,7,0),"")</f>
        <v>RODRIGO CORUMBA</v>
      </c>
      <c r="D1033" t="str">
        <f>IFERROR(VLOOKUP(Tabela1[[#This Row],[CC]],CC!$A$1:$I$3869,3,0),"")</f>
        <v>PETZ</v>
      </c>
      <c r="E1033" t="str">
        <f>IFERROR(VLOOKUP(Tabela1[[#This Row],[CC]],CC!$A$1:$H$389,2,0),"")</f>
        <v>PETZ - ADS (1260)</v>
      </c>
      <c r="F1033" t="s">
        <v>586</v>
      </c>
      <c r="G1033" s="107">
        <v>4299</v>
      </c>
      <c r="H1033" s="12">
        <v>45870</v>
      </c>
      <c r="I1033" s="24">
        <v>10914</v>
      </c>
      <c r="J1033" s="24">
        <v>10242.790000000001</v>
      </c>
      <c r="K1033" s="3">
        <v>45901</v>
      </c>
      <c r="L1033" s="91">
        <v>45922</v>
      </c>
      <c r="M1033" s="11">
        <v>45924</v>
      </c>
      <c r="N1033" s="19" t="s">
        <v>588</v>
      </c>
      <c r="O1033" s="34">
        <v>0</v>
      </c>
      <c r="P1033"/>
      <c r="Q1033" t="str">
        <f>IFERROR(VLOOKUP(Tabela1[[#This Row],[CC]],CC!$A$1:$H$389,5,0),"")</f>
        <v>ADS</v>
      </c>
      <c r="R1033" t="str">
        <f>IFERROR(VLOOKUP(Tabela1[[#This Row],[CC]],CC!$A$1:$H$389,6,0),"")</f>
        <v>MS</v>
      </c>
      <c r="S1033" t="str">
        <f>IFERROR(VLOOKUP(Tabela1[[#This Row],[CC]],CC!$A$1:$H$403,8,0),"")</f>
        <v>OP2</v>
      </c>
    </row>
    <row r="1034" spans="1:21" x14ac:dyDescent="0.3">
      <c r="A1034" s="25">
        <v>1485</v>
      </c>
      <c r="B1034" s="25" t="str">
        <f>IFERROR(VLOOKUP(Tabela1[[#This Row],[CC]],#REF!,5,0),"")</f>
        <v/>
      </c>
      <c r="C1034" t="str">
        <f>IFERROR(VLOOKUP(Tabela1[[#This Row],[CC]],CC!$A$1:$H$389,7,0),"")</f>
        <v>RODRIGO CORUMBA</v>
      </c>
      <c r="D1034" t="str">
        <f>IFERROR(VLOOKUP(Tabela1[[#This Row],[CC]],CC!$A$1:$I$3869,3,0),"")</f>
        <v>PORTO_SEGURO</v>
      </c>
      <c r="E1034" t="str">
        <f>IFERROR(VLOOKUP(Tabela1[[#This Row],[CC]],CC!$A$1:$H$389,2,0),"")</f>
        <v>PORTO SEGURO – ADS - Alocações (1485)</v>
      </c>
      <c r="F1034" t="s">
        <v>586</v>
      </c>
      <c r="G1034" s="107">
        <v>4298</v>
      </c>
      <c r="H1034" s="12">
        <v>45870</v>
      </c>
      <c r="I1034" s="24">
        <v>30030.639999999999</v>
      </c>
      <c r="J1034" s="24">
        <v>28183.75</v>
      </c>
      <c r="K1034" s="3">
        <f>Tabela1[[#This Row],[MÊS SERVIÇO]]+31</f>
        <v>45901</v>
      </c>
      <c r="L1034" s="91">
        <v>45957</v>
      </c>
      <c r="M1034" s="11">
        <v>45961</v>
      </c>
      <c r="N1034" s="18" t="s">
        <v>588</v>
      </c>
      <c r="O1034" s="35"/>
      <c r="P1034" s="26"/>
      <c r="Q1034" t="str">
        <f>IFERROR(VLOOKUP(Tabela1[[#This Row],[CC]],CC!$A$1:$H$389,5,0),"")</f>
        <v>ADS</v>
      </c>
      <c r="R1034" t="str">
        <f>IFERROR(VLOOKUP(Tabela1[[#This Row],[CC]],CC!$A$1:$H$389,6,0),"")</f>
        <v>FS</v>
      </c>
      <c r="S1034" t="str">
        <f>IFERROR(VLOOKUP(Tabela1[[#This Row],[CC]],CC!$A$1:$H$403,8,0),"")</f>
        <v>OP2</v>
      </c>
    </row>
    <row r="1035" spans="1:21" x14ac:dyDescent="0.3">
      <c r="A1035" s="25">
        <v>1485</v>
      </c>
      <c r="B1035" s="25" t="str">
        <f>IFERROR(VLOOKUP(Tabela1[[#This Row],[CC]],#REF!,5,0),"")</f>
        <v/>
      </c>
      <c r="C1035" t="str">
        <f>IFERROR(VLOOKUP(Tabela1[[#This Row],[CC]],CC!$A$1:$H$389,7,0),"")</f>
        <v>RODRIGO CORUMBA</v>
      </c>
      <c r="D1035" t="str">
        <f>IFERROR(VLOOKUP(Tabela1[[#This Row],[CC]],CC!$A$1:$I$3869,3,0),"")</f>
        <v>PORTO_SEGURO</v>
      </c>
      <c r="E1035" t="str">
        <f>IFERROR(VLOOKUP(Tabela1[[#This Row],[CC]],CC!$A$1:$H$389,2,0),"")</f>
        <v>PORTO SEGURO – ADS - Alocações (1485)</v>
      </c>
      <c r="F1035" t="s">
        <v>586</v>
      </c>
      <c r="G1035" s="107">
        <v>4383</v>
      </c>
      <c r="H1035" s="12">
        <v>45870</v>
      </c>
      <c r="I1035" s="24">
        <v>7834.08</v>
      </c>
      <c r="J1035" s="24">
        <v>7352.29</v>
      </c>
      <c r="K1035" s="3">
        <v>45931</v>
      </c>
      <c r="L1035" s="91">
        <v>46069</v>
      </c>
      <c r="M1035" s="11">
        <v>46073</v>
      </c>
      <c r="N1035" s="18" t="s">
        <v>588</v>
      </c>
      <c r="O1035" s="35">
        <v>0</v>
      </c>
      <c r="P1035" s="26"/>
      <c r="Q1035" t="str">
        <f>IFERROR(VLOOKUP(Tabela1[[#This Row],[CC]],CC!$A$1:$H$389,5,0),"")</f>
        <v>ADS</v>
      </c>
      <c r="R1035" t="str">
        <f>IFERROR(VLOOKUP(Tabela1[[#This Row],[CC]],CC!$A$1:$H$389,6,0),"")</f>
        <v>FS</v>
      </c>
      <c r="S1035" t="str">
        <f>IFERROR(VLOOKUP(Tabela1[[#This Row],[CC]],CC!$A$1:$H$403,8,0),"")</f>
        <v>OP2</v>
      </c>
    </row>
    <row r="1036" spans="1:21" x14ac:dyDescent="0.3">
      <c r="A1036" s="25">
        <v>1506</v>
      </c>
      <c r="B1036" s="25" t="str">
        <f>IFERROR(VLOOKUP(Tabela1[[#This Row],[CC]],#REF!,5,0),"")</f>
        <v/>
      </c>
      <c r="C1036" t="str">
        <f>IFERROR(VLOOKUP(Tabela1[[#This Row],[CC]],CC!$A$1:$H$389,7,0),"")</f>
        <v>RODRIGO CORUMBA</v>
      </c>
      <c r="D1036" t="str">
        <f>IFERROR(VLOOKUP(Tabela1[[#This Row],[CC]],CC!$A$1:$I$3869,3,0),"")</f>
        <v>PORTO_SEGURO</v>
      </c>
      <c r="E1036" t="str">
        <f>IFERROR(VLOOKUP(Tabela1[[#This Row],[CC]],CC!$A$1:$H$389,2,0),"")</f>
        <v>PORTO SEGURO – BPS – DYNAMICS (1506)</v>
      </c>
      <c r="F1036" t="s">
        <v>586</v>
      </c>
      <c r="G1036" s="107">
        <v>4579</v>
      </c>
      <c r="H1036" s="12">
        <v>45962</v>
      </c>
      <c r="I1036" s="24">
        <v>39163.519999999997</v>
      </c>
      <c r="J1036" s="24">
        <v>36754.959999999999</v>
      </c>
      <c r="K1036" s="3">
        <v>45992</v>
      </c>
      <c r="L1036" s="91">
        <v>46048</v>
      </c>
      <c r="M1036" s="11">
        <v>46052</v>
      </c>
      <c r="N1036" s="18" t="s">
        <v>588</v>
      </c>
      <c r="O1036" s="35">
        <v>0</v>
      </c>
      <c r="P1036" s="26"/>
      <c r="Q1036" t="str">
        <f>IFERROR(VLOOKUP(Tabela1[[#This Row],[CC]],CC!$A$1:$H$389,5,0),"")</f>
        <v>BPS</v>
      </c>
      <c r="R1036" t="str">
        <f>IFERROR(VLOOKUP(Tabela1[[#This Row],[CC]],CC!$A$1:$H$389,6,0),"")</f>
        <v>FS</v>
      </c>
      <c r="S1036" t="str">
        <f>IFERROR(VLOOKUP(Tabela1[[#This Row],[CC]],CC!$A$1:$H$403,8,0),"")</f>
        <v>OP2</v>
      </c>
    </row>
    <row r="1037" spans="1:21" x14ac:dyDescent="0.3">
      <c r="A1037" s="8">
        <v>1482</v>
      </c>
      <c r="B1037" s="8" t="str">
        <f>IFERROR(VLOOKUP(Tabela1[[#This Row],[CC]],#REF!,5,0),"")</f>
        <v/>
      </c>
      <c r="C1037" t="str">
        <f>IFERROR(VLOOKUP(Tabela1[[#This Row],[CC]],CC!$A$1:$H$389,7,0),"")</f>
        <v>JOSÉ NETO</v>
      </c>
      <c r="D1037" t="str">
        <f>IFERROR(VLOOKUP(Tabela1[[#This Row],[CC]],CC!$A$1:$I$3869,3,0),"")</f>
        <v>AXIA</v>
      </c>
      <c r="E1037" t="str">
        <f>IFERROR(VLOOKUP(Tabela1[[#This Row],[CC]],CC!$A$1:$H$389,2,0),"")</f>
        <v>REAL GRANDEZA (1482)</v>
      </c>
      <c r="F1037" t="s">
        <v>586</v>
      </c>
      <c r="G1037" s="107">
        <v>8503</v>
      </c>
      <c r="H1037" s="12">
        <v>45870</v>
      </c>
      <c r="I1037" s="24">
        <v>39000</v>
      </c>
      <c r="J1037" s="24">
        <v>35236.5</v>
      </c>
      <c r="K1037" s="3">
        <v>45905</v>
      </c>
      <c r="L1037" s="91">
        <v>45929</v>
      </c>
      <c r="M1037" s="11">
        <v>45930</v>
      </c>
      <c r="N1037" s="36" t="s">
        <v>588</v>
      </c>
      <c r="O1037" s="42"/>
      <c r="P1037" s="14"/>
      <c r="Q1037" t="str">
        <f>IFERROR(VLOOKUP(Tabela1[[#This Row],[CC]],CC!$A$1:$H$389,5,0),"")</f>
        <v>CSA</v>
      </c>
      <c r="R1037" t="str">
        <f>IFERROR(VLOOKUP(Tabela1[[#This Row],[CC]],CC!$A$1:$H$389,6,0),"")</f>
        <v>UT</v>
      </c>
      <c r="S1037" t="str">
        <f>IFERROR(VLOOKUP(Tabela1[[#This Row],[CC]],CC!$A$1:$H$403,8,0),"")</f>
        <v>OP2</v>
      </c>
    </row>
    <row r="1038" spans="1:21" x14ac:dyDescent="0.3">
      <c r="A1038" s="25">
        <v>1262</v>
      </c>
      <c r="B1038" s="25" t="str">
        <f>IFERROR(VLOOKUP(Tabela1[[#This Row],[CC]],#REF!,5,0),"")</f>
        <v/>
      </c>
      <c r="C1038" t="str">
        <f>IFERROR(VLOOKUP(Tabela1[[#This Row],[CC]],CC!$A$1:$H$389,7,0),"")</f>
        <v>RODRIGO CORUMBA</v>
      </c>
      <c r="D1038" t="str">
        <f>IFERROR(VLOOKUP(Tabela1[[#This Row],[CC]],CC!$A$1:$I$3869,3,0),"")</f>
        <v>RENDIMENTO</v>
      </c>
      <c r="E1038" t="str">
        <f>IFERROR(VLOOKUP(Tabela1[[#This Row],[CC]],CC!$A$1:$H$389,2,0),"")</f>
        <v>BANCO RENDIMENTO ADS (1262)</v>
      </c>
      <c r="F1038" t="s">
        <v>586</v>
      </c>
      <c r="G1038" s="107">
        <v>4364</v>
      </c>
      <c r="H1038" s="12">
        <v>45870</v>
      </c>
      <c r="I1038" s="24">
        <v>28509.83</v>
      </c>
      <c r="J1038" s="24">
        <v>26756.48</v>
      </c>
      <c r="K1038" s="3">
        <v>45922</v>
      </c>
      <c r="L1038" s="91">
        <v>45929</v>
      </c>
      <c r="M1038" s="11">
        <v>45930</v>
      </c>
      <c r="N1038" s="18" t="s">
        <v>588</v>
      </c>
      <c r="O1038" s="35">
        <v>0</v>
      </c>
      <c r="P1038" s="26"/>
      <c r="Q1038" t="str">
        <f>IFERROR(VLOOKUP(Tabela1[[#This Row],[CC]],CC!$A$1:$H$389,5,0),"")</f>
        <v>ADS</v>
      </c>
      <c r="R1038" t="str">
        <f>IFERROR(VLOOKUP(Tabela1[[#This Row],[CC]],CC!$A$1:$H$389,6,0),"")</f>
        <v>FS</v>
      </c>
      <c r="S1038" t="str">
        <f>IFERROR(VLOOKUP(Tabela1[[#This Row],[CC]],CC!$A$1:$H$403,8,0),"")</f>
        <v>OP2</v>
      </c>
    </row>
    <row r="1039" spans="1:21" x14ac:dyDescent="0.3">
      <c r="A1039" s="25">
        <v>1262</v>
      </c>
      <c r="B1039" s="25" t="str">
        <f>IFERROR(VLOOKUP(Tabela1[[#This Row],[CC]],#REF!,5,0),"")</f>
        <v/>
      </c>
      <c r="C1039" t="str">
        <f>IFERROR(VLOOKUP(Tabela1[[#This Row],[CC]],CC!$A$1:$H$389,7,0),"")</f>
        <v>RODRIGO CORUMBA</v>
      </c>
      <c r="D1039" t="str">
        <f>IFERROR(VLOOKUP(Tabela1[[#This Row],[CC]],CC!$A$1:$I$3869,3,0),"")</f>
        <v>RENDIMENTO</v>
      </c>
      <c r="E1039" t="str">
        <f>IFERROR(VLOOKUP(Tabela1[[#This Row],[CC]],CC!$A$1:$H$389,2,0),"")</f>
        <v>BANCO RENDIMENTO ADS (1262)</v>
      </c>
      <c r="F1039" t="s">
        <v>586</v>
      </c>
      <c r="G1039" s="107">
        <v>4365</v>
      </c>
      <c r="H1039" s="12">
        <v>45870</v>
      </c>
      <c r="I1039" s="24">
        <v>19716.8</v>
      </c>
      <c r="J1039" s="24">
        <v>18504.22</v>
      </c>
      <c r="K1039" s="3">
        <v>45922</v>
      </c>
      <c r="L1039" s="91">
        <v>45929</v>
      </c>
      <c r="M1039" s="11">
        <v>45930</v>
      </c>
      <c r="N1039" s="18" t="s">
        <v>588</v>
      </c>
      <c r="O1039" s="35">
        <v>0</v>
      </c>
      <c r="P1039" s="26"/>
      <c r="Q1039" t="str">
        <f>IFERROR(VLOOKUP(Tabela1[[#This Row],[CC]],CC!$A$1:$H$389,5,0),"")</f>
        <v>ADS</v>
      </c>
      <c r="R1039" t="str">
        <f>IFERROR(VLOOKUP(Tabela1[[#This Row],[CC]],CC!$A$1:$H$389,6,0),"")</f>
        <v>FS</v>
      </c>
      <c r="S1039" t="str">
        <f>IFERROR(VLOOKUP(Tabela1[[#This Row],[CC]],CC!$A$1:$H$403,8,0),"")</f>
        <v>OP2</v>
      </c>
    </row>
    <row r="1040" spans="1:21" x14ac:dyDescent="0.3">
      <c r="A1040" s="25">
        <v>1262</v>
      </c>
      <c r="B1040" s="25" t="str">
        <f>IFERROR(VLOOKUP(Tabela1[[#This Row],[CC]],#REF!,5,0),"")</f>
        <v/>
      </c>
      <c r="C1040" t="str">
        <f>IFERROR(VLOOKUP(Tabela1[[#This Row],[CC]],CC!$A$1:$H$389,7,0),"")</f>
        <v>RODRIGO CORUMBA</v>
      </c>
      <c r="D1040" t="str">
        <f>IFERROR(VLOOKUP(Tabela1[[#This Row],[CC]],CC!$A$1:$I$3869,3,0),"")</f>
        <v>RENDIMENTO</v>
      </c>
      <c r="E1040" t="str">
        <f>IFERROR(VLOOKUP(Tabela1[[#This Row],[CC]],CC!$A$1:$H$389,2,0),"")</f>
        <v>BANCO RENDIMENTO ADS (1262)</v>
      </c>
      <c r="F1040" t="s">
        <v>586</v>
      </c>
      <c r="G1040" s="107">
        <v>4366</v>
      </c>
      <c r="H1040" s="12">
        <v>45870</v>
      </c>
      <c r="I1040" s="24">
        <v>10802.27</v>
      </c>
      <c r="J1040" s="24">
        <v>10137.94</v>
      </c>
      <c r="K1040" s="3">
        <v>45922</v>
      </c>
      <c r="L1040" s="91">
        <v>45929</v>
      </c>
      <c r="M1040" s="11">
        <v>45930</v>
      </c>
      <c r="N1040" s="18" t="s">
        <v>588</v>
      </c>
      <c r="O1040" s="35">
        <v>0</v>
      </c>
      <c r="P1040" s="26"/>
      <c r="Q1040" t="str">
        <f>IFERROR(VLOOKUP(Tabela1[[#This Row],[CC]],CC!$A$1:$H$389,5,0),"")</f>
        <v>ADS</v>
      </c>
      <c r="R1040" t="str">
        <f>IFERROR(VLOOKUP(Tabela1[[#This Row],[CC]],CC!$A$1:$H$389,6,0),"")</f>
        <v>FS</v>
      </c>
      <c r="S1040" t="str">
        <f>IFERROR(VLOOKUP(Tabela1[[#This Row],[CC]],CC!$A$1:$H$403,8,0),"")</f>
        <v>OP2</v>
      </c>
    </row>
    <row r="1041" spans="1:19" x14ac:dyDescent="0.3">
      <c r="A1041" s="25">
        <v>1262</v>
      </c>
      <c r="B1041" s="25" t="str">
        <f>IFERROR(VLOOKUP(Tabela1[[#This Row],[CC]],#REF!,5,0),"")</f>
        <v/>
      </c>
      <c r="C1041" t="str">
        <f>IFERROR(VLOOKUP(Tabela1[[#This Row],[CC]],CC!$A$1:$H$389,7,0),"")</f>
        <v>RODRIGO CORUMBA</v>
      </c>
      <c r="D1041" t="str">
        <f>IFERROR(VLOOKUP(Tabela1[[#This Row],[CC]],CC!$A$1:$I$3869,3,0),"")</f>
        <v>RENDIMENTO</v>
      </c>
      <c r="E1041" t="str">
        <f>IFERROR(VLOOKUP(Tabela1[[#This Row],[CC]],CC!$A$1:$H$389,2,0),"")</f>
        <v>BANCO RENDIMENTO ADS (1262)</v>
      </c>
      <c r="F1041" t="s">
        <v>586</v>
      </c>
      <c r="G1041" s="107">
        <v>4367</v>
      </c>
      <c r="H1041" s="12">
        <v>45870</v>
      </c>
      <c r="I1041" s="24">
        <v>63128.47</v>
      </c>
      <c r="J1041" s="24">
        <v>59246.07</v>
      </c>
      <c r="K1041" s="3">
        <v>45922</v>
      </c>
      <c r="L1041" s="91">
        <v>45929</v>
      </c>
      <c r="M1041" s="11">
        <v>45930</v>
      </c>
      <c r="N1041" s="18" t="s">
        <v>588</v>
      </c>
      <c r="O1041" s="35">
        <v>0</v>
      </c>
      <c r="P1041" s="26"/>
      <c r="Q1041" t="str">
        <f>IFERROR(VLOOKUP(Tabela1[[#This Row],[CC]],CC!$A$1:$H$389,5,0),"")</f>
        <v>ADS</v>
      </c>
      <c r="R1041" t="str">
        <f>IFERROR(VLOOKUP(Tabela1[[#This Row],[CC]],CC!$A$1:$H$389,6,0),"")</f>
        <v>FS</v>
      </c>
      <c r="S1041" t="str">
        <f>IFERROR(VLOOKUP(Tabela1[[#This Row],[CC]],CC!$A$1:$H$403,8,0),"")</f>
        <v>OP2</v>
      </c>
    </row>
    <row r="1042" spans="1:19" x14ac:dyDescent="0.3">
      <c r="A1042" s="25">
        <v>1262</v>
      </c>
      <c r="B1042" s="25" t="str">
        <f>IFERROR(VLOOKUP(Tabela1[[#This Row],[CC]],#REF!,5,0),"")</f>
        <v/>
      </c>
      <c r="C1042" t="str">
        <f>IFERROR(VLOOKUP(Tabela1[[#This Row],[CC]],CC!$A$1:$H$389,7,0),"")</f>
        <v>RODRIGO CORUMBA</v>
      </c>
      <c r="D1042" t="str">
        <f>IFERROR(VLOOKUP(Tabela1[[#This Row],[CC]],CC!$A$1:$I$3869,3,0),"")</f>
        <v>RENDIMENTO</v>
      </c>
      <c r="E1042" t="str">
        <f>IFERROR(VLOOKUP(Tabela1[[#This Row],[CC]],CC!$A$1:$H$389,2,0),"")</f>
        <v>BANCO RENDIMENTO ADS (1262)</v>
      </c>
      <c r="F1042" t="s">
        <v>586</v>
      </c>
      <c r="G1042" s="107">
        <v>4369</v>
      </c>
      <c r="H1042" s="12">
        <v>45870</v>
      </c>
      <c r="I1042" s="24">
        <v>4629.54</v>
      </c>
      <c r="J1042" s="24">
        <v>4344.82</v>
      </c>
      <c r="K1042" s="3">
        <v>45922</v>
      </c>
      <c r="L1042" s="91">
        <v>45929</v>
      </c>
      <c r="M1042" s="11">
        <v>45930</v>
      </c>
      <c r="N1042" s="18" t="s">
        <v>588</v>
      </c>
      <c r="O1042" s="35">
        <v>0</v>
      </c>
      <c r="P1042" s="26"/>
      <c r="Q1042" t="str">
        <f>IFERROR(VLOOKUP(Tabela1[[#This Row],[CC]],CC!$A$1:$H$389,5,0),"")</f>
        <v>ADS</v>
      </c>
      <c r="R1042" t="str">
        <f>IFERROR(VLOOKUP(Tabela1[[#This Row],[CC]],CC!$A$1:$H$389,6,0),"")</f>
        <v>FS</v>
      </c>
      <c r="S1042" t="str">
        <f>IFERROR(VLOOKUP(Tabela1[[#This Row],[CC]],CC!$A$1:$H$403,8,0),"")</f>
        <v>OP2</v>
      </c>
    </row>
    <row r="1043" spans="1:19" x14ac:dyDescent="0.3">
      <c r="A1043" s="8">
        <v>1269</v>
      </c>
      <c r="B1043" s="8" t="str">
        <f>IFERROR(VLOOKUP(Tabela1[[#This Row],[CC]],#REF!,5,0),"")</f>
        <v/>
      </c>
      <c r="C1043" t="str">
        <f>IFERROR(VLOOKUP(Tabela1[[#This Row],[CC]],CC!$A$1:$H$389,7,0),"")</f>
        <v>RODRIGO CORUMBA</v>
      </c>
      <c r="D1043" t="str">
        <f>IFERROR(VLOOKUP(Tabela1[[#This Row],[CC]],CC!$A$1:$I$3869,3,0),"")</f>
        <v>RENDIMENTO</v>
      </c>
      <c r="E1043" t="str">
        <f>IFERROR(VLOOKUP(Tabela1[[#This Row],[CC]],CC!$A$1:$H$389,2,0),"")</f>
        <v>BANCO RENDIMENTO MONITORING CSA (1269)</v>
      </c>
      <c r="F1043" t="s">
        <v>586</v>
      </c>
      <c r="G1043" s="107">
        <v>4368</v>
      </c>
      <c r="H1043" s="12">
        <v>45870</v>
      </c>
      <c r="I1043" s="24">
        <v>198578.23</v>
      </c>
      <c r="J1043" s="24">
        <v>186365.67</v>
      </c>
      <c r="K1043" s="3">
        <v>45922</v>
      </c>
      <c r="L1043" s="91">
        <v>45929</v>
      </c>
      <c r="M1043" s="11">
        <v>45930</v>
      </c>
      <c r="N1043" s="18" t="s">
        <v>588</v>
      </c>
      <c r="O1043" s="34">
        <v>0</v>
      </c>
      <c r="P1043" s="14"/>
      <c r="Q1043" t="str">
        <f>IFERROR(VLOOKUP(Tabela1[[#This Row],[CC]],CC!$A$1:$H$389,5,0),"")</f>
        <v>CSA</v>
      </c>
      <c r="R1043" t="str">
        <f>IFERROR(VLOOKUP(Tabela1[[#This Row],[CC]],CC!$A$1:$H$389,6,0),"")</f>
        <v>FS</v>
      </c>
      <c r="S1043" t="str">
        <f>IFERROR(VLOOKUP(Tabela1[[#This Row],[CC]],CC!$A$1:$H$403,8,0),"")</f>
        <v>OP2</v>
      </c>
    </row>
    <row r="1044" spans="1:19" x14ac:dyDescent="0.3">
      <c r="A1044" s="8">
        <v>1269</v>
      </c>
      <c r="B1044" s="8" t="str">
        <f>IFERROR(VLOOKUP(Tabela1[[#This Row],[CC]],#REF!,5,0),"")</f>
        <v/>
      </c>
      <c r="C1044" t="str">
        <f>IFERROR(VLOOKUP(Tabela1[[#This Row],[CC]],CC!$A$1:$H$389,7,0),"")</f>
        <v>RODRIGO CORUMBA</v>
      </c>
      <c r="D1044" t="str">
        <f>IFERROR(VLOOKUP(Tabela1[[#This Row],[CC]],CC!$A$1:$I$3869,3,0),"")</f>
        <v>RENDIMENTO</v>
      </c>
      <c r="E1044" t="str">
        <f>IFERROR(VLOOKUP(Tabela1[[#This Row],[CC]],CC!$A$1:$H$389,2,0),"")</f>
        <v>BANCO RENDIMENTO MONITORING CSA (1269)</v>
      </c>
      <c r="F1044" t="s">
        <v>586</v>
      </c>
      <c r="G1044" s="107">
        <v>4370</v>
      </c>
      <c r="H1044" s="12">
        <v>45870</v>
      </c>
      <c r="I1044" s="24">
        <v>10876.23</v>
      </c>
      <c r="J1044" s="24">
        <v>10207.34</v>
      </c>
      <c r="K1044" s="3">
        <v>45922</v>
      </c>
      <c r="L1044" s="91">
        <v>45929</v>
      </c>
      <c r="M1044" s="11">
        <v>45930</v>
      </c>
      <c r="N1044" s="18" t="s">
        <v>588</v>
      </c>
      <c r="O1044" s="34">
        <v>0</v>
      </c>
      <c r="P1044" s="14"/>
      <c r="Q1044" t="str">
        <f>IFERROR(VLOOKUP(Tabela1[[#This Row],[CC]],CC!$A$1:$H$389,5,0),"")</f>
        <v>CSA</v>
      </c>
      <c r="R1044" t="str">
        <f>IFERROR(VLOOKUP(Tabela1[[#This Row],[CC]],CC!$A$1:$H$389,6,0),"")</f>
        <v>FS</v>
      </c>
      <c r="S1044" t="str">
        <f>IFERROR(VLOOKUP(Tabela1[[#This Row],[CC]],CC!$A$1:$H$403,8,0),"")</f>
        <v>OP2</v>
      </c>
    </row>
    <row r="1045" spans="1:19" x14ac:dyDescent="0.3">
      <c r="A1045" s="8">
        <v>1269</v>
      </c>
      <c r="B1045" s="8" t="str">
        <f>IFERROR(VLOOKUP(Tabela1[[#This Row],[CC]],#REF!,5,0),"")</f>
        <v/>
      </c>
      <c r="C1045" t="str">
        <f>IFERROR(VLOOKUP(Tabela1[[#This Row],[CC]],CC!$A$1:$H$389,7,0),"")</f>
        <v>RODRIGO CORUMBA</v>
      </c>
      <c r="D1045" t="str">
        <f>IFERROR(VLOOKUP(Tabela1[[#This Row],[CC]],CC!$A$1:$I$3869,3,0),"")</f>
        <v>RENDIMENTO</v>
      </c>
      <c r="E1045" t="str">
        <f>IFERROR(VLOOKUP(Tabela1[[#This Row],[CC]],CC!$A$1:$H$389,2,0),"")</f>
        <v>BANCO RENDIMENTO MONITORING CSA (1269)</v>
      </c>
      <c r="F1045" t="s">
        <v>586</v>
      </c>
      <c r="G1045" s="107">
        <v>4371</v>
      </c>
      <c r="H1045" s="12">
        <v>45870</v>
      </c>
      <c r="I1045" s="24">
        <v>6655.99</v>
      </c>
      <c r="J1045" s="24">
        <v>6246.65</v>
      </c>
      <c r="K1045" s="3">
        <v>45922</v>
      </c>
      <c r="L1045" s="93">
        <v>45929</v>
      </c>
      <c r="M1045" s="11">
        <v>45930</v>
      </c>
      <c r="N1045" s="18" t="s">
        <v>588</v>
      </c>
      <c r="O1045" s="34">
        <v>0</v>
      </c>
      <c r="P1045" s="14"/>
      <c r="Q1045" t="str">
        <f>IFERROR(VLOOKUP(Tabela1[[#This Row],[CC]],CC!$A$1:$H$389,5,0),"")</f>
        <v>CSA</v>
      </c>
      <c r="R1045" t="str">
        <f>IFERROR(VLOOKUP(Tabela1[[#This Row],[CC]],CC!$A$1:$H$389,6,0),"")</f>
        <v>FS</v>
      </c>
      <c r="S1045" t="str">
        <f>IFERROR(VLOOKUP(Tabela1[[#This Row],[CC]],CC!$A$1:$H$403,8,0),"")</f>
        <v>OP2</v>
      </c>
    </row>
    <row r="1046" spans="1:19" x14ac:dyDescent="0.3">
      <c r="A1046" s="8">
        <v>1269</v>
      </c>
      <c r="B1046" s="8" t="str">
        <f>IFERROR(VLOOKUP(Tabela1[[#This Row],[CC]],#REF!,5,0),"")</f>
        <v/>
      </c>
      <c r="C1046" t="str">
        <f>IFERROR(VLOOKUP(Tabela1[[#This Row],[CC]],CC!$A$1:$H$389,7,0),"")</f>
        <v>RODRIGO CORUMBA</v>
      </c>
      <c r="D1046" t="str">
        <f>IFERROR(VLOOKUP(Tabela1[[#This Row],[CC]],CC!$A$1:$I$3869,3,0),"")</f>
        <v>RENDIMENTO</v>
      </c>
      <c r="E1046" t="str">
        <f>IFERROR(VLOOKUP(Tabela1[[#This Row],[CC]],CC!$A$1:$H$389,2,0),"")</f>
        <v>BANCO RENDIMENTO MONITORING CSA (1269)</v>
      </c>
      <c r="F1046" t="s">
        <v>586</v>
      </c>
      <c r="G1046" s="107">
        <v>4372</v>
      </c>
      <c r="H1046" s="12">
        <v>45870</v>
      </c>
      <c r="I1046" s="24">
        <v>30699.39</v>
      </c>
      <c r="J1046" s="24">
        <v>28811.38</v>
      </c>
      <c r="K1046" s="3">
        <v>45922</v>
      </c>
      <c r="L1046" s="93">
        <v>45929</v>
      </c>
      <c r="M1046" s="11">
        <v>45930</v>
      </c>
      <c r="N1046" s="18" t="s">
        <v>588</v>
      </c>
      <c r="O1046" s="34">
        <v>0</v>
      </c>
      <c r="P1046" s="14"/>
      <c r="Q1046" t="str">
        <f>IFERROR(VLOOKUP(Tabela1[[#This Row],[CC]],CC!$A$1:$H$389,5,0),"")</f>
        <v>CSA</v>
      </c>
      <c r="R1046" t="str">
        <f>IFERROR(VLOOKUP(Tabela1[[#This Row],[CC]],CC!$A$1:$H$389,6,0),"")</f>
        <v>FS</v>
      </c>
      <c r="S1046" t="str">
        <f>IFERROR(VLOOKUP(Tabela1[[#This Row],[CC]],CC!$A$1:$H$403,8,0),"")</f>
        <v>OP2</v>
      </c>
    </row>
    <row r="1047" spans="1:19" x14ac:dyDescent="0.3">
      <c r="A1047" s="25">
        <v>1400</v>
      </c>
      <c r="B1047" s="25" t="str">
        <f>IFERROR(VLOOKUP(Tabela1[[#This Row],[CC]],#REF!,5,0),"")</f>
        <v/>
      </c>
      <c r="C1047" t="str">
        <f>IFERROR(VLOOKUP(Tabela1[[#This Row],[CC]],CC!$A$1:$H$389,7,0),"")</f>
        <v>CYRO SALVATORE</v>
      </c>
      <c r="D1047" t="str">
        <f>IFERROR(VLOOKUP(Tabela1[[#This Row],[CC]],CC!$A$1:$I$3869,3,0),"")</f>
        <v>SABESP</v>
      </c>
      <c r="E1047" t="str">
        <f>IFERROR(VLOOKUP(Tabela1[[#This Row],[CC]],CC!$A$1:$H$389,2,0),"")</f>
        <v>SABESP - MICROSOFT NOVO (1400)</v>
      </c>
      <c r="F1047" t="s">
        <v>586</v>
      </c>
      <c r="G1047" s="107">
        <v>8547</v>
      </c>
      <c r="H1047" s="12">
        <v>45870</v>
      </c>
      <c r="I1047" s="24">
        <v>77751.44</v>
      </c>
      <c r="J1047" s="24">
        <v>70248.429999999993</v>
      </c>
      <c r="K1047" s="3">
        <v>45938</v>
      </c>
      <c r="L1047" s="91">
        <v>45950</v>
      </c>
      <c r="M1047" s="11">
        <v>45953</v>
      </c>
      <c r="N1047" s="18" t="s">
        <v>588</v>
      </c>
      <c r="O1047" s="38"/>
      <c r="P1047"/>
      <c r="Q1047" t="str">
        <f>IFERROR(VLOOKUP(Tabela1[[#This Row],[CC]],CC!$A$1:$H$389,5,0),"")</f>
        <v>ADS</v>
      </c>
      <c r="R1047" t="str">
        <f>IFERROR(VLOOKUP(Tabela1[[#This Row],[CC]],CC!$A$1:$H$389,6,0),"")</f>
        <v>UT</v>
      </c>
      <c r="S1047" t="str">
        <f>IFERROR(VLOOKUP(Tabela1[[#This Row],[CC]],CC!$A$1:$H$403,8,0),"")</f>
        <v>OP1</v>
      </c>
    </row>
    <row r="1048" spans="1:19" x14ac:dyDescent="0.3">
      <c r="A1048" s="25">
        <v>1400</v>
      </c>
      <c r="B1048" s="25" t="str">
        <f>IFERROR(VLOOKUP(Tabela1[[#This Row],[CC]],#REF!,5,0),"")</f>
        <v/>
      </c>
      <c r="C1048" t="str">
        <f>IFERROR(VLOOKUP(Tabela1[[#This Row],[CC]],CC!$A$1:$H$389,7,0),"")</f>
        <v>CYRO SALVATORE</v>
      </c>
      <c r="D1048" t="str">
        <f>IFERROR(VLOOKUP(Tabela1[[#This Row],[CC]],CC!$A$1:$I$3869,3,0),"")</f>
        <v>SABESP</v>
      </c>
      <c r="E1048" t="str">
        <f>IFERROR(VLOOKUP(Tabela1[[#This Row],[CC]],CC!$A$1:$H$389,2,0),"")</f>
        <v>SABESP - MICROSOFT NOVO (1400)</v>
      </c>
      <c r="F1048" t="s">
        <v>586</v>
      </c>
      <c r="G1048" s="107">
        <v>8637</v>
      </c>
      <c r="H1048" s="12">
        <v>45870</v>
      </c>
      <c r="I1048" s="24">
        <v>516722.79</v>
      </c>
      <c r="J1048" s="27">
        <v>466859.04</v>
      </c>
      <c r="K1048" s="3">
        <v>45992</v>
      </c>
      <c r="L1048" s="91">
        <v>45992</v>
      </c>
      <c r="M1048" s="11">
        <v>45995</v>
      </c>
      <c r="N1048" s="18" t="s">
        <v>588</v>
      </c>
      <c r="O1048" s="35"/>
      <c r="P1048"/>
      <c r="Q1048" t="str">
        <f>IFERROR(VLOOKUP(Tabela1[[#This Row],[CC]],CC!$A$1:$H$389,5,0),"")</f>
        <v>ADS</v>
      </c>
      <c r="R1048" t="str">
        <f>IFERROR(VLOOKUP(Tabela1[[#This Row],[CC]],CC!$A$1:$H$389,6,0),"")</f>
        <v>UT</v>
      </c>
      <c r="S1048" t="str">
        <f>IFERROR(VLOOKUP(Tabela1[[#This Row],[CC]],CC!$A$1:$H$403,8,0),"")</f>
        <v>OP1</v>
      </c>
    </row>
    <row r="1049" spans="1:19" x14ac:dyDescent="0.3">
      <c r="A1049" s="25">
        <v>1366</v>
      </c>
      <c r="B1049" s="25" t="str">
        <f>IFERROR(VLOOKUP(Tabela1[[#This Row],[CC]],#REF!,5,0),"")</f>
        <v/>
      </c>
      <c r="C1049" t="str">
        <f>IFERROR(VLOOKUP(Tabela1[[#This Row],[CC]],CC!$A$1:$H$389,7,0),"")</f>
        <v>CYRO SALVATORE</v>
      </c>
      <c r="D1049" t="str">
        <f>IFERROR(VLOOKUP(Tabela1[[#This Row],[CC]],CC!$A$1:$I$3869,3,0),"")</f>
        <v>SABESP</v>
      </c>
      <c r="E1049" t="str">
        <f>IFERROR(VLOOKUP(Tabela1[[#This Row],[CC]],CC!$A$1:$H$389,2,0),"")</f>
        <v>SABESP - SD (1366)</v>
      </c>
      <c r="F1049" t="s">
        <v>586</v>
      </c>
      <c r="G1049" s="107">
        <v>1297</v>
      </c>
      <c r="H1049" s="12">
        <v>45870</v>
      </c>
      <c r="I1049" s="24">
        <v>297531.55</v>
      </c>
      <c r="J1049" s="24">
        <v>268819.76</v>
      </c>
      <c r="K1049" s="3">
        <v>45918</v>
      </c>
      <c r="L1049" s="91">
        <v>45957</v>
      </c>
      <c r="M1049" s="11">
        <v>45960</v>
      </c>
      <c r="N1049" s="18" t="s">
        <v>588</v>
      </c>
      <c r="O1049" s="35">
        <v>0</v>
      </c>
      <c r="P1049"/>
      <c r="Q1049" t="str">
        <f>IFERROR(VLOOKUP(Tabela1[[#This Row],[CC]],CC!$A$1:$H$389,5,0),"")</f>
        <v>CSA</v>
      </c>
      <c r="R1049" t="str">
        <f>IFERROR(VLOOKUP(Tabela1[[#This Row],[CC]],CC!$A$1:$H$389,6,0),"")</f>
        <v>UT</v>
      </c>
      <c r="S1049" t="str">
        <f>IFERROR(VLOOKUP(Tabela1[[#This Row],[CC]],CC!$A$1:$H$403,8,0),"")</f>
        <v>OP1</v>
      </c>
    </row>
    <row r="1050" spans="1:19" x14ac:dyDescent="0.3">
      <c r="A1050" s="8">
        <v>1501</v>
      </c>
      <c r="B1050" s="8" t="str">
        <f>IFERROR(VLOOKUP(Tabela1[[#This Row],[CC]],#REF!,5,0),"")</f>
        <v/>
      </c>
      <c r="C1050" t="str">
        <f>IFERROR(VLOOKUP(Tabela1[[#This Row],[CC]],CC!$A$1:$H$389,7,0),"")</f>
        <v>CYRO SALVATORE</v>
      </c>
      <c r="D1050" t="str">
        <f>IFERROR(VLOOKUP(Tabela1[[#This Row],[CC]],CC!$A$1:$I$3869,3,0),"")</f>
        <v>SABESP</v>
      </c>
      <c r="E1050" t="str">
        <f>IFERROR(VLOOKUP(Tabela1[[#This Row],[CC]],CC!$A$1:$H$389,2,0),"")</f>
        <v>SABESP - SD 2025 (1501)</v>
      </c>
      <c r="F1050" t="s">
        <v>586</v>
      </c>
      <c r="G1050" s="107">
        <v>8601</v>
      </c>
      <c r="H1050" s="12">
        <v>45870</v>
      </c>
      <c r="I1050" s="24">
        <v>292069.58</v>
      </c>
      <c r="J1050" s="10">
        <v>263884.87</v>
      </c>
      <c r="K1050" s="3">
        <v>45972</v>
      </c>
      <c r="L1050" s="91">
        <v>45985</v>
      </c>
      <c r="M1050" s="11">
        <v>45988</v>
      </c>
      <c r="N1050" s="18" t="s">
        <v>588</v>
      </c>
      <c r="O1050" s="34">
        <v>0</v>
      </c>
      <c r="P1050"/>
      <c r="Q1050" t="str">
        <f>IFERROR(VLOOKUP(Tabela1[[#This Row],[CC]],CC!$A$1:$H$389,5,0),"")</f>
        <v>CSA</v>
      </c>
      <c r="R1050" t="str">
        <f>IFERROR(VLOOKUP(Tabela1[[#This Row],[CC]],CC!$A$1:$H$389,6,0),"")</f>
        <v>UT</v>
      </c>
      <c r="S1050" t="str">
        <f>IFERROR(VLOOKUP(Tabela1[[#This Row],[CC]],CC!$A$1:$H$403,8,0),"")</f>
        <v>OP1</v>
      </c>
    </row>
    <row r="1051" spans="1:19" x14ac:dyDescent="0.3">
      <c r="A1051" s="8">
        <v>1388</v>
      </c>
      <c r="B1051" s="8" t="str">
        <f>IFERROR(VLOOKUP(Tabela1[[#This Row],[CC]],#REF!,5,0),"")</f>
        <v/>
      </c>
      <c r="C1051" t="str">
        <f>IFERROR(VLOOKUP(Tabela1[[#This Row],[CC]],CC!$A$1:$H$389,7,0),"")</f>
        <v>CYRO SALVATORE</v>
      </c>
      <c r="D1051" t="str">
        <f>IFERROR(VLOOKUP(Tabela1[[#This Row],[CC]],CC!$A$1:$I$3869,3,0),"")</f>
        <v>SABESP</v>
      </c>
      <c r="E1051" t="str">
        <f>IFERROR(VLOOKUP(Tabela1[[#This Row],[CC]],CC!$A$1:$H$389,2,0),"")</f>
        <v>SABESP - NETCONTROL (1388)</v>
      </c>
      <c r="F1051" t="s">
        <v>586</v>
      </c>
      <c r="G1051" s="107">
        <v>4415</v>
      </c>
      <c r="H1051" s="12">
        <v>45870</v>
      </c>
      <c r="I1051" s="24">
        <v>183507.12</v>
      </c>
      <c r="J1051" s="10">
        <v>165798.69</v>
      </c>
      <c r="K1051" s="3">
        <v>45938</v>
      </c>
      <c r="L1051" s="91">
        <v>45950</v>
      </c>
      <c r="M1051" s="11">
        <v>45953</v>
      </c>
      <c r="N1051" s="18" t="s">
        <v>588</v>
      </c>
      <c r="O1051" s="34"/>
      <c r="P1051"/>
      <c r="Q1051" t="str">
        <f>IFERROR(VLOOKUP(Tabela1[[#This Row],[CC]],CC!$A$1:$H$389,5,0),"")</f>
        <v>ADS</v>
      </c>
      <c r="R1051" t="str">
        <f>IFERROR(VLOOKUP(Tabela1[[#This Row],[CC]],CC!$A$1:$H$389,6,0),"")</f>
        <v>UT</v>
      </c>
      <c r="S1051" t="str">
        <f>IFERROR(VLOOKUP(Tabela1[[#This Row],[CC]],CC!$A$1:$H$403,8,0),"")</f>
        <v>OP1</v>
      </c>
    </row>
    <row r="1052" spans="1:19" x14ac:dyDescent="0.3">
      <c r="A1052" s="25">
        <v>1494</v>
      </c>
      <c r="B1052" s="25" t="str">
        <f>IFERROR(VLOOKUP(Tabela1[[#This Row],[CC]],#REF!,5,0),"")</f>
        <v/>
      </c>
      <c r="C1052" t="str">
        <f>IFERROR(VLOOKUP(Tabela1[[#This Row],[CC]],CC!$A$1:$H$389,7,0),"")</f>
        <v>RODRIGO CORUMBA</v>
      </c>
      <c r="D1052" t="str">
        <f>IFERROR(VLOOKUP(Tabela1[[#This Row],[CC]],CC!$A$1:$I$3869,3,0),"")</f>
        <v>SANTANDER</v>
      </c>
      <c r="E1052" t="str">
        <f>IFERROR(VLOOKUP(Tabela1[[#This Row],[CC]],CC!$A$1:$H$389,2,0),"")</f>
        <v>SANTANDER BPS (1494)</v>
      </c>
      <c r="F1052" t="s">
        <v>586</v>
      </c>
      <c r="G1052" s="107">
        <v>4334</v>
      </c>
      <c r="H1052" s="12">
        <v>45870</v>
      </c>
      <c r="I1052" s="24">
        <v>36951.599999999999</v>
      </c>
      <c r="J1052" s="24">
        <v>34679.08</v>
      </c>
      <c r="K1052" s="3">
        <v>45911</v>
      </c>
      <c r="L1052" s="91">
        <v>45929</v>
      </c>
      <c r="M1052" s="11">
        <v>45929</v>
      </c>
      <c r="N1052" s="18" t="s">
        <v>588</v>
      </c>
      <c r="O1052" s="35">
        <v>0</v>
      </c>
      <c r="P1052"/>
      <c r="Q1052" t="str">
        <f>IFERROR(VLOOKUP(Tabela1[[#This Row],[CC]],CC!$A$1:$H$389,5,0),"")</f>
        <v>BPS</v>
      </c>
      <c r="R1052" t="str">
        <f>IFERROR(VLOOKUP(Tabela1[[#This Row],[CC]],CC!$A$1:$H$389,6,0),"")</f>
        <v>FS</v>
      </c>
      <c r="S1052" t="str">
        <f>IFERROR(VLOOKUP(Tabela1[[#This Row],[CC]],CC!$A$1:$H$403,8,0),"")</f>
        <v>OP2</v>
      </c>
    </row>
    <row r="1053" spans="1:19" x14ac:dyDescent="0.3">
      <c r="A1053" s="8">
        <v>1298</v>
      </c>
      <c r="B1053" s="8" t="str">
        <f>IFERROR(VLOOKUP(Tabela1[[#This Row],[CC]],#REF!,5,0),"")</f>
        <v/>
      </c>
      <c r="C1053" t="str">
        <f>IFERROR(VLOOKUP(Tabela1[[#This Row],[CC]],CC!$A$1:$H$389,7,0),"")</f>
        <v>JOSÉ NETO</v>
      </c>
      <c r="D1053" t="str">
        <f>IFERROR(VLOOKUP(Tabela1[[#This Row],[CC]],CC!$A$1:$I$3869,3,0),"")</f>
        <v>SEBRAE</v>
      </c>
      <c r="E1053" t="str">
        <f>IFERROR(VLOOKUP(Tabela1[[#This Row],[CC]],CC!$A$1:$H$389,2,0),"")</f>
        <v>SEBRAE-SP DC NOVO (1298)</v>
      </c>
      <c r="F1053" t="s">
        <v>586</v>
      </c>
      <c r="G1053" s="107">
        <v>1291</v>
      </c>
      <c r="H1053" s="12">
        <v>45870</v>
      </c>
      <c r="I1053" s="24">
        <v>275594.28999999998</v>
      </c>
      <c r="J1053" s="24">
        <v>258645.25</v>
      </c>
      <c r="K1053" s="3">
        <v>45908</v>
      </c>
      <c r="L1053" s="91">
        <v>45922</v>
      </c>
      <c r="M1053" s="11">
        <v>45926</v>
      </c>
      <c r="N1053" s="18" t="s">
        <v>588</v>
      </c>
      <c r="O1053" s="34">
        <v>0</v>
      </c>
      <c r="P1053"/>
      <c r="Q1053" t="str">
        <f>IFERROR(VLOOKUP(Tabela1[[#This Row],[CC]],CC!$A$1:$H$389,5,0),"")</f>
        <v>CSA</v>
      </c>
      <c r="R1053" t="str">
        <f>IFERROR(VLOOKUP(Tabela1[[#This Row],[CC]],CC!$A$1:$H$389,6,0),"")</f>
        <v>PS</v>
      </c>
      <c r="S1053" t="str">
        <f>IFERROR(VLOOKUP(Tabela1[[#This Row],[CC]],CC!$A$1:$H$403,8,0),"")</f>
        <v>OP2</v>
      </c>
    </row>
    <row r="1054" spans="1:19" x14ac:dyDescent="0.3">
      <c r="A1054" s="8">
        <v>1289</v>
      </c>
      <c r="B1054" s="8" t="str">
        <f>IFERROR(VLOOKUP(Tabela1[[#This Row],[CC]],#REF!,5,0),"")</f>
        <v/>
      </c>
      <c r="C1054" t="str">
        <f>IFERROR(VLOOKUP(Tabela1[[#This Row],[CC]],CC!$A$1:$H$389,7,0),"")</f>
        <v>LIZANDRA PIMENTA</v>
      </c>
      <c r="D1054" t="str">
        <f>IFERROR(VLOOKUP(Tabela1[[#This Row],[CC]],CC!$A$1:$I$3869,3,0),"")</f>
        <v>SEC-BA</v>
      </c>
      <c r="E1054" t="str">
        <f>IFERROR(VLOOKUP(Tabela1[[#This Row],[CC]],CC!$A$1:$H$389,2,0),"")</f>
        <v>SEC N3 NOVO (1289)</v>
      </c>
      <c r="F1054" t="s">
        <v>586</v>
      </c>
      <c r="G1054" s="107">
        <v>8510</v>
      </c>
      <c r="H1054" s="12">
        <v>45870</v>
      </c>
      <c r="I1054" s="24">
        <v>288631.78000000003</v>
      </c>
      <c r="J1054" s="10">
        <v>269004.81</v>
      </c>
      <c r="K1054" s="3">
        <v>45909</v>
      </c>
      <c r="L1054" s="91">
        <v>45931</v>
      </c>
      <c r="M1054" s="11">
        <v>45933</v>
      </c>
      <c r="N1054" s="18" t="s">
        <v>588</v>
      </c>
      <c r="O1054" s="34"/>
      <c r="P1054"/>
      <c r="Q1054" t="str">
        <f>IFERROR(VLOOKUP(Tabela1[[#This Row],[CC]],CC!$A$1:$H$389,5,0),"")</f>
        <v>CSA</v>
      </c>
      <c r="R1054" t="str">
        <f>IFERROR(VLOOKUP(Tabela1[[#This Row],[CC]],CC!$A$1:$H$389,6,0),"")</f>
        <v>PS</v>
      </c>
      <c r="S1054" t="str">
        <f>IFERROR(VLOOKUP(Tabela1[[#This Row],[CC]],CC!$A$1:$H$403,8,0),"")</f>
        <v>OP3</v>
      </c>
    </row>
    <row r="1055" spans="1:19" x14ac:dyDescent="0.3">
      <c r="A1055" s="25">
        <v>1288</v>
      </c>
      <c r="B1055" s="25" t="str">
        <f>IFERROR(VLOOKUP(Tabela1[[#This Row],[CC]],#REF!,5,0),"")</f>
        <v/>
      </c>
      <c r="C1055" t="str">
        <f>IFERROR(VLOOKUP(Tabela1[[#This Row],[CC]],CC!$A$1:$H$389,7,0),"")</f>
        <v>LIZANDRA PIMENTA</v>
      </c>
      <c r="D1055" t="str">
        <f>IFERROR(VLOOKUP(Tabela1[[#This Row],[CC]],CC!$A$1:$I$3869,3,0),"")</f>
        <v>SEC-BA</v>
      </c>
      <c r="E1055" t="str">
        <f>IFERROR(VLOOKUP(Tabela1[[#This Row],[CC]],CC!$A$1:$H$389,2,0),"")</f>
        <v>SEC BA SISTEMAS  (1288)</v>
      </c>
      <c r="F1055" t="s">
        <v>586</v>
      </c>
      <c r="G1055" s="107">
        <v>8508</v>
      </c>
      <c r="H1055" s="12">
        <v>45870</v>
      </c>
      <c r="I1055" s="24">
        <v>393625.11</v>
      </c>
      <c r="J1055" s="24">
        <v>366858.6</v>
      </c>
      <c r="K1055" s="3">
        <v>45909</v>
      </c>
      <c r="L1055" s="91">
        <v>45936</v>
      </c>
      <c r="M1055" s="5">
        <v>45940</v>
      </c>
      <c r="N1055" s="18" t="s">
        <v>588</v>
      </c>
      <c r="O1055" s="35"/>
      <c r="P1055"/>
      <c r="Q1055" t="str">
        <f>IFERROR(VLOOKUP(Tabela1[[#This Row],[CC]],CC!$A$1:$H$389,5,0),"")</f>
        <v>ADS</v>
      </c>
      <c r="R1055" t="str">
        <f>IFERROR(VLOOKUP(Tabela1[[#This Row],[CC]],CC!$A$1:$H$389,6,0),"")</f>
        <v>PS</v>
      </c>
      <c r="S1055" t="str">
        <f>IFERROR(VLOOKUP(Tabela1[[#This Row],[CC]],CC!$A$1:$H$403,8,0),"")</f>
        <v>OP3</v>
      </c>
    </row>
    <row r="1056" spans="1:19" x14ac:dyDescent="0.3">
      <c r="A1056" s="8">
        <v>1271</v>
      </c>
      <c r="B1056" s="8" t="str">
        <f>IFERROR(VLOOKUP(Tabela1[[#This Row],[CC]],#REF!,5,0),"")</f>
        <v/>
      </c>
      <c r="C1056" t="str">
        <f>IFERROR(VLOOKUP(Tabela1[[#This Row],[CC]],CC!$A$1:$H$389,7,0),"")</f>
        <v>LIZANDRA PIMENTA</v>
      </c>
      <c r="D1056" t="str">
        <f>IFERROR(VLOOKUP(Tabela1[[#This Row],[CC]],CC!$A$1:$I$3869,3,0),"")</f>
        <v>SEC-BA</v>
      </c>
      <c r="E1056" t="str">
        <f>IFERROR(VLOOKUP(Tabela1[[#This Row],[CC]],CC!$A$1:$H$389,2,0),"")</f>
        <v>SEC SD (1271)</v>
      </c>
      <c r="F1056" t="s">
        <v>586</v>
      </c>
      <c r="G1056" s="107">
        <v>8509</v>
      </c>
      <c r="H1056" s="12">
        <v>45870</v>
      </c>
      <c r="I1056" s="24">
        <v>255597.54</v>
      </c>
      <c r="J1056" s="10">
        <v>238216.91</v>
      </c>
      <c r="K1056" s="3">
        <v>45909</v>
      </c>
      <c r="L1056" s="91">
        <v>45915</v>
      </c>
      <c r="M1056" s="11">
        <v>45919</v>
      </c>
      <c r="N1056" s="18" t="s">
        <v>588</v>
      </c>
      <c r="O1056" s="34">
        <v>0</v>
      </c>
      <c r="P1056"/>
      <c r="Q1056" t="str">
        <f>IFERROR(VLOOKUP(Tabela1[[#This Row],[CC]],CC!$A$1:$H$389,5,0),"")</f>
        <v>CSA</v>
      </c>
      <c r="R1056" t="str">
        <f>IFERROR(VLOOKUP(Tabela1[[#This Row],[CC]],CC!$A$1:$H$389,6,0),"")</f>
        <v>PS</v>
      </c>
      <c r="S1056" t="str">
        <f>IFERROR(VLOOKUP(Tabela1[[#This Row],[CC]],CC!$A$1:$H$403,8,0),"")</f>
        <v>OP3</v>
      </c>
    </row>
    <row r="1057" spans="1:19" x14ac:dyDescent="0.3">
      <c r="A1057" s="8">
        <v>1299</v>
      </c>
      <c r="B1057" s="8" t="str">
        <f>IFERROR(VLOOKUP(Tabela1[[#This Row],[CC]],#REF!,5,0),"")</f>
        <v/>
      </c>
      <c r="C1057" t="str">
        <f>IFERROR(VLOOKUP(Tabela1[[#This Row],[CC]],CC!$A$1:$H$389,7,0),"")</f>
        <v>LIZANDRA PIMENTA</v>
      </c>
      <c r="D1057" t="str">
        <f>IFERROR(VLOOKUP(Tabela1[[#This Row],[CC]],CC!$A$1:$I$3869,3,0),"")</f>
        <v>SEC-BA</v>
      </c>
      <c r="E1057" t="str">
        <f>IFERROR(VLOOKUP(Tabela1[[#This Row],[CC]],CC!$A$1:$H$389,2,0),"")</f>
        <v>SEC SIGEDUC (1299)</v>
      </c>
      <c r="F1057" t="s">
        <v>586</v>
      </c>
      <c r="G1057" s="107">
        <v>8525</v>
      </c>
      <c r="H1057" s="12">
        <v>45870</v>
      </c>
      <c r="I1057" s="24">
        <v>1020096</v>
      </c>
      <c r="J1057" s="17">
        <v>950729.47</v>
      </c>
      <c r="K1057" s="3">
        <v>45925</v>
      </c>
      <c r="L1057" s="91">
        <v>45957</v>
      </c>
      <c r="M1057" s="11">
        <v>45961</v>
      </c>
      <c r="N1057" s="18" t="s">
        <v>588</v>
      </c>
      <c r="O1057" s="53"/>
      <c r="P1057" s="14"/>
      <c r="Q1057" t="str">
        <f>IFERROR(VLOOKUP(Tabela1[[#This Row],[CC]],CC!$A$1:$H$389,5,0),"")</f>
        <v>ADS</v>
      </c>
      <c r="R1057" t="str">
        <f>IFERROR(VLOOKUP(Tabela1[[#This Row],[CC]],CC!$A$1:$H$389,6,0),"")</f>
        <v>PS</v>
      </c>
      <c r="S1057" t="str">
        <f>IFERROR(VLOOKUP(Tabela1[[#This Row],[CC]],CC!$A$1:$H$403,8,0),"")</f>
        <v>OP3</v>
      </c>
    </row>
    <row r="1058" spans="1:19" x14ac:dyDescent="0.3">
      <c r="A1058" s="8">
        <v>1394</v>
      </c>
      <c r="B1058" s="8" t="str">
        <f>IFERROR(VLOOKUP(Tabela1[[#This Row],[CC]],#REF!,5,0),"")</f>
        <v/>
      </c>
      <c r="C1058" t="str">
        <f>IFERROR(VLOOKUP(Tabela1[[#This Row],[CC]],CC!$A$1:$H$389,7,0),"")</f>
        <v>ANTONIO ALVES</v>
      </c>
      <c r="D1058" t="str">
        <f>IFERROR(VLOOKUP(Tabela1[[#This Row],[CC]],CC!$A$1:$I$3869,3,0),"")</f>
        <v>SEFAZ_BA</v>
      </c>
      <c r="E1058" t="str">
        <f>IFERROR(VLOOKUP(Tabela1[[#This Row],[CC]],CC!$A$1:$H$389,2,0),"")</f>
        <v>SEFAZ - BA DIGITAL CENTER (1394)</v>
      </c>
      <c r="F1058" t="s">
        <v>586</v>
      </c>
      <c r="G1058" s="107">
        <v>8501</v>
      </c>
      <c r="H1058" s="12">
        <v>45870</v>
      </c>
      <c r="I1058" s="24">
        <v>89018.28</v>
      </c>
      <c r="J1058" s="10">
        <v>82965.03</v>
      </c>
      <c r="K1058" s="3">
        <v>45904</v>
      </c>
      <c r="L1058" s="91">
        <v>45908</v>
      </c>
      <c r="M1058" s="5">
        <v>45911</v>
      </c>
      <c r="N1058" s="21" t="s">
        <v>588</v>
      </c>
      <c r="O1058" s="54">
        <v>0</v>
      </c>
      <c r="P1058" s="14"/>
      <c r="Q1058" t="str">
        <f>IFERROR(VLOOKUP(Tabela1[[#This Row],[CC]],CC!$A$1:$H$389,5,0),"")</f>
        <v>CSA</v>
      </c>
      <c r="R1058" t="str">
        <f>IFERROR(VLOOKUP(Tabela1[[#This Row],[CC]],CC!$A$1:$H$389,6,0),"")</f>
        <v>PS</v>
      </c>
      <c r="S1058" t="str">
        <f>IFERROR(VLOOKUP(Tabela1[[#This Row],[CC]],CC!$A$1:$H$403,8,0),"")</f>
        <v>OP4</v>
      </c>
    </row>
    <row r="1059" spans="1:19" x14ac:dyDescent="0.3">
      <c r="A1059" s="8">
        <v>1394</v>
      </c>
      <c r="B1059" s="8" t="str">
        <f>IFERROR(VLOOKUP(Tabela1[[#This Row],[CC]],#REF!,5,0),"")</f>
        <v/>
      </c>
      <c r="C1059" t="str">
        <f>IFERROR(VLOOKUP(Tabela1[[#This Row],[CC]],CC!$A$1:$H$389,7,0),"")</f>
        <v>ANTONIO ALVES</v>
      </c>
      <c r="D1059" t="str">
        <f>IFERROR(VLOOKUP(Tabela1[[#This Row],[CC]],CC!$A$1:$I$3869,3,0),"")</f>
        <v>SEFAZ_BA</v>
      </c>
      <c r="E1059" t="str">
        <f>IFERROR(VLOOKUP(Tabela1[[#This Row],[CC]],CC!$A$1:$H$389,2,0),"")</f>
        <v>SEFAZ - BA DIGITAL CENTER (1394)</v>
      </c>
      <c r="F1059" t="s">
        <v>586</v>
      </c>
      <c r="G1059" s="107">
        <v>8511</v>
      </c>
      <c r="H1059" s="12">
        <v>45870</v>
      </c>
      <c r="I1059" s="24">
        <v>11012.23</v>
      </c>
      <c r="J1059" s="10">
        <v>10263.4</v>
      </c>
      <c r="K1059" s="3">
        <v>45911</v>
      </c>
      <c r="L1059" s="91">
        <v>45915</v>
      </c>
      <c r="M1059" s="5">
        <v>45918</v>
      </c>
      <c r="N1059" s="21" t="s">
        <v>588</v>
      </c>
      <c r="O1059" s="54">
        <v>0</v>
      </c>
      <c r="P1059" s="14"/>
      <c r="Q1059" t="str">
        <f>IFERROR(VLOOKUP(Tabela1[[#This Row],[CC]],CC!$A$1:$H$389,5,0),"")</f>
        <v>CSA</v>
      </c>
      <c r="R1059" t="str">
        <f>IFERROR(VLOOKUP(Tabela1[[#This Row],[CC]],CC!$A$1:$H$389,6,0),"")</f>
        <v>PS</v>
      </c>
      <c r="S1059" t="str">
        <f>IFERROR(VLOOKUP(Tabela1[[#This Row],[CC]],CC!$A$1:$H$403,8,0),"")</f>
        <v>OP4</v>
      </c>
    </row>
    <row r="1060" spans="1:19" x14ac:dyDescent="0.3">
      <c r="A1060" s="8">
        <v>1394</v>
      </c>
      <c r="B1060" s="8" t="str">
        <f>IFERROR(VLOOKUP(Tabela1[[#This Row],[CC]],#REF!,5,0),"")</f>
        <v/>
      </c>
      <c r="C1060" t="str">
        <f>IFERROR(VLOOKUP(Tabela1[[#This Row],[CC]],CC!$A$1:$H$389,7,0),"")</f>
        <v>ANTONIO ALVES</v>
      </c>
      <c r="D1060" t="str">
        <f>IFERROR(VLOOKUP(Tabela1[[#This Row],[CC]],CC!$A$1:$I$3869,3,0),"")</f>
        <v>SEFAZ_BA</v>
      </c>
      <c r="E1060" t="str">
        <f>IFERROR(VLOOKUP(Tabela1[[#This Row],[CC]],CC!$A$1:$H$389,2,0),"")</f>
        <v>SEFAZ - BA DIGITAL CENTER (1394)</v>
      </c>
      <c r="F1060" t="s">
        <v>586</v>
      </c>
      <c r="G1060" s="107">
        <v>8513</v>
      </c>
      <c r="H1060" s="12">
        <v>45870</v>
      </c>
      <c r="I1060" s="24">
        <v>234609.58</v>
      </c>
      <c r="J1060" s="10">
        <v>218656.13</v>
      </c>
      <c r="K1060" s="3">
        <v>45911</v>
      </c>
      <c r="L1060" s="91">
        <v>45922</v>
      </c>
      <c r="M1060" s="5">
        <v>45922</v>
      </c>
      <c r="N1060" s="21" t="s">
        <v>588</v>
      </c>
      <c r="O1060" s="54">
        <v>0</v>
      </c>
      <c r="P1060" s="14"/>
      <c r="Q1060" t="str">
        <f>IFERROR(VLOOKUP(Tabela1[[#This Row],[CC]],CC!$A$1:$H$389,5,0),"")</f>
        <v>CSA</v>
      </c>
      <c r="R1060" t="str">
        <f>IFERROR(VLOOKUP(Tabela1[[#This Row],[CC]],CC!$A$1:$H$389,6,0),"")</f>
        <v>PS</v>
      </c>
      <c r="S1060" t="str">
        <f>IFERROR(VLOOKUP(Tabela1[[#This Row],[CC]],CC!$A$1:$H$403,8,0),"")</f>
        <v>OP4</v>
      </c>
    </row>
    <row r="1061" spans="1:19" x14ac:dyDescent="0.3">
      <c r="A1061" s="8">
        <v>1394</v>
      </c>
      <c r="B1061" s="8" t="str">
        <f>IFERROR(VLOOKUP(Tabela1[[#This Row],[CC]],#REF!,5,0),"")</f>
        <v/>
      </c>
      <c r="C1061" t="str">
        <f>IFERROR(VLOOKUP(Tabela1[[#This Row],[CC]],CC!$A$1:$H$389,7,0),"")</f>
        <v>ANTONIO ALVES</v>
      </c>
      <c r="D1061" t="str">
        <f>IFERROR(VLOOKUP(Tabela1[[#This Row],[CC]],CC!$A$1:$I$3869,3,0),"")</f>
        <v>SEFAZ_BA</v>
      </c>
      <c r="E1061" t="str">
        <f>IFERROR(VLOOKUP(Tabela1[[#This Row],[CC]],CC!$A$1:$H$389,2,0),"")</f>
        <v>SEFAZ - BA DIGITAL CENTER (1394)</v>
      </c>
      <c r="F1061" t="s">
        <v>586</v>
      </c>
      <c r="G1061" s="107">
        <v>8515</v>
      </c>
      <c r="H1061" s="12">
        <v>45870</v>
      </c>
      <c r="I1061" s="24">
        <v>117291.83</v>
      </c>
      <c r="J1061" s="10">
        <v>109315.98</v>
      </c>
      <c r="K1061" s="3">
        <v>45915</v>
      </c>
      <c r="L1061" s="91">
        <v>45922</v>
      </c>
      <c r="M1061" s="5">
        <v>45922</v>
      </c>
      <c r="N1061" s="21" t="s">
        <v>588</v>
      </c>
      <c r="O1061" s="54">
        <v>0</v>
      </c>
      <c r="P1061" s="14"/>
      <c r="Q1061" t="str">
        <f>IFERROR(VLOOKUP(Tabela1[[#This Row],[CC]],CC!$A$1:$H$389,5,0),"")</f>
        <v>CSA</v>
      </c>
      <c r="R1061" t="str">
        <f>IFERROR(VLOOKUP(Tabela1[[#This Row],[CC]],CC!$A$1:$H$389,6,0),"")</f>
        <v>PS</v>
      </c>
      <c r="S1061" t="str">
        <f>IFERROR(VLOOKUP(Tabela1[[#This Row],[CC]],CC!$A$1:$H$403,8,0),"")</f>
        <v>OP4</v>
      </c>
    </row>
    <row r="1062" spans="1:19" x14ac:dyDescent="0.3">
      <c r="A1062" s="8">
        <v>1394</v>
      </c>
      <c r="B1062" s="8" t="str">
        <f>IFERROR(VLOOKUP(Tabela1[[#This Row],[CC]],#REF!,5,0),"")</f>
        <v/>
      </c>
      <c r="C1062" t="str">
        <f>IFERROR(VLOOKUP(Tabela1[[#This Row],[CC]],CC!$A$1:$H$389,7,0),"")</f>
        <v>ANTONIO ALVES</v>
      </c>
      <c r="D1062" t="str">
        <f>IFERROR(VLOOKUP(Tabela1[[#This Row],[CC]],CC!$A$1:$I$3869,3,0),"")</f>
        <v>SEFAZ_BA</v>
      </c>
      <c r="E1062" t="str">
        <f>IFERROR(VLOOKUP(Tabela1[[#This Row],[CC]],CC!$A$1:$H$389,2,0),"")</f>
        <v>SEFAZ - BA DIGITAL CENTER (1394)</v>
      </c>
      <c r="F1062" t="s">
        <v>586</v>
      </c>
      <c r="G1062" s="107">
        <v>8517</v>
      </c>
      <c r="H1062" s="12">
        <v>45870</v>
      </c>
      <c r="I1062" s="24">
        <v>133850.94</v>
      </c>
      <c r="J1062" s="10">
        <v>124749.07</v>
      </c>
      <c r="K1062" s="3">
        <v>45916</v>
      </c>
      <c r="L1062" s="91">
        <v>45922</v>
      </c>
      <c r="M1062" s="5">
        <v>45923</v>
      </c>
      <c r="N1062" s="21" t="s">
        <v>588</v>
      </c>
      <c r="O1062" s="54">
        <v>0</v>
      </c>
      <c r="P1062" s="14"/>
      <c r="Q1062" t="str">
        <f>IFERROR(VLOOKUP(Tabela1[[#This Row],[CC]],CC!$A$1:$H$389,5,0),"")</f>
        <v>CSA</v>
      </c>
      <c r="R1062" t="str">
        <f>IFERROR(VLOOKUP(Tabela1[[#This Row],[CC]],CC!$A$1:$H$389,6,0),"")</f>
        <v>PS</v>
      </c>
      <c r="S1062" t="str">
        <f>IFERROR(VLOOKUP(Tabela1[[#This Row],[CC]],CC!$A$1:$H$403,8,0),"")</f>
        <v>OP4</v>
      </c>
    </row>
    <row r="1063" spans="1:19" x14ac:dyDescent="0.3">
      <c r="A1063" s="8">
        <v>1394</v>
      </c>
      <c r="B1063" s="8" t="str">
        <f>IFERROR(VLOOKUP(Tabela1[[#This Row],[CC]],#REF!,5,0),"")</f>
        <v/>
      </c>
      <c r="C1063" t="str">
        <f>IFERROR(VLOOKUP(Tabela1[[#This Row],[CC]],CC!$A$1:$H$389,7,0),"")</f>
        <v>ANTONIO ALVES</v>
      </c>
      <c r="D1063" t="str">
        <f>IFERROR(VLOOKUP(Tabela1[[#This Row],[CC]],CC!$A$1:$I$3869,3,0),"")</f>
        <v>SEFAZ_BA</v>
      </c>
      <c r="E1063" t="str">
        <f>IFERROR(VLOOKUP(Tabela1[[#This Row],[CC]],CC!$A$1:$H$389,2,0),"")</f>
        <v>SEFAZ - BA DIGITAL CENTER (1394)</v>
      </c>
      <c r="F1063" t="s">
        <v>586</v>
      </c>
      <c r="G1063" s="107">
        <v>8518</v>
      </c>
      <c r="H1063" s="12">
        <v>45870</v>
      </c>
      <c r="I1063" s="24">
        <v>297806.21999999997</v>
      </c>
      <c r="J1063" s="10">
        <v>277555.40000000002</v>
      </c>
      <c r="K1063" s="3">
        <v>45917</v>
      </c>
      <c r="L1063" s="91">
        <v>45922</v>
      </c>
      <c r="M1063" s="5">
        <v>45926</v>
      </c>
      <c r="N1063" s="21" t="s">
        <v>588</v>
      </c>
      <c r="O1063" s="54">
        <v>0</v>
      </c>
      <c r="P1063" s="14"/>
      <c r="Q1063" t="str">
        <f>IFERROR(VLOOKUP(Tabela1[[#This Row],[CC]],CC!$A$1:$H$389,5,0),"")</f>
        <v>CSA</v>
      </c>
      <c r="R1063" t="str">
        <f>IFERROR(VLOOKUP(Tabela1[[#This Row],[CC]],CC!$A$1:$H$389,6,0),"")</f>
        <v>PS</v>
      </c>
      <c r="S1063" t="str">
        <f>IFERROR(VLOOKUP(Tabela1[[#This Row],[CC]],CC!$A$1:$H$403,8,0),"")</f>
        <v>OP4</v>
      </c>
    </row>
    <row r="1064" spans="1:19" x14ac:dyDescent="0.3">
      <c r="A1064" s="8">
        <v>1394</v>
      </c>
      <c r="B1064" s="8" t="str">
        <f>IFERROR(VLOOKUP(Tabela1[[#This Row],[CC]],#REF!,5,0),"")</f>
        <v/>
      </c>
      <c r="C1064" t="str">
        <f>IFERROR(VLOOKUP(Tabela1[[#This Row],[CC]],CC!$A$1:$H$389,7,0),"")</f>
        <v>ANTONIO ALVES</v>
      </c>
      <c r="D1064" t="str">
        <f>IFERROR(VLOOKUP(Tabela1[[#This Row],[CC]],CC!$A$1:$I$3869,3,0),"")</f>
        <v>SEFAZ_BA</v>
      </c>
      <c r="E1064" t="str">
        <f>IFERROR(VLOOKUP(Tabela1[[#This Row],[CC]],CC!$A$1:$H$389,2,0),"")</f>
        <v>SEFAZ - BA DIGITAL CENTER (1394)</v>
      </c>
      <c r="F1064" t="s">
        <v>586</v>
      </c>
      <c r="G1064" s="107">
        <v>8519</v>
      </c>
      <c r="H1064" s="12">
        <v>45870</v>
      </c>
      <c r="I1064" s="24">
        <v>89335</v>
      </c>
      <c r="J1064" s="10">
        <v>83260.22</v>
      </c>
      <c r="K1064" s="3">
        <v>45917</v>
      </c>
      <c r="L1064" s="91">
        <v>45922</v>
      </c>
      <c r="M1064" s="5">
        <v>45926</v>
      </c>
      <c r="N1064" s="21" t="s">
        <v>588</v>
      </c>
      <c r="O1064" s="54">
        <v>0</v>
      </c>
      <c r="P1064" s="14"/>
      <c r="Q1064" t="str">
        <f>IFERROR(VLOOKUP(Tabela1[[#This Row],[CC]],CC!$A$1:$H$389,5,0),"")</f>
        <v>CSA</v>
      </c>
      <c r="R1064" t="str">
        <f>IFERROR(VLOOKUP(Tabela1[[#This Row],[CC]],CC!$A$1:$H$389,6,0),"")</f>
        <v>PS</v>
      </c>
      <c r="S1064" t="str">
        <f>IFERROR(VLOOKUP(Tabela1[[#This Row],[CC]],CC!$A$1:$H$403,8,0),"")</f>
        <v>OP4</v>
      </c>
    </row>
    <row r="1065" spans="1:19" x14ac:dyDescent="0.3">
      <c r="A1065" s="25">
        <v>1500</v>
      </c>
      <c r="B1065" s="25" t="str">
        <f>IFERROR(VLOOKUP(Tabela1[[#This Row],[CC]],#REF!,5,0),"")</f>
        <v/>
      </c>
      <c r="C1065" t="str">
        <f>IFERROR(VLOOKUP(Tabela1[[#This Row],[CC]],CC!$A$1:$H$389,7,0),"")</f>
        <v>RITA ANDRADE</v>
      </c>
      <c r="D1065" t="str">
        <f>IFERROR(VLOOKUP(Tabela1[[#This Row],[CC]],CC!$A$1:$I$3869,3,0),"")</f>
        <v>SERASA</v>
      </c>
      <c r="E1065" t="str">
        <f>IFERROR(VLOOKUP(Tabela1[[#This Row],[CC]],CC!$A$1:$H$389,2,0),"")</f>
        <v>SERASA (BPS) (1500)</v>
      </c>
      <c r="F1065" t="s">
        <v>586</v>
      </c>
      <c r="G1065" s="107">
        <v>4273</v>
      </c>
      <c r="H1065" s="12">
        <v>45870</v>
      </c>
      <c r="I1065" s="24">
        <v>39507.279999999999</v>
      </c>
      <c r="J1065" s="27">
        <v>37077.589999999997</v>
      </c>
      <c r="K1065" s="3">
        <v>45891</v>
      </c>
      <c r="L1065" s="91">
        <v>45931</v>
      </c>
      <c r="M1065" s="11">
        <v>45931</v>
      </c>
      <c r="N1065" s="18" t="s">
        <v>588</v>
      </c>
      <c r="O1065" s="35"/>
      <c r="P1065"/>
      <c r="Q1065" t="str">
        <f>IFERROR(VLOOKUP(Tabela1[[#This Row],[CC]],CC!$A$1:$H$389,5,0),"")</f>
        <v>BPS</v>
      </c>
      <c r="R1065" t="str">
        <f>IFERROR(VLOOKUP(Tabela1[[#This Row],[CC]],CC!$A$1:$H$389,6,0),"")</f>
        <v>FS</v>
      </c>
      <c r="S1065" t="str">
        <f>IFERROR(VLOOKUP(Tabela1[[#This Row],[CC]],CC!$A$1:$H$403,8,0),"")</f>
        <v>OP1</v>
      </c>
    </row>
    <row r="1066" spans="1:19" x14ac:dyDescent="0.3">
      <c r="A1066" s="25">
        <v>1500</v>
      </c>
      <c r="B1066" s="25" t="str">
        <f>IFERROR(VLOOKUP(Tabela1[[#This Row],[CC]],#REF!,5,0),"")</f>
        <v/>
      </c>
      <c r="C1066" t="str">
        <f>IFERROR(VLOOKUP(Tabela1[[#This Row],[CC]],CC!$A$1:$H$389,7,0),"")</f>
        <v>RITA ANDRADE</v>
      </c>
      <c r="D1066" t="str">
        <f>IFERROR(VLOOKUP(Tabela1[[#This Row],[CC]],CC!$A$1:$I$3869,3,0),"")</f>
        <v>SERASA</v>
      </c>
      <c r="E1066" t="str">
        <f>IFERROR(VLOOKUP(Tabela1[[#This Row],[CC]],CC!$A$1:$H$389,2,0),"")</f>
        <v>SERASA (BPS) (1500)</v>
      </c>
      <c r="F1066" t="s">
        <v>586</v>
      </c>
      <c r="G1066" s="107">
        <v>4296</v>
      </c>
      <c r="H1066" s="12">
        <v>45870</v>
      </c>
      <c r="I1066" s="24">
        <v>41502.720000000001</v>
      </c>
      <c r="J1066" s="27">
        <v>38950.31</v>
      </c>
      <c r="K1066" s="3">
        <v>45896</v>
      </c>
      <c r="L1066" s="91">
        <v>45931</v>
      </c>
      <c r="M1066" s="11">
        <v>45931</v>
      </c>
      <c r="N1066" s="18" t="s">
        <v>588</v>
      </c>
      <c r="O1066" s="35"/>
      <c r="P1066"/>
      <c r="Q1066" t="str">
        <f>IFERROR(VLOOKUP(Tabela1[[#This Row],[CC]],CC!$A$1:$H$389,5,0),"")</f>
        <v>BPS</v>
      </c>
      <c r="R1066" t="str">
        <f>IFERROR(VLOOKUP(Tabela1[[#This Row],[CC]],CC!$A$1:$H$389,6,0),"")</f>
        <v>FS</v>
      </c>
      <c r="S1066" t="str">
        <f>IFERROR(VLOOKUP(Tabela1[[#This Row],[CC]],CC!$A$1:$H$403,8,0),"")</f>
        <v>OP1</v>
      </c>
    </row>
    <row r="1067" spans="1:19" x14ac:dyDescent="0.3">
      <c r="A1067" s="25">
        <v>1360</v>
      </c>
      <c r="B1067" s="25" t="str">
        <f>IFERROR(VLOOKUP(Tabela1[[#This Row],[CC]],#REF!,5,0),"")</f>
        <v/>
      </c>
      <c r="C1067" t="str">
        <f>IFERROR(VLOOKUP(Tabela1[[#This Row],[CC]],CC!$A$1:$H$389,7,0),"")</f>
        <v>RITA ANDRADE</v>
      </c>
      <c r="D1067" t="str">
        <f>IFERROR(VLOOKUP(Tabela1[[#This Row],[CC]],CC!$A$1:$I$3869,3,0),"")</f>
        <v>SERASA</v>
      </c>
      <c r="E1067" t="str">
        <f>IFERROR(VLOOKUP(Tabela1[[#This Row],[CC]],CC!$A$1:$H$389,2,0),"")</f>
        <v>SERASA EXPERIAN (1360)</v>
      </c>
      <c r="F1067" t="s">
        <v>586</v>
      </c>
      <c r="G1067" s="107">
        <v>4270</v>
      </c>
      <c r="H1067" s="12">
        <v>45870</v>
      </c>
      <c r="I1067" s="24">
        <v>85475.04</v>
      </c>
      <c r="J1067" s="27">
        <v>80218.320000000007</v>
      </c>
      <c r="K1067" s="3">
        <v>45891</v>
      </c>
      <c r="L1067" s="91">
        <v>45931</v>
      </c>
      <c r="M1067" s="11">
        <v>45931</v>
      </c>
      <c r="N1067" s="18" t="s">
        <v>588</v>
      </c>
      <c r="O1067" s="35"/>
      <c r="P1067"/>
      <c r="Q1067" t="str">
        <f>IFERROR(VLOOKUP(Tabela1[[#This Row],[CC]],CC!$A$1:$H$389,5,0),"")</f>
        <v>ADS</v>
      </c>
      <c r="R1067" t="str">
        <f>IFERROR(VLOOKUP(Tabela1[[#This Row],[CC]],CC!$A$1:$H$389,6,0),"")</f>
        <v>FS</v>
      </c>
      <c r="S1067" t="str">
        <f>IFERROR(VLOOKUP(Tabela1[[#This Row],[CC]],CC!$A$1:$H$403,8,0),"")</f>
        <v>OP1</v>
      </c>
    </row>
    <row r="1068" spans="1:19" x14ac:dyDescent="0.3">
      <c r="A1068" s="25">
        <v>1360</v>
      </c>
      <c r="B1068" s="25" t="str">
        <f>IFERROR(VLOOKUP(Tabela1[[#This Row],[CC]],#REF!,5,0),"")</f>
        <v/>
      </c>
      <c r="C1068" t="str">
        <f>IFERROR(VLOOKUP(Tabela1[[#This Row],[CC]],CC!$A$1:$H$389,7,0),"")</f>
        <v>RITA ANDRADE</v>
      </c>
      <c r="D1068" t="str">
        <f>IFERROR(VLOOKUP(Tabela1[[#This Row],[CC]],CC!$A$1:$I$3869,3,0),"")</f>
        <v>SERASA</v>
      </c>
      <c r="E1068" t="str">
        <f>IFERROR(VLOOKUP(Tabela1[[#This Row],[CC]],CC!$A$1:$H$389,2,0),"")</f>
        <v>SERASA EXPERIAN (1360)</v>
      </c>
      <c r="F1068" t="s">
        <v>586</v>
      </c>
      <c r="G1068" s="107">
        <v>4271</v>
      </c>
      <c r="H1068" s="12">
        <v>45870</v>
      </c>
      <c r="I1068" s="24">
        <v>39835.599999999999</v>
      </c>
      <c r="J1068" s="27">
        <v>37385.71</v>
      </c>
      <c r="K1068" s="3">
        <v>45891</v>
      </c>
      <c r="L1068" s="91">
        <v>45931</v>
      </c>
      <c r="M1068" s="11">
        <v>45931</v>
      </c>
      <c r="N1068" s="18" t="s">
        <v>588</v>
      </c>
      <c r="O1068" s="35"/>
      <c r="P1068"/>
      <c r="Q1068" t="str">
        <f>IFERROR(VLOOKUP(Tabela1[[#This Row],[CC]],CC!$A$1:$H$389,5,0),"")</f>
        <v>ADS</v>
      </c>
      <c r="R1068" t="str">
        <f>IFERROR(VLOOKUP(Tabela1[[#This Row],[CC]],CC!$A$1:$H$389,6,0),"")</f>
        <v>FS</v>
      </c>
      <c r="S1068" t="str">
        <f>IFERROR(VLOOKUP(Tabela1[[#This Row],[CC]],CC!$A$1:$H$403,8,0),"")</f>
        <v>OP1</v>
      </c>
    </row>
    <row r="1069" spans="1:19" x14ac:dyDescent="0.3">
      <c r="A1069" s="25">
        <v>1360</v>
      </c>
      <c r="B1069" s="25" t="str">
        <f>IFERROR(VLOOKUP(Tabela1[[#This Row],[CC]],#REF!,5,0),"")</f>
        <v/>
      </c>
      <c r="C1069" t="str">
        <f>IFERROR(VLOOKUP(Tabela1[[#This Row],[CC]],CC!$A$1:$H$389,7,0),"")</f>
        <v>RITA ANDRADE</v>
      </c>
      <c r="D1069" t="str">
        <f>IFERROR(VLOOKUP(Tabela1[[#This Row],[CC]],CC!$A$1:$I$3869,3,0),"")</f>
        <v>SERASA</v>
      </c>
      <c r="E1069" t="str">
        <f>IFERROR(VLOOKUP(Tabela1[[#This Row],[CC]],CC!$A$1:$H$389,2,0),"")</f>
        <v>SERASA EXPERIAN (1360)</v>
      </c>
      <c r="F1069" t="s">
        <v>586</v>
      </c>
      <c r="G1069" s="107">
        <v>4272</v>
      </c>
      <c r="H1069" s="12">
        <v>45870</v>
      </c>
      <c r="I1069" s="24">
        <v>200034.24</v>
      </c>
      <c r="J1069" s="27">
        <v>187732.14</v>
      </c>
      <c r="K1069" s="3">
        <v>45891</v>
      </c>
      <c r="L1069" s="91">
        <v>45931</v>
      </c>
      <c r="M1069" s="11">
        <v>45931</v>
      </c>
      <c r="N1069" s="18" t="s">
        <v>588</v>
      </c>
      <c r="O1069" s="35"/>
      <c r="P1069"/>
      <c r="Q1069" t="str">
        <f>IFERROR(VLOOKUP(Tabela1[[#This Row],[CC]],CC!$A$1:$H$389,5,0),"")</f>
        <v>ADS</v>
      </c>
      <c r="R1069" t="str">
        <f>IFERROR(VLOOKUP(Tabela1[[#This Row],[CC]],CC!$A$1:$H$389,6,0),"")</f>
        <v>FS</v>
      </c>
      <c r="S1069" t="str">
        <f>IFERROR(VLOOKUP(Tabela1[[#This Row],[CC]],CC!$A$1:$H$403,8,0),"")</f>
        <v>OP1</v>
      </c>
    </row>
    <row r="1070" spans="1:19" x14ac:dyDescent="0.3">
      <c r="A1070" s="25">
        <v>1360</v>
      </c>
      <c r="B1070" s="25" t="str">
        <f>IFERROR(VLOOKUP(Tabela1[[#This Row],[CC]],#REF!,5,0),"")</f>
        <v/>
      </c>
      <c r="C1070" t="str">
        <f>IFERROR(VLOOKUP(Tabela1[[#This Row],[CC]],CC!$A$1:$H$389,7,0),"")</f>
        <v>RITA ANDRADE</v>
      </c>
      <c r="D1070" t="str">
        <f>IFERROR(VLOOKUP(Tabela1[[#This Row],[CC]],CC!$A$1:$I$3869,3,0),"")</f>
        <v>SERASA</v>
      </c>
      <c r="E1070" t="str">
        <f>IFERROR(VLOOKUP(Tabela1[[#This Row],[CC]],CC!$A$1:$H$389,2,0),"")</f>
        <v>SERASA EXPERIAN (1360)</v>
      </c>
      <c r="F1070" t="s">
        <v>586</v>
      </c>
      <c r="G1070" s="107">
        <v>4275</v>
      </c>
      <c r="H1070" s="12">
        <v>45870</v>
      </c>
      <c r="I1070" s="24">
        <v>27535.200000000001</v>
      </c>
      <c r="J1070" s="24">
        <v>25841.78</v>
      </c>
      <c r="K1070" s="3">
        <v>45891</v>
      </c>
      <c r="L1070" s="91">
        <v>45936</v>
      </c>
      <c r="M1070" s="11">
        <v>45937</v>
      </c>
      <c r="N1070" s="18" t="s">
        <v>588</v>
      </c>
      <c r="O1070" s="35"/>
      <c r="P1070"/>
      <c r="Q1070" t="str">
        <f>IFERROR(VLOOKUP(Tabela1[[#This Row],[CC]],CC!$A$1:$H$389,5,0),"")</f>
        <v>ADS</v>
      </c>
      <c r="R1070" t="str">
        <f>IFERROR(VLOOKUP(Tabela1[[#This Row],[CC]],CC!$A$1:$H$389,6,0),"")</f>
        <v>FS</v>
      </c>
      <c r="S1070" t="str">
        <f>IFERROR(VLOOKUP(Tabela1[[#This Row],[CC]],CC!$A$1:$H$403,8,0),"")</f>
        <v>OP1</v>
      </c>
    </row>
    <row r="1071" spans="1:19" x14ac:dyDescent="0.3">
      <c r="A1071" s="25">
        <v>1360</v>
      </c>
      <c r="B1071" s="25" t="str">
        <f>IFERROR(VLOOKUP(Tabela1[[#This Row],[CC]],#REF!,5,0),"")</f>
        <v/>
      </c>
      <c r="C1071" t="str">
        <f>IFERROR(VLOOKUP(Tabela1[[#This Row],[CC]],CC!$A$1:$H$389,7,0),"")</f>
        <v>RITA ANDRADE</v>
      </c>
      <c r="D1071" t="str">
        <f>IFERROR(VLOOKUP(Tabela1[[#This Row],[CC]],CC!$A$1:$I$3869,3,0),"")</f>
        <v>SERASA</v>
      </c>
      <c r="E1071" t="str">
        <f>IFERROR(VLOOKUP(Tabela1[[#This Row],[CC]],CC!$A$1:$H$389,2,0),"")</f>
        <v>SERASA EXPERIAN (1360)</v>
      </c>
      <c r="F1071" t="s">
        <v>586</v>
      </c>
      <c r="G1071" s="107">
        <v>4276</v>
      </c>
      <c r="H1071" s="12">
        <v>45870</v>
      </c>
      <c r="I1071" s="24">
        <v>41069.279999999999</v>
      </c>
      <c r="J1071" s="24">
        <v>38543.519999999997</v>
      </c>
      <c r="K1071" s="3">
        <v>45891</v>
      </c>
      <c r="L1071" s="91">
        <v>45931</v>
      </c>
      <c r="M1071" s="11">
        <v>45931</v>
      </c>
      <c r="N1071" s="18" t="s">
        <v>588</v>
      </c>
      <c r="O1071" s="35"/>
      <c r="P1071"/>
      <c r="Q1071" t="str">
        <f>IFERROR(VLOOKUP(Tabela1[[#This Row],[CC]],CC!$A$1:$H$389,5,0),"")</f>
        <v>ADS</v>
      </c>
      <c r="R1071" t="str">
        <f>IFERROR(VLOOKUP(Tabela1[[#This Row],[CC]],CC!$A$1:$H$389,6,0),"")</f>
        <v>FS</v>
      </c>
      <c r="S1071" t="str">
        <f>IFERROR(VLOOKUP(Tabela1[[#This Row],[CC]],CC!$A$1:$H$403,8,0),"")</f>
        <v>OP1</v>
      </c>
    </row>
    <row r="1072" spans="1:19" x14ac:dyDescent="0.3">
      <c r="A1072" s="25">
        <v>1360</v>
      </c>
      <c r="B1072" s="25" t="str">
        <f>IFERROR(VLOOKUP(Tabela1[[#This Row],[CC]],#REF!,5,0),"")</f>
        <v/>
      </c>
      <c r="C1072" t="str">
        <f>IFERROR(VLOOKUP(Tabela1[[#This Row],[CC]],CC!$A$1:$H$389,7,0),"")</f>
        <v>RITA ANDRADE</v>
      </c>
      <c r="D1072" t="str">
        <f>IFERROR(VLOOKUP(Tabela1[[#This Row],[CC]],CC!$A$1:$I$3869,3,0),"")</f>
        <v>SERASA</v>
      </c>
      <c r="E1072" t="str">
        <f>IFERROR(VLOOKUP(Tabela1[[#This Row],[CC]],CC!$A$1:$H$389,2,0),"")</f>
        <v>SERASA EXPERIAN (1360)</v>
      </c>
      <c r="F1072" t="s">
        <v>586</v>
      </c>
      <c r="G1072" s="107">
        <v>4277</v>
      </c>
      <c r="H1072" s="12">
        <v>45870</v>
      </c>
      <c r="I1072" s="24">
        <v>33416</v>
      </c>
      <c r="J1072" s="24">
        <v>31360.92</v>
      </c>
      <c r="K1072" s="3">
        <v>45891</v>
      </c>
      <c r="L1072" s="91">
        <v>45931</v>
      </c>
      <c r="M1072" s="11">
        <v>45931</v>
      </c>
      <c r="N1072" s="18" t="s">
        <v>588</v>
      </c>
      <c r="O1072" s="35"/>
      <c r="P1072"/>
      <c r="Q1072" t="str">
        <f>IFERROR(VLOOKUP(Tabela1[[#This Row],[CC]],CC!$A$1:$H$389,5,0),"")</f>
        <v>ADS</v>
      </c>
      <c r="R1072" t="str">
        <f>IFERROR(VLOOKUP(Tabela1[[#This Row],[CC]],CC!$A$1:$H$389,6,0),"")</f>
        <v>FS</v>
      </c>
      <c r="S1072" t="str">
        <f>IFERROR(VLOOKUP(Tabela1[[#This Row],[CC]],CC!$A$1:$H$403,8,0),"")</f>
        <v>OP1</v>
      </c>
    </row>
    <row r="1073" spans="1:19" x14ac:dyDescent="0.3">
      <c r="A1073" s="25">
        <v>1360</v>
      </c>
      <c r="B1073" s="25" t="str">
        <f>IFERROR(VLOOKUP(Tabela1[[#This Row],[CC]],#REF!,5,0),"")</f>
        <v/>
      </c>
      <c r="C1073" t="str">
        <f>IFERROR(VLOOKUP(Tabela1[[#This Row],[CC]],CC!$A$1:$H$389,7,0),"")</f>
        <v>RITA ANDRADE</v>
      </c>
      <c r="D1073" t="str">
        <f>IFERROR(VLOOKUP(Tabela1[[#This Row],[CC]],CC!$A$1:$I$3869,3,0),"")</f>
        <v>SERASA</v>
      </c>
      <c r="E1073" t="str">
        <f>IFERROR(VLOOKUP(Tabela1[[#This Row],[CC]],CC!$A$1:$H$389,2,0),"")</f>
        <v>SERASA EXPERIAN (1360)</v>
      </c>
      <c r="F1073" t="s">
        <v>586</v>
      </c>
      <c r="G1073" s="107">
        <v>4278</v>
      </c>
      <c r="H1073" s="12">
        <v>45870</v>
      </c>
      <c r="I1073" s="24">
        <v>127217.28</v>
      </c>
      <c r="J1073" s="24">
        <v>119393.42</v>
      </c>
      <c r="K1073" s="3">
        <v>45891</v>
      </c>
      <c r="L1073" s="91">
        <v>45931</v>
      </c>
      <c r="M1073" s="11">
        <v>45931</v>
      </c>
      <c r="N1073" s="18" t="s">
        <v>588</v>
      </c>
      <c r="O1073" s="35"/>
      <c r="P1073"/>
      <c r="Q1073" t="str">
        <f>IFERROR(VLOOKUP(Tabela1[[#This Row],[CC]],CC!$A$1:$H$389,5,0),"")</f>
        <v>ADS</v>
      </c>
      <c r="R1073" t="str">
        <f>IFERROR(VLOOKUP(Tabela1[[#This Row],[CC]],CC!$A$1:$H$389,6,0),"")</f>
        <v>FS</v>
      </c>
      <c r="S1073" t="str">
        <f>IFERROR(VLOOKUP(Tabela1[[#This Row],[CC]],CC!$A$1:$H$403,8,0),"")</f>
        <v>OP1</v>
      </c>
    </row>
    <row r="1074" spans="1:19" x14ac:dyDescent="0.3">
      <c r="A1074" s="25">
        <v>1360</v>
      </c>
      <c r="B1074" s="25" t="str">
        <f>IFERROR(VLOOKUP(Tabela1[[#This Row],[CC]],#REF!,5,0),"")</f>
        <v/>
      </c>
      <c r="C1074" t="str">
        <f>IFERROR(VLOOKUP(Tabela1[[#This Row],[CC]],CC!$A$1:$H$389,7,0),"")</f>
        <v>RITA ANDRADE</v>
      </c>
      <c r="D1074" t="str">
        <f>IFERROR(VLOOKUP(Tabela1[[#This Row],[CC]],CC!$A$1:$I$3869,3,0),"")</f>
        <v>SERASA</v>
      </c>
      <c r="E1074" t="str">
        <f>IFERROR(VLOOKUP(Tabela1[[#This Row],[CC]],CC!$A$1:$H$389,2,0),"")</f>
        <v>SERASA EXPERIAN (1360)</v>
      </c>
      <c r="F1074" t="s">
        <v>586</v>
      </c>
      <c r="G1074" s="107">
        <v>4281</v>
      </c>
      <c r="H1074" s="12">
        <v>45870</v>
      </c>
      <c r="I1074" s="24">
        <v>39238.080000000002</v>
      </c>
      <c r="J1074" s="24">
        <v>36824.94</v>
      </c>
      <c r="K1074" s="3">
        <v>45894</v>
      </c>
      <c r="L1074" s="91">
        <v>45931</v>
      </c>
      <c r="M1074" s="11">
        <v>45931</v>
      </c>
      <c r="N1074" s="18" t="s">
        <v>588</v>
      </c>
      <c r="O1074" s="35"/>
      <c r="P1074"/>
      <c r="Q1074" t="str">
        <f>IFERROR(VLOOKUP(Tabela1[[#This Row],[CC]],CC!$A$1:$H$389,5,0),"")</f>
        <v>ADS</v>
      </c>
      <c r="R1074" t="str">
        <f>IFERROR(VLOOKUP(Tabela1[[#This Row],[CC]],CC!$A$1:$H$389,6,0),"")</f>
        <v>FS</v>
      </c>
      <c r="S1074" t="str">
        <f>IFERROR(VLOOKUP(Tabela1[[#This Row],[CC]],CC!$A$1:$H$403,8,0),"")</f>
        <v>OP1</v>
      </c>
    </row>
    <row r="1075" spans="1:19" x14ac:dyDescent="0.3">
      <c r="A1075" s="25">
        <v>1360</v>
      </c>
      <c r="B1075" s="25" t="str">
        <f>IFERROR(VLOOKUP(Tabela1[[#This Row],[CC]],#REF!,5,0),"")</f>
        <v/>
      </c>
      <c r="C1075" t="str">
        <f>IFERROR(VLOOKUP(Tabela1[[#This Row],[CC]],CC!$A$1:$H$389,7,0),"")</f>
        <v>RITA ANDRADE</v>
      </c>
      <c r="D1075" t="str">
        <f>IFERROR(VLOOKUP(Tabela1[[#This Row],[CC]],CC!$A$1:$I$3869,3,0),"")</f>
        <v>SERASA</v>
      </c>
      <c r="E1075" t="str">
        <f>IFERROR(VLOOKUP(Tabela1[[#This Row],[CC]],CC!$A$1:$H$389,2,0),"")</f>
        <v>SERASA EXPERIAN (1360)</v>
      </c>
      <c r="F1075" t="s">
        <v>586</v>
      </c>
      <c r="G1075" s="107">
        <v>4283</v>
      </c>
      <c r="H1075" s="12">
        <v>45870</v>
      </c>
      <c r="I1075" s="24">
        <v>36123.599999999999</v>
      </c>
      <c r="J1075" s="24">
        <v>33902</v>
      </c>
      <c r="K1075" s="3">
        <v>45894</v>
      </c>
      <c r="L1075" s="91">
        <v>45931</v>
      </c>
      <c r="M1075" s="11">
        <v>45931</v>
      </c>
      <c r="N1075" s="18" t="s">
        <v>588</v>
      </c>
      <c r="O1075" s="35"/>
      <c r="P1075"/>
      <c r="Q1075" t="str">
        <f>IFERROR(VLOOKUP(Tabela1[[#This Row],[CC]],CC!$A$1:$H$389,5,0),"")</f>
        <v>ADS</v>
      </c>
      <c r="R1075" t="str">
        <f>IFERROR(VLOOKUP(Tabela1[[#This Row],[CC]],CC!$A$1:$H$389,6,0),"")</f>
        <v>FS</v>
      </c>
      <c r="S1075" t="str">
        <f>IFERROR(VLOOKUP(Tabela1[[#This Row],[CC]],CC!$A$1:$H$403,8,0),"")</f>
        <v>OP1</v>
      </c>
    </row>
    <row r="1076" spans="1:19" x14ac:dyDescent="0.3">
      <c r="A1076" s="25">
        <v>1360</v>
      </c>
      <c r="B1076" s="25" t="str">
        <f>IFERROR(VLOOKUP(Tabela1[[#This Row],[CC]],#REF!,5,0),"")</f>
        <v/>
      </c>
      <c r="C1076" t="str">
        <f>IFERROR(VLOOKUP(Tabela1[[#This Row],[CC]],CC!$A$1:$H$389,7,0),"")</f>
        <v>RITA ANDRADE</v>
      </c>
      <c r="D1076" t="str">
        <f>IFERROR(VLOOKUP(Tabela1[[#This Row],[CC]],CC!$A$1:$I$3869,3,0),"")</f>
        <v>SERASA</v>
      </c>
      <c r="E1076" t="str">
        <f>IFERROR(VLOOKUP(Tabela1[[#This Row],[CC]],CC!$A$1:$H$389,2,0),"")</f>
        <v>SERASA EXPERIAN (1360)</v>
      </c>
      <c r="F1076" t="s">
        <v>586</v>
      </c>
      <c r="G1076" s="107">
        <v>4284</v>
      </c>
      <c r="H1076" s="12">
        <v>45870</v>
      </c>
      <c r="I1076" s="24">
        <v>37320</v>
      </c>
      <c r="J1076" s="24">
        <v>35024.82</v>
      </c>
      <c r="K1076" s="3">
        <v>45894</v>
      </c>
      <c r="L1076" s="91">
        <v>45931</v>
      </c>
      <c r="M1076" s="11">
        <v>45931</v>
      </c>
      <c r="N1076" s="18" t="s">
        <v>588</v>
      </c>
      <c r="O1076" s="35"/>
      <c r="P1076"/>
      <c r="Q1076" t="str">
        <f>IFERROR(VLOOKUP(Tabela1[[#This Row],[CC]],CC!$A$1:$H$389,5,0),"")</f>
        <v>ADS</v>
      </c>
      <c r="R1076" t="str">
        <f>IFERROR(VLOOKUP(Tabela1[[#This Row],[CC]],CC!$A$1:$H$389,6,0),"")</f>
        <v>FS</v>
      </c>
      <c r="S1076" t="str">
        <f>IFERROR(VLOOKUP(Tabela1[[#This Row],[CC]],CC!$A$1:$H$403,8,0),"")</f>
        <v>OP1</v>
      </c>
    </row>
    <row r="1077" spans="1:19" x14ac:dyDescent="0.3">
      <c r="A1077" s="25">
        <v>1360</v>
      </c>
      <c r="B1077" s="25" t="str">
        <f>IFERROR(VLOOKUP(Tabela1[[#This Row],[CC]],#REF!,5,0),"")</f>
        <v/>
      </c>
      <c r="C1077" t="str">
        <f>IFERROR(VLOOKUP(Tabela1[[#This Row],[CC]],CC!$A$1:$H$389,7,0),"")</f>
        <v>RITA ANDRADE</v>
      </c>
      <c r="D1077" t="str">
        <f>IFERROR(VLOOKUP(Tabela1[[#This Row],[CC]],CC!$A$1:$I$3869,3,0),"")</f>
        <v>SERASA</v>
      </c>
      <c r="E1077" t="str">
        <f>IFERROR(VLOOKUP(Tabela1[[#This Row],[CC]],CC!$A$1:$H$389,2,0),"")</f>
        <v>SERASA EXPERIAN (1360)</v>
      </c>
      <c r="F1077" t="s">
        <v>586</v>
      </c>
      <c r="G1077" s="107">
        <v>4285</v>
      </c>
      <c r="H1077" s="12">
        <v>45870</v>
      </c>
      <c r="I1077" s="24">
        <v>23504</v>
      </c>
      <c r="J1077" s="24">
        <v>22058.5</v>
      </c>
      <c r="K1077" s="3">
        <v>45894</v>
      </c>
      <c r="L1077" s="91">
        <v>45931</v>
      </c>
      <c r="M1077" s="11">
        <v>45931</v>
      </c>
      <c r="N1077" s="18" t="s">
        <v>588</v>
      </c>
      <c r="O1077" s="35"/>
      <c r="P1077"/>
      <c r="Q1077" t="str">
        <f>IFERROR(VLOOKUP(Tabela1[[#This Row],[CC]],CC!$A$1:$H$389,5,0),"")</f>
        <v>ADS</v>
      </c>
      <c r="R1077" t="str">
        <f>IFERROR(VLOOKUP(Tabela1[[#This Row],[CC]],CC!$A$1:$H$389,6,0),"")</f>
        <v>FS</v>
      </c>
      <c r="S1077" t="str">
        <f>IFERROR(VLOOKUP(Tabela1[[#This Row],[CC]],CC!$A$1:$H$403,8,0),"")</f>
        <v>OP1</v>
      </c>
    </row>
    <row r="1078" spans="1:19" x14ac:dyDescent="0.3">
      <c r="A1078" s="25">
        <v>1360</v>
      </c>
      <c r="B1078" s="25" t="str">
        <f>IFERROR(VLOOKUP(Tabela1[[#This Row],[CC]],#REF!,5,0),"")</f>
        <v/>
      </c>
      <c r="C1078" t="str">
        <f>IFERROR(VLOOKUP(Tabela1[[#This Row],[CC]],CC!$A$1:$H$389,7,0),"")</f>
        <v>RITA ANDRADE</v>
      </c>
      <c r="D1078" t="str">
        <f>IFERROR(VLOOKUP(Tabela1[[#This Row],[CC]],CC!$A$1:$I$3869,3,0),"")</f>
        <v>SERASA</v>
      </c>
      <c r="E1078" t="str">
        <f>IFERROR(VLOOKUP(Tabela1[[#This Row],[CC]],CC!$A$1:$H$389,2,0),"")</f>
        <v>SERASA EXPERIAN (1360)</v>
      </c>
      <c r="F1078" t="s">
        <v>586</v>
      </c>
      <c r="G1078" s="107">
        <v>4286</v>
      </c>
      <c r="H1078" s="12">
        <v>45870</v>
      </c>
      <c r="I1078" s="24">
        <v>149975.67999999999</v>
      </c>
      <c r="J1078" s="24">
        <v>140752.17000000001</v>
      </c>
      <c r="K1078" s="3">
        <v>45894</v>
      </c>
      <c r="L1078" s="91">
        <v>45931</v>
      </c>
      <c r="M1078" s="11">
        <v>45931</v>
      </c>
      <c r="N1078" s="18" t="s">
        <v>588</v>
      </c>
      <c r="O1078" s="35"/>
      <c r="P1078"/>
      <c r="Q1078" t="str">
        <f>IFERROR(VLOOKUP(Tabela1[[#This Row],[CC]],CC!$A$1:$H$389,5,0),"")</f>
        <v>ADS</v>
      </c>
      <c r="R1078" t="str">
        <f>IFERROR(VLOOKUP(Tabela1[[#This Row],[CC]],CC!$A$1:$H$389,6,0),"")</f>
        <v>FS</v>
      </c>
      <c r="S1078" t="str">
        <f>IFERROR(VLOOKUP(Tabela1[[#This Row],[CC]],CC!$A$1:$H$403,8,0),"")</f>
        <v>OP1</v>
      </c>
    </row>
    <row r="1079" spans="1:19" x14ac:dyDescent="0.3">
      <c r="A1079" s="25">
        <v>1360</v>
      </c>
      <c r="B1079" s="25" t="str">
        <f>IFERROR(VLOOKUP(Tabela1[[#This Row],[CC]],#REF!,5,0),"")</f>
        <v/>
      </c>
      <c r="C1079" t="str">
        <f>IFERROR(VLOOKUP(Tabela1[[#This Row],[CC]],CC!$A$1:$H$389,7,0),"")</f>
        <v>RITA ANDRADE</v>
      </c>
      <c r="D1079" t="str">
        <f>IFERROR(VLOOKUP(Tabela1[[#This Row],[CC]],CC!$A$1:$I$3869,3,0),"")</f>
        <v>SERASA</v>
      </c>
      <c r="E1079" t="str">
        <f>IFERROR(VLOOKUP(Tabela1[[#This Row],[CC]],CC!$A$1:$H$389,2,0),"")</f>
        <v>SERASA EXPERIAN (1360)</v>
      </c>
      <c r="F1079" t="s">
        <v>586</v>
      </c>
      <c r="G1079" s="107">
        <v>4287</v>
      </c>
      <c r="H1079" s="12">
        <v>45870</v>
      </c>
      <c r="I1079" s="24">
        <v>87403.66</v>
      </c>
      <c r="J1079" s="24">
        <v>82028.34</v>
      </c>
      <c r="K1079" s="3">
        <v>45894</v>
      </c>
      <c r="L1079" s="91">
        <v>45931</v>
      </c>
      <c r="M1079" s="11">
        <v>45931</v>
      </c>
      <c r="N1079" s="18" t="s">
        <v>588</v>
      </c>
      <c r="O1079" s="35"/>
      <c r="P1079"/>
      <c r="Q1079" t="str">
        <f>IFERROR(VLOOKUP(Tabela1[[#This Row],[CC]],CC!$A$1:$H$389,5,0),"")</f>
        <v>ADS</v>
      </c>
      <c r="R1079" t="str">
        <f>IFERROR(VLOOKUP(Tabela1[[#This Row],[CC]],CC!$A$1:$H$389,6,0),"")</f>
        <v>FS</v>
      </c>
      <c r="S1079" t="str">
        <f>IFERROR(VLOOKUP(Tabela1[[#This Row],[CC]],CC!$A$1:$H$403,8,0),"")</f>
        <v>OP1</v>
      </c>
    </row>
    <row r="1080" spans="1:19" x14ac:dyDescent="0.3">
      <c r="A1080" s="25">
        <v>1360</v>
      </c>
      <c r="B1080" s="25" t="str">
        <f>IFERROR(VLOOKUP(Tabela1[[#This Row],[CC]],#REF!,5,0),"")</f>
        <v/>
      </c>
      <c r="C1080" t="str">
        <f>IFERROR(VLOOKUP(Tabela1[[#This Row],[CC]],CC!$A$1:$H$389,7,0),"")</f>
        <v>RITA ANDRADE</v>
      </c>
      <c r="D1080" t="str">
        <f>IFERROR(VLOOKUP(Tabela1[[#This Row],[CC]],CC!$A$1:$I$3869,3,0),"")</f>
        <v>SERASA</v>
      </c>
      <c r="E1080" t="str">
        <f>IFERROR(VLOOKUP(Tabela1[[#This Row],[CC]],CC!$A$1:$H$389,2,0),"")</f>
        <v>SERASA EXPERIAN (1360)</v>
      </c>
      <c r="F1080" t="s">
        <v>586</v>
      </c>
      <c r="G1080" s="107">
        <v>4289</v>
      </c>
      <c r="H1080" s="12">
        <v>45870</v>
      </c>
      <c r="I1080" s="24">
        <v>1175.2</v>
      </c>
      <c r="J1080" s="24">
        <v>1102.92</v>
      </c>
      <c r="K1080" s="3">
        <v>45894</v>
      </c>
      <c r="L1080" s="91">
        <v>45931</v>
      </c>
      <c r="M1080" s="11">
        <v>45931</v>
      </c>
      <c r="N1080" s="18" t="s">
        <v>588</v>
      </c>
      <c r="O1080" s="35"/>
      <c r="P1080"/>
      <c r="Q1080" t="str">
        <f>IFERROR(VLOOKUP(Tabela1[[#This Row],[CC]],CC!$A$1:$H$389,5,0),"")</f>
        <v>ADS</v>
      </c>
      <c r="R1080" t="str">
        <f>IFERROR(VLOOKUP(Tabela1[[#This Row],[CC]],CC!$A$1:$H$389,6,0),"")</f>
        <v>FS</v>
      </c>
      <c r="S1080" t="str">
        <f>IFERROR(VLOOKUP(Tabela1[[#This Row],[CC]],CC!$A$1:$H$403,8,0),"")</f>
        <v>OP1</v>
      </c>
    </row>
    <row r="1081" spans="1:19" x14ac:dyDescent="0.3">
      <c r="A1081" s="25">
        <v>1360</v>
      </c>
      <c r="B1081" s="25" t="str">
        <f>IFERROR(VLOOKUP(Tabela1[[#This Row],[CC]],#REF!,5,0),"")</f>
        <v/>
      </c>
      <c r="C1081" t="str">
        <f>IFERROR(VLOOKUP(Tabela1[[#This Row],[CC]],CC!$A$1:$H$389,7,0),"")</f>
        <v>RITA ANDRADE</v>
      </c>
      <c r="D1081" t="str">
        <f>IFERROR(VLOOKUP(Tabela1[[#This Row],[CC]],CC!$A$1:$I$3869,3,0),"")</f>
        <v>SERASA</v>
      </c>
      <c r="E1081" t="str">
        <f>IFERROR(VLOOKUP(Tabela1[[#This Row],[CC]],CC!$A$1:$H$389,2,0),"")</f>
        <v>SERASA EXPERIAN (1360)</v>
      </c>
      <c r="F1081" t="s">
        <v>586</v>
      </c>
      <c r="G1081" s="107">
        <v>4290</v>
      </c>
      <c r="H1081" s="12">
        <v>45870</v>
      </c>
      <c r="I1081" s="24">
        <v>11800.8</v>
      </c>
      <c r="J1081" s="24">
        <v>11075.05</v>
      </c>
      <c r="K1081" s="3">
        <v>45895</v>
      </c>
      <c r="L1081" s="91">
        <v>45936</v>
      </c>
      <c r="M1081" s="11">
        <v>45937</v>
      </c>
      <c r="N1081" s="18" t="s">
        <v>588</v>
      </c>
      <c r="O1081" s="35"/>
      <c r="P1081"/>
      <c r="Q1081" t="str">
        <f>IFERROR(VLOOKUP(Tabela1[[#This Row],[CC]],CC!$A$1:$H$389,5,0),"")</f>
        <v>ADS</v>
      </c>
      <c r="R1081" t="str">
        <f>IFERROR(VLOOKUP(Tabela1[[#This Row],[CC]],CC!$A$1:$H$389,6,0),"")</f>
        <v>FS</v>
      </c>
      <c r="S1081" t="str">
        <f>IFERROR(VLOOKUP(Tabela1[[#This Row],[CC]],CC!$A$1:$H$403,8,0),"")</f>
        <v>OP1</v>
      </c>
    </row>
    <row r="1082" spans="1:19" x14ac:dyDescent="0.3">
      <c r="A1082" s="25">
        <v>1360</v>
      </c>
      <c r="B1082" s="25" t="str">
        <f>IFERROR(VLOOKUP(Tabela1[[#This Row],[CC]],#REF!,5,0),"")</f>
        <v/>
      </c>
      <c r="C1082" t="str">
        <f>IFERROR(VLOOKUP(Tabela1[[#This Row],[CC]],CC!$A$1:$H$389,7,0),"")</f>
        <v>RITA ANDRADE</v>
      </c>
      <c r="D1082" t="str">
        <f>IFERROR(VLOOKUP(Tabela1[[#This Row],[CC]],CC!$A$1:$I$3869,3,0),"")</f>
        <v>SERASA</v>
      </c>
      <c r="E1082" t="str">
        <f>IFERROR(VLOOKUP(Tabela1[[#This Row],[CC]],CC!$A$1:$H$389,2,0),"")</f>
        <v>SERASA EXPERIAN (1360)</v>
      </c>
      <c r="F1082" t="s">
        <v>586</v>
      </c>
      <c r="G1082" s="107">
        <v>4291</v>
      </c>
      <c r="H1082" s="12">
        <v>45870</v>
      </c>
      <c r="I1082" s="24">
        <v>25828.799999999999</v>
      </c>
      <c r="J1082" s="24">
        <v>24240.33</v>
      </c>
      <c r="K1082" s="3">
        <v>45895</v>
      </c>
      <c r="L1082" s="91">
        <v>45929</v>
      </c>
      <c r="M1082" s="11">
        <v>45929</v>
      </c>
      <c r="N1082" s="18" t="s">
        <v>588</v>
      </c>
      <c r="O1082" s="35"/>
      <c r="P1082"/>
      <c r="Q1082" t="str">
        <f>IFERROR(VLOOKUP(Tabela1[[#This Row],[CC]],CC!$A$1:$H$389,5,0),"")</f>
        <v>ADS</v>
      </c>
      <c r="R1082" t="str">
        <f>IFERROR(VLOOKUP(Tabela1[[#This Row],[CC]],CC!$A$1:$H$389,6,0),"")</f>
        <v>FS</v>
      </c>
      <c r="S1082" t="str">
        <f>IFERROR(VLOOKUP(Tabela1[[#This Row],[CC]],CC!$A$1:$H$403,8,0),"")</f>
        <v>OP1</v>
      </c>
    </row>
    <row r="1083" spans="1:19" x14ac:dyDescent="0.3">
      <c r="A1083" s="25">
        <v>1360</v>
      </c>
      <c r="B1083" s="25" t="str">
        <f>IFERROR(VLOOKUP(Tabela1[[#This Row],[CC]],#REF!,5,0),"")</f>
        <v/>
      </c>
      <c r="C1083" t="str">
        <f>IFERROR(VLOOKUP(Tabela1[[#This Row],[CC]],CC!$A$1:$H$389,7,0),"")</f>
        <v>RITA ANDRADE</v>
      </c>
      <c r="D1083" t="str">
        <f>IFERROR(VLOOKUP(Tabela1[[#This Row],[CC]],CC!$A$1:$I$3869,3,0),"")</f>
        <v>SERASA</v>
      </c>
      <c r="E1083" t="str">
        <f>IFERROR(VLOOKUP(Tabela1[[#This Row],[CC]],CC!$A$1:$H$389,2,0),"")</f>
        <v>SERASA EXPERIAN (1360)</v>
      </c>
      <c r="F1083" t="s">
        <v>586</v>
      </c>
      <c r="G1083" s="107">
        <v>4293</v>
      </c>
      <c r="H1083" s="12">
        <v>45870</v>
      </c>
      <c r="I1083" s="24">
        <v>68989.2</v>
      </c>
      <c r="J1083" s="27">
        <v>64746.36</v>
      </c>
      <c r="K1083" s="3">
        <v>45895</v>
      </c>
      <c r="L1083" s="91">
        <v>45931</v>
      </c>
      <c r="M1083" s="11">
        <v>45931</v>
      </c>
      <c r="N1083" s="18" t="s">
        <v>588</v>
      </c>
      <c r="O1083" s="35"/>
      <c r="P1083"/>
      <c r="Q1083" t="str">
        <f>IFERROR(VLOOKUP(Tabela1[[#This Row],[CC]],CC!$A$1:$H$389,5,0),"")</f>
        <v>ADS</v>
      </c>
      <c r="R1083" t="str">
        <f>IFERROR(VLOOKUP(Tabela1[[#This Row],[CC]],CC!$A$1:$H$389,6,0),"")</f>
        <v>FS</v>
      </c>
      <c r="S1083" t="str">
        <f>IFERROR(VLOOKUP(Tabela1[[#This Row],[CC]],CC!$A$1:$H$403,8,0),"")</f>
        <v>OP1</v>
      </c>
    </row>
    <row r="1084" spans="1:19" x14ac:dyDescent="0.3">
      <c r="A1084" s="25">
        <v>1360</v>
      </c>
      <c r="B1084" s="25" t="str">
        <f>IFERROR(VLOOKUP(Tabela1[[#This Row],[CC]],#REF!,5,0),"")</f>
        <v/>
      </c>
      <c r="C1084" t="str">
        <f>IFERROR(VLOOKUP(Tabela1[[#This Row],[CC]],CC!$A$1:$H$389,7,0),"")</f>
        <v>RITA ANDRADE</v>
      </c>
      <c r="D1084" t="str">
        <f>IFERROR(VLOOKUP(Tabela1[[#This Row],[CC]],CC!$A$1:$I$3869,3,0),"")</f>
        <v>SERASA</v>
      </c>
      <c r="E1084" t="str">
        <f>IFERROR(VLOOKUP(Tabela1[[#This Row],[CC]],CC!$A$1:$H$389,2,0),"")</f>
        <v>SERASA EXPERIAN (1360)</v>
      </c>
      <c r="F1084" t="s">
        <v>586</v>
      </c>
      <c r="G1084" s="107">
        <v>4294</v>
      </c>
      <c r="H1084" s="12">
        <v>45870</v>
      </c>
      <c r="I1084" s="24">
        <v>32424</v>
      </c>
      <c r="J1084" s="27">
        <v>30429.919999999998</v>
      </c>
      <c r="K1084" s="3">
        <v>45896</v>
      </c>
      <c r="L1084" s="91">
        <v>45931</v>
      </c>
      <c r="M1084" s="11">
        <v>45931</v>
      </c>
      <c r="N1084" s="18" t="s">
        <v>588</v>
      </c>
      <c r="O1084" s="35"/>
      <c r="P1084"/>
      <c r="Q1084" t="str">
        <f>IFERROR(VLOOKUP(Tabela1[[#This Row],[CC]],CC!$A$1:$H$389,5,0),"")</f>
        <v>ADS</v>
      </c>
      <c r="R1084" t="str">
        <f>IFERROR(VLOOKUP(Tabela1[[#This Row],[CC]],CC!$A$1:$H$389,6,0),"")</f>
        <v>FS</v>
      </c>
      <c r="S1084" t="str">
        <f>IFERROR(VLOOKUP(Tabela1[[#This Row],[CC]],CC!$A$1:$H$403,8,0),"")</f>
        <v>OP1</v>
      </c>
    </row>
    <row r="1085" spans="1:19" x14ac:dyDescent="0.3">
      <c r="A1085" s="25">
        <v>1360</v>
      </c>
      <c r="B1085" s="25" t="str">
        <f>IFERROR(VLOOKUP(Tabela1[[#This Row],[CC]],#REF!,5,0),"")</f>
        <v/>
      </c>
      <c r="C1085" t="str">
        <f>IFERROR(VLOOKUP(Tabela1[[#This Row],[CC]],CC!$A$1:$H$389,7,0),"")</f>
        <v>RITA ANDRADE</v>
      </c>
      <c r="D1085" t="str">
        <f>IFERROR(VLOOKUP(Tabela1[[#This Row],[CC]],CC!$A$1:$I$3869,3,0),"")</f>
        <v>SERASA</v>
      </c>
      <c r="E1085" t="str">
        <f>IFERROR(VLOOKUP(Tabela1[[#This Row],[CC]],CC!$A$1:$H$389,2,0),"")</f>
        <v>SERASA EXPERIAN (1360)</v>
      </c>
      <c r="F1085" t="s">
        <v>586</v>
      </c>
      <c r="G1085" s="107">
        <v>4295</v>
      </c>
      <c r="H1085" s="12">
        <v>45870</v>
      </c>
      <c r="I1085" s="24">
        <v>32424</v>
      </c>
      <c r="J1085" s="27">
        <v>30429.919999999998</v>
      </c>
      <c r="K1085" s="3">
        <v>45896</v>
      </c>
      <c r="L1085" s="91">
        <v>45931</v>
      </c>
      <c r="M1085" s="11">
        <v>45931</v>
      </c>
      <c r="N1085" s="18" t="s">
        <v>588</v>
      </c>
      <c r="O1085" s="35"/>
      <c r="P1085"/>
      <c r="Q1085" t="str">
        <f>IFERROR(VLOOKUP(Tabela1[[#This Row],[CC]],CC!$A$1:$H$389,5,0),"")</f>
        <v>ADS</v>
      </c>
      <c r="R1085" t="str">
        <f>IFERROR(VLOOKUP(Tabela1[[#This Row],[CC]],CC!$A$1:$H$389,6,0),"")</f>
        <v>FS</v>
      </c>
      <c r="S1085" t="str">
        <f>IFERROR(VLOOKUP(Tabela1[[#This Row],[CC]],CC!$A$1:$H$403,8,0),"")</f>
        <v>OP1</v>
      </c>
    </row>
    <row r="1086" spans="1:19" x14ac:dyDescent="0.3">
      <c r="A1086" s="25">
        <v>1360</v>
      </c>
      <c r="B1086" s="25" t="str">
        <f>IFERROR(VLOOKUP(Tabela1[[#This Row],[CC]],#REF!,5,0),"")</f>
        <v/>
      </c>
      <c r="C1086" t="str">
        <f>IFERROR(VLOOKUP(Tabela1[[#This Row],[CC]],CC!$A$1:$H$389,7,0),"")</f>
        <v>RITA ANDRADE</v>
      </c>
      <c r="D1086" t="str">
        <f>IFERROR(VLOOKUP(Tabela1[[#This Row],[CC]],CC!$A$1:$I$3869,3,0),"")</f>
        <v>SERASA</v>
      </c>
      <c r="E1086" t="str">
        <f>IFERROR(VLOOKUP(Tabela1[[#This Row],[CC]],CC!$A$1:$H$389,2,0),"")</f>
        <v>SERASA EXPERIAN (1360)</v>
      </c>
      <c r="F1086" t="s">
        <v>586</v>
      </c>
      <c r="G1086" s="107">
        <v>4297</v>
      </c>
      <c r="H1086" s="12">
        <v>45870</v>
      </c>
      <c r="I1086" s="24">
        <v>31652</v>
      </c>
      <c r="J1086" s="27">
        <v>29705.4</v>
      </c>
      <c r="K1086" s="3">
        <v>45896</v>
      </c>
      <c r="L1086" s="91">
        <v>45931</v>
      </c>
      <c r="M1086" s="11">
        <v>45931</v>
      </c>
      <c r="N1086" s="18" t="s">
        <v>588</v>
      </c>
      <c r="O1086" s="35"/>
      <c r="P1086"/>
      <c r="Q1086" t="str">
        <f>IFERROR(VLOOKUP(Tabela1[[#This Row],[CC]],CC!$A$1:$H$389,5,0),"")</f>
        <v>ADS</v>
      </c>
      <c r="R1086" t="str">
        <f>IFERROR(VLOOKUP(Tabela1[[#This Row],[CC]],CC!$A$1:$H$389,6,0),"")</f>
        <v>FS</v>
      </c>
      <c r="S1086" t="str">
        <f>IFERROR(VLOOKUP(Tabela1[[#This Row],[CC]],CC!$A$1:$H$403,8,0),"")</f>
        <v>OP1</v>
      </c>
    </row>
    <row r="1087" spans="1:19" x14ac:dyDescent="0.3">
      <c r="A1087" s="25">
        <v>1360</v>
      </c>
      <c r="B1087" s="25" t="str">
        <f>IFERROR(VLOOKUP(Tabela1[[#This Row],[CC]],#REF!,5,0),"")</f>
        <v/>
      </c>
      <c r="C1087" t="str">
        <f>IFERROR(VLOOKUP(Tabela1[[#This Row],[CC]],CC!$A$1:$H$389,7,0),"")</f>
        <v>RITA ANDRADE</v>
      </c>
      <c r="D1087" t="str">
        <f>IFERROR(VLOOKUP(Tabela1[[#This Row],[CC]],CC!$A$1:$I$3869,3,0),"")</f>
        <v>SERASA</v>
      </c>
      <c r="E1087" t="str">
        <f>IFERROR(VLOOKUP(Tabela1[[#This Row],[CC]],CC!$A$1:$H$389,2,0),"")</f>
        <v>SERASA EXPERIAN (1360)</v>
      </c>
      <c r="F1087" t="s">
        <v>586</v>
      </c>
      <c r="G1087" s="107">
        <v>4321</v>
      </c>
      <c r="H1087" s="12">
        <v>45870</v>
      </c>
      <c r="I1087" s="24">
        <v>209559.67999999999</v>
      </c>
      <c r="J1087" s="24">
        <v>196671.75</v>
      </c>
      <c r="K1087" s="3">
        <v>45911</v>
      </c>
      <c r="L1087" s="91">
        <v>45931</v>
      </c>
      <c r="M1087" s="11">
        <v>45933</v>
      </c>
      <c r="N1087" s="18" t="s">
        <v>588</v>
      </c>
      <c r="O1087" s="35"/>
      <c r="P1087"/>
      <c r="Q1087" t="str">
        <f>IFERROR(VLOOKUP(Tabela1[[#This Row],[CC]],CC!$A$1:$H$389,5,0),"")</f>
        <v>ADS</v>
      </c>
      <c r="R1087" t="str">
        <f>IFERROR(VLOOKUP(Tabela1[[#This Row],[CC]],CC!$A$1:$H$389,6,0),"")</f>
        <v>FS</v>
      </c>
      <c r="S1087" t="str">
        <f>IFERROR(VLOOKUP(Tabela1[[#This Row],[CC]],CC!$A$1:$H$403,8,0),"")</f>
        <v>OP1</v>
      </c>
    </row>
    <row r="1088" spans="1:19" x14ac:dyDescent="0.3">
      <c r="A1088" s="25">
        <v>1360</v>
      </c>
      <c r="B1088" s="25" t="str">
        <f>IFERROR(VLOOKUP(Tabela1[[#This Row],[CC]],#REF!,5,0),"")</f>
        <v/>
      </c>
      <c r="C1088" t="str">
        <f>IFERROR(VLOOKUP(Tabela1[[#This Row],[CC]],CC!$A$1:$H$389,7,0),"")</f>
        <v>RITA ANDRADE</v>
      </c>
      <c r="D1088" t="str">
        <f>IFERROR(VLOOKUP(Tabela1[[#This Row],[CC]],CC!$A$1:$I$3869,3,0),"")</f>
        <v>SERASA</v>
      </c>
      <c r="E1088" t="str">
        <f>IFERROR(VLOOKUP(Tabela1[[#This Row],[CC]],CC!$A$1:$H$389,2,0),"")</f>
        <v>SERASA EXPERIAN (1360)</v>
      </c>
      <c r="F1088" t="s">
        <v>586</v>
      </c>
      <c r="G1088" s="107">
        <v>4322</v>
      </c>
      <c r="H1088" s="12">
        <v>45870</v>
      </c>
      <c r="I1088" s="24">
        <v>28846.400000000001</v>
      </c>
      <c r="J1088" s="24">
        <v>27072.35</v>
      </c>
      <c r="K1088" s="3">
        <v>45911</v>
      </c>
      <c r="L1088" s="91">
        <v>45931</v>
      </c>
      <c r="M1088" s="11">
        <v>45933</v>
      </c>
      <c r="N1088" s="18" t="s">
        <v>588</v>
      </c>
      <c r="O1088" s="35"/>
      <c r="P1088"/>
      <c r="Q1088" t="str">
        <f>IFERROR(VLOOKUP(Tabela1[[#This Row],[CC]],CC!$A$1:$H$389,5,0),"")</f>
        <v>ADS</v>
      </c>
      <c r="R1088" t="str">
        <f>IFERROR(VLOOKUP(Tabela1[[#This Row],[CC]],CC!$A$1:$H$389,6,0),"")</f>
        <v>FS</v>
      </c>
      <c r="S1088" t="str">
        <f>IFERROR(VLOOKUP(Tabela1[[#This Row],[CC]],CC!$A$1:$H$403,8,0),"")</f>
        <v>OP1</v>
      </c>
    </row>
    <row r="1089" spans="1:19" x14ac:dyDescent="0.3">
      <c r="A1089" s="25">
        <v>1360</v>
      </c>
      <c r="B1089" s="25" t="str">
        <f>IFERROR(VLOOKUP(Tabela1[[#This Row],[CC]],#REF!,5,0),"")</f>
        <v/>
      </c>
      <c r="C1089" t="str">
        <f>IFERROR(VLOOKUP(Tabela1[[#This Row],[CC]],CC!$A$1:$H$389,7,0),"")</f>
        <v>RITA ANDRADE</v>
      </c>
      <c r="D1089" t="str">
        <f>IFERROR(VLOOKUP(Tabela1[[#This Row],[CC]],CC!$A$1:$I$3869,3,0),"")</f>
        <v>SERASA</v>
      </c>
      <c r="E1089" t="str">
        <f>IFERROR(VLOOKUP(Tabela1[[#This Row],[CC]],CC!$A$1:$H$389,2,0),"")</f>
        <v>SERASA EXPERIAN (1360)</v>
      </c>
      <c r="F1089" t="s">
        <v>586</v>
      </c>
      <c r="G1089" s="107">
        <v>4323</v>
      </c>
      <c r="H1089" s="12">
        <v>45870</v>
      </c>
      <c r="I1089" s="24">
        <v>28846.400000000001</v>
      </c>
      <c r="J1089" s="24">
        <v>27072.35</v>
      </c>
      <c r="K1089" s="3">
        <v>45911</v>
      </c>
      <c r="L1089" s="91">
        <v>45931</v>
      </c>
      <c r="M1089" s="11">
        <v>45933</v>
      </c>
      <c r="N1089" s="18" t="s">
        <v>588</v>
      </c>
      <c r="O1089" s="35"/>
      <c r="P1089"/>
      <c r="Q1089" t="str">
        <f>IFERROR(VLOOKUP(Tabela1[[#This Row],[CC]],CC!$A$1:$H$389,5,0),"")</f>
        <v>ADS</v>
      </c>
      <c r="R1089" t="str">
        <f>IFERROR(VLOOKUP(Tabela1[[#This Row],[CC]],CC!$A$1:$H$389,6,0),"")</f>
        <v>FS</v>
      </c>
      <c r="S1089" t="str">
        <f>IFERROR(VLOOKUP(Tabela1[[#This Row],[CC]],CC!$A$1:$H$403,8,0),"")</f>
        <v>OP1</v>
      </c>
    </row>
    <row r="1090" spans="1:19" x14ac:dyDescent="0.3">
      <c r="A1090" s="25">
        <v>1360</v>
      </c>
      <c r="B1090" s="25" t="str">
        <f>IFERROR(VLOOKUP(Tabela1[[#This Row],[CC]],#REF!,5,0),"")</f>
        <v/>
      </c>
      <c r="C1090" t="str">
        <f>IFERROR(VLOOKUP(Tabela1[[#This Row],[CC]],CC!$A$1:$H$389,7,0),"")</f>
        <v>RITA ANDRADE</v>
      </c>
      <c r="D1090" t="str">
        <f>IFERROR(VLOOKUP(Tabela1[[#This Row],[CC]],CC!$A$1:$I$3869,3,0),"")</f>
        <v>SERASA</v>
      </c>
      <c r="E1090" t="str">
        <f>IFERROR(VLOOKUP(Tabela1[[#This Row],[CC]],CC!$A$1:$H$389,2,0),"")</f>
        <v>SERASA EXPERIAN (1360)</v>
      </c>
      <c r="F1090" t="s">
        <v>586</v>
      </c>
      <c r="G1090" s="107">
        <v>4326</v>
      </c>
      <c r="H1090" s="12">
        <v>45870</v>
      </c>
      <c r="I1090" s="24">
        <v>25854.400000000001</v>
      </c>
      <c r="J1090" s="24">
        <v>24264.36</v>
      </c>
      <c r="K1090" s="3">
        <v>45911</v>
      </c>
      <c r="L1090" s="91">
        <v>45931</v>
      </c>
      <c r="M1090" s="11">
        <v>45933</v>
      </c>
      <c r="N1090" s="18" t="s">
        <v>588</v>
      </c>
      <c r="O1090" s="35"/>
      <c r="P1090"/>
      <c r="Q1090" t="str">
        <f>IFERROR(VLOOKUP(Tabela1[[#This Row],[CC]],CC!$A$1:$H$389,5,0),"")</f>
        <v>ADS</v>
      </c>
      <c r="R1090" t="str">
        <f>IFERROR(VLOOKUP(Tabela1[[#This Row],[CC]],CC!$A$1:$H$389,6,0),"")</f>
        <v>FS</v>
      </c>
      <c r="S1090" t="str">
        <f>IFERROR(VLOOKUP(Tabela1[[#This Row],[CC]],CC!$A$1:$H$403,8,0),"")</f>
        <v>OP1</v>
      </c>
    </row>
    <row r="1091" spans="1:19" x14ac:dyDescent="0.3">
      <c r="A1091" s="25">
        <v>1360</v>
      </c>
      <c r="B1091" s="25" t="str">
        <f>IFERROR(VLOOKUP(Tabela1[[#This Row],[CC]],#REF!,5,0),"")</f>
        <v/>
      </c>
      <c r="C1091" t="str">
        <f>IFERROR(VLOOKUP(Tabela1[[#This Row],[CC]],CC!$A$1:$H$389,7,0),"")</f>
        <v>RITA ANDRADE</v>
      </c>
      <c r="D1091" t="str">
        <f>IFERROR(VLOOKUP(Tabela1[[#This Row],[CC]],CC!$A$1:$I$3869,3,0),"")</f>
        <v>SERASA</v>
      </c>
      <c r="E1091" t="str">
        <f>IFERROR(VLOOKUP(Tabela1[[#This Row],[CC]],CC!$A$1:$H$389,2,0),"")</f>
        <v>SERASA EXPERIAN (1360)</v>
      </c>
      <c r="F1091" t="s">
        <v>586</v>
      </c>
      <c r="G1091" s="107">
        <v>4327</v>
      </c>
      <c r="H1091" s="12">
        <v>45870</v>
      </c>
      <c r="I1091" s="24">
        <v>186200.95999999999</v>
      </c>
      <c r="J1091" s="24">
        <v>174749.6</v>
      </c>
      <c r="K1091" s="3">
        <v>45911</v>
      </c>
      <c r="L1091" s="91">
        <v>45931</v>
      </c>
      <c r="M1091" s="11">
        <v>45933</v>
      </c>
      <c r="N1091" s="18" t="s">
        <v>588</v>
      </c>
      <c r="O1091" s="35"/>
      <c r="P1091"/>
      <c r="Q1091" t="str">
        <f>IFERROR(VLOOKUP(Tabela1[[#This Row],[CC]],CC!$A$1:$H$389,5,0),"")</f>
        <v>ADS</v>
      </c>
      <c r="R1091" t="str">
        <f>IFERROR(VLOOKUP(Tabela1[[#This Row],[CC]],CC!$A$1:$H$389,6,0),"")</f>
        <v>FS</v>
      </c>
      <c r="S1091" t="str">
        <f>IFERROR(VLOOKUP(Tabela1[[#This Row],[CC]],CC!$A$1:$H$403,8,0),"")</f>
        <v>OP1</v>
      </c>
    </row>
    <row r="1092" spans="1:19" x14ac:dyDescent="0.3">
      <c r="A1092" s="25">
        <v>1360</v>
      </c>
      <c r="B1092" s="25" t="str">
        <f>IFERROR(VLOOKUP(Tabela1[[#This Row],[CC]],#REF!,5,0),"")</f>
        <v/>
      </c>
      <c r="C1092" t="str">
        <f>IFERROR(VLOOKUP(Tabela1[[#This Row],[CC]],CC!$A$1:$H$389,7,0),"")</f>
        <v>RITA ANDRADE</v>
      </c>
      <c r="D1092" t="str">
        <f>IFERROR(VLOOKUP(Tabela1[[#This Row],[CC]],CC!$A$1:$I$3869,3,0),"")</f>
        <v>SERASA</v>
      </c>
      <c r="E1092" t="str">
        <f>IFERROR(VLOOKUP(Tabela1[[#This Row],[CC]],CC!$A$1:$H$389,2,0),"")</f>
        <v>SERASA EXPERIAN (1360)</v>
      </c>
      <c r="F1092" t="s">
        <v>586</v>
      </c>
      <c r="G1092" s="107">
        <v>4332</v>
      </c>
      <c r="H1092" s="12">
        <v>45870</v>
      </c>
      <c r="I1092" s="24">
        <v>64125.599999999999</v>
      </c>
      <c r="J1092" s="24">
        <v>60181.87</v>
      </c>
      <c r="K1092" s="3">
        <v>45911</v>
      </c>
      <c r="L1092" s="91">
        <v>45931</v>
      </c>
      <c r="M1092" s="11">
        <v>45933</v>
      </c>
      <c r="N1092" s="18" t="s">
        <v>588</v>
      </c>
      <c r="O1092" s="35"/>
      <c r="P1092"/>
      <c r="Q1092" t="str">
        <f>IFERROR(VLOOKUP(Tabela1[[#This Row],[CC]],CC!$A$1:$H$389,5,0),"")</f>
        <v>ADS</v>
      </c>
      <c r="R1092" t="str">
        <f>IFERROR(VLOOKUP(Tabela1[[#This Row],[CC]],CC!$A$1:$H$389,6,0),"")</f>
        <v>FS</v>
      </c>
      <c r="S1092" t="str">
        <f>IFERROR(VLOOKUP(Tabela1[[#This Row],[CC]],CC!$A$1:$H$403,8,0),"")</f>
        <v>OP1</v>
      </c>
    </row>
    <row r="1093" spans="1:19" x14ac:dyDescent="0.3">
      <c r="A1093" s="25">
        <v>1360</v>
      </c>
      <c r="B1093" s="25" t="str">
        <f>IFERROR(VLOOKUP(Tabela1[[#This Row],[CC]],#REF!,5,0),"")</f>
        <v/>
      </c>
      <c r="C1093" t="str">
        <f>IFERROR(VLOOKUP(Tabela1[[#This Row],[CC]],CC!$A$1:$H$389,7,0),"")</f>
        <v>RITA ANDRADE</v>
      </c>
      <c r="D1093" t="str">
        <f>IFERROR(VLOOKUP(Tabela1[[#This Row],[CC]],CC!$A$1:$I$3869,3,0),"")</f>
        <v>SERASA</v>
      </c>
      <c r="E1093" t="str">
        <f>IFERROR(VLOOKUP(Tabela1[[#This Row],[CC]],CC!$A$1:$H$389,2,0),"")</f>
        <v>SERASA EXPERIAN (1360)</v>
      </c>
      <c r="F1093" t="s">
        <v>586</v>
      </c>
      <c r="G1093" s="107">
        <v>4373</v>
      </c>
      <c r="H1093" s="12">
        <v>45870</v>
      </c>
      <c r="I1093" s="24">
        <v>4858</v>
      </c>
      <c r="J1093" s="24">
        <v>4559.2299999999996</v>
      </c>
      <c r="K1093" s="3">
        <v>45924</v>
      </c>
      <c r="L1093" s="91">
        <v>45936</v>
      </c>
      <c r="M1093" s="11">
        <v>45937</v>
      </c>
      <c r="N1093" s="18" t="s">
        <v>588</v>
      </c>
      <c r="O1093" s="35"/>
      <c r="P1093"/>
      <c r="Q1093" t="str">
        <f>IFERROR(VLOOKUP(Tabela1[[#This Row],[CC]],CC!$A$1:$H$389,5,0),"")</f>
        <v>ADS</v>
      </c>
      <c r="R1093" t="str">
        <f>IFERROR(VLOOKUP(Tabela1[[#This Row],[CC]],CC!$A$1:$H$389,6,0),"")</f>
        <v>FS</v>
      </c>
      <c r="S1093" t="str">
        <f>IFERROR(VLOOKUP(Tabela1[[#This Row],[CC]],CC!$A$1:$H$403,8,0),"")</f>
        <v>OP1</v>
      </c>
    </row>
    <row r="1094" spans="1:19" x14ac:dyDescent="0.3">
      <c r="A1094" s="25">
        <v>1360</v>
      </c>
      <c r="B1094" s="25" t="str">
        <f>IFERROR(VLOOKUP(Tabela1[[#This Row],[CC]],#REF!,5,0),"")</f>
        <v/>
      </c>
      <c r="C1094" t="str">
        <f>IFERROR(VLOOKUP(Tabela1[[#This Row],[CC]],CC!$A$1:$H$389,7,0),"")</f>
        <v>RITA ANDRADE</v>
      </c>
      <c r="D1094" t="str">
        <f>IFERROR(VLOOKUP(Tabela1[[#This Row],[CC]],CC!$A$1:$I$3869,3,0),"")</f>
        <v>SERASA</v>
      </c>
      <c r="E1094" t="str">
        <f>IFERROR(VLOOKUP(Tabela1[[#This Row],[CC]],CC!$A$1:$H$389,2,0),"")</f>
        <v>SERASA EXPERIAN (1360)</v>
      </c>
      <c r="F1094" t="s">
        <v>586</v>
      </c>
      <c r="G1094" s="107">
        <v>4386</v>
      </c>
      <c r="H1094" s="12">
        <v>45870</v>
      </c>
      <c r="I1094" s="24">
        <v>63027.44</v>
      </c>
      <c r="J1094" s="24">
        <v>59151.26</v>
      </c>
      <c r="K1094" s="3">
        <v>45931</v>
      </c>
      <c r="L1094" s="91">
        <v>45936</v>
      </c>
      <c r="M1094" s="11">
        <v>45937</v>
      </c>
      <c r="N1094" s="18" t="s">
        <v>588</v>
      </c>
      <c r="O1094" s="35"/>
      <c r="P1094"/>
      <c r="Q1094" t="str">
        <f>IFERROR(VLOOKUP(Tabela1[[#This Row],[CC]],CC!$A$1:$H$389,5,0),"")</f>
        <v>ADS</v>
      </c>
      <c r="R1094" t="str">
        <f>IFERROR(VLOOKUP(Tabela1[[#This Row],[CC]],CC!$A$1:$H$389,6,0),"")</f>
        <v>FS</v>
      </c>
      <c r="S1094" t="str">
        <f>IFERROR(VLOOKUP(Tabela1[[#This Row],[CC]],CC!$A$1:$H$403,8,0),"")</f>
        <v>OP1</v>
      </c>
    </row>
    <row r="1095" spans="1:19" x14ac:dyDescent="0.3">
      <c r="A1095" s="25">
        <v>1387</v>
      </c>
      <c r="B1095" s="25" t="str">
        <f>IFERROR(VLOOKUP(Tabela1[[#This Row],[CC]],#REF!,5,0),"")</f>
        <v/>
      </c>
      <c r="C1095" t="str">
        <f>IFERROR(VLOOKUP(Tabela1[[#This Row],[CC]],CC!$A$1:$H$389,7,0),"")</f>
        <v>RITA ANDRADE</v>
      </c>
      <c r="D1095" t="str">
        <f>IFERROR(VLOOKUP(Tabela1[[#This Row],[CC]],CC!$A$1:$I$3869,3,0),"")</f>
        <v>SERASA</v>
      </c>
      <c r="E1095" t="str">
        <f>IFERROR(VLOOKUP(Tabela1[[#This Row],[CC]],CC!$A$1:$H$389,2,0),"")</f>
        <v>SERASA DC (1387)</v>
      </c>
      <c r="F1095" t="s">
        <v>586</v>
      </c>
      <c r="G1095" s="107">
        <v>4274</v>
      </c>
      <c r="H1095" s="12">
        <v>45870</v>
      </c>
      <c r="I1095" s="24">
        <v>28390.32</v>
      </c>
      <c r="J1095" s="27">
        <v>26644.32</v>
      </c>
      <c r="K1095" s="3">
        <v>45891</v>
      </c>
      <c r="L1095" s="91">
        <v>45931</v>
      </c>
      <c r="M1095" s="11">
        <v>45931</v>
      </c>
      <c r="N1095" s="18" t="s">
        <v>588</v>
      </c>
      <c r="O1095" s="35"/>
      <c r="P1095"/>
      <c r="Q1095" t="str">
        <f>IFERROR(VLOOKUP(Tabela1[[#This Row],[CC]],CC!$A$1:$H$389,5,0),"")</f>
        <v>CSA</v>
      </c>
      <c r="R1095" t="str">
        <f>IFERROR(VLOOKUP(Tabela1[[#This Row],[CC]],CC!$A$1:$H$389,6,0),"")</f>
        <v>FS</v>
      </c>
      <c r="S1095" t="str">
        <f>IFERROR(VLOOKUP(Tabela1[[#This Row],[CC]],CC!$A$1:$H$403,8,0),"")</f>
        <v>OP1</v>
      </c>
    </row>
    <row r="1096" spans="1:19" x14ac:dyDescent="0.3">
      <c r="A1096" s="25">
        <v>1387</v>
      </c>
      <c r="B1096" s="25" t="str">
        <f>IFERROR(VLOOKUP(Tabela1[[#This Row],[CC]],#REF!,5,0),"")</f>
        <v/>
      </c>
      <c r="C1096" t="str">
        <f>IFERROR(VLOOKUP(Tabela1[[#This Row],[CC]],CC!$A$1:$H$389,7,0),"")</f>
        <v>RITA ANDRADE</v>
      </c>
      <c r="D1096" t="str">
        <f>IFERROR(VLOOKUP(Tabela1[[#This Row],[CC]],CC!$A$1:$I$3869,3,0),"")</f>
        <v>SERASA</v>
      </c>
      <c r="E1096" t="str">
        <f>IFERROR(VLOOKUP(Tabela1[[#This Row],[CC]],CC!$A$1:$H$389,2,0),"")</f>
        <v>SERASA DC (1387)</v>
      </c>
      <c r="F1096" t="s">
        <v>586</v>
      </c>
      <c r="G1096" s="107">
        <v>4279</v>
      </c>
      <c r="H1096" s="12">
        <v>45870</v>
      </c>
      <c r="I1096" s="24">
        <v>42630</v>
      </c>
      <c r="J1096" s="27">
        <v>40008.25</v>
      </c>
      <c r="K1096" s="3">
        <v>45891</v>
      </c>
      <c r="L1096" s="91">
        <v>45931</v>
      </c>
      <c r="M1096" s="11">
        <v>45931</v>
      </c>
      <c r="N1096" s="18" t="s">
        <v>588</v>
      </c>
      <c r="O1096" s="35"/>
      <c r="P1096"/>
      <c r="Q1096" t="str">
        <f>IFERROR(VLOOKUP(Tabela1[[#This Row],[CC]],CC!$A$1:$H$389,5,0),"")</f>
        <v>CSA</v>
      </c>
      <c r="R1096" t="str">
        <f>IFERROR(VLOOKUP(Tabela1[[#This Row],[CC]],CC!$A$1:$H$389,6,0),"")</f>
        <v>FS</v>
      </c>
      <c r="S1096" t="str">
        <f>IFERROR(VLOOKUP(Tabela1[[#This Row],[CC]],CC!$A$1:$H$403,8,0),"")</f>
        <v>OP1</v>
      </c>
    </row>
    <row r="1097" spans="1:19" x14ac:dyDescent="0.3">
      <c r="A1097" s="25">
        <v>1387</v>
      </c>
      <c r="B1097" s="25" t="str">
        <f>IFERROR(VLOOKUP(Tabela1[[#This Row],[CC]],#REF!,5,0),"")</f>
        <v/>
      </c>
      <c r="C1097" t="str">
        <f>IFERROR(VLOOKUP(Tabela1[[#This Row],[CC]],CC!$A$1:$H$389,7,0),"")</f>
        <v>RITA ANDRADE</v>
      </c>
      <c r="D1097" t="str">
        <f>IFERROR(VLOOKUP(Tabela1[[#This Row],[CC]],CC!$A$1:$I$3869,3,0),"")</f>
        <v>SERASA</v>
      </c>
      <c r="E1097" t="str">
        <f>IFERROR(VLOOKUP(Tabela1[[#This Row],[CC]],CC!$A$1:$H$389,2,0),"")</f>
        <v>SERASA DC (1387)</v>
      </c>
      <c r="F1097" t="s">
        <v>586</v>
      </c>
      <c r="G1097" s="107">
        <v>4280</v>
      </c>
      <c r="H1097" s="12">
        <v>45870</v>
      </c>
      <c r="I1097" s="24">
        <v>44660</v>
      </c>
      <c r="J1097" s="27">
        <v>41913.410000000003</v>
      </c>
      <c r="K1097" s="3">
        <v>45891</v>
      </c>
      <c r="L1097" s="91">
        <v>45931</v>
      </c>
      <c r="M1097" s="11">
        <v>45931</v>
      </c>
      <c r="N1097" s="18" t="s">
        <v>588</v>
      </c>
      <c r="O1097" s="35"/>
      <c r="P1097"/>
      <c r="Q1097" t="str">
        <f>IFERROR(VLOOKUP(Tabela1[[#This Row],[CC]],CC!$A$1:$H$389,5,0),"")</f>
        <v>CSA</v>
      </c>
      <c r="R1097" t="str">
        <f>IFERROR(VLOOKUP(Tabela1[[#This Row],[CC]],CC!$A$1:$H$389,6,0),"")</f>
        <v>FS</v>
      </c>
      <c r="S1097" t="str">
        <f>IFERROR(VLOOKUP(Tabela1[[#This Row],[CC]],CC!$A$1:$H$403,8,0),"")</f>
        <v>OP1</v>
      </c>
    </row>
    <row r="1098" spans="1:19" x14ac:dyDescent="0.3">
      <c r="A1098" s="25">
        <v>1387</v>
      </c>
      <c r="B1098" s="25" t="str">
        <f>IFERROR(VLOOKUP(Tabela1[[#This Row],[CC]],#REF!,5,0),"")</f>
        <v/>
      </c>
      <c r="C1098" t="str">
        <f>IFERROR(VLOOKUP(Tabela1[[#This Row],[CC]],CC!$A$1:$H$389,7,0),"")</f>
        <v>RITA ANDRADE</v>
      </c>
      <c r="D1098" t="str">
        <f>IFERROR(VLOOKUP(Tabela1[[#This Row],[CC]],CC!$A$1:$I$3869,3,0),"")</f>
        <v>SERASA</v>
      </c>
      <c r="E1098" t="str">
        <f>IFERROR(VLOOKUP(Tabela1[[#This Row],[CC]],CC!$A$1:$H$389,2,0),"")</f>
        <v>SERASA DC (1387)</v>
      </c>
      <c r="F1098" t="s">
        <v>586</v>
      </c>
      <c r="G1098" s="107">
        <v>4282</v>
      </c>
      <c r="H1098" s="12">
        <v>45870</v>
      </c>
      <c r="I1098" s="24">
        <v>78807.12</v>
      </c>
      <c r="J1098" s="27">
        <v>73960.479999999996</v>
      </c>
      <c r="K1098" s="3">
        <v>45894</v>
      </c>
      <c r="L1098" s="91">
        <v>45931</v>
      </c>
      <c r="M1098" s="11">
        <v>45931</v>
      </c>
      <c r="N1098" s="18" t="s">
        <v>588</v>
      </c>
      <c r="O1098" s="35"/>
      <c r="P1098"/>
      <c r="Q1098" t="str">
        <f>IFERROR(VLOOKUP(Tabela1[[#This Row],[CC]],CC!$A$1:$H$389,5,0),"")</f>
        <v>CSA</v>
      </c>
      <c r="R1098" t="str">
        <f>IFERROR(VLOOKUP(Tabela1[[#This Row],[CC]],CC!$A$1:$H$389,6,0),"")</f>
        <v>FS</v>
      </c>
      <c r="S1098" t="str">
        <f>IFERROR(VLOOKUP(Tabela1[[#This Row],[CC]],CC!$A$1:$H$403,8,0),"")</f>
        <v>OP1</v>
      </c>
    </row>
    <row r="1099" spans="1:19" x14ac:dyDescent="0.3">
      <c r="A1099" s="25">
        <v>1387</v>
      </c>
      <c r="B1099" s="25" t="str">
        <f>IFERROR(VLOOKUP(Tabela1[[#This Row],[CC]],#REF!,5,0),"")</f>
        <v/>
      </c>
      <c r="C1099" t="str">
        <f>IFERROR(VLOOKUP(Tabela1[[#This Row],[CC]],CC!$A$1:$H$389,7,0),"")</f>
        <v>RITA ANDRADE</v>
      </c>
      <c r="D1099" t="str">
        <f>IFERROR(VLOOKUP(Tabela1[[#This Row],[CC]],CC!$A$1:$I$3869,3,0),"")</f>
        <v>SERASA</v>
      </c>
      <c r="E1099" t="str">
        <f>IFERROR(VLOOKUP(Tabela1[[#This Row],[CC]],CC!$A$1:$H$389,2,0),"")</f>
        <v>SERASA DC (1387)</v>
      </c>
      <c r="F1099" t="s">
        <v>586</v>
      </c>
      <c r="G1099" s="107">
        <v>4288</v>
      </c>
      <c r="H1099" s="12">
        <v>45870</v>
      </c>
      <c r="I1099" s="24">
        <v>29920</v>
      </c>
      <c r="J1099" s="27">
        <v>28079.93</v>
      </c>
      <c r="K1099" s="3">
        <v>45894</v>
      </c>
      <c r="L1099" s="91">
        <v>45931</v>
      </c>
      <c r="M1099" s="11">
        <v>45931</v>
      </c>
      <c r="N1099" s="18" t="s">
        <v>588</v>
      </c>
      <c r="O1099" s="35"/>
      <c r="P1099"/>
      <c r="Q1099" t="str">
        <f>IFERROR(VLOOKUP(Tabela1[[#This Row],[CC]],CC!$A$1:$H$389,5,0),"")</f>
        <v>CSA</v>
      </c>
      <c r="R1099" t="str">
        <f>IFERROR(VLOOKUP(Tabela1[[#This Row],[CC]],CC!$A$1:$H$389,6,0),"")</f>
        <v>FS</v>
      </c>
      <c r="S1099" t="str">
        <f>IFERROR(VLOOKUP(Tabela1[[#This Row],[CC]],CC!$A$1:$H$403,8,0),"")</f>
        <v>OP1</v>
      </c>
    </row>
    <row r="1100" spans="1:19" x14ac:dyDescent="0.3">
      <c r="A1100" s="25">
        <v>1387</v>
      </c>
      <c r="B1100" s="25" t="str">
        <f>IFERROR(VLOOKUP(Tabela1[[#This Row],[CC]],#REF!,5,0),"")</f>
        <v/>
      </c>
      <c r="C1100" t="str">
        <f>IFERROR(VLOOKUP(Tabela1[[#This Row],[CC]],CC!$A$1:$H$389,7,0),"")</f>
        <v>RITA ANDRADE</v>
      </c>
      <c r="D1100" t="str">
        <f>IFERROR(VLOOKUP(Tabela1[[#This Row],[CC]],CC!$A$1:$I$3869,3,0),"")</f>
        <v>SERASA</v>
      </c>
      <c r="E1100" t="str">
        <f>IFERROR(VLOOKUP(Tabela1[[#This Row],[CC]],CC!$A$1:$H$389,2,0),"")</f>
        <v>SERASA DC (1387)</v>
      </c>
      <c r="F1100" t="s">
        <v>586</v>
      </c>
      <c r="G1100" s="107">
        <v>4324</v>
      </c>
      <c r="H1100" s="12">
        <v>45870</v>
      </c>
      <c r="I1100" s="24">
        <v>24360</v>
      </c>
      <c r="J1100" s="24">
        <v>22861.86</v>
      </c>
      <c r="K1100" s="3">
        <v>45911</v>
      </c>
      <c r="L1100" s="91">
        <v>45931</v>
      </c>
      <c r="M1100" s="11">
        <v>45933</v>
      </c>
      <c r="N1100" s="18" t="s">
        <v>588</v>
      </c>
      <c r="O1100" s="35"/>
      <c r="P1100"/>
      <c r="Q1100" t="str">
        <f>IFERROR(VLOOKUP(Tabela1[[#This Row],[CC]],CC!$A$1:$H$389,5,0),"")</f>
        <v>CSA</v>
      </c>
      <c r="R1100" t="str">
        <f>IFERROR(VLOOKUP(Tabela1[[#This Row],[CC]],CC!$A$1:$H$389,6,0),"")</f>
        <v>FS</v>
      </c>
      <c r="S1100" t="str">
        <f>IFERROR(VLOOKUP(Tabela1[[#This Row],[CC]],CC!$A$1:$H$403,8,0),"")</f>
        <v>OP1</v>
      </c>
    </row>
    <row r="1101" spans="1:19" x14ac:dyDescent="0.3">
      <c r="A1101" s="25">
        <v>1387</v>
      </c>
      <c r="B1101" s="25" t="str">
        <f>IFERROR(VLOOKUP(Tabela1[[#This Row],[CC]],#REF!,5,0),"")</f>
        <v/>
      </c>
      <c r="C1101" t="str">
        <f>IFERROR(VLOOKUP(Tabela1[[#This Row],[CC]],CC!$A$1:$H$389,7,0),"")</f>
        <v>RITA ANDRADE</v>
      </c>
      <c r="D1101" t="str">
        <f>IFERROR(VLOOKUP(Tabela1[[#This Row],[CC]],CC!$A$1:$I$3869,3,0),"")</f>
        <v>SERASA</v>
      </c>
      <c r="E1101" t="str">
        <f>IFERROR(VLOOKUP(Tabela1[[#This Row],[CC]],CC!$A$1:$H$389,2,0),"")</f>
        <v>SERASA DC (1387)</v>
      </c>
      <c r="F1101" t="s">
        <v>586</v>
      </c>
      <c r="G1101" s="107">
        <v>4328</v>
      </c>
      <c r="H1101" s="12">
        <v>45870</v>
      </c>
      <c r="I1101" s="24">
        <v>29920</v>
      </c>
      <c r="J1101" s="24">
        <v>28079.919999999998</v>
      </c>
      <c r="K1101" s="3">
        <v>45911</v>
      </c>
      <c r="L1101" s="91">
        <v>45931</v>
      </c>
      <c r="M1101" s="11">
        <v>45933</v>
      </c>
      <c r="N1101" s="18" t="s">
        <v>588</v>
      </c>
      <c r="O1101" s="35"/>
      <c r="P1101"/>
      <c r="Q1101" t="str">
        <f>IFERROR(VLOOKUP(Tabela1[[#This Row],[CC]],CC!$A$1:$H$389,5,0),"")</f>
        <v>CSA</v>
      </c>
      <c r="R1101" t="str">
        <f>IFERROR(VLOOKUP(Tabela1[[#This Row],[CC]],CC!$A$1:$H$389,6,0),"")</f>
        <v>FS</v>
      </c>
      <c r="S1101" t="str">
        <f>IFERROR(VLOOKUP(Tabela1[[#This Row],[CC]],CC!$A$1:$H$403,8,0),"")</f>
        <v>OP1</v>
      </c>
    </row>
    <row r="1102" spans="1:19" x14ac:dyDescent="0.3">
      <c r="A1102" s="8">
        <v>1470</v>
      </c>
      <c r="B1102" s="8" t="str">
        <f>IFERROR(VLOOKUP(Tabela1[[#This Row],[CC]],#REF!,5,0),"")</f>
        <v/>
      </c>
      <c r="C1102" t="str">
        <f>IFERROR(VLOOKUP(Tabela1[[#This Row],[CC]],CC!$A$1:$H$389,7,0),"")</f>
        <v>ROGERIO GORDILHO</v>
      </c>
      <c r="D1102" t="str">
        <f>IFERROR(VLOOKUP(Tabela1[[#This Row],[CC]],CC!$A$1:$I$3869,3,0),"")</f>
        <v>GNC</v>
      </c>
      <c r="E1102" t="str">
        <f>IFERROR(VLOOKUP(Tabela1[[#This Row],[CC]],CC!$A$1:$H$389,2,0),"")</f>
        <v>GNC (1470)</v>
      </c>
      <c r="F1102" t="s">
        <v>586</v>
      </c>
      <c r="G1102" s="107">
        <v>8487</v>
      </c>
      <c r="H1102" s="12">
        <v>45870</v>
      </c>
      <c r="I1102" s="24">
        <v>36700</v>
      </c>
      <c r="J1102" s="10">
        <v>33708.949999999997</v>
      </c>
      <c r="K1102" s="3">
        <v>45903</v>
      </c>
      <c r="L1102" s="91">
        <v>45915</v>
      </c>
      <c r="M1102" s="5">
        <v>45915</v>
      </c>
      <c r="N1102" s="36" t="s">
        <v>588</v>
      </c>
      <c r="O1102" s="37">
        <v>0</v>
      </c>
      <c r="P1102" s="14"/>
      <c r="Q1102" t="str">
        <f>IFERROR(VLOOKUP(Tabela1[[#This Row],[CC]],CC!$A$1:$H$389,5,0),"")</f>
        <v>CSA</v>
      </c>
      <c r="R1102" t="str">
        <f>IFERROR(VLOOKUP(Tabela1[[#This Row],[CC]],CC!$A$1:$H$389,6,0),"")</f>
        <v>MS</v>
      </c>
      <c r="S1102" t="str">
        <f>IFERROR(VLOOKUP(Tabela1[[#This Row],[CC]],CC!$A$1:$H$403,8,0),"")</f>
        <v>OP4</v>
      </c>
    </row>
    <row r="1103" spans="1:19" x14ac:dyDescent="0.3">
      <c r="A1103" s="25">
        <v>1273</v>
      </c>
      <c r="B1103" s="25" t="str">
        <f>IFERROR(VLOOKUP(Tabela1[[#This Row],[CC]],#REF!,5,0),"")</f>
        <v/>
      </c>
      <c r="C1103" t="str">
        <f>IFERROR(VLOOKUP(Tabela1[[#This Row],[CC]],CC!$A$1:$H$389,7,0),"")</f>
        <v>LIZANDRA PIMENTA</v>
      </c>
      <c r="D1103" t="str">
        <f>IFERROR(VLOOKUP(Tabela1[[#This Row],[CC]],CC!$A$1:$I$3869,3,0),"")</f>
        <v>TJ_BA</v>
      </c>
      <c r="E1103" t="str">
        <f>IFERROR(VLOOKUP(Tabela1[[#This Row],[CC]],CC!$A$1:$H$389,2,0),"")</f>
        <v>TJ - BA DIGITAL SUPPORT (1273)</v>
      </c>
      <c r="F1103" t="s">
        <v>586</v>
      </c>
      <c r="G1103" s="107">
        <v>1294</v>
      </c>
      <c r="H1103" s="12">
        <v>45870</v>
      </c>
      <c r="I1103" s="24">
        <v>571783.62</v>
      </c>
      <c r="J1103" s="24">
        <v>512889.91</v>
      </c>
      <c r="K1103" s="3">
        <v>45910</v>
      </c>
      <c r="L1103" s="91">
        <v>45922</v>
      </c>
      <c r="M1103" s="11">
        <v>45922</v>
      </c>
      <c r="N1103" s="18" t="s">
        <v>588</v>
      </c>
      <c r="O1103" s="35">
        <v>0</v>
      </c>
      <c r="P1103"/>
      <c r="Q1103" t="str">
        <f>IFERROR(VLOOKUP(Tabela1[[#This Row],[CC]],CC!$A$1:$H$389,5,0),"")</f>
        <v>CSA</v>
      </c>
      <c r="R1103" t="str">
        <f>IFERROR(VLOOKUP(Tabela1[[#This Row],[CC]],CC!$A$1:$H$389,6,0),"")</f>
        <v>PS</v>
      </c>
      <c r="S1103" t="str">
        <f>IFERROR(VLOOKUP(Tabela1[[#This Row],[CC]],CC!$A$1:$H$403,8,0),"")</f>
        <v>OP3</v>
      </c>
    </row>
    <row r="1104" spans="1:19" x14ac:dyDescent="0.3">
      <c r="A1104" s="8">
        <v>1277</v>
      </c>
      <c r="B1104" s="8" t="str">
        <f>IFERROR(VLOOKUP(Tabela1[[#This Row],[CC]],#REF!,5,0),"")</f>
        <v/>
      </c>
      <c r="C1104" t="str">
        <f>IFERROR(VLOOKUP(Tabela1[[#This Row],[CC]],CC!$A$1:$H$389,7,0),"")</f>
        <v>LIZANDRA PIMENTA</v>
      </c>
      <c r="D1104" t="str">
        <f>IFERROR(VLOOKUP(Tabela1[[#This Row],[CC]],CC!$A$1:$I$3869,3,0),"")</f>
        <v>TJ_BA</v>
      </c>
      <c r="E1104" t="str">
        <f>IFERROR(VLOOKUP(Tabela1[[#This Row],[CC]],CC!$A$1:$H$389,2,0),"")</f>
        <v>TJ - BA CPROD (1277)</v>
      </c>
      <c r="F1104" t="s">
        <v>586</v>
      </c>
      <c r="G1104" s="107">
        <v>1300</v>
      </c>
      <c r="H1104" s="12">
        <v>45870</v>
      </c>
      <c r="I1104" s="24">
        <v>162394.43</v>
      </c>
      <c r="J1104" s="10">
        <v>145667.79999999999</v>
      </c>
      <c r="K1104" s="3">
        <v>45931</v>
      </c>
      <c r="L1104" s="91">
        <v>45971</v>
      </c>
      <c r="M1104" s="11">
        <v>45975</v>
      </c>
      <c r="N1104" s="18" t="s">
        <v>588</v>
      </c>
      <c r="O1104" s="38"/>
      <c r="P1104" s="26"/>
      <c r="Q1104" t="str">
        <f>IFERROR(VLOOKUP(Tabela1[[#This Row],[CC]],CC!$A$1:$H$389,5,0),"")</f>
        <v>CSA</v>
      </c>
      <c r="R1104" t="str">
        <f>IFERROR(VLOOKUP(Tabela1[[#This Row],[CC]],CC!$A$1:$H$389,6,0),"")</f>
        <v>PS</v>
      </c>
      <c r="S1104" t="str">
        <f>IFERROR(VLOOKUP(Tabela1[[#This Row],[CC]],CC!$A$1:$H$403,8,0),"")</f>
        <v>OP3</v>
      </c>
    </row>
    <row r="1105" spans="1:19" x14ac:dyDescent="0.3">
      <c r="A1105" s="25">
        <v>1268</v>
      </c>
      <c r="B1105" s="25" t="str">
        <f>IFERROR(VLOOKUP(Tabela1[[#This Row],[CC]],#REF!,5,0),"")</f>
        <v/>
      </c>
      <c r="C1105" t="str">
        <f>IFERROR(VLOOKUP(Tabela1[[#This Row],[CC]],CC!$A$1:$H$389,7,0),"")</f>
        <v>RODRIGO CORUMBA</v>
      </c>
      <c r="D1105" t="str">
        <f>IFERROR(VLOOKUP(Tabela1[[#This Row],[CC]],CC!$A$1:$I$3869,3,0),"")</f>
        <v>SANTANDER</v>
      </c>
      <c r="E1105" t="str">
        <f>IFERROR(VLOOKUP(Tabela1[[#This Row],[CC]],CC!$A$1:$H$389,2,0),"")</f>
        <v>BANCO SANTANDER Agile Studio (1268)</v>
      </c>
      <c r="F1105" t="s">
        <v>586</v>
      </c>
      <c r="G1105" s="107">
        <v>4333</v>
      </c>
      <c r="H1105" s="12">
        <v>45870</v>
      </c>
      <c r="I1105" s="24">
        <v>293308.59999999998</v>
      </c>
      <c r="J1105" s="24">
        <v>275270.12</v>
      </c>
      <c r="K1105" s="3">
        <v>45911</v>
      </c>
      <c r="L1105" s="91">
        <v>45929</v>
      </c>
      <c r="M1105" s="11">
        <v>45929</v>
      </c>
      <c r="N1105" s="18" t="s">
        <v>588</v>
      </c>
      <c r="O1105" s="35">
        <v>0</v>
      </c>
      <c r="P1105"/>
      <c r="Q1105" t="str">
        <f>IFERROR(VLOOKUP(Tabela1[[#This Row],[CC]],CC!$A$1:$H$389,5,0),"")</f>
        <v>ADS</v>
      </c>
      <c r="R1105" t="str">
        <f>IFERROR(VLOOKUP(Tabela1[[#This Row],[CC]],CC!$A$1:$H$389,6,0),"")</f>
        <v>FS</v>
      </c>
      <c r="S1105" t="str">
        <f>IFERROR(VLOOKUP(Tabela1[[#This Row],[CC]],CC!$A$1:$H$403,8,0),"")</f>
        <v>OP2</v>
      </c>
    </row>
    <row r="1106" spans="1:19" x14ac:dyDescent="0.3">
      <c r="A1106" s="25">
        <v>1268</v>
      </c>
      <c r="B1106" s="25" t="str">
        <f>IFERROR(VLOOKUP(Tabela1[[#This Row],[CC]],#REF!,5,0),"")</f>
        <v/>
      </c>
      <c r="C1106" t="str">
        <f>IFERROR(VLOOKUP(Tabela1[[#This Row],[CC]],CC!$A$1:$H$389,7,0),"")</f>
        <v>RODRIGO CORUMBA</v>
      </c>
      <c r="D1106" t="str">
        <f>IFERROR(VLOOKUP(Tabela1[[#This Row],[CC]],CC!$A$1:$I$3869,3,0),"")</f>
        <v>SANTANDER</v>
      </c>
      <c r="E1106" t="str">
        <f>IFERROR(VLOOKUP(Tabela1[[#This Row],[CC]],CC!$A$1:$H$389,2,0),"")</f>
        <v>BANCO SANTANDER Agile Studio (1268)</v>
      </c>
      <c r="F1106" t="s">
        <v>586</v>
      </c>
      <c r="G1106" s="107">
        <v>4335</v>
      </c>
      <c r="H1106" s="12">
        <v>45870</v>
      </c>
      <c r="I1106" s="24">
        <v>42359.519999999997</v>
      </c>
      <c r="J1106" s="24">
        <v>39754.410000000003</v>
      </c>
      <c r="K1106" s="3">
        <v>45911</v>
      </c>
      <c r="L1106" s="91">
        <v>45929</v>
      </c>
      <c r="M1106" s="11">
        <v>45929</v>
      </c>
      <c r="N1106" s="18" t="s">
        <v>588</v>
      </c>
      <c r="O1106" s="35">
        <v>0</v>
      </c>
      <c r="P1106"/>
      <c r="Q1106" t="str">
        <f>IFERROR(VLOOKUP(Tabela1[[#This Row],[CC]],CC!$A$1:$H$389,5,0),"")</f>
        <v>ADS</v>
      </c>
      <c r="R1106" t="str">
        <f>IFERROR(VLOOKUP(Tabela1[[#This Row],[CC]],CC!$A$1:$H$389,6,0),"")</f>
        <v>FS</v>
      </c>
      <c r="S1106" t="str">
        <f>IFERROR(VLOOKUP(Tabela1[[#This Row],[CC]],CC!$A$1:$H$403,8,0),"")</f>
        <v>OP2</v>
      </c>
    </row>
    <row r="1107" spans="1:19" x14ac:dyDescent="0.3">
      <c r="A1107" s="25">
        <v>1268</v>
      </c>
      <c r="B1107" s="25" t="str">
        <f>IFERROR(VLOOKUP(Tabela1[[#This Row],[CC]],#REF!,5,0),"")</f>
        <v/>
      </c>
      <c r="C1107" t="str">
        <f>IFERROR(VLOOKUP(Tabela1[[#This Row],[CC]],CC!$A$1:$H$389,7,0),"")</f>
        <v>RODRIGO CORUMBA</v>
      </c>
      <c r="D1107" t="str">
        <f>IFERROR(VLOOKUP(Tabela1[[#This Row],[CC]],CC!$A$1:$I$3869,3,0),"")</f>
        <v>SANTANDER</v>
      </c>
      <c r="E1107" t="str">
        <f>IFERROR(VLOOKUP(Tabela1[[#This Row],[CC]],CC!$A$1:$H$389,2,0),"")</f>
        <v>BANCO SANTANDER Agile Studio (1268)</v>
      </c>
      <c r="F1107" t="s">
        <v>586</v>
      </c>
      <c r="G1107" s="107">
        <v>4336</v>
      </c>
      <c r="H1107" s="12">
        <v>45870</v>
      </c>
      <c r="I1107" s="24">
        <v>107115.28</v>
      </c>
      <c r="J1107" s="24">
        <v>100527.69</v>
      </c>
      <c r="K1107" s="3">
        <v>45911</v>
      </c>
      <c r="L1107" s="91">
        <v>45929</v>
      </c>
      <c r="M1107" s="11">
        <v>45929</v>
      </c>
      <c r="N1107" s="18" t="s">
        <v>588</v>
      </c>
      <c r="O1107" s="35">
        <v>0</v>
      </c>
      <c r="P1107"/>
      <c r="Q1107" t="str">
        <f>IFERROR(VLOOKUP(Tabela1[[#This Row],[CC]],CC!$A$1:$H$389,5,0),"")</f>
        <v>ADS</v>
      </c>
      <c r="R1107" t="str">
        <f>IFERROR(VLOOKUP(Tabela1[[#This Row],[CC]],CC!$A$1:$H$389,6,0),"")</f>
        <v>FS</v>
      </c>
      <c r="S1107" t="str">
        <f>IFERROR(VLOOKUP(Tabela1[[#This Row],[CC]],CC!$A$1:$H$403,8,0),"")</f>
        <v>OP2</v>
      </c>
    </row>
    <row r="1108" spans="1:19" x14ac:dyDescent="0.3">
      <c r="A1108" s="25">
        <v>1268</v>
      </c>
      <c r="B1108" s="25" t="str">
        <f>IFERROR(VLOOKUP(Tabela1[[#This Row],[CC]],#REF!,5,0),"")</f>
        <v/>
      </c>
      <c r="C1108" t="str">
        <f>IFERROR(VLOOKUP(Tabela1[[#This Row],[CC]],CC!$A$1:$H$389,7,0),"")</f>
        <v>RODRIGO CORUMBA</v>
      </c>
      <c r="D1108" t="str">
        <f>IFERROR(VLOOKUP(Tabela1[[#This Row],[CC]],CC!$A$1:$I$3869,3,0),"")</f>
        <v>SANTANDER</v>
      </c>
      <c r="E1108" t="str">
        <f>IFERROR(VLOOKUP(Tabela1[[#This Row],[CC]],CC!$A$1:$H$389,2,0),"")</f>
        <v>BANCO SANTANDER Agile Studio (1268)</v>
      </c>
      <c r="F1108" t="s">
        <v>586</v>
      </c>
      <c r="G1108" s="107">
        <v>4337</v>
      </c>
      <c r="H1108" s="12">
        <v>45870</v>
      </c>
      <c r="I1108" s="24">
        <v>1058150.3999999999</v>
      </c>
      <c r="J1108" s="24">
        <v>993074.15</v>
      </c>
      <c r="K1108" s="3">
        <v>45911</v>
      </c>
      <c r="L1108" s="91">
        <v>45929</v>
      </c>
      <c r="M1108" s="11">
        <v>45929</v>
      </c>
      <c r="N1108" s="18" t="s">
        <v>588</v>
      </c>
      <c r="O1108" s="35">
        <v>0</v>
      </c>
      <c r="P1108"/>
      <c r="Q1108" t="str">
        <f>IFERROR(VLOOKUP(Tabela1[[#This Row],[CC]],CC!$A$1:$H$389,5,0),"")</f>
        <v>ADS</v>
      </c>
      <c r="R1108" t="str">
        <f>IFERROR(VLOOKUP(Tabela1[[#This Row],[CC]],CC!$A$1:$H$389,6,0),"")</f>
        <v>FS</v>
      </c>
      <c r="S1108" t="str">
        <f>IFERROR(VLOOKUP(Tabela1[[#This Row],[CC]],CC!$A$1:$H$403,8,0),"")</f>
        <v>OP2</v>
      </c>
    </row>
    <row r="1109" spans="1:19" x14ac:dyDescent="0.3">
      <c r="A1109" s="25">
        <v>1483</v>
      </c>
      <c r="B1109" s="25" t="str">
        <f>IFERROR(VLOOKUP(Tabela1[[#This Row],[CC]],#REF!,5,0),"")</f>
        <v/>
      </c>
      <c r="C1109" t="str">
        <f>IFERROR(VLOOKUP(Tabela1[[#This Row],[CC]],CC!$A$1:$H$389,7,0),"")</f>
        <v>RODRIGO CORUMBA</v>
      </c>
      <c r="D1109" t="str">
        <f>IFERROR(VLOOKUP(Tabela1[[#This Row],[CC]],CC!$A$1:$I$3869,3,0),"")</f>
        <v>UNIPAR</v>
      </c>
      <c r="E1109" t="str">
        <f>IFERROR(VLOOKUP(Tabela1[[#This Row],[CC]],CC!$A$1:$H$389,2,0),"")</f>
        <v>UNIPAR (1483)</v>
      </c>
      <c r="F1109" t="s">
        <v>586</v>
      </c>
      <c r="G1109" s="107">
        <v>8489</v>
      </c>
      <c r="H1109" s="12">
        <v>45870</v>
      </c>
      <c r="I1109" s="24">
        <v>53591.199999999997</v>
      </c>
      <c r="J1109" s="24">
        <v>49527.08</v>
      </c>
      <c r="K1109" s="3">
        <v>45903</v>
      </c>
      <c r="L1109" s="91">
        <v>45936</v>
      </c>
      <c r="M1109" s="11">
        <v>45938</v>
      </c>
      <c r="N1109" s="18" t="s">
        <v>588</v>
      </c>
      <c r="O1109" s="35">
        <v>0</v>
      </c>
      <c r="P1109" s="26"/>
      <c r="Q1109" t="str">
        <f>IFERROR(VLOOKUP(Tabela1[[#This Row],[CC]],CC!$A$1:$H$389,5,0),"")</f>
        <v>CSA</v>
      </c>
      <c r="R1109" t="str">
        <f>IFERROR(VLOOKUP(Tabela1[[#This Row],[CC]],CC!$A$1:$H$389,6,0),"")</f>
        <v>MS</v>
      </c>
      <c r="S1109" t="str">
        <f>IFERROR(VLOOKUP(Tabela1[[#This Row],[CC]],CC!$A$1:$H$403,8,0),"")</f>
        <v>OP2</v>
      </c>
    </row>
    <row r="1110" spans="1:19" x14ac:dyDescent="0.3">
      <c r="A1110" s="25">
        <v>1483</v>
      </c>
      <c r="B1110" s="25" t="str">
        <f>IFERROR(VLOOKUP(Tabela1[[#This Row],[CC]],#REF!,5,0),"")</f>
        <v/>
      </c>
      <c r="C1110" t="str">
        <f>IFERROR(VLOOKUP(Tabela1[[#This Row],[CC]],CC!$A$1:$H$389,7,0),"")</f>
        <v>RODRIGO CORUMBA</v>
      </c>
      <c r="D1110" t="str">
        <f>IFERROR(VLOOKUP(Tabela1[[#This Row],[CC]],CC!$A$1:$I$3869,3,0),"")</f>
        <v>UNIPAR</v>
      </c>
      <c r="E1110" t="str">
        <f>IFERROR(VLOOKUP(Tabela1[[#This Row],[CC]],CC!$A$1:$H$389,2,0),"")</f>
        <v>UNIPAR (1483)</v>
      </c>
      <c r="F1110" t="s">
        <v>586</v>
      </c>
      <c r="G1110" s="107">
        <v>8490</v>
      </c>
      <c r="H1110" s="12">
        <v>45870</v>
      </c>
      <c r="I1110" s="24">
        <v>28856.799999999999</v>
      </c>
      <c r="J1110" s="24">
        <v>25450.11</v>
      </c>
      <c r="K1110" s="3">
        <v>45903</v>
      </c>
      <c r="L1110" s="91">
        <v>45936</v>
      </c>
      <c r="M1110" s="11">
        <v>45938</v>
      </c>
      <c r="N1110" s="18" t="s">
        <v>588</v>
      </c>
      <c r="O1110" s="35">
        <v>0</v>
      </c>
      <c r="P1110" s="26"/>
      <c r="Q1110" t="str">
        <f>IFERROR(VLOOKUP(Tabela1[[#This Row],[CC]],CC!$A$1:$H$389,5,0),"")</f>
        <v>CSA</v>
      </c>
      <c r="R1110" t="str">
        <f>IFERROR(VLOOKUP(Tabela1[[#This Row],[CC]],CC!$A$1:$H$389,6,0),"")</f>
        <v>MS</v>
      </c>
      <c r="S1110" t="str">
        <f>IFERROR(VLOOKUP(Tabela1[[#This Row],[CC]],CC!$A$1:$H$403,8,0),"")</f>
        <v>OP2</v>
      </c>
    </row>
    <row r="1111" spans="1:19" x14ac:dyDescent="0.3">
      <c r="A1111" s="25">
        <v>1275</v>
      </c>
      <c r="B1111" s="25" t="str">
        <f>IFERROR(VLOOKUP(Tabela1[[#This Row],[CC]],#REF!,5,0),"")</f>
        <v/>
      </c>
      <c r="C1111" t="str">
        <f>IFERROR(VLOOKUP(Tabela1[[#This Row],[CC]],CC!$A$1:$H$389,7,0),"")</f>
        <v>RODRIGO CORUMBA</v>
      </c>
      <c r="D1111" t="str">
        <f>IFERROR(VLOOKUP(Tabela1[[#This Row],[CC]],CC!$A$1:$I$3869,3,0),"")</f>
        <v>VR</v>
      </c>
      <c r="E1111" t="str">
        <f>IFERROR(VLOOKUP(Tabela1[[#This Row],[CC]],CC!$A$1:$H$389,2,0),"")</f>
        <v>VR (1275)</v>
      </c>
      <c r="F1111" t="s">
        <v>586</v>
      </c>
      <c r="G1111" s="107">
        <v>4305</v>
      </c>
      <c r="H1111" s="12">
        <v>45870</v>
      </c>
      <c r="I1111" s="24">
        <v>16767.240000000002</v>
      </c>
      <c r="J1111" s="24">
        <v>15736.05</v>
      </c>
      <c r="K1111" s="3">
        <v>45902</v>
      </c>
      <c r="L1111" s="91">
        <v>45929</v>
      </c>
      <c r="M1111" s="11">
        <v>45929</v>
      </c>
      <c r="N1111" s="18" t="s">
        <v>588</v>
      </c>
      <c r="O1111" s="35">
        <v>0</v>
      </c>
      <c r="P1111" s="26"/>
      <c r="Q1111" t="str">
        <f>IFERROR(VLOOKUP(Tabela1[[#This Row],[CC]],CC!$A$1:$H$389,5,0),"")</f>
        <v>ADS</v>
      </c>
      <c r="R1111" t="str">
        <f>IFERROR(VLOOKUP(Tabela1[[#This Row],[CC]],CC!$A$1:$H$389,6,0),"")</f>
        <v>FS</v>
      </c>
      <c r="S1111" t="str">
        <f>IFERROR(VLOOKUP(Tabela1[[#This Row],[CC]],CC!$A$1:$H$403,8,0),"")</f>
        <v>OP2</v>
      </c>
    </row>
    <row r="1112" spans="1:19" x14ac:dyDescent="0.3">
      <c r="A1112" s="25">
        <v>1479</v>
      </c>
      <c r="B1112" s="25" t="str">
        <f>IFERROR(VLOOKUP(Tabela1[[#This Row],[CC]],#REF!,5,0),"")</f>
        <v/>
      </c>
      <c r="C1112" t="str">
        <f>IFERROR(VLOOKUP(Tabela1[[#This Row],[CC]],CC!$A$1:$H$389,7,0),"")</f>
        <v>RODRIGO CORUMBA</v>
      </c>
      <c r="D1112" t="str">
        <f>IFERROR(VLOOKUP(Tabela1[[#This Row],[CC]],CC!$A$1:$I$3869,3,0),"")</f>
        <v>VR</v>
      </c>
      <c r="E1112" t="str">
        <f>IFERROR(VLOOKUP(Tabela1[[#This Row],[CC]],CC!$A$1:$H$389,2,0),"")</f>
        <v>VR - Salesforce (1479)</v>
      </c>
      <c r="F1112" t="s">
        <v>586</v>
      </c>
      <c r="G1112" s="107">
        <v>4304</v>
      </c>
      <c r="H1112" s="12">
        <v>45870</v>
      </c>
      <c r="I1112" s="24">
        <v>13640</v>
      </c>
      <c r="J1112" s="24">
        <v>12801.14</v>
      </c>
      <c r="K1112" s="3">
        <f>Tabela1[[#This Row],[MÊS SERVIÇO]]+31</f>
        <v>45901</v>
      </c>
      <c r="L1112" s="91">
        <v>45929</v>
      </c>
      <c r="M1112" s="11">
        <v>45929</v>
      </c>
      <c r="N1112" s="18" t="s">
        <v>588</v>
      </c>
      <c r="O1112" s="35">
        <v>0</v>
      </c>
      <c r="P1112" s="26"/>
      <c r="Q1112" t="str">
        <f>IFERROR(VLOOKUP(Tabela1[[#This Row],[CC]],CC!$A$1:$H$389,5,0),"")</f>
        <v>BPS</v>
      </c>
      <c r="R1112" t="str">
        <f>IFERROR(VLOOKUP(Tabela1[[#This Row],[CC]],CC!$A$1:$H$389,6,0),"")</f>
        <v>FS</v>
      </c>
      <c r="S1112" t="str">
        <f>IFERROR(VLOOKUP(Tabela1[[#This Row],[CC]],CC!$A$1:$H$403,8,0),"")</f>
        <v>OP2</v>
      </c>
    </row>
    <row r="1113" spans="1:19" x14ac:dyDescent="0.3">
      <c r="A1113" s="25">
        <v>1455</v>
      </c>
      <c r="B1113" s="25" t="str">
        <f>IFERROR(VLOOKUP(Tabela1[[#This Row],[CC]],#REF!,5,0),"")</f>
        <v/>
      </c>
      <c r="C1113" t="str">
        <f>IFERROR(VLOOKUP(Tabela1[[#This Row],[CC]],CC!$A$1:$H$389,7,0),"")</f>
        <v>ROGERIO GORDILHO</v>
      </c>
      <c r="D1113" t="str">
        <f>IFERROR(VLOOKUP(Tabela1[[#This Row],[CC]],CC!$A$1:$I$3869,3,0),"")</f>
        <v>ATAKAREJO</v>
      </c>
      <c r="E1113" t="str">
        <f>IFERROR(VLOOKUP(Tabela1[[#This Row],[CC]],CC!$A$1:$H$389,2,0),"")</f>
        <v>ATAKAREJO N3 (1455)</v>
      </c>
      <c r="F1113" t="s">
        <v>586</v>
      </c>
      <c r="G1113" s="107">
        <v>8533</v>
      </c>
      <c r="H1113" s="12">
        <v>45901</v>
      </c>
      <c r="I1113" s="24">
        <v>54003.39</v>
      </c>
      <c r="J1113" s="24">
        <v>47712</v>
      </c>
      <c r="K1113" s="3">
        <v>45931</v>
      </c>
      <c r="L1113" s="91">
        <v>45957</v>
      </c>
      <c r="M1113" s="11">
        <v>45960</v>
      </c>
      <c r="N1113" s="21" t="s">
        <v>588</v>
      </c>
      <c r="O1113" s="41"/>
      <c r="P1113" s="26"/>
      <c r="Q1113" t="str">
        <f>IFERROR(VLOOKUP(Tabela1[[#This Row],[CC]],CC!$A$1:$H$389,5,0),"")</f>
        <v>CSA</v>
      </c>
      <c r="R1113" t="str">
        <f>IFERROR(VLOOKUP(Tabela1[[#This Row],[CC]],CC!$A$1:$H$389,6,0),"")</f>
        <v>MS</v>
      </c>
      <c r="S1113" t="str">
        <f>IFERROR(VLOOKUP(Tabela1[[#This Row],[CC]],CC!$A$1:$H$403,8,0),"")</f>
        <v>OP4</v>
      </c>
    </row>
    <row r="1114" spans="1:19" x14ac:dyDescent="0.3">
      <c r="A1114" s="25">
        <v>1489</v>
      </c>
      <c r="B1114" s="25" t="str">
        <f>IFERROR(VLOOKUP(Tabela1[[#This Row],[CC]],#REF!,5,0),"")</f>
        <v/>
      </c>
      <c r="C1114" t="str">
        <f>IFERROR(VLOOKUP(Tabela1[[#This Row],[CC]],CC!$A$1:$H$389,7,0),"")</f>
        <v>RODRIGO CORUMBA</v>
      </c>
      <c r="D1114" t="str">
        <f>IFERROR(VLOOKUP(Tabela1[[#This Row],[CC]],CC!$A$1:$I$3869,3,0),"")</f>
        <v>CARREFOUR</v>
      </c>
      <c r="E1114" t="str">
        <f>IFERROR(VLOOKUP(Tabela1[[#This Row],[CC]],CC!$A$1:$H$389,2,0),"")</f>
        <v>BANCO CARREFOUR (1489)</v>
      </c>
      <c r="F1114" t="s">
        <v>586</v>
      </c>
      <c r="G1114" s="107">
        <v>4391</v>
      </c>
      <c r="H1114" s="12">
        <v>45901</v>
      </c>
      <c r="I1114" s="24">
        <v>42812.21</v>
      </c>
      <c r="J1114" s="24">
        <v>40179.26</v>
      </c>
      <c r="K1114" s="3">
        <v>45933</v>
      </c>
      <c r="L1114" s="91">
        <v>45964</v>
      </c>
      <c r="M1114" s="11">
        <v>45964</v>
      </c>
      <c r="N1114" s="18" t="s">
        <v>588</v>
      </c>
      <c r="O1114" s="41"/>
      <c r="P1114" s="26"/>
      <c r="Q1114" t="str">
        <f>IFERROR(VLOOKUP(Tabela1[[#This Row],[CC]],CC!$A$1:$H$389,5,0),"")</f>
        <v>BPS</v>
      </c>
      <c r="R1114" t="str">
        <f>IFERROR(VLOOKUP(Tabela1[[#This Row],[CC]],CC!$A$1:$H$389,6,0),"")</f>
        <v>FS</v>
      </c>
      <c r="S1114" t="str">
        <f>IFERROR(VLOOKUP(Tabela1[[#This Row],[CC]],CC!$A$1:$H$403,8,0),"")</f>
        <v>OP2</v>
      </c>
    </row>
    <row r="1115" spans="1:19" x14ac:dyDescent="0.3">
      <c r="A1115" s="25">
        <v>1478</v>
      </c>
      <c r="B1115" s="25" t="str">
        <f>IFERROR(VLOOKUP(Tabela1[[#This Row],[CC]],#REF!,5,0),"")</f>
        <v/>
      </c>
      <c r="C1115" t="str">
        <f>IFERROR(VLOOKUP(Tabela1[[#This Row],[CC]],CC!$A$1:$H$389,7,0),"")</f>
        <v>RITA ANDRADE</v>
      </c>
      <c r="D1115" t="str">
        <f>IFERROR(VLOOKUP(Tabela1[[#This Row],[CC]],CC!$A$1:$I$3869,3,0),"")</f>
        <v>VOTORANTIM</v>
      </c>
      <c r="E1115" t="str">
        <f>IFERROR(VLOOKUP(Tabela1[[#This Row],[CC]],CC!$A$1:$H$389,2,0),"")</f>
        <v>BANKLY (ADS) (1478)</v>
      </c>
      <c r="F1115" t="s">
        <v>586</v>
      </c>
      <c r="G1115" s="107">
        <v>8539</v>
      </c>
      <c r="H1115" s="12">
        <v>45901</v>
      </c>
      <c r="I1115" s="24">
        <v>26413.8</v>
      </c>
      <c r="J1115" s="24">
        <v>24789.35</v>
      </c>
      <c r="K1115" s="3">
        <v>45933</v>
      </c>
      <c r="L1115" s="91">
        <v>45957</v>
      </c>
      <c r="M1115" s="11">
        <v>45958</v>
      </c>
      <c r="N1115" s="18" t="s">
        <v>588</v>
      </c>
      <c r="O1115" s="35"/>
      <c r="P1115"/>
      <c r="Q1115" t="str">
        <f>IFERROR(VLOOKUP(Tabela1[[#This Row],[CC]],CC!$A$1:$H$389,5,0),"")</f>
        <v>ADS</v>
      </c>
      <c r="R1115" t="str">
        <f>IFERROR(VLOOKUP(Tabela1[[#This Row],[CC]],CC!$A$1:$H$389,6,0),"")</f>
        <v>FS</v>
      </c>
      <c r="S1115" t="str">
        <f>IFERROR(VLOOKUP(Tabela1[[#This Row],[CC]],CC!$A$1:$H$403,8,0),"")</f>
        <v>OP1</v>
      </c>
    </row>
    <row r="1116" spans="1:19" x14ac:dyDescent="0.3">
      <c r="A1116" s="25">
        <v>1478</v>
      </c>
      <c r="B1116" s="25" t="str">
        <f>IFERROR(VLOOKUP(Tabela1[[#This Row],[CC]],#REF!,5,0),"")</f>
        <v/>
      </c>
      <c r="C1116" t="str">
        <f>IFERROR(VLOOKUP(Tabela1[[#This Row],[CC]],CC!$A$1:$H$389,7,0),"")</f>
        <v>RITA ANDRADE</v>
      </c>
      <c r="D1116" t="str">
        <f>IFERROR(VLOOKUP(Tabela1[[#This Row],[CC]],CC!$A$1:$I$3869,3,0),"")</f>
        <v>VOTORANTIM</v>
      </c>
      <c r="E1116" t="str">
        <f>IFERROR(VLOOKUP(Tabela1[[#This Row],[CC]],CC!$A$1:$H$389,2,0),"")</f>
        <v>BANKLY (ADS) (1478)</v>
      </c>
      <c r="F1116" t="s">
        <v>586</v>
      </c>
      <c r="G1116" s="107">
        <v>8540</v>
      </c>
      <c r="H1116" s="12">
        <v>45901</v>
      </c>
      <c r="I1116" s="24">
        <v>13993.56</v>
      </c>
      <c r="J1116" s="24">
        <v>13132.95</v>
      </c>
      <c r="K1116" s="3">
        <v>45933</v>
      </c>
      <c r="L1116" s="91">
        <v>45957</v>
      </c>
      <c r="M1116" s="11">
        <v>45958</v>
      </c>
      <c r="N1116" s="18" t="s">
        <v>588</v>
      </c>
      <c r="O1116" s="35"/>
      <c r="P1116"/>
      <c r="Q1116" t="str">
        <f>IFERROR(VLOOKUP(Tabela1[[#This Row],[CC]],CC!$A$1:$H$389,5,0),"")</f>
        <v>ADS</v>
      </c>
      <c r="R1116" t="str">
        <f>IFERROR(VLOOKUP(Tabela1[[#This Row],[CC]],CC!$A$1:$H$389,6,0),"")</f>
        <v>FS</v>
      </c>
      <c r="S1116" t="str">
        <f>IFERROR(VLOOKUP(Tabela1[[#This Row],[CC]],CC!$A$1:$H$403,8,0),"")</f>
        <v>OP1</v>
      </c>
    </row>
    <row r="1117" spans="1:19" x14ac:dyDescent="0.3">
      <c r="A1117" s="25">
        <v>1478</v>
      </c>
      <c r="B1117" s="25" t="str">
        <f>IFERROR(VLOOKUP(Tabela1[[#This Row],[CC]],#REF!,5,0),"")</f>
        <v/>
      </c>
      <c r="C1117" t="str">
        <f>IFERROR(VLOOKUP(Tabela1[[#This Row],[CC]],CC!$A$1:$H$389,7,0),"")</f>
        <v>RITA ANDRADE</v>
      </c>
      <c r="D1117" t="str">
        <f>IFERROR(VLOOKUP(Tabela1[[#This Row],[CC]],CC!$A$1:$I$3869,3,0),"")</f>
        <v>VOTORANTIM</v>
      </c>
      <c r="E1117" t="str">
        <f>IFERROR(VLOOKUP(Tabela1[[#This Row],[CC]],CC!$A$1:$H$389,2,0),"")</f>
        <v>BANKLY (ADS) (1478)</v>
      </c>
      <c r="F1117" t="s">
        <v>586</v>
      </c>
      <c r="G1117" s="107">
        <v>8541</v>
      </c>
      <c r="H1117" s="12">
        <v>45901</v>
      </c>
      <c r="I1117" s="24">
        <v>29087.69</v>
      </c>
      <c r="J1117" s="24">
        <v>27298.79</v>
      </c>
      <c r="K1117" s="3">
        <v>45933</v>
      </c>
      <c r="L1117" s="91">
        <v>45957</v>
      </c>
      <c r="M1117" s="11">
        <v>45958</v>
      </c>
      <c r="N1117" s="18" t="s">
        <v>588</v>
      </c>
      <c r="O1117" s="35"/>
      <c r="P1117"/>
      <c r="Q1117" t="str">
        <f>IFERROR(VLOOKUP(Tabela1[[#This Row],[CC]],CC!$A$1:$H$389,5,0),"")</f>
        <v>ADS</v>
      </c>
      <c r="R1117" t="str">
        <f>IFERROR(VLOOKUP(Tabela1[[#This Row],[CC]],CC!$A$1:$H$389,6,0),"")</f>
        <v>FS</v>
      </c>
      <c r="S1117" t="str">
        <f>IFERROR(VLOOKUP(Tabela1[[#This Row],[CC]],CC!$A$1:$H$403,8,0),"")</f>
        <v>OP1</v>
      </c>
    </row>
    <row r="1118" spans="1:19" x14ac:dyDescent="0.3">
      <c r="A1118" s="25">
        <v>1478</v>
      </c>
      <c r="B1118" s="25" t="str">
        <f>IFERROR(VLOOKUP(Tabela1[[#This Row],[CC]],#REF!,5,0),"")</f>
        <v/>
      </c>
      <c r="C1118" t="str">
        <f>IFERROR(VLOOKUP(Tabela1[[#This Row],[CC]],CC!$A$1:$H$389,7,0),"")</f>
        <v>RITA ANDRADE</v>
      </c>
      <c r="D1118" t="str">
        <f>IFERROR(VLOOKUP(Tabela1[[#This Row],[CC]],CC!$A$1:$I$3869,3,0),"")</f>
        <v>VOTORANTIM</v>
      </c>
      <c r="E1118" t="str">
        <f>IFERROR(VLOOKUP(Tabela1[[#This Row],[CC]],CC!$A$1:$H$389,2,0),"")</f>
        <v>BANKLY (ADS) (1478)</v>
      </c>
      <c r="F1118" t="s">
        <v>586</v>
      </c>
      <c r="G1118" s="107">
        <v>8542</v>
      </c>
      <c r="H1118" s="12">
        <v>45901</v>
      </c>
      <c r="I1118" s="24">
        <v>20754.55</v>
      </c>
      <c r="J1118" s="24">
        <v>19478.14</v>
      </c>
      <c r="K1118" s="3">
        <v>45933</v>
      </c>
      <c r="L1118" s="91">
        <v>45957</v>
      </c>
      <c r="M1118" s="11">
        <v>45957</v>
      </c>
      <c r="N1118" s="18" t="s">
        <v>588</v>
      </c>
      <c r="O1118" s="35"/>
      <c r="P1118"/>
      <c r="Q1118" t="str">
        <f>IFERROR(VLOOKUP(Tabela1[[#This Row],[CC]],CC!$A$1:$H$389,5,0),"")</f>
        <v>ADS</v>
      </c>
      <c r="R1118" t="str">
        <f>IFERROR(VLOOKUP(Tabela1[[#This Row],[CC]],CC!$A$1:$H$389,6,0),"")</f>
        <v>FS</v>
      </c>
      <c r="S1118" t="str">
        <f>IFERROR(VLOOKUP(Tabela1[[#This Row],[CC]],CC!$A$1:$H$403,8,0),"")</f>
        <v>OP1</v>
      </c>
    </row>
    <row r="1119" spans="1:19" x14ac:dyDescent="0.3">
      <c r="A1119" s="25">
        <v>1499</v>
      </c>
      <c r="B1119" s="25" t="str">
        <f>IFERROR(VLOOKUP(Tabela1[[#This Row],[CC]],#REF!,5,0),"")</f>
        <v/>
      </c>
      <c r="C1119" t="str">
        <f>IFERROR(VLOOKUP(Tabela1[[#This Row],[CC]],CC!$A$1:$H$389,7,0),"")</f>
        <v>RITA ANDRADE</v>
      </c>
      <c r="D1119" t="str">
        <f>IFERROR(VLOOKUP(Tabela1[[#This Row],[CC]],CC!$A$1:$I$3869,3,0),"")</f>
        <v>BRACELL</v>
      </c>
      <c r="E1119" t="str">
        <f>IFERROR(VLOOKUP(Tabela1[[#This Row],[CC]],CC!$A$1:$H$389,2,0),"")</f>
        <v>BRACELL (1499)</v>
      </c>
      <c r="F1119" t="s">
        <v>586</v>
      </c>
      <c r="G1119" s="107">
        <v>8536</v>
      </c>
      <c r="H1119" s="12">
        <v>45901</v>
      </c>
      <c r="I1119" s="24">
        <v>52900</v>
      </c>
      <c r="J1119" s="24">
        <v>49646.65</v>
      </c>
      <c r="K1119" s="3">
        <f>Tabela1[[#This Row],[MÊS SERVIÇO]]+31</f>
        <v>45932</v>
      </c>
      <c r="L1119" s="91">
        <v>45950</v>
      </c>
      <c r="M1119" s="11">
        <v>45952</v>
      </c>
      <c r="N1119" s="18" t="s">
        <v>588</v>
      </c>
      <c r="O1119" s="35">
        <v>0</v>
      </c>
      <c r="P1119"/>
      <c r="Q1119" t="str">
        <f>IFERROR(VLOOKUP(Tabela1[[#This Row],[CC]],CC!$A$1:$H$389,5,0),"")</f>
        <v>ADS</v>
      </c>
      <c r="R1119" t="str">
        <f>IFERROR(VLOOKUP(Tabela1[[#This Row],[CC]],CC!$A$1:$H$389,6,0),"")</f>
        <v>MS</v>
      </c>
      <c r="S1119" t="str">
        <f>IFERROR(VLOOKUP(Tabela1[[#This Row],[CC]],CC!$A$1:$H$403,8,0),"")</f>
        <v>OP1</v>
      </c>
    </row>
    <row r="1120" spans="1:19" x14ac:dyDescent="0.3">
      <c r="A1120" s="25">
        <v>1499</v>
      </c>
      <c r="B1120" s="25" t="str">
        <f>IFERROR(VLOOKUP(Tabela1[[#This Row],[CC]],#REF!,5,0),"")</f>
        <v/>
      </c>
      <c r="C1120" t="str">
        <f>IFERROR(VLOOKUP(Tabela1[[#This Row],[CC]],CC!$A$1:$H$389,7,0),"")</f>
        <v>RITA ANDRADE</v>
      </c>
      <c r="D1120" t="str">
        <f>IFERROR(VLOOKUP(Tabela1[[#This Row],[CC]],CC!$A$1:$I$3869,3,0),"")</f>
        <v>BRACELL</v>
      </c>
      <c r="E1120" t="str">
        <f>IFERROR(VLOOKUP(Tabela1[[#This Row],[CC]],CC!$A$1:$H$389,2,0),"")</f>
        <v>BRACELL (1499)</v>
      </c>
      <c r="F1120" t="s">
        <v>586</v>
      </c>
      <c r="G1120" s="107">
        <v>8595</v>
      </c>
      <c r="H1120" s="12">
        <v>45901</v>
      </c>
      <c r="I1120" s="24">
        <v>52464.7</v>
      </c>
      <c r="J1120" s="24">
        <v>49238.12</v>
      </c>
      <c r="K1120" s="3">
        <v>45968</v>
      </c>
      <c r="L1120" s="91">
        <v>46013</v>
      </c>
      <c r="M1120" s="11">
        <v>46013</v>
      </c>
      <c r="N1120" s="18" t="s">
        <v>588</v>
      </c>
      <c r="O1120" s="35">
        <v>0</v>
      </c>
      <c r="P1120"/>
      <c r="Q1120" t="str">
        <f>IFERROR(VLOOKUP(Tabela1[[#This Row],[CC]],CC!$A$1:$H$389,5,0),"")</f>
        <v>ADS</v>
      </c>
      <c r="R1120" t="str">
        <f>IFERROR(VLOOKUP(Tabela1[[#This Row],[CC]],CC!$A$1:$H$389,6,0),"")</f>
        <v>MS</v>
      </c>
      <c r="S1120" t="str">
        <f>IFERROR(VLOOKUP(Tabela1[[#This Row],[CC]],CC!$A$1:$H$403,8,0),"")</f>
        <v>OP1</v>
      </c>
    </row>
    <row r="1121" spans="1:19" x14ac:dyDescent="0.3">
      <c r="A1121" s="25">
        <v>1391</v>
      </c>
      <c r="B1121" s="25" t="str">
        <f>IFERROR(VLOOKUP(Tabela1[[#This Row],[CC]],#REF!,5,0),"")</f>
        <v/>
      </c>
      <c r="C1121" t="str">
        <f>IFERROR(VLOOKUP(Tabela1[[#This Row],[CC]],CC!$A$1:$H$389,7,0),"")</f>
        <v>RITA ANDRADE</v>
      </c>
      <c r="D1121" t="str">
        <f>IFERROR(VLOOKUP(Tabela1[[#This Row],[CC]],CC!$A$1:$I$3869,3,0),"")</f>
        <v>BRADESCO</v>
      </c>
      <c r="E1121" t="str">
        <f>IFERROR(VLOOKUP(Tabela1[[#This Row],[CC]],CC!$A$1:$H$389,2,0),"")</f>
        <v>BRADESCO - DS (1391)</v>
      </c>
      <c r="F1121" t="s">
        <v>586</v>
      </c>
      <c r="G1121" s="107">
        <v>4399</v>
      </c>
      <c r="H1121" s="12">
        <v>45901</v>
      </c>
      <c r="I1121" s="24">
        <v>170954.63</v>
      </c>
      <c r="J1121" s="39">
        <v>160440.92000000001</v>
      </c>
      <c r="K1121" s="3">
        <v>45936</v>
      </c>
      <c r="L1121" s="91">
        <v>45950</v>
      </c>
      <c r="M1121" s="11">
        <v>45951</v>
      </c>
      <c r="N1121" s="1" t="s">
        <v>588</v>
      </c>
      <c r="O1121" s="35">
        <v>0</v>
      </c>
      <c r="P1121"/>
      <c r="Q1121" t="str">
        <f>IFERROR(VLOOKUP(Tabela1[[#This Row],[CC]],CC!$A$1:$H$389,5,0),"")</f>
        <v>ADS</v>
      </c>
      <c r="R1121" t="str">
        <f>IFERROR(VLOOKUP(Tabela1[[#This Row],[CC]],CC!$A$1:$H$389,6,0),"")</f>
        <v>FS</v>
      </c>
      <c r="S1121" t="str">
        <f>IFERROR(VLOOKUP(Tabela1[[#This Row],[CC]],CC!$A$1:$H$403,8,0),"")</f>
        <v>OP1</v>
      </c>
    </row>
    <row r="1122" spans="1:19" x14ac:dyDescent="0.3">
      <c r="A1122" s="25">
        <v>1391</v>
      </c>
      <c r="B1122" s="25" t="str">
        <f>IFERROR(VLOOKUP(Tabela1[[#This Row],[CC]],#REF!,5,0),"")</f>
        <v/>
      </c>
      <c r="C1122" t="str">
        <f>IFERROR(VLOOKUP(Tabela1[[#This Row],[CC]],CC!$A$1:$H$389,7,0),"")</f>
        <v>RITA ANDRADE</v>
      </c>
      <c r="D1122" t="str">
        <f>IFERROR(VLOOKUP(Tabela1[[#This Row],[CC]],CC!$A$1:$I$3869,3,0),"")</f>
        <v>BRADESCO</v>
      </c>
      <c r="E1122" t="str">
        <f>IFERROR(VLOOKUP(Tabela1[[#This Row],[CC]],CC!$A$1:$H$389,2,0),"")</f>
        <v>BRADESCO - DS (1391)</v>
      </c>
      <c r="F1122" t="s">
        <v>586</v>
      </c>
      <c r="G1122" s="107">
        <v>4401</v>
      </c>
      <c r="H1122" s="12">
        <v>45901</v>
      </c>
      <c r="I1122" s="24">
        <v>16867.5</v>
      </c>
      <c r="J1122" s="28">
        <v>15830.15</v>
      </c>
      <c r="K1122" s="3">
        <v>45937</v>
      </c>
      <c r="L1122" s="91">
        <v>45950</v>
      </c>
      <c r="M1122" s="11">
        <v>45952</v>
      </c>
      <c r="N1122" s="1" t="s">
        <v>588</v>
      </c>
      <c r="O1122" s="35">
        <v>0</v>
      </c>
      <c r="P1122"/>
      <c r="Q1122" t="str">
        <f>IFERROR(VLOOKUP(Tabela1[[#This Row],[CC]],CC!$A$1:$H$389,5,0),"")</f>
        <v>ADS</v>
      </c>
      <c r="R1122" t="str">
        <f>IFERROR(VLOOKUP(Tabela1[[#This Row],[CC]],CC!$A$1:$H$389,6,0),"")</f>
        <v>FS</v>
      </c>
      <c r="S1122" t="str">
        <f>IFERROR(VLOOKUP(Tabela1[[#This Row],[CC]],CC!$A$1:$H$403,8,0),"")</f>
        <v>OP1</v>
      </c>
    </row>
    <row r="1123" spans="1:19" x14ac:dyDescent="0.3">
      <c r="A1123" s="25">
        <v>1391</v>
      </c>
      <c r="B1123" s="25" t="str">
        <f>IFERROR(VLOOKUP(Tabela1[[#This Row],[CC]],#REF!,5,0),"")</f>
        <v/>
      </c>
      <c r="C1123" t="str">
        <f>IFERROR(VLOOKUP(Tabela1[[#This Row],[CC]],CC!$A$1:$H$389,7,0),"")</f>
        <v>RITA ANDRADE</v>
      </c>
      <c r="D1123" t="str">
        <f>IFERROR(VLOOKUP(Tabela1[[#This Row],[CC]],CC!$A$1:$I$3869,3,0),"")</f>
        <v>BRADESCO</v>
      </c>
      <c r="E1123" t="str">
        <f>IFERROR(VLOOKUP(Tabela1[[#This Row],[CC]],CC!$A$1:$H$389,2,0),"")</f>
        <v>BRADESCO - DS (1391)</v>
      </c>
      <c r="F1123" t="s">
        <v>586</v>
      </c>
      <c r="G1123" s="107">
        <v>4402</v>
      </c>
      <c r="H1123" s="12">
        <v>45901</v>
      </c>
      <c r="I1123" s="24">
        <v>74833.2</v>
      </c>
      <c r="J1123" s="28">
        <v>70230.960000000006</v>
      </c>
      <c r="K1123" s="3">
        <v>45937</v>
      </c>
      <c r="L1123" s="91">
        <v>45950</v>
      </c>
      <c r="M1123" s="11">
        <v>45952</v>
      </c>
      <c r="N1123" s="1" t="s">
        <v>588</v>
      </c>
      <c r="O1123" s="35">
        <v>0</v>
      </c>
      <c r="P1123"/>
      <c r="Q1123" t="str">
        <f>IFERROR(VLOOKUP(Tabela1[[#This Row],[CC]],CC!$A$1:$H$389,5,0),"")</f>
        <v>ADS</v>
      </c>
      <c r="R1123" t="str">
        <f>IFERROR(VLOOKUP(Tabela1[[#This Row],[CC]],CC!$A$1:$H$389,6,0),"")</f>
        <v>FS</v>
      </c>
      <c r="S1123" t="str">
        <f>IFERROR(VLOOKUP(Tabela1[[#This Row],[CC]],CC!$A$1:$H$403,8,0),"")</f>
        <v>OP1</v>
      </c>
    </row>
    <row r="1124" spans="1:19" x14ac:dyDescent="0.3">
      <c r="A1124" s="25">
        <v>1391</v>
      </c>
      <c r="B1124" s="25" t="str">
        <f>IFERROR(VLOOKUP(Tabela1[[#This Row],[CC]],#REF!,5,0),"")</f>
        <v/>
      </c>
      <c r="C1124" t="str">
        <f>IFERROR(VLOOKUP(Tabela1[[#This Row],[CC]],CC!$A$1:$H$389,7,0),"")</f>
        <v>RITA ANDRADE</v>
      </c>
      <c r="D1124" t="str">
        <f>IFERROR(VLOOKUP(Tabela1[[#This Row],[CC]],CC!$A$1:$I$3869,3,0),"")</f>
        <v>BRADESCO</v>
      </c>
      <c r="E1124" t="str">
        <f>IFERROR(VLOOKUP(Tabela1[[#This Row],[CC]],CC!$A$1:$H$389,2,0),"")</f>
        <v>BRADESCO - DS (1391)</v>
      </c>
      <c r="F1124" t="s">
        <v>586</v>
      </c>
      <c r="G1124" s="107">
        <v>4403</v>
      </c>
      <c r="H1124" s="12">
        <v>45901</v>
      </c>
      <c r="I1124" s="24">
        <v>32244.959999999999</v>
      </c>
      <c r="J1124" s="28">
        <v>30261.9</v>
      </c>
      <c r="K1124" s="3">
        <v>45937</v>
      </c>
      <c r="L1124" s="91">
        <v>45950</v>
      </c>
      <c r="M1124" s="11">
        <v>45952</v>
      </c>
      <c r="N1124" s="1" t="s">
        <v>588</v>
      </c>
      <c r="O1124" s="35">
        <v>0</v>
      </c>
      <c r="P1124"/>
      <c r="Q1124" t="str">
        <f>IFERROR(VLOOKUP(Tabela1[[#This Row],[CC]],CC!$A$1:$H$389,5,0),"")</f>
        <v>ADS</v>
      </c>
      <c r="R1124" t="str">
        <f>IFERROR(VLOOKUP(Tabela1[[#This Row],[CC]],CC!$A$1:$H$389,6,0),"")</f>
        <v>FS</v>
      </c>
      <c r="S1124" t="str">
        <f>IFERROR(VLOOKUP(Tabela1[[#This Row],[CC]],CC!$A$1:$H$403,8,0),"")</f>
        <v>OP1</v>
      </c>
    </row>
    <row r="1125" spans="1:19" x14ac:dyDescent="0.3">
      <c r="A1125" s="25">
        <v>1391</v>
      </c>
      <c r="B1125" s="25" t="str">
        <f>IFERROR(VLOOKUP(Tabela1[[#This Row],[CC]],#REF!,5,0),"")</f>
        <v/>
      </c>
      <c r="C1125" t="str">
        <f>IFERROR(VLOOKUP(Tabela1[[#This Row],[CC]],CC!$A$1:$H$389,7,0),"")</f>
        <v>RITA ANDRADE</v>
      </c>
      <c r="D1125" t="str">
        <f>IFERROR(VLOOKUP(Tabela1[[#This Row],[CC]],CC!$A$1:$I$3869,3,0),"")</f>
        <v>BRADESCO</v>
      </c>
      <c r="E1125" t="str">
        <f>IFERROR(VLOOKUP(Tabela1[[#This Row],[CC]],CC!$A$1:$H$389,2,0),"")</f>
        <v>BRADESCO - DS (1391)</v>
      </c>
      <c r="F1125" t="s">
        <v>586</v>
      </c>
      <c r="G1125" s="107">
        <v>4404</v>
      </c>
      <c r="H1125" s="12">
        <v>45901</v>
      </c>
      <c r="I1125" s="24">
        <v>140052.78</v>
      </c>
      <c r="J1125" s="28">
        <v>131439.54</v>
      </c>
      <c r="K1125" s="3">
        <v>45937</v>
      </c>
      <c r="L1125" s="91">
        <v>45950</v>
      </c>
      <c r="M1125" s="11">
        <v>45952</v>
      </c>
      <c r="N1125" s="1" t="s">
        <v>588</v>
      </c>
      <c r="O1125" s="35">
        <v>0</v>
      </c>
      <c r="P1125"/>
      <c r="Q1125" t="str">
        <f>IFERROR(VLOOKUP(Tabela1[[#This Row],[CC]],CC!$A$1:$H$389,5,0),"")</f>
        <v>ADS</v>
      </c>
      <c r="R1125" t="str">
        <f>IFERROR(VLOOKUP(Tabela1[[#This Row],[CC]],CC!$A$1:$H$389,6,0),"")</f>
        <v>FS</v>
      </c>
      <c r="S1125" t="str">
        <f>IFERROR(VLOOKUP(Tabela1[[#This Row],[CC]],CC!$A$1:$H$403,8,0),"")</f>
        <v>OP1</v>
      </c>
    </row>
    <row r="1126" spans="1:19" x14ac:dyDescent="0.3">
      <c r="A1126" s="25">
        <v>1391</v>
      </c>
      <c r="B1126" s="25" t="str">
        <f>IFERROR(VLOOKUP(Tabela1[[#This Row],[CC]],#REF!,5,0),"")</f>
        <v/>
      </c>
      <c r="C1126" t="str">
        <f>IFERROR(VLOOKUP(Tabela1[[#This Row],[CC]],CC!$A$1:$H$389,7,0),"")</f>
        <v>RITA ANDRADE</v>
      </c>
      <c r="D1126" t="str">
        <f>IFERROR(VLOOKUP(Tabela1[[#This Row],[CC]],CC!$A$1:$I$3869,3,0),"")</f>
        <v>BRADESCO</v>
      </c>
      <c r="E1126" t="str">
        <f>IFERROR(VLOOKUP(Tabela1[[#This Row],[CC]],CC!$A$1:$H$389,2,0),"")</f>
        <v>BRADESCO - DS (1391)</v>
      </c>
      <c r="F1126" t="s">
        <v>586</v>
      </c>
      <c r="G1126" s="107">
        <v>4405</v>
      </c>
      <c r="H1126" s="12">
        <v>45901</v>
      </c>
      <c r="I1126" s="24">
        <v>153914.23999999999</v>
      </c>
      <c r="J1126" s="28">
        <v>144448.51999999999</v>
      </c>
      <c r="K1126" s="3">
        <v>45937</v>
      </c>
      <c r="L1126" s="91">
        <v>45950</v>
      </c>
      <c r="M1126" s="11">
        <v>45952</v>
      </c>
      <c r="N1126" s="1" t="s">
        <v>588</v>
      </c>
      <c r="O1126" s="35">
        <v>0</v>
      </c>
      <c r="P1126"/>
      <c r="Q1126" t="str">
        <f>IFERROR(VLOOKUP(Tabela1[[#This Row],[CC]],CC!$A$1:$H$389,5,0),"")</f>
        <v>ADS</v>
      </c>
      <c r="R1126" t="str">
        <f>IFERROR(VLOOKUP(Tabela1[[#This Row],[CC]],CC!$A$1:$H$389,6,0),"")</f>
        <v>FS</v>
      </c>
      <c r="S1126" t="str">
        <f>IFERROR(VLOOKUP(Tabela1[[#This Row],[CC]],CC!$A$1:$H$403,8,0),"")</f>
        <v>OP1</v>
      </c>
    </row>
    <row r="1127" spans="1:19" x14ac:dyDescent="0.3">
      <c r="A1127" s="25">
        <v>1391</v>
      </c>
      <c r="B1127" s="25" t="str">
        <f>IFERROR(VLOOKUP(Tabela1[[#This Row],[CC]],#REF!,5,0),"")</f>
        <v/>
      </c>
      <c r="C1127" t="str">
        <f>IFERROR(VLOOKUP(Tabela1[[#This Row],[CC]],CC!$A$1:$H$389,7,0),"")</f>
        <v>RITA ANDRADE</v>
      </c>
      <c r="D1127" t="str">
        <f>IFERROR(VLOOKUP(Tabela1[[#This Row],[CC]],CC!$A$1:$I$3869,3,0),"")</f>
        <v>BRADESCO</v>
      </c>
      <c r="E1127" t="str">
        <f>IFERROR(VLOOKUP(Tabela1[[#This Row],[CC]],CC!$A$1:$H$389,2,0),"")</f>
        <v>BRADESCO - DS (1391)</v>
      </c>
      <c r="F1127" t="s">
        <v>586</v>
      </c>
      <c r="G1127" s="107">
        <v>4416</v>
      </c>
      <c r="H1127" s="12">
        <v>45901</v>
      </c>
      <c r="I1127" s="24">
        <v>22654.71</v>
      </c>
      <c r="J1127" s="28">
        <v>21261.45</v>
      </c>
      <c r="K1127" s="3">
        <v>45940</v>
      </c>
      <c r="L1127" s="91">
        <v>45957</v>
      </c>
      <c r="M1127" s="11">
        <v>45957</v>
      </c>
      <c r="N1127" s="1" t="s">
        <v>588</v>
      </c>
      <c r="O1127" s="35">
        <v>0</v>
      </c>
      <c r="P1127"/>
      <c r="Q1127" t="str">
        <f>IFERROR(VLOOKUP(Tabela1[[#This Row],[CC]],CC!$A$1:$H$389,5,0),"")</f>
        <v>ADS</v>
      </c>
      <c r="R1127" t="str">
        <f>IFERROR(VLOOKUP(Tabela1[[#This Row],[CC]],CC!$A$1:$H$389,6,0),"")</f>
        <v>FS</v>
      </c>
      <c r="S1127" t="str">
        <f>IFERROR(VLOOKUP(Tabela1[[#This Row],[CC]],CC!$A$1:$H$403,8,0),"")</f>
        <v>OP1</v>
      </c>
    </row>
    <row r="1128" spans="1:19" x14ac:dyDescent="0.3">
      <c r="A1128" s="25">
        <v>1391</v>
      </c>
      <c r="B1128" s="25" t="str">
        <f>IFERROR(VLOOKUP(Tabela1[[#This Row],[CC]],#REF!,5,0),"")</f>
        <v/>
      </c>
      <c r="C1128" t="str">
        <f>IFERROR(VLOOKUP(Tabela1[[#This Row],[CC]],CC!$A$1:$H$389,7,0),"")</f>
        <v>RITA ANDRADE</v>
      </c>
      <c r="D1128" t="str">
        <f>IFERROR(VLOOKUP(Tabela1[[#This Row],[CC]],CC!$A$1:$I$3869,3,0),"")</f>
        <v>BRADESCO</v>
      </c>
      <c r="E1128" t="str">
        <f>IFERROR(VLOOKUP(Tabela1[[#This Row],[CC]],CC!$A$1:$H$389,2,0),"")</f>
        <v>BRADESCO - DS (1391)</v>
      </c>
      <c r="F1128" t="s">
        <v>586</v>
      </c>
      <c r="G1128" s="107">
        <v>4417</v>
      </c>
      <c r="H1128" s="12">
        <v>45901</v>
      </c>
      <c r="I1128" s="24">
        <v>126870.48</v>
      </c>
      <c r="J1128" s="28">
        <v>119067.94</v>
      </c>
      <c r="K1128" s="3">
        <v>45940</v>
      </c>
      <c r="L1128" s="91">
        <v>45957</v>
      </c>
      <c r="M1128" s="11">
        <v>45957</v>
      </c>
      <c r="N1128" s="1" t="s">
        <v>588</v>
      </c>
      <c r="O1128" s="35">
        <v>0</v>
      </c>
      <c r="P1128"/>
      <c r="Q1128" t="str">
        <f>IFERROR(VLOOKUP(Tabela1[[#This Row],[CC]],CC!$A$1:$H$389,5,0),"")</f>
        <v>ADS</v>
      </c>
      <c r="R1128" t="str">
        <f>IFERROR(VLOOKUP(Tabela1[[#This Row],[CC]],CC!$A$1:$H$389,6,0),"")</f>
        <v>FS</v>
      </c>
      <c r="S1128" t="str">
        <f>IFERROR(VLOOKUP(Tabela1[[#This Row],[CC]],CC!$A$1:$H$403,8,0),"")</f>
        <v>OP1</v>
      </c>
    </row>
    <row r="1129" spans="1:19" x14ac:dyDescent="0.3">
      <c r="A1129" s="25">
        <v>1391</v>
      </c>
      <c r="B1129" s="25" t="str">
        <f>IFERROR(VLOOKUP(Tabela1[[#This Row],[CC]],#REF!,5,0),"")</f>
        <v/>
      </c>
      <c r="C1129" t="str">
        <f>IFERROR(VLOOKUP(Tabela1[[#This Row],[CC]],CC!$A$1:$H$389,7,0),"")</f>
        <v>RITA ANDRADE</v>
      </c>
      <c r="D1129" t="str">
        <f>IFERROR(VLOOKUP(Tabela1[[#This Row],[CC]],CC!$A$1:$I$3869,3,0),"")</f>
        <v>BRADESCO</v>
      </c>
      <c r="E1129" t="str">
        <f>IFERROR(VLOOKUP(Tabela1[[#This Row],[CC]],CC!$A$1:$H$389,2,0),"")</f>
        <v>BRADESCO - DS (1391)</v>
      </c>
      <c r="F1129" t="s">
        <v>586</v>
      </c>
      <c r="G1129" s="107">
        <v>4418</v>
      </c>
      <c r="H1129" s="12">
        <v>45901</v>
      </c>
      <c r="I1129" s="24">
        <v>741547.47</v>
      </c>
      <c r="J1129" s="28">
        <v>695942.3</v>
      </c>
      <c r="K1129" s="3">
        <v>45940</v>
      </c>
      <c r="L1129" s="91">
        <v>45957</v>
      </c>
      <c r="M1129" s="11">
        <v>45957</v>
      </c>
      <c r="N1129" s="1" t="s">
        <v>588</v>
      </c>
      <c r="O1129" s="35">
        <v>0</v>
      </c>
      <c r="P1129"/>
      <c r="Q1129" t="str">
        <f>IFERROR(VLOOKUP(Tabela1[[#This Row],[CC]],CC!$A$1:$H$389,5,0),"")</f>
        <v>ADS</v>
      </c>
      <c r="R1129" t="str">
        <f>IFERROR(VLOOKUP(Tabela1[[#This Row],[CC]],CC!$A$1:$H$389,6,0),"")</f>
        <v>FS</v>
      </c>
      <c r="S1129" t="str">
        <f>IFERROR(VLOOKUP(Tabela1[[#This Row],[CC]],CC!$A$1:$H$403,8,0),"")</f>
        <v>OP1</v>
      </c>
    </row>
    <row r="1130" spans="1:19" x14ac:dyDescent="0.3">
      <c r="A1130" s="25">
        <v>1391</v>
      </c>
      <c r="B1130" s="25" t="str">
        <f>IFERROR(VLOOKUP(Tabela1[[#This Row],[CC]],#REF!,5,0),"")</f>
        <v/>
      </c>
      <c r="C1130" t="str">
        <f>IFERROR(VLOOKUP(Tabela1[[#This Row],[CC]],CC!$A$1:$H$389,7,0),"")</f>
        <v>RITA ANDRADE</v>
      </c>
      <c r="D1130" t="str">
        <f>IFERROR(VLOOKUP(Tabela1[[#This Row],[CC]],CC!$A$1:$I$3869,3,0),"")</f>
        <v>BRADESCO</v>
      </c>
      <c r="E1130" t="str">
        <f>IFERROR(VLOOKUP(Tabela1[[#This Row],[CC]],CC!$A$1:$H$389,2,0),"")</f>
        <v>BRADESCO - DS (1391)</v>
      </c>
      <c r="F1130" t="s">
        <v>586</v>
      </c>
      <c r="G1130" s="107">
        <v>4419</v>
      </c>
      <c r="H1130" s="12">
        <v>45901</v>
      </c>
      <c r="I1130" s="24">
        <v>121700.95</v>
      </c>
      <c r="J1130" s="39">
        <v>114216.35</v>
      </c>
      <c r="K1130" s="3">
        <v>45943</v>
      </c>
      <c r="L1130" s="91">
        <v>45957</v>
      </c>
      <c r="M1130" s="11">
        <v>45958</v>
      </c>
      <c r="N1130" s="1" t="s">
        <v>588</v>
      </c>
      <c r="O1130" s="35">
        <v>0</v>
      </c>
      <c r="P1130"/>
      <c r="Q1130" t="str">
        <f>IFERROR(VLOOKUP(Tabela1[[#This Row],[CC]],CC!$A$1:$H$389,5,0),"")</f>
        <v>ADS</v>
      </c>
      <c r="R1130" t="str">
        <f>IFERROR(VLOOKUP(Tabela1[[#This Row],[CC]],CC!$A$1:$H$389,6,0),"")</f>
        <v>FS</v>
      </c>
      <c r="S1130" t="str">
        <f>IFERROR(VLOOKUP(Tabela1[[#This Row],[CC]],CC!$A$1:$H$403,8,0),"")</f>
        <v>OP1</v>
      </c>
    </row>
    <row r="1131" spans="1:19" x14ac:dyDescent="0.3">
      <c r="A1131" s="25">
        <v>1391</v>
      </c>
      <c r="B1131" s="25" t="str">
        <f>IFERROR(VLOOKUP(Tabela1[[#This Row],[CC]],#REF!,5,0),"")</f>
        <v/>
      </c>
      <c r="C1131" t="str">
        <f>IFERROR(VLOOKUP(Tabela1[[#This Row],[CC]],CC!$A$1:$H$389,7,0),"")</f>
        <v>RITA ANDRADE</v>
      </c>
      <c r="D1131" t="str">
        <f>IFERROR(VLOOKUP(Tabela1[[#This Row],[CC]],CC!$A$1:$I$3869,3,0),"")</f>
        <v>BRADESCO</v>
      </c>
      <c r="E1131" t="str">
        <f>IFERROR(VLOOKUP(Tabela1[[#This Row],[CC]],CC!$A$1:$H$389,2,0),"")</f>
        <v>BRADESCO - DS (1391)</v>
      </c>
      <c r="F1131" t="s">
        <v>586</v>
      </c>
      <c r="G1131" s="107">
        <v>4420</v>
      </c>
      <c r="H1131" s="12">
        <v>45901</v>
      </c>
      <c r="I1131" s="24">
        <v>197787.02</v>
      </c>
      <c r="J1131" s="39">
        <v>185623.11</v>
      </c>
      <c r="K1131" s="3">
        <v>45943</v>
      </c>
      <c r="L1131" s="91">
        <v>45957</v>
      </c>
      <c r="M1131" s="11">
        <v>45958</v>
      </c>
      <c r="N1131" s="1" t="s">
        <v>588</v>
      </c>
      <c r="O1131" s="35">
        <v>0</v>
      </c>
      <c r="P1131"/>
      <c r="Q1131" t="str">
        <f>IFERROR(VLOOKUP(Tabela1[[#This Row],[CC]],CC!$A$1:$H$389,5,0),"")</f>
        <v>ADS</v>
      </c>
      <c r="R1131" t="str">
        <f>IFERROR(VLOOKUP(Tabela1[[#This Row],[CC]],CC!$A$1:$H$389,6,0),"")</f>
        <v>FS</v>
      </c>
      <c r="S1131" t="str">
        <f>IFERROR(VLOOKUP(Tabela1[[#This Row],[CC]],CC!$A$1:$H$403,8,0),"")</f>
        <v>OP1</v>
      </c>
    </row>
    <row r="1132" spans="1:19" x14ac:dyDescent="0.3">
      <c r="A1132" s="25">
        <v>1294</v>
      </c>
      <c r="B1132" s="25" t="str">
        <f>IFERROR(VLOOKUP(Tabela1[[#This Row],[CC]],#REF!,5,0),"")</f>
        <v/>
      </c>
      <c r="C1132" t="str">
        <f>IFERROR(VLOOKUP(Tabela1[[#This Row],[CC]],CC!$A$1:$H$389,7,0),"")</f>
        <v>RITA ANDRADE</v>
      </c>
      <c r="D1132" t="str">
        <f>IFERROR(VLOOKUP(Tabela1[[#This Row],[CC]],CC!$A$1:$I$3869,3,0),"")</f>
        <v>BRADESCO</v>
      </c>
      <c r="E1132" t="str">
        <f>IFERROR(VLOOKUP(Tabela1[[#This Row],[CC]],CC!$A$1:$H$389,2,0),"")</f>
        <v>BRADESCO - DS 2 (1294)</v>
      </c>
      <c r="F1132" t="s">
        <v>586</v>
      </c>
      <c r="G1132" s="107">
        <v>4400</v>
      </c>
      <c r="H1132" s="12">
        <v>45901</v>
      </c>
      <c r="I1132" s="24">
        <v>114434.78</v>
      </c>
      <c r="J1132" s="39">
        <v>107397.04</v>
      </c>
      <c r="K1132" s="3">
        <v>45936</v>
      </c>
      <c r="L1132" s="91">
        <v>45950</v>
      </c>
      <c r="M1132" s="11">
        <v>45951</v>
      </c>
      <c r="N1132" s="1" t="s">
        <v>588</v>
      </c>
      <c r="O1132" s="35">
        <v>0</v>
      </c>
      <c r="P1132"/>
      <c r="Q1132" t="str">
        <f>IFERROR(VLOOKUP(Tabela1[[#This Row],[CC]],CC!$A$1:$H$389,5,0),"")</f>
        <v>ADS</v>
      </c>
      <c r="R1132" t="str">
        <f>IFERROR(VLOOKUP(Tabela1[[#This Row],[CC]],CC!$A$1:$H$389,6,0),"")</f>
        <v>FS</v>
      </c>
      <c r="S1132" t="str">
        <f>IFERROR(VLOOKUP(Tabela1[[#This Row],[CC]],CC!$A$1:$H$403,8,0),"")</f>
        <v>OP1</v>
      </c>
    </row>
    <row r="1133" spans="1:19" x14ac:dyDescent="0.3">
      <c r="A1133" s="25">
        <v>1294</v>
      </c>
      <c r="B1133" s="25" t="str">
        <f>IFERROR(VLOOKUP(Tabela1[[#This Row],[CC]],#REF!,5,0),"")</f>
        <v/>
      </c>
      <c r="C1133" t="str">
        <f>IFERROR(VLOOKUP(Tabela1[[#This Row],[CC]],CC!$A$1:$H$389,7,0),"")</f>
        <v>RITA ANDRADE</v>
      </c>
      <c r="D1133" t="str">
        <f>IFERROR(VLOOKUP(Tabela1[[#This Row],[CC]],CC!$A$1:$I$3869,3,0),"")</f>
        <v>BRADESCO</v>
      </c>
      <c r="E1133" t="str">
        <f>IFERROR(VLOOKUP(Tabela1[[#This Row],[CC]],CC!$A$1:$H$389,2,0),"")</f>
        <v>BRADESCO - DS 2 (1294)</v>
      </c>
      <c r="F1133" t="s">
        <v>586</v>
      </c>
      <c r="G1133" s="107">
        <v>4407</v>
      </c>
      <c r="H1133" s="12">
        <v>45901</v>
      </c>
      <c r="I1133" s="24">
        <v>272817.3</v>
      </c>
      <c r="J1133" s="28">
        <v>256039.04000000001</v>
      </c>
      <c r="K1133" s="3">
        <v>45937</v>
      </c>
      <c r="L1133" s="91">
        <v>45950</v>
      </c>
      <c r="M1133" s="11">
        <v>45952</v>
      </c>
      <c r="N1133" s="1" t="s">
        <v>588</v>
      </c>
      <c r="O1133" s="35">
        <v>0</v>
      </c>
      <c r="P1133"/>
      <c r="Q1133" t="str">
        <f>IFERROR(VLOOKUP(Tabela1[[#This Row],[CC]],CC!$A$1:$H$389,5,0),"")</f>
        <v>ADS</v>
      </c>
      <c r="R1133" t="str">
        <f>IFERROR(VLOOKUP(Tabela1[[#This Row],[CC]],CC!$A$1:$H$389,6,0),"")</f>
        <v>FS</v>
      </c>
      <c r="S1133" t="str">
        <f>IFERROR(VLOOKUP(Tabela1[[#This Row],[CC]],CC!$A$1:$H$403,8,0),"")</f>
        <v>OP1</v>
      </c>
    </row>
    <row r="1134" spans="1:19" x14ac:dyDescent="0.3">
      <c r="A1134" s="25">
        <v>1294</v>
      </c>
      <c r="B1134" s="25" t="str">
        <f>IFERROR(VLOOKUP(Tabela1[[#This Row],[CC]],#REF!,5,0),"")</f>
        <v/>
      </c>
      <c r="C1134" t="str">
        <f>IFERROR(VLOOKUP(Tabela1[[#This Row],[CC]],CC!$A$1:$H$389,7,0),"")</f>
        <v>RITA ANDRADE</v>
      </c>
      <c r="D1134" t="str">
        <f>IFERROR(VLOOKUP(Tabela1[[#This Row],[CC]],CC!$A$1:$I$3869,3,0),"")</f>
        <v>BRADESCO</v>
      </c>
      <c r="E1134" t="str">
        <f>IFERROR(VLOOKUP(Tabela1[[#This Row],[CC]],CC!$A$1:$H$389,2,0),"")</f>
        <v>BRADESCO - DS 2 (1294)</v>
      </c>
      <c r="F1134" t="s">
        <v>586</v>
      </c>
      <c r="G1134" s="107">
        <v>4427</v>
      </c>
      <c r="H1134" s="12">
        <v>45901</v>
      </c>
      <c r="I1134" s="24">
        <v>167364.26999999999</v>
      </c>
      <c r="J1134" s="28">
        <v>157071.37</v>
      </c>
      <c r="K1134" s="3">
        <v>45943</v>
      </c>
      <c r="L1134" s="91">
        <v>45957</v>
      </c>
      <c r="M1134" s="11">
        <v>45958</v>
      </c>
      <c r="N1134" s="1" t="s">
        <v>588</v>
      </c>
      <c r="O1134" s="35">
        <v>0</v>
      </c>
      <c r="P1134"/>
      <c r="Q1134" t="str">
        <f>IFERROR(VLOOKUP(Tabela1[[#This Row],[CC]],CC!$A$1:$H$389,5,0),"")</f>
        <v>ADS</v>
      </c>
      <c r="R1134" t="str">
        <f>IFERROR(VLOOKUP(Tabela1[[#This Row],[CC]],CC!$A$1:$H$389,6,0),"")</f>
        <v>FS</v>
      </c>
      <c r="S1134" t="str">
        <f>IFERROR(VLOOKUP(Tabela1[[#This Row],[CC]],CC!$A$1:$H$403,8,0),"")</f>
        <v>OP1</v>
      </c>
    </row>
    <row r="1135" spans="1:19" x14ac:dyDescent="0.3">
      <c r="A1135" s="25">
        <v>1294</v>
      </c>
      <c r="B1135" s="25" t="str">
        <f>IFERROR(VLOOKUP(Tabela1[[#This Row],[CC]],#REF!,5,0),"")</f>
        <v/>
      </c>
      <c r="C1135" t="str">
        <f>IFERROR(VLOOKUP(Tabela1[[#This Row],[CC]],CC!$A$1:$H$389,7,0),"")</f>
        <v>RITA ANDRADE</v>
      </c>
      <c r="D1135" t="str">
        <f>IFERROR(VLOOKUP(Tabela1[[#This Row],[CC]],CC!$A$1:$I$3869,3,0),"")</f>
        <v>BRADESCO</v>
      </c>
      <c r="E1135" t="str">
        <f>IFERROR(VLOOKUP(Tabela1[[#This Row],[CC]],CC!$A$1:$H$389,2,0),"")</f>
        <v>BRADESCO - DS 2 (1294)</v>
      </c>
      <c r="F1135" t="s">
        <v>586</v>
      </c>
      <c r="G1135" s="107">
        <v>4428</v>
      </c>
      <c r="H1135" s="12">
        <v>45901</v>
      </c>
      <c r="I1135" s="24">
        <v>167314.19</v>
      </c>
      <c r="J1135" s="28">
        <v>157024.37</v>
      </c>
      <c r="K1135" s="3">
        <v>45943</v>
      </c>
      <c r="L1135" s="91">
        <v>45957</v>
      </c>
      <c r="M1135" s="11">
        <v>45958</v>
      </c>
      <c r="N1135" s="1" t="s">
        <v>588</v>
      </c>
      <c r="O1135" s="35">
        <v>0</v>
      </c>
      <c r="P1135"/>
      <c r="Q1135" t="str">
        <f>IFERROR(VLOOKUP(Tabela1[[#This Row],[CC]],CC!$A$1:$H$389,5,0),"")</f>
        <v>ADS</v>
      </c>
      <c r="R1135" t="str">
        <f>IFERROR(VLOOKUP(Tabela1[[#This Row],[CC]],CC!$A$1:$H$389,6,0),"")</f>
        <v>FS</v>
      </c>
      <c r="S1135" t="str">
        <f>IFERROR(VLOOKUP(Tabela1[[#This Row],[CC]],CC!$A$1:$H$403,8,0),"")</f>
        <v>OP1</v>
      </c>
    </row>
    <row r="1136" spans="1:19" x14ac:dyDescent="0.3">
      <c r="A1136" s="25">
        <v>1294</v>
      </c>
      <c r="B1136" s="25" t="str">
        <f>IFERROR(VLOOKUP(Tabela1[[#This Row],[CC]],#REF!,5,0),"")</f>
        <v/>
      </c>
      <c r="C1136" t="str">
        <f>IFERROR(VLOOKUP(Tabela1[[#This Row],[CC]],CC!$A$1:$H$389,7,0),"")</f>
        <v>RITA ANDRADE</v>
      </c>
      <c r="D1136" t="str">
        <f>IFERROR(VLOOKUP(Tabela1[[#This Row],[CC]],CC!$A$1:$I$3869,3,0),"")</f>
        <v>BRADESCO</v>
      </c>
      <c r="E1136" t="str">
        <f>IFERROR(VLOOKUP(Tabela1[[#This Row],[CC]],CC!$A$1:$H$389,2,0),"")</f>
        <v>BRADESCO - DS 2 (1294)</v>
      </c>
      <c r="F1136" t="s">
        <v>586</v>
      </c>
      <c r="G1136" s="107">
        <v>4429</v>
      </c>
      <c r="H1136" s="12">
        <v>45901</v>
      </c>
      <c r="I1136" s="24">
        <v>166765.92000000001</v>
      </c>
      <c r="J1136" s="28">
        <v>156509.81</v>
      </c>
      <c r="K1136" s="3">
        <v>45943</v>
      </c>
      <c r="L1136" s="91">
        <v>45957</v>
      </c>
      <c r="M1136" s="11">
        <v>45958</v>
      </c>
      <c r="N1136" s="1" t="s">
        <v>588</v>
      </c>
      <c r="O1136" s="35">
        <v>0</v>
      </c>
      <c r="P1136"/>
      <c r="Q1136" t="str">
        <f>IFERROR(VLOOKUP(Tabela1[[#This Row],[CC]],CC!$A$1:$H$389,5,0),"")</f>
        <v>ADS</v>
      </c>
      <c r="R1136" t="str">
        <f>IFERROR(VLOOKUP(Tabela1[[#This Row],[CC]],CC!$A$1:$H$389,6,0),"")</f>
        <v>FS</v>
      </c>
      <c r="S1136" t="str">
        <f>IFERROR(VLOOKUP(Tabela1[[#This Row],[CC]],CC!$A$1:$H$403,8,0),"")</f>
        <v>OP1</v>
      </c>
    </row>
    <row r="1137" spans="1:19" x14ac:dyDescent="0.3">
      <c r="A1137" s="25">
        <v>1294</v>
      </c>
      <c r="B1137" s="25" t="str">
        <f>IFERROR(VLOOKUP(Tabela1[[#This Row],[CC]],#REF!,5,0),"")</f>
        <v/>
      </c>
      <c r="C1137" t="str">
        <f>IFERROR(VLOOKUP(Tabela1[[#This Row],[CC]],CC!$A$1:$H$389,7,0),"")</f>
        <v>RITA ANDRADE</v>
      </c>
      <c r="D1137" t="str">
        <f>IFERROR(VLOOKUP(Tabela1[[#This Row],[CC]],CC!$A$1:$I$3869,3,0),"")</f>
        <v>BRADESCO</v>
      </c>
      <c r="E1137" t="str">
        <f>IFERROR(VLOOKUP(Tabela1[[#This Row],[CC]],CC!$A$1:$H$389,2,0),"")</f>
        <v>BRADESCO - DS 2 (1294)</v>
      </c>
      <c r="F1137" t="s">
        <v>586</v>
      </c>
      <c r="G1137" s="107">
        <v>4430</v>
      </c>
      <c r="H1137" s="12">
        <v>45901</v>
      </c>
      <c r="I1137" s="116">
        <v>185528.51</v>
      </c>
      <c r="J1137" s="28">
        <v>174118.5</v>
      </c>
      <c r="K1137" s="3">
        <v>45943</v>
      </c>
      <c r="L1137" s="91">
        <v>45957</v>
      </c>
      <c r="M1137" s="11">
        <v>45958</v>
      </c>
      <c r="N1137" s="1" t="s">
        <v>588</v>
      </c>
      <c r="O1137" s="35">
        <v>0</v>
      </c>
      <c r="P1137"/>
      <c r="Q1137" t="str">
        <f>IFERROR(VLOOKUP(Tabela1[[#This Row],[CC]],CC!$A$1:$H$389,5,0),"")</f>
        <v>ADS</v>
      </c>
      <c r="R1137" t="str">
        <f>IFERROR(VLOOKUP(Tabela1[[#This Row],[CC]],CC!$A$1:$H$389,6,0),"")</f>
        <v>FS</v>
      </c>
      <c r="S1137" t="str">
        <f>IFERROR(VLOOKUP(Tabela1[[#This Row],[CC]],CC!$A$1:$H$403,8,0),"")</f>
        <v>OP1</v>
      </c>
    </row>
    <row r="1138" spans="1:19" x14ac:dyDescent="0.3">
      <c r="A1138" s="25">
        <v>1294</v>
      </c>
      <c r="B1138" s="25" t="str">
        <f>IFERROR(VLOOKUP(Tabela1[[#This Row],[CC]],#REF!,5,0),"")</f>
        <v/>
      </c>
      <c r="C1138" t="str">
        <f>IFERROR(VLOOKUP(Tabela1[[#This Row],[CC]],CC!$A$1:$H$389,7,0),"")</f>
        <v>RITA ANDRADE</v>
      </c>
      <c r="D1138" t="str">
        <f>IFERROR(VLOOKUP(Tabela1[[#This Row],[CC]],CC!$A$1:$I$3869,3,0),"")</f>
        <v>BRADESCO</v>
      </c>
      <c r="E1138" t="str">
        <f>IFERROR(VLOOKUP(Tabela1[[#This Row],[CC]],CC!$A$1:$H$389,2,0),"")</f>
        <v>BRADESCO - DS 2 (1294)</v>
      </c>
      <c r="F1138" t="s">
        <v>586</v>
      </c>
      <c r="G1138" s="107">
        <v>4431</v>
      </c>
      <c r="H1138" s="12">
        <v>45901</v>
      </c>
      <c r="I1138" s="24">
        <v>215271</v>
      </c>
      <c r="J1138" s="28">
        <v>202031.83</v>
      </c>
      <c r="K1138" s="3">
        <v>45944</v>
      </c>
      <c r="L1138" s="91">
        <v>45957</v>
      </c>
      <c r="M1138" s="11">
        <v>45959</v>
      </c>
      <c r="N1138" s="1" t="s">
        <v>588</v>
      </c>
      <c r="O1138" s="35">
        <v>0</v>
      </c>
      <c r="P1138"/>
      <c r="Q1138" t="str">
        <f>IFERROR(VLOOKUP(Tabela1[[#This Row],[CC]],CC!$A$1:$H$389,5,0),"")</f>
        <v>ADS</v>
      </c>
      <c r="R1138" t="str">
        <f>IFERROR(VLOOKUP(Tabela1[[#This Row],[CC]],CC!$A$1:$H$389,6,0),"")</f>
        <v>FS</v>
      </c>
      <c r="S1138" t="str">
        <f>IFERROR(VLOOKUP(Tabela1[[#This Row],[CC]],CC!$A$1:$H$403,8,0),"")</f>
        <v>OP1</v>
      </c>
    </row>
    <row r="1139" spans="1:19" x14ac:dyDescent="0.3">
      <c r="A1139" s="25">
        <v>1294</v>
      </c>
      <c r="B1139" s="25" t="str">
        <f>IFERROR(VLOOKUP(Tabela1[[#This Row],[CC]],#REF!,5,0),"")</f>
        <v/>
      </c>
      <c r="C1139" t="str">
        <f>IFERROR(VLOOKUP(Tabela1[[#This Row],[CC]],CC!$A$1:$H$389,7,0),"")</f>
        <v>RITA ANDRADE</v>
      </c>
      <c r="D1139" t="str">
        <f>IFERROR(VLOOKUP(Tabela1[[#This Row],[CC]],CC!$A$1:$I$3869,3,0),"")</f>
        <v>BRADESCO</v>
      </c>
      <c r="E1139" t="str">
        <f>IFERROR(VLOOKUP(Tabela1[[#This Row],[CC]],CC!$A$1:$H$389,2,0),"")</f>
        <v>BRADESCO - DS 2 (1294)</v>
      </c>
      <c r="F1139" t="s">
        <v>586</v>
      </c>
      <c r="G1139" s="107">
        <v>4432</v>
      </c>
      <c r="H1139" s="12">
        <v>45901</v>
      </c>
      <c r="I1139" s="24">
        <v>13192.46</v>
      </c>
      <c r="J1139" s="28">
        <v>12381.12</v>
      </c>
      <c r="K1139" s="3">
        <v>45944</v>
      </c>
      <c r="L1139" s="91">
        <v>45957</v>
      </c>
      <c r="M1139" s="11">
        <v>45959</v>
      </c>
      <c r="N1139" s="1" t="s">
        <v>588</v>
      </c>
      <c r="O1139" s="35">
        <v>0</v>
      </c>
      <c r="P1139"/>
      <c r="Q1139" t="str">
        <f>IFERROR(VLOOKUP(Tabela1[[#This Row],[CC]],CC!$A$1:$H$389,5,0),"")</f>
        <v>ADS</v>
      </c>
      <c r="R1139" t="str">
        <f>IFERROR(VLOOKUP(Tabela1[[#This Row],[CC]],CC!$A$1:$H$389,6,0),"")</f>
        <v>FS</v>
      </c>
      <c r="S1139" t="str">
        <f>IFERROR(VLOOKUP(Tabela1[[#This Row],[CC]],CC!$A$1:$H$403,8,0),"")</f>
        <v>OP1</v>
      </c>
    </row>
    <row r="1140" spans="1:19" x14ac:dyDescent="0.3">
      <c r="A1140" s="25">
        <v>1294</v>
      </c>
      <c r="B1140" s="25" t="str">
        <f>IFERROR(VLOOKUP(Tabela1[[#This Row],[CC]],#REF!,5,0),"")</f>
        <v/>
      </c>
      <c r="C1140" t="str">
        <f>IFERROR(VLOOKUP(Tabela1[[#This Row],[CC]],CC!$A$1:$H$389,7,0),"")</f>
        <v>RITA ANDRADE</v>
      </c>
      <c r="D1140" t="str">
        <f>IFERROR(VLOOKUP(Tabela1[[#This Row],[CC]],CC!$A$1:$I$3869,3,0),"")</f>
        <v>BRADESCO</v>
      </c>
      <c r="E1140" t="str">
        <f>IFERROR(VLOOKUP(Tabela1[[#This Row],[CC]],CC!$A$1:$H$389,2,0),"")</f>
        <v>BRADESCO - DS 2 (1294)</v>
      </c>
      <c r="F1140" t="s">
        <v>586</v>
      </c>
      <c r="G1140" s="107">
        <v>4433</v>
      </c>
      <c r="H1140" s="12">
        <v>45901</v>
      </c>
      <c r="I1140" s="24">
        <v>13192.46</v>
      </c>
      <c r="J1140" s="28">
        <v>12381.12</v>
      </c>
      <c r="K1140" s="3">
        <v>45944</v>
      </c>
      <c r="L1140" s="91">
        <v>45957</v>
      </c>
      <c r="M1140" s="11">
        <v>45959</v>
      </c>
      <c r="N1140" s="1" t="s">
        <v>588</v>
      </c>
      <c r="O1140" s="35">
        <v>0</v>
      </c>
      <c r="P1140"/>
      <c r="Q1140" t="str">
        <f>IFERROR(VLOOKUP(Tabela1[[#This Row],[CC]],CC!$A$1:$H$389,5,0),"")</f>
        <v>ADS</v>
      </c>
      <c r="R1140" t="str">
        <f>IFERROR(VLOOKUP(Tabela1[[#This Row],[CC]],CC!$A$1:$H$389,6,0),"")</f>
        <v>FS</v>
      </c>
      <c r="S1140" t="str">
        <f>IFERROR(VLOOKUP(Tabela1[[#This Row],[CC]],CC!$A$1:$H$403,8,0),"")</f>
        <v>OP1</v>
      </c>
    </row>
    <row r="1141" spans="1:19" x14ac:dyDescent="0.3">
      <c r="A1141" s="25">
        <v>1294</v>
      </c>
      <c r="B1141" s="25" t="str">
        <f>IFERROR(VLOOKUP(Tabela1[[#This Row],[CC]],#REF!,5,0),"")</f>
        <v/>
      </c>
      <c r="C1141" t="str">
        <f>IFERROR(VLOOKUP(Tabela1[[#This Row],[CC]],CC!$A$1:$H$389,7,0),"")</f>
        <v>RITA ANDRADE</v>
      </c>
      <c r="D1141" t="str">
        <f>IFERROR(VLOOKUP(Tabela1[[#This Row],[CC]],CC!$A$1:$I$3869,3,0),"")</f>
        <v>BRADESCO</v>
      </c>
      <c r="E1141" t="str">
        <f>IFERROR(VLOOKUP(Tabela1[[#This Row],[CC]],CC!$A$1:$H$389,2,0),"")</f>
        <v>BRADESCO - DS 2 (1294)</v>
      </c>
      <c r="F1141" t="s">
        <v>586</v>
      </c>
      <c r="G1141" s="107">
        <v>4434</v>
      </c>
      <c r="H1141" s="12">
        <v>45901</v>
      </c>
      <c r="I1141" s="24">
        <v>247341.23</v>
      </c>
      <c r="J1141" s="28">
        <v>232129.74</v>
      </c>
      <c r="K1141" s="3">
        <v>45944</v>
      </c>
      <c r="L1141" s="91">
        <v>45957</v>
      </c>
      <c r="M1141" s="11">
        <v>45959</v>
      </c>
      <c r="N1141" s="1" t="s">
        <v>588</v>
      </c>
      <c r="O1141" s="35">
        <v>0</v>
      </c>
      <c r="P1141"/>
      <c r="Q1141" t="str">
        <f>IFERROR(VLOOKUP(Tabela1[[#This Row],[CC]],CC!$A$1:$H$389,5,0),"")</f>
        <v>ADS</v>
      </c>
      <c r="R1141" t="str">
        <f>IFERROR(VLOOKUP(Tabela1[[#This Row],[CC]],CC!$A$1:$H$389,6,0),"")</f>
        <v>FS</v>
      </c>
      <c r="S1141" t="str">
        <f>IFERROR(VLOOKUP(Tabela1[[#This Row],[CC]],CC!$A$1:$H$403,8,0),"")</f>
        <v>OP1</v>
      </c>
    </row>
    <row r="1142" spans="1:19" x14ac:dyDescent="0.3">
      <c r="A1142" s="25">
        <v>1294</v>
      </c>
      <c r="B1142" s="25" t="str">
        <f>IFERROR(VLOOKUP(Tabela1[[#This Row],[CC]],#REF!,5,0),"")</f>
        <v/>
      </c>
      <c r="C1142" t="str">
        <f>IFERROR(VLOOKUP(Tabela1[[#This Row],[CC]],CC!$A$1:$H$389,7,0),"")</f>
        <v>RITA ANDRADE</v>
      </c>
      <c r="D1142" t="str">
        <f>IFERROR(VLOOKUP(Tabela1[[#This Row],[CC]],CC!$A$1:$I$3869,3,0),"")</f>
        <v>BRADESCO</v>
      </c>
      <c r="E1142" t="str">
        <f>IFERROR(VLOOKUP(Tabela1[[#This Row],[CC]],CC!$A$1:$H$389,2,0),"")</f>
        <v>BRADESCO - DS 2 (1294)</v>
      </c>
      <c r="F1142" t="s">
        <v>586</v>
      </c>
      <c r="G1142" s="107">
        <v>4436</v>
      </c>
      <c r="H1142" s="12">
        <v>45901</v>
      </c>
      <c r="I1142" s="116">
        <v>181920.64000000001</v>
      </c>
      <c r="J1142" s="28">
        <v>170732.52</v>
      </c>
      <c r="K1142" s="3">
        <v>45945</v>
      </c>
      <c r="L1142" s="91">
        <v>45957</v>
      </c>
      <c r="M1142" s="11">
        <v>45960</v>
      </c>
      <c r="N1142" s="1" t="s">
        <v>588</v>
      </c>
      <c r="O1142" s="35">
        <v>0</v>
      </c>
      <c r="P1142"/>
      <c r="Q1142" t="str">
        <f>IFERROR(VLOOKUP(Tabela1[[#This Row],[CC]],CC!$A$1:$H$389,5,0),"")</f>
        <v>ADS</v>
      </c>
      <c r="R1142" t="str">
        <f>IFERROR(VLOOKUP(Tabela1[[#This Row],[CC]],CC!$A$1:$H$389,6,0),"")</f>
        <v>FS</v>
      </c>
      <c r="S1142" t="str">
        <f>IFERROR(VLOOKUP(Tabela1[[#This Row],[CC]],CC!$A$1:$H$403,8,0),"")</f>
        <v>OP1</v>
      </c>
    </row>
    <row r="1143" spans="1:19" x14ac:dyDescent="0.3">
      <c r="A1143" s="25">
        <v>1294</v>
      </c>
      <c r="B1143" s="25" t="str">
        <f>IFERROR(VLOOKUP(Tabela1[[#This Row],[CC]],#REF!,5,0),"")</f>
        <v/>
      </c>
      <c r="C1143" t="str">
        <f>IFERROR(VLOOKUP(Tabela1[[#This Row],[CC]],CC!$A$1:$H$389,7,0),"")</f>
        <v>RITA ANDRADE</v>
      </c>
      <c r="D1143" t="str">
        <f>IFERROR(VLOOKUP(Tabela1[[#This Row],[CC]],CC!$A$1:$I$3869,3,0),"")</f>
        <v>BRADESCO</v>
      </c>
      <c r="E1143" t="str">
        <f>IFERROR(VLOOKUP(Tabela1[[#This Row],[CC]],CC!$A$1:$H$389,2,0),"")</f>
        <v>BRADESCO - DS 2 (1294)</v>
      </c>
      <c r="F1143" t="s">
        <v>586</v>
      </c>
      <c r="G1143" s="107">
        <v>4437</v>
      </c>
      <c r="H1143" s="12">
        <v>45901</v>
      </c>
      <c r="I1143" s="24">
        <v>19968.05</v>
      </c>
      <c r="J1143" s="28">
        <v>18740.02</v>
      </c>
      <c r="K1143" s="3">
        <v>45945</v>
      </c>
      <c r="L1143" s="91">
        <v>45957</v>
      </c>
      <c r="M1143" s="11">
        <v>45960</v>
      </c>
      <c r="N1143" s="1" t="s">
        <v>588</v>
      </c>
      <c r="O1143" s="35">
        <v>0</v>
      </c>
      <c r="P1143"/>
      <c r="Q1143" t="str">
        <f>IFERROR(VLOOKUP(Tabela1[[#This Row],[CC]],CC!$A$1:$H$389,5,0),"")</f>
        <v>ADS</v>
      </c>
      <c r="R1143" t="str">
        <f>IFERROR(VLOOKUP(Tabela1[[#This Row],[CC]],CC!$A$1:$H$389,6,0),"")</f>
        <v>FS</v>
      </c>
      <c r="S1143" t="str">
        <f>IFERROR(VLOOKUP(Tabela1[[#This Row],[CC]],CC!$A$1:$H$403,8,0),"")</f>
        <v>OP1</v>
      </c>
    </row>
    <row r="1144" spans="1:19" x14ac:dyDescent="0.3">
      <c r="A1144" s="25">
        <v>1285</v>
      </c>
      <c r="B1144" s="25" t="str">
        <f>IFERROR(VLOOKUP(Tabela1[[#This Row],[CC]],#REF!,5,0),"")</f>
        <v/>
      </c>
      <c r="C1144" t="str">
        <f>IFERROR(VLOOKUP(Tabela1[[#This Row],[CC]],CC!$A$1:$H$389,7,0),"")</f>
        <v>RITA ANDRADE</v>
      </c>
      <c r="D1144" t="str">
        <f>IFERROR(VLOOKUP(Tabela1[[#This Row],[CC]],CC!$A$1:$I$3869,3,0),"")</f>
        <v>BRADESCO</v>
      </c>
      <c r="E1144" t="str">
        <f>IFERROR(VLOOKUP(Tabela1[[#This Row],[CC]],CC!$A$1:$H$389,2,0),"")</f>
        <v>BRADESCO - EXPERIENCE (1285)</v>
      </c>
      <c r="F1144" t="s">
        <v>586</v>
      </c>
      <c r="G1144" s="107">
        <v>4378</v>
      </c>
      <c r="H1144" s="12">
        <v>45901</v>
      </c>
      <c r="I1144" s="24">
        <v>14477.09</v>
      </c>
      <c r="J1144" s="24">
        <v>13586.75</v>
      </c>
      <c r="K1144" s="3">
        <v>45926</v>
      </c>
      <c r="L1144" s="91">
        <v>45957</v>
      </c>
      <c r="M1144" s="11">
        <v>45957</v>
      </c>
      <c r="N1144" s="1" t="s">
        <v>588</v>
      </c>
      <c r="O1144" s="35">
        <v>0</v>
      </c>
      <c r="P1144" s="26"/>
      <c r="Q1144" t="str">
        <f>IFERROR(VLOOKUP(Tabela1[[#This Row],[CC]],CC!$A$1:$H$389,5,0),"")</f>
        <v>ADS</v>
      </c>
      <c r="R1144" t="str">
        <f>IFERROR(VLOOKUP(Tabela1[[#This Row],[CC]],CC!$A$1:$H$389,6,0),"")</f>
        <v>FS</v>
      </c>
      <c r="S1144" t="str">
        <f>IFERROR(VLOOKUP(Tabela1[[#This Row],[CC]],CC!$A$1:$H$403,8,0),"")</f>
        <v>OP1</v>
      </c>
    </row>
    <row r="1145" spans="1:19" x14ac:dyDescent="0.3">
      <c r="A1145" s="25">
        <v>1285</v>
      </c>
      <c r="B1145" s="25" t="str">
        <f>IFERROR(VLOOKUP(Tabela1[[#This Row],[CC]],#REF!,5,0),"")</f>
        <v/>
      </c>
      <c r="C1145" t="str">
        <f>IFERROR(VLOOKUP(Tabela1[[#This Row],[CC]],CC!$A$1:$H$389,7,0),"")</f>
        <v>RITA ANDRADE</v>
      </c>
      <c r="D1145" t="str">
        <f>IFERROR(VLOOKUP(Tabela1[[#This Row],[CC]],CC!$A$1:$I$3869,3,0),"")</f>
        <v>BRADESCO</v>
      </c>
      <c r="E1145" t="str">
        <f>IFERROR(VLOOKUP(Tabela1[[#This Row],[CC]],CC!$A$1:$H$389,2,0),"")</f>
        <v>BRADESCO - EXPERIENCE (1285)</v>
      </c>
      <c r="F1145" t="s">
        <v>586</v>
      </c>
      <c r="G1145" s="107">
        <v>4381</v>
      </c>
      <c r="H1145" s="12">
        <v>45901</v>
      </c>
      <c r="I1145" s="24">
        <v>27966.16</v>
      </c>
      <c r="J1145" s="24">
        <v>26246.240000000002</v>
      </c>
      <c r="K1145" s="3">
        <v>45930</v>
      </c>
      <c r="L1145" s="91">
        <v>45957</v>
      </c>
      <c r="M1145" s="11">
        <v>45960</v>
      </c>
      <c r="N1145" s="1" t="s">
        <v>588</v>
      </c>
      <c r="O1145" s="35">
        <v>0</v>
      </c>
      <c r="P1145" s="26"/>
      <c r="Q1145" t="str">
        <f>IFERROR(VLOOKUP(Tabela1[[#This Row],[CC]],CC!$A$1:$H$389,5,0),"")</f>
        <v>ADS</v>
      </c>
      <c r="R1145" t="str">
        <f>IFERROR(VLOOKUP(Tabela1[[#This Row],[CC]],CC!$A$1:$H$389,6,0),"")</f>
        <v>FS</v>
      </c>
      <c r="S1145" t="str">
        <f>IFERROR(VLOOKUP(Tabela1[[#This Row],[CC]],CC!$A$1:$H$403,8,0),"")</f>
        <v>OP1</v>
      </c>
    </row>
    <row r="1146" spans="1:19" x14ac:dyDescent="0.3">
      <c r="A1146" s="25">
        <v>1292</v>
      </c>
      <c r="B1146" s="25" t="str">
        <f>IFERROR(VLOOKUP(Tabela1[[#This Row],[CC]],#REF!,5,0),"")</f>
        <v/>
      </c>
      <c r="C1146" t="str">
        <f>IFERROR(VLOOKUP(Tabela1[[#This Row],[CC]],CC!$A$1:$H$389,7,0),"")</f>
        <v>RITA ANDRADE</v>
      </c>
      <c r="D1146" t="str">
        <f>IFERROR(VLOOKUP(Tabela1[[#This Row],[CC]],CC!$A$1:$I$3869,3,0),"")</f>
        <v>BRADESCO_SEGUROS</v>
      </c>
      <c r="E1146" t="str">
        <f>IFERROR(VLOOKUP(Tabela1[[#This Row],[CC]],CC!$A$1:$H$389,2,0),"")</f>
        <v>BRADESCO - SEGUROS (1292)</v>
      </c>
      <c r="F1146" t="s">
        <v>586</v>
      </c>
      <c r="G1146" s="107">
        <v>4393</v>
      </c>
      <c r="H1146" s="12">
        <v>45901</v>
      </c>
      <c r="I1146" s="24">
        <v>31008</v>
      </c>
      <c r="J1146" s="24">
        <v>29101.01</v>
      </c>
      <c r="K1146" s="3">
        <v>45933</v>
      </c>
      <c r="L1146" s="91">
        <v>45950</v>
      </c>
      <c r="M1146" s="11">
        <v>45950</v>
      </c>
      <c r="N1146" s="1" t="s">
        <v>588</v>
      </c>
      <c r="O1146" s="35">
        <v>0</v>
      </c>
      <c r="P1146"/>
      <c r="Q1146" t="str">
        <f>IFERROR(VLOOKUP(Tabela1[[#This Row],[CC]],CC!$A$1:$H$389,5,0),"")</f>
        <v>ADS</v>
      </c>
      <c r="R1146" t="str">
        <f>IFERROR(VLOOKUP(Tabela1[[#This Row],[CC]],CC!$A$1:$H$389,6,0),"")</f>
        <v>FS</v>
      </c>
      <c r="S1146" t="str">
        <f>IFERROR(VLOOKUP(Tabela1[[#This Row],[CC]],CC!$A$1:$H$403,8,0),"")</f>
        <v>OP1</v>
      </c>
    </row>
    <row r="1147" spans="1:19" x14ac:dyDescent="0.3">
      <c r="A1147" s="25">
        <v>1292</v>
      </c>
      <c r="B1147" s="25" t="str">
        <f>IFERROR(VLOOKUP(Tabela1[[#This Row],[CC]],#REF!,5,0),"")</f>
        <v/>
      </c>
      <c r="C1147" t="str">
        <f>IFERROR(VLOOKUP(Tabela1[[#This Row],[CC]],CC!$A$1:$H$389,7,0),"")</f>
        <v>RITA ANDRADE</v>
      </c>
      <c r="D1147" t="str">
        <f>IFERROR(VLOOKUP(Tabela1[[#This Row],[CC]],CC!$A$1:$I$3869,3,0),"")</f>
        <v>BRADESCO_SEGUROS</v>
      </c>
      <c r="E1147" t="str">
        <f>IFERROR(VLOOKUP(Tabela1[[#This Row],[CC]],CC!$A$1:$H$389,2,0),"")</f>
        <v>BRADESCO - SEGUROS (1292)</v>
      </c>
      <c r="F1147" t="s">
        <v>586</v>
      </c>
      <c r="G1147" s="107">
        <v>4408</v>
      </c>
      <c r="H1147" s="12">
        <v>45901</v>
      </c>
      <c r="I1147" s="24">
        <v>126157</v>
      </c>
      <c r="J1147" s="24">
        <v>118398.34</v>
      </c>
      <c r="K1147" s="3">
        <v>45937</v>
      </c>
      <c r="L1147" s="91">
        <v>45950</v>
      </c>
      <c r="M1147" s="11">
        <v>45952</v>
      </c>
      <c r="N1147" s="1" t="s">
        <v>588</v>
      </c>
      <c r="O1147" s="35">
        <v>0</v>
      </c>
      <c r="P1147"/>
      <c r="Q1147" t="str">
        <f>IFERROR(VLOOKUP(Tabela1[[#This Row],[CC]],CC!$A$1:$H$389,5,0),"")</f>
        <v>ADS</v>
      </c>
      <c r="R1147" t="str">
        <f>IFERROR(VLOOKUP(Tabela1[[#This Row],[CC]],CC!$A$1:$H$389,6,0),"")</f>
        <v>FS</v>
      </c>
      <c r="S1147" t="str">
        <f>IFERROR(VLOOKUP(Tabela1[[#This Row],[CC]],CC!$A$1:$H$403,8,0),"")</f>
        <v>OP1</v>
      </c>
    </row>
    <row r="1148" spans="1:19" x14ac:dyDescent="0.3">
      <c r="A1148" s="25">
        <v>1292</v>
      </c>
      <c r="B1148" s="25" t="str">
        <f>IFERROR(VLOOKUP(Tabela1[[#This Row],[CC]],#REF!,5,0),"")</f>
        <v/>
      </c>
      <c r="C1148" t="str">
        <f>IFERROR(VLOOKUP(Tabela1[[#This Row],[CC]],CC!$A$1:$H$389,7,0),"")</f>
        <v>RITA ANDRADE</v>
      </c>
      <c r="D1148" t="str">
        <f>IFERROR(VLOOKUP(Tabela1[[#This Row],[CC]],CC!$A$1:$I$3869,3,0),"")</f>
        <v>BRADESCO_SEGUROS</v>
      </c>
      <c r="E1148" t="str">
        <f>IFERROR(VLOOKUP(Tabela1[[#This Row],[CC]],CC!$A$1:$H$389,2,0),"")</f>
        <v>BRADESCO - SEGUROS (1292)</v>
      </c>
      <c r="F1148" t="s">
        <v>586</v>
      </c>
      <c r="G1148" s="107">
        <v>4409</v>
      </c>
      <c r="H1148" s="12">
        <v>45901</v>
      </c>
      <c r="I1148" s="24">
        <v>6137.45</v>
      </c>
      <c r="J1148" s="24">
        <v>5760</v>
      </c>
      <c r="K1148" s="3">
        <v>45938</v>
      </c>
      <c r="L1148" s="91">
        <v>45971</v>
      </c>
      <c r="M1148" s="11">
        <v>45972</v>
      </c>
      <c r="N1148" s="1" t="s">
        <v>588</v>
      </c>
      <c r="O1148" s="35">
        <v>0</v>
      </c>
      <c r="P1148"/>
      <c r="Q1148" t="str">
        <f>IFERROR(VLOOKUP(Tabela1[[#This Row],[CC]],CC!$A$1:$H$389,5,0),"")</f>
        <v>ADS</v>
      </c>
      <c r="R1148" t="str">
        <f>IFERROR(VLOOKUP(Tabela1[[#This Row],[CC]],CC!$A$1:$H$389,6,0),"")</f>
        <v>FS</v>
      </c>
      <c r="S1148" t="str">
        <f>IFERROR(VLOOKUP(Tabela1[[#This Row],[CC]],CC!$A$1:$H$403,8,0),"")</f>
        <v>OP1</v>
      </c>
    </row>
    <row r="1149" spans="1:19" x14ac:dyDescent="0.3">
      <c r="A1149" s="25">
        <v>1292</v>
      </c>
      <c r="B1149" s="25" t="str">
        <f>IFERROR(VLOOKUP(Tabela1[[#This Row],[CC]],#REF!,5,0),"")</f>
        <v/>
      </c>
      <c r="C1149" t="str">
        <f>IFERROR(VLOOKUP(Tabela1[[#This Row],[CC]],CC!$A$1:$H$389,7,0),"")</f>
        <v>RITA ANDRADE</v>
      </c>
      <c r="D1149" t="str">
        <f>IFERROR(VLOOKUP(Tabela1[[#This Row],[CC]],CC!$A$1:$I$3869,3,0),"")</f>
        <v>BRADESCO_SEGUROS</v>
      </c>
      <c r="E1149" t="str">
        <f>IFERROR(VLOOKUP(Tabela1[[#This Row],[CC]],CC!$A$1:$H$389,2,0),"")</f>
        <v>BRADESCO - SEGUROS (1292)</v>
      </c>
      <c r="F1149" t="s">
        <v>586</v>
      </c>
      <c r="G1149" s="107">
        <v>4410</v>
      </c>
      <c r="H1149" s="12">
        <v>45901</v>
      </c>
      <c r="I1149" s="24">
        <v>6137.45</v>
      </c>
      <c r="J1149" s="24">
        <v>5760</v>
      </c>
      <c r="K1149" s="3">
        <v>45938</v>
      </c>
      <c r="L1149" s="91">
        <v>45971</v>
      </c>
      <c r="M1149" s="11">
        <v>45972</v>
      </c>
      <c r="N1149" s="1" t="s">
        <v>588</v>
      </c>
      <c r="O1149" s="35">
        <v>0</v>
      </c>
      <c r="P1149"/>
      <c r="Q1149" t="str">
        <f>IFERROR(VLOOKUP(Tabela1[[#This Row],[CC]],CC!$A$1:$H$389,5,0),"")</f>
        <v>ADS</v>
      </c>
      <c r="R1149" t="str">
        <f>IFERROR(VLOOKUP(Tabela1[[#This Row],[CC]],CC!$A$1:$H$389,6,0),"")</f>
        <v>FS</v>
      </c>
      <c r="S1149" t="str">
        <f>IFERROR(VLOOKUP(Tabela1[[#This Row],[CC]],CC!$A$1:$H$403,8,0),"")</f>
        <v>OP1</v>
      </c>
    </row>
    <row r="1150" spans="1:19" x14ac:dyDescent="0.3">
      <c r="A1150" s="25">
        <v>1292</v>
      </c>
      <c r="B1150" s="25" t="str">
        <f>IFERROR(VLOOKUP(Tabela1[[#This Row],[CC]],#REF!,5,0),"")</f>
        <v/>
      </c>
      <c r="C1150" t="str">
        <f>IFERROR(VLOOKUP(Tabela1[[#This Row],[CC]],CC!$A$1:$H$389,7,0),"")</f>
        <v>RITA ANDRADE</v>
      </c>
      <c r="D1150" t="str">
        <f>IFERROR(VLOOKUP(Tabela1[[#This Row],[CC]],CC!$A$1:$I$3869,3,0),"")</f>
        <v>BRADESCO_SEGUROS</v>
      </c>
      <c r="E1150" t="str">
        <f>IFERROR(VLOOKUP(Tabela1[[#This Row],[CC]],CC!$A$1:$H$389,2,0),"")</f>
        <v>BRADESCO - SEGUROS (1292)</v>
      </c>
      <c r="F1150" t="s">
        <v>586</v>
      </c>
      <c r="G1150" s="107">
        <v>4411</v>
      </c>
      <c r="H1150" s="12">
        <v>45901</v>
      </c>
      <c r="I1150" s="24">
        <v>6137.45</v>
      </c>
      <c r="J1150" s="24">
        <v>5760</v>
      </c>
      <c r="K1150" s="3">
        <v>45938</v>
      </c>
      <c r="L1150" s="91">
        <v>45971</v>
      </c>
      <c r="M1150" s="11">
        <v>45972</v>
      </c>
      <c r="N1150" s="1" t="s">
        <v>588</v>
      </c>
      <c r="O1150" s="35">
        <v>0</v>
      </c>
      <c r="P1150"/>
      <c r="Q1150" t="str">
        <f>IFERROR(VLOOKUP(Tabela1[[#This Row],[CC]],CC!$A$1:$H$389,5,0),"")</f>
        <v>ADS</v>
      </c>
      <c r="R1150" t="str">
        <f>IFERROR(VLOOKUP(Tabela1[[#This Row],[CC]],CC!$A$1:$H$389,6,0),"")</f>
        <v>FS</v>
      </c>
      <c r="S1150" t="str">
        <f>IFERROR(VLOOKUP(Tabela1[[#This Row],[CC]],CC!$A$1:$H$403,8,0),"")</f>
        <v>OP1</v>
      </c>
    </row>
    <row r="1151" spans="1:19" x14ac:dyDescent="0.3">
      <c r="A1151" s="25">
        <v>1292</v>
      </c>
      <c r="B1151" s="25" t="str">
        <f>IFERROR(VLOOKUP(Tabela1[[#This Row],[CC]],#REF!,5,0),"")</f>
        <v/>
      </c>
      <c r="C1151" t="str">
        <f>IFERROR(VLOOKUP(Tabela1[[#This Row],[CC]],CC!$A$1:$H$389,7,0),"")</f>
        <v>RITA ANDRADE</v>
      </c>
      <c r="D1151" t="str">
        <f>IFERROR(VLOOKUP(Tabela1[[#This Row],[CC]],CC!$A$1:$I$3869,3,0),"")</f>
        <v>BRADESCO_SEGUROS</v>
      </c>
      <c r="E1151" t="str">
        <f>IFERROR(VLOOKUP(Tabela1[[#This Row],[CC]],CC!$A$1:$H$389,2,0),"")</f>
        <v>BRADESCO - SEGUROS (1292)</v>
      </c>
      <c r="F1151" t="s">
        <v>586</v>
      </c>
      <c r="G1151" s="107">
        <v>4412</v>
      </c>
      <c r="H1151" s="12">
        <v>45901</v>
      </c>
      <c r="I1151" s="24">
        <v>6137.45</v>
      </c>
      <c r="J1151" s="24">
        <v>5760</v>
      </c>
      <c r="K1151" s="3">
        <v>45938</v>
      </c>
      <c r="L1151" s="91">
        <v>45971</v>
      </c>
      <c r="M1151" s="11">
        <v>45972</v>
      </c>
      <c r="N1151" s="1" t="s">
        <v>588</v>
      </c>
      <c r="O1151" s="35">
        <v>0</v>
      </c>
      <c r="P1151"/>
      <c r="Q1151" t="str">
        <f>IFERROR(VLOOKUP(Tabela1[[#This Row],[CC]],CC!$A$1:$H$389,5,0),"")</f>
        <v>ADS</v>
      </c>
      <c r="R1151" t="str">
        <f>IFERROR(VLOOKUP(Tabela1[[#This Row],[CC]],CC!$A$1:$H$389,6,0),"")</f>
        <v>FS</v>
      </c>
      <c r="S1151" t="str">
        <f>IFERROR(VLOOKUP(Tabela1[[#This Row],[CC]],CC!$A$1:$H$403,8,0),"")</f>
        <v>OP1</v>
      </c>
    </row>
    <row r="1152" spans="1:19" x14ac:dyDescent="0.3">
      <c r="A1152" s="25">
        <v>1292</v>
      </c>
      <c r="B1152" s="25" t="str">
        <f>IFERROR(VLOOKUP(Tabela1[[#This Row],[CC]],#REF!,5,0),"")</f>
        <v/>
      </c>
      <c r="C1152" t="str">
        <f>IFERROR(VLOOKUP(Tabela1[[#This Row],[CC]],CC!$A$1:$H$389,7,0),"")</f>
        <v>RITA ANDRADE</v>
      </c>
      <c r="D1152" t="str">
        <f>IFERROR(VLOOKUP(Tabela1[[#This Row],[CC]],CC!$A$1:$I$3869,3,0),"")</f>
        <v>BRADESCO_SEGUROS</v>
      </c>
      <c r="E1152" t="str">
        <f>IFERROR(VLOOKUP(Tabela1[[#This Row],[CC]],CC!$A$1:$H$389,2,0),"")</f>
        <v>BRADESCO - SEGUROS (1292)</v>
      </c>
      <c r="F1152" t="s">
        <v>586</v>
      </c>
      <c r="G1152" s="107">
        <v>4413</v>
      </c>
      <c r="H1152" s="12">
        <v>45901</v>
      </c>
      <c r="I1152" s="24">
        <v>54288</v>
      </c>
      <c r="J1152" s="24">
        <v>50949.29</v>
      </c>
      <c r="K1152" s="3">
        <v>45938</v>
      </c>
      <c r="L1152" s="91">
        <v>45950</v>
      </c>
      <c r="M1152" s="11">
        <v>45953</v>
      </c>
      <c r="N1152" s="1" t="s">
        <v>588</v>
      </c>
      <c r="O1152" s="35">
        <v>0</v>
      </c>
      <c r="P1152"/>
      <c r="Q1152" t="str">
        <f>IFERROR(VLOOKUP(Tabela1[[#This Row],[CC]],CC!$A$1:$H$389,5,0),"")</f>
        <v>ADS</v>
      </c>
      <c r="R1152" t="str">
        <f>IFERROR(VLOOKUP(Tabela1[[#This Row],[CC]],CC!$A$1:$H$389,6,0),"")</f>
        <v>FS</v>
      </c>
      <c r="S1152" t="str">
        <f>IFERROR(VLOOKUP(Tabela1[[#This Row],[CC]],CC!$A$1:$H$403,8,0),"")</f>
        <v>OP1</v>
      </c>
    </row>
    <row r="1153" spans="1:19" x14ac:dyDescent="0.3">
      <c r="A1153" s="25">
        <v>1292</v>
      </c>
      <c r="B1153" s="25" t="str">
        <f>IFERROR(VLOOKUP(Tabela1[[#This Row],[CC]],#REF!,5,0),"")</f>
        <v/>
      </c>
      <c r="C1153" t="str">
        <f>IFERROR(VLOOKUP(Tabela1[[#This Row],[CC]],CC!$A$1:$H$389,7,0),"")</f>
        <v>RITA ANDRADE</v>
      </c>
      <c r="D1153" t="str">
        <f>IFERROR(VLOOKUP(Tabela1[[#This Row],[CC]],CC!$A$1:$I$3869,3,0),"")</f>
        <v>BRADESCO_SEGUROS</v>
      </c>
      <c r="E1153" t="str">
        <f>IFERROR(VLOOKUP(Tabela1[[#This Row],[CC]],CC!$A$1:$H$389,2,0),"")</f>
        <v>BRADESCO - SEGUROS (1292)</v>
      </c>
      <c r="F1153" t="s">
        <v>586</v>
      </c>
      <c r="G1153" s="107">
        <v>4426</v>
      </c>
      <c r="H1153" s="12">
        <v>45901</v>
      </c>
      <c r="I1153" s="24">
        <v>34633.19</v>
      </c>
      <c r="J1153" s="24">
        <v>32503.25</v>
      </c>
      <c r="K1153" s="3">
        <v>45943</v>
      </c>
      <c r="L1153" s="91">
        <v>45957</v>
      </c>
      <c r="M1153" s="11">
        <v>45958</v>
      </c>
      <c r="N1153" s="1" t="s">
        <v>588</v>
      </c>
      <c r="O1153" s="35">
        <v>0</v>
      </c>
      <c r="P1153"/>
      <c r="Q1153" t="str">
        <f>IFERROR(VLOOKUP(Tabela1[[#This Row],[CC]],CC!$A$1:$H$389,5,0),"")</f>
        <v>ADS</v>
      </c>
      <c r="R1153" t="str">
        <f>IFERROR(VLOOKUP(Tabela1[[#This Row],[CC]],CC!$A$1:$H$389,6,0),"")</f>
        <v>FS</v>
      </c>
      <c r="S1153" t="str">
        <f>IFERROR(VLOOKUP(Tabela1[[#This Row],[CC]],CC!$A$1:$H$403,8,0),"")</f>
        <v>OP1</v>
      </c>
    </row>
    <row r="1154" spans="1:19" x14ac:dyDescent="0.3">
      <c r="A1154" s="25">
        <v>1507</v>
      </c>
      <c r="B1154" s="25" t="str">
        <f>IFERROR(VLOOKUP(Tabela1[[#This Row],[CC]],#REF!,5,0),"")</f>
        <v/>
      </c>
      <c r="C1154" t="str">
        <f>IFERROR(VLOOKUP(Tabela1[[#This Row],[CC]],CC!$A$1:$H$389,7,0),"")</f>
        <v>RITA ANDRADE</v>
      </c>
      <c r="D1154" t="str">
        <f>IFERROR(VLOOKUP(Tabela1[[#This Row],[CC]],CC!$A$1:$I$3869,3,0),"")</f>
        <v>BRADESCO_SEGUROS</v>
      </c>
      <c r="E1154" t="str">
        <f>IFERROR(VLOOKUP(Tabela1[[#This Row],[CC]],CC!$A$1:$H$389,2,0),"")</f>
        <v>BRADESCO SEGUROS (ADS) – BS2 (1507)</v>
      </c>
      <c r="F1154" t="s">
        <v>586</v>
      </c>
      <c r="G1154" s="107">
        <v>4394</v>
      </c>
      <c r="H1154" s="12">
        <v>45901</v>
      </c>
      <c r="I1154" s="24">
        <v>48434.61</v>
      </c>
      <c r="J1154" s="24">
        <v>45455.88</v>
      </c>
      <c r="K1154" s="3">
        <v>45933</v>
      </c>
      <c r="L1154" s="91">
        <v>45943</v>
      </c>
      <c r="M1154" s="11">
        <v>45947</v>
      </c>
      <c r="N1154" s="1" t="s">
        <v>588</v>
      </c>
      <c r="O1154" s="35">
        <v>0</v>
      </c>
      <c r="P1154"/>
      <c r="Q1154" t="str">
        <f>IFERROR(VLOOKUP(Tabela1[[#This Row],[CC]],CC!$A$1:$H$389,5,0),"")</f>
        <v>ADS</v>
      </c>
      <c r="R1154" t="str">
        <f>IFERROR(VLOOKUP(Tabela1[[#This Row],[CC]],CC!$A$1:$H$389,6,0),"")</f>
        <v>FS</v>
      </c>
      <c r="S1154" t="str">
        <f>IFERROR(VLOOKUP(Tabela1[[#This Row],[CC]],CC!$A$1:$H$403,8,0),"")</f>
        <v>OP1</v>
      </c>
    </row>
    <row r="1155" spans="1:19" x14ac:dyDescent="0.3">
      <c r="A1155" s="25">
        <v>1507</v>
      </c>
      <c r="B1155" s="25" t="str">
        <f>IFERROR(VLOOKUP(Tabela1[[#This Row],[CC]],#REF!,5,0),"")</f>
        <v/>
      </c>
      <c r="C1155" t="str">
        <f>IFERROR(VLOOKUP(Tabela1[[#This Row],[CC]],CC!$A$1:$H$389,7,0),"")</f>
        <v>RITA ANDRADE</v>
      </c>
      <c r="D1155" t="str">
        <f>IFERROR(VLOOKUP(Tabela1[[#This Row],[CC]],CC!$A$1:$I$3869,3,0),"")</f>
        <v>BRADESCO_SEGUROS</v>
      </c>
      <c r="E1155" t="str">
        <f>IFERROR(VLOOKUP(Tabela1[[#This Row],[CC]],CC!$A$1:$H$389,2,0),"")</f>
        <v>BRADESCO SEGUROS (ADS) – BS2 (1507)</v>
      </c>
      <c r="F1155" t="s">
        <v>586</v>
      </c>
      <c r="G1155" s="107">
        <v>4395</v>
      </c>
      <c r="H1155" s="12">
        <v>45901</v>
      </c>
      <c r="I1155" s="24">
        <v>48434.61</v>
      </c>
      <c r="J1155" s="24">
        <v>45455.88</v>
      </c>
      <c r="K1155" s="3">
        <v>45933</v>
      </c>
      <c r="L1155" s="91">
        <v>45943</v>
      </c>
      <c r="M1155" s="11">
        <v>45947</v>
      </c>
      <c r="N1155" s="1" t="s">
        <v>588</v>
      </c>
      <c r="O1155" s="35">
        <v>0</v>
      </c>
      <c r="P1155"/>
      <c r="Q1155" t="str">
        <f>IFERROR(VLOOKUP(Tabela1[[#This Row],[CC]],CC!$A$1:$H$389,5,0),"")</f>
        <v>ADS</v>
      </c>
      <c r="R1155" t="str">
        <f>IFERROR(VLOOKUP(Tabela1[[#This Row],[CC]],CC!$A$1:$H$389,6,0),"")</f>
        <v>FS</v>
      </c>
      <c r="S1155" t="str">
        <f>IFERROR(VLOOKUP(Tabela1[[#This Row],[CC]],CC!$A$1:$H$403,8,0),"")</f>
        <v>OP1</v>
      </c>
    </row>
    <row r="1156" spans="1:19" x14ac:dyDescent="0.3">
      <c r="A1156" s="25">
        <v>1484</v>
      </c>
      <c r="B1156" s="25" t="str">
        <f>IFERROR(VLOOKUP(Tabela1[[#This Row],[CC]],#REF!,5,0),"")</f>
        <v/>
      </c>
      <c r="C1156" t="str">
        <f>IFERROR(VLOOKUP(Tabela1[[#This Row],[CC]],CC!$A$1:$H$389,7,0),"")</f>
        <v>RITA ANDRADE</v>
      </c>
      <c r="D1156" t="str">
        <f>IFERROR(VLOOKUP(Tabela1[[#This Row],[CC]],CC!$A$1:$I$3869,3,0),"")</f>
        <v>BRADESCO_SEGUROS</v>
      </c>
      <c r="E1156" t="str">
        <f>IFERROR(VLOOKUP(Tabela1[[#This Row],[CC]],CC!$A$1:$H$389,2,0),"")</f>
        <v>BRADESCO - SEGUROS (BPS) (1484)</v>
      </c>
      <c r="F1156" t="s">
        <v>586</v>
      </c>
      <c r="G1156" s="107">
        <v>4389</v>
      </c>
      <c r="H1156" s="12">
        <v>45901</v>
      </c>
      <c r="I1156" s="24">
        <v>42265.08</v>
      </c>
      <c r="J1156" s="24">
        <v>39665.78</v>
      </c>
      <c r="K1156" s="3">
        <v>45932</v>
      </c>
      <c r="L1156" s="91">
        <v>45971</v>
      </c>
      <c r="M1156" s="11">
        <v>45974</v>
      </c>
      <c r="N1156" s="1" t="s">
        <v>588</v>
      </c>
      <c r="O1156" s="35">
        <v>0</v>
      </c>
      <c r="P1156"/>
      <c r="Q1156" t="str">
        <f>IFERROR(VLOOKUP(Tabela1[[#This Row],[CC]],CC!$A$1:$H$389,5,0),"")</f>
        <v>BPS</v>
      </c>
      <c r="R1156" t="str">
        <f>IFERROR(VLOOKUP(Tabela1[[#This Row],[CC]],CC!$A$1:$H$389,6,0),"")</f>
        <v>FS</v>
      </c>
      <c r="S1156" t="str">
        <f>IFERROR(VLOOKUP(Tabela1[[#This Row],[CC]],CC!$A$1:$H$403,8,0),"")</f>
        <v>OP1</v>
      </c>
    </row>
    <row r="1157" spans="1:19" x14ac:dyDescent="0.3">
      <c r="A1157" s="25">
        <v>1484</v>
      </c>
      <c r="B1157" s="25" t="str">
        <f>IFERROR(VLOOKUP(Tabela1[[#This Row],[CC]],#REF!,5,0),"")</f>
        <v/>
      </c>
      <c r="C1157" t="str">
        <f>IFERROR(VLOOKUP(Tabela1[[#This Row],[CC]],CC!$A$1:$H$389,7,0),"")</f>
        <v>RITA ANDRADE</v>
      </c>
      <c r="D1157" t="str">
        <f>IFERROR(VLOOKUP(Tabela1[[#This Row],[CC]],CC!$A$1:$I$3869,3,0),"")</f>
        <v>BRADESCO_SEGUROS</v>
      </c>
      <c r="E1157" t="str">
        <f>IFERROR(VLOOKUP(Tabela1[[#This Row],[CC]],CC!$A$1:$H$389,2,0),"")</f>
        <v>BRADESCO - SEGUROS (BPS) (1484)</v>
      </c>
      <c r="F1157" t="s">
        <v>586</v>
      </c>
      <c r="G1157" s="107">
        <v>4390</v>
      </c>
      <c r="H1157" s="12">
        <v>45901</v>
      </c>
      <c r="I1157" s="24">
        <v>36601.06</v>
      </c>
      <c r="J1157" s="24">
        <v>34350.089999999997</v>
      </c>
      <c r="K1157" s="3">
        <v>45932</v>
      </c>
      <c r="L1157" s="91">
        <v>45943</v>
      </c>
      <c r="M1157" s="11">
        <v>45947</v>
      </c>
      <c r="N1157" s="1" t="s">
        <v>588</v>
      </c>
      <c r="O1157" s="35">
        <v>0</v>
      </c>
      <c r="P1157"/>
      <c r="Q1157" t="str">
        <f>IFERROR(VLOOKUP(Tabela1[[#This Row],[CC]],CC!$A$1:$H$389,5,0),"")</f>
        <v>BPS</v>
      </c>
      <c r="R1157" t="str">
        <f>IFERROR(VLOOKUP(Tabela1[[#This Row],[CC]],CC!$A$1:$H$389,6,0),"")</f>
        <v>FS</v>
      </c>
      <c r="S1157" t="str">
        <f>IFERROR(VLOOKUP(Tabela1[[#This Row],[CC]],CC!$A$1:$H$403,8,0),"")</f>
        <v>OP1</v>
      </c>
    </row>
    <row r="1158" spans="1:19" x14ac:dyDescent="0.3">
      <c r="A1158" s="25">
        <v>1398</v>
      </c>
      <c r="B1158" s="25" t="str">
        <f>IFERROR(VLOOKUP(Tabela1[[#This Row],[CC]],#REF!,5,0),"")</f>
        <v/>
      </c>
      <c r="C1158" t="str">
        <f>IFERROR(VLOOKUP(Tabela1[[#This Row],[CC]],CC!$A$1:$H$389,7,0),"")</f>
        <v>RODRIGO CORUMBA</v>
      </c>
      <c r="D1158" t="str">
        <f>IFERROR(VLOOKUP(Tabela1[[#This Row],[CC]],CC!$A$1:$I$3869,3,0),"")</f>
        <v>COMPASS</v>
      </c>
      <c r="E1158" t="str">
        <f>IFERROR(VLOOKUP(Tabela1[[#This Row],[CC]],CC!$A$1:$H$389,2,0),"")</f>
        <v>COMPASS (1398)</v>
      </c>
      <c r="F1158" t="s">
        <v>586</v>
      </c>
      <c r="G1158" s="107">
        <v>8037</v>
      </c>
      <c r="H1158" s="12">
        <v>45505</v>
      </c>
      <c r="I1158" s="27">
        <v>1309.3599999999999</v>
      </c>
      <c r="J1158" s="27">
        <v>1146.71</v>
      </c>
      <c r="K1158" s="3">
        <v>45561</v>
      </c>
      <c r="L1158" s="91">
        <v>45985</v>
      </c>
      <c r="M1158" s="11">
        <v>45987</v>
      </c>
      <c r="N1158" s="18" t="s">
        <v>588</v>
      </c>
      <c r="O1158" s="35">
        <v>0</v>
      </c>
      <c r="P1158"/>
      <c r="Q1158" t="str">
        <f>IFERROR(VLOOKUP(Tabela1[[#This Row],[CC]],CC!$A$1:$H$389,5,0),"")</f>
        <v>CSA</v>
      </c>
      <c r="R1158" t="str">
        <f>IFERROR(VLOOKUP(Tabela1[[#This Row],[CC]],CC!$A$1:$H$389,6,0),"")</f>
        <v>UT</v>
      </c>
      <c r="S1158" t="str">
        <f>IFERROR(VLOOKUP(Tabela1[[#This Row],[CC]],CC!$A$1:$H$403,8,0),"")</f>
        <v>OP2</v>
      </c>
    </row>
    <row r="1159" spans="1:19" x14ac:dyDescent="0.3">
      <c r="A1159" s="25">
        <v>1398</v>
      </c>
      <c r="B1159" s="25" t="str">
        <f>IFERROR(VLOOKUP(Tabela1[[#This Row],[CC]],#REF!,5,0),"")</f>
        <v/>
      </c>
      <c r="C1159" t="str">
        <f>IFERROR(VLOOKUP(Tabela1[[#This Row],[CC]],CC!$A$1:$H$389,7,0),"")</f>
        <v>RODRIGO CORUMBA</v>
      </c>
      <c r="D1159" t="str">
        <f>IFERROR(VLOOKUP(Tabela1[[#This Row],[CC]],CC!$A$1:$I$3869,3,0),"")</f>
        <v>COMPASS</v>
      </c>
      <c r="E1159" t="str">
        <f>IFERROR(VLOOKUP(Tabela1[[#This Row],[CC]],CC!$A$1:$H$389,2,0),"")</f>
        <v>COMPASS (1398)</v>
      </c>
      <c r="F1159" t="s">
        <v>586</v>
      </c>
      <c r="G1159" s="107">
        <v>8064</v>
      </c>
      <c r="H1159" s="12">
        <v>45536</v>
      </c>
      <c r="I1159" s="27">
        <v>1309.3599999999999</v>
      </c>
      <c r="J1159" s="24">
        <v>1146.71</v>
      </c>
      <c r="K1159" s="3">
        <v>45576</v>
      </c>
      <c r="L1159" s="91">
        <v>45985</v>
      </c>
      <c r="M1159" s="11">
        <v>45987</v>
      </c>
      <c r="N1159" s="18" t="s">
        <v>588</v>
      </c>
      <c r="O1159" s="35">
        <v>0</v>
      </c>
      <c r="P1159"/>
      <c r="Q1159" t="str">
        <f>IFERROR(VLOOKUP(Tabela1[[#This Row],[CC]],CC!$A$1:$H$389,5,0),"")</f>
        <v>CSA</v>
      </c>
      <c r="R1159" t="str">
        <f>IFERROR(VLOOKUP(Tabela1[[#This Row],[CC]],CC!$A$1:$H$389,6,0),"")</f>
        <v>UT</v>
      </c>
      <c r="S1159" t="str">
        <f>IFERROR(VLOOKUP(Tabela1[[#This Row],[CC]],CC!$A$1:$H$403,8,0),"")</f>
        <v>OP2</v>
      </c>
    </row>
    <row r="1160" spans="1:19" x14ac:dyDescent="0.3">
      <c r="A1160" s="25">
        <v>1398</v>
      </c>
      <c r="B1160" s="25" t="str">
        <f>IFERROR(VLOOKUP(Tabela1[[#This Row],[CC]],#REF!,5,0),"")</f>
        <v/>
      </c>
      <c r="C1160" t="str">
        <f>IFERROR(VLOOKUP(Tabela1[[#This Row],[CC]],CC!$A$1:$H$389,7,0),"")</f>
        <v>RODRIGO CORUMBA</v>
      </c>
      <c r="D1160" t="str">
        <f>IFERROR(VLOOKUP(Tabela1[[#This Row],[CC]],CC!$A$1:$I$3869,3,0),"")</f>
        <v>COMPASS</v>
      </c>
      <c r="E1160" t="str">
        <f>IFERROR(VLOOKUP(Tabela1[[#This Row],[CC]],CC!$A$1:$H$389,2,0),"")</f>
        <v>COMPASS (1398)</v>
      </c>
      <c r="F1160" t="s">
        <v>586</v>
      </c>
      <c r="G1160" s="107">
        <v>8081</v>
      </c>
      <c r="H1160" s="12">
        <v>45566</v>
      </c>
      <c r="I1160" s="27">
        <v>1309.3599999999999</v>
      </c>
      <c r="J1160" s="24">
        <v>1146.71</v>
      </c>
      <c r="K1160" s="3">
        <v>45602</v>
      </c>
      <c r="L1160" s="91">
        <v>45985</v>
      </c>
      <c r="M1160" s="11">
        <v>45987</v>
      </c>
      <c r="N1160" s="18" t="s">
        <v>588</v>
      </c>
      <c r="O1160" s="35">
        <v>0</v>
      </c>
      <c r="P1160"/>
      <c r="Q1160" t="str">
        <f>IFERROR(VLOOKUP(Tabela1[[#This Row],[CC]],CC!$A$1:$H$389,5,0),"")</f>
        <v>CSA</v>
      </c>
      <c r="R1160" t="str">
        <f>IFERROR(VLOOKUP(Tabela1[[#This Row],[CC]],CC!$A$1:$H$389,6,0),"")</f>
        <v>UT</v>
      </c>
      <c r="S1160" t="str">
        <f>IFERROR(VLOOKUP(Tabela1[[#This Row],[CC]],CC!$A$1:$H$403,8,0),"")</f>
        <v>OP2</v>
      </c>
    </row>
    <row r="1161" spans="1:19" x14ac:dyDescent="0.3">
      <c r="A1161" s="25">
        <v>1398</v>
      </c>
      <c r="B1161" s="25" t="str">
        <f>IFERROR(VLOOKUP(Tabela1[[#This Row],[CC]],#REF!,5,0),"")</f>
        <v/>
      </c>
      <c r="C1161" t="str">
        <f>IFERROR(VLOOKUP(Tabela1[[#This Row],[CC]],CC!$A$1:$H$389,7,0),"")</f>
        <v>RODRIGO CORUMBA</v>
      </c>
      <c r="D1161" t="str">
        <f>IFERROR(VLOOKUP(Tabela1[[#This Row],[CC]],CC!$A$1:$I$3869,3,0),"")</f>
        <v>COMPASS</v>
      </c>
      <c r="E1161" t="str">
        <f>IFERROR(VLOOKUP(Tabela1[[#This Row],[CC]],CC!$A$1:$H$389,2,0),"")</f>
        <v>COMPASS (1398)</v>
      </c>
      <c r="F1161" t="s">
        <v>586</v>
      </c>
      <c r="G1161" s="107">
        <v>8138</v>
      </c>
      <c r="H1161" s="12">
        <v>45597</v>
      </c>
      <c r="I1161" s="27">
        <v>1309.3599999999999</v>
      </c>
      <c r="J1161" s="24">
        <v>1146.71</v>
      </c>
      <c r="K1161" s="3">
        <v>45636</v>
      </c>
      <c r="L1161" s="91">
        <v>45985</v>
      </c>
      <c r="M1161" s="11">
        <v>45987</v>
      </c>
      <c r="N1161" s="18" t="s">
        <v>588</v>
      </c>
      <c r="O1161" s="35">
        <v>0</v>
      </c>
      <c r="P1161"/>
      <c r="Q1161" t="str">
        <f>IFERROR(VLOOKUP(Tabela1[[#This Row],[CC]],CC!$A$1:$H$389,5,0),"")</f>
        <v>CSA</v>
      </c>
      <c r="R1161" t="str">
        <f>IFERROR(VLOOKUP(Tabela1[[#This Row],[CC]],CC!$A$1:$H$389,6,0),"")</f>
        <v>UT</v>
      </c>
      <c r="S1161" t="str">
        <f>IFERROR(VLOOKUP(Tabela1[[#This Row],[CC]],CC!$A$1:$H$403,8,0),"")</f>
        <v>OP2</v>
      </c>
    </row>
    <row r="1162" spans="1:19" x14ac:dyDescent="0.3">
      <c r="A1162" s="25">
        <v>1393</v>
      </c>
      <c r="B1162" s="25" t="str">
        <f>IFERROR(VLOOKUP(Tabela1[[#This Row],[CC]],#REF!,5,0),"")</f>
        <v/>
      </c>
      <c r="C1162" t="str">
        <f>IFERROR(VLOOKUP(Tabela1[[#This Row],[CC]],CC!$A$1:$H$389,7,0),"")</f>
        <v>ROGERIO GORDILHO</v>
      </c>
      <c r="D1162" t="str">
        <f>IFERROR(VLOOKUP(Tabela1[[#This Row],[CC]],CC!$A$1:$I$3869,3,0),"")</f>
        <v xml:space="preserve">DETRAN-BA </v>
      </c>
      <c r="E1162" t="str">
        <f>IFERROR(VLOOKUP(Tabela1[[#This Row],[CC]],CC!$A$1:$H$389,2,0),"")</f>
        <v>DETRAN - N3 (1393)</v>
      </c>
      <c r="F1162" t="s">
        <v>586</v>
      </c>
      <c r="G1162" s="107">
        <v>8564</v>
      </c>
      <c r="H1162" s="12">
        <v>45901</v>
      </c>
      <c r="I1162" s="24">
        <v>466135.96</v>
      </c>
      <c r="J1162" s="24">
        <v>418123.95</v>
      </c>
      <c r="K1162" s="3">
        <v>45945</v>
      </c>
      <c r="L1162" s="91">
        <v>45964</v>
      </c>
      <c r="M1162" s="29">
        <v>45967</v>
      </c>
      <c r="N1162" s="18" t="s">
        <v>588</v>
      </c>
      <c r="O1162" s="35"/>
      <c r="P1162" s="26"/>
      <c r="Q1162" t="str">
        <f>IFERROR(VLOOKUP(Tabela1[[#This Row],[CC]],CC!$A$1:$H$389,5,0),"")</f>
        <v>CSA</v>
      </c>
      <c r="R1162" t="str">
        <f>IFERROR(VLOOKUP(Tabela1[[#This Row],[CC]],CC!$A$1:$H$389,6,0),"")</f>
        <v>PS</v>
      </c>
      <c r="S1162" t="str">
        <f>IFERROR(VLOOKUP(Tabela1[[#This Row],[CC]],CC!$A$1:$H$403,8,0),"")</f>
        <v>OP4</v>
      </c>
    </row>
    <row r="1163" spans="1:19" x14ac:dyDescent="0.3">
      <c r="A1163" s="8">
        <v>1476</v>
      </c>
      <c r="B1163" s="8" t="str">
        <f>IFERROR(VLOOKUP(Tabela1[[#This Row],[CC]],#REF!,5,0),"")</f>
        <v/>
      </c>
      <c r="C1163" t="str">
        <f>IFERROR(VLOOKUP(Tabela1[[#This Row],[CC]],CC!$A$1:$H$389,7,0),"")</f>
        <v>ROGERIO GORDILHO</v>
      </c>
      <c r="D1163" t="str">
        <f>IFERROR(VLOOKUP(Tabela1[[#This Row],[CC]],CC!$A$1:$I$3869,3,0),"")</f>
        <v>DPE</v>
      </c>
      <c r="E1163" t="str">
        <f>IFERROR(VLOOKUP(Tabela1[[#This Row],[CC]],CC!$A$1:$H$389,2,0),"")</f>
        <v>DPE - BA Digital Center (1476)</v>
      </c>
      <c r="F1163" t="s">
        <v>586</v>
      </c>
      <c r="G1163" s="107">
        <v>8551</v>
      </c>
      <c r="H1163" s="12">
        <v>45901</v>
      </c>
      <c r="I1163" s="24">
        <v>318628.40000000002</v>
      </c>
      <c r="J1163" s="27">
        <v>285809.68</v>
      </c>
      <c r="K1163" s="3">
        <v>45939</v>
      </c>
      <c r="L1163" s="91">
        <v>45950</v>
      </c>
      <c r="M1163" s="5">
        <v>45951</v>
      </c>
      <c r="N1163" s="21" t="s">
        <v>588</v>
      </c>
      <c r="O1163" s="34"/>
      <c r="P1163" s="14"/>
      <c r="Q1163" t="str">
        <f>IFERROR(VLOOKUP(Tabela1[[#This Row],[CC]],CC!$A$1:$H$389,5,0),"")</f>
        <v>CSA</v>
      </c>
      <c r="R1163" t="str">
        <f>IFERROR(VLOOKUP(Tabela1[[#This Row],[CC]],CC!$A$1:$H$389,6,0),"")</f>
        <v>PS</v>
      </c>
      <c r="S1163" t="str">
        <f>IFERROR(VLOOKUP(Tabela1[[#This Row],[CC]],CC!$A$1:$H$403,8,0),"")</f>
        <v>OP4</v>
      </c>
    </row>
    <row r="1164" spans="1:19" x14ac:dyDescent="0.3">
      <c r="A1164" s="8">
        <v>1476</v>
      </c>
      <c r="B1164" s="8" t="str">
        <f>IFERROR(VLOOKUP(Tabela1[[#This Row],[CC]],#REF!,5,0),"")</f>
        <v/>
      </c>
      <c r="C1164" t="str">
        <f>IFERROR(VLOOKUP(Tabela1[[#This Row],[CC]],CC!$A$1:$H$389,7,0),"")</f>
        <v>ROGERIO GORDILHO</v>
      </c>
      <c r="D1164" t="str">
        <f>IFERROR(VLOOKUP(Tabela1[[#This Row],[CC]],CC!$A$1:$I$3869,3,0),"")</f>
        <v>DPE</v>
      </c>
      <c r="E1164" t="str">
        <f>IFERROR(VLOOKUP(Tabela1[[#This Row],[CC]],CC!$A$1:$H$389,2,0),"")</f>
        <v>DPE - BA Digital Center (1476)</v>
      </c>
      <c r="F1164" t="s">
        <v>586</v>
      </c>
      <c r="G1164" s="107">
        <v>8552</v>
      </c>
      <c r="H1164" s="12">
        <v>45901</v>
      </c>
      <c r="I1164" s="24">
        <v>479.29</v>
      </c>
      <c r="J1164" s="27">
        <v>429.91</v>
      </c>
      <c r="K1164" s="3">
        <v>45939</v>
      </c>
      <c r="L1164" s="91">
        <v>45950</v>
      </c>
      <c r="M1164" s="5">
        <v>45951</v>
      </c>
      <c r="N1164" s="21" t="s">
        <v>588</v>
      </c>
      <c r="O1164" s="34"/>
      <c r="P1164" s="14"/>
      <c r="Q1164" t="str">
        <f>IFERROR(VLOOKUP(Tabela1[[#This Row],[CC]],CC!$A$1:$H$389,5,0),"")</f>
        <v>CSA</v>
      </c>
      <c r="R1164" t="str">
        <f>IFERROR(VLOOKUP(Tabela1[[#This Row],[CC]],CC!$A$1:$H$389,6,0),"")</f>
        <v>PS</v>
      </c>
      <c r="S1164" t="str">
        <f>IFERROR(VLOOKUP(Tabela1[[#This Row],[CC]],CC!$A$1:$H$403,8,0),"")</f>
        <v>OP4</v>
      </c>
    </row>
    <row r="1165" spans="1:19" x14ac:dyDescent="0.3">
      <c r="A1165" s="25">
        <v>1296</v>
      </c>
      <c r="B1165" s="25" t="str">
        <f>IFERROR(VLOOKUP(Tabela1[[#This Row],[CC]],#REF!,5,0),"")</f>
        <v/>
      </c>
      <c r="C1165" t="str">
        <f>IFERROR(VLOOKUP(Tabela1[[#This Row],[CC]],CC!$A$1:$H$389,7,0),"")</f>
        <v>JOSÉ NETO</v>
      </c>
      <c r="D1165" t="str">
        <f>IFERROR(VLOOKUP(Tabela1[[#This Row],[CC]],CC!$A$1:$I$3869,3,0),"")</f>
        <v>AXIA</v>
      </c>
      <c r="E1165" t="str">
        <f>IFERROR(VLOOKUP(Tabela1[[#This Row],[CC]],CC!$A$1:$H$389,2,0),"")</f>
        <v>ELETROBRAS DIGITAL SUPORT (1296)</v>
      </c>
      <c r="F1165" t="s">
        <v>586</v>
      </c>
      <c r="G1165" s="107">
        <v>1305</v>
      </c>
      <c r="H1165" s="12">
        <v>45901</v>
      </c>
      <c r="I1165" s="24">
        <v>917050.68</v>
      </c>
      <c r="J1165" s="24">
        <v>842311.05</v>
      </c>
      <c r="K1165" s="3">
        <v>45946</v>
      </c>
      <c r="L1165" s="91">
        <v>45957</v>
      </c>
      <c r="M1165" s="29">
        <v>45957</v>
      </c>
      <c r="N1165" s="18" t="s">
        <v>588</v>
      </c>
      <c r="O1165" s="41"/>
      <c r="P1165" s="26"/>
      <c r="Q1165" t="str">
        <f>IFERROR(VLOOKUP(Tabela1[[#This Row],[CC]],CC!$A$1:$H$389,5,0),"")</f>
        <v>CSA</v>
      </c>
      <c r="R1165" t="str">
        <f>IFERROR(VLOOKUP(Tabela1[[#This Row],[CC]],CC!$A$1:$H$389,6,0),"")</f>
        <v>UT</v>
      </c>
      <c r="S1165" t="str">
        <f>IFERROR(VLOOKUP(Tabela1[[#This Row],[CC]],CC!$A$1:$H$403,8,0),"")</f>
        <v>OP2</v>
      </c>
    </row>
    <row r="1166" spans="1:19" x14ac:dyDescent="0.3">
      <c r="A1166" s="8">
        <v>1300</v>
      </c>
      <c r="B1166" s="8" t="str">
        <f>IFERROR(VLOOKUP(Tabela1[[#This Row],[CC]],#REF!,5,0),"")</f>
        <v/>
      </c>
      <c r="C1166" t="str">
        <f>IFERROR(VLOOKUP(Tabela1[[#This Row],[CC]],CC!$A$1:$H$389,7,0),"")</f>
        <v>JOSÉ NETO</v>
      </c>
      <c r="D1166" t="str">
        <f>IFERROR(VLOOKUP(Tabela1[[#This Row],[CC]],CC!$A$1:$I$3869,3,0),"")</f>
        <v>AXIA</v>
      </c>
      <c r="E1166" t="str">
        <f>IFERROR(VLOOKUP(Tabela1[[#This Row],[CC]],CC!$A$1:$H$389,2,0),"")</f>
        <v>ELETROBRAS RS NOVO (1300)</v>
      </c>
      <c r="F1166" t="s">
        <v>586</v>
      </c>
      <c r="G1166" s="107">
        <v>8538</v>
      </c>
      <c r="H1166" s="12">
        <v>45901</v>
      </c>
      <c r="I1166" s="10">
        <v>35682.61</v>
      </c>
      <c r="J1166" s="10">
        <v>32774.47</v>
      </c>
      <c r="K1166" s="3">
        <v>45933</v>
      </c>
      <c r="L1166" s="93">
        <v>45964</v>
      </c>
      <c r="M1166" s="5">
        <v>45967</v>
      </c>
      <c r="N1166" s="36" t="s">
        <v>588</v>
      </c>
      <c r="O1166" s="37">
        <v>0</v>
      </c>
      <c r="P1166" s="14"/>
      <c r="Q1166" t="str">
        <f>IFERROR(VLOOKUP(Tabela1[[#This Row],[CC]],CC!$A$1:$H$389,5,0),"")</f>
        <v>CSA</v>
      </c>
      <c r="R1166" t="str">
        <f>IFERROR(VLOOKUP(Tabela1[[#This Row],[CC]],CC!$A$1:$H$389,6,0),"")</f>
        <v>UT</v>
      </c>
      <c r="S1166" t="str">
        <f>IFERROR(VLOOKUP(Tabela1[[#This Row],[CC]],CC!$A$1:$H$403,8,0),"")</f>
        <v>OP2</v>
      </c>
    </row>
    <row r="1167" spans="1:19" x14ac:dyDescent="0.3">
      <c r="A1167" s="8">
        <v>1300</v>
      </c>
      <c r="B1167" s="8" t="str">
        <f>IFERROR(VLOOKUP(Tabela1[[#This Row],[CC]],#REF!,5,0),"")</f>
        <v/>
      </c>
      <c r="C1167" t="str">
        <f>IFERROR(VLOOKUP(Tabela1[[#This Row],[CC]],CC!$A$1:$H$389,7,0),"")</f>
        <v>JOSÉ NETO</v>
      </c>
      <c r="D1167" t="str">
        <f>IFERROR(VLOOKUP(Tabela1[[#This Row],[CC]],CC!$A$1:$I$3869,3,0),"")</f>
        <v>AXIA</v>
      </c>
      <c r="E1167" t="str">
        <f>IFERROR(VLOOKUP(Tabela1[[#This Row],[CC]],CC!$A$1:$H$389,2,0),"")</f>
        <v>ELETROBRAS RS NOVO (1300)</v>
      </c>
      <c r="F1167" t="s">
        <v>586</v>
      </c>
      <c r="G1167" s="107">
        <v>1303</v>
      </c>
      <c r="H1167" s="12">
        <v>45901</v>
      </c>
      <c r="I1167" s="69">
        <v>287717.94</v>
      </c>
      <c r="J1167" s="10">
        <v>264268.92</v>
      </c>
      <c r="K1167" s="3">
        <v>45943</v>
      </c>
      <c r="L1167" s="91">
        <v>45978</v>
      </c>
      <c r="M1167" s="5">
        <v>45978</v>
      </c>
      <c r="N1167" s="36" t="s">
        <v>588</v>
      </c>
      <c r="O1167" s="37">
        <v>0</v>
      </c>
      <c r="P1167" s="14"/>
      <c r="Q1167" t="str">
        <f>IFERROR(VLOOKUP(Tabela1[[#This Row],[CC]],CC!$A$1:$H$389,5,0),"")</f>
        <v>CSA</v>
      </c>
      <c r="R1167" t="str">
        <f>IFERROR(VLOOKUP(Tabela1[[#This Row],[CC]],CC!$A$1:$H$389,6,0),"")</f>
        <v>UT</v>
      </c>
      <c r="S1167" t="str">
        <f>IFERROR(VLOOKUP(Tabela1[[#This Row],[CC]],CC!$A$1:$H$403,8,0),"")</f>
        <v>OP2</v>
      </c>
    </row>
    <row r="1168" spans="1:19" x14ac:dyDescent="0.3">
      <c r="A1168" s="25">
        <v>1290</v>
      </c>
      <c r="B1168" s="25" t="str">
        <f>IFERROR(VLOOKUP(Tabela1[[#This Row],[CC]],#REF!,5,0),"")</f>
        <v/>
      </c>
      <c r="C1168" t="str">
        <f>IFERROR(VLOOKUP(Tabela1[[#This Row],[CC]],CC!$A$1:$H$389,7,0),"")</f>
        <v>ROGERIO GORDILHO</v>
      </c>
      <c r="D1168" t="str">
        <f>IFERROR(VLOOKUP(Tabela1[[#This Row],[CC]],CC!$A$1:$I$3869,3,0),"")</f>
        <v>EMBASA</v>
      </c>
      <c r="E1168" t="str">
        <f>IFERROR(VLOOKUP(Tabela1[[#This Row],[CC]],CC!$A$1:$H$389,2,0),"")</f>
        <v>EMBASA - NOVO (1290)</v>
      </c>
      <c r="F1168" t="s">
        <v>586</v>
      </c>
      <c r="G1168" s="107">
        <v>8545</v>
      </c>
      <c r="H1168" s="12">
        <v>45901</v>
      </c>
      <c r="I1168" s="24">
        <v>53175.27</v>
      </c>
      <c r="J1168" s="24">
        <v>46980.35</v>
      </c>
      <c r="K1168" s="3">
        <v>45937</v>
      </c>
      <c r="L1168" s="91">
        <v>45964</v>
      </c>
      <c r="M1168" s="11">
        <v>45967</v>
      </c>
      <c r="N1168" s="21" t="s">
        <v>588</v>
      </c>
      <c r="O1168" s="35">
        <v>0</v>
      </c>
      <c r="P1168" s="26"/>
      <c r="Q1168" t="str">
        <f>IFERROR(VLOOKUP(Tabela1[[#This Row],[CC]],CC!$A$1:$H$389,5,0),"")</f>
        <v>CSA</v>
      </c>
      <c r="R1168" t="str">
        <f>IFERROR(VLOOKUP(Tabela1[[#This Row],[CC]],CC!$A$1:$H$389,6,0),"")</f>
        <v>UT</v>
      </c>
      <c r="S1168" t="str">
        <f>IFERROR(VLOOKUP(Tabela1[[#This Row],[CC]],CC!$A$1:$H$403,8,0),"")</f>
        <v>OP4</v>
      </c>
    </row>
    <row r="1169" spans="1:20" x14ac:dyDescent="0.3">
      <c r="A1169" s="25">
        <v>1490</v>
      </c>
      <c r="B1169" s="25" t="str">
        <f>IFERROR(VLOOKUP(Tabela1[[#This Row],[CC]],#REF!,5,0),"")</f>
        <v/>
      </c>
      <c r="C1169" t="str">
        <f>IFERROR(VLOOKUP(Tabela1[[#This Row],[CC]],CC!$A$1:$H$389,7,0),"")</f>
        <v>ROGERIO GORDILHO</v>
      </c>
      <c r="D1169" t="str">
        <f>IFERROR(VLOOKUP(Tabela1[[#This Row],[CC]],CC!$A$1:$I$3869,3,0),"")</f>
        <v>EMBASA</v>
      </c>
      <c r="E1169" t="str">
        <f>IFERROR(VLOOKUP(Tabela1[[#This Row],[CC]],CC!$A$1:$H$389,2,0),"")</f>
        <v>EMBASA - Sustentação ITSM (1490)</v>
      </c>
      <c r="F1169" t="s">
        <v>586</v>
      </c>
      <c r="G1169" s="107">
        <v>8550</v>
      </c>
      <c r="H1169" s="12">
        <v>45901</v>
      </c>
      <c r="I1169" s="27">
        <v>2300</v>
      </c>
      <c r="J1169" s="24">
        <v>2032.05</v>
      </c>
      <c r="K1169" s="3">
        <v>45939</v>
      </c>
      <c r="L1169" s="91">
        <v>45971</v>
      </c>
      <c r="M1169" s="11">
        <v>45971</v>
      </c>
      <c r="N1169" s="21" t="s">
        <v>588</v>
      </c>
      <c r="O1169" s="35">
        <v>0</v>
      </c>
      <c r="P1169" s="26"/>
      <c r="Q1169" t="str">
        <f>IFERROR(VLOOKUP(Tabela1[[#This Row],[CC]],CC!$A$1:$H$389,5,0),"")</f>
        <v>CSA</v>
      </c>
      <c r="R1169" t="str">
        <f>IFERROR(VLOOKUP(Tabela1[[#This Row],[CC]],CC!$A$1:$H$389,6,0),"")</f>
        <v>UT</v>
      </c>
      <c r="S1169" t="str">
        <f>IFERROR(VLOOKUP(Tabela1[[#This Row],[CC]],CC!$A$1:$H$403,8,0),"")</f>
        <v>OP4</v>
      </c>
    </row>
    <row r="1170" spans="1:20" x14ac:dyDescent="0.3">
      <c r="A1170" s="8">
        <v>1480</v>
      </c>
      <c r="B1170" s="8" t="str">
        <f>IFERROR(VLOOKUP(Tabela1[[#This Row],[CC]],#REF!,5,0),"")</f>
        <v/>
      </c>
      <c r="C1170" t="str">
        <f>IFERROR(VLOOKUP(Tabela1[[#This Row],[CC]],CC!$A$1:$H$389,7,0),"")</f>
        <v>RODRIGO CORUMBA</v>
      </c>
      <c r="D1170" t="str">
        <f>IFERROR(VLOOKUP(Tabela1[[#This Row],[CC]],CC!$A$1:$I$3869,3,0),"")</f>
        <v>ENTREPAY</v>
      </c>
      <c r="E1170" t="str">
        <f>IFERROR(VLOOKUP(Tabela1[[#This Row],[CC]],CC!$A$1:$H$389,2,0),"")</f>
        <v>Entrepay ADS Alocação (1480)</v>
      </c>
      <c r="F1170" t="s">
        <v>586</v>
      </c>
      <c r="G1170" s="107">
        <v>4406</v>
      </c>
      <c r="H1170" s="12">
        <v>45901</v>
      </c>
      <c r="I1170" s="24">
        <v>493114</v>
      </c>
      <c r="J1170" s="10">
        <v>462787.48</v>
      </c>
      <c r="K1170" s="3">
        <v>45937</v>
      </c>
      <c r="L1170" s="91">
        <v>45964</v>
      </c>
      <c r="M1170" s="5">
        <v>45966</v>
      </c>
      <c r="N1170" s="18" t="s">
        <v>588</v>
      </c>
      <c r="O1170" s="37"/>
      <c r="P1170" s="14"/>
      <c r="Q1170" t="str">
        <f>IFERROR(VLOOKUP(Tabela1[[#This Row],[CC]],CC!$A$1:$H$389,5,0),"")</f>
        <v>ADS</v>
      </c>
      <c r="R1170" t="str">
        <f>IFERROR(VLOOKUP(Tabela1[[#This Row],[CC]],CC!$A$1:$H$389,6,0),"")</f>
        <v>FS</v>
      </c>
      <c r="S1170" t="str">
        <f>IFERROR(VLOOKUP(Tabela1[[#This Row],[CC]],CC!$A$1:$H$403,8,0),"")</f>
        <v>OP2</v>
      </c>
    </row>
    <row r="1171" spans="1:20" x14ac:dyDescent="0.3">
      <c r="A1171" s="25">
        <v>1511</v>
      </c>
      <c r="B1171" s="25" t="str">
        <f>IFERROR(VLOOKUP(Tabela1[[#This Row],[CC]],#REF!,5,0),"")</f>
        <v/>
      </c>
      <c r="C1171" t="str">
        <f>IFERROR(VLOOKUP(Tabela1[[#This Row],[CC]],CC!$A$1:$H$389,7,0),"")</f>
        <v>EVANDRO BRAGA</v>
      </c>
      <c r="D1171" t="str">
        <f>IFERROR(VLOOKUP(Tabela1[[#This Row],[CC]],CC!$A$1:$I$3869,3,0),"")</f>
        <v xml:space="preserve">EXE AUCTIONS  </v>
      </c>
      <c r="E1171" t="str">
        <f>IFERROR(VLOOKUP(Tabela1[[#This Row],[CC]],CC!$A$1:$H$389,2,0),"")</f>
        <v>EXE AUCTIONS  (1511)</v>
      </c>
      <c r="F1171" t="s">
        <v>586</v>
      </c>
      <c r="G1171" s="107">
        <v>8528</v>
      </c>
      <c r="H1171" s="12">
        <v>45901</v>
      </c>
      <c r="I1171" s="24">
        <v>9520</v>
      </c>
      <c r="J1171" s="24">
        <v>8934.52</v>
      </c>
      <c r="K1171" s="3">
        <v>45929</v>
      </c>
      <c r="L1171" s="91">
        <v>45936</v>
      </c>
      <c r="M1171" s="11">
        <v>45936</v>
      </c>
      <c r="N1171" s="18" t="s">
        <v>588</v>
      </c>
      <c r="O1171" s="35">
        <v>0</v>
      </c>
      <c r="P1171" s="26"/>
      <c r="Q1171" t="str">
        <f>IFERROR(VLOOKUP(Tabela1[[#This Row],[CC]],CC!$A$1:$H$389,5,0),"")</f>
        <v>CSA</v>
      </c>
      <c r="R1171" t="str">
        <f>IFERROR(VLOOKUP(Tabela1[[#This Row],[CC]],CC!$A$1:$H$389,6,0),"")</f>
        <v>PS</v>
      </c>
      <c r="S1171" t="str">
        <f>IFERROR(VLOOKUP(Tabela1[[#This Row],[CC]],CC!$A$1:$H$403,8,0),"")</f>
        <v>OP2</v>
      </c>
    </row>
    <row r="1172" spans="1:20" x14ac:dyDescent="0.3">
      <c r="A1172" s="25">
        <v>1511</v>
      </c>
      <c r="B1172" s="25" t="str">
        <f>IFERROR(VLOOKUP(Tabela1[[#This Row],[CC]],#REF!,5,0),"")</f>
        <v/>
      </c>
      <c r="C1172" t="str">
        <f>IFERROR(VLOOKUP(Tabela1[[#This Row],[CC]],CC!$A$1:$H$389,7,0),"")</f>
        <v>EVANDRO BRAGA</v>
      </c>
      <c r="D1172" t="str">
        <f>IFERROR(VLOOKUP(Tabela1[[#This Row],[CC]],CC!$A$1:$I$3869,3,0),"")</f>
        <v xml:space="preserve">EXE AUCTIONS  </v>
      </c>
      <c r="E1172" t="str">
        <f>IFERROR(VLOOKUP(Tabela1[[#This Row],[CC]],CC!$A$1:$H$389,2,0),"")</f>
        <v>EXE AUCTIONS  (1511)</v>
      </c>
      <c r="F1172" t="s">
        <v>586</v>
      </c>
      <c r="G1172" s="107">
        <v>8698</v>
      </c>
      <c r="H1172" s="12">
        <v>45992</v>
      </c>
      <c r="I1172" s="24">
        <v>32220</v>
      </c>
      <c r="J1172" s="24">
        <v>30238.47</v>
      </c>
      <c r="K1172" s="3">
        <v>46021</v>
      </c>
      <c r="L1172" s="91">
        <v>46020</v>
      </c>
      <c r="M1172" s="11">
        <v>46021</v>
      </c>
      <c r="N1172" s="18" t="s">
        <v>588</v>
      </c>
      <c r="O1172" s="35">
        <v>0</v>
      </c>
      <c r="P1172" s="26"/>
      <c r="Q1172" t="str">
        <f>IFERROR(VLOOKUP(Tabela1[[#This Row],[CC]],CC!$A$1:$H$389,5,0),"")</f>
        <v>CSA</v>
      </c>
      <c r="R1172" t="str">
        <f>IFERROR(VLOOKUP(Tabela1[[#This Row],[CC]],CC!$A$1:$H$389,6,0),"")</f>
        <v>PS</v>
      </c>
      <c r="S1172" t="str">
        <f>IFERROR(VLOOKUP(Tabela1[[#This Row],[CC]],CC!$A$1:$H$403,8,0),"")</f>
        <v>OP2</v>
      </c>
    </row>
    <row r="1173" spans="1:20" x14ac:dyDescent="0.3">
      <c r="A1173" s="25">
        <v>1475</v>
      </c>
      <c r="B1173" s="25" t="str">
        <f>IFERROR(VLOOKUP(Tabela1[[#This Row],[CC]],#REF!,5,0),"")</f>
        <v/>
      </c>
      <c r="C1173" t="str">
        <f>IFERROR(VLOOKUP(Tabela1[[#This Row],[CC]],CC!$A$1:$H$389,7,0),"")</f>
        <v>LIZANDRA PIMENTA</v>
      </c>
      <c r="D1173" t="str">
        <f>IFERROR(VLOOKUP(Tabela1[[#This Row],[CC]],CC!$A$1:$I$3869,3,0),"")</f>
        <v>FAPESB</v>
      </c>
      <c r="E1173" t="str">
        <f>IFERROR(VLOOKUP(Tabela1[[#This Row],[CC]],CC!$A$1:$H$389,2,0),"")</f>
        <v>FAPESB Sustentação (1475)</v>
      </c>
      <c r="F1173" t="s">
        <v>586</v>
      </c>
      <c r="G1173" s="107">
        <v>8543</v>
      </c>
      <c r="H1173" s="12">
        <v>45901</v>
      </c>
      <c r="I1173" s="27">
        <v>70696.11</v>
      </c>
      <c r="J1173" s="24">
        <v>63414.42</v>
      </c>
      <c r="K1173" s="3">
        <v>45936</v>
      </c>
      <c r="L1173" s="91">
        <v>45943</v>
      </c>
      <c r="M1173" s="11">
        <v>45947</v>
      </c>
      <c r="N1173" s="18" t="s">
        <v>588</v>
      </c>
      <c r="O1173" s="35">
        <v>0</v>
      </c>
      <c r="P1173"/>
      <c r="Q1173" t="str">
        <f>IFERROR(VLOOKUP(Tabela1[[#This Row],[CC]],CC!$A$1:$H$389,5,0),"")</f>
        <v>ADS</v>
      </c>
      <c r="R1173" t="str">
        <f>IFERROR(VLOOKUP(Tabela1[[#This Row],[CC]],CC!$A$1:$H$389,6,0),"")</f>
        <v>PS</v>
      </c>
      <c r="S1173" t="str">
        <f>IFERROR(VLOOKUP(Tabela1[[#This Row],[CC]],CC!$A$1:$H$403,8,0),"")</f>
        <v>OP3</v>
      </c>
    </row>
    <row r="1174" spans="1:20" x14ac:dyDescent="0.3">
      <c r="A1174" s="25">
        <v>1472</v>
      </c>
      <c r="B1174" s="25" t="str">
        <f>IFERROR(VLOOKUP(Tabela1[[#This Row],[CC]],#REF!,5,0),"")</f>
        <v/>
      </c>
      <c r="C1174" t="str">
        <f>IFERROR(VLOOKUP(Tabela1[[#This Row],[CC]],CC!$A$1:$H$389,7,0),"")</f>
        <v>RITA ANDRADE</v>
      </c>
      <c r="D1174" t="str">
        <f>IFERROR(VLOOKUP(Tabela1[[#This Row],[CC]],CC!$A$1:$I$3869,3,0),"")</f>
        <v>FICO</v>
      </c>
      <c r="E1174" t="str">
        <f>IFERROR(VLOOKUP(Tabela1[[#This Row],[CC]],CC!$A$1:$H$389,2,0),"")</f>
        <v>FICO (1472)</v>
      </c>
      <c r="F1174" t="s">
        <v>586</v>
      </c>
      <c r="G1174" s="107">
        <v>4379</v>
      </c>
      <c r="H1174" s="12">
        <v>45901</v>
      </c>
      <c r="I1174" s="24">
        <v>57597.75</v>
      </c>
      <c r="J1174" s="24">
        <v>54055.48</v>
      </c>
      <c r="K1174" s="3">
        <v>45929</v>
      </c>
      <c r="L1174" s="91">
        <v>45936</v>
      </c>
      <c r="M1174" s="11">
        <v>45936</v>
      </c>
      <c r="N1174" s="18" t="s">
        <v>588</v>
      </c>
      <c r="O1174" s="41"/>
      <c r="P1174" s="26"/>
      <c r="Q1174" t="str">
        <f>IFERROR(VLOOKUP(Tabela1[[#This Row],[CC]],CC!$A$1:$H$389,5,0),"")</f>
        <v>BPS</v>
      </c>
      <c r="R1174" t="str">
        <f>IFERROR(VLOOKUP(Tabela1[[#This Row],[CC]],CC!$A$1:$H$389,6,0),"")</f>
        <v>FS</v>
      </c>
      <c r="S1174" t="str">
        <f>IFERROR(VLOOKUP(Tabela1[[#This Row],[CC]],CC!$A$1:$H$403,8,0),"")</f>
        <v>OP1</v>
      </c>
    </row>
    <row r="1175" spans="1:20" x14ac:dyDescent="0.3">
      <c r="A1175" s="25">
        <v>1378</v>
      </c>
      <c r="B1175" s="25" t="str">
        <f>IFERROR(VLOOKUP(Tabela1[[#This Row],[CC]],#REF!,5,0),"")</f>
        <v/>
      </c>
      <c r="C1175" t="s">
        <v>51</v>
      </c>
      <c r="D1175" t="str">
        <f>IFERROR(VLOOKUP(Tabela1[[#This Row],[CC]],CC!$A$1:$I$3869,3,0),"")</f>
        <v xml:space="preserve"> FUNCEF</v>
      </c>
      <c r="E1175" t="str">
        <f>IFERROR(VLOOKUP(Tabela1[[#This Row],[CC]],CC!$A$1:$H$389,2,0),"")</f>
        <v>SF – FUNCEF (1378)</v>
      </c>
      <c r="F1175" t="s">
        <v>586</v>
      </c>
      <c r="G1175" s="107">
        <v>8571</v>
      </c>
      <c r="H1175" s="12">
        <v>45901</v>
      </c>
      <c r="I1175" s="24">
        <v>4281.29</v>
      </c>
      <c r="J1175" s="24">
        <v>4017.99</v>
      </c>
      <c r="K1175" s="3">
        <v>45947</v>
      </c>
      <c r="L1175" s="91">
        <v>45964</v>
      </c>
      <c r="M1175" s="29">
        <v>45968</v>
      </c>
      <c r="N1175" s="18" t="s">
        <v>588</v>
      </c>
      <c r="O1175" s="35">
        <v>0</v>
      </c>
      <c r="P1175"/>
      <c r="Q1175" t="str">
        <f>IFERROR(VLOOKUP(Tabela1[[#This Row],[CC]],CC!$A$1:$H$389,5,0),"")</f>
        <v>BPS</v>
      </c>
      <c r="R1175" t="str">
        <f>IFERROR(VLOOKUP(Tabela1[[#This Row],[CC]],CC!$A$1:$H$389,6,0),"")</f>
        <v>FS</v>
      </c>
      <c r="S1175" t="str">
        <f>IFERROR(VLOOKUP(Tabela1[[#This Row],[CC]],CC!$A$1:$H$403,8,0),"")</f>
        <v>OP2</v>
      </c>
      <c r="T1175" t="s">
        <v>1</v>
      </c>
    </row>
    <row r="1176" spans="1:20" x14ac:dyDescent="0.3">
      <c r="A1176" s="25">
        <v>1247</v>
      </c>
      <c r="B1176" s="25" t="str">
        <f>IFERROR(VLOOKUP(Tabela1[[#This Row],[CC]],#REF!,5,0),"")</f>
        <v/>
      </c>
      <c r="C1176" t="str">
        <f>IFERROR(VLOOKUP(Tabela1[[#This Row],[CC]],CC!$A$1:$H$389,7,0),"")</f>
        <v>ROGERIO GORDILHO</v>
      </c>
      <c r="D1176" t="str">
        <f>IFERROR(VLOOKUP(Tabela1[[#This Row],[CC]],CC!$A$1:$I$3869,3,0),"")</f>
        <v>IBAMETRO</v>
      </c>
      <c r="E1176" t="str">
        <f>IFERROR(VLOOKUP(Tabela1[[#This Row],[CC]],CC!$A$1:$H$389,2,0),"")</f>
        <v>IBAMETRO (1247)</v>
      </c>
      <c r="F1176" t="s">
        <v>586</v>
      </c>
      <c r="G1176" s="107">
        <v>8562</v>
      </c>
      <c r="H1176" s="12">
        <v>45901</v>
      </c>
      <c r="I1176" s="24">
        <v>38395.360000000001</v>
      </c>
      <c r="J1176" s="24">
        <v>34440.629999999997</v>
      </c>
      <c r="K1176" s="3">
        <v>45944</v>
      </c>
      <c r="L1176" s="91">
        <v>45957</v>
      </c>
      <c r="M1176" s="11">
        <v>45958</v>
      </c>
      <c r="N1176" s="18" t="s">
        <v>588</v>
      </c>
      <c r="O1176" s="35">
        <v>0</v>
      </c>
      <c r="P1176"/>
      <c r="Q1176" t="str">
        <f>IFERROR(VLOOKUP(Tabela1[[#This Row],[CC]],CC!$A$1:$H$389,5,0),"")</f>
        <v>CSA</v>
      </c>
      <c r="R1176" t="str">
        <f>IFERROR(VLOOKUP(Tabela1[[#This Row],[CC]],CC!$A$1:$H$389,6,0),"")</f>
        <v>PS</v>
      </c>
      <c r="S1176" t="str">
        <f>IFERROR(VLOOKUP(Tabela1[[#This Row],[CC]],CC!$A$1:$H$403,8,0),"")</f>
        <v>OP4</v>
      </c>
    </row>
    <row r="1177" spans="1:20" x14ac:dyDescent="0.3">
      <c r="A1177" s="25">
        <v>1358</v>
      </c>
      <c r="B1177" s="25" t="str">
        <f>IFERROR(VLOOKUP(Tabela1[[#This Row],[CC]],#REF!,5,0),"")</f>
        <v/>
      </c>
      <c r="C1177" t="str">
        <f>IFERROR(VLOOKUP(Tabela1[[#This Row],[CC]],CC!$A$1:$H$389,7,0),"")</f>
        <v>ROGERIO GORDILHO</v>
      </c>
      <c r="D1177" t="str">
        <f>IFERROR(VLOOKUP(Tabela1[[#This Row],[CC]],CC!$A$1:$I$3869,3,0),"")</f>
        <v>INEMA</v>
      </c>
      <c r="E1177" t="str">
        <f>IFERROR(VLOOKUP(Tabela1[[#This Row],[CC]],CC!$A$1:$H$389,2,0),"")</f>
        <v>INEMA N3 (1358)</v>
      </c>
      <c r="F1177" t="s">
        <v>586</v>
      </c>
      <c r="G1177" s="107">
        <v>8549</v>
      </c>
      <c r="H1177" s="12">
        <v>45901</v>
      </c>
      <c r="I1177" s="24">
        <v>89150.64</v>
      </c>
      <c r="J1177" s="40">
        <v>79968.13</v>
      </c>
      <c r="K1177" s="3">
        <v>45938</v>
      </c>
      <c r="L1177" s="91">
        <v>45971</v>
      </c>
      <c r="M1177" s="11">
        <v>45971</v>
      </c>
      <c r="N1177" s="18" t="s">
        <v>588</v>
      </c>
      <c r="O1177" s="38"/>
      <c r="P1177"/>
      <c r="Q1177" t="str">
        <f>IFERROR(VLOOKUP(Tabela1[[#This Row],[CC]],CC!$A$1:$H$389,5,0),"")</f>
        <v>CSA</v>
      </c>
      <c r="R1177" t="str">
        <f>IFERROR(VLOOKUP(Tabela1[[#This Row],[CC]],CC!$A$1:$H$389,6,0),"")</f>
        <v>PS</v>
      </c>
      <c r="S1177" t="str">
        <f>IFERROR(VLOOKUP(Tabela1[[#This Row],[CC]],CC!$A$1:$H$403,8,0),"")</f>
        <v>OP4</v>
      </c>
    </row>
    <row r="1178" spans="1:20" x14ac:dyDescent="0.3">
      <c r="A1178" s="25">
        <v>1358</v>
      </c>
      <c r="B1178" s="25" t="str">
        <f>IFERROR(VLOOKUP(Tabela1[[#This Row],[CC]],#REF!,5,0),"")</f>
        <v/>
      </c>
      <c r="C1178" t="str">
        <f>IFERROR(VLOOKUP(Tabela1[[#This Row],[CC]],CC!$A$1:$H$389,7,0),"")</f>
        <v>ROGERIO GORDILHO</v>
      </c>
      <c r="D1178" t="str">
        <f>IFERROR(VLOOKUP(Tabela1[[#This Row],[CC]],CC!$A$1:$I$3869,3,0),"")</f>
        <v>INEMA</v>
      </c>
      <c r="E1178" t="str">
        <f>IFERROR(VLOOKUP(Tabela1[[#This Row],[CC]],CC!$A$1:$H$389,2,0),"")</f>
        <v>INEMA N3 (1358)</v>
      </c>
      <c r="F1178" t="s">
        <v>586</v>
      </c>
      <c r="G1178" s="107">
        <v>8555</v>
      </c>
      <c r="H1178" s="68">
        <v>45901</v>
      </c>
      <c r="I1178" s="70">
        <v>7437.65</v>
      </c>
      <c r="J1178" s="40">
        <v>6671.57</v>
      </c>
      <c r="K1178" s="3">
        <v>45943</v>
      </c>
      <c r="L1178" s="91">
        <v>45964</v>
      </c>
      <c r="M1178" s="11">
        <v>45964</v>
      </c>
      <c r="N1178" s="18" t="s">
        <v>588</v>
      </c>
      <c r="O1178" s="35">
        <v>0</v>
      </c>
      <c r="P1178"/>
      <c r="Q1178" t="str">
        <f>IFERROR(VLOOKUP(Tabela1[[#This Row],[CC]],CC!$A$1:$H$389,5,0),"")</f>
        <v>CSA</v>
      </c>
      <c r="R1178" t="str">
        <f>IFERROR(VLOOKUP(Tabela1[[#This Row],[CC]],CC!$A$1:$H$389,6,0),"")</f>
        <v>PS</v>
      </c>
      <c r="S1178" t="str">
        <f>IFERROR(VLOOKUP(Tabela1[[#This Row],[CC]],CC!$A$1:$H$403,8,0),"")</f>
        <v>OP4</v>
      </c>
    </row>
    <row r="1179" spans="1:20" x14ac:dyDescent="0.3">
      <c r="A1179" s="25">
        <v>1358</v>
      </c>
      <c r="B1179" s="25" t="str">
        <f>IFERROR(VLOOKUP(Tabela1[[#This Row],[CC]],#REF!,5,0),"")</f>
        <v/>
      </c>
      <c r="C1179" t="str">
        <f>IFERROR(VLOOKUP(Tabela1[[#This Row],[CC]],CC!$A$1:$H$389,7,0),"")</f>
        <v>ROGERIO GORDILHO</v>
      </c>
      <c r="D1179" t="str">
        <f>IFERROR(VLOOKUP(Tabela1[[#This Row],[CC]],CC!$A$1:$I$3869,3,0),"")</f>
        <v>INEMA</v>
      </c>
      <c r="E1179" t="str">
        <f>IFERROR(VLOOKUP(Tabela1[[#This Row],[CC]],CC!$A$1:$H$389,2,0),"")</f>
        <v>INEMA N3 (1358)</v>
      </c>
      <c r="F1179" t="s">
        <v>586</v>
      </c>
      <c r="G1179" s="107">
        <v>8556</v>
      </c>
      <c r="H1179" s="68">
        <v>45901</v>
      </c>
      <c r="I1179" s="70">
        <v>23097.040000000001</v>
      </c>
      <c r="J1179" s="40">
        <v>20718.04</v>
      </c>
      <c r="K1179" s="3">
        <v>45943</v>
      </c>
      <c r="L1179" s="91">
        <v>45971</v>
      </c>
      <c r="M1179" s="11">
        <v>45971</v>
      </c>
      <c r="N1179" s="18" t="s">
        <v>588</v>
      </c>
      <c r="O1179" s="38"/>
      <c r="P1179"/>
      <c r="Q1179" t="str">
        <f>IFERROR(VLOOKUP(Tabela1[[#This Row],[CC]],CC!$A$1:$H$389,5,0),"")</f>
        <v>CSA</v>
      </c>
      <c r="R1179" t="str">
        <f>IFERROR(VLOOKUP(Tabela1[[#This Row],[CC]],CC!$A$1:$H$389,6,0),"")</f>
        <v>PS</v>
      </c>
      <c r="S1179" t="str">
        <f>IFERROR(VLOOKUP(Tabela1[[#This Row],[CC]],CC!$A$1:$H$403,8,0),"")</f>
        <v>OP4</v>
      </c>
    </row>
    <row r="1180" spans="1:20" x14ac:dyDescent="0.3">
      <c r="A1180" s="25">
        <v>1358</v>
      </c>
      <c r="B1180" s="25" t="str">
        <f>IFERROR(VLOOKUP(Tabela1[[#This Row],[CC]],#REF!,5,0),"")</f>
        <v/>
      </c>
      <c r="C1180" t="str">
        <f>IFERROR(VLOOKUP(Tabela1[[#This Row],[CC]],CC!$A$1:$H$389,7,0),"")</f>
        <v>ROGERIO GORDILHO</v>
      </c>
      <c r="D1180" t="str">
        <f>IFERROR(VLOOKUP(Tabela1[[#This Row],[CC]],CC!$A$1:$I$3869,3,0),"")</f>
        <v>INEMA</v>
      </c>
      <c r="E1180" t="str">
        <f>IFERROR(VLOOKUP(Tabela1[[#This Row],[CC]],CC!$A$1:$H$389,2,0),"")</f>
        <v>INEMA N3 (1358)</v>
      </c>
      <c r="F1180" t="s">
        <v>586</v>
      </c>
      <c r="G1180" s="107">
        <v>8557</v>
      </c>
      <c r="H1180" s="12">
        <v>45901</v>
      </c>
      <c r="I1180" s="10">
        <v>7649.4</v>
      </c>
      <c r="J1180" s="10">
        <v>6861.51</v>
      </c>
      <c r="K1180" s="3">
        <v>45943</v>
      </c>
      <c r="L1180" s="91">
        <v>45964</v>
      </c>
      <c r="M1180" s="11">
        <v>45967</v>
      </c>
      <c r="N1180" s="18" t="s">
        <v>588</v>
      </c>
      <c r="O1180" s="35">
        <v>0</v>
      </c>
      <c r="P1180"/>
      <c r="Q1180" t="str">
        <f>IFERROR(VLOOKUP(Tabela1[[#This Row],[CC]],CC!$A$1:$H$389,5,0),"")</f>
        <v>CSA</v>
      </c>
      <c r="R1180" t="str">
        <f>IFERROR(VLOOKUP(Tabela1[[#This Row],[CC]],CC!$A$1:$H$389,6,0),"")</f>
        <v>PS</v>
      </c>
      <c r="S1180" t="str">
        <f>IFERROR(VLOOKUP(Tabela1[[#This Row],[CC]],CC!$A$1:$H$403,8,0),"")</f>
        <v>OP4</v>
      </c>
    </row>
    <row r="1181" spans="1:20" x14ac:dyDescent="0.3">
      <c r="A1181" s="25">
        <v>1473</v>
      </c>
      <c r="B1181" s="25" t="str">
        <f>IFERROR(VLOOKUP(Tabela1[[#This Row],[CC]],#REF!,5,0),"")</f>
        <v/>
      </c>
      <c r="C1181" t="str">
        <f>IFERROR(VLOOKUP(Tabela1[[#This Row],[CC]],CC!$A$1:$H$389,7,0),"")</f>
        <v>ROGERIO GORDILHO</v>
      </c>
      <c r="D1181" t="str">
        <f>IFERROR(VLOOKUP(Tabela1[[#This Row],[CC]],CC!$A$1:$I$3869,3,0),"")</f>
        <v>MP_BA</v>
      </c>
      <c r="E1181" t="str">
        <f>IFERROR(VLOOKUP(Tabela1[[#This Row],[CC]],CC!$A$1:$H$389,2,0),"")</f>
        <v>MP - BA I (1473)</v>
      </c>
      <c r="F1181" t="s">
        <v>586</v>
      </c>
      <c r="G1181" s="107">
        <v>8616</v>
      </c>
      <c r="H1181" s="12">
        <v>45901</v>
      </c>
      <c r="I1181" s="24">
        <v>236280.79</v>
      </c>
      <c r="J1181" s="24">
        <v>217610.34</v>
      </c>
      <c r="K1181" s="3">
        <v>45980</v>
      </c>
      <c r="L1181" s="91">
        <v>45992</v>
      </c>
      <c r="M1181" s="11">
        <v>45996</v>
      </c>
      <c r="N1181" s="18" t="s">
        <v>588</v>
      </c>
      <c r="O1181" s="35"/>
      <c r="P1181"/>
      <c r="Q1181" t="str">
        <f>IFERROR(VLOOKUP(Tabela1[[#This Row],[CC]],CC!$A$1:$H$389,5,0),"")</f>
        <v>CSA</v>
      </c>
      <c r="R1181" t="str">
        <f>IFERROR(VLOOKUP(Tabela1[[#This Row],[CC]],CC!$A$1:$H$389,6,0),"")</f>
        <v>PS</v>
      </c>
      <c r="S1181" t="str">
        <f>IFERROR(VLOOKUP(Tabela1[[#This Row],[CC]],CC!$A$1:$H$403,8,0),"")</f>
        <v>OP4</v>
      </c>
    </row>
    <row r="1182" spans="1:20" x14ac:dyDescent="0.3">
      <c r="A1182" s="25">
        <v>1462</v>
      </c>
      <c r="B1182" s="25" t="str">
        <f>IFERROR(VLOOKUP(Tabela1[[#This Row],[CC]],#REF!,5,0),"")</f>
        <v/>
      </c>
      <c r="C1182" t="str">
        <f>IFERROR(VLOOKUP(Tabela1[[#This Row],[CC]],CC!$A$1:$H$389,7,0),"")</f>
        <v>EVANDRO BRAGA</v>
      </c>
      <c r="D1182" t="str">
        <f>IFERROR(VLOOKUP(Tabela1[[#This Row],[CC]],CC!$A$1:$I$3869,3,0),"")</f>
        <v>COMPASS</v>
      </c>
      <c r="E1182" t="str">
        <f>IFERROR(VLOOKUP(Tabela1[[#This Row],[CC]],CC!$A$1:$H$389,2,0),"")</f>
        <v>GAS BRASILIANO (1462)</v>
      </c>
      <c r="F1182" t="s">
        <v>586</v>
      </c>
      <c r="G1182" s="107">
        <v>8532</v>
      </c>
      <c r="H1182" s="12">
        <v>45901</v>
      </c>
      <c r="I1182" s="24">
        <v>800</v>
      </c>
      <c r="J1182" s="24">
        <v>750.8</v>
      </c>
      <c r="K1182" s="3">
        <v>45931</v>
      </c>
      <c r="L1182" s="91">
        <v>45936</v>
      </c>
      <c r="M1182" s="11">
        <v>45937</v>
      </c>
      <c r="N1182" s="18" t="s">
        <v>588</v>
      </c>
      <c r="O1182" s="35">
        <v>0</v>
      </c>
      <c r="P1182" s="26"/>
      <c r="Q1182" t="str">
        <f>IFERROR(VLOOKUP(Tabela1[[#This Row],[CC]],CC!$A$1:$H$389,5,0),"")</f>
        <v>CSA</v>
      </c>
      <c r="R1182" t="str">
        <f>IFERROR(VLOOKUP(Tabela1[[#This Row],[CC]],CC!$A$1:$H$389,6,0),"")</f>
        <v>UT</v>
      </c>
      <c r="S1182" t="str">
        <f>IFERROR(VLOOKUP(Tabela1[[#This Row],[CC]],CC!$A$1:$H$403,8,0),"")</f>
        <v>OP2</v>
      </c>
    </row>
    <row r="1183" spans="1:20" x14ac:dyDescent="0.3">
      <c r="A1183" s="25">
        <v>1292</v>
      </c>
      <c r="B1183" s="25" t="str">
        <f>IFERROR(VLOOKUP(Tabela1[[#This Row],[CC]],#REF!,5,0),"")</f>
        <v/>
      </c>
      <c r="C1183" t="str">
        <f>IFERROR(VLOOKUP(Tabela1[[#This Row],[CC]],CC!$A$1:$H$389,7,0),"")</f>
        <v>RITA ANDRADE</v>
      </c>
      <c r="D1183" t="str">
        <f>IFERROR(VLOOKUP(Tabela1[[#This Row],[CC]],CC!$A$1:$I$3869,3,0),"")</f>
        <v>BRADESCO_SEGUROS</v>
      </c>
      <c r="E1183" t="str">
        <f>IFERROR(VLOOKUP(Tabela1[[#This Row],[CC]],CC!$A$1:$H$389,2,0),"")</f>
        <v>BRADESCO - SEGUROS (1292)</v>
      </c>
      <c r="F1183" t="s">
        <v>586</v>
      </c>
      <c r="G1183" s="107">
        <v>4532</v>
      </c>
      <c r="H1183" s="12">
        <v>45931</v>
      </c>
      <c r="I1183" s="27">
        <v>132926.39999999999</v>
      </c>
      <c r="J1183" s="27">
        <v>124751.42</v>
      </c>
      <c r="K1183" s="3">
        <v>45979</v>
      </c>
      <c r="L1183" s="91">
        <v>45992</v>
      </c>
      <c r="M1183" s="11">
        <v>45994</v>
      </c>
      <c r="N1183" s="1" t="s">
        <v>588</v>
      </c>
      <c r="O1183" s="35"/>
      <c r="P1183"/>
      <c r="Q1183" t="str">
        <f>IFERROR(VLOOKUP(Tabela1[[#This Row],[CC]],CC!$A$1:$H$389,5,0),"")</f>
        <v>ADS</v>
      </c>
      <c r="R1183" t="str">
        <f>IFERROR(VLOOKUP(Tabela1[[#This Row],[CC]],CC!$A$1:$H$389,6,0),"")</f>
        <v>FS</v>
      </c>
      <c r="S1183" t="str">
        <f>IFERROR(VLOOKUP(Tabela1[[#This Row],[CC]],CC!$A$1:$H$403,8,0),"")</f>
        <v>OP1</v>
      </c>
    </row>
    <row r="1184" spans="1:20" x14ac:dyDescent="0.3">
      <c r="A1184" s="13">
        <v>1260</v>
      </c>
      <c r="B1184" s="13" t="str">
        <f>IFERROR(VLOOKUP(Tabela1[[#This Row],[CC]],#REF!,5,0),"")</f>
        <v/>
      </c>
      <c r="C1184" t="str">
        <f>IFERROR(VLOOKUP(Tabela1[[#This Row],[CC]],CC!$A$1:$H$389,7,0),"")</f>
        <v>RODRIGO CORUMBA</v>
      </c>
      <c r="D1184" t="str">
        <f>IFERROR(VLOOKUP(Tabela1[[#This Row],[CC]],CC!$A$1:$I$3869,3,0),"")</f>
        <v>PETZ</v>
      </c>
      <c r="E1184" t="str">
        <f>IFERROR(VLOOKUP(Tabela1[[#This Row],[CC]],CC!$A$1:$H$389,2,0),"")</f>
        <v>PETZ - ADS (1260)</v>
      </c>
      <c r="F1184" t="s">
        <v>586</v>
      </c>
      <c r="G1184" s="107">
        <v>4382</v>
      </c>
      <c r="H1184" s="12">
        <v>45901</v>
      </c>
      <c r="I1184" s="27">
        <v>10914</v>
      </c>
      <c r="J1184" s="24">
        <v>10242.790000000001</v>
      </c>
      <c r="K1184" s="3">
        <v>45931</v>
      </c>
      <c r="L1184" s="91">
        <v>45957</v>
      </c>
      <c r="M1184" s="11">
        <v>45959</v>
      </c>
      <c r="N1184" s="19" t="s">
        <v>588</v>
      </c>
      <c r="O1184" s="34">
        <v>0</v>
      </c>
      <c r="P1184"/>
      <c r="Q1184" t="str">
        <f>IFERROR(VLOOKUP(Tabela1[[#This Row],[CC]],CC!$A$1:$H$389,5,0),"")</f>
        <v>ADS</v>
      </c>
      <c r="R1184" t="str">
        <f>IFERROR(VLOOKUP(Tabela1[[#This Row],[CC]],CC!$A$1:$H$389,6,0),"")</f>
        <v>MS</v>
      </c>
      <c r="S1184" t="str">
        <f>IFERROR(VLOOKUP(Tabela1[[#This Row],[CC]],CC!$A$1:$H$403,8,0),"")</f>
        <v>OP2</v>
      </c>
    </row>
    <row r="1185" spans="1:19" ht="15" customHeight="1" x14ac:dyDescent="0.3">
      <c r="A1185" s="25">
        <v>1506</v>
      </c>
      <c r="B1185" s="25" t="str">
        <f>IFERROR(VLOOKUP(Tabela1[[#This Row],[CC]],#REF!,5,0),"")</f>
        <v/>
      </c>
      <c r="C1185" t="str">
        <f>IFERROR(VLOOKUP(Tabela1[[#This Row],[CC]],CC!$A$1:$H$389,7,0),"")</f>
        <v>RODRIGO CORUMBA</v>
      </c>
      <c r="D1185" t="str">
        <f>IFERROR(VLOOKUP(Tabela1[[#This Row],[CC]],CC!$A$1:$I$3869,3,0),"")</f>
        <v>PORTO_SEGURO</v>
      </c>
      <c r="E1185" t="str">
        <f>IFERROR(VLOOKUP(Tabela1[[#This Row],[CC]],CC!$A$1:$H$389,2,0),"")</f>
        <v>PORTO SEGURO – BPS – DYNAMICS (1506)</v>
      </c>
      <c r="F1185" t="s">
        <v>586</v>
      </c>
      <c r="G1185" s="107">
        <v>4710</v>
      </c>
      <c r="H1185" s="12">
        <v>45992</v>
      </c>
      <c r="I1185" s="27">
        <v>35603.199999999997</v>
      </c>
      <c r="J1185" s="24">
        <v>33413.599999999999</v>
      </c>
      <c r="K1185" s="3">
        <v>46024</v>
      </c>
      <c r="L1185" s="91">
        <v>46083</v>
      </c>
      <c r="M1185" s="11">
        <v>46083</v>
      </c>
      <c r="N1185" s="18" t="s">
        <v>588</v>
      </c>
      <c r="O1185" s="35">
        <v>0</v>
      </c>
      <c r="P1185" s="26"/>
      <c r="Q1185" t="str">
        <f>IFERROR(VLOOKUP(Tabela1[[#This Row],[CC]],CC!$A$1:$H$389,5,0),"")</f>
        <v>BPS</v>
      </c>
      <c r="R1185" t="str">
        <f>IFERROR(VLOOKUP(Tabela1[[#This Row],[CC]],CC!$A$1:$H$389,6,0),"")</f>
        <v>FS</v>
      </c>
      <c r="S1185" t="str">
        <f>IFERROR(VLOOKUP(Tabela1[[#This Row],[CC]],CC!$A$1:$H$403,8,0),"")</f>
        <v>OP2</v>
      </c>
    </row>
    <row r="1186" spans="1:19" x14ac:dyDescent="0.3">
      <c r="A1186" s="25">
        <v>1506</v>
      </c>
      <c r="B1186" s="25" t="str">
        <f>IFERROR(VLOOKUP(Tabela1[[#This Row],[CC]],#REF!,5,0),"")</f>
        <v/>
      </c>
      <c r="C1186" t="str">
        <f>IFERROR(VLOOKUP(Tabela1[[#This Row],[CC]],CC!$A$1:$H$389,7,0),"")</f>
        <v>RODRIGO CORUMBA</v>
      </c>
      <c r="D1186" t="str">
        <f>IFERROR(VLOOKUP(Tabela1[[#This Row],[CC]],CC!$A$1:$I$3869,3,0),"")</f>
        <v>PORTO_SEGURO</v>
      </c>
      <c r="E1186" t="str">
        <f>IFERROR(VLOOKUP(Tabela1[[#This Row],[CC]],CC!$A$1:$H$389,2,0),"")</f>
        <v>PORTO SEGURO – BPS – DYNAMICS (1506)</v>
      </c>
      <c r="F1186" t="s">
        <v>586</v>
      </c>
      <c r="G1186" s="107">
        <v>4788</v>
      </c>
      <c r="H1186" s="12">
        <v>46023</v>
      </c>
      <c r="I1186" s="27">
        <v>37383.360000000001</v>
      </c>
      <c r="J1186" s="24">
        <v>35084.29</v>
      </c>
      <c r="K1186" s="3">
        <v>46055</v>
      </c>
      <c r="L1186" s="91">
        <v>46113</v>
      </c>
      <c r="M1186" s="11">
        <v>46114</v>
      </c>
      <c r="N1186" s="18" t="s">
        <v>588</v>
      </c>
      <c r="O1186" s="35"/>
      <c r="P1186" s="26"/>
      <c r="Q1186" t="str">
        <f>IFERROR(VLOOKUP(Tabela1[[#This Row],[CC]],CC!$A$1:$H$389,5,0),"")</f>
        <v>BPS</v>
      </c>
      <c r="R1186" t="str">
        <f>IFERROR(VLOOKUP(Tabela1[[#This Row],[CC]],CC!$A$1:$H$389,6,0),"")</f>
        <v>FS</v>
      </c>
      <c r="S1186" t="str">
        <f>IFERROR(VLOOKUP(Tabela1[[#This Row],[CC]],CC!$A$1:$H$403,8,0),"")</f>
        <v>OP2</v>
      </c>
    </row>
    <row r="1187" spans="1:19" x14ac:dyDescent="0.3">
      <c r="A1187" s="25">
        <v>1506</v>
      </c>
      <c r="B1187" s="25" t="str">
        <f>IFERROR(VLOOKUP(Tabela1[[#This Row],[CC]],#REF!,5,0),"")</f>
        <v/>
      </c>
      <c r="C1187" t="str">
        <f>IFERROR(VLOOKUP(Tabela1[[#This Row],[CC]],CC!$A$1:$H$389,7,0),"")</f>
        <v>RODRIGO CORUMBA</v>
      </c>
      <c r="D1187" t="str">
        <f>IFERROR(VLOOKUP(Tabela1[[#This Row],[CC]],CC!$A$1:$I$3869,3,0),"")</f>
        <v>PORTO_SEGURO</v>
      </c>
      <c r="E1187" t="str">
        <f>IFERROR(VLOOKUP(Tabela1[[#This Row],[CC]],CC!$A$1:$H$389,2,0),"")</f>
        <v>PORTO SEGURO – BPS – DYNAMICS (1506)</v>
      </c>
      <c r="F1187" t="s">
        <v>586</v>
      </c>
      <c r="G1187" s="107">
        <v>4904</v>
      </c>
      <c r="H1187" s="12">
        <v>46054</v>
      </c>
      <c r="I1187" s="27">
        <v>35603.199999999997</v>
      </c>
      <c r="J1187" s="24">
        <v>33413.599999999999</v>
      </c>
      <c r="K1187" s="3">
        <v>46083</v>
      </c>
      <c r="L1187" s="91">
        <v>46139</v>
      </c>
      <c r="M1187" s="11">
        <v>46142</v>
      </c>
      <c r="N1187" s="18" t="s">
        <v>588</v>
      </c>
      <c r="O1187" s="35">
        <v>0</v>
      </c>
      <c r="P1187" s="26"/>
      <c r="Q1187" t="str">
        <f>IFERROR(VLOOKUP(Tabela1[[#This Row],[CC]],CC!$A$1:$H$389,5,0),"")</f>
        <v>BPS</v>
      </c>
      <c r="R1187" t="str">
        <f>IFERROR(VLOOKUP(Tabela1[[#This Row],[CC]],CC!$A$1:$H$389,6,0),"")</f>
        <v>FS</v>
      </c>
      <c r="S1187" t="str">
        <f>IFERROR(VLOOKUP(Tabela1[[#This Row],[CC]],CC!$A$1:$H$403,8,0),"")</f>
        <v>OP2</v>
      </c>
    </row>
    <row r="1188" spans="1:19" x14ac:dyDescent="0.3">
      <c r="A1188" s="25">
        <v>1506</v>
      </c>
      <c r="B1188" s="25" t="str">
        <f>IFERROR(VLOOKUP(Tabela1[[#This Row],[CC]],#REF!,5,0),"")</f>
        <v/>
      </c>
      <c r="C1188" t="str">
        <f>IFERROR(VLOOKUP(Tabela1[[#This Row],[CC]],CC!$A$1:$H$389,7,0),"")</f>
        <v>RODRIGO CORUMBA</v>
      </c>
      <c r="D1188" t="str">
        <f>IFERROR(VLOOKUP(Tabela1[[#This Row],[CC]],CC!$A$1:$I$3869,3,0),"")</f>
        <v>PORTO_SEGURO</v>
      </c>
      <c r="E1188" t="str">
        <f>IFERROR(VLOOKUP(Tabela1[[#This Row],[CC]],CC!$A$1:$H$389,2,0),"")</f>
        <v>PORTO SEGURO – BPS – DYNAMICS (1506)</v>
      </c>
      <c r="F1188" t="s">
        <v>586</v>
      </c>
      <c r="G1188" s="107">
        <v>5023</v>
      </c>
      <c r="H1188" s="12">
        <v>46082</v>
      </c>
      <c r="I1188" s="43">
        <v>35603.199999999997</v>
      </c>
      <c r="J1188" s="24">
        <v>33413.599999999999</v>
      </c>
      <c r="K1188" s="3">
        <v>46113</v>
      </c>
      <c r="L1188" s="147">
        <v>46174</v>
      </c>
      <c r="M1188" s="11">
        <v>46174</v>
      </c>
      <c r="N1188" s="18" t="s">
        <v>588</v>
      </c>
      <c r="O1188" s="35">
        <v>0</v>
      </c>
      <c r="P1188" s="26"/>
      <c r="Q1188" t="str">
        <f>IFERROR(VLOOKUP(Tabela1[[#This Row],[CC]],CC!$A$1:$H$389,5,0),"")</f>
        <v>BPS</v>
      </c>
      <c r="R1188" t="str">
        <f>IFERROR(VLOOKUP(Tabela1[[#This Row],[CC]],CC!$A$1:$H$389,6,0),"")</f>
        <v>FS</v>
      </c>
      <c r="S1188" t="str">
        <f>IFERROR(VLOOKUP(Tabela1[[#This Row],[CC]],CC!$A$1:$H$403,8,0),"")</f>
        <v>OP2</v>
      </c>
    </row>
    <row r="1189" spans="1:19" x14ac:dyDescent="0.3">
      <c r="A1189" s="25">
        <v>1506</v>
      </c>
      <c r="B1189" s="25" t="str">
        <f>IFERROR(VLOOKUP(Tabela1[[#This Row],[CC]],#REF!,5,0),"")</f>
        <v/>
      </c>
      <c r="C1189" t="str">
        <f>IFERROR(VLOOKUP(Tabela1[[#This Row],[CC]],CC!$A$1:$H$389,7,0),"")</f>
        <v>RODRIGO CORUMBA</v>
      </c>
      <c r="D1189" t="str">
        <f>IFERROR(VLOOKUP(Tabela1[[#This Row],[CC]],CC!$A$1:$I$3869,3,0),"")</f>
        <v>PORTO_SEGURO</v>
      </c>
      <c r="E1189" t="str">
        <f>IFERROR(VLOOKUP(Tabela1[[#This Row],[CC]],CC!$A$1:$H$389,2,0),"")</f>
        <v>PORTO SEGURO – BPS – DYNAMICS (1506)</v>
      </c>
      <c r="F1189" t="s">
        <v>586</v>
      </c>
      <c r="G1189" s="107">
        <v>5114</v>
      </c>
      <c r="H1189" s="12">
        <v>46113</v>
      </c>
      <c r="I1189" s="24">
        <v>37383.360000000001</v>
      </c>
      <c r="J1189" s="24">
        <v>35084.28</v>
      </c>
      <c r="K1189" s="3">
        <v>46146</v>
      </c>
      <c r="L1189" s="91">
        <v>46209</v>
      </c>
      <c r="M1189" s="11"/>
      <c r="N1189" s="18" t="s">
        <v>587</v>
      </c>
      <c r="O1189" s="35">
        <v>0</v>
      </c>
      <c r="P1189" s="26"/>
      <c r="Q1189" t="str">
        <f>IFERROR(VLOOKUP(Tabela1[[#This Row],[CC]],CC!$A$1:$H$389,5,0),"")</f>
        <v>BPS</v>
      </c>
      <c r="R1189" t="str">
        <f>IFERROR(VLOOKUP(Tabela1[[#This Row],[CC]],CC!$A$1:$H$389,6,0),"")</f>
        <v>FS</v>
      </c>
      <c r="S1189" t="str">
        <f>IFERROR(VLOOKUP(Tabela1[[#This Row],[CC]],CC!$A$1:$H$403,8,0),"")</f>
        <v>OP2</v>
      </c>
    </row>
    <row r="1190" spans="1:19" x14ac:dyDescent="0.3">
      <c r="A1190" s="8">
        <v>1357</v>
      </c>
      <c r="B1190" s="8" t="str">
        <f>IFERROR(VLOOKUP(Tabela1[[#This Row],[CC]],#REF!,5,0),"")</f>
        <v/>
      </c>
      <c r="C1190" t="s">
        <v>51</v>
      </c>
      <c r="D1190" t="s">
        <v>53</v>
      </c>
      <c r="E1190" t="s">
        <v>592</v>
      </c>
      <c r="F1190" t="s">
        <v>586</v>
      </c>
      <c r="G1190" s="107">
        <v>5202</v>
      </c>
      <c r="H1190" s="12">
        <v>46143</v>
      </c>
      <c r="I1190" s="27">
        <v>45036</v>
      </c>
      <c r="J1190" s="24">
        <v>42266.29</v>
      </c>
      <c r="K1190" s="3">
        <v>46174</v>
      </c>
      <c r="L1190" s="91">
        <v>46195</v>
      </c>
      <c r="M1190" s="5"/>
      <c r="N1190" s="18" t="s">
        <v>587</v>
      </c>
      <c r="O1190" s="37"/>
      <c r="P1190" s="14"/>
      <c r="Q1190" t="s">
        <v>55</v>
      </c>
      <c r="R1190" t="s">
        <v>231</v>
      </c>
      <c r="S1190" t="str">
        <f>IFERROR(VLOOKUP(Tabela1[[#This Row],[CC]],CC!$A$1:$H$403,8,0),"")</f>
        <v>OP2</v>
      </c>
    </row>
    <row r="1191" spans="1:19" x14ac:dyDescent="0.3">
      <c r="A1191" s="8">
        <v>1357</v>
      </c>
      <c r="B1191" s="8" t="str">
        <f>IFERROR(VLOOKUP(Tabela1[[#This Row],[CC]],#REF!,5,0),"")</f>
        <v/>
      </c>
      <c r="C1191" t="s">
        <v>51</v>
      </c>
      <c r="D1191" t="s">
        <v>53</v>
      </c>
      <c r="E1191" t="s">
        <v>592</v>
      </c>
      <c r="F1191" t="s">
        <v>586</v>
      </c>
      <c r="G1191" s="156">
        <v>5209</v>
      </c>
      <c r="H1191" s="12">
        <v>46143</v>
      </c>
      <c r="I1191" s="27">
        <v>9639</v>
      </c>
      <c r="J1191" s="24">
        <v>9046.2000000000007</v>
      </c>
      <c r="K1191" s="3">
        <v>46175</v>
      </c>
      <c r="L1191" s="91">
        <v>46195</v>
      </c>
      <c r="M1191" s="5"/>
      <c r="N1191" s="18" t="s">
        <v>587</v>
      </c>
      <c r="O1191" s="37"/>
      <c r="P1191" s="14"/>
      <c r="Q1191" t="s">
        <v>55</v>
      </c>
      <c r="R1191" t="s">
        <v>231</v>
      </c>
      <c r="S1191" t="str">
        <f>IFERROR(VLOOKUP(Tabela1[[#This Row],[CC]],CC!$A$1:$H$403,8,0),"")</f>
        <v>OP2</v>
      </c>
    </row>
    <row r="1192" spans="1:19" x14ac:dyDescent="0.3">
      <c r="A1192" s="25">
        <v>1485</v>
      </c>
      <c r="B1192" s="25" t="str">
        <f>IFERROR(VLOOKUP(Tabela1[[#This Row],[CC]],#REF!,5,0),"")</f>
        <v/>
      </c>
      <c r="C1192" t="str">
        <f>IFERROR(VLOOKUP(Tabela1[[#This Row],[CC]],CC!$A$1:$H$389,7,0),"")</f>
        <v>RODRIGO CORUMBA</v>
      </c>
      <c r="D1192" t="str">
        <f>IFERROR(VLOOKUP(Tabela1[[#This Row],[CC]],CC!$A$1:$I$3869,3,0),"")</f>
        <v>PORTO_SEGURO</v>
      </c>
      <c r="E1192" t="str">
        <f>IFERROR(VLOOKUP(Tabela1[[#This Row],[CC]],CC!$A$1:$H$389,2,0),"")</f>
        <v>PORTO SEGURO – ADS - Alocações (1485)</v>
      </c>
      <c r="F1192" t="s">
        <v>586</v>
      </c>
      <c r="G1192" s="107">
        <v>4456</v>
      </c>
      <c r="H1192" s="12">
        <v>45901</v>
      </c>
      <c r="I1192" s="24">
        <v>53404.800000000003</v>
      </c>
      <c r="J1192" s="24">
        <v>50120.41</v>
      </c>
      <c r="K1192" s="3">
        <v>45952</v>
      </c>
      <c r="L1192" s="91">
        <v>45978</v>
      </c>
      <c r="M1192" s="11">
        <v>45982</v>
      </c>
      <c r="N1192" s="18" t="s">
        <v>588</v>
      </c>
      <c r="O1192" s="35">
        <v>0</v>
      </c>
      <c r="P1192" s="26"/>
      <c r="Q1192" t="str">
        <f>IFERROR(VLOOKUP(Tabela1[[#This Row],[CC]],CC!$A$1:$H$389,5,0),"")</f>
        <v>ADS</v>
      </c>
      <c r="R1192" t="str">
        <f>IFERROR(VLOOKUP(Tabela1[[#This Row],[CC]],CC!$A$1:$H$389,6,0),"")</f>
        <v>FS</v>
      </c>
      <c r="S1192" t="str">
        <f>IFERROR(VLOOKUP(Tabela1[[#This Row],[CC]],CC!$A$1:$H$403,8,0),"")</f>
        <v>OP2</v>
      </c>
    </row>
    <row r="1193" spans="1:19" x14ac:dyDescent="0.3">
      <c r="A1193" s="25">
        <v>1482</v>
      </c>
      <c r="B1193" s="25" t="str">
        <f>IFERROR(VLOOKUP(Tabela1[[#This Row],[CC]],#REF!,5,0),"")</f>
        <v/>
      </c>
      <c r="C1193" t="str">
        <f>IFERROR(VLOOKUP(Tabela1[[#This Row],[CC]],CC!$A$1:$H$389,7,0),"")</f>
        <v>JOSÉ NETO</v>
      </c>
      <c r="D1193" t="str">
        <f>IFERROR(VLOOKUP(Tabela1[[#This Row],[CC]],CC!$A$1:$I$3869,3,0),"")</f>
        <v>AXIA</v>
      </c>
      <c r="E1193" t="str">
        <f>IFERROR(VLOOKUP(Tabela1[[#This Row],[CC]],CC!$A$1:$H$389,2,0),"")</f>
        <v>REAL GRANDEZA (1482)</v>
      </c>
      <c r="F1193" t="s">
        <v>586</v>
      </c>
      <c r="G1193" s="107">
        <v>8544</v>
      </c>
      <c r="H1193" s="12">
        <v>45901</v>
      </c>
      <c r="I1193" s="24">
        <v>39000</v>
      </c>
      <c r="J1193" s="24">
        <v>35236.5</v>
      </c>
      <c r="K1193" s="3">
        <v>45937</v>
      </c>
      <c r="L1193" s="91">
        <v>45964</v>
      </c>
      <c r="M1193" s="11">
        <v>45964</v>
      </c>
      <c r="N1193" s="36" t="s">
        <v>588</v>
      </c>
      <c r="O1193" s="47"/>
      <c r="P1193" s="26"/>
      <c r="Q1193" t="str">
        <f>IFERROR(VLOOKUP(Tabela1[[#This Row],[CC]],CC!$A$1:$H$389,5,0),"")</f>
        <v>CSA</v>
      </c>
      <c r="R1193" t="str">
        <f>IFERROR(VLOOKUP(Tabela1[[#This Row],[CC]],CC!$A$1:$H$389,6,0),"")</f>
        <v>UT</v>
      </c>
      <c r="S1193" t="str">
        <f>IFERROR(VLOOKUP(Tabela1[[#This Row],[CC]],CC!$A$1:$H$403,8,0),"")</f>
        <v>OP2</v>
      </c>
    </row>
    <row r="1194" spans="1:19" x14ac:dyDescent="0.3">
      <c r="A1194" s="25">
        <v>1262</v>
      </c>
      <c r="B1194" s="25" t="str">
        <f>IFERROR(VLOOKUP(Tabela1[[#This Row],[CC]],#REF!,5,0),"")</f>
        <v/>
      </c>
      <c r="C1194" t="str">
        <f>IFERROR(VLOOKUP(Tabela1[[#This Row],[CC]],CC!$A$1:$H$389,7,0),"")</f>
        <v>RODRIGO CORUMBA</v>
      </c>
      <c r="D1194" t="str">
        <f>IFERROR(VLOOKUP(Tabela1[[#This Row],[CC]],CC!$A$1:$I$3869,3,0),"")</f>
        <v>RENDIMENTO</v>
      </c>
      <c r="E1194" t="str">
        <f>IFERROR(VLOOKUP(Tabela1[[#This Row],[CC]],CC!$A$1:$H$389,2,0),"")</f>
        <v>BANCO RENDIMENTO ADS (1262)</v>
      </c>
      <c r="F1194" t="s">
        <v>586</v>
      </c>
      <c r="G1194" s="107">
        <v>4438</v>
      </c>
      <c r="H1194" s="12">
        <v>45901</v>
      </c>
      <c r="I1194" s="24">
        <v>28299.01</v>
      </c>
      <c r="J1194" s="27">
        <v>26558.62</v>
      </c>
      <c r="K1194" s="3">
        <v>45951</v>
      </c>
      <c r="L1194" s="91">
        <v>45957</v>
      </c>
      <c r="M1194" s="11">
        <v>45960</v>
      </c>
      <c r="N1194" s="18" t="s">
        <v>588</v>
      </c>
      <c r="O1194" s="35">
        <v>0</v>
      </c>
      <c r="P1194" s="26"/>
      <c r="Q1194" t="str">
        <f>IFERROR(VLOOKUP(Tabela1[[#This Row],[CC]],CC!$A$1:$H$389,5,0),"")</f>
        <v>ADS</v>
      </c>
      <c r="R1194" t="str">
        <f>IFERROR(VLOOKUP(Tabela1[[#This Row],[CC]],CC!$A$1:$H$389,6,0),"")</f>
        <v>FS</v>
      </c>
      <c r="S1194" t="str">
        <f>IFERROR(VLOOKUP(Tabela1[[#This Row],[CC]],CC!$A$1:$H$403,8,0),"")</f>
        <v>OP2</v>
      </c>
    </row>
    <row r="1195" spans="1:19" x14ac:dyDescent="0.3">
      <c r="A1195" s="25">
        <v>1262</v>
      </c>
      <c r="B1195" s="25" t="str">
        <f>IFERROR(VLOOKUP(Tabela1[[#This Row],[CC]],#REF!,5,0),"")</f>
        <v/>
      </c>
      <c r="C1195" t="str">
        <f>IFERROR(VLOOKUP(Tabela1[[#This Row],[CC]],CC!$A$1:$H$389,7,0),"")</f>
        <v>RODRIGO CORUMBA</v>
      </c>
      <c r="D1195" t="str">
        <f>IFERROR(VLOOKUP(Tabela1[[#This Row],[CC]],CC!$A$1:$I$3869,3,0),"")</f>
        <v>RENDIMENTO</v>
      </c>
      <c r="E1195" t="str">
        <f>IFERROR(VLOOKUP(Tabela1[[#This Row],[CC]],CC!$A$1:$H$389,2,0),"")</f>
        <v>BANCO RENDIMENTO ADS (1262)</v>
      </c>
      <c r="F1195" t="s">
        <v>586</v>
      </c>
      <c r="G1195" s="107">
        <v>4439</v>
      </c>
      <c r="H1195" s="12">
        <v>45901</v>
      </c>
      <c r="I1195" s="24">
        <v>21811.68</v>
      </c>
      <c r="J1195" s="27">
        <v>20470.25</v>
      </c>
      <c r="K1195" s="3">
        <v>45951</v>
      </c>
      <c r="L1195" s="91">
        <v>45957</v>
      </c>
      <c r="M1195" s="11">
        <v>45960</v>
      </c>
      <c r="N1195" s="18" t="s">
        <v>588</v>
      </c>
      <c r="O1195" s="35">
        <v>0</v>
      </c>
      <c r="P1195" s="26"/>
      <c r="Q1195" t="str">
        <f>IFERROR(VLOOKUP(Tabela1[[#This Row],[CC]],CC!$A$1:$H$389,5,0),"")</f>
        <v>ADS</v>
      </c>
      <c r="R1195" t="str">
        <f>IFERROR(VLOOKUP(Tabela1[[#This Row],[CC]],CC!$A$1:$H$389,6,0),"")</f>
        <v>FS</v>
      </c>
      <c r="S1195" t="str">
        <f>IFERROR(VLOOKUP(Tabela1[[#This Row],[CC]],CC!$A$1:$H$403,8,0),"")</f>
        <v>OP2</v>
      </c>
    </row>
    <row r="1196" spans="1:19" x14ac:dyDescent="0.3">
      <c r="A1196" s="25">
        <v>1262</v>
      </c>
      <c r="B1196" s="25" t="str">
        <f>IFERROR(VLOOKUP(Tabela1[[#This Row],[CC]],#REF!,5,0),"")</f>
        <v/>
      </c>
      <c r="C1196" t="str">
        <f>IFERROR(VLOOKUP(Tabela1[[#This Row],[CC]],CC!$A$1:$H$389,7,0),"")</f>
        <v>RODRIGO CORUMBA</v>
      </c>
      <c r="D1196" t="str">
        <f>IFERROR(VLOOKUP(Tabela1[[#This Row],[CC]],CC!$A$1:$I$3869,3,0),"")</f>
        <v>RENDIMENTO</v>
      </c>
      <c r="E1196" t="str">
        <f>IFERROR(VLOOKUP(Tabela1[[#This Row],[CC]],CC!$A$1:$H$389,2,0),"")</f>
        <v>BANCO RENDIMENTO ADS (1262)</v>
      </c>
      <c r="F1196" t="s">
        <v>586</v>
      </c>
      <c r="G1196" s="107">
        <v>4440</v>
      </c>
      <c r="H1196" s="12">
        <v>45901</v>
      </c>
      <c r="I1196" s="24">
        <v>18080.830000000002</v>
      </c>
      <c r="J1196" s="27">
        <v>16968.86</v>
      </c>
      <c r="K1196" s="3">
        <v>45951</v>
      </c>
      <c r="L1196" s="91">
        <v>45957</v>
      </c>
      <c r="M1196" s="11">
        <v>45960</v>
      </c>
      <c r="N1196" s="18" t="s">
        <v>588</v>
      </c>
      <c r="O1196" s="35">
        <v>0</v>
      </c>
      <c r="P1196" s="26"/>
      <c r="Q1196" t="str">
        <f>IFERROR(VLOOKUP(Tabela1[[#This Row],[CC]],CC!$A$1:$H$389,5,0),"")</f>
        <v>ADS</v>
      </c>
      <c r="R1196" t="str">
        <f>IFERROR(VLOOKUP(Tabela1[[#This Row],[CC]],CC!$A$1:$H$389,6,0),"")</f>
        <v>FS</v>
      </c>
      <c r="S1196" t="str">
        <f>IFERROR(VLOOKUP(Tabela1[[#This Row],[CC]],CC!$A$1:$H$403,8,0),"")</f>
        <v>OP2</v>
      </c>
    </row>
    <row r="1197" spans="1:19" x14ac:dyDescent="0.3">
      <c r="A1197" s="25">
        <v>1262</v>
      </c>
      <c r="B1197" s="25" t="str">
        <f>IFERROR(VLOOKUP(Tabela1[[#This Row],[CC]],#REF!,5,0),"")</f>
        <v/>
      </c>
      <c r="C1197" t="str">
        <f>IFERROR(VLOOKUP(Tabela1[[#This Row],[CC]],CC!$A$1:$H$389,7,0),"")</f>
        <v>RODRIGO CORUMBA</v>
      </c>
      <c r="D1197" t="str">
        <f>IFERROR(VLOOKUP(Tabela1[[#This Row],[CC]],CC!$A$1:$I$3869,3,0),"")</f>
        <v>RENDIMENTO</v>
      </c>
      <c r="E1197" t="str">
        <f>IFERROR(VLOOKUP(Tabela1[[#This Row],[CC]],CC!$A$1:$H$389,2,0),"")</f>
        <v>BANCO RENDIMENTO ADS (1262)</v>
      </c>
      <c r="F1197" t="s">
        <v>586</v>
      </c>
      <c r="G1197" s="107">
        <v>4441</v>
      </c>
      <c r="H1197" s="12">
        <v>45901</v>
      </c>
      <c r="I1197" s="24">
        <v>65393.83</v>
      </c>
      <c r="J1197" s="27">
        <v>61372.11</v>
      </c>
      <c r="K1197" s="3">
        <v>45951</v>
      </c>
      <c r="L1197" s="91">
        <v>45957</v>
      </c>
      <c r="M1197" s="11">
        <v>45960</v>
      </c>
      <c r="N1197" s="18" t="s">
        <v>588</v>
      </c>
      <c r="O1197" s="35">
        <v>0</v>
      </c>
      <c r="P1197" s="26"/>
      <c r="Q1197" t="str">
        <f>IFERROR(VLOOKUP(Tabela1[[#This Row],[CC]],CC!$A$1:$H$389,5,0),"")</f>
        <v>ADS</v>
      </c>
      <c r="R1197" t="str">
        <f>IFERROR(VLOOKUP(Tabela1[[#This Row],[CC]],CC!$A$1:$H$389,6,0),"")</f>
        <v>FS</v>
      </c>
      <c r="S1197" t="str">
        <f>IFERROR(VLOOKUP(Tabela1[[#This Row],[CC]],CC!$A$1:$H$403,8,0),"")</f>
        <v>OP2</v>
      </c>
    </row>
    <row r="1198" spans="1:19" x14ac:dyDescent="0.3">
      <c r="A1198" s="25">
        <v>1262</v>
      </c>
      <c r="B1198" s="25" t="str">
        <f>IFERROR(VLOOKUP(Tabela1[[#This Row],[CC]],#REF!,5,0),"")</f>
        <v/>
      </c>
      <c r="C1198" t="str">
        <f>IFERROR(VLOOKUP(Tabela1[[#This Row],[CC]],CC!$A$1:$H$389,7,0),"")</f>
        <v>RODRIGO CORUMBA</v>
      </c>
      <c r="D1198" t="str">
        <f>IFERROR(VLOOKUP(Tabela1[[#This Row],[CC]],CC!$A$1:$I$3869,3,0),"")</f>
        <v>RENDIMENTO</v>
      </c>
      <c r="E1198" t="str">
        <f>IFERROR(VLOOKUP(Tabela1[[#This Row],[CC]],CC!$A$1:$H$389,2,0),"")</f>
        <v>BANCO RENDIMENTO ADS (1262)</v>
      </c>
      <c r="F1198" t="s">
        <v>586</v>
      </c>
      <c r="G1198" s="107">
        <v>4443</v>
      </c>
      <c r="H1198" s="12">
        <v>45901</v>
      </c>
      <c r="I1198" s="24">
        <v>7748.93</v>
      </c>
      <c r="J1198" s="27">
        <v>7272.37</v>
      </c>
      <c r="K1198" s="3">
        <v>45951</v>
      </c>
      <c r="L1198" s="91">
        <v>45957</v>
      </c>
      <c r="M1198" s="11">
        <v>45960</v>
      </c>
      <c r="N1198" s="18" t="s">
        <v>588</v>
      </c>
      <c r="O1198" s="35">
        <v>0</v>
      </c>
      <c r="P1198" s="26"/>
      <c r="Q1198" t="str">
        <f>IFERROR(VLOOKUP(Tabela1[[#This Row],[CC]],CC!$A$1:$H$389,5,0),"")</f>
        <v>ADS</v>
      </c>
      <c r="R1198" t="str">
        <f>IFERROR(VLOOKUP(Tabela1[[#This Row],[CC]],CC!$A$1:$H$389,6,0),"")</f>
        <v>FS</v>
      </c>
      <c r="S1198" t="str">
        <f>IFERROR(VLOOKUP(Tabela1[[#This Row],[CC]],CC!$A$1:$H$403,8,0),"")</f>
        <v>OP2</v>
      </c>
    </row>
    <row r="1199" spans="1:19" x14ac:dyDescent="0.3">
      <c r="A1199" s="8">
        <v>1269</v>
      </c>
      <c r="B1199" s="8" t="str">
        <f>IFERROR(VLOOKUP(Tabela1[[#This Row],[CC]],#REF!,5,0),"")</f>
        <v/>
      </c>
      <c r="C1199" t="str">
        <f>IFERROR(VLOOKUP(Tabela1[[#This Row],[CC]],CC!$A$1:$H$389,7,0),"")</f>
        <v>RODRIGO CORUMBA</v>
      </c>
      <c r="D1199" t="str">
        <f>IFERROR(VLOOKUP(Tabela1[[#This Row],[CC]],CC!$A$1:$I$3869,3,0),"")</f>
        <v>RENDIMENTO</v>
      </c>
      <c r="E1199" t="str">
        <f>IFERROR(VLOOKUP(Tabela1[[#This Row],[CC]],CC!$A$1:$H$389,2,0),"")</f>
        <v>BANCO RENDIMENTO MONITORING CSA (1269)</v>
      </c>
      <c r="F1199" t="s">
        <v>586</v>
      </c>
      <c r="G1199" s="107">
        <v>4442</v>
      </c>
      <c r="H1199" s="12">
        <v>45901</v>
      </c>
      <c r="I1199" s="24">
        <v>256578.23</v>
      </c>
      <c r="J1199" s="27">
        <v>240798.67</v>
      </c>
      <c r="K1199" s="3">
        <v>45951</v>
      </c>
      <c r="L1199" s="91">
        <v>45957</v>
      </c>
      <c r="M1199" s="11">
        <v>45960</v>
      </c>
      <c r="N1199" s="18" t="s">
        <v>588</v>
      </c>
      <c r="O1199" s="34">
        <v>0</v>
      </c>
      <c r="P1199" s="14"/>
      <c r="Q1199" t="str">
        <f>IFERROR(VLOOKUP(Tabela1[[#This Row],[CC]],CC!$A$1:$H$389,5,0),"")</f>
        <v>CSA</v>
      </c>
      <c r="R1199" t="str">
        <f>IFERROR(VLOOKUP(Tabela1[[#This Row],[CC]],CC!$A$1:$H$389,6,0),"")</f>
        <v>FS</v>
      </c>
      <c r="S1199" t="str">
        <f>IFERROR(VLOOKUP(Tabela1[[#This Row],[CC]],CC!$A$1:$H$403,8,0),"")</f>
        <v>OP2</v>
      </c>
    </row>
    <row r="1200" spans="1:19" x14ac:dyDescent="0.3">
      <c r="A1200" s="8">
        <v>1269</v>
      </c>
      <c r="B1200" s="8" t="str">
        <f>IFERROR(VLOOKUP(Tabela1[[#This Row],[CC]],#REF!,5,0),"")</f>
        <v/>
      </c>
      <c r="C1200" t="str">
        <f>IFERROR(VLOOKUP(Tabela1[[#This Row],[CC]],CC!$A$1:$H$389,7,0),"")</f>
        <v>RODRIGO CORUMBA</v>
      </c>
      <c r="D1200" t="str">
        <f>IFERROR(VLOOKUP(Tabela1[[#This Row],[CC]],CC!$A$1:$I$3869,3,0),"")</f>
        <v>RENDIMENTO</v>
      </c>
      <c r="E1200" t="str">
        <f>IFERROR(VLOOKUP(Tabela1[[#This Row],[CC]],CC!$A$1:$H$389,2,0),"")</f>
        <v>BANCO RENDIMENTO MONITORING CSA (1269)</v>
      </c>
      <c r="F1200" t="s">
        <v>586</v>
      </c>
      <c r="G1200" s="107">
        <v>4444</v>
      </c>
      <c r="H1200" s="12">
        <v>45901</v>
      </c>
      <c r="I1200" s="24">
        <v>10876.23</v>
      </c>
      <c r="J1200" s="27">
        <v>10207.34</v>
      </c>
      <c r="K1200" s="3">
        <v>45951</v>
      </c>
      <c r="L1200" s="91">
        <v>45957</v>
      </c>
      <c r="M1200" s="11">
        <v>45960</v>
      </c>
      <c r="N1200" s="18" t="s">
        <v>588</v>
      </c>
      <c r="O1200" s="34">
        <v>0</v>
      </c>
      <c r="P1200" s="14"/>
      <c r="Q1200" t="str">
        <f>IFERROR(VLOOKUP(Tabela1[[#This Row],[CC]],CC!$A$1:$H$389,5,0),"")</f>
        <v>CSA</v>
      </c>
      <c r="R1200" t="str">
        <f>IFERROR(VLOOKUP(Tabela1[[#This Row],[CC]],CC!$A$1:$H$389,6,0),"")</f>
        <v>FS</v>
      </c>
      <c r="S1200" t="str">
        <f>IFERROR(VLOOKUP(Tabela1[[#This Row],[CC]],CC!$A$1:$H$403,8,0),"")</f>
        <v>OP2</v>
      </c>
    </row>
    <row r="1201" spans="1:19" x14ac:dyDescent="0.3">
      <c r="A1201" s="8">
        <v>1269</v>
      </c>
      <c r="B1201" s="8" t="str">
        <f>IFERROR(VLOOKUP(Tabela1[[#This Row],[CC]],#REF!,5,0),"")</f>
        <v/>
      </c>
      <c r="C1201" t="str">
        <f>IFERROR(VLOOKUP(Tabela1[[#This Row],[CC]],CC!$A$1:$H$389,7,0),"")</f>
        <v>RODRIGO CORUMBA</v>
      </c>
      <c r="D1201" t="str">
        <f>IFERROR(VLOOKUP(Tabela1[[#This Row],[CC]],CC!$A$1:$I$3869,3,0),"")</f>
        <v>RENDIMENTO</v>
      </c>
      <c r="E1201" t="str">
        <f>IFERROR(VLOOKUP(Tabela1[[#This Row],[CC]],CC!$A$1:$H$389,2,0),"")</f>
        <v>BANCO RENDIMENTO MONITORING CSA (1269)</v>
      </c>
      <c r="F1201" t="s">
        <v>586</v>
      </c>
      <c r="G1201" s="107">
        <v>4445</v>
      </c>
      <c r="H1201" s="12">
        <v>45901</v>
      </c>
      <c r="I1201" s="24">
        <v>6655.99</v>
      </c>
      <c r="J1201" s="27">
        <v>6246.65</v>
      </c>
      <c r="K1201" s="3">
        <v>45951</v>
      </c>
      <c r="L1201" s="91">
        <v>45957</v>
      </c>
      <c r="M1201" s="11">
        <v>45960</v>
      </c>
      <c r="N1201" s="18" t="s">
        <v>588</v>
      </c>
      <c r="O1201" s="34">
        <v>0</v>
      </c>
      <c r="P1201" s="14"/>
      <c r="Q1201" t="str">
        <f>IFERROR(VLOOKUP(Tabela1[[#This Row],[CC]],CC!$A$1:$H$389,5,0),"")</f>
        <v>CSA</v>
      </c>
      <c r="R1201" t="str">
        <f>IFERROR(VLOOKUP(Tabela1[[#This Row],[CC]],CC!$A$1:$H$389,6,0),"")</f>
        <v>FS</v>
      </c>
      <c r="S1201" t="str">
        <f>IFERROR(VLOOKUP(Tabela1[[#This Row],[CC]],CC!$A$1:$H$403,8,0),"")</f>
        <v>OP2</v>
      </c>
    </row>
    <row r="1202" spans="1:19" x14ac:dyDescent="0.3">
      <c r="A1202" s="8">
        <v>1269</v>
      </c>
      <c r="B1202" s="8" t="str">
        <f>IFERROR(VLOOKUP(Tabela1[[#This Row],[CC]],#REF!,5,0),"")</f>
        <v/>
      </c>
      <c r="C1202" t="str">
        <f>IFERROR(VLOOKUP(Tabela1[[#This Row],[CC]],CC!$A$1:$H$389,7,0),"")</f>
        <v>RODRIGO CORUMBA</v>
      </c>
      <c r="D1202" t="str">
        <f>IFERROR(VLOOKUP(Tabela1[[#This Row],[CC]],CC!$A$1:$I$3869,3,0),"")</f>
        <v>RENDIMENTO</v>
      </c>
      <c r="E1202" t="str">
        <f>IFERROR(VLOOKUP(Tabela1[[#This Row],[CC]],CC!$A$1:$H$389,2,0),"")</f>
        <v>BANCO RENDIMENTO MONITORING CSA (1269)</v>
      </c>
      <c r="F1202" t="s">
        <v>586</v>
      </c>
      <c r="G1202" s="107">
        <v>4446</v>
      </c>
      <c r="H1202" s="12">
        <v>45901</v>
      </c>
      <c r="I1202" s="24">
        <v>30699.39</v>
      </c>
      <c r="J1202" s="27">
        <v>28811.38</v>
      </c>
      <c r="K1202" s="3">
        <v>45951</v>
      </c>
      <c r="L1202" s="91">
        <v>45957</v>
      </c>
      <c r="M1202" s="11">
        <v>45960</v>
      </c>
      <c r="N1202" s="18" t="s">
        <v>588</v>
      </c>
      <c r="O1202" s="34">
        <v>0</v>
      </c>
      <c r="P1202" s="14"/>
      <c r="Q1202" t="str">
        <f>IFERROR(VLOOKUP(Tabela1[[#This Row],[CC]],CC!$A$1:$H$389,5,0),"")</f>
        <v>CSA</v>
      </c>
      <c r="R1202" t="str">
        <f>IFERROR(VLOOKUP(Tabela1[[#This Row],[CC]],CC!$A$1:$H$389,6,0),"")</f>
        <v>FS</v>
      </c>
      <c r="S1202" t="str">
        <f>IFERROR(VLOOKUP(Tabela1[[#This Row],[CC]],CC!$A$1:$H$403,8,0),"")</f>
        <v>OP2</v>
      </c>
    </row>
    <row r="1203" spans="1:19" x14ac:dyDescent="0.3">
      <c r="A1203" s="25">
        <v>1400</v>
      </c>
      <c r="B1203" s="25" t="str">
        <f>IFERROR(VLOOKUP(Tabela1[[#This Row],[CC]],#REF!,5,0),"")</f>
        <v/>
      </c>
      <c r="C1203" t="str">
        <f>IFERROR(VLOOKUP(Tabela1[[#This Row],[CC]],CC!$A$1:$H$389,7,0),"")</f>
        <v>CYRO SALVATORE</v>
      </c>
      <c r="D1203" t="str">
        <f>IFERROR(VLOOKUP(Tabela1[[#This Row],[CC]],CC!$A$1:$I$3869,3,0),"")</f>
        <v>SABESP</v>
      </c>
      <c r="E1203" t="str">
        <f>IFERROR(VLOOKUP(Tabela1[[#This Row],[CC]],CC!$A$1:$H$389,2,0),"")</f>
        <v>SABESP - MICROSOFT NOVO (1400)</v>
      </c>
      <c r="F1203" t="s">
        <v>586</v>
      </c>
      <c r="G1203" s="107">
        <v>8583</v>
      </c>
      <c r="H1203" s="12">
        <v>45901</v>
      </c>
      <c r="I1203" s="27">
        <v>77751.44</v>
      </c>
      <c r="J1203" s="24">
        <v>70248.429999999993</v>
      </c>
      <c r="K1203" s="3">
        <v>45964</v>
      </c>
      <c r="L1203" s="91">
        <v>45985</v>
      </c>
      <c r="M1203" s="11">
        <v>45988</v>
      </c>
      <c r="N1203" s="18" t="s">
        <v>588</v>
      </c>
      <c r="O1203" s="38"/>
      <c r="P1203"/>
      <c r="Q1203" t="str">
        <f>IFERROR(VLOOKUP(Tabela1[[#This Row],[CC]],CC!$A$1:$H$389,5,0),"")</f>
        <v>ADS</v>
      </c>
      <c r="R1203" t="str">
        <f>IFERROR(VLOOKUP(Tabela1[[#This Row],[CC]],CC!$A$1:$H$389,6,0),"")</f>
        <v>UT</v>
      </c>
      <c r="S1203" t="str">
        <f>IFERROR(VLOOKUP(Tabela1[[#This Row],[CC]],CC!$A$1:$H$403,8,0),"")</f>
        <v>OP1</v>
      </c>
    </row>
    <row r="1204" spans="1:19" x14ac:dyDescent="0.3">
      <c r="A1204" s="25">
        <v>1400</v>
      </c>
      <c r="B1204" s="25" t="str">
        <f>IFERROR(VLOOKUP(Tabela1[[#This Row],[CC]],#REF!,5,0),"")</f>
        <v/>
      </c>
      <c r="C1204" t="str">
        <f>IFERROR(VLOOKUP(Tabela1[[#This Row],[CC]],CC!$A$1:$H$389,7,0),"")</f>
        <v>CYRO SALVATORE</v>
      </c>
      <c r="D1204" t="str">
        <f>IFERROR(VLOOKUP(Tabela1[[#This Row],[CC]],CC!$A$1:$I$3869,3,0),"")</f>
        <v>SABESP</v>
      </c>
      <c r="E1204" t="str">
        <f>IFERROR(VLOOKUP(Tabela1[[#This Row],[CC]],CC!$A$1:$H$389,2,0),"")</f>
        <v>SABESP - MICROSOFT NOVO (1400)</v>
      </c>
      <c r="F1204" t="s">
        <v>586</v>
      </c>
      <c r="G1204" s="107">
        <v>8638</v>
      </c>
      <c r="H1204" s="12">
        <v>45901</v>
      </c>
      <c r="I1204" s="24">
        <v>408831.74</v>
      </c>
      <c r="J1204" s="27">
        <v>369379.47</v>
      </c>
      <c r="K1204" s="3">
        <v>45992</v>
      </c>
      <c r="L1204" s="91">
        <v>45992</v>
      </c>
      <c r="M1204" s="11">
        <v>45995</v>
      </c>
      <c r="N1204" s="18" t="s">
        <v>588</v>
      </c>
      <c r="O1204" s="35"/>
      <c r="P1204"/>
      <c r="Q1204" t="str">
        <f>IFERROR(VLOOKUP(Tabela1[[#This Row],[CC]],CC!$A$1:$H$389,5,0),"")</f>
        <v>ADS</v>
      </c>
      <c r="R1204" t="str">
        <f>IFERROR(VLOOKUP(Tabela1[[#This Row],[CC]],CC!$A$1:$H$389,6,0),"")</f>
        <v>UT</v>
      </c>
      <c r="S1204" t="str">
        <f>IFERROR(VLOOKUP(Tabela1[[#This Row],[CC]],CC!$A$1:$H$403,8,0),"")</f>
        <v>OP1</v>
      </c>
    </row>
    <row r="1205" spans="1:19" x14ac:dyDescent="0.3">
      <c r="A1205" s="8">
        <v>1501</v>
      </c>
      <c r="B1205" s="8" t="str">
        <f>IFERROR(VLOOKUP(Tabela1[[#This Row],[CC]],#REF!,5,0),"")</f>
        <v/>
      </c>
      <c r="C1205" t="str">
        <f>IFERROR(VLOOKUP(Tabela1[[#This Row],[CC]],CC!$A$1:$H$389,7,0),"")</f>
        <v>CYRO SALVATORE</v>
      </c>
      <c r="D1205" t="str">
        <f>IFERROR(VLOOKUP(Tabela1[[#This Row],[CC]],CC!$A$1:$I$3869,3,0),"")</f>
        <v>SABESP</v>
      </c>
      <c r="E1205" t="str">
        <f>IFERROR(VLOOKUP(Tabela1[[#This Row],[CC]],CC!$A$1:$H$389,2,0),"")</f>
        <v>SABESP - SD 2025 (1501)</v>
      </c>
      <c r="F1205" t="s">
        <v>586</v>
      </c>
      <c r="G1205" s="107">
        <v>8602</v>
      </c>
      <c r="H1205" s="12">
        <v>45901</v>
      </c>
      <c r="I1205" s="10">
        <v>428751</v>
      </c>
      <c r="J1205" s="10">
        <v>387376.51</v>
      </c>
      <c r="K1205" s="3">
        <v>45972</v>
      </c>
      <c r="L1205" s="91">
        <v>45985</v>
      </c>
      <c r="M1205" s="11">
        <v>45988</v>
      </c>
      <c r="N1205" s="18" t="s">
        <v>588</v>
      </c>
      <c r="O1205" s="34">
        <v>0</v>
      </c>
      <c r="P1205"/>
      <c r="Q1205" t="str">
        <f>IFERROR(VLOOKUP(Tabela1[[#This Row],[CC]],CC!$A$1:$H$389,5,0),"")</f>
        <v>CSA</v>
      </c>
      <c r="R1205" t="str">
        <f>IFERROR(VLOOKUP(Tabela1[[#This Row],[CC]],CC!$A$1:$H$389,6,0),"")</f>
        <v>UT</v>
      </c>
      <c r="S1205" t="str">
        <f>IFERROR(VLOOKUP(Tabela1[[#This Row],[CC]],CC!$A$1:$H$403,8,0),"")</f>
        <v>OP1</v>
      </c>
    </row>
    <row r="1206" spans="1:19" x14ac:dyDescent="0.3">
      <c r="A1206" s="25">
        <v>1388</v>
      </c>
      <c r="B1206" s="25" t="str">
        <f>IFERROR(VLOOKUP(Tabela1[[#This Row],[CC]],#REF!,5,0),"")</f>
        <v/>
      </c>
      <c r="C1206" t="str">
        <f>IFERROR(VLOOKUP(Tabela1[[#This Row],[CC]],CC!$A$1:$H$389,7,0),"")</f>
        <v>CYRO SALVATORE</v>
      </c>
      <c r="D1206" t="str">
        <f>IFERROR(VLOOKUP(Tabela1[[#This Row],[CC]],CC!$A$1:$I$3869,3,0),"")</f>
        <v>SABESP</v>
      </c>
      <c r="E1206" t="str">
        <f>IFERROR(VLOOKUP(Tabela1[[#This Row],[CC]],CC!$A$1:$H$389,2,0),"")</f>
        <v>SABESP - NETCONTROL (1388)</v>
      </c>
      <c r="F1206" t="s">
        <v>586</v>
      </c>
      <c r="G1206" s="107">
        <v>4489</v>
      </c>
      <c r="H1206" s="12">
        <v>45901</v>
      </c>
      <c r="I1206" s="27">
        <v>205887.45</v>
      </c>
      <c r="J1206" s="24">
        <v>186019.32</v>
      </c>
      <c r="K1206" s="3">
        <v>45964</v>
      </c>
      <c r="L1206" s="91">
        <v>45985</v>
      </c>
      <c r="M1206" s="11">
        <v>45988</v>
      </c>
      <c r="N1206" s="18" t="s">
        <v>588</v>
      </c>
      <c r="O1206" s="35"/>
      <c r="P1206"/>
      <c r="Q1206" t="str">
        <f>IFERROR(VLOOKUP(Tabela1[[#This Row],[CC]],CC!$A$1:$H$389,5,0),"")</f>
        <v>ADS</v>
      </c>
      <c r="R1206" t="str">
        <f>IFERROR(VLOOKUP(Tabela1[[#This Row],[CC]],CC!$A$1:$H$389,6,0),"")</f>
        <v>UT</v>
      </c>
      <c r="S1206" t="str">
        <f>IFERROR(VLOOKUP(Tabela1[[#This Row],[CC]],CC!$A$1:$H$403,8,0),"")</f>
        <v>OP1</v>
      </c>
    </row>
    <row r="1207" spans="1:19" x14ac:dyDescent="0.3">
      <c r="A1207" s="8">
        <v>1298</v>
      </c>
      <c r="B1207" s="8" t="str">
        <f>IFERROR(VLOOKUP(Tabela1[[#This Row],[CC]],#REF!,5,0),"")</f>
        <v/>
      </c>
      <c r="C1207" t="str">
        <f>IFERROR(VLOOKUP(Tabela1[[#This Row],[CC]],CC!$A$1:$H$389,7,0),"")</f>
        <v>JOSÉ NETO</v>
      </c>
      <c r="D1207" t="str">
        <f>IFERROR(VLOOKUP(Tabela1[[#This Row],[CC]],CC!$A$1:$I$3869,3,0),"")</f>
        <v>SEBRAE</v>
      </c>
      <c r="E1207" t="str">
        <f>IFERROR(VLOOKUP(Tabela1[[#This Row],[CC]],CC!$A$1:$H$389,2,0),"")</f>
        <v>SEBRAE-SP DC NOVO (1298)</v>
      </c>
      <c r="F1207" t="s">
        <v>586</v>
      </c>
      <c r="G1207" s="107">
        <v>1304</v>
      </c>
      <c r="H1207" s="12">
        <v>45901</v>
      </c>
      <c r="I1207" s="24">
        <v>279997.09000000003</v>
      </c>
      <c r="J1207" s="27">
        <v>262777.28000000003</v>
      </c>
      <c r="K1207" s="3">
        <v>45946</v>
      </c>
      <c r="L1207" s="91">
        <v>45957</v>
      </c>
      <c r="M1207" s="11">
        <v>45961</v>
      </c>
      <c r="N1207" s="18" t="s">
        <v>588</v>
      </c>
      <c r="O1207" s="34">
        <v>0</v>
      </c>
      <c r="P1207"/>
      <c r="Q1207" t="str">
        <f>IFERROR(VLOOKUP(Tabela1[[#This Row],[CC]],CC!$A$1:$H$389,5,0),"")</f>
        <v>CSA</v>
      </c>
      <c r="R1207" t="str">
        <f>IFERROR(VLOOKUP(Tabela1[[#This Row],[CC]],CC!$A$1:$H$389,6,0),"")</f>
        <v>PS</v>
      </c>
      <c r="S1207" t="str">
        <f>IFERROR(VLOOKUP(Tabela1[[#This Row],[CC]],CC!$A$1:$H$403,8,0),"")</f>
        <v>OP2</v>
      </c>
    </row>
    <row r="1208" spans="1:19" x14ac:dyDescent="0.3">
      <c r="A1208" s="25">
        <v>1289</v>
      </c>
      <c r="B1208" s="25" t="str">
        <f>IFERROR(VLOOKUP(Tabela1[[#This Row],[CC]],#REF!,5,0),"")</f>
        <v/>
      </c>
      <c r="C1208" t="str">
        <f>IFERROR(VLOOKUP(Tabela1[[#This Row],[CC]],CC!$A$1:$H$389,7,0),"")</f>
        <v>LIZANDRA PIMENTA</v>
      </c>
      <c r="D1208" t="str">
        <f>IFERROR(VLOOKUP(Tabela1[[#This Row],[CC]],CC!$A$1:$I$3869,3,0),"")</f>
        <v>SEC-BA</v>
      </c>
      <c r="E1208" t="str">
        <f>IFERROR(VLOOKUP(Tabela1[[#This Row],[CC]],CC!$A$1:$H$389,2,0),"")</f>
        <v>SEC N3 NOVO (1289)</v>
      </c>
      <c r="F1208" t="s">
        <v>586</v>
      </c>
      <c r="G1208" s="107">
        <v>8565</v>
      </c>
      <c r="H1208" s="12">
        <v>45901</v>
      </c>
      <c r="I1208" s="24">
        <v>288631.78000000003</v>
      </c>
      <c r="J1208" s="24">
        <v>269004.81</v>
      </c>
      <c r="K1208" s="3">
        <v>45945</v>
      </c>
      <c r="L1208" s="91">
        <v>45957</v>
      </c>
      <c r="M1208" s="11">
        <v>45957</v>
      </c>
      <c r="N1208" s="18" t="s">
        <v>588</v>
      </c>
      <c r="O1208" s="35"/>
      <c r="P1208"/>
      <c r="Q1208" t="str">
        <f>IFERROR(VLOOKUP(Tabela1[[#This Row],[CC]],CC!$A$1:$H$389,5,0),"")</f>
        <v>CSA</v>
      </c>
      <c r="R1208" t="str">
        <f>IFERROR(VLOOKUP(Tabela1[[#This Row],[CC]],CC!$A$1:$H$389,6,0),"")</f>
        <v>PS</v>
      </c>
      <c r="S1208" t="str">
        <f>IFERROR(VLOOKUP(Tabela1[[#This Row],[CC]],CC!$A$1:$H$403,8,0),"")</f>
        <v>OP3</v>
      </c>
    </row>
    <row r="1209" spans="1:19" x14ac:dyDescent="0.3">
      <c r="A1209" s="25">
        <v>1288</v>
      </c>
      <c r="B1209" s="25" t="str">
        <f>IFERROR(VLOOKUP(Tabela1[[#This Row],[CC]],#REF!,5,0),"")</f>
        <v/>
      </c>
      <c r="C1209" t="str">
        <f>IFERROR(VLOOKUP(Tabela1[[#This Row],[CC]],CC!$A$1:$H$389,7,0),"")</f>
        <v>LIZANDRA PIMENTA</v>
      </c>
      <c r="D1209" t="str">
        <f>IFERROR(VLOOKUP(Tabela1[[#This Row],[CC]],CC!$A$1:$I$3869,3,0),"")</f>
        <v>SEC-BA</v>
      </c>
      <c r="E1209" t="str">
        <f>IFERROR(VLOOKUP(Tabela1[[#This Row],[CC]],CC!$A$1:$H$389,2,0),"")</f>
        <v>SEC BA SISTEMAS  (1288)</v>
      </c>
      <c r="F1209" t="s">
        <v>586</v>
      </c>
      <c r="G1209" s="107">
        <v>8575</v>
      </c>
      <c r="H1209" s="12">
        <v>45901</v>
      </c>
      <c r="I1209" s="24">
        <v>393560.01</v>
      </c>
      <c r="J1209" s="24">
        <v>366797.93</v>
      </c>
      <c r="K1209" s="3">
        <v>45953</v>
      </c>
      <c r="L1209" s="93">
        <v>45964</v>
      </c>
      <c r="M1209" s="11">
        <v>45966</v>
      </c>
      <c r="N1209" s="18" t="s">
        <v>588</v>
      </c>
      <c r="O1209" s="56"/>
      <c r="P1209" s="26"/>
      <c r="Q1209" t="str">
        <f>IFERROR(VLOOKUP(Tabela1[[#This Row],[CC]],CC!$A$1:$H$389,5,0),"")</f>
        <v>ADS</v>
      </c>
      <c r="R1209" t="str">
        <f>IFERROR(VLOOKUP(Tabela1[[#This Row],[CC]],CC!$A$1:$H$389,6,0),"")</f>
        <v>PS</v>
      </c>
      <c r="S1209" t="str">
        <f>IFERROR(VLOOKUP(Tabela1[[#This Row],[CC]],CC!$A$1:$H$403,8,0),"")</f>
        <v>OP3</v>
      </c>
    </row>
    <row r="1210" spans="1:19" x14ac:dyDescent="0.3">
      <c r="A1210" s="25">
        <v>1271</v>
      </c>
      <c r="B1210" s="25" t="str">
        <f>IFERROR(VLOOKUP(Tabela1[[#This Row],[CC]],#REF!,5,0),"")</f>
        <v/>
      </c>
      <c r="C1210" t="str">
        <f>IFERROR(VLOOKUP(Tabela1[[#This Row],[CC]],CC!$A$1:$H$389,7,0),"")</f>
        <v>LIZANDRA PIMENTA</v>
      </c>
      <c r="D1210" t="str">
        <f>IFERROR(VLOOKUP(Tabela1[[#This Row],[CC]],CC!$A$1:$I$3869,3,0),"")</f>
        <v>SEC-BA</v>
      </c>
      <c r="E1210" t="str">
        <f>IFERROR(VLOOKUP(Tabela1[[#This Row],[CC]],CC!$A$1:$H$389,2,0),"")</f>
        <v>SEC SD (1271)</v>
      </c>
      <c r="F1210" t="s">
        <v>586</v>
      </c>
      <c r="G1210" s="107">
        <v>8563</v>
      </c>
      <c r="H1210" s="12">
        <v>45901</v>
      </c>
      <c r="I1210" s="24">
        <v>255597.54</v>
      </c>
      <c r="J1210" s="24">
        <v>238216.91</v>
      </c>
      <c r="K1210" s="3">
        <v>45944</v>
      </c>
      <c r="L1210" s="91">
        <v>45957</v>
      </c>
      <c r="M1210" s="11">
        <v>45957</v>
      </c>
      <c r="N1210" s="18" t="s">
        <v>588</v>
      </c>
      <c r="O1210" s="35">
        <v>0</v>
      </c>
      <c r="P1210"/>
      <c r="Q1210" t="str">
        <f>IFERROR(VLOOKUP(Tabela1[[#This Row],[CC]],CC!$A$1:$H$389,5,0),"")</f>
        <v>CSA</v>
      </c>
      <c r="R1210" t="str">
        <f>IFERROR(VLOOKUP(Tabela1[[#This Row],[CC]],CC!$A$1:$H$389,6,0),"")</f>
        <v>PS</v>
      </c>
      <c r="S1210" t="str">
        <f>IFERROR(VLOOKUP(Tabela1[[#This Row],[CC]],CC!$A$1:$H$403,8,0),"")</f>
        <v>OP3</v>
      </c>
    </row>
    <row r="1211" spans="1:19" x14ac:dyDescent="0.3">
      <c r="A1211" s="8">
        <v>1394</v>
      </c>
      <c r="B1211" s="8" t="str">
        <f>IFERROR(VLOOKUP(Tabela1[[#This Row],[CC]],#REF!,5,0),"")</f>
        <v/>
      </c>
      <c r="C1211" t="str">
        <f>IFERROR(VLOOKUP(Tabela1[[#This Row],[CC]],CC!$A$1:$H$389,7,0),"")</f>
        <v>ANTONIO ALVES</v>
      </c>
      <c r="D1211" t="str">
        <f>IFERROR(VLOOKUP(Tabela1[[#This Row],[CC]],CC!$A$1:$I$3869,3,0),"")</f>
        <v>SEFAZ_BA</v>
      </c>
      <c r="E1211" t="str">
        <f>IFERROR(VLOOKUP(Tabela1[[#This Row],[CC]],CC!$A$1:$H$389,2,0),"")</f>
        <v>SEFAZ - BA DIGITAL CENTER (1394)</v>
      </c>
      <c r="F1211" t="s">
        <v>586</v>
      </c>
      <c r="G1211" s="107">
        <v>8548</v>
      </c>
      <c r="H1211" s="12">
        <v>45901</v>
      </c>
      <c r="I1211" s="24">
        <v>226733.57</v>
      </c>
      <c r="J1211" s="24">
        <v>211315.69</v>
      </c>
      <c r="K1211" s="3">
        <v>45938</v>
      </c>
      <c r="L1211" s="91">
        <v>45950</v>
      </c>
      <c r="M1211" s="5">
        <v>45950</v>
      </c>
      <c r="N1211" s="21" t="s">
        <v>588</v>
      </c>
      <c r="O1211" s="54">
        <v>0</v>
      </c>
      <c r="P1211" s="14"/>
      <c r="Q1211" t="str">
        <f>IFERROR(VLOOKUP(Tabela1[[#This Row],[CC]],CC!$A$1:$H$389,5,0),"")</f>
        <v>CSA</v>
      </c>
      <c r="R1211" t="str">
        <f>IFERROR(VLOOKUP(Tabela1[[#This Row],[CC]],CC!$A$1:$H$389,6,0),"")</f>
        <v>PS</v>
      </c>
      <c r="S1211" t="str">
        <f>IFERROR(VLOOKUP(Tabela1[[#This Row],[CC]],CC!$A$1:$H$403,8,0),"")</f>
        <v>OP4</v>
      </c>
    </row>
    <row r="1212" spans="1:19" x14ac:dyDescent="0.3">
      <c r="A1212" s="8">
        <v>1394</v>
      </c>
      <c r="B1212" s="8" t="str">
        <f>IFERROR(VLOOKUP(Tabela1[[#This Row],[CC]],#REF!,5,0),"")</f>
        <v/>
      </c>
      <c r="C1212" t="str">
        <f>IFERROR(VLOOKUP(Tabela1[[#This Row],[CC]],CC!$A$1:$H$389,7,0),"")</f>
        <v>ANTONIO ALVES</v>
      </c>
      <c r="D1212" t="str">
        <f>IFERROR(VLOOKUP(Tabela1[[#This Row],[CC]],CC!$A$1:$I$3869,3,0),"")</f>
        <v>SEFAZ_BA</v>
      </c>
      <c r="E1212" t="str">
        <f>IFERROR(VLOOKUP(Tabela1[[#This Row],[CC]],CC!$A$1:$H$389,2,0),"")</f>
        <v>SEFAZ - BA DIGITAL CENTER (1394)</v>
      </c>
      <c r="F1212" t="s">
        <v>586</v>
      </c>
      <c r="G1212" s="107">
        <v>8554</v>
      </c>
      <c r="H1212" s="12">
        <v>45901</v>
      </c>
      <c r="I1212" s="44">
        <v>117291.83</v>
      </c>
      <c r="J1212" s="27">
        <v>109315.98</v>
      </c>
      <c r="K1212" s="3">
        <v>45943</v>
      </c>
      <c r="L1212" s="91">
        <v>45950</v>
      </c>
      <c r="M1212" s="5">
        <v>45951</v>
      </c>
      <c r="N1212" s="21" t="s">
        <v>588</v>
      </c>
      <c r="O1212" s="54">
        <v>0</v>
      </c>
      <c r="P1212" s="14"/>
      <c r="Q1212" t="str">
        <f>IFERROR(VLOOKUP(Tabela1[[#This Row],[CC]],CC!$A$1:$H$389,5,0),"")</f>
        <v>CSA</v>
      </c>
      <c r="R1212" t="str">
        <f>IFERROR(VLOOKUP(Tabela1[[#This Row],[CC]],CC!$A$1:$H$389,6,0),"")</f>
        <v>PS</v>
      </c>
      <c r="S1212" t="str">
        <f>IFERROR(VLOOKUP(Tabela1[[#This Row],[CC]],CC!$A$1:$H$403,8,0),"")</f>
        <v>OP4</v>
      </c>
    </row>
    <row r="1213" spans="1:19" x14ac:dyDescent="0.3">
      <c r="A1213" s="8">
        <v>1394</v>
      </c>
      <c r="B1213" s="8" t="str">
        <f>IFERROR(VLOOKUP(Tabela1[[#This Row],[CC]],#REF!,5,0),"")</f>
        <v/>
      </c>
      <c r="C1213" t="str">
        <f>IFERROR(VLOOKUP(Tabela1[[#This Row],[CC]],CC!$A$1:$H$389,7,0),"")</f>
        <v>ANTONIO ALVES</v>
      </c>
      <c r="D1213" t="str">
        <f>IFERROR(VLOOKUP(Tabela1[[#This Row],[CC]],CC!$A$1:$I$3869,3,0),"")</f>
        <v>SEFAZ_BA</v>
      </c>
      <c r="E1213" t="str">
        <f>IFERROR(VLOOKUP(Tabela1[[#This Row],[CC]],CC!$A$1:$H$389,2,0),"")</f>
        <v>SEFAZ - BA DIGITAL CENTER (1394)</v>
      </c>
      <c r="F1213" t="s">
        <v>586</v>
      </c>
      <c r="G1213" s="107">
        <v>8561</v>
      </c>
      <c r="H1213" s="12">
        <v>45901</v>
      </c>
      <c r="I1213" s="44">
        <v>13956.1</v>
      </c>
      <c r="J1213" s="24">
        <v>13007.09</v>
      </c>
      <c r="K1213" s="3">
        <v>45944</v>
      </c>
      <c r="L1213" s="91">
        <v>45957</v>
      </c>
      <c r="M1213" s="5">
        <v>45958</v>
      </c>
      <c r="N1213" s="21" t="s">
        <v>588</v>
      </c>
      <c r="O1213" s="54">
        <v>0</v>
      </c>
      <c r="P1213" s="14"/>
      <c r="Q1213" t="str">
        <f>IFERROR(VLOOKUP(Tabela1[[#This Row],[CC]],CC!$A$1:$H$389,5,0),"")</f>
        <v>CSA</v>
      </c>
      <c r="R1213" t="str">
        <f>IFERROR(VLOOKUP(Tabela1[[#This Row],[CC]],CC!$A$1:$H$389,6,0),"")</f>
        <v>PS</v>
      </c>
      <c r="S1213" t="str">
        <f>IFERROR(VLOOKUP(Tabela1[[#This Row],[CC]],CC!$A$1:$H$403,8,0),"")</f>
        <v>OP4</v>
      </c>
    </row>
    <row r="1214" spans="1:19" x14ac:dyDescent="0.3">
      <c r="A1214" s="8">
        <v>1394</v>
      </c>
      <c r="B1214" s="8" t="str">
        <f>IFERROR(VLOOKUP(Tabela1[[#This Row],[CC]],#REF!,5,0),"")</f>
        <v/>
      </c>
      <c r="C1214" t="str">
        <f>IFERROR(VLOOKUP(Tabela1[[#This Row],[CC]],CC!$A$1:$H$389,7,0),"")</f>
        <v>ANTONIO ALVES</v>
      </c>
      <c r="D1214" t="str">
        <f>IFERROR(VLOOKUP(Tabela1[[#This Row],[CC]],CC!$A$1:$I$3869,3,0),"")</f>
        <v>SEFAZ_BA</v>
      </c>
      <c r="E1214" t="str">
        <f>IFERROR(VLOOKUP(Tabela1[[#This Row],[CC]],CC!$A$1:$H$389,2,0),"")</f>
        <v>SEFAZ - BA DIGITAL CENTER (1394)</v>
      </c>
      <c r="F1214" t="s">
        <v>586</v>
      </c>
      <c r="G1214" s="107">
        <v>8568</v>
      </c>
      <c r="H1214" s="12">
        <v>45901</v>
      </c>
      <c r="I1214" s="44">
        <v>89335</v>
      </c>
      <c r="J1214" s="24">
        <v>83260.22</v>
      </c>
      <c r="K1214" s="3">
        <v>45946</v>
      </c>
      <c r="L1214" s="91">
        <v>45950</v>
      </c>
      <c r="M1214" s="5">
        <v>45952</v>
      </c>
      <c r="N1214" s="21" t="s">
        <v>588</v>
      </c>
      <c r="O1214" s="54">
        <v>0</v>
      </c>
      <c r="P1214" s="14"/>
      <c r="Q1214" t="str">
        <f>IFERROR(VLOOKUP(Tabela1[[#This Row],[CC]],CC!$A$1:$H$389,5,0),"")</f>
        <v>CSA</v>
      </c>
      <c r="R1214" t="str">
        <f>IFERROR(VLOOKUP(Tabela1[[#This Row],[CC]],CC!$A$1:$H$389,6,0),"")</f>
        <v>PS</v>
      </c>
      <c r="S1214" t="str">
        <f>IFERROR(VLOOKUP(Tabela1[[#This Row],[CC]],CC!$A$1:$H$403,8,0),"")</f>
        <v>OP4</v>
      </c>
    </row>
    <row r="1215" spans="1:19" x14ac:dyDescent="0.3">
      <c r="A1215" s="8">
        <v>1394</v>
      </c>
      <c r="B1215" s="8" t="str">
        <f>IFERROR(VLOOKUP(Tabela1[[#This Row],[CC]],#REF!,5,0),"")</f>
        <v/>
      </c>
      <c r="C1215" t="str">
        <f>IFERROR(VLOOKUP(Tabela1[[#This Row],[CC]],CC!$A$1:$H$389,7,0),"")</f>
        <v>ANTONIO ALVES</v>
      </c>
      <c r="D1215" t="str">
        <f>IFERROR(VLOOKUP(Tabela1[[#This Row],[CC]],CC!$A$1:$I$3869,3,0),"")</f>
        <v>SEFAZ_BA</v>
      </c>
      <c r="E1215" t="str">
        <f>IFERROR(VLOOKUP(Tabela1[[#This Row],[CC]],CC!$A$1:$H$389,2,0),"")</f>
        <v>SEFAZ - BA DIGITAL CENTER (1394)</v>
      </c>
      <c r="F1215" t="s">
        <v>586</v>
      </c>
      <c r="G1215" s="107">
        <v>8569</v>
      </c>
      <c r="H1215" s="12">
        <v>45901</v>
      </c>
      <c r="I1215" s="44">
        <v>297806.21999999997</v>
      </c>
      <c r="J1215" s="24">
        <v>277555.40000000002</v>
      </c>
      <c r="K1215" s="3">
        <v>45946</v>
      </c>
      <c r="L1215" s="91">
        <v>45957</v>
      </c>
      <c r="M1215" s="5">
        <v>45958</v>
      </c>
      <c r="N1215" s="21" t="s">
        <v>588</v>
      </c>
      <c r="O1215" s="54">
        <v>0</v>
      </c>
      <c r="P1215" s="14"/>
      <c r="Q1215" t="str">
        <f>IFERROR(VLOOKUP(Tabela1[[#This Row],[CC]],CC!$A$1:$H$389,5,0),"")</f>
        <v>CSA</v>
      </c>
      <c r="R1215" t="str">
        <f>IFERROR(VLOOKUP(Tabela1[[#This Row],[CC]],CC!$A$1:$H$389,6,0),"")</f>
        <v>PS</v>
      </c>
      <c r="S1215" t="str">
        <f>IFERROR(VLOOKUP(Tabela1[[#This Row],[CC]],CC!$A$1:$H$403,8,0),"")</f>
        <v>OP4</v>
      </c>
    </row>
    <row r="1216" spans="1:19" x14ac:dyDescent="0.3">
      <c r="A1216" s="8">
        <v>1394</v>
      </c>
      <c r="B1216" s="8" t="str">
        <f>IFERROR(VLOOKUP(Tabela1[[#This Row],[CC]],#REF!,5,0),"")</f>
        <v/>
      </c>
      <c r="C1216" t="str">
        <f>IFERROR(VLOOKUP(Tabela1[[#This Row],[CC]],CC!$A$1:$H$389,7,0),"")</f>
        <v>ANTONIO ALVES</v>
      </c>
      <c r="D1216" t="str">
        <f>IFERROR(VLOOKUP(Tabela1[[#This Row],[CC]],CC!$A$1:$I$3869,3,0),"")</f>
        <v>SEFAZ_BA</v>
      </c>
      <c r="E1216" t="str">
        <f>IFERROR(VLOOKUP(Tabela1[[#This Row],[CC]],CC!$A$1:$H$389,2,0),"")</f>
        <v>SEFAZ - BA DIGITAL CENTER (1394)</v>
      </c>
      <c r="F1216" t="s">
        <v>586</v>
      </c>
      <c r="G1216" s="107">
        <v>8570</v>
      </c>
      <c r="H1216" s="12">
        <v>45901</v>
      </c>
      <c r="I1216" s="44">
        <v>97752.15</v>
      </c>
      <c r="J1216" s="24">
        <v>91105.01</v>
      </c>
      <c r="K1216" s="3">
        <v>45946</v>
      </c>
      <c r="L1216" s="91">
        <v>45950</v>
      </c>
      <c r="M1216" s="5">
        <v>45954</v>
      </c>
      <c r="N1216" s="21" t="s">
        <v>588</v>
      </c>
      <c r="O1216" s="54">
        <v>0</v>
      </c>
      <c r="P1216" s="14"/>
      <c r="Q1216" t="str">
        <f>IFERROR(VLOOKUP(Tabela1[[#This Row],[CC]],CC!$A$1:$H$389,5,0),"")</f>
        <v>CSA</v>
      </c>
      <c r="R1216" t="str">
        <f>IFERROR(VLOOKUP(Tabela1[[#This Row],[CC]],CC!$A$1:$H$389,6,0),"")</f>
        <v>PS</v>
      </c>
      <c r="S1216" t="str">
        <f>IFERROR(VLOOKUP(Tabela1[[#This Row],[CC]],CC!$A$1:$H$403,8,0),"")</f>
        <v>OP4</v>
      </c>
    </row>
    <row r="1217" spans="1:19" x14ac:dyDescent="0.3">
      <c r="A1217" s="8">
        <v>1394</v>
      </c>
      <c r="B1217" s="8" t="str">
        <f>IFERROR(VLOOKUP(Tabela1[[#This Row],[CC]],#REF!,5,0),"")</f>
        <v/>
      </c>
      <c r="C1217" t="str">
        <f>IFERROR(VLOOKUP(Tabela1[[#This Row],[CC]],CC!$A$1:$H$389,7,0),"")</f>
        <v>ANTONIO ALVES</v>
      </c>
      <c r="D1217" t="str">
        <f>IFERROR(VLOOKUP(Tabela1[[#This Row],[CC]],CC!$A$1:$I$3869,3,0),"")</f>
        <v>SEFAZ_BA</v>
      </c>
      <c r="E1217" t="str">
        <f>IFERROR(VLOOKUP(Tabela1[[#This Row],[CC]],CC!$A$1:$H$389,2,0),"")</f>
        <v>SEFAZ - BA DIGITAL CENTER (1394)</v>
      </c>
      <c r="F1217" t="s">
        <v>586</v>
      </c>
      <c r="G1217" s="107">
        <v>8572</v>
      </c>
      <c r="H1217" s="12">
        <v>45901</v>
      </c>
      <c r="I1217" s="44">
        <v>195140.88</v>
      </c>
      <c r="J1217" s="24">
        <v>181871.3</v>
      </c>
      <c r="K1217" s="3">
        <v>45950</v>
      </c>
      <c r="L1217" s="91">
        <v>45950</v>
      </c>
      <c r="M1217" s="5">
        <v>45954</v>
      </c>
      <c r="N1217" s="21" t="s">
        <v>588</v>
      </c>
      <c r="O1217" s="54">
        <v>0</v>
      </c>
      <c r="P1217" s="14"/>
      <c r="Q1217" t="str">
        <f>IFERROR(VLOOKUP(Tabela1[[#This Row],[CC]],CC!$A$1:$H$389,5,0),"")</f>
        <v>CSA</v>
      </c>
      <c r="R1217" t="str">
        <f>IFERROR(VLOOKUP(Tabela1[[#This Row],[CC]],CC!$A$1:$H$389,6,0),"")</f>
        <v>PS</v>
      </c>
      <c r="S1217" t="str">
        <f>IFERROR(VLOOKUP(Tabela1[[#This Row],[CC]],CC!$A$1:$H$403,8,0),"")</f>
        <v>OP4</v>
      </c>
    </row>
    <row r="1218" spans="1:19" x14ac:dyDescent="0.3">
      <c r="A1218" s="8">
        <v>1394</v>
      </c>
      <c r="B1218" s="8" t="str">
        <f>IFERROR(VLOOKUP(Tabela1[[#This Row],[CC]],#REF!,5,0),"")</f>
        <v/>
      </c>
      <c r="C1218" t="str">
        <f>IFERROR(VLOOKUP(Tabela1[[#This Row],[CC]],CC!$A$1:$H$389,7,0),"")</f>
        <v>ANTONIO ALVES</v>
      </c>
      <c r="D1218" t="str">
        <f>IFERROR(VLOOKUP(Tabela1[[#This Row],[CC]],CC!$A$1:$I$3869,3,0),"")</f>
        <v>SEFAZ_BA</v>
      </c>
      <c r="E1218" t="str">
        <f>IFERROR(VLOOKUP(Tabela1[[#This Row],[CC]],CC!$A$1:$H$389,2,0),"")</f>
        <v>SEFAZ - BA DIGITAL CENTER (1394)</v>
      </c>
      <c r="F1218" t="s">
        <v>586</v>
      </c>
      <c r="G1218" s="107">
        <v>8576</v>
      </c>
      <c r="H1218" s="12">
        <v>45901</v>
      </c>
      <c r="I1218" s="24">
        <v>133850.94</v>
      </c>
      <c r="J1218" s="24">
        <v>124749.07</v>
      </c>
      <c r="K1218" s="3">
        <v>45959</v>
      </c>
      <c r="L1218" s="91">
        <v>45964</v>
      </c>
      <c r="M1218" s="5">
        <v>45968</v>
      </c>
      <c r="N1218" s="21" t="s">
        <v>588</v>
      </c>
      <c r="O1218" s="54"/>
      <c r="P1218" s="14"/>
      <c r="Q1218" t="str">
        <f>IFERROR(VLOOKUP(Tabela1[[#This Row],[CC]],CC!$A$1:$H$389,5,0),"")</f>
        <v>CSA</v>
      </c>
      <c r="R1218" t="str">
        <f>IFERROR(VLOOKUP(Tabela1[[#This Row],[CC]],CC!$A$1:$H$389,6,0),"")</f>
        <v>PS</v>
      </c>
      <c r="S1218" t="str">
        <f>IFERROR(VLOOKUP(Tabela1[[#This Row],[CC]],CC!$A$1:$H$403,8,0),"")</f>
        <v>OP4</v>
      </c>
    </row>
    <row r="1219" spans="1:19" x14ac:dyDescent="0.3">
      <c r="A1219" s="25">
        <v>1500</v>
      </c>
      <c r="B1219" s="25" t="str">
        <f>IFERROR(VLOOKUP(Tabela1[[#This Row],[CC]],#REF!,5,0),"")</f>
        <v/>
      </c>
      <c r="C1219" t="str">
        <f>IFERROR(VLOOKUP(Tabela1[[#This Row],[CC]],CC!$A$1:$H$389,7,0),"")</f>
        <v>RITA ANDRADE</v>
      </c>
      <c r="D1219" t="str">
        <f>IFERROR(VLOOKUP(Tabela1[[#This Row],[CC]],CC!$A$1:$I$3869,3,0),"")</f>
        <v>SERASA</v>
      </c>
      <c r="E1219" t="str">
        <f>IFERROR(VLOOKUP(Tabela1[[#This Row],[CC]],CC!$A$1:$H$389,2,0),"")</f>
        <v>SERASA (BPS) (1500)</v>
      </c>
      <c r="F1219" t="s">
        <v>586</v>
      </c>
      <c r="G1219" s="107">
        <v>4359</v>
      </c>
      <c r="H1219" s="12">
        <v>45901</v>
      </c>
      <c r="I1219" s="24">
        <v>43479.040000000001</v>
      </c>
      <c r="J1219" s="24">
        <v>40805.07</v>
      </c>
      <c r="K1219" s="3">
        <v>45915</v>
      </c>
      <c r="L1219" s="91">
        <v>45931</v>
      </c>
      <c r="M1219" s="11">
        <v>45933</v>
      </c>
      <c r="N1219" s="18" t="s">
        <v>588</v>
      </c>
      <c r="O1219" s="35"/>
      <c r="P1219"/>
      <c r="Q1219" t="str">
        <f>IFERROR(VLOOKUP(Tabela1[[#This Row],[CC]],CC!$A$1:$H$389,5,0),"")</f>
        <v>BPS</v>
      </c>
      <c r="R1219" t="str">
        <f>IFERROR(VLOOKUP(Tabela1[[#This Row],[CC]],CC!$A$1:$H$389,6,0),"")</f>
        <v>FS</v>
      </c>
      <c r="S1219" t="str">
        <f>IFERROR(VLOOKUP(Tabela1[[#This Row],[CC]],CC!$A$1:$H$403,8,0),"")</f>
        <v>OP1</v>
      </c>
    </row>
    <row r="1220" spans="1:19" x14ac:dyDescent="0.3">
      <c r="A1220" s="25">
        <v>1360</v>
      </c>
      <c r="B1220" s="25" t="str">
        <f>IFERROR(VLOOKUP(Tabela1[[#This Row],[CC]],#REF!,5,0),"")</f>
        <v/>
      </c>
      <c r="C1220" t="str">
        <f>IFERROR(VLOOKUP(Tabela1[[#This Row],[CC]],CC!$A$1:$H$389,7,0),"")</f>
        <v>RITA ANDRADE</v>
      </c>
      <c r="D1220" t="str">
        <f>IFERROR(VLOOKUP(Tabela1[[#This Row],[CC]],CC!$A$1:$I$3869,3,0),"")</f>
        <v>SERASA</v>
      </c>
      <c r="E1220" t="str">
        <f>IFERROR(VLOOKUP(Tabela1[[#This Row],[CC]],CC!$A$1:$H$389,2,0),"")</f>
        <v>SERASA EXPERIAN (1360)</v>
      </c>
      <c r="F1220" t="s">
        <v>586</v>
      </c>
      <c r="G1220" s="107">
        <v>4343</v>
      </c>
      <c r="H1220" s="12">
        <v>45901</v>
      </c>
      <c r="I1220" s="24">
        <v>29534</v>
      </c>
      <c r="J1220" s="24">
        <v>27717.66</v>
      </c>
      <c r="K1220" s="3">
        <v>45912</v>
      </c>
      <c r="L1220" s="91">
        <v>45931</v>
      </c>
      <c r="M1220" s="11">
        <v>45933</v>
      </c>
      <c r="N1220" s="18" t="s">
        <v>588</v>
      </c>
      <c r="O1220" s="35"/>
      <c r="P1220"/>
      <c r="Q1220" t="str">
        <f>IFERROR(VLOOKUP(Tabela1[[#This Row],[CC]],CC!$A$1:$H$389,5,0),"")</f>
        <v>ADS</v>
      </c>
      <c r="R1220" t="str">
        <f>IFERROR(VLOOKUP(Tabela1[[#This Row],[CC]],CC!$A$1:$H$389,6,0),"")</f>
        <v>FS</v>
      </c>
      <c r="S1220" t="str">
        <f>IFERROR(VLOOKUP(Tabela1[[#This Row],[CC]],CC!$A$1:$H$403,8,0),"")</f>
        <v>OP1</v>
      </c>
    </row>
    <row r="1221" spans="1:19" x14ac:dyDescent="0.3">
      <c r="A1221" s="25">
        <v>1360</v>
      </c>
      <c r="B1221" s="25" t="str">
        <f>IFERROR(VLOOKUP(Tabela1[[#This Row],[CC]],#REF!,5,0),"")</f>
        <v/>
      </c>
      <c r="C1221" t="str">
        <f>IFERROR(VLOOKUP(Tabela1[[#This Row],[CC]],CC!$A$1:$H$389,7,0),"")</f>
        <v>RITA ANDRADE</v>
      </c>
      <c r="D1221" t="str">
        <f>IFERROR(VLOOKUP(Tabela1[[#This Row],[CC]],CC!$A$1:$I$3869,3,0),"")</f>
        <v>SERASA</v>
      </c>
      <c r="E1221" t="str">
        <f>IFERROR(VLOOKUP(Tabela1[[#This Row],[CC]],CC!$A$1:$H$389,2,0),"")</f>
        <v>SERASA EXPERIAN (1360)</v>
      </c>
      <c r="F1221" t="s">
        <v>586</v>
      </c>
      <c r="G1221" s="107">
        <v>4345</v>
      </c>
      <c r="H1221" s="12">
        <v>45901</v>
      </c>
      <c r="I1221" s="24">
        <v>18460.400000000001</v>
      </c>
      <c r="J1221" s="24">
        <v>17325.09</v>
      </c>
      <c r="K1221" s="3">
        <v>45912</v>
      </c>
      <c r="L1221" s="91">
        <v>45931</v>
      </c>
      <c r="M1221" s="11">
        <v>45933</v>
      </c>
      <c r="N1221" s="18" t="s">
        <v>588</v>
      </c>
      <c r="O1221" s="35"/>
      <c r="P1221"/>
      <c r="Q1221" t="str">
        <f>IFERROR(VLOOKUP(Tabela1[[#This Row],[CC]],CC!$A$1:$H$389,5,0),"")</f>
        <v>ADS</v>
      </c>
      <c r="R1221" t="str">
        <f>IFERROR(VLOOKUP(Tabela1[[#This Row],[CC]],CC!$A$1:$H$389,6,0),"")</f>
        <v>FS</v>
      </c>
      <c r="S1221" t="str">
        <f>IFERROR(VLOOKUP(Tabela1[[#This Row],[CC]],CC!$A$1:$H$403,8,0),"")</f>
        <v>OP1</v>
      </c>
    </row>
    <row r="1222" spans="1:19" x14ac:dyDescent="0.3">
      <c r="A1222" s="25">
        <v>1360</v>
      </c>
      <c r="B1222" s="25" t="str">
        <f>IFERROR(VLOOKUP(Tabela1[[#This Row],[CC]],#REF!,5,0),"")</f>
        <v/>
      </c>
      <c r="C1222" t="str">
        <f>IFERROR(VLOOKUP(Tabela1[[#This Row],[CC]],CC!$A$1:$H$389,7,0),"")</f>
        <v>RITA ANDRADE</v>
      </c>
      <c r="D1222" t="str">
        <f>IFERROR(VLOOKUP(Tabela1[[#This Row],[CC]],CC!$A$1:$I$3869,3,0),"")</f>
        <v>SERASA</v>
      </c>
      <c r="E1222" t="str">
        <f>IFERROR(VLOOKUP(Tabela1[[#This Row],[CC]],CC!$A$1:$H$389,2,0),"")</f>
        <v>SERASA EXPERIAN (1360)</v>
      </c>
      <c r="F1222" t="s">
        <v>586</v>
      </c>
      <c r="G1222" s="107">
        <v>4346</v>
      </c>
      <c r="H1222" s="12">
        <v>45901</v>
      </c>
      <c r="I1222" s="24">
        <v>43024.959999999999</v>
      </c>
      <c r="J1222" s="24">
        <v>40378.93</v>
      </c>
      <c r="K1222" s="3">
        <v>45912</v>
      </c>
      <c r="L1222" s="91">
        <v>45931</v>
      </c>
      <c r="M1222" s="11">
        <v>45933</v>
      </c>
      <c r="N1222" s="18" t="s">
        <v>588</v>
      </c>
      <c r="O1222" s="35"/>
      <c r="P1222"/>
      <c r="Q1222" t="str">
        <f>IFERROR(VLOOKUP(Tabela1[[#This Row],[CC]],CC!$A$1:$H$389,5,0),"")</f>
        <v>ADS</v>
      </c>
      <c r="R1222" t="str">
        <f>IFERROR(VLOOKUP(Tabela1[[#This Row],[CC]],CC!$A$1:$H$389,6,0),"")</f>
        <v>FS</v>
      </c>
      <c r="S1222" t="str">
        <f>IFERROR(VLOOKUP(Tabela1[[#This Row],[CC]],CC!$A$1:$H$403,8,0),"")</f>
        <v>OP1</v>
      </c>
    </row>
    <row r="1223" spans="1:19" x14ac:dyDescent="0.3">
      <c r="A1223" s="25">
        <v>1360</v>
      </c>
      <c r="B1223" s="25" t="str">
        <f>IFERROR(VLOOKUP(Tabela1[[#This Row],[CC]],#REF!,5,0),"")</f>
        <v/>
      </c>
      <c r="C1223" t="str">
        <f>IFERROR(VLOOKUP(Tabela1[[#This Row],[CC]],CC!$A$1:$H$389,7,0),"")</f>
        <v>RITA ANDRADE</v>
      </c>
      <c r="D1223" t="str">
        <f>IFERROR(VLOOKUP(Tabela1[[#This Row],[CC]],CC!$A$1:$I$3869,3,0),"")</f>
        <v>SERASA</v>
      </c>
      <c r="E1223" t="str">
        <f>IFERROR(VLOOKUP(Tabela1[[#This Row],[CC]],CC!$A$1:$H$389,2,0),"")</f>
        <v>SERASA EXPERIAN (1360)</v>
      </c>
      <c r="F1223" t="s">
        <v>586</v>
      </c>
      <c r="G1223" s="107">
        <v>4348</v>
      </c>
      <c r="H1223" s="12">
        <v>45901</v>
      </c>
      <c r="I1223" s="24">
        <v>74687.679999999993</v>
      </c>
      <c r="J1223" s="24">
        <v>70094.38</v>
      </c>
      <c r="K1223" s="3">
        <v>45912</v>
      </c>
      <c r="L1223" s="91">
        <v>45931</v>
      </c>
      <c r="M1223" s="11">
        <v>45933</v>
      </c>
      <c r="N1223" s="18" t="s">
        <v>588</v>
      </c>
      <c r="O1223" s="35"/>
      <c r="P1223"/>
      <c r="Q1223" t="str">
        <f>IFERROR(VLOOKUP(Tabela1[[#This Row],[CC]],CC!$A$1:$H$389,5,0),"")</f>
        <v>ADS</v>
      </c>
      <c r="R1223" t="str">
        <f>IFERROR(VLOOKUP(Tabela1[[#This Row],[CC]],CC!$A$1:$H$389,6,0),"")</f>
        <v>FS</v>
      </c>
      <c r="S1223" t="str">
        <f>IFERROR(VLOOKUP(Tabela1[[#This Row],[CC]],CC!$A$1:$H$403,8,0),"")</f>
        <v>OP1</v>
      </c>
    </row>
    <row r="1224" spans="1:19" x14ac:dyDescent="0.3">
      <c r="A1224" s="25">
        <v>1360</v>
      </c>
      <c r="B1224" s="25" t="str">
        <f>IFERROR(VLOOKUP(Tabela1[[#This Row],[CC]],#REF!,5,0),"")</f>
        <v/>
      </c>
      <c r="C1224" t="str">
        <f>IFERROR(VLOOKUP(Tabela1[[#This Row],[CC]],CC!$A$1:$H$389,7,0),"")</f>
        <v>RITA ANDRADE</v>
      </c>
      <c r="D1224" t="str">
        <f>IFERROR(VLOOKUP(Tabela1[[#This Row],[CC]],CC!$A$1:$I$3869,3,0),"")</f>
        <v>SERASA</v>
      </c>
      <c r="E1224" t="str">
        <f>IFERROR(VLOOKUP(Tabela1[[#This Row],[CC]],CC!$A$1:$H$389,2,0),"")</f>
        <v>SERASA EXPERIAN (1360)</v>
      </c>
      <c r="F1224" t="s">
        <v>586</v>
      </c>
      <c r="G1224" s="107">
        <v>4349</v>
      </c>
      <c r="H1224" s="12">
        <v>45901</v>
      </c>
      <c r="I1224" s="24">
        <v>42320</v>
      </c>
      <c r="J1224" s="24">
        <v>39717.32</v>
      </c>
      <c r="K1224" s="3">
        <v>45912</v>
      </c>
      <c r="L1224" s="91">
        <v>45931</v>
      </c>
      <c r="M1224" s="11">
        <v>45933</v>
      </c>
      <c r="N1224" s="18" t="s">
        <v>588</v>
      </c>
      <c r="O1224" s="35"/>
      <c r="P1224"/>
      <c r="Q1224" t="str">
        <f>IFERROR(VLOOKUP(Tabela1[[#This Row],[CC]],CC!$A$1:$H$389,5,0),"")</f>
        <v>ADS</v>
      </c>
      <c r="R1224" t="str">
        <f>IFERROR(VLOOKUP(Tabela1[[#This Row],[CC]],CC!$A$1:$H$389,6,0),"")</f>
        <v>FS</v>
      </c>
      <c r="S1224" t="str">
        <f>IFERROR(VLOOKUP(Tabela1[[#This Row],[CC]],CC!$A$1:$H$403,8,0),"")</f>
        <v>OP1</v>
      </c>
    </row>
    <row r="1225" spans="1:19" x14ac:dyDescent="0.3">
      <c r="A1225" s="25">
        <v>1360</v>
      </c>
      <c r="B1225" s="25" t="str">
        <f>IFERROR(VLOOKUP(Tabela1[[#This Row],[CC]],#REF!,5,0),"")</f>
        <v/>
      </c>
      <c r="C1225" t="str">
        <f>IFERROR(VLOOKUP(Tabela1[[#This Row],[CC]],CC!$A$1:$H$389,7,0),"")</f>
        <v>RITA ANDRADE</v>
      </c>
      <c r="D1225" t="str">
        <f>IFERROR(VLOOKUP(Tabela1[[#This Row],[CC]],CC!$A$1:$I$3869,3,0),"")</f>
        <v>SERASA</v>
      </c>
      <c r="E1225" t="str">
        <f>IFERROR(VLOOKUP(Tabela1[[#This Row],[CC]],CC!$A$1:$H$389,2,0),"")</f>
        <v>SERASA EXPERIAN (1360)</v>
      </c>
      <c r="F1225" t="s">
        <v>586</v>
      </c>
      <c r="G1225" s="107">
        <v>4350</v>
      </c>
      <c r="H1225" s="12">
        <v>45901</v>
      </c>
      <c r="I1225" s="24">
        <v>152900.16</v>
      </c>
      <c r="J1225" s="24">
        <v>143496.81</v>
      </c>
      <c r="K1225" s="3">
        <v>45912</v>
      </c>
      <c r="L1225" s="91">
        <v>45931</v>
      </c>
      <c r="M1225" s="11">
        <v>45933</v>
      </c>
      <c r="N1225" s="18" t="s">
        <v>588</v>
      </c>
      <c r="O1225" s="35"/>
      <c r="P1225"/>
      <c r="Q1225" t="str">
        <f>IFERROR(VLOOKUP(Tabela1[[#This Row],[CC]],CC!$A$1:$H$389,5,0),"")</f>
        <v>ADS</v>
      </c>
      <c r="R1225" t="str">
        <f>IFERROR(VLOOKUP(Tabela1[[#This Row],[CC]],CC!$A$1:$H$389,6,0),"")</f>
        <v>FS</v>
      </c>
      <c r="S1225" t="str">
        <f>IFERROR(VLOOKUP(Tabela1[[#This Row],[CC]],CC!$A$1:$H$403,8,0),"")</f>
        <v>OP1</v>
      </c>
    </row>
    <row r="1226" spans="1:19" x14ac:dyDescent="0.3">
      <c r="A1226" s="25">
        <v>1360</v>
      </c>
      <c r="B1226" s="25" t="str">
        <f>IFERROR(VLOOKUP(Tabela1[[#This Row],[CC]],#REF!,5,0),"")</f>
        <v/>
      </c>
      <c r="C1226" t="str">
        <f>IFERROR(VLOOKUP(Tabela1[[#This Row],[CC]],CC!$A$1:$H$389,7,0),"")</f>
        <v>RITA ANDRADE</v>
      </c>
      <c r="D1226" t="str">
        <f>IFERROR(VLOOKUP(Tabela1[[#This Row],[CC]],CC!$A$1:$I$3869,3,0),"")</f>
        <v>SERASA</v>
      </c>
      <c r="E1226" t="str">
        <f>IFERROR(VLOOKUP(Tabela1[[#This Row],[CC]],CC!$A$1:$H$389,2,0),"")</f>
        <v>SERASA EXPERIAN (1360)</v>
      </c>
      <c r="F1226" t="s">
        <v>586</v>
      </c>
      <c r="G1226" s="107">
        <v>4352</v>
      </c>
      <c r="H1226" s="12">
        <v>45901</v>
      </c>
      <c r="I1226" s="24">
        <v>72274.399999999994</v>
      </c>
      <c r="J1226" s="24">
        <v>67829.53</v>
      </c>
      <c r="K1226" s="3">
        <v>45912</v>
      </c>
      <c r="L1226" s="91">
        <v>45931</v>
      </c>
      <c r="M1226" s="11">
        <v>45933</v>
      </c>
      <c r="N1226" s="18" t="s">
        <v>588</v>
      </c>
      <c r="O1226" s="35"/>
      <c r="P1226"/>
      <c r="Q1226" t="str">
        <f>IFERROR(VLOOKUP(Tabela1[[#This Row],[CC]],CC!$A$1:$H$389,5,0),"")</f>
        <v>ADS</v>
      </c>
      <c r="R1226" t="str">
        <f>IFERROR(VLOOKUP(Tabela1[[#This Row],[CC]],CC!$A$1:$H$389,6,0),"")</f>
        <v>FS</v>
      </c>
      <c r="S1226" t="str">
        <f>IFERROR(VLOOKUP(Tabela1[[#This Row],[CC]],CC!$A$1:$H$403,8,0),"")</f>
        <v>OP1</v>
      </c>
    </row>
    <row r="1227" spans="1:19" x14ac:dyDescent="0.3">
      <c r="A1227" s="25">
        <v>1360</v>
      </c>
      <c r="B1227" s="25" t="str">
        <f>IFERROR(VLOOKUP(Tabela1[[#This Row],[CC]],#REF!,5,0),"")</f>
        <v/>
      </c>
      <c r="C1227" t="str">
        <f>IFERROR(VLOOKUP(Tabela1[[#This Row],[CC]],CC!$A$1:$H$389,7,0),"")</f>
        <v>RITA ANDRADE</v>
      </c>
      <c r="D1227" t="str">
        <f>IFERROR(VLOOKUP(Tabela1[[#This Row],[CC]],CC!$A$1:$I$3869,3,0),"")</f>
        <v>SERASA</v>
      </c>
      <c r="E1227" t="str">
        <f>IFERROR(VLOOKUP(Tabela1[[#This Row],[CC]],CC!$A$1:$H$389,2,0),"")</f>
        <v>SERASA EXPERIAN (1360)</v>
      </c>
      <c r="F1227" t="s">
        <v>586</v>
      </c>
      <c r="G1227" s="107">
        <v>4357</v>
      </c>
      <c r="H1227" s="12">
        <v>45901</v>
      </c>
      <c r="I1227" s="24">
        <v>19371.599999999999</v>
      </c>
      <c r="J1227" s="24">
        <v>18180.240000000002</v>
      </c>
      <c r="K1227" s="3">
        <v>45915</v>
      </c>
      <c r="L1227" s="91">
        <v>45931</v>
      </c>
      <c r="M1227" s="11">
        <v>45933</v>
      </c>
      <c r="N1227" s="18" t="s">
        <v>588</v>
      </c>
      <c r="O1227" s="35"/>
      <c r="P1227"/>
      <c r="Q1227" t="str">
        <f>IFERROR(VLOOKUP(Tabela1[[#This Row],[CC]],CC!$A$1:$H$389,5,0),"")</f>
        <v>ADS</v>
      </c>
      <c r="R1227" t="str">
        <f>IFERROR(VLOOKUP(Tabela1[[#This Row],[CC]],CC!$A$1:$H$389,6,0),"")</f>
        <v>FS</v>
      </c>
      <c r="S1227" t="str">
        <f>IFERROR(VLOOKUP(Tabela1[[#This Row],[CC]],CC!$A$1:$H$403,8,0),"")</f>
        <v>OP1</v>
      </c>
    </row>
    <row r="1228" spans="1:19" x14ac:dyDescent="0.3">
      <c r="A1228" s="25">
        <v>1360</v>
      </c>
      <c r="B1228" s="25" t="str">
        <f>IFERROR(VLOOKUP(Tabela1[[#This Row],[CC]],#REF!,5,0),"")</f>
        <v/>
      </c>
      <c r="C1228" t="str">
        <f>IFERROR(VLOOKUP(Tabela1[[#This Row],[CC]],CC!$A$1:$H$389,7,0),"")</f>
        <v>RITA ANDRADE</v>
      </c>
      <c r="D1228" t="str">
        <f>IFERROR(VLOOKUP(Tabela1[[#This Row],[CC]],CC!$A$1:$I$3869,3,0),"")</f>
        <v>SERASA</v>
      </c>
      <c r="E1228" t="str">
        <f>IFERROR(VLOOKUP(Tabela1[[#This Row],[CC]],CC!$A$1:$H$389,2,0),"")</f>
        <v>SERASA EXPERIAN (1360)</v>
      </c>
      <c r="F1228" t="s">
        <v>586</v>
      </c>
      <c r="G1228" s="107">
        <v>4358</v>
      </c>
      <c r="H1228" s="12">
        <v>45901</v>
      </c>
      <c r="I1228" s="24">
        <v>19668</v>
      </c>
      <c r="J1228" s="24">
        <v>18458.419999999998</v>
      </c>
      <c r="K1228" s="3">
        <v>45915</v>
      </c>
      <c r="L1228" s="91">
        <v>45931</v>
      </c>
      <c r="M1228" s="11">
        <v>45933</v>
      </c>
      <c r="N1228" s="18" t="s">
        <v>588</v>
      </c>
      <c r="O1228" s="35"/>
      <c r="P1228"/>
      <c r="Q1228" t="str">
        <f>IFERROR(VLOOKUP(Tabela1[[#This Row],[CC]],CC!$A$1:$H$389,5,0),"")</f>
        <v>ADS</v>
      </c>
      <c r="R1228" t="str">
        <f>IFERROR(VLOOKUP(Tabela1[[#This Row],[CC]],CC!$A$1:$H$389,6,0),"")</f>
        <v>FS</v>
      </c>
      <c r="S1228" t="str">
        <f>IFERROR(VLOOKUP(Tabela1[[#This Row],[CC]],CC!$A$1:$H$403,8,0),"")</f>
        <v>OP1</v>
      </c>
    </row>
    <row r="1229" spans="1:19" x14ac:dyDescent="0.3">
      <c r="A1229" s="25">
        <v>1360</v>
      </c>
      <c r="B1229" s="25" t="str">
        <f>IFERROR(VLOOKUP(Tabela1[[#This Row],[CC]],#REF!,5,0),"")</f>
        <v/>
      </c>
      <c r="C1229" t="str">
        <f>IFERROR(VLOOKUP(Tabela1[[#This Row],[CC]],CC!$A$1:$H$389,7,0),"")</f>
        <v>RITA ANDRADE</v>
      </c>
      <c r="D1229" t="str">
        <f>IFERROR(VLOOKUP(Tabela1[[#This Row],[CC]],CC!$A$1:$I$3869,3,0),"")</f>
        <v>SERASA</v>
      </c>
      <c r="E1229" t="str">
        <f>IFERROR(VLOOKUP(Tabela1[[#This Row],[CC]],CC!$A$1:$H$389,2,0),"")</f>
        <v>SERASA EXPERIAN (1360)</v>
      </c>
      <c r="F1229" t="s">
        <v>586</v>
      </c>
      <c r="G1229" s="107">
        <v>4360</v>
      </c>
      <c r="H1229" s="12">
        <v>45901</v>
      </c>
      <c r="I1229" s="24">
        <v>33968</v>
      </c>
      <c r="J1229" s="24">
        <v>31878.97</v>
      </c>
      <c r="K1229" s="3">
        <v>45915</v>
      </c>
      <c r="L1229" s="91">
        <v>45931</v>
      </c>
      <c r="M1229" s="11">
        <v>45933</v>
      </c>
      <c r="N1229" s="18" t="s">
        <v>588</v>
      </c>
      <c r="O1229" s="35"/>
      <c r="P1229"/>
      <c r="Q1229" t="str">
        <f>IFERROR(VLOOKUP(Tabela1[[#This Row],[CC]],CC!$A$1:$H$389,5,0),"")</f>
        <v>ADS</v>
      </c>
      <c r="R1229" t="str">
        <f>IFERROR(VLOOKUP(Tabela1[[#This Row],[CC]],CC!$A$1:$H$389,6,0),"")</f>
        <v>FS</v>
      </c>
      <c r="S1229" t="str">
        <f>IFERROR(VLOOKUP(Tabela1[[#This Row],[CC]],CC!$A$1:$H$403,8,0),"")</f>
        <v>OP1</v>
      </c>
    </row>
    <row r="1230" spans="1:19" x14ac:dyDescent="0.3">
      <c r="A1230" s="25">
        <v>1360</v>
      </c>
      <c r="B1230" s="25" t="str">
        <f>IFERROR(VLOOKUP(Tabela1[[#This Row],[CC]],#REF!,5,0),"")</f>
        <v/>
      </c>
      <c r="C1230" t="str">
        <f>IFERROR(VLOOKUP(Tabela1[[#This Row],[CC]],CC!$A$1:$H$389,7,0),"")</f>
        <v>RITA ANDRADE</v>
      </c>
      <c r="D1230" t="str">
        <f>IFERROR(VLOOKUP(Tabela1[[#This Row],[CC]],CC!$A$1:$I$3869,3,0),"")</f>
        <v>SERASA</v>
      </c>
      <c r="E1230" t="str">
        <f>IFERROR(VLOOKUP(Tabela1[[#This Row],[CC]],CC!$A$1:$H$389,2,0),"")</f>
        <v>SERASA EXPERIAN (1360)</v>
      </c>
      <c r="F1230" t="s">
        <v>586</v>
      </c>
      <c r="G1230" s="107">
        <v>4362</v>
      </c>
      <c r="H1230" s="12">
        <v>45901</v>
      </c>
      <c r="I1230" s="24">
        <v>36757.599999999999</v>
      </c>
      <c r="J1230" s="24">
        <v>34497.01</v>
      </c>
      <c r="K1230" s="3">
        <v>45916</v>
      </c>
      <c r="L1230" s="91">
        <v>45931</v>
      </c>
      <c r="M1230" s="11">
        <v>45933</v>
      </c>
      <c r="N1230" s="18" t="s">
        <v>588</v>
      </c>
      <c r="O1230" s="35"/>
      <c r="P1230"/>
      <c r="Q1230" t="str">
        <f>IFERROR(VLOOKUP(Tabela1[[#This Row],[CC]],CC!$A$1:$H$389,5,0),"")</f>
        <v>ADS</v>
      </c>
      <c r="R1230" t="str">
        <f>IFERROR(VLOOKUP(Tabela1[[#This Row],[CC]],CC!$A$1:$H$389,6,0),"")</f>
        <v>FS</v>
      </c>
      <c r="S1230" t="str">
        <f>IFERROR(VLOOKUP(Tabela1[[#This Row],[CC]],CC!$A$1:$H$403,8,0),"")</f>
        <v>OP1</v>
      </c>
    </row>
    <row r="1231" spans="1:19" x14ac:dyDescent="0.3">
      <c r="A1231" s="25">
        <v>1360</v>
      </c>
      <c r="B1231" s="25" t="str">
        <f>IFERROR(VLOOKUP(Tabela1[[#This Row],[CC]],#REF!,5,0),"")</f>
        <v/>
      </c>
      <c r="C1231" t="str">
        <f>IFERROR(VLOOKUP(Tabela1[[#This Row],[CC]],CC!$A$1:$H$389,7,0),"")</f>
        <v>RITA ANDRADE</v>
      </c>
      <c r="D1231" t="str">
        <f>IFERROR(VLOOKUP(Tabela1[[#This Row],[CC]],CC!$A$1:$I$3869,3,0),"")</f>
        <v>SERASA</v>
      </c>
      <c r="E1231" t="str">
        <f>IFERROR(VLOOKUP(Tabela1[[#This Row],[CC]],CC!$A$1:$H$389,2,0),"")</f>
        <v>SERASA EXPERIAN (1360)</v>
      </c>
      <c r="F1231" t="s">
        <v>586</v>
      </c>
      <c r="G1231" s="107">
        <v>4363</v>
      </c>
      <c r="H1231" s="12">
        <v>45901</v>
      </c>
      <c r="I1231" s="24">
        <v>41106.559999999998</v>
      </c>
      <c r="J1231" s="24">
        <v>38578.5</v>
      </c>
      <c r="K1231" s="3">
        <v>45916</v>
      </c>
      <c r="L1231" s="91">
        <v>45931</v>
      </c>
      <c r="M1231" s="11">
        <v>45933</v>
      </c>
      <c r="N1231" s="18" t="s">
        <v>588</v>
      </c>
      <c r="O1231" s="35"/>
      <c r="P1231"/>
      <c r="Q1231" t="str">
        <f>IFERROR(VLOOKUP(Tabela1[[#This Row],[CC]],CC!$A$1:$H$389,5,0),"")</f>
        <v>ADS</v>
      </c>
      <c r="R1231" t="str">
        <f>IFERROR(VLOOKUP(Tabela1[[#This Row],[CC]],CC!$A$1:$H$389,6,0),"")</f>
        <v>FS</v>
      </c>
      <c r="S1231" t="str">
        <f>IFERROR(VLOOKUP(Tabela1[[#This Row],[CC]],CC!$A$1:$H$403,8,0),"")</f>
        <v>OP1</v>
      </c>
    </row>
    <row r="1232" spans="1:19" x14ac:dyDescent="0.3">
      <c r="A1232" s="25">
        <v>1360</v>
      </c>
      <c r="B1232" s="25" t="str">
        <f>IFERROR(VLOOKUP(Tabela1[[#This Row],[CC]],#REF!,5,0),"")</f>
        <v/>
      </c>
      <c r="C1232" t="str">
        <f>IFERROR(VLOOKUP(Tabela1[[#This Row],[CC]],CC!$A$1:$H$389,7,0),"")</f>
        <v>RITA ANDRADE</v>
      </c>
      <c r="D1232" t="str">
        <f>IFERROR(VLOOKUP(Tabela1[[#This Row],[CC]],CC!$A$1:$I$3869,3,0),"")</f>
        <v>SERASA</v>
      </c>
      <c r="E1232" t="str">
        <f>IFERROR(VLOOKUP(Tabela1[[#This Row],[CC]],CC!$A$1:$H$389,2,0),"")</f>
        <v>SERASA EXPERIAN (1360)</v>
      </c>
      <c r="F1232" t="s">
        <v>586</v>
      </c>
      <c r="G1232" s="107">
        <v>4374</v>
      </c>
      <c r="H1232" s="12">
        <v>45901</v>
      </c>
      <c r="I1232" s="24">
        <v>39835.599999999999</v>
      </c>
      <c r="J1232" s="24">
        <v>37385.71</v>
      </c>
      <c r="K1232" s="3">
        <v>45924</v>
      </c>
      <c r="L1232" s="91">
        <v>45936</v>
      </c>
      <c r="M1232" s="11">
        <v>45937</v>
      </c>
      <c r="N1232" s="18" t="s">
        <v>588</v>
      </c>
      <c r="O1232" s="35"/>
      <c r="P1232"/>
      <c r="Q1232" t="str">
        <f>IFERROR(VLOOKUP(Tabela1[[#This Row],[CC]],CC!$A$1:$H$389,5,0),"")</f>
        <v>ADS</v>
      </c>
      <c r="R1232" t="str">
        <f>IFERROR(VLOOKUP(Tabela1[[#This Row],[CC]],CC!$A$1:$H$389,6,0),"")</f>
        <v>FS</v>
      </c>
      <c r="S1232" t="str">
        <f>IFERROR(VLOOKUP(Tabela1[[#This Row],[CC]],CC!$A$1:$H$403,8,0),"")</f>
        <v>OP1</v>
      </c>
    </row>
    <row r="1233" spans="1:19" x14ac:dyDescent="0.3">
      <c r="A1233" s="25">
        <v>1360</v>
      </c>
      <c r="B1233" s="25" t="str">
        <f>IFERROR(VLOOKUP(Tabela1[[#This Row],[CC]],#REF!,5,0),"")</f>
        <v/>
      </c>
      <c r="C1233" t="str">
        <f>IFERROR(VLOOKUP(Tabela1[[#This Row],[CC]],CC!$A$1:$H$389,7,0),"")</f>
        <v>RITA ANDRADE</v>
      </c>
      <c r="D1233" t="str">
        <f>IFERROR(VLOOKUP(Tabela1[[#This Row],[CC]],CC!$A$1:$I$3869,3,0),"")</f>
        <v>SERASA</v>
      </c>
      <c r="E1233" t="str">
        <f>IFERROR(VLOOKUP(Tabela1[[#This Row],[CC]],CC!$A$1:$H$389,2,0),"")</f>
        <v>SERASA EXPERIAN (1360)</v>
      </c>
      <c r="F1233" t="s">
        <v>586</v>
      </c>
      <c r="G1233" s="107">
        <v>4375</v>
      </c>
      <c r="H1233" s="12">
        <v>45901</v>
      </c>
      <c r="I1233" s="24">
        <v>33968</v>
      </c>
      <c r="J1233" s="24">
        <v>31878.97</v>
      </c>
      <c r="K1233" s="3">
        <v>45924</v>
      </c>
      <c r="L1233" s="91">
        <v>45936</v>
      </c>
      <c r="M1233" s="11">
        <v>45937</v>
      </c>
      <c r="N1233" s="18" t="s">
        <v>588</v>
      </c>
      <c r="O1233" s="35"/>
      <c r="P1233"/>
      <c r="Q1233" t="str">
        <f>IFERROR(VLOOKUP(Tabela1[[#This Row],[CC]],CC!$A$1:$H$389,5,0),"")</f>
        <v>ADS</v>
      </c>
      <c r="R1233" t="str">
        <f>IFERROR(VLOOKUP(Tabela1[[#This Row],[CC]],CC!$A$1:$H$389,6,0),"")</f>
        <v>FS</v>
      </c>
      <c r="S1233" t="str">
        <f>IFERROR(VLOOKUP(Tabela1[[#This Row],[CC]],CC!$A$1:$H$403,8,0),"")</f>
        <v>OP1</v>
      </c>
    </row>
    <row r="1234" spans="1:19" x14ac:dyDescent="0.3">
      <c r="A1234" s="25">
        <v>1360</v>
      </c>
      <c r="B1234" s="25" t="str">
        <f>IFERROR(VLOOKUP(Tabela1[[#This Row],[CC]],#REF!,5,0),"")</f>
        <v/>
      </c>
      <c r="C1234" t="str">
        <f>IFERROR(VLOOKUP(Tabela1[[#This Row],[CC]],CC!$A$1:$H$389,7,0),"")</f>
        <v>RITA ANDRADE</v>
      </c>
      <c r="D1234" t="str">
        <f>IFERROR(VLOOKUP(Tabela1[[#This Row],[CC]],CC!$A$1:$I$3869,3,0),"")</f>
        <v>SERASA</v>
      </c>
      <c r="E1234" t="str">
        <f>IFERROR(VLOOKUP(Tabela1[[#This Row],[CC]],CC!$A$1:$H$389,2,0),"")</f>
        <v>SERASA EXPERIAN (1360)</v>
      </c>
      <c r="F1234" t="s">
        <v>586</v>
      </c>
      <c r="G1234" s="107">
        <v>4376</v>
      </c>
      <c r="H1234" s="12">
        <v>45901</v>
      </c>
      <c r="I1234" s="24">
        <v>33968</v>
      </c>
      <c r="J1234" s="24">
        <v>31878.97</v>
      </c>
      <c r="K1234" s="3">
        <v>45924</v>
      </c>
      <c r="L1234" s="91">
        <v>45936</v>
      </c>
      <c r="M1234" s="11">
        <v>45937</v>
      </c>
      <c r="N1234" s="18" t="s">
        <v>588</v>
      </c>
      <c r="O1234" s="35"/>
      <c r="P1234"/>
      <c r="Q1234" t="str">
        <f>IFERROR(VLOOKUP(Tabela1[[#This Row],[CC]],CC!$A$1:$H$389,5,0),"")</f>
        <v>ADS</v>
      </c>
      <c r="R1234" t="str">
        <f>IFERROR(VLOOKUP(Tabela1[[#This Row],[CC]],CC!$A$1:$H$389,6,0),"")</f>
        <v>FS</v>
      </c>
      <c r="S1234" t="str">
        <f>IFERROR(VLOOKUP(Tabela1[[#This Row],[CC]],CC!$A$1:$H$403,8,0),"")</f>
        <v>OP1</v>
      </c>
    </row>
    <row r="1235" spans="1:19" x14ac:dyDescent="0.3">
      <c r="A1235" s="25">
        <v>1360</v>
      </c>
      <c r="B1235" s="25" t="str">
        <f>IFERROR(VLOOKUP(Tabela1[[#This Row],[CC]],#REF!,5,0),"")</f>
        <v/>
      </c>
      <c r="C1235" t="str">
        <f>IFERROR(VLOOKUP(Tabela1[[#This Row],[CC]],CC!$A$1:$H$389,7,0),"")</f>
        <v>RITA ANDRADE</v>
      </c>
      <c r="D1235" t="str">
        <f>IFERROR(VLOOKUP(Tabela1[[#This Row],[CC]],CC!$A$1:$I$3869,3,0),"")</f>
        <v>SERASA</v>
      </c>
      <c r="E1235" t="str">
        <f>IFERROR(VLOOKUP(Tabela1[[#This Row],[CC]],CC!$A$1:$H$389,2,0),"")</f>
        <v>SERASA EXPERIAN (1360)</v>
      </c>
      <c r="F1235" t="s">
        <v>586</v>
      </c>
      <c r="G1235" s="107">
        <v>4380</v>
      </c>
      <c r="H1235" s="12">
        <v>45901</v>
      </c>
      <c r="I1235" s="24">
        <v>36125</v>
      </c>
      <c r="J1235" s="24">
        <v>33903.31</v>
      </c>
      <c r="K1235" s="3">
        <v>45929</v>
      </c>
      <c r="L1235" s="91">
        <v>45936</v>
      </c>
      <c r="M1235" s="11">
        <v>45937</v>
      </c>
      <c r="N1235" s="18" t="s">
        <v>588</v>
      </c>
      <c r="O1235" s="35"/>
      <c r="P1235"/>
      <c r="Q1235" t="str">
        <f>IFERROR(VLOOKUP(Tabela1[[#This Row],[CC]],CC!$A$1:$H$389,5,0),"")</f>
        <v>ADS</v>
      </c>
      <c r="R1235" t="str">
        <f>IFERROR(VLOOKUP(Tabela1[[#This Row],[CC]],CC!$A$1:$H$389,6,0),"")</f>
        <v>FS</v>
      </c>
      <c r="S1235" t="str">
        <f>IFERROR(VLOOKUP(Tabela1[[#This Row],[CC]],CC!$A$1:$H$403,8,0),"")</f>
        <v>OP1</v>
      </c>
    </row>
    <row r="1236" spans="1:19" x14ac:dyDescent="0.3">
      <c r="A1236" s="25">
        <v>1360</v>
      </c>
      <c r="B1236" s="25" t="str">
        <f>IFERROR(VLOOKUP(Tabela1[[#This Row],[CC]],#REF!,5,0),"")</f>
        <v/>
      </c>
      <c r="C1236" t="str">
        <f>IFERROR(VLOOKUP(Tabela1[[#This Row],[CC]],CC!$A$1:$H$389,7,0),"")</f>
        <v>RITA ANDRADE</v>
      </c>
      <c r="D1236" t="str">
        <f>IFERROR(VLOOKUP(Tabela1[[#This Row],[CC]],CC!$A$1:$I$3869,3,0),"")</f>
        <v>SERASA</v>
      </c>
      <c r="E1236" t="str">
        <f>IFERROR(VLOOKUP(Tabela1[[#This Row],[CC]],CC!$A$1:$H$389,2,0),"")</f>
        <v>SERASA EXPERIAN (1360)</v>
      </c>
      <c r="F1236" t="s">
        <v>586</v>
      </c>
      <c r="G1236" s="107">
        <v>4385</v>
      </c>
      <c r="H1236" s="12">
        <v>45901</v>
      </c>
      <c r="I1236" s="27">
        <v>56289.52</v>
      </c>
      <c r="J1236" s="24">
        <v>52827.71</v>
      </c>
      <c r="K1236" s="3">
        <v>45931</v>
      </c>
      <c r="L1236" s="91">
        <v>45936</v>
      </c>
      <c r="M1236" s="11">
        <v>45937</v>
      </c>
      <c r="N1236" s="18" t="s">
        <v>588</v>
      </c>
      <c r="O1236" s="35"/>
      <c r="P1236"/>
      <c r="Q1236" t="str">
        <f>IFERROR(VLOOKUP(Tabela1[[#This Row],[CC]],CC!$A$1:$H$389,5,0),"")</f>
        <v>ADS</v>
      </c>
      <c r="R1236" t="str">
        <f>IFERROR(VLOOKUP(Tabela1[[#This Row],[CC]],CC!$A$1:$H$389,6,0),"")</f>
        <v>FS</v>
      </c>
      <c r="S1236" t="str">
        <f>IFERROR(VLOOKUP(Tabela1[[#This Row],[CC]],CC!$A$1:$H$403,8,0),"")</f>
        <v>OP1</v>
      </c>
    </row>
    <row r="1237" spans="1:19" x14ac:dyDescent="0.3">
      <c r="A1237" s="25">
        <v>1360</v>
      </c>
      <c r="B1237" s="25" t="str">
        <f>IFERROR(VLOOKUP(Tabela1[[#This Row],[CC]],#REF!,5,0),"")</f>
        <v/>
      </c>
      <c r="C1237" t="str">
        <f>IFERROR(VLOOKUP(Tabela1[[#This Row],[CC]],CC!$A$1:$H$389,7,0),"")</f>
        <v>RITA ANDRADE</v>
      </c>
      <c r="D1237" t="str">
        <f>IFERROR(VLOOKUP(Tabela1[[#This Row],[CC]],CC!$A$1:$I$3869,3,0),"")</f>
        <v>SERASA</v>
      </c>
      <c r="E1237" t="str">
        <f>IFERROR(VLOOKUP(Tabela1[[#This Row],[CC]],CC!$A$1:$H$389,2,0),"")</f>
        <v>SERASA EXPERIAN (1360)</v>
      </c>
      <c r="F1237" t="s">
        <v>586</v>
      </c>
      <c r="G1237" s="107">
        <v>4451</v>
      </c>
      <c r="H1237" s="12">
        <v>45901</v>
      </c>
      <c r="I1237" s="27">
        <v>87403.66</v>
      </c>
      <c r="J1237" s="27">
        <v>82028.34</v>
      </c>
      <c r="K1237" s="3">
        <v>45952</v>
      </c>
      <c r="L1237" s="91">
        <v>45985</v>
      </c>
      <c r="M1237" s="11">
        <v>45987</v>
      </c>
      <c r="N1237" s="18" t="s">
        <v>588</v>
      </c>
      <c r="O1237" s="35"/>
      <c r="P1237"/>
      <c r="Q1237" t="str">
        <f>IFERROR(VLOOKUP(Tabela1[[#This Row],[CC]],CC!$A$1:$H$389,5,0),"")</f>
        <v>ADS</v>
      </c>
      <c r="R1237" t="str">
        <f>IFERROR(VLOOKUP(Tabela1[[#This Row],[CC]],CC!$A$1:$H$389,6,0),"")</f>
        <v>FS</v>
      </c>
      <c r="S1237" t="str">
        <f>IFERROR(VLOOKUP(Tabela1[[#This Row],[CC]],CC!$A$1:$H$403,8,0),"")</f>
        <v>OP1</v>
      </c>
    </row>
    <row r="1238" spans="1:19" x14ac:dyDescent="0.3">
      <c r="A1238" s="25">
        <v>1387</v>
      </c>
      <c r="B1238" s="25" t="str">
        <f>IFERROR(VLOOKUP(Tabela1[[#This Row],[CC]],#REF!,5,0),"")</f>
        <v/>
      </c>
      <c r="C1238" t="str">
        <f>IFERROR(VLOOKUP(Tabela1[[#This Row],[CC]],CC!$A$1:$H$389,7,0),"")</f>
        <v>RITA ANDRADE</v>
      </c>
      <c r="D1238" t="str">
        <f>IFERROR(VLOOKUP(Tabela1[[#This Row],[CC]],CC!$A$1:$I$3869,3,0),"")</f>
        <v>SERASA</v>
      </c>
      <c r="E1238" t="str">
        <f>IFERROR(VLOOKUP(Tabela1[[#This Row],[CC]],CC!$A$1:$H$389,2,0),"")</f>
        <v>SERASA DC (1387)</v>
      </c>
      <c r="F1238" t="s">
        <v>586</v>
      </c>
      <c r="G1238" s="107">
        <v>4342</v>
      </c>
      <c r="H1238" s="12">
        <v>45901</v>
      </c>
      <c r="I1238" s="24">
        <v>29742.240000000002</v>
      </c>
      <c r="J1238" s="27">
        <v>27913.1</v>
      </c>
      <c r="K1238" s="3">
        <v>45912</v>
      </c>
      <c r="L1238" s="91">
        <v>45931</v>
      </c>
      <c r="M1238" s="11">
        <v>45933</v>
      </c>
      <c r="N1238" s="18" t="s">
        <v>588</v>
      </c>
      <c r="O1238" s="35"/>
      <c r="P1238"/>
      <c r="Q1238" t="str">
        <f>IFERROR(VLOOKUP(Tabela1[[#This Row],[CC]],CC!$A$1:$H$389,5,0),"")</f>
        <v>CSA</v>
      </c>
      <c r="R1238" t="str">
        <f>IFERROR(VLOOKUP(Tabela1[[#This Row],[CC]],CC!$A$1:$H$389,6,0),"")</f>
        <v>FS</v>
      </c>
      <c r="S1238" t="str">
        <f>IFERROR(VLOOKUP(Tabela1[[#This Row],[CC]],CC!$A$1:$H$403,8,0),"")</f>
        <v>OP1</v>
      </c>
    </row>
    <row r="1239" spans="1:19" x14ac:dyDescent="0.3">
      <c r="A1239" s="25">
        <v>1387</v>
      </c>
      <c r="B1239" s="25" t="str">
        <f>IFERROR(VLOOKUP(Tabela1[[#This Row],[CC]],#REF!,5,0),"")</f>
        <v/>
      </c>
      <c r="C1239" t="str">
        <f>IFERROR(VLOOKUP(Tabela1[[#This Row],[CC]],CC!$A$1:$H$389,7,0),"")</f>
        <v>RITA ANDRADE</v>
      </c>
      <c r="D1239" t="str">
        <f>IFERROR(VLOOKUP(Tabela1[[#This Row],[CC]],CC!$A$1:$I$3869,3,0),"")</f>
        <v>SERASA</v>
      </c>
      <c r="E1239" t="str">
        <f>IFERROR(VLOOKUP(Tabela1[[#This Row],[CC]],CC!$A$1:$H$389,2,0),"")</f>
        <v>SERASA DC (1387)</v>
      </c>
      <c r="F1239" t="s">
        <v>586</v>
      </c>
      <c r="G1239" s="107">
        <v>4344</v>
      </c>
      <c r="H1239" s="12">
        <v>45901</v>
      </c>
      <c r="I1239" s="24">
        <v>82559.839999999997</v>
      </c>
      <c r="J1239" s="27">
        <v>77482.399999999994</v>
      </c>
      <c r="K1239" s="3">
        <v>45912</v>
      </c>
      <c r="L1239" s="91">
        <v>45931</v>
      </c>
      <c r="M1239" s="11">
        <v>45933</v>
      </c>
      <c r="N1239" s="18" t="s">
        <v>588</v>
      </c>
      <c r="O1239" s="35"/>
      <c r="P1239"/>
      <c r="Q1239" t="str">
        <f>IFERROR(VLOOKUP(Tabela1[[#This Row],[CC]],CC!$A$1:$H$389,5,0),"")</f>
        <v>CSA</v>
      </c>
      <c r="R1239" t="str">
        <f>IFERROR(VLOOKUP(Tabela1[[#This Row],[CC]],CC!$A$1:$H$389,6,0),"")</f>
        <v>FS</v>
      </c>
      <c r="S1239" t="str">
        <f>IFERROR(VLOOKUP(Tabela1[[#This Row],[CC]],CC!$A$1:$H$403,8,0),"")</f>
        <v>OP1</v>
      </c>
    </row>
    <row r="1240" spans="1:19" x14ac:dyDescent="0.3">
      <c r="A1240" s="25">
        <v>1387</v>
      </c>
      <c r="B1240" s="25" t="str">
        <f>IFERROR(VLOOKUP(Tabela1[[#This Row],[CC]],#REF!,5,0),"")</f>
        <v/>
      </c>
      <c r="C1240" t="str">
        <f>IFERROR(VLOOKUP(Tabela1[[#This Row],[CC]],CC!$A$1:$H$389,7,0),"")</f>
        <v>RITA ANDRADE</v>
      </c>
      <c r="D1240" t="str">
        <f>IFERROR(VLOOKUP(Tabela1[[#This Row],[CC]],CC!$A$1:$I$3869,3,0),"")</f>
        <v>SERASA</v>
      </c>
      <c r="E1240" t="str">
        <f>IFERROR(VLOOKUP(Tabela1[[#This Row],[CC]],CC!$A$1:$H$389,2,0),"")</f>
        <v>SERASA DC (1387)</v>
      </c>
      <c r="F1240" t="s">
        <v>586</v>
      </c>
      <c r="G1240" s="107">
        <v>4351</v>
      </c>
      <c r="H1240" s="12">
        <v>45901</v>
      </c>
      <c r="I1240" s="24">
        <v>35516.800000000003</v>
      </c>
      <c r="J1240" s="27">
        <v>33332.51</v>
      </c>
      <c r="K1240" s="3">
        <v>45912</v>
      </c>
      <c r="L1240" s="91">
        <v>45931</v>
      </c>
      <c r="M1240" s="11">
        <v>45933</v>
      </c>
      <c r="N1240" s="18" t="s">
        <v>588</v>
      </c>
      <c r="O1240" s="35"/>
      <c r="P1240"/>
      <c r="Q1240" t="str">
        <f>IFERROR(VLOOKUP(Tabela1[[#This Row],[CC]],CC!$A$1:$H$389,5,0),"")</f>
        <v>CSA</v>
      </c>
      <c r="R1240" t="str">
        <f>IFERROR(VLOOKUP(Tabela1[[#This Row],[CC]],CC!$A$1:$H$389,6,0),"")</f>
        <v>FS</v>
      </c>
      <c r="S1240" t="str">
        <f>IFERROR(VLOOKUP(Tabela1[[#This Row],[CC]],CC!$A$1:$H$403,8,0),"")</f>
        <v>OP1</v>
      </c>
    </row>
    <row r="1241" spans="1:19" x14ac:dyDescent="0.3">
      <c r="A1241" s="25">
        <v>1470</v>
      </c>
      <c r="B1241" s="25" t="str">
        <f>IFERROR(VLOOKUP(Tabela1[[#This Row],[CC]],#REF!,5,0),"")</f>
        <v/>
      </c>
      <c r="C1241" t="str">
        <f>IFERROR(VLOOKUP(Tabela1[[#This Row],[CC]],CC!$A$1:$H$389,7,0),"")</f>
        <v>ROGERIO GORDILHO</v>
      </c>
      <c r="D1241" t="str">
        <f>IFERROR(VLOOKUP(Tabela1[[#This Row],[CC]],CC!$A$1:$I$3869,3,0),"")</f>
        <v>GNC</v>
      </c>
      <c r="E1241" t="str">
        <f>IFERROR(VLOOKUP(Tabela1[[#This Row],[CC]],CC!$A$1:$H$389,2,0),"")</f>
        <v>GNC (1470)</v>
      </c>
      <c r="F1241" t="s">
        <v>586</v>
      </c>
      <c r="G1241" s="107">
        <v>8535</v>
      </c>
      <c r="H1241" s="12">
        <v>45901</v>
      </c>
      <c r="I1241" s="24">
        <v>36700</v>
      </c>
      <c r="J1241" s="27">
        <v>33708.949999999997</v>
      </c>
      <c r="K1241" s="3">
        <v>45932</v>
      </c>
      <c r="L1241" s="91">
        <v>45957</v>
      </c>
      <c r="M1241" s="11">
        <v>45961</v>
      </c>
      <c r="N1241" s="18" t="s">
        <v>588</v>
      </c>
      <c r="O1241" s="35">
        <v>0</v>
      </c>
      <c r="P1241" s="26"/>
      <c r="Q1241" t="str">
        <f>IFERROR(VLOOKUP(Tabela1[[#This Row],[CC]],CC!$A$1:$H$389,5,0),"")</f>
        <v>CSA</v>
      </c>
      <c r="R1241" t="str">
        <f>IFERROR(VLOOKUP(Tabela1[[#This Row],[CC]],CC!$A$1:$H$389,6,0),"")</f>
        <v>MS</v>
      </c>
      <c r="S1241" t="str">
        <f>IFERROR(VLOOKUP(Tabela1[[#This Row],[CC]],CC!$A$1:$H$403,8,0),"")</f>
        <v>OP4</v>
      </c>
    </row>
    <row r="1242" spans="1:19" x14ac:dyDescent="0.3">
      <c r="A1242" s="25">
        <v>1273</v>
      </c>
      <c r="B1242" s="25" t="str">
        <f>IFERROR(VLOOKUP(Tabela1[[#This Row],[CC]],#REF!,5,0),"")</f>
        <v/>
      </c>
      <c r="C1242" t="str">
        <f>IFERROR(VLOOKUP(Tabela1[[#This Row],[CC]],CC!$A$1:$H$389,7,0),"")</f>
        <v>LIZANDRA PIMENTA</v>
      </c>
      <c r="D1242" t="str">
        <f>IFERROR(VLOOKUP(Tabela1[[#This Row],[CC]],CC!$A$1:$I$3869,3,0),"")</f>
        <v>TJ_BA</v>
      </c>
      <c r="E1242" t="str">
        <f>IFERROR(VLOOKUP(Tabela1[[#This Row],[CC]],CC!$A$1:$H$389,2,0),"")</f>
        <v>TJ - BA DIGITAL SUPPORT (1273)</v>
      </c>
      <c r="F1242" t="s">
        <v>586</v>
      </c>
      <c r="G1242" s="107">
        <v>1306</v>
      </c>
      <c r="H1242" s="12">
        <v>45901</v>
      </c>
      <c r="I1242" s="2">
        <v>573770.1</v>
      </c>
      <c r="J1242" s="27">
        <v>514671.79</v>
      </c>
      <c r="K1242" s="3">
        <v>45947</v>
      </c>
      <c r="L1242" s="91">
        <v>45971</v>
      </c>
      <c r="M1242" s="11">
        <v>45972</v>
      </c>
      <c r="N1242" s="18" t="s">
        <v>588</v>
      </c>
      <c r="O1242" s="35">
        <v>0</v>
      </c>
      <c r="P1242"/>
      <c r="Q1242" t="str">
        <f>IFERROR(VLOOKUP(Tabela1[[#This Row],[CC]],CC!$A$1:$H$389,5,0),"")</f>
        <v>CSA</v>
      </c>
      <c r="R1242" t="str">
        <f>IFERROR(VLOOKUP(Tabela1[[#This Row],[CC]],CC!$A$1:$H$389,6,0),"")</f>
        <v>PS</v>
      </c>
      <c r="S1242" t="str">
        <f>IFERROR(VLOOKUP(Tabela1[[#This Row],[CC]],CC!$A$1:$H$403,8,0),"")</f>
        <v>OP3</v>
      </c>
    </row>
    <row r="1243" spans="1:19" x14ac:dyDescent="0.3">
      <c r="A1243" s="25">
        <v>1277</v>
      </c>
      <c r="B1243" s="25" t="str">
        <f>IFERROR(VLOOKUP(Tabela1[[#This Row],[CC]],#REF!,5,0),"")</f>
        <v/>
      </c>
      <c r="C1243" t="str">
        <f>IFERROR(VLOOKUP(Tabela1[[#This Row],[CC]],CC!$A$1:$H$389,7,0),"")</f>
        <v>LIZANDRA PIMENTA</v>
      </c>
      <c r="D1243" t="str">
        <f>IFERROR(VLOOKUP(Tabela1[[#This Row],[CC]],CC!$A$1:$I$3869,3,0),"")</f>
        <v>TJ_BA</v>
      </c>
      <c r="E1243" t="str">
        <f>IFERROR(VLOOKUP(Tabela1[[#This Row],[CC]],CC!$A$1:$H$389,2,0),"")</f>
        <v>TJ - BA CPROD (1277)</v>
      </c>
      <c r="F1243" t="s">
        <v>586</v>
      </c>
      <c r="G1243" s="107">
        <v>8661</v>
      </c>
      <c r="H1243" s="12">
        <v>45901</v>
      </c>
      <c r="I1243" s="27">
        <v>162394.43</v>
      </c>
      <c r="J1243" s="24">
        <v>145667.79999999999</v>
      </c>
      <c r="K1243" s="3">
        <v>45996</v>
      </c>
      <c r="L1243" s="91">
        <v>46006</v>
      </c>
      <c r="M1243" s="11">
        <v>46007</v>
      </c>
      <c r="N1243" s="18" t="s">
        <v>588</v>
      </c>
      <c r="O1243" s="35"/>
      <c r="P1243"/>
      <c r="Q1243" t="str">
        <f>IFERROR(VLOOKUP(Tabela1[[#This Row],[CC]],CC!$A$1:$H$389,5,0),"")</f>
        <v>CSA</v>
      </c>
      <c r="R1243" t="str">
        <f>IFERROR(VLOOKUP(Tabela1[[#This Row],[CC]],CC!$A$1:$H$389,6,0),"")</f>
        <v>PS</v>
      </c>
      <c r="S1243" t="str">
        <f>IFERROR(VLOOKUP(Tabela1[[#This Row],[CC]],CC!$A$1:$H$403,8,0),"")</f>
        <v>OP3</v>
      </c>
    </row>
    <row r="1244" spans="1:19" x14ac:dyDescent="0.3">
      <c r="A1244" s="25">
        <v>1268</v>
      </c>
      <c r="B1244" s="25" t="str">
        <f>IFERROR(VLOOKUP(Tabela1[[#This Row],[CC]],#REF!,5,0),"")</f>
        <v/>
      </c>
      <c r="C1244" t="str">
        <f>IFERROR(VLOOKUP(Tabela1[[#This Row],[CC]],CC!$A$1:$H$389,7,0),"")</f>
        <v>RODRIGO CORUMBA</v>
      </c>
      <c r="D1244" t="str">
        <f>IFERROR(VLOOKUP(Tabela1[[#This Row],[CC]],CC!$A$1:$I$3869,3,0),"")</f>
        <v>SANTANDER</v>
      </c>
      <c r="E1244" t="str">
        <f>IFERROR(VLOOKUP(Tabela1[[#This Row],[CC]],CC!$A$1:$H$389,2,0),"")</f>
        <v>BANCO SANTANDER Agile Studio (1268)</v>
      </c>
      <c r="F1244" t="s">
        <v>586</v>
      </c>
      <c r="G1244" s="107">
        <v>4421</v>
      </c>
      <c r="H1244" s="12">
        <v>45901</v>
      </c>
      <c r="I1244" s="44">
        <v>38711.199999999997</v>
      </c>
      <c r="J1244" s="27">
        <v>36330.46</v>
      </c>
      <c r="K1244" s="3">
        <v>45943</v>
      </c>
      <c r="L1244" s="91">
        <v>45957</v>
      </c>
      <c r="M1244" s="11">
        <v>45960</v>
      </c>
      <c r="N1244" s="18" t="s">
        <v>588</v>
      </c>
      <c r="O1244" s="35">
        <v>0</v>
      </c>
      <c r="P1244"/>
      <c r="Q1244" t="str">
        <f>IFERROR(VLOOKUP(Tabela1[[#This Row],[CC]],CC!$A$1:$H$389,5,0),"")</f>
        <v>ADS</v>
      </c>
      <c r="R1244" t="str">
        <f>IFERROR(VLOOKUP(Tabela1[[#This Row],[CC]],CC!$A$1:$H$389,6,0),"")</f>
        <v>FS</v>
      </c>
      <c r="S1244" t="str">
        <f>IFERROR(VLOOKUP(Tabela1[[#This Row],[CC]],CC!$A$1:$H$403,8,0),"")</f>
        <v>OP2</v>
      </c>
    </row>
    <row r="1245" spans="1:19" x14ac:dyDescent="0.3">
      <c r="A1245" s="25">
        <v>1268</v>
      </c>
      <c r="B1245" s="25" t="str">
        <f>IFERROR(VLOOKUP(Tabela1[[#This Row],[CC]],#REF!,5,0),"")</f>
        <v/>
      </c>
      <c r="C1245" t="str">
        <f>IFERROR(VLOOKUP(Tabela1[[#This Row],[CC]],CC!$A$1:$H$389,7,0),"")</f>
        <v>RODRIGO CORUMBA</v>
      </c>
      <c r="D1245" t="str">
        <f>IFERROR(VLOOKUP(Tabela1[[#This Row],[CC]],CC!$A$1:$I$3869,3,0),"")</f>
        <v>SANTANDER</v>
      </c>
      <c r="E1245" t="str">
        <f>IFERROR(VLOOKUP(Tabela1[[#This Row],[CC]],CC!$A$1:$H$389,2,0),"")</f>
        <v>BANCO SANTANDER Agile Studio (1268)</v>
      </c>
      <c r="F1245" t="s">
        <v>586</v>
      </c>
      <c r="G1245" s="107">
        <v>4422</v>
      </c>
      <c r="H1245" s="12">
        <v>45901</v>
      </c>
      <c r="I1245" s="44">
        <v>1206305.1299999999</v>
      </c>
      <c r="J1245" s="27">
        <v>1132117.3600000001</v>
      </c>
      <c r="K1245" s="3">
        <v>45943</v>
      </c>
      <c r="L1245" s="91">
        <v>45957</v>
      </c>
      <c r="M1245" s="11">
        <v>45960</v>
      </c>
      <c r="N1245" s="18" t="s">
        <v>588</v>
      </c>
      <c r="O1245" s="35">
        <v>0</v>
      </c>
      <c r="P1245"/>
      <c r="Q1245" t="str">
        <f>IFERROR(VLOOKUP(Tabela1[[#This Row],[CC]],CC!$A$1:$H$389,5,0),"")</f>
        <v>ADS</v>
      </c>
      <c r="R1245" t="str">
        <f>IFERROR(VLOOKUP(Tabela1[[#This Row],[CC]],CC!$A$1:$H$389,6,0),"")</f>
        <v>FS</v>
      </c>
      <c r="S1245" t="str">
        <f>IFERROR(VLOOKUP(Tabela1[[#This Row],[CC]],CC!$A$1:$H$403,8,0),"")</f>
        <v>OP2</v>
      </c>
    </row>
    <row r="1246" spans="1:19" x14ac:dyDescent="0.3">
      <c r="A1246" s="25">
        <v>1268</v>
      </c>
      <c r="B1246" s="25" t="str">
        <f>IFERROR(VLOOKUP(Tabela1[[#This Row],[CC]],#REF!,5,0),"")</f>
        <v/>
      </c>
      <c r="C1246" t="str">
        <f>IFERROR(VLOOKUP(Tabela1[[#This Row],[CC]],CC!$A$1:$H$389,7,0),"")</f>
        <v>RODRIGO CORUMBA</v>
      </c>
      <c r="D1246" t="str">
        <f>IFERROR(VLOOKUP(Tabela1[[#This Row],[CC]],CC!$A$1:$I$3869,3,0),"")</f>
        <v>SANTANDER</v>
      </c>
      <c r="E1246" t="str">
        <f>IFERROR(VLOOKUP(Tabela1[[#This Row],[CC]],CC!$A$1:$H$389,2,0),"")</f>
        <v>BANCO SANTANDER Agile Studio (1268)</v>
      </c>
      <c r="F1246" t="s">
        <v>586</v>
      </c>
      <c r="G1246" s="107" t="s">
        <v>593</v>
      </c>
      <c r="H1246" s="12">
        <v>45901</v>
      </c>
      <c r="I1246" s="44">
        <v>54424.12</v>
      </c>
      <c r="J1246" s="27">
        <v>51077.04</v>
      </c>
      <c r="K1246" s="3">
        <v>45943</v>
      </c>
      <c r="L1246" s="91">
        <v>45957</v>
      </c>
      <c r="M1246" s="11">
        <v>45960</v>
      </c>
      <c r="N1246" s="18" t="s">
        <v>588</v>
      </c>
      <c r="O1246" s="35">
        <v>0</v>
      </c>
      <c r="P1246"/>
      <c r="Q1246" t="str">
        <f>IFERROR(VLOOKUP(Tabela1[[#This Row],[CC]],CC!$A$1:$H$389,5,0),"")</f>
        <v>ADS</v>
      </c>
      <c r="R1246" t="str">
        <f>IFERROR(VLOOKUP(Tabela1[[#This Row],[CC]],CC!$A$1:$H$389,6,0),"")</f>
        <v>FS</v>
      </c>
      <c r="S1246" t="str">
        <f>IFERROR(VLOOKUP(Tabela1[[#This Row],[CC]],CC!$A$1:$H$403,8,0),"")</f>
        <v>OP2</v>
      </c>
    </row>
    <row r="1247" spans="1:19" x14ac:dyDescent="0.3">
      <c r="A1247" s="25">
        <v>1268</v>
      </c>
      <c r="B1247" s="25" t="str">
        <f>IFERROR(VLOOKUP(Tabela1[[#This Row],[CC]],#REF!,5,0),"")</f>
        <v/>
      </c>
      <c r="C1247" t="str">
        <f>IFERROR(VLOOKUP(Tabela1[[#This Row],[CC]],CC!$A$1:$H$389,7,0),"")</f>
        <v>RODRIGO CORUMBA</v>
      </c>
      <c r="D1247" t="str">
        <f>IFERROR(VLOOKUP(Tabela1[[#This Row],[CC]],CC!$A$1:$I$3869,3,0),"")</f>
        <v>SANTANDER</v>
      </c>
      <c r="E1247" t="str">
        <f>IFERROR(VLOOKUP(Tabela1[[#This Row],[CC]],CC!$A$1:$H$389,2,0),"")</f>
        <v>BANCO SANTANDER Agile Studio (1268)</v>
      </c>
      <c r="F1247" t="s">
        <v>586</v>
      </c>
      <c r="G1247" s="107" t="s">
        <v>594</v>
      </c>
      <c r="H1247" s="12">
        <v>45901</v>
      </c>
      <c r="I1247" s="44">
        <v>280377.92</v>
      </c>
      <c r="J1247" s="27">
        <v>263134.69</v>
      </c>
      <c r="K1247" s="3">
        <v>45943</v>
      </c>
      <c r="L1247" s="93">
        <v>45957</v>
      </c>
      <c r="M1247" s="11">
        <v>45960</v>
      </c>
      <c r="N1247" s="18" t="s">
        <v>588</v>
      </c>
      <c r="O1247" s="35">
        <v>0</v>
      </c>
      <c r="P1247"/>
      <c r="Q1247" t="str">
        <f>IFERROR(VLOOKUP(Tabela1[[#This Row],[CC]],CC!$A$1:$H$389,5,0),"")</f>
        <v>ADS</v>
      </c>
      <c r="R1247" t="str">
        <f>IFERROR(VLOOKUP(Tabela1[[#This Row],[CC]],CC!$A$1:$H$389,6,0),"")</f>
        <v>FS</v>
      </c>
      <c r="S1247" t="str">
        <f>IFERROR(VLOOKUP(Tabela1[[#This Row],[CC]],CC!$A$1:$H$403,8,0),"")</f>
        <v>OP2</v>
      </c>
    </row>
    <row r="1248" spans="1:19" x14ac:dyDescent="0.3">
      <c r="A1248" s="25">
        <v>1268</v>
      </c>
      <c r="B1248" s="25" t="str">
        <f>IFERROR(VLOOKUP(Tabela1[[#This Row],[CC]],#REF!,5,0),"")</f>
        <v/>
      </c>
      <c r="C1248" t="str">
        <f>IFERROR(VLOOKUP(Tabela1[[#This Row],[CC]],CC!$A$1:$H$389,7,0),"")</f>
        <v>RODRIGO CORUMBA</v>
      </c>
      <c r="D1248" t="str">
        <f>IFERROR(VLOOKUP(Tabela1[[#This Row],[CC]],CC!$A$1:$I$3869,3,0),"")</f>
        <v>SANTANDER</v>
      </c>
      <c r="E1248" t="str">
        <f>IFERROR(VLOOKUP(Tabela1[[#This Row],[CC]],CC!$A$1:$H$389,2,0),"")</f>
        <v>BANCO SANTANDER Agile Studio (1268)</v>
      </c>
      <c r="F1248" t="s">
        <v>586</v>
      </c>
      <c r="G1248" s="107" t="s">
        <v>595</v>
      </c>
      <c r="H1248" s="12">
        <v>45901</v>
      </c>
      <c r="I1248" s="44">
        <v>113369.84</v>
      </c>
      <c r="J1248" s="27">
        <v>106397.59</v>
      </c>
      <c r="K1248" s="3">
        <v>45943</v>
      </c>
      <c r="L1248" s="93">
        <v>45957</v>
      </c>
      <c r="M1248" s="11">
        <v>45960</v>
      </c>
      <c r="N1248" s="18" t="s">
        <v>588</v>
      </c>
      <c r="O1248" s="35">
        <v>0</v>
      </c>
      <c r="P1248"/>
      <c r="Q1248" t="str">
        <f>IFERROR(VLOOKUP(Tabela1[[#This Row],[CC]],CC!$A$1:$H$389,5,0),"")</f>
        <v>ADS</v>
      </c>
      <c r="R1248" t="str">
        <f>IFERROR(VLOOKUP(Tabela1[[#This Row],[CC]],CC!$A$1:$H$389,6,0),"")</f>
        <v>FS</v>
      </c>
      <c r="S1248" t="str">
        <f>IFERROR(VLOOKUP(Tabela1[[#This Row],[CC]],CC!$A$1:$H$403,8,0),"")</f>
        <v>OP2</v>
      </c>
    </row>
    <row r="1249" spans="1:19" x14ac:dyDescent="0.3">
      <c r="A1249" s="25">
        <v>1483</v>
      </c>
      <c r="B1249" s="25" t="str">
        <f>IFERROR(VLOOKUP(Tabela1[[#This Row],[CC]],#REF!,5,0),"")</f>
        <v/>
      </c>
      <c r="C1249" t="str">
        <f>IFERROR(VLOOKUP(Tabela1[[#This Row],[CC]],CC!$A$1:$H$389,7,0),"")</f>
        <v>RODRIGO CORUMBA</v>
      </c>
      <c r="D1249" t="str">
        <f>IFERROR(VLOOKUP(Tabela1[[#This Row],[CC]],CC!$A$1:$I$3869,3,0),"")</f>
        <v>UNIPAR</v>
      </c>
      <c r="E1249" t="str">
        <f>IFERROR(VLOOKUP(Tabela1[[#This Row],[CC]],CC!$A$1:$H$389,2,0),"")</f>
        <v>UNIPAR (1483)</v>
      </c>
      <c r="F1249" t="s">
        <v>586</v>
      </c>
      <c r="G1249" s="107">
        <v>8530</v>
      </c>
      <c r="H1249" s="12">
        <v>45901</v>
      </c>
      <c r="I1249" s="55">
        <v>53591.199999999997</v>
      </c>
      <c r="J1249" s="24">
        <v>49527.08</v>
      </c>
      <c r="K1249" s="3">
        <v>45931</v>
      </c>
      <c r="L1249" s="91">
        <v>45964</v>
      </c>
      <c r="M1249" s="11">
        <v>45966</v>
      </c>
      <c r="N1249" s="18" t="s">
        <v>588</v>
      </c>
      <c r="O1249" s="35">
        <v>0</v>
      </c>
      <c r="P1249" s="26"/>
      <c r="Q1249" t="str">
        <f>IFERROR(VLOOKUP(Tabela1[[#This Row],[CC]],CC!$A$1:$H$389,5,0),"")</f>
        <v>CSA</v>
      </c>
      <c r="R1249" t="str">
        <f>IFERROR(VLOOKUP(Tabela1[[#This Row],[CC]],CC!$A$1:$H$389,6,0),"")</f>
        <v>MS</v>
      </c>
      <c r="S1249" t="str">
        <f>IFERROR(VLOOKUP(Tabela1[[#This Row],[CC]],CC!$A$1:$H$403,8,0),"")</f>
        <v>OP2</v>
      </c>
    </row>
    <row r="1250" spans="1:19" x14ac:dyDescent="0.3">
      <c r="A1250" s="25">
        <v>1483</v>
      </c>
      <c r="B1250" s="25" t="str">
        <f>IFERROR(VLOOKUP(Tabela1[[#This Row],[CC]],#REF!,5,0),"")</f>
        <v/>
      </c>
      <c r="C1250" t="str">
        <f>IFERROR(VLOOKUP(Tabela1[[#This Row],[CC]],CC!$A$1:$H$389,7,0),"")</f>
        <v>RODRIGO CORUMBA</v>
      </c>
      <c r="D1250" t="str">
        <f>IFERROR(VLOOKUP(Tabela1[[#This Row],[CC]],CC!$A$1:$I$3869,3,0),"")</f>
        <v>UNIPAR</v>
      </c>
      <c r="E1250" t="str">
        <f>IFERROR(VLOOKUP(Tabela1[[#This Row],[CC]],CC!$A$1:$H$389,2,0),"")</f>
        <v>UNIPAR (1483)</v>
      </c>
      <c r="F1250" t="s">
        <v>586</v>
      </c>
      <c r="G1250" s="107">
        <v>8531</v>
      </c>
      <c r="H1250" s="12">
        <v>45901</v>
      </c>
      <c r="I1250" s="55">
        <v>28856.799999999999</v>
      </c>
      <c r="J1250" s="24">
        <v>27082.11</v>
      </c>
      <c r="K1250" s="3">
        <v>45931</v>
      </c>
      <c r="L1250" s="91">
        <v>45957</v>
      </c>
      <c r="M1250" s="11">
        <v>45959</v>
      </c>
      <c r="N1250" s="18" t="s">
        <v>588</v>
      </c>
      <c r="O1250" s="35">
        <v>0</v>
      </c>
      <c r="P1250" s="26"/>
      <c r="Q1250" t="str">
        <f>IFERROR(VLOOKUP(Tabela1[[#This Row],[CC]],CC!$A$1:$H$389,5,0),"")</f>
        <v>CSA</v>
      </c>
      <c r="R1250" t="str">
        <f>IFERROR(VLOOKUP(Tabela1[[#This Row],[CC]],CC!$A$1:$H$389,6,0),"")</f>
        <v>MS</v>
      </c>
      <c r="S1250" t="str">
        <f>IFERROR(VLOOKUP(Tabela1[[#This Row],[CC]],CC!$A$1:$H$403,8,0),"")</f>
        <v>OP2</v>
      </c>
    </row>
    <row r="1251" spans="1:19" x14ac:dyDescent="0.3">
      <c r="A1251" s="25">
        <v>1275</v>
      </c>
      <c r="B1251" s="25" t="str">
        <f>IFERROR(VLOOKUP(Tabela1[[#This Row],[CC]],#REF!,5,0),"")</f>
        <v/>
      </c>
      <c r="C1251" t="str">
        <f>IFERROR(VLOOKUP(Tabela1[[#This Row],[CC]],CC!$A$1:$H$389,7,0),"")</f>
        <v>RODRIGO CORUMBA</v>
      </c>
      <c r="D1251" t="str">
        <f>IFERROR(VLOOKUP(Tabela1[[#This Row],[CC]],CC!$A$1:$I$3869,3,0),"")</f>
        <v>VR</v>
      </c>
      <c r="E1251" t="str">
        <f>IFERROR(VLOOKUP(Tabela1[[#This Row],[CC]],CC!$A$1:$H$389,2,0),"")</f>
        <v>VR (1275)</v>
      </c>
      <c r="F1251" t="s">
        <v>586</v>
      </c>
      <c r="G1251" s="107">
        <v>4387</v>
      </c>
      <c r="H1251" s="12">
        <v>45901</v>
      </c>
      <c r="I1251" s="24">
        <v>16767.240000000002</v>
      </c>
      <c r="J1251" s="27">
        <v>15736.05</v>
      </c>
      <c r="K1251" s="3">
        <v>45932</v>
      </c>
      <c r="L1251" s="91">
        <v>45957</v>
      </c>
      <c r="M1251" s="11">
        <v>45960</v>
      </c>
      <c r="N1251" s="18" t="s">
        <v>588</v>
      </c>
      <c r="O1251" s="35">
        <v>0</v>
      </c>
      <c r="P1251" s="26"/>
      <c r="Q1251" t="str">
        <f>IFERROR(VLOOKUP(Tabela1[[#This Row],[CC]],CC!$A$1:$H$389,5,0),"")</f>
        <v>ADS</v>
      </c>
      <c r="R1251" t="str">
        <f>IFERROR(VLOOKUP(Tabela1[[#This Row],[CC]],CC!$A$1:$H$389,6,0),"")</f>
        <v>FS</v>
      </c>
      <c r="S1251" t="str">
        <f>IFERROR(VLOOKUP(Tabela1[[#This Row],[CC]],CC!$A$1:$H$403,8,0),"")</f>
        <v>OP2</v>
      </c>
    </row>
    <row r="1252" spans="1:19" x14ac:dyDescent="0.3">
      <c r="A1252" s="25">
        <v>1479</v>
      </c>
      <c r="B1252" s="25" t="str">
        <f>IFERROR(VLOOKUP(Tabela1[[#This Row],[CC]],#REF!,5,0),"")</f>
        <v/>
      </c>
      <c r="C1252" t="str">
        <f>IFERROR(VLOOKUP(Tabela1[[#This Row],[CC]],CC!$A$1:$H$389,7,0),"")</f>
        <v>RODRIGO CORUMBA</v>
      </c>
      <c r="D1252" t="str">
        <f>IFERROR(VLOOKUP(Tabela1[[#This Row],[CC]],CC!$A$1:$I$3869,3,0),"")</f>
        <v>VR</v>
      </c>
      <c r="E1252" t="str">
        <f>IFERROR(VLOOKUP(Tabela1[[#This Row],[CC]],CC!$A$1:$H$389,2,0),"")</f>
        <v>VR - Salesforce (1479)</v>
      </c>
      <c r="F1252" t="s">
        <v>586</v>
      </c>
      <c r="G1252" s="107">
        <v>4392</v>
      </c>
      <c r="H1252" s="12">
        <v>45901</v>
      </c>
      <c r="I1252" s="24">
        <v>26040</v>
      </c>
      <c r="J1252" s="27">
        <v>24438.54</v>
      </c>
      <c r="K1252" s="3">
        <v>45933</v>
      </c>
      <c r="L1252" s="91">
        <v>45957</v>
      </c>
      <c r="M1252" s="11">
        <v>45960</v>
      </c>
      <c r="N1252" s="18" t="s">
        <v>588</v>
      </c>
      <c r="O1252" s="35">
        <v>0</v>
      </c>
      <c r="P1252" s="26"/>
      <c r="Q1252" t="str">
        <f>IFERROR(VLOOKUP(Tabela1[[#This Row],[CC]],CC!$A$1:$H$389,5,0),"")</f>
        <v>BPS</v>
      </c>
      <c r="R1252" t="str">
        <f>IFERROR(VLOOKUP(Tabela1[[#This Row],[CC]],CC!$A$1:$H$389,6,0),"")</f>
        <v>FS</v>
      </c>
      <c r="S1252" t="str">
        <f>IFERROR(VLOOKUP(Tabela1[[#This Row],[CC]],CC!$A$1:$H$403,8,0),"")</f>
        <v>OP2</v>
      </c>
    </row>
    <row r="1253" spans="1:19" x14ac:dyDescent="0.3">
      <c r="A1253" s="25">
        <v>1455</v>
      </c>
      <c r="B1253" s="25" t="str">
        <f>IFERROR(VLOOKUP(Tabela1[[#This Row],[CC]],#REF!,5,0),"")</f>
        <v/>
      </c>
      <c r="C1253" t="str">
        <f>IFERROR(VLOOKUP(Tabela1[[#This Row],[CC]],CC!$A$1:$H$389,7,0),"")</f>
        <v>ROGERIO GORDILHO</v>
      </c>
      <c r="D1253" t="str">
        <f>IFERROR(VLOOKUP(Tabela1[[#This Row],[CC]],CC!$A$1:$I$3869,3,0),"")</f>
        <v>ATAKAREJO</v>
      </c>
      <c r="E1253" t="str">
        <f>IFERROR(VLOOKUP(Tabela1[[#This Row],[CC]],CC!$A$1:$H$389,2,0),"")</f>
        <v>ATAKAREJO N3 (1455)</v>
      </c>
      <c r="F1253" t="s">
        <v>586</v>
      </c>
      <c r="G1253" s="107">
        <v>8577</v>
      </c>
      <c r="H1253" s="12">
        <v>45931</v>
      </c>
      <c r="I1253" s="24">
        <v>56875.77</v>
      </c>
      <c r="J1253" s="27">
        <v>50249.74</v>
      </c>
      <c r="K1253" s="3">
        <v>45964</v>
      </c>
      <c r="L1253" s="91">
        <v>45992</v>
      </c>
      <c r="M1253" s="11">
        <v>45992</v>
      </c>
      <c r="N1253" s="21" t="s">
        <v>588</v>
      </c>
      <c r="O1253" s="41"/>
      <c r="P1253" s="26"/>
      <c r="Q1253" t="str">
        <f>IFERROR(VLOOKUP(Tabela1[[#This Row],[CC]],CC!$A$1:$H$389,5,0),"")</f>
        <v>CSA</v>
      </c>
      <c r="R1253" t="str">
        <f>IFERROR(VLOOKUP(Tabela1[[#This Row],[CC]],CC!$A$1:$H$389,6,0),"")</f>
        <v>MS</v>
      </c>
      <c r="S1253" t="str">
        <f>IFERROR(VLOOKUP(Tabela1[[#This Row],[CC]],CC!$A$1:$H$403,8,0),"")</f>
        <v>OP4</v>
      </c>
    </row>
    <row r="1254" spans="1:19" x14ac:dyDescent="0.3">
      <c r="A1254" s="25">
        <v>1455</v>
      </c>
      <c r="B1254" s="25" t="str">
        <f>IFERROR(VLOOKUP(Tabela1[[#This Row],[CC]],#REF!,5,0),"")</f>
        <v/>
      </c>
      <c r="C1254" t="str">
        <f>IFERROR(VLOOKUP(Tabela1[[#This Row],[CC]],CC!$A$1:$H$389,7,0),"")</f>
        <v>ROGERIO GORDILHO</v>
      </c>
      <c r="D1254" t="str">
        <f>IFERROR(VLOOKUP(Tabela1[[#This Row],[CC]],CC!$A$1:$I$3869,3,0),"")</f>
        <v>ATAKAREJO</v>
      </c>
      <c r="E1254" t="str">
        <f>IFERROR(VLOOKUP(Tabela1[[#This Row],[CC]],CC!$A$1:$H$389,2,0),"")</f>
        <v>ATAKAREJO N3 (1455)</v>
      </c>
      <c r="F1254" t="s">
        <v>586</v>
      </c>
      <c r="G1254" s="107">
        <v>8584</v>
      </c>
      <c r="H1254" s="12">
        <v>45931</v>
      </c>
      <c r="I1254" s="24">
        <v>9575.9</v>
      </c>
      <c r="J1254" s="27">
        <v>8460.2999999999993</v>
      </c>
      <c r="K1254" s="3">
        <v>45965</v>
      </c>
      <c r="L1254" s="91">
        <v>45992</v>
      </c>
      <c r="M1254" s="11">
        <v>45992</v>
      </c>
      <c r="N1254" s="21" t="s">
        <v>588</v>
      </c>
      <c r="O1254" s="41"/>
      <c r="P1254" s="26"/>
      <c r="Q1254" t="str">
        <f>IFERROR(VLOOKUP(Tabela1[[#This Row],[CC]],CC!$A$1:$H$389,5,0),"")</f>
        <v>CSA</v>
      </c>
      <c r="R1254" t="str">
        <f>IFERROR(VLOOKUP(Tabela1[[#This Row],[CC]],CC!$A$1:$H$389,6,0),"")</f>
        <v>MS</v>
      </c>
      <c r="S1254" t="str">
        <f>IFERROR(VLOOKUP(Tabela1[[#This Row],[CC]],CC!$A$1:$H$403,8,0),"")</f>
        <v>OP4</v>
      </c>
    </row>
    <row r="1255" spans="1:19" x14ac:dyDescent="0.3">
      <c r="A1255" s="8">
        <v>1489</v>
      </c>
      <c r="B1255" s="8" t="str">
        <f>IFERROR(VLOOKUP(Tabela1[[#This Row],[CC]],#REF!,5,0),"")</f>
        <v/>
      </c>
      <c r="C1255" t="str">
        <f>IFERROR(VLOOKUP(Tabela1[[#This Row],[CC]],CC!$A$1:$H$389,7,0),"")</f>
        <v>RODRIGO CORUMBA</v>
      </c>
      <c r="D1255" t="str">
        <f>IFERROR(VLOOKUP(Tabela1[[#This Row],[CC]],CC!$A$1:$I$3869,3,0),"")</f>
        <v>CARREFOUR</v>
      </c>
      <c r="E1255" t="str">
        <f>IFERROR(VLOOKUP(Tabela1[[#This Row],[CC]],CC!$A$1:$H$389,2,0),"")</f>
        <v>BANCO CARREFOUR (1489)</v>
      </c>
      <c r="F1255" t="s">
        <v>586</v>
      </c>
      <c r="G1255" s="107">
        <v>4492</v>
      </c>
      <c r="H1255" s="12">
        <v>45931</v>
      </c>
      <c r="I1255" s="10">
        <v>42812.21</v>
      </c>
      <c r="J1255" s="24">
        <v>40179.26</v>
      </c>
      <c r="K1255" s="3">
        <v>45965</v>
      </c>
      <c r="L1255" s="91">
        <v>45992</v>
      </c>
      <c r="M1255" s="11">
        <v>45995</v>
      </c>
      <c r="N1255" s="18" t="s">
        <v>588</v>
      </c>
      <c r="O1255" s="37"/>
      <c r="P1255" s="14"/>
      <c r="Q1255" t="str">
        <f>IFERROR(VLOOKUP(Tabela1[[#This Row],[CC]],CC!$A$1:$H$389,5,0),"")</f>
        <v>BPS</v>
      </c>
      <c r="R1255" t="str">
        <f>IFERROR(VLOOKUP(Tabela1[[#This Row],[CC]],CC!$A$1:$H$389,6,0),"")</f>
        <v>FS</v>
      </c>
      <c r="S1255" t="str">
        <f>IFERROR(VLOOKUP(Tabela1[[#This Row],[CC]],CC!$A$1:$H$403,8,0),"")</f>
        <v>OP2</v>
      </c>
    </row>
    <row r="1256" spans="1:19" x14ac:dyDescent="0.3">
      <c r="A1256" s="8">
        <v>1489</v>
      </c>
      <c r="B1256" s="8" t="str">
        <f>IFERROR(VLOOKUP(Tabela1[[#This Row],[CC]],#REF!,5,0),"")</f>
        <v/>
      </c>
      <c r="C1256" t="str">
        <f>IFERROR(VLOOKUP(Tabela1[[#This Row],[CC]],CC!$A$1:$H$389,7,0),"")</f>
        <v>RODRIGO CORUMBA</v>
      </c>
      <c r="D1256" t="str">
        <f>IFERROR(VLOOKUP(Tabela1[[#This Row],[CC]],CC!$A$1:$I$3869,3,0),"")</f>
        <v>CARREFOUR</v>
      </c>
      <c r="E1256" t="str">
        <f>IFERROR(VLOOKUP(Tabela1[[#This Row],[CC]],CC!$A$1:$H$389,2,0),"")</f>
        <v>BANCO CARREFOUR (1489)</v>
      </c>
      <c r="F1256" t="s">
        <v>586</v>
      </c>
      <c r="G1256" s="107">
        <v>4585</v>
      </c>
      <c r="H1256" s="12">
        <v>45962</v>
      </c>
      <c r="I1256" s="10">
        <v>42812.21</v>
      </c>
      <c r="J1256" s="24">
        <v>40179.26</v>
      </c>
      <c r="K1256" s="3">
        <v>45992</v>
      </c>
      <c r="L1256" s="91">
        <v>46020</v>
      </c>
      <c r="M1256" s="11">
        <v>46021</v>
      </c>
      <c r="N1256" s="18" t="s">
        <v>588</v>
      </c>
      <c r="O1256" s="37"/>
      <c r="P1256" s="14"/>
      <c r="Q1256" t="str">
        <f>IFERROR(VLOOKUP(Tabela1[[#This Row],[CC]],CC!$A$1:$H$389,5,0),"")</f>
        <v>BPS</v>
      </c>
      <c r="R1256" t="str">
        <f>IFERROR(VLOOKUP(Tabela1[[#This Row],[CC]],CC!$A$1:$H$389,6,0),"")</f>
        <v>FS</v>
      </c>
      <c r="S1256" t="str">
        <f>IFERROR(VLOOKUP(Tabela1[[#This Row],[CC]],CC!$A$1:$H$403,8,0),"")</f>
        <v>OP2</v>
      </c>
    </row>
    <row r="1257" spans="1:19" x14ac:dyDescent="0.3">
      <c r="A1257" s="8">
        <v>1489</v>
      </c>
      <c r="B1257" s="8" t="str">
        <f>IFERROR(VLOOKUP(Tabela1[[#This Row],[CC]],#REF!,5,0),"")</f>
        <v/>
      </c>
      <c r="C1257" t="str">
        <f>IFERROR(VLOOKUP(Tabela1[[#This Row],[CC]],CC!$A$1:$H$389,7,0),"")</f>
        <v>RODRIGO CORUMBA</v>
      </c>
      <c r="D1257" t="str">
        <f>IFERROR(VLOOKUP(Tabela1[[#This Row],[CC]],CC!$A$1:$I$3869,3,0),"")</f>
        <v>CARREFOUR</v>
      </c>
      <c r="E1257" t="str">
        <f>IFERROR(VLOOKUP(Tabela1[[#This Row],[CC]],CC!$A$1:$H$389,2,0),"")</f>
        <v>BANCO CARREFOUR (1489)</v>
      </c>
      <c r="F1257" t="s">
        <v>586</v>
      </c>
      <c r="G1257" s="107">
        <v>4706</v>
      </c>
      <c r="H1257" s="12">
        <v>45992</v>
      </c>
      <c r="I1257" s="10">
        <v>42812.21</v>
      </c>
      <c r="J1257" s="24">
        <v>40179.26</v>
      </c>
      <c r="K1257" s="3">
        <v>46024</v>
      </c>
      <c r="L1257" s="91">
        <v>46055</v>
      </c>
      <c r="M1257" s="11">
        <v>46055</v>
      </c>
      <c r="N1257" s="18" t="s">
        <v>588</v>
      </c>
      <c r="O1257" s="37"/>
      <c r="P1257" s="14"/>
      <c r="Q1257" t="str">
        <f>IFERROR(VLOOKUP(Tabela1[[#This Row],[CC]],CC!$A$1:$H$389,5,0),"")</f>
        <v>BPS</v>
      </c>
      <c r="R1257" t="str">
        <f>IFERROR(VLOOKUP(Tabela1[[#This Row],[CC]],CC!$A$1:$H$389,6,0),"")</f>
        <v>FS</v>
      </c>
      <c r="S1257" t="str">
        <f>IFERROR(VLOOKUP(Tabela1[[#This Row],[CC]],CC!$A$1:$H$403,8,0),"")</f>
        <v>OP2</v>
      </c>
    </row>
    <row r="1258" spans="1:19" x14ac:dyDescent="0.3">
      <c r="A1258" s="8">
        <v>1489</v>
      </c>
      <c r="B1258" s="8" t="str">
        <f>IFERROR(VLOOKUP(Tabela1[[#This Row],[CC]],#REF!,5,0),"")</f>
        <v/>
      </c>
      <c r="C1258" t="str">
        <f>IFERROR(VLOOKUP(Tabela1[[#This Row],[CC]],CC!$A$1:$H$389,7,0),"")</f>
        <v>RODRIGO CORUMBA</v>
      </c>
      <c r="D1258" t="str">
        <f>IFERROR(VLOOKUP(Tabela1[[#This Row],[CC]],CC!$A$1:$I$3869,3,0),"")</f>
        <v>CARREFOUR</v>
      </c>
      <c r="E1258" t="str">
        <f>IFERROR(VLOOKUP(Tabela1[[#This Row],[CC]],CC!$A$1:$H$389,2,0),"")</f>
        <v>BANCO CARREFOUR (1489)</v>
      </c>
      <c r="F1258" t="s">
        <v>586</v>
      </c>
      <c r="G1258" s="107">
        <v>4787</v>
      </c>
      <c r="H1258" s="12">
        <v>46023</v>
      </c>
      <c r="I1258" s="10">
        <v>44525</v>
      </c>
      <c r="J1258" s="24">
        <v>41786.71</v>
      </c>
      <c r="K1258" s="3">
        <v>46051</v>
      </c>
      <c r="L1258" s="91">
        <v>46083</v>
      </c>
      <c r="M1258" s="11">
        <v>46083</v>
      </c>
      <c r="N1258" s="18" t="s">
        <v>588</v>
      </c>
      <c r="O1258" s="37"/>
      <c r="P1258" s="14"/>
      <c r="Q1258" t="str">
        <f>IFERROR(VLOOKUP(Tabela1[[#This Row],[CC]],CC!$A$1:$H$389,5,0),"")</f>
        <v>BPS</v>
      </c>
      <c r="R1258" t="str">
        <f>IFERROR(VLOOKUP(Tabela1[[#This Row],[CC]],CC!$A$1:$H$389,6,0),"")</f>
        <v>FS</v>
      </c>
      <c r="S1258" t="str">
        <f>IFERROR(VLOOKUP(Tabela1[[#This Row],[CC]],CC!$A$1:$H$403,8,0),"")</f>
        <v>OP2</v>
      </c>
    </row>
    <row r="1259" spans="1:19" x14ac:dyDescent="0.3">
      <c r="A1259" s="8">
        <v>1489</v>
      </c>
      <c r="B1259" s="8" t="str">
        <f>IFERROR(VLOOKUP(Tabela1[[#This Row],[CC]],#REF!,5,0),"")</f>
        <v/>
      </c>
      <c r="C1259" t="str">
        <f>IFERROR(VLOOKUP(Tabela1[[#This Row],[CC]],CC!$A$1:$H$389,7,0),"")</f>
        <v>RODRIGO CORUMBA</v>
      </c>
      <c r="D1259" t="str">
        <f>IFERROR(VLOOKUP(Tabela1[[#This Row],[CC]],CC!$A$1:$I$3869,3,0),"")</f>
        <v>CARREFOUR</v>
      </c>
      <c r="E1259" t="str">
        <f>IFERROR(VLOOKUP(Tabela1[[#This Row],[CC]],CC!$A$1:$H$389,2,0),"")</f>
        <v>BANCO CARREFOUR (1489)</v>
      </c>
      <c r="F1259" t="s">
        <v>586</v>
      </c>
      <c r="G1259" s="107">
        <v>4909</v>
      </c>
      <c r="H1259" s="12">
        <v>46054</v>
      </c>
      <c r="I1259" s="27">
        <v>44525</v>
      </c>
      <c r="J1259" s="24">
        <v>41786.71</v>
      </c>
      <c r="K1259" s="3">
        <v>46084</v>
      </c>
      <c r="L1259" s="91">
        <v>46118</v>
      </c>
      <c r="M1259" s="11">
        <v>46118</v>
      </c>
      <c r="N1259" s="18" t="s">
        <v>588</v>
      </c>
      <c r="O1259" s="37"/>
      <c r="P1259" s="14"/>
      <c r="Q1259" t="str">
        <f>IFERROR(VLOOKUP(Tabela1[[#This Row],[CC]],CC!$A$1:$H$389,5,0),"")</f>
        <v>BPS</v>
      </c>
      <c r="R1259" t="str">
        <f>IFERROR(VLOOKUP(Tabela1[[#This Row],[CC]],CC!$A$1:$H$389,6,0),"")</f>
        <v>FS</v>
      </c>
      <c r="S1259" t="str">
        <f>IFERROR(VLOOKUP(Tabela1[[#This Row],[CC]],CC!$A$1:$H$403,8,0),"")</f>
        <v>OP2</v>
      </c>
    </row>
    <row r="1260" spans="1:19" x14ac:dyDescent="0.3">
      <c r="A1260" s="8">
        <v>1489</v>
      </c>
      <c r="B1260" s="8" t="str">
        <f>IFERROR(VLOOKUP(Tabela1[[#This Row],[CC]],#REF!,5,0),"")</f>
        <v/>
      </c>
      <c r="C1260" t="str">
        <f>IFERROR(VLOOKUP(Tabela1[[#This Row],[CC]],CC!$A$1:$H$389,7,0),"")</f>
        <v>RODRIGO CORUMBA</v>
      </c>
      <c r="D1260" t="str">
        <f>IFERROR(VLOOKUP(Tabela1[[#This Row],[CC]],CC!$A$1:$I$3869,3,0),"")</f>
        <v>CARREFOUR</v>
      </c>
      <c r="E1260" t="str">
        <f>IFERROR(VLOOKUP(Tabela1[[#This Row],[CC]],CC!$A$1:$H$389,2,0),"")</f>
        <v>BANCO CARREFOUR (1489)</v>
      </c>
      <c r="F1260" t="s">
        <v>586</v>
      </c>
      <c r="G1260" s="107">
        <v>5020</v>
      </c>
      <c r="H1260" s="12">
        <v>46082</v>
      </c>
      <c r="I1260" s="24">
        <v>44525</v>
      </c>
      <c r="J1260" s="24">
        <v>41786.71</v>
      </c>
      <c r="K1260" s="3">
        <v>46113</v>
      </c>
      <c r="L1260" s="91">
        <v>46146</v>
      </c>
      <c r="M1260" s="11">
        <v>46146</v>
      </c>
      <c r="N1260" s="18" t="s">
        <v>588</v>
      </c>
      <c r="O1260" s="37"/>
      <c r="P1260" s="14"/>
      <c r="Q1260" t="str">
        <f>IFERROR(VLOOKUP(Tabela1[[#This Row],[CC]],CC!$A$1:$H$389,5,0),"")</f>
        <v>BPS</v>
      </c>
      <c r="R1260" t="str">
        <f>IFERROR(VLOOKUP(Tabela1[[#This Row],[CC]],CC!$A$1:$H$389,6,0),"")</f>
        <v>FS</v>
      </c>
      <c r="S1260" t="str">
        <f>IFERROR(VLOOKUP(Tabela1[[#This Row],[CC]],CC!$A$1:$H$403,8,0),"")</f>
        <v>OP2</v>
      </c>
    </row>
    <row r="1261" spans="1:19" x14ac:dyDescent="0.3">
      <c r="A1261" s="8">
        <v>1489</v>
      </c>
      <c r="B1261" s="8" t="str">
        <f>IFERROR(VLOOKUP(Tabela1[[#This Row],[CC]],#REF!,5,0),"")</f>
        <v/>
      </c>
      <c r="C1261" t="str">
        <f>IFERROR(VLOOKUP(Tabela1[[#This Row],[CC]],CC!$A$1:$H$389,7,0),"")</f>
        <v>RODRIGO CORUMBA</v>
      </c>
      <c r="D1261" t="str">
        <f>IFERROR(VLOOKUP(Tabela1[[#This Row],[CC]],CC!$A$1:$I$3869,3,0),"")</f>
        <v>CARREFOUR</v>
      </c>
      <c r="E1261" t="str">
        <f>IFERROR(VLOOKUP(Tabela1[[#This Row],[CC]],CC!$A$1:$H$389,2,0),"")</f>
        <v>BANCO CARREFOUR (1489)</v>
      </c>
      <c r="F1261" t="s">
        <v>586</v>
      </c>
      <c r="G1261" s="107">
        <v>5108</v>
      </c>
      <c r="H1261" s="12">
        <v>46113</v>
      </c>
      <c r="I1261" s="24">
        <v>44525</v>
      </c>
      <c r="J1261" s="24">
        <v>41786.71</v>
      </c>
      <c r="K1261" s="3">
        <v>46140</v>
      </c>
      <c r="L1261" s="91">
        <v>46167</v>
      </c>
      <c r="M1261" s="11">
        <v>46170</v>
      </c>
      <c r="N1261" s="18" t="s">
        <v>588</v>
      </c>
      <c r="O1261" s="37"/>
      <c r="P1261" s="14"/>
      <c r="Q1261" t="str">
        <f>IFERROR(VLOOKUP(Tabela1[[#This Row],[CC]],CC!$A$1:$H$389,5,0),"")</f>
        <v>BPS</v>
      </c>
      <c r="R1261" t="str">
        <f>IFERROR(VLOOKUP(Tabela1[[#This Row],[CC]],CC!$A$1:$H$389,6,0),"")</f>
        <v>FS</v>
      </c>
      <c r="S1261" t="str">
        <f>IFERROR(VLOOKUP(Tabela1[[#This Row],[CC]],CC!$A$1:$H$403,8,0),"")</f>
        <v>OP2</v>
      </c>
    </row>
    <row r="1262" spans="1:19" x14ac:dyDescent="0.3">
      <c r="A1262" s="8">
        <v>1489</v>
      </c>
      <c r="B1262" s="8" t="str">
        <f>IFERROR(VLOOKUP(Tabela1[[#This Row],[CC]],#REF!,5,0),"")</f>
        <v/>
      </c>
      <c r="C1262" t="str">
        <f>IFERROR(VLOOKUP(Tabela1[[#This Row],[CC]],CC!$A$1:$H$389,7,0),"")</f>
        <v>RODRIGO CORUMBA</v>
      </c>
      <c r="D1262" t="str">
        <f>IFERROR(VLOOKUP(Tabela1[[#This Row],[CC]],CC!$A$1:$I$3869,3,0),"")</f>
        <v>CARREFOUR</v>
      </c>
      <c r="E1262" t="str">
        <f>IFERROR(VLOOKUP(Tabela1[[#This Row],[CC]],CC!$A$1:$H$389,2,0),"")</f>
        <v>BANCO CARREFOUR (1489)</v>
      </c>
      <c r="F1262" t="s">
        <v>586</v>
      </c>
      <c r="G1262" s="107">
        <v>5181</v>
      </c>
      <c r="H1262" s="12">
        <v>46143</v>
      </c>
      <c r="I1262" s="24">
        <v>44525</v>
      </c>
      <c r="J1262" s="24">
        <v>41786.71</v>
      </c>
      <c r="K1262" s="3">
        <v>46170</v>
      </c>
      <c r="L1262" s="91">
        <v>46195</v>
      </c>
      <c r="M1262" s="11"/>
      <c r="N1262" s="18" t="s">
        <v>587</v>
      </c>
      <c r="O1262" s="37"/>
      <c r="P1262" s="14"/>
      <c r="Q1262" t="str">
        <f>IFERROR(VLOOKUP(Tabela1[[#This Row],[CC]],CC!$A$1:$H$389,5,0),"")</f>
        <v>BPS</v>
      </c>
      <c r="R1262" t="str">
        <f>IFERROR(VLOOKUP(Tabela1[[#This Row],[CC]],CC!$A$1:$H$389,6,0),"")</f>
        <v>FS</v>
      </c>
      <c r="S1262" t="str">
        <f>IFERROR(VLOOKUP(Tabela1[[#This Row],[CC]],CC!$A$1:$H$403,8,0),"")</f>
        <v>OP2</v>
      </c>
    </row>
    <row r="1263" spans="1:19" x14ac:dyDescent="0.3">
      <c r="A1263" s="25">
        <v>1478</v>
      </c>
      <c r="B1263" s="25" t="str">
        <f>IFERROR(VLOOKUP(Tabela1[[#This Row],[CC]],#REF!,5,0),"")</f>
        <v/>
      </c>
      <c r="C1263" t="str">
        <f>IFERROR(VLOOKUP(Tabela1[[#This Row],[CC]],CC!$A$1:$H$389,7,0),"")</f>
        <v>RITA ANDRADE</v>
      </c>
      <c r="D1263" t="str">
        <f>IFERROR(VLOOKUP(Tabela1[[#This Row],[CC]],CC!$A$1:$I$3869,3,0),"")</f>
        <v>VOTORANTIM</v>
      </c>
      <c r="E1263" t="str">
        <f>IFERROR(VLOOKUP(Tabela1[[#This Row],[CC]],CC!$A$1:$H$389,2,0),"")</f>
        <v>BANKLY (ADS) (1478)</v>
      </c>
      <c r="F1263" t="s">
        <v>586</v>
      </c>
      <c r="G1263" s="107">
        <v>8586</v>
      </c>
      <c r="H1263" s="12">
        <v>45931</v>
      </c>
      <c r="I1263" s="27">
        <v>13993.56</v>
      </c>
      <c r="J1263" s="24">
        <v>13132.95</v>
      </c>
      <c r="K1263" s="3">
        <v>45966</v>
      </c>
      <c r="L1263" s="91">
        <v>45992</v>
      </c>
      <c r="M1263" s="11">
        <v>45996</v>
      </c>
      <c r="N1263" s="18" t="s">
        <v>588</v>
      </c>
      <c r="O1263" s="35"/>
      <c r="P1263"/>
      <c r="Q1263" t="str">
        <f>IFERROR(VLOOKUP(Tabela1[[#This Row],[CC]],CC!$A$1:$H$389,5,0),"")</f>
        <v>ADS</v>
      </c>
      <c r="R1263" t="str">
        <f>IFERROR(VLOOKUP(Tabela1[[#This Row],[CC]],CC!$A$1:$H$389,6,0),"")</f>
        <v>FS</v>
      </c>
      <c r="S1263" t="str">
        <f>IFERROR(VLOOKUP(Tabela1[[#This Row],[CC]],CC!$A$1:$H$403,8,0),"")</f>
        <v>OP1</v>
      </c>
    </row>
    <row r="1264" spans="1:19" x14ac:dyDescent="0.3">
      <c r="A1264" s="25">
        <v>1478</v>
      </c>
      <c r="B1264" s="25" t="str">
        <f>IFERROR(VLOOKUP(Tabela1[[#This Row],[CC]],#REF!,5,0),"")</f>
        <v/>
      </c>
      <c r="C1264" t="str">
        <f>IFERROR(VLOOKUP(Tabela1[[#This Row],[CC]],CC!$A$1:$H$389,7,0),"")</f>
        <v>RITA ANDRADE</v>
      </c>
      <c r="D1264" t="str">
        <f>IFERROR(VLOOKUP(Tabela1[[#This Row],[CC]],CC!$A$1:$I$3869,3,0),"")</f>
        <v>VOTORANTIM</v>
      </c>
      <c r="E1264" t="str">
        <f>IFERROR(VLOOKUP(Tabela1[[#This Row],[CC]],CC!$A$1:$H$389,2,0),"")</f>
        <v>BANKLY (ADS) (1478)</v>
      </c>
      <c r="F1264" t="s">
        <v>586</v>
      </c>
      <c r="G1264" s="107">
        <v>8587</v>
      </c>
      <c r="H1264" s="12">
        <v>45931</v>
      </c>
      <c r="I1264" s="27">
        <v>29087.69</v>
      </c>
      <c r="J1264" s="24">
        <v>27298.79</v>
      </c>
      <c r="K1264" s="3">
        <v>45966</v>
      </c>
      <c r="L1264" s="91">
        <v>45992</v>
      </c>
      <c r="M1264" s="11">
        <v>45996</v>
      </c>
      <c r="N1264" s="18" t="s">
        <v>588</v>
      </c>
      <c r="O1264" s="35"/>
      <c r="P1264"/>
      <c r="Q1264" t="str">
        <f>IFERROR(VLOOKUP(Tabela1[[#This Row],[CC]],CC!$A$1:$H$389,5,0),"")</f>
        <v>ADS</v>
      </c>
      <c r="R1264" t="str">
        <f>IFERROR(VLOOKUP(Tabela1[[#This Row],[CC]],CC!$A$1:$H$389,6,0),"")</f>
        <v>FS</v>
      </c>
      <c r="S1264" t="str">
        <f>IFERROR(VLOOKUP(Tabela1[[#This Row],[CC]],CC!$A$1:$H$403,8,0),"")</f>
        <v>OP1</v>
      </c>
    </row>
    <row r="1265" spans="1:19" x14ac:dyDescent="0.3">
      <c r="A1265" s="25">
        <v>1478</v>
      </c>
      <c r="B1265" s="25" t="str">
        <f>IFERROR(VLOOKUP(Tabela1[[#This Row],[CC]],#REF!,5,0),"")</f>
        <v/>
      </c>
      <c r="C1265" t="str">
        <f>IFERROR(VLOOKUP(Tabela1[[#This Row],[CC]],CC!$A$1:$H$389,7,0),"")</f>
        <v>RITA ANDRADE</v>
      </c>
      <c r="D1265" t="str">
        <f>IFERROR(VLOOKUP(Tabela1[[#This Row],[CC]],CC!$A$1:$I$3869,3,0),"")</f>
        <v>VOTORANTIM</v>
      </c>
      <c r="E1265" t="str">
        <f>IFERROR(VLOOKUP(Tabela1[[#This Row],[CC]],CC!$A$1:$H$389,2,0),"")</f>
        <v>BANKLY (ADS) (1478)</v>
      </c>
      <c r="F1265" t="s">
        <v>586</v>
      </c>
      <c r="G1265" s="107">
        <v>8588</v>
      </c>
      <c r="H1265" s="12">
        <v>45931</v>
      </c>
      <c r="I1265" s="27">
        <v>16351.92</v>
      </c>
      <c r="J1265" s="24">
        <v>15346.27</v>
      </c>
      <c r="K1265" s="3">
        <v>45966</v>
      </c>
      <c r="L1265" s="91">
        <v>45992</v>
      </c>
      <c r="M1265" s="11">
        <v>45996</v>
      </c>
      <c r="N1265" s="18" t="s">
        <v>588</v>
      </c>
      <c r="O1265" s="35"/>
      <c r="P1265"/>
      <c r="Q1265" t="str">
        <f>IFERROR(VLOOKUP(Tabela1[[#This Row],[CC]],CC!$A$1:$H$389,5,0),"")</f>
        <v>ADS</v>
      </c>
      <c r="R1265" t="str">
        <f>IFERROR(VLOOKUP(Tabela1[[#This Row],[CC]],CC!$A$1:$H$389,6,0),"")</f>
        <v>FS</v>
      </c>
      <c r="S1265" t="str">
        <f>IFERROR(VLOOKUP(Tabela1[[#This Row],[CC]],CC!$A$1:$H$403,8,0),"")</f>
        <v>OP1</v>
      </c>
    </row>
    <row r="1266" spans="1:19" x14ac:dyDescent="0.3">
      <c r="A1266" s="25">
        <v>1478</v>
      </c>
      <c r="B1266" s="25" t="str">
        <f>IFERROR(VLOOKUP(Tabela1[[#This Row],[CC]],#REF!,5,0),"")</f>
        <v/>
      </c>
      <c r="C1266" t="str">
        <f>IFERROR(VLOOKUP(Tabela1[[#This Row],[CC]],CC!$A$1:$H$389,7,0),"")</f>
        <v>RITA ANDRADE</v>
      </c>
      <c r="D1266" t="str">
        <f>IFERROR(VLOOKUP(Tabela1[[#This Row],[CC]],CC!$A$1:$I$3869,3,0),"")</f>
        <v>VOTORANTIM</v>
      </c>
      <c r="E1266" t="str">
        <f>IFERROR(VLOOKUP(Tabela1[[#This Row],[CC]],CC!$A$1:$H$389,2,0),"")</f>
        <v>BANKLY (ADS) (1478)</v>
      </c>
      <c r="F1266" t="s">
        <v>586</v>
      </c>
      <c r="G1266" s="107">
        <v>8589</v>
      </c>
      <c r="H1266" s="12">
        <v>45931</v>
      </c>
      <c r="I1266" s="27">
        <v>20754.55</v>
      </c>
      <c r="J1266" s="24">
        <v>19478.14</v>
      </c>
      <c r="K1266" s="3">
        <v>45966</v>
      </c>
      <c r="L1266" s="91">
        <v>45992</v>
      </c>
      <c r="M1266" s="11">
        <v>45996</v>
      </c>
      <c r="N1266" s="18" t="s">
        <v>588</v>
      </c>
      <c r="O1266" s="35"/>
      <c r="P1266"/>
      <c r="Q1266" t="str">
        <f>IFERROR(VLOOKUP(Tabela1[[#This Row],[CC]],CC!$A$1:$H$389,5,0),"")</f>
        <v>ADS</v>
      </c>
      <c r="R1266" t="str">
        <f>IFERROR(VLOOKUP(Tabela1[[#This Row],[CC]],CC!$A$1:$H$389,6,0),"")</f>
        <v>FS</v>
      </c>
      <c r="S1266" t="str">
        <f>IFERROR(VLOOKUP(Tabela1[[#This Row],[CC]],CC!$A$1:$H$403,8,0),"")</f>
        <v>OP1</v>
      </c>
    </row>
    <row r="1267" spans="1:19" x14ac:dyDescent="0.3">
      <c r="A1267" s="25">
        <v>1499</v>
      </c>
      <c r="B1267" s="25" t="str">
        <f>IFERROR(VLOOKUP(Tabela1[[#This Row],[CC]],#REF!,5,0),"")</f>
        <v/>
      </c>
      <c r="C1267" t="str">
        <f>IFERROR(VLOOKUP(Tabela1[[#This Row],[CC]],CC!$A$1:$H$389,7,0),"")</f>
        <v>RITA ANDRADE</v>
      </c>
      <c r="D1267" t="str">
        <f>IFERROR(VLOOKUP(Tabela1[[#This Row],[CC]],CC!$A$1:$I$3869,3,0),"")</f>
        <v>BRACELL</v>
      </c>
      <c r="E1267" t="str">
        <f>IFERROR(VLOOKUP(Tabela1[[#This Row],[CC]],CC!$A$1:$H$389,2,0),"")</f>
        <v>BRACELL (1499)</v>
      </c>
      <c r="F1267" t="s">
        <v>586</v>
      </c>
      <c r="G1267" s="107">
        <v>8590</v>
      </c>
      <c r="H1267" s="12">
        <v>45931</v>
      </c>
      <c r="I1267" s="24">
        <v>52900</v>
      </c>
      <c r="J1267" s="24">
        <v>49646.65</v>
      </c>
      <c r="K1267" s="3">
        <v>45967</v>
      </c>
      <c r="L1267" s="91">
        <v>45985</v>
      </c>
      <c r="M1267" s="11">
        <v>45987</v>
      </c>
      <c r="N1267" s="18" t="s">
        <v>588</v>
      </c>
      <c r="O1267" s="35">
        <v>0</v>
      </c>
      <c r="P1267"/>
      <c r="Q1267" t="str">
        <f>IFERROR(VLOOKUP(Tabela1[[#This Row],[CC]],CC!$A$1:$H$389,5,0),"")</f>
        <v>ADS</v>
      </c>
      <c r="R1267" t="str">
        <f>IFERROR(VLOOKUP(Tabela1[[#This Row],[CC]],CC!$A$1:$H$389,6,0),"")</f>
        <v>MS</v>
      </c>
      <c r="S1267" t="str">
        <f>IFERROR(VLOOKUP(Tabela1[[#This Row],[CC]],CC!$A$1:$H$403,8,0),"")</f>
        <v>OP1</v>
      </c>
    </row>
    <row r="1268" spans="1:19" x14ac:dyDescent="0.3">
      <c r="A1268" s="25">
        <v>1391</v>
      </c>
      <c r="B1268" s="25" t="str">
        <f>IFERROR(VLOOKUP(Tabela1[[#This Row],[CC]],#REF!,5,0),"")</f>
        <v/>
      </c>
      <c r="C1268" t="str">
        <f>IFERROR(VLOOKUP(Tabela1[[#This Row],[CC]],CC!$A$1:$H$389,7,0),"")</f>
        <v>RITA ANDRADE</v>
      </c>
      <c r="D1268" t="str">
        <f>IFERROR(VLOOKUP(Tabela1[[#This Row],[CC]],CC!$A$1:$I$3869,3,0),"")</f>
        <v>BRADESCO</v>
      </c>
      <c r="E1268" t="str">
        <f>IFERROR(VLOOKUP(Tabela1[[#This Row],[CC]],CC!$A$1:$H$389,2,0),"")</f>
        <v>BRADESCO - DS (1391)</v>
      </c>
      <c r="F1268" t="s">
        <v>586</v>
      </c>
      <c r="G1268" s="107">
        <v>4497</v>
      </c>
      <c r="H1268" s="12">
        <v>45931</v>
      </c>
      <c r="I1268" s="39">
        <v>741547.47</v>
      </c>
      <c r="J1268" s="27">
        <v>695942.3</v>
      </c>
      <c r="K1268" s="3">
        <v>45966</v>
      </c>
      <c r="L1268" s="91">
        <v>45978</v>
      </c>
      <c r="M1268" s="11">
        <v>45982</v>
      </c>
      <c r="N1268" s="1" t="s">
        <v>588</v>
      </c>
      <c r="O1268" s="35">
        <v>0</v>
      </c>
      <c r="P1268"/>
      <c r="Q1268" t="str">
        <f>IFERROR(VLOOKUP(Tabela1[[#This Row],[CC]],CC!$A$1:$H$389,5,0),"")</f>
        <v>ADS</v>
      </c>
      <c r="R1268" t="str">
        <f>IFERROR(VLOOKUP(Tabela1[[#This Row],[CC]],CC!$A$1:$H$389,6,0),"")</f>
        <v>FS</v>
      </c>
      <c r="S1268" t="str">
        <f>IFERROR(VLOOKUP(Tabela1[[#This Row],[CC]],CC!$A$1:$H$403,8,0),"")</f>
        <v>OP1</v>
      </c>
    </row>
    <row r="1269" spans="1:19" x14ac:dyDescent="0.3">
      <c r="A1269" s="25">
        <v>1391</v>
      </c>
      <c r="B1269" s="25" t="str">
        <f>IFERROR(VLOOKUP(Tabela1[[#This Row],[CC]],#REF!,5,0),"")</f>
        <v/>
      </c>
      <c r="C1269" t="str">
        <f>IFERROR(VLOOKUP(Tabela1[[#This Row],[CC]],CC!$A$1:$H$389,7,0),"")</f>
        <v>RITA ANDRADE</v>
      </c>
      <c r="D1269" t="str">
        <f>IFERROR(VLOOKUP(Tabela1[[#This Row],[CC]],CC!$A$1:$I$3869,3,0),"")</f>
        <v>BRADESCO</v>
      </c>
      <c r="E1269" t="str">
        <f>IFERROR(VLOOKUP(Tabela1[[#This Row],[CC]],CC!$A$1:$H$389,2,0),"")</f>
        <v>BRADESCO - DS (1391)</v>
      </c>
      <c r="F1269" t="s">
        <v>586</v>
      </c>
      <c r="G1269" s="107">
        <v>4498</v>
      </c>
      <c r="H1269" s="12">
        <v>45931</v>
      </c>
      <c r="I1269" s="39">
        <v>117708.05</v>
      </c>
      <c r="J1269" s="27">
        <v>110469.01</v>
      </c>
      <c r="K1269" s="3">
        <v>45966</v>
      </c>
      <c r="L1269" s="91">
        <v>45978</v>
      </c>
      <c r="M1269" s="11">
        <v>45982</v>
      </c>
      <c r="N1269" s="1" t="s">
        <v>588</v>
      </c>
      <c r="O1269" s="35">
        <v>0</v>
      </c>
      <c r="P1269"/>
      <c r="Q1269" t="str">
        <f>IFERROR(VLOOKUP(Tabela1[[#This Row],[CC]],CC!$A$1:$H$389,5,0),"")</f>
        <v>ADS</v>
      </c>
      <c r="R1269" t="str">
        <f>IFERROR(VLOOKUP(Tabela1[[#This Row],[CC]],CC!$A$1:$H$389,6,0),"")</f>
        <v>FS</v>
      </c>
      <c r="S1269" t="str">
        <f>IFERROR(VLOOKUP(Tabela1[[#This Row],[CC]],CC!$A$1:$H$403,8,0),"")</f>
        <v>OP1</v>
      </c>
    </row>
    <row r="1270" spans="1:19" x14ac:dyDescent="0.3">
      <c r="A1270" s="25">
        <v>1391</v>
      </c>
      <c r="B1270" s="25" t="str">
        <f>IFERROR(VLOOKUP(Tabela1[[#This Row],[CC]],#REF!,5,0),"")</f>
        <v/>
      </c>
      <c r="C1270" t="str">
        <f>IFERROR(VLOOKUP(Tabela1[[#This Row],[CC]],CC!$A$1:$H$389,7,0),"")</f>
        <v>RITA ANDRADE</v>
      </c>
      <c r="D1270" t="str">
        <f>IFERROR(VLOOKUP(Tabela1[[#This Row],[CC]],CC!$A$1:$I$3869,3,0),"")</f>
        <v>BRADESCO</v>
      </c>
      <c r="E1270" t="str">
        <f>IFERROR(VLOOKUP(Tabela1[[#This Row],[CC]],CC!$A$1:$H$389,2,0),"")</f>
        <v>BRADESCO - DS (1391)</v>
      </c>
      <c r="F1270" t="s">
        <v>586</v>
      </c>
      <c r="G1270" s="107">
        <v>4499</v>
      </c>
      <c r="H1270" s="12">
        <v>45931</v>
      </c>
      <c r="I1270" s="39">
        <v>117708.05</v>
      </c>
      <c r="J1270" s="27">
        <v>110469.01</v>
      </c>
      <c r="K1270" s="3">
        <v>45966</v>
      </c>
      <c r="L1270" s="91">
        <v>45978</v>
      </c>
      <c r="M1270" s="11">
        <v>45982</v>
      </c>
      <c r="N1270" s="1" t="s">
        <v>588</v>
      </c>
      <c r="O1270" s="35">
        <v>0</v>
      </c>
      <c r="P1270"/>
      <c r="Q1270" t="str">
        <f>IFERROR(VLOOKUP(Tabela1[[#This Row],[CC]],CC!$A$1:$H$389,5,0),"")</f>
        <v>ADS</v>
      </c>
      <c r="R1270" t="str">
        <f>IFERROR(VLOOKUP(Tabela1[[#This Row],[CC]],CC!$A$1:$H$389,6,0),"")</f>
        <v>FS</v>
      </c>
      <c r="S1270" t="str">
        <f>IFERROR(VLOOKUP(Tabela1[[#This Row],[CC]],CC!$A$1:$H$403,8,0),"")</f>
        <v>OP1</v>
      </c>
    </row>
    <row r="1271" spans="1:19" x14ac:dyDescent="0.3">
      <c r="A1271" s="25">
        <v>1391</v>
      </c>
      <c r="B1271" s="25" t="str">
        <f>IFERROR(VLOOKUP(Tabela1[[#This Row],[CC]],#REF!,5,0),"")</f>
        <v/>
      </c>
      <c r="C1271" t="str">
        <f>IFERROR(VLOOKUP(Tabela1[[#This Row],[CC]],CC!$A$1:$H$389,7,0),"")</f>
        <v>RITA ANDRADE</v>
      </c>
      <c r="D1271" t="str">
        <f>IFERROR(VLOOKUP(Tabela1[[#This Row],[CC]],CC!$A$1:$I$3869,3,0),"")</f>
        <v>BRADESCO</v>
      </c>
      <c r="E1271" t="str">
        <f>IFERROR(VLOOKUP(Tabela1[[#This Row],[CC]],CC!$A$1:$H$389,2,0),"")</f>
        <v>BRADESCO - DS (1391)</v>
      </c>
      <c r="F1271" t="s">
        <v>586</v>
      </c>
      <c r="G1271" s="107">
        <v>4500</v>
      </c>
      <c r="H1271" s="12">
        <v>45931</v>
      </c>
      <c r="I1271" s="39">
        <v>146532.54</v>
      </c>
      <c r="J1271" s="27">
        <v>137520.79</v>
      </c>
      <c r="K1271" s="3">
        <v>45967</v>
      </c>
      <c r="L1271" s="91">
        <v>45978</v>
      </c>
      <c r="M1271" s="11">
        <v>45982</v>
      </c>
      <c r="N1271" s="1" t="s">
        <v>588</v>
      </c>
      <c r="O1271" s="35">
        <v>0</v>
      </c>
      <c r="P1271"/>
      <c r="Q1271" t="str">
        <f>IFERROR(VLOOKUP(Tabela1[[#This Row],[CC]],CC!$A$1:$H$389,5,0),"")</f>
        <v>ADS</v>
      </c>
      <c r="R1271" t="str">
        <f>IFERROR(VLOOKUP(Tabela1[[#This Row],[CC]],CC!$A$1:$H$389,6,0),"")</f>
        <v>FS</v>
      </c>
      <c r="S1271" t="str">
        <f>IFERROR(VLOOKUP(Tabela1[[#This Row],[CC]],CC!$A$1:$H$403,8,0),"")</f>
        <v>OP1</v>
      </c>
    </row>
    <row r="1272" spans="1:19" x14ac:dyDescent="0.3">
      <c r="A1272" s="25">
        <v>1391</v>
      </c>
      <c r="B1272" s="25" t="str">
        <f>IFERROR(VLOOKUP(Tabela1[[#This Row],[CC]],#REF!,5,0),"")</f>
        <v/>
      </c>
      <c r="C1272" t="str">
        <f>IFERROR(VLOOKUP(Tabela1[[#This Row],[CC]],CC!$A$1:$H$389,7,0),"")</f>
        <v>RITA ANDRADE</v>
      </c>
      <c r="D1272" t="str">
        <f>IFERROR(VLOOKUP(Tabela1[[#This Row],[CC]],CC!$A$1:$I$3869,3,0),"")</f>
        <v>BRADESCO</v>
      </c>
      <c r="E1272" t="str">
        <f>IFERROR(VLOOKUP(Tabela1[[#This Row],[CC]],CC!$A$1:$H$389,2,0),"")</f>
        <v>BRADESCO - DS (1391)</v>
      </c>
      <c r="F1272" t="s">
        <v>586</v>
      </c>
      <c r="G1272" s="107">
        <v>4501</v>
      </c>
      <c r="H1272" s="12">
        <v>45931</v>
      </c>
      <c r="I1272" s="39">
        <v>122096.72</v>
      </c>
      <c r="J1272" s="27">
        <v>114587.77</v>
      </c>
      <c r="K1272" s="3">
        <v>45967</v>
      </c>
      <c r="L1272" s="91">
        <v>45978</v>
      </c>
      <c r="M1272" s="11">
        <v>45982</v>
      </c>
      <c r="N1272" s="1" t="s">
        <v>588</v>
      </c>
      <c r="O1272" s="35">
        <v>0</v>
      </c>
      <c r="P1272"/>
      <c r="Q1272" t="str">
        <f>IFERROR(VLOOKUP(Tabela1[[#This Row],[CC]],CC!$A$1:$H$389,5,0),"")</f>
        <v>ADS</v>
      </c>
      <c r="R1272" t="str">
        <f>IFERROR(VLOOKUP(Tabela1[[#This Row],[CC]],CC!$A$1:$H$389,6,0),"")</f>
        <v>FS</v>
      </c>
      <c r="S1272" t="str">
        <f>IFERROR(VLOOKUP(Tabela1[[#This Row],[CC]],CC!$A$1:$H$403,8,0),"")</f>
        <v>OP1</v>
      </c>
    </row>
    <row r="1273" spans="1:19" x14ac:dyDescent="0.3">
      <c r="A1273" s="25">
        <v>1391</v>
      </c>
      <c r="B1273" s="25" t="str">
        <f>IFERROR(VLOOKUP(Tabela1[[#This Row],[CC]],#REF!,5,0),"")</f>
        <v/>
      </c>
      <c r="C1273" t="str">
        <f>IFERROR(VLOOKUP(Tabela1[[#This Row],[CC]],CC!$A$1:$H$389,7,0),"")</f>
        <v>RITA ANDRADE</v>
      </c>
      <c r="D1273" t="str">
        <f>IFERROR(VLOOKUP(Tabela1[[#This Row],[CC]],CC!$A$1:$I$3869,3,0),"")</f>
        <v>BRADESCO</v>
      </c>
      <c r="E1273" t="str">
        <f>IFERROR(VLOOKUP(Tabela1[[#This Row],[CC]],CC!$A$1:$H$389,2,0),"")</f>
        <v>BRADESCO - DS (1391)</v>
      </c>
      <c r="F1273" t="s">
        <v>586</v>
      </c>
      <c r="G1273" s="107">
        <v>4502</v>
      </c>
      <c r="H1273" s="12">
        <v>45931</v>
      </c>
      <c r="I1273" s="39">
        <v>88513.43</v>
      </c>
      <c r="J1273" s="27">
        <v>83069.86</v>
      </c>
      <c r="K1273" s="3">
        <v>45967</v>
      </c>
      <c r="L1273" s="91">
        <v>45978</v>
      </c>
      <c r="M1273" s="11">
        <v>45982</v>
      </c>
      <c r="N1273" s="1" t="s">
        <v>588</v>
      </c>
      <c r="O1273" s="35">
        <v>0</v>
      </c>
      <c r="P1273"/>
      <c r="Q1273" t="str">
        <f>IFERROR(VLOOKUP(Tabela1[[#This Row],[CC]],CC!$A$1:$H$389,5,0),"")</f>
        <v>ADS</v>
      </c>
      <c r="R1273" t="str">
        <f>IFERROR(VLOOKUP(Tabela1[[#This Row],[CC]],CC!$A$1:$H$389,6,0),"")</f>
        <v>FS</v>
      </c>
      <c r="S1273" t="str">
        <f>IFERROR(VLOOKUP(Tabela1[[#This Row],[CC]],CC!$A$1:$H$403,8,0),"")</f>
        <v>OP1</v>
      </c>
    </row>
    <row r="1274" spans="1:19" x14ac:dyDescent="0.3">
      <c r="A1274" s="25">
        <v>1391</v>
      </c>
      <c r="B1274" s="25" t="str">
        <f>IFERROR(VLOOKUP(Tabela1[[#This Row],[CC]],#REF!,5,0),"")</f>
        <v/>
      </c>
      <c r="C1274" t="str">
        <f>IFERROR(VLOOKUP(Tabela1[[#This Row],[CC]],CC!$A$1:$H$389,7,0),"")</f>
        <v>RITA ANDRADE</v>
      </c>
      <c r="D1274" t="str">
        <f>IFERROR(VLOOKUP(Tabela1[[#This Row],[CC]],CC!$A$1:$I$3869,3,0),"")</f>
        <v>BRADESCO</v>
      </c>
      <c r="E1274" t="str">
        <f>IFERROR(VLOOKUP(Tabela1[[#This Row],[CC]],CC!$A$1:$H$389,2,0),"")</f>
        <v>BRADESCO - DS (1391)</v>
      </c>
      <c r="F1274" t="s">
        <v>586</v>
      </c>
      <c r="G1274" s="107">
        <v>4504</v>
      </c>
      <c r="H1274" s="12">
        <v>45931</v>
      </c>
      <c r="I1274" s="39">
        <v>63103.95</v>
      </c>
      <c r="J1274" s="27">
        <v>59223.06</v>
      </c>
      <c r="K1274" s="3">
        <v>45967</v>
      </c>
      <c r="L1274" s="91">
        <v>45978</v>
      </c>
      <c r="M1274" s="11">
        <v>45982</v>
      </c>
      <c r="N1274" s="1" t="s">
        <v>588</v>
      </c>
      <c r="O1274" s="35">
        <v>0</v>
      </c>
      <c r="P1274"/>
      <c r="Q1274" t="str">
        <f>IFERROR(VLOOKUP(Tabela1[[#This Row],[CC]],CC!$A$1:$H$389,5,0),"")</f>
        <v>ADS</v>
      </c>
      <c r="R1274" t="str">
        <f>IFERROR(VLOOKUP(Tabela1[[#This Row],[CC]],CC!$A$1:$H$389,6,0),"")</f>
        <v>FS</v>
      </c>
      <c r="S1274" t="str">
        <f>IFERROR(VLOOKUP(Tabela1[[#This Row],[CC]],CC!$A$1:$H$403,8,0),"")</f>
        <v>OP1</v>
      </c>
    </row>
    <row r="1275" spans="1:19" x14ac:dyDescent="0.3">
      <c r="A1275" s="25">
        <v>1391</v>
      </c>
      <c r="B1275" s="25" t="str">
        <f>IFERROR(VLOOKUP(Tabela1[[#This Row],[CC]],#REF!,5,0),"")</f>
        <v/>
      </c>
      <c r="C1275" t="str">
        <f>IFERROR(VLOOKUP(Tabela1[[#This Row],[CC]],CC!$A$1:$H$389,7,0),"")</f>
        <v>RITA ANDRADE</v>
      </c>
      <c r="D1275" t="str">
        <f>IFERROR(VLOOKUP(Tabela1[[#This Row],[CC]],CC!$A$1:$I$3869,3,0),"")</f>
        <v>BRADESCO</v>
      </c>
      <c r="E1275" t="str">
        <f>IFERROR(VLOOKUP(Tabela1[[#This Row],[CC]],CC!$A$1:$H$389,2,0),"")</f>
        <v>BRADESCO - DS (1391)</v>
      </c>
      <c r="F1275" t="s">
        <v>586</v>
      </c>
      <c r="G1275" s="107">
        <v>4505</v>
      </c>
      <c r="H1275" s="12">
        <v>45931</v>
      </c>
      <c r="I1275" s="116">
        <v>186897.84</v>
      </c>
      <c r="J1275" s="27">
        <v>175403.62</v>
      </c>
      <c r="K1275" s="3">
        <v>45968</v>
      </c>
      <c r="L1275" s="91">
        <v>45985</v>
      </c>
      <c r="M1275" s="11">
        <v>45985</v>
      </c>
      <c r="N1275" s="1" t="s">
        <v>588</v>
      </c>
      <c r="O1275" s="35">
        <v>0</v>
      </c>
      <c r="P1275"/>
      <c r="Q1275" t="str">
        <f>IFERROR(VLOOKUP(Tabela1[[#This Row],[CC]],CC!$A$1:$H$389,5,0),"")</f>
        <v>ADS</v>
      </c>
      <c r="R1275" t="str">
        <f>IFERROR(VLOOKUP(Tabela1[[#This Row],[CC]],CC!$A$1:$H$389,6,0),"")</f>
        <v>FS</v>
      </c>
      <c r="S1275" t="str">
        <f>IFERROR(VLOOKUP(Tabela1[[#This Row],[CC]],CC!$A$1:$H$403,8,0),"")</f>
        <v>OP1</v>
      </c>
    </row>
    <row r="1276" spans="1:19" x14ac:dyDescent="0.3">
      <c r="A1276" s="25">
        <v>1391</v>
      </c>
      <c r="B1276" s="25" t="str">
        <f>IFERROR(VLOOKUP(Tabela1[[#This Row],[CC]],#REF!,5,0),"")</f>
        <v/>
      </c>
      <c r="C1276" t="str">
        <f>IFERROR(VLOOKUP(Tabela1[[#This Row],[CC]],CC!$A$1:$H$389,7,0),"")</f>
        <v>RITA ANDRADE</v>
      </c>
      <c r="D1276" t="str">
        <f>IFERROR(VLOOKUP(Tabela1[[#This Row],[CC]],CC!$A$1:$I$3869,3,0),"")</f>
        <v>BRADESCO</v>
      </c>
      <c r="E1276" t="str">
        <f>IFERROR(VLOOKUP(Tabela1[[#This Row],[CC]],CC!$A$1:$H$389,2,0),"")</f>
        <v>BRADESCO - DS (1391)</v>
      </c>
      <c r="F1276" t="s">
        <v>586</v>
      </c>
      <c r="G1276" s="107">
        <v>4506</v>
      </c>
      <c r="H1276" s="12">
        <v>45931</v>
      </c>
      <c r="I1276" s="39">
        <v>78723.45</v>
      </c>
      <c r="J1276" s="27">
        <v>73881.960000000006</v>
      </c>
      <c r="K1276" s="3">
        <v>45968</v>
      </c>
      <c r="L1276" s="91">
        <v>45985</v>
      </c>
      <c r="M1276" s="11">
        <v>45985</v>
      </c>
      <c r="N1276" s="1" t="s">
        <v>588</v>
      </c>
      <c r="O1276" s="35">
        <v>0</v>
      </c>
      <c r="P1276"/>
      <c r="Q1276" t="str">
        <f>IFERROR(VLOOKUP(Tabela1[[#This Row],[CC]],CC!$A$1:$H$389,5,0),"")</f>
        <v>ADS</v>
      </c>
      <c r="R1276" t="str">
        <f>IFERROR(VLOOKUP(Tabela1[[#This Row],[CC]],CC!$A$1:$H$389,6,0),"")</f>
        <v>FS</v>
      </c>
      <c r="S1276" t="str">
        <f>IFERROR(VLOOKUP(Tabela1[[#This Row],[CC]],CC!$A$1:$H$403,8,0),"")</f>
        <v>OP1</v>
      </c>
    </row>
    <row r="1277" spans="1:19" x14ac:dyDescent="0.3">
      <c r="A1277" s="25">
        <v>1391</v>
      </c>
      <c r="B1277" s="25" t="str">
        <f>IFERROR(VLOOKUP(Tabela1[[#This Row],[CC]],#REF!,5,0),"")</f>
        <v/>
      </c>
      <c r="C1277" t="str">
        <f>IFERROR(VLOOKUP(Tabela1[[#This Row],[CC]],CC!$A$1:$H$389,7,0),"")</f>
        <v>RITA ANDRADE</v>
      </c>
      <c r="D1277" t="str">
        <f>IFERROR(VLOOKUP(Tabela1[[#This Row],[CC]],CC!$A$1:$I$3869,3,0),"")</f>
        <v>BRADESCO</v>
      </c>
      <c r="E1277" t="str">
        <f>IFERROR(VLOOKUP(Tabela1[[#This Row],[CC]],CC!$A$1:$H$389,2,0),"")</f>
        <v>BRADESCO - DS (1391)</v>
      </c>
      <c r="F1277" t="s">
        <v>586</v>
      </c>
      <c r="G1277" s="107">
        <v>4509</v>
      </c>
      <c r="H1277" s="12">
        <v>45931</v>
      </c>
      <c r="I1277" s="39">
        <v>33710.639999999999</v>
      </c>
      <c r="J1277" s="27">
        <v>31637.439999999999</v>
      </c>
      <c r="K1277" s="3">
        <v>45971</v>
      </c>
      <c r="L1277" s="91">
        <v>45985</v>
      </c>
      <c r="M1277" s="11">
        <v>45986</v>
      </c>
      <c r="N1277" s="1" t="s">
        <v>588</v>
      </c>
      <c r="O1277" s="35">
        <v>0</v>
      </c>
      <c r="P1277"/>
      <c r="Q1277" t="str">
        <f>IFERROR(VLOOKUP(Tabela1[[#This Row],[CC]],CC!$A$1:$H$389,5,0),"")</f>
        <v>ADS</v>
      </c>
      <c r="R1277" t="str">
        <f>IFERROR(VLOOKUP(Tabela1[[#This Row],[CC]],CC!$A$1:$H$389,6,0),"")</f>
        <v>FS</v>
      </c>
      <c r="S1277" t="str">
        <f>IFERROR(VLOOKUP(Tabela1[[#This Row],[CC]],CC!$A$1:$H$403,8,0),"")</f>
        <v>OP1</v>
      </c>
    </row>
    <row r="1278" spans="1:19" x14ac:dyDescent="0.3">
      <c r="A1278" s="25">
        <v>1391</v>
      </c>
      <c r="B1278" s="25" t="str">
        <f>IFERROR(VLOOKUP(Tabela1[[#This Row],[CC]],#REF!,5,0),"")</f>
        <v/>
      </c>
      <c r="C1278" t="str">
        <f>IFERROR(VLOOKUP(Tabela1[[#This Row],[CC]],CC!$A$1:$H$389,7,0),"")</f>
        <v>RITA ANDRADE</v>
      </c>
      <c r="D1278" t="str">
        <f>IFERROR(VLOOKUP(Tabela1[[#This Row],[CC]],CC!$A$1:$I$3869,3,0),"")</f>
        <v>BRADESCO</v>
      </c>
      <c r="E1278" t="str">
        <f>IFERROR(VLOOKUP(Tabela1[[#This Row],[CC]],CC!$A$1:$H$389,2,0),"")</f>
        <v>BRADESCO - DS (1391)</v>
      </c>
      <c r="F1278" t="s">
        <v>586</v>
      </c>
      <c r="G1278" s="107">
        <v>4510</v>
      </c>
      <c r="H1278" s="12">
        <v>45931</v>
      </c>
      <c r="I1278" s="39">
        <v>86671.2</v>
      </c>
      <c r="J1278" s="27">
        <v>81340.92</v>
      </c>
      <c r="K1278" s="3">
        <v>45971</v>
      </c>
      <c r="L1278" s="91">
        <v>45985</v>
      </c>
      <c r="M1278" s="11">
        <v>45986</v>
      </c>
      <c r="N1278" s="1" t="s">
        <v>588</v>
      </c>
      <c r="O1278" s="35">
        <v>0</v>
      </c>
      <c r="P1278"/>
      <c r="Q1278" t="str">
        <f>IFERROR(VLOOKUP(Tabela1[[#This Row],[CC]],CC!$A$1:$H$389,5,0),"")</f>
        <v>ADS</v>
      </c>
      <c r="R1278" t="str">
        <f>IFERROR(VLOOKUP(Tabela1[[#This Row],[CC]],CC!$A$1:$H$389,6,0),"")</f>
        <v>FS</v>
      </c>
      <c r="S1278" t="str">
        <f>IFERROR(VLOOKUP(Tabela1[[#This Row],[CC]],CC!$A$1:$H$403,8,0),"")</f>
        <v>OP1</v>
      </c>
    </row>
    <row r="1279" spans="1:19" x14ac:dyDescent="0.3">
      <c r="A1279" s="25">
        <v>1391</v>
      </c>
      <c r="B1279" s="25" t="str">
        <f>IFERROR(VLOOKUP(Tabela1[[#This Row],[CC]],#REF!,5,0),"")</f>
        <v/>
      </c>
      <c r="C1279" t="str">
        <f>IFERROR(VLOOKUP(Tabela1[[#This Row],[CC]],CC!$A$1:$H$389,7,0),"")</f>
        <v>RITA ANDRADE</v>
      </c>
      <c r="D1279" t="str">
        <f>IFERROR(VLOOKUP(Tabela1[[#This Row],[CC]],CC!$A$1:$I$3869,3,0),"")</f>
        <v>BRADESCO</v>
      </c>
      <c r="E1279" t="str">
        <f>IFERROR(VLOOKUP(Tabela1[[#This Row],[CC]],CC!$A$1:$H$389,2,0),"")</f>
        <v>BRADESCO - DS (1391)</v>
      </c>
      <c r="F1279" t="s">
        <v>586</v>
      </c>
      <c r="G1279" s="107">
        <v>4511</v>
      </c>
      <c r="H1279" s="12">
        <v>45931</v>
      </c>
      <c r="I1279" s="39">
        <v>51687.68</v>
      </c>
      <c r="J1279" s="27">
        <v>48508.88</v>
      </c>
      <c r="K1279" s="3">
        <v>45971</v>
      </c>
      <c r="L1279" s="91">
        <v>45985</v>
      </c>
      <c r="M1279" s="11">
        <v>45986</v>
      </c>
      <c r="N1279" s="1" t="s">
        <v>588</v>
      </c>
      <c r="O1279" s="35">
        <v>0</v>
      </c>
      <c r="P1279"/>
      <c r="Q1279" t="str">
        <f>IFERROR(VLOOKUP(Tabela1[[#This Row],[CC]],CC!$A$1:$H$389,5,0),"")</f>
        <v>ADS</v>
      </c>
      <c r="R1279" t="str">
        <f>IFERROR(VLOOKUP(Tabela1[[#This Row],[CC]],CC!$A$1:$H$389,6,0),"")</f>
        <v>FS</v>
      </c>
      <c r="S1279" t="str">
        <f>IFERROR(VLOOKUP(Tabela1[[#This Row],[CC]],CC!$A$1:$H$403,8,0),"")</f>
        <v>OP1</v>
      </c>
    </row>
    <row r="1280" spans="1:19" x14ac:dyDescent="0.3">
      <c r="A1280" s="25">
        <v>1294</v>
      </c>
      <c r="B1280" s="25" t="str">
        <f>IFERROR(VLOOKUP(Tabela1[[#This Row],[CC]],#REF!,5,0),"")</f>
        <v/>
      </c>
      <c r="C1280" t="str">
        <f>IFERROR(VLOOKUP(Tabela1[[#This Row],[CC]],CC!$A$1:$H$389,7,0),"")</f>
        <v>RITA ANDRADE</v>
      </c>
      <c r="D1280" t="str">
        <f>IFERROR(VLOOKUP(Tabela1[[#This Row],[CC]],CC!$A$1:$I$3869,3,0),"")</f>
        <v>BRADESCO</v>
      </c>
      <c r="E1280" t="str">
        <f>IFERROR(VLOOKUP(Tabela1[[#This Row],[CC]],CC!$A$1:$H$389,2,0),"")</f>
        <v>BRADESCO - DS 2 (1294)</v>
      </c>
      <c r="F1280" t="s">
        <v>586</v>
      </c>
      <c r="G1280" s="107">
        <v>4455</v>
      </c>
      <c r="H1280" s="12">
        <v>45931</v>
      </c>
      <c r="I1280" s="28">
        <v>19968.05</v>
      </c>
      <c r="J1280" s="27">
        <v>18740.02</v>
      </c>
      <c r="K1280" s="3">
        <v>45952</v>
      </c>
      <c r="L1280" s="91">
        <v>45964</v>
      </c>
      <c r="M1280" s="11">
        <v>45967</v>
      </c>
      <c r="N1280" s="1" t="s">
        <v>588</v>
      </c>
      <c r="O1280" s="35">
        <v>0</v>
      </c>
      <c r="P1280"/>
      <c r="Q1280" t="str">
        <f>IFERROR(VLOOKUP(Tabela1[[#This Row],[CC]],CC!$A$1:$H$389,5,0),"")</f>
        <v>ADS</v>
      </c>
      <c r="R1280" t="str">
        <f>IFERROR(VLOOKUP(Tabela1[[#This Row],[CC]],CC!$A$1:$H$389,6,0),"")</f>
        <v>FS</v>
      </c>
      <c r="S1280" t="str">
        <f>IFERROR(VLOOKUP(Tabela1[[#This Row],[CC]],CC!$A$1:$H$403,8,0),"")</f>
        <v>OP1</v>
      </c>
    </row>
    <row r="1281" spans="1:19" x14ac:dyDescent="0.3">
      <c r="A1281" s="25">
        <v>1294</v>
      </c>
      <c r="B1281" s="25" t="str">
        <f>IFERROR(VLOOKUP(Tabela1[[#This Row],[CC]],#REF!,5,0),"")</f>
        <v/>
      </c>
      <c r="C1281" t="str">
        <f>IFERROR(VLOOKUP(Tabela1[[#This Row],[CC]],CC!$A$1:$H$389,7,0),"")</f>
        <v>RITA ANDRADE</v>
      </c>
      <c r="D1281" t="str">
        <f>IFERROR(VLOOKUP(Tabela1[[#This Row],[CC]],CC!$A$1:$I$3869,3,0),"")</f>
        <v>BRADESCO</v>
      </c>
      <c r="E1281" t="str">
        <f>IFERROR(VLOOKUP(Tabela1[[#This Row],[CC]],CC!$A$1:$H$389,2,0),"")</f>
        <v>BRADESCO - DS 2 (1294)</v>
      </c>
      <c r="F1281" t="s">
        <v>586</v>
      </c>
      <c r="G1281" s="107">
        <v>4507</v>
      </c>
      <c r="H1281" s="12">
        <v>45931</v>
      </c>
      <c r="I1281" s="39">
        <v>220026.66</v>
      </c>
      <c r="J1281" s="27">
        <v>206495.02</v>
      </c>
      <c r="K1281" s="3">
        <v>45971</v>
      </c>
      <c r="L1281" s="91">
        <v>45985</v>
      </c>
      <c r="M1281" s="11">
        <v>45986</v>
      </c>
      <c r="N1281" s="1" t="s">
        <v>588</v>
      </c>
      <c r="O1281" s="35">
        <v>0</v>
      </c>
      <c r="P1281"/>
      <c r="Q1281" t="str">
        <f>IFERROR(VLOOKUP(Tabela1[[#This Row],[CC]],CC!$A$1:$H$389,5,0),"")</f>
        <v>ADS</v>
      </c>
      <c r="R1281" t="str">
        <f>IFERROR(VLOOKUP(Tabela1[[#This Row],[CC]],CC!$A$1:$H$389,6,0),"")</f>
        <v>FS</v>
      </c>
      <c r="S1281" t="str">
        <f>IFERROR(VLOOKUP(Tabela1[[#This Row],[CC]],CC!$A$1:$H$403,8,0),"")</f>
        <v>OP1</v>
      </c>
    </row>
    <row r="1282" spans="1:19" x14ac:dyDescent="0.3">
      <c r="A1282" s="25">
        <v>1294</v>
      </c>
      <c r="B1282" s="25" t="str">
        <f>IFERROR(VLOOKUP(Tabela1[[#This Row],[CC]],#REF!,5,0),"")</f>
        <v/>
      </c>
      <c r="C1282" t="str">
        <f>IFERROR(VLOOKUP(Tabela1[[#This Row],[CC]],CC!$A$1:$H$389,7,0),"")</f>
        <v>RITA ANDRADE</v>
      </c>
      <c r="D1282" t="str">
        <f>IFERROR(VLOOKUP(Tabela1[[#This Row],[CC]],CC!$A$1:$I$3869,3,0),"")</f>
        <v>BRADESCO</v>
      </c>
      <c r="E1282" t="str">
        <f>IFERROR(VLOOKUP(Tabela1[[#This Row],[CC]],CC!$A$1:$H$389,2,0),"")</f>
        <v>BRADESCO - DS 2 (1294)</v>
      </c>
      <c r="F1282" t="s">
        <v>586</v>
      </c>
      <c r="G1282" s="107">
        <v>4517</v>
      </c>
      <c r="H1282" s="12">
        <v>45931</v>
      </c>
      <c r="I1282" s="39">
        <v>123696.3</v>
      </c>
      <c r="J1282" s="24">
        <v>116088.98</v>
      </c>
      <c r="K1282" s="3">
        <v>45973</v>
      </c>
      <c r="L1282" s="91">
        <v>45985</v>
      </c>
      <c r="M1282" s="11">
        <v>45988</v>
      </c>
      <c r="N1282" s="1" t="s">
        <v>588</v>
      </c>
      <c r="O1282" s="35">
        <v>0</v>
      </c>
      <c r="P1282"/>
      <c r="Q1282" t="str">
        <f>IFERROR(VLOOKUP(Tabela1[[#This Row],[CC]],CC!$A$1:$H$389,5,0),"")</f>
        <v>ADS</v>
      </c>
      <c r="R1282" t="str">
        <f>IFERROR(VLOOKUP(Tabela1[[#This Row],[CC]],CC!$A$1:$H$389,6,0),"")</f>
        <v>FS</v>
      </c>
      <c r="S1282" t="str">
        <f>IFERROR(VLOOKUP(Tabela1[[#This Row],[CC]],CC!$A$1:$H$403,8,0),"")</f>
        <v>OP1</v>
      </c>
    </row>
    <row r="1283" spans="1:19" x14ac:dyDescent="0.3">
      <c r="A1283" s="25">
        <v>1294</v>
      </c>
      <c r="B1283" s="25" t="str">
        <f>IFERROR(VLOOKUP(Tabela1[[#This Row],[CC]],#REF!,5,0),"")</f>
        <v/>
      </c>
      <c r="C1283" t="str">
        <f>IFERROR(VLOOKUP(Tabela1[[#This Row],[CC]],CC!$A$1:$H$389,7,0),"")</f>
        <v>RITA ANDRADE</v>
      </c>
      <c r="D1283" t="str">
        <f>IFERROR(VLOOKUP(Tabela1[[#This Row],[CC]],CC!$A$1:$I$3869,3,0),"")</f>
        <v>BRADESCO</v>
      </c>
      <c r="E1283" t="str">
        <f>IFERROR(VLOOKUP(Tabela1[[#This Row],[CC]],CC!$A$1:$H$389,2,0),"")</f>
        <v>BRADESCO - DS 2 (1294)</v>
      </c>
      <c r="F1283" t="s">
        <v>586</v>
      </c>
      <c r="G1283" s="107">
        <v>4519</v>
      </c>
      <c r="H1283" s="12">
        <v>45931</v>
      </c>
      <c r="I1283" s="39">
        <v>247341.23</v>
      </c>
      <c r="J1283" s="24">
        <v>232129.74</v>
      </c>
      <c r="K1283" s="3">
        <v>45973</v>
      </c>
      <c r="L1283" s="91">
        <v>45985</v>
      </c>
      <c r="M1283" s="11">
        <v>45988</v>
      </c>
      <c r="N1283" s="1" t="s">
        <v>588</v>
      </c>
      <c r="O1283" s="35">
        <v>0</v>
      </c>
      <c r="P1283"/>
      <c r="Q1283" t="str">
        <f>IFERROR(VLOOKUP(Tabela1[[#This Row],[CC]],CC!$A$1:$H$389,5,0),"")</f>
        <v>ADS</v>
      </c>
      <c r="R1283" t="str">
        <f>IFERROR(VLOOKUP(Tabela1[[#This Row],[CC]],CC!$A$1:$H$389,6,0),"")</f>
        <v>FS</v>
      </c>
      <c r="S1283" t="str">
        <f>IFERROR(VLOOKUP(Tabela1[[#This Row],[CC]],CC!$A$1:$H$403,8,0),"")</f>
        <v>OP1</v>
      </c>
    </row>
    <row r="1284" spans="1:19" x14ac:dyDescent="0.3">
      <c r="A1284" s="25">
        <v>1294</v>
      </c>
      <c r="B1284" s="25" t="str">
        <f>IFERROR(VLOOKUP(Tabela1[[#This Row],[CC]],#REF!,5,0),"")</f>
        <v/>
      </c>
      <c r="C1284" t="str">
        <f>IFERROR(VLOOKUP(Tabela1[[#This Row],[CC]],CC!$A$1:$H$389,7,0),"")</f>
        <v>RITA ANDRADE</v>
      </c>
      <c r="D1284" t="str">
        <f>IFERROR(VLOOKUP(Tabela1[[#This Row],[CC]],CC!$A$1:$I$3869,3,0),"")</f>
        <v>BRADESCO</v>
      </c>
      <c r="E1284" t="str">
        <f>IFERROR(VLOOKUP(Tabela1[[#This Row],[CC]],CC!$A$1:$H$389,2,0),"")</f>
        <v>BRADESCO - DS 2 (1294)</v>
      </c>
      <c r="F1284" t="s">
        <v>586</v>
      </c>
      <c r="G1284" s="107">
        <v>4518</v>
      </c>
      <c r="H1284" s="12">
        <v>45931</v>
      </c>
      <c r="I1284" s="39">
        <v>116871.65</v>
      </c>
      <c r="J1284" s="24">
        <v>109684.05</v>
      </c>
      <c r="K1284" s="3">
        <v>45973</v>
      </c>
      <c r="L1284" s="91">
        <v>45985</v>
      </c>
      <c r="M1284" s="11">
        <v>45988</v>
      </c>
      <c r="N1284" s="1" t="s">
        <v>588</v>
      </c>
      <c r="O1284" s="35">
        <v>0</v>
      </c>
      <c r="P1284"/>
      <c r="Q1284" t="str">
        <f>IFERROR(VLOOKUP(Tabela1[[#This Row],[CC]],CC!$A$1:$H$389,5,0),"")</f>
        <v>ADS</v>
      </c>
      <c r="R1284" t="str">
        <f>IFERROR(VLOOKUP(Tabela1[[#This Row],[CC]],CC!$A$1:$H$389,6,0),"")</f>
        <v>FS</v>
      </c>
      <c r="S1284" t="str">
        <f>IFERROR(VLOOKUP(Tabela1[[#This Row],[CC]],CC!$A$1:$H$403,8,0),"")</f>
        <v>OP1</v>
      </c>
    </row>
    <row r="1285" spans="1:19" x14ac:dyDescent="0.3">
      <c r="A1285" s="25">
        <v>1294</v>
      </c>
      <c r="B1285" s="25" t="str">
        <f>IFERROR(VLOOKUP(Tabela1[[#This Row],[CC]],#REF!,5,0),"")</f>
        <v/>
      </c>
      <c r="C1285" t="str">
        <f>IFERROR(VLOOKUP(Tabela1[[#This Row],[CC]],CC!$A$1:$H$389,7,0),"")</f>
        <v>RITA ANDRADE</v>
      </c>
      <c r="D1285" t="str">
        <f>IFERROR(VLOOKUP(Tabela1[[#This Row],[CC]],CC!$A$1:$I$3869,3,0),"")</f>
        <v>BRADESCO</v>
      </c>
      <c r="E1285" t="str">
        <f>IFERROR(VLOOKUP(Tabela1[[#This Row],[CC]],CC!$A$1:$H$389,2,0),"")</f>
        <v>BRADESCO - DS 2 (1294)</v>
      </c>
      <c r="F1285" t="s">
        <v>586</v>
      </c>
      <c r="G1285" s="107">
        <v>4520</v>
      </c>
      <c r="H1285" s="12">
        <v>45931</v>
      </c>
      <c r="I1285" s="39">
        <v>167314.19</v>
      </c>
      <c r="J1285" s="27">
        <v>157024.37</v>
      </c>
      <c r="K1285" s="3">
        <v>45974</v>
      </c>
      <c r="L1285" s="91">
        <v>45985</v>
      </c>
      <c r="M1285" s="11">
        <v>45989</v>
      </c>
      <c r="N1285" s="1" t="s">
        <v>588</v>
      </c>
      <c r="O1285" s="35">
        <v>0</v>
      </c>
      <c r="P1285"/>
      <c r="Q1285" t="str">
        <f>IFERROR(VLOOKUP(Tabela1[[#This Row],[CC]],CC!$A$1:$H$389,5,0),"")</f>
        <v>ADS</v>
      </c>
      <c r="R1285" t="str">
        <f>IFERROR(VLOOKUP(Tabela1[[#This Row],[CC]],CC!$A$1:$H$389,6,0),"")</f>
        <v>FS</v>
      </c>
      <c r="S1285" t="str">
        <f>IFERROR(VLOOKUP(Tabela1[[#This Row],[CC]],CC!$A$1:$H$403,8,0),"")</f>
        <v>OP1</v>
      </c>
    </row>
    <row r="1286" spans="1:19" x14ac:dyDescent="0.3">
      <c r="A1286" s="25">
        <v>1294</v>
      </c>
      <c r="B1286" s="25" t="str">
        <f>IFERROR(VLOOKUP(Tabela1[[#This Row],[CC]],#REF!,5,0),"")</f>
        <v/>
      </c>
      <c r="C1286" t="str">
        <f>IFERROR(VLOOKUP(Tabela1[[#This Row],[CC]],CC!$A$1:$H$389,7,0),"")</f>
        <v>RITA ANDRADE</v>
      </c>
      <c r="D1286" t="str">
        <f>IFERROR(VLOOKUP(Tabela1[[#This Row],[CC]],CC!$A$1:$I$3869,3,0),"")</f>
        <v>BRADESCO</v>
      </c>
      <c r="E1286" t="str">
        <f>IFERROR(VLOOKUP(Tabela1[[#This Row],[CC]],CC!$A$1:$H$389,2,0),"")</f>
        <v>BRADESCO - DS 2 (1294)</v>
      </c>
      <c r="F1286" t="s">
        <v>586</v>
      </c>
      <c r="G1286" s="107">
        <v>4521</v>
      </c>
      <c r="H1286" s="12">
        <v>45931</v>
      </c>
      <c r="I1286" s="116">
        <v>185528.51</v>
      </c>
      <c r="J1286" s="27">
        <v>174118.49</v>
      </c>
      <c r="K1286" s="3">
        <v>45974</v>
      </c>
      <c r="L1286" s="91">
        <v>45985</v>
      </c>
      <c r="M1286" s="11">
        <v>45989</v>
      </c>
      <c r="N1286" s="1" t="s">
        <v>588</v>
      </c>
      <c r="O1286" s="35">
        <v>0</v>
      </c>
      <c r="P1286"/>
      <c r="Q1286" t="str">
        <f>IFERROR(VLOOKUP(Tabela1[[#This Row],[CC]],CC!$A$1:$H$389,5,0),"")</f>
        <v>ADS</v>
      </c>
      <c r="R1286" t="str">
        <f>IFERROR(VLOOKUP(Tabela1[[#This Row],[CC]],CC!$A$1:$H$389,6,0),"")</f>
        <v>FS</v>
      </c>
      <c r="S1286" t="str">
        <f>IFERROR(VLOOKUP(Tabela1[[#This Row],[CC]],CC!$A$1:$H$403,8,0),"")</f>
        <v>OP1</v>
      </c>
    </row>
    <row r="1287" spans="1:19" x14ac:dyDescent="0.3">
      <c r="A1287" s="25">
        <v>1294</v>
      </c>
      <c r="B1287" s="25" t="str">
        <f>IFERROR(VLOOKUP(Tabela1[[#This Row],[CC]],#REF!,5,0),"")</f>
        <v/>
      </c>
      <c r="C1287" t="str">
        <f>IFERROR(VLOOKUP(Tabela1[[#This Row],[CC]],CC!$A$1:$H$389,7,0),"")</f>
        <v>RITA ANDRADE</v>
      </c>
      <c r="D1287" t="str">
        <f>IFERROR(VLOOKUP(Tabela1[[#This Row],[CC]],CC!$A$1:$I$3869,3,0),"")</f>
        <v>BRADESCO</v>
      </c>
      <c r="E1287" t="str">
        <f>IFERROR(VLOOKUP(Tabela1[[#This Row],[CC]],CC!$A$1:$H$389,2,0),"")</f>
        <v>BRADESCO - DS 2 (1294)</v>
      </c>
      <c r="F1287" t="s">
        <v>586</v>
      </c>
      <c r="G1287" s="107">
        <v>4523</v>
      </c>
      <c r="H1287" s="12">
        <v>45931</v>
      </c>
      <c r="I1287" s="39">
        <v>86759.91</v>
      </c>
      <c r="J1287" s="27">
        <v>81424.17</v>
      </c>
      <c r="K1287" s="3">
        <v>45974</v>
      </c>
      <c r="L1287" s="91">
        <v>45985</v>
      </c>
      <c r="M1287" s="11">
        <v>45989</v>
      </c>
      <c r="N1287" s="1" t="s">
        <v>588</v>
      </c>
      <c r="O1287" s="35">
        <v>0</v>
      </c>
      <c r="P1287"/>
      <c r="Q1287" t="str">
        <f>IFERROR(VLOOKUP(Tabela1[[#This Row],[CC]],CC!$A$1:$H$389,5,0),"")</f>
        <v>ADS</v>
      </c>
      <c r="R1287" t="str">
        <f>IFERROR(VLOOKUP(Tabela1[[#This Row],[CC]],CC!$A$1:$H$389,6,0),"")</f>
        <v>FS</v>
      </c>
      <c r="S1287" t="str">
        <f>IFERROR(VLOOKUP(Tabela1[[#This Row],[CC]],CC!$A$1:$H$403,8,0),"")</f>
        <v>OP1</v>
      </c>
    </row>
    <row r="1288" spans="1:19" x14ac:dyDescent="0.3">
      <c r="A1288" s="25">
        <v>1294</v>
      </c>
      <c r="B1288" s="25" t="str">
        <f>IFERROR(VLOOKUP(Tabela1[[#This Row],[CC]],#REF!,5,0),"")</f>
        <v/>
      </c>
      <c r="C1288" t="str">
        <f>IFERROR(VLOOKUP(Tabela1[[#This Row],[CC]],CC!$A$1:$H$389,7,0),"")</f>
        <v>RITA ANDRADE</v>
      </c>
      <c r="D1288" t="str">
        <f>IFERROR(VLOOKUP(Tabela1[[#This Row],[CC]],CC!$A$1:$I$3869,3,0),"")</f>
        <v>BRADESCO</v>
      </c>
      <c r="E1288" t="str">
        <f>IFERROR(VLOOKUP(Tabela1[[#This Row],[CC]],CC!$A$1:$H$389,2,0),"")</f>
        <v>BRADESCO - DS 2 (1294)</v>
      </c>
      <c r="F1288" t="s">
        <v>586</v>
      </c>
      <c r="G1288" s="107">
        <v>4529</v>
      </c>
      <c r="H1288" s="12">
        <v>45931</v>
      </c>
      <c r="I1288" s="39">
        <v>86759.91</v>
      </c>
      <c r="J1288" s="27">
        <v>81424.17</v>
      </c>
      <c r="K1288" s="3">
        <v>45974</v>
      </c>
      <c r="L1288" s="91">
        <v>45985</v>
      </c>
      <c r="M1288" s="11">
        <v>45989</v>
      </c>
      <c r="N1288" s="1" t="s">
        <v>588</v>
      </c>
      <c r="O1288" s="35">
        <v>0</v>
      </c>
      <c r="P1288"/>
      <c r="Q1288" t="str">
        <f>IFERROR(VLOOKUP(Tabela1[[#This Row],[CC]],CC!$A$1:$H$389,5,0),"")</f>
        <v>ADS</v>
      </c>
      <c r="R1288" t="str">
        <f>IFERROR(VLOOKUP(Tabela1[[#This Row],[CC]],CC!$A$1:$H$389,6,0),"")</f>
        <v>FS</v>
      </c>
      <c r="S1288" t="str">
        <f>IFERROR(VLOOKUP(Tabela1[[#This Row],[CC]],CC!$A$1:$H$403,8,0),"")</f>
        <v>OP1</v>
      </c>
    </row>
    <row r="1289" spans="1:19" x14ac:dyDescent="0.3">
      <c r="A1289" s="25">
        <v>1294</v>
      </c>
      <c r="B1289" s="25" t="str">
        <f>IFERROR(VLOOKUP(Tabela1[[#This Row],[CC]],#REF!,5,0),"")</f>
        <v/>
      </c>
      <c r="C1289" t="str">
        <f>IFERROR(VLOOKUP(Tabela1[[#This Row],[CC]],CC!$A$1:$H$389,7,0),"")</f>
        <v>RITA ANDRADE</v>
      </c>
      <c r="D1289" t="str">
        <f>IFERROR(VLOOKUP(Tabela1[[#This Row],[CC]],CC!$A$1:$I$3869,3,0),"")</f>
        <v>BRADESCO</v>
      </c>
      <c r="E1289" t="str">
        <f>IFERROR(VLOOKUP(Tabela1[[#This Row],[CC]],CC!$A$1:$H$389,2,0),"")</f>
        <v>BRADESCO - DS 2 (1294)</v>
      </c>
      <c r="F1289" t="s">
        <v>586</v>
      </c>
      <c r="G1289" s="107">
        <v>4531</v>
      </c>
      <c r="H1289" s="12">
        <v>45931</v>
      </c>
      <c r="I1289" s="116">
        <v>181920.64000000001</v>
      </c>
      <c r="J1289" s="27">
        <v>170732.52</v>
      </c>
      <c r="K1289" s="3">
        <v>45978</v>
      </c>
      <c r="L1289" s="91">
        <v>45992</v>
      </c>
      <c r="M1289" s="11">
        <v>45993</v>
      </c>
      <c r="N1289" s="1" t="s">
        <v>588</v>
      </c>
      <c r="O1289" s="35">
        <v>0</v>
      </c>
      <c r="P1289"/>
      <c r="Q1289" t="str">
        <f>IFERROR(VLOOKUP(Tabela1[[#This Row],[CC]],CC!$A$1:$H$389,5,0),"")</f>
        <v>ADS</v>
      </c>
      <c r="R1289" t="str">
        <f>IFERROR(VLOOKUP(Tabela1[[#This Row],[CC]],CC!$A$1:$H$389,6,0),"")</f>
        <v>FS</v>
      </c>
      <c r="S1289" t="str">
        <f>IFERROR(VLOOKUP(Tabela1[[#This Row],[CC]],CC!$A$1:$H$403,8,0),"")</f>
        <v>OP1</v>
      </c>
    </row>
    <row r="1290" spans="1:19" x14ac:dyDescent="0.3">
      <c r="A1290" s="25">
        <v>1294</v>
      </c>
      <c r="B1290" s="25" t="str">
        <f>IFERROR(VLOOKUP(Tabela1[[#This Row],[CC]],#REF!,5,0),"")</f>
        <v/>
      </c>
      <c r="C1290" t="str">
        <f>IFERROR(VLOOKUP(Tabela1[[#This Row],[CC]],CC!$A$1:$H$389,7,0),"")</f>
        <v>RITA ANDRADE</v>
      </c>
      <c r="D1290" t="str">
        <f>IFERROR(VLOOKUP(Tabela1[[#This Row],[CC]],CC!$A$1:$I$3869,3,0),"")</f>
        <v>BRADESCO</v>
      </c>
      <c r="E1290" t="str">
        <f>IFERROR(VLOOKUP(Tabela1[[#This Row],[CC]],CC!$A$1:$H$389,2,0),"")</f>
        <v>BRADESCO - DS 2 (1294)</v>
      </c>
      <c r="F1290" t="s">
        <v>586</v>
      </c>
      <c r="G1290" s="107">
        <v>4533</v>
      </c>
      <c r="H1290" s="12">
        <v>45931</v>
      </c>
      <c r="I1290" s="39">
        <v>53988.63</v>
      </c>
      <c r="J1290" s="27">
        <v>50668.33</v>
      </c>
      <c r="K1290" s="3">
        <v>45979</v>
      </c>
      <c r="L1290" s="91">
        <v>45992</v>
      </c>
      <c r="M1290" s="11">
        <v>45994</v>
      </c>
      <c r="N1290" s="1" t="s">
        <v>588</v>
      </c>
      <c r="O1290" s="35">
        <v>0</v>
      </c>
      <c r="P1290"/>
      <c r="Q1290" t="str">
        <f>IFERROR(VLOOKUP(Tabela1[[#This Row],[CC]],CC!$A$1:$H$389,5,0),"")</f>
        <v>ADS</v>
      </c>
      <c r="R1290" t="str">
        <f>IFERROR(VLOOKUP(Tabela1[[#This Row],[CC]],CC!$A$1:$H$389,6,0),"")</f>
        <v>FS</v>
      </c>
      <c r="S1290" t="str">
        <f>IFERROR(VLOOKUP(Tabela1[[#This Row],[CC]],CC!$A$1:$H$403,8,0),"")</f>
        <v>OP1</v>
      </c>
    </row>
    <row r="1291" spans="1:19" x14ac:dyDescent="0.3">
      <c r="A1291" s="25">
        <v>1294</v>
      </c>
      <c r="B1291" s="25" t="str">
        <f>IFERROR(VLOOKUP(Tabela1[[#This Row],[CC]],#REF!,5,0),"")</f>
        <v/>
      </c>
      <c r="C1291" t="str">
        <f>IFERROR(VLOOKUP(Tabela1[[#This Row],[CC]],CC!$A$1:$H$389,7,0),"")</f>
        <v>RITA ANDRADE</v>
      </c>
      <c r="D1291" t="str">
        <f>IFERROR(VLOOKUP(Tabela1[[#This Row],[CC]],CC!$A$1:$I$3869,3,0),"")</f>
        <v>BRADESCO</v>
      </c>
      <c r="E1291" t="str">
        <f>IFERROR(VLOOKUP(Tabela1[[#This Row],[CC]],CC!$A$1:$H$389,2,0),"")</f>
        <v>BRADESCO - DS 2 (1294)</v>
      </c>
      <c r="F1291" t="s">
        <v>586</v>
      </c>
      <c r="G1291" s="107">
        <v>4540</v>
      </c>
      <c r="H1291" s="12">
        <v>45931</v>
      </c>
      <c r="I1291" s="39">
        <v>192382.64</v>
      </c>
      <c r="J1291" s="27">
        <v>180551.11</v>
      </c>
      <c r="K1291" s="3">
        <v>45979</v>
      </c>
      <c r="L1291" s="91">
        <v>45992</v>
      </c>
      <c r="M1291" s="11">
        <v>45994</v>
      </c>
      <c r="N1291" s="1" t="s">
        <v>588</v>
      </c>
      <c r="O1291" s="35">
        <v>0</v>
      </c>
      <c r="P1291"/>
      <c r="Q1291" t="str">
        <f>IFERROR(VLOOKUP(Tabela1[[#This Row],[CC]],CC!$A$1:$H$389,5,0),"")</f>
        <v>ADS</v>
      </c>
      <c r="R1291" t="str">
        <f>IFERROR(VLOOKUP(Tabela1[[#This Row],[CC]],CC!$A$1:$H$389,6,0),"")</f>
        <v>FS</v>
      </c>
      <c r="S1291" t="str">
        <f>IFERROR(VLOOKUP(Tabela1[[#This Row],[CC]],CC!$A$1:$H$403,8,0),"")</f>
        <v>OP1</v>
      </c>
    </row>
    <row r="1292" spans="1:19" x14ac:dyDescent="0.3">
      <c r="A1292" s="25">
        <v>1285</v>
      </c>
      <c r="B1292" s="25" t="str">
        <f>IFERROR(VLOOKUP(Tabela1[[#This Row],[CC]],#REF!,5,0),"")</f>
        <v/>
      </c>
      <c r="C1292" t="str">
        <f>IFERROR(VLOOKUP(Tabela1[[#This Row],[CC]],CC!$A$1:$H$389,7,0),"")</f>
        <v>RITA ANDRADE</v>
      </c>
      <c r="D1292" t="str">
        <f>IFERROR(VLOOKUP(Tabela1[[#This Row],[CC]],CC!$A$1:$I$3869,3,0),"")</f>
        <v>BRADESCO</v>
      </c>
      <c r="E1292" t="str">
        <f>IFERROR(VLOOKUP(Tabela1[[#This Row],[CC]],CC!$A$1:$H$389,2,0),"")</f>
        <v>BRADESCO - EXPERIENCE (1285)</v>
      </c>
      <c r="F1292" t="s">
        <v>586</v>
      </c>
      <c r="G1292" s="107">
        <v>4471</v>
      </c>
      <c r="H1292" s="12">
        <v>45931</v>
      </c>
      <c r="I1292" s="24">
        <v>25534.32</v>
      </c>
      <c r="J1292" s="24">
        <v>23963.96</v>
      </c>
      <c r="K1292" s="3">
        <v>45957</v>
      </c>
      <c r="L1292" s="91">
        <v>45985</v>
      </c>
      <c r="M1292" s="11">
        <v>45987</v>
      </c>
      <c r="N1292" s="1" t="s">
        <v>588</v>
      </c>
      <c r="O1292" s="35">
        <v>0</v>
      </c>
      <c r="P1292" s="26"/>
      <c r="Q1292" t="str">
        <f>IFERROR(VLOOKUP(Tabela1[[#This Row],[CC]],CC!$A$1:$H$389,5,0),"")</f>
        <v>ADS</v>
      </c>
      <c r="R1292" t="str">
        <f>IFERROR(VLOOKUP(Tabela1[[#This Row],[CC]],CC!$A$1:$H$389,6,0),"")</f>
        <v>FS</v>
      </c>
      <c r="S1292" t="str">
        <f>IFERROR(VLOOKUP(Tabela1[[#This Row],[CC]],CC!$A$1:$H$403,8,0),"")</f>
        <v>OP1</v>
      </c>
    </row>
    <row r="1293" spans="1:19" x14ac:dyDescent="0.3">
      <c r="A1293" s="25">
        <v>1292</v>
      </c>
      <c r="B1293" s="25" t="str">
        <f>IFERROR(VLOOKUP(Tabela1[[#This Row],[CC]],#REF!,5,0),"")</f>
        <v/>
      </c>
      <c r="C1293" t="str">
        <f>IFERROR(VLOOKUP(Tabela1[[#This Row],[CC]],CC!$A$1:$H$389,7,0),"")</f>
        <v>RITA ANDRADE</v>
      </c>
      <c r="D1293" t="str">
        <f>IFERROR(VLOOKUP(Tabela1[[#This Row],[CC]],CC!$A$1:$I$3869,3,0),"")</f>
        <v>BRADESCO_SEGUROS</v>
      </c>
      <c r="E1293" t="str">
        <f>IFERROR(VLOOKUP(Tabela1[[#This Row],[CC]],CC!$A$1:$H$389,2,0),"")</f>
        <v>BRADESCO - SEGUROS (1292)</v>
      </c>
      <c r="F1293" t="s">
        <v>586</v>
      </c>
      <c r="G1293" s="107">
        <v>4508</v>
      </c>
      <c r="H1293" s="12">
        <v>45931</v>
      </c>
      <c r="I1293" s="24">
        <v>34633.19</v>
      </c>
      <c r="J1293" s="24">
        <v>32503.24</v>
      </c>
      <c r="K1293" s="3">
        <v>45971</v>
      </c>
      <c r="L1293" s="91">
        <v>45985</v>
      </c>
      <c r="M1293" s="11">
        <v>45986</v>
      </c>
      <c r="N1293" s="1" t="s">
        <v>588</v>
      </c>
      <c r="O1293" s="35">
        <v>0</v>
      </c>
      <c r="P1293"/>
      <c r="Q1293" t="str">
        <f>IFERROR(VLOOKUP(Tabela1[[#This Row],[CC]],CC!$A$1:$H$389,5,0),"")</f>
        <v>ADS</v>
      </c>
      <c r="R1293" t="str">
        <f>IFERROR(VLOOKUP(Tabela1[[#This Row],[CC]],CC!$A$1:$H$389,6,0),"")</f>
        <v>FS</v>
      </c>
      <c r="S1293" t="str">
        <f>IFERROR(VLOOKUP(Tabela1[[#This Row],[CC]],CC!$A$1:$H$403,8,0),"")</f>
        <v>OP1</v>
      </c>
    </row>
    <row r="1294" spans="1:19" x14ac:dyDescent="0.3">
      <c r="A1294" s="25">
        <v>1292</v>
      </c>
      <c r="B1294" s="25" t="str">
        <f>IFERROR(VLOOKUP(Tabela1[[#This Row],[CC]],#REF!,5,0),"")</f>
        <v/>
      </c>
      <c r="C1294" t="str">
        <f>IFERROR(VLOOKUP(Tabela1[[#This Row],[CC]],CC!$A$1:$H$389,7,0),"")</f>
        <v>RITA ANDRADE</v>
      </c>
      <c r="D1294" t="str">
        <f>IFERROR(VLOOKUP(Tabela1[[#This Row],[CC]],CC!$A$1:$I$3869,3,0),"")</f>
        <v>BRADESCO_SEGUROS</v>
      </c>
      <c r="E1294" t="str">
        <f>IFERROR(VLOOKUP(Tabela1[[#This Row],[CC]],CC!$A$1:$H$389,2,0),"")</f>
        <v>BRADESCO - SEGUROS (1292)</v>
      </c>
      <c r="F1294" t="s">
        <v>586</v>
      </c>
      <c r="G1294" s="107">
        <v>4512</v>
      </c>
      <c r="H1294" s="12">
        <v>45931</v>
      </c>
      <c r="I1294" s="27">
        <v>31008</v>
      </c>
      <c r="J1294" s="27">
        <v>29101.01</v>
      </c>
      <c r="K1294" s="3">
        <v>45971</v>
      </c>
      <c r="L1294" s="91">
        <v>45985</v>
      </c>
      <c r="M1294" s="11">
        <v>45986</v>
      </c>
      <c r="N1294" s="1" t="s">
        <v>588</v>
      </c>
      <c r="O1294" s="35">
        <v>0</v>
      </c>
      <c r="P1294"/>
      <c r="Q1294" t="str">
        <f>IFERROR(VLOOKUP(Tabela1[[#This Row],[CC]],CC!$A$1:$H$389,5,0),"")</f>
        <v>ADS</v>
      </c>
      <c r="R1294" t="str">
        <f>IFERROR(VLOOKUP(Tabela1[[#This Row],[CC]],CC!$A$1:$H$389,6,0),"")</f>
        <v>FS</v>
      </c>
      <c r="S1294" t="str">
        <f>IFERROR(VLOOKUP(Tabela1[[#This Row],[CC]],CC!$A$1:$H$403,8,0),"")</f>
        <v>OP1</v>
      </c>
    </row>
    <row r="1295" spans="1:19" x14ac:dyDescent="0.3">
      <c r="A1295" s="25">
        <v>1292</v>
      </c>
      <c r="B1295" s="25" t="str">
        <f>IFERROR(VLOOKUP(Tabela1[[#This Row],[CC]],#REF!,5,0),"")</f>
        <v/>
      </c>
      <c r="C1295" t="str">
        <f>IFERROR(VLOOKUP(Tabela1[[#This Row],[CC]],CC!$A$1:$H$389,7,0),"")</f>
        <v>RITA ANDRADE</v>
      </c>
      <c r="D1295" t="str">
        <f>IFERROR(VLOOKUP(Tabela1[[#This Row],[CC]],CC!$A$1:$I$3869,3,0),"")</f>
        <v>BRADESCO_SEGUROS</v>
      </c>
      <c r="E1295" t="str">
        <f>IFERROR(VLOOKUP(Tabela1[[#This Row],[CC]],CC!$A$1:$H$389,2,0),"")</f>
        <v>BRADESCO - SEGUROS (1292)</v>
      </c>
      <c r="F1295" t="s">
        <v>586</v>
      </c>
      <c r="G1295" s="107">
        <v>4513</v>
      </c>
      <c r="H1295" s="12">
        <v>45931</v>
      </c>
      <c r="I1295" s="27">
        <v>27095.59</v>
      </c>
      <c r="J1295" s="24">
        <v>25429.22</v>
      </c>
      <c r="K1295" s="3">
        <v>45972</v>
      </c>
      <c r="L1295" s="91">
        <v>45985</v>
      </c>
      <c r="M1295" s="11">
        <v>45987</v>
      </c>
      <c r="N1295" s="1" t="s">
        <v>588</v>
      </c>
      <c r="O1295" s="35">
        <v>0</v>
      </c>
      <c r="P1295"/>
      <c r="Q1295" t="str">
        <f>IFERROR(VLOOKUP(Tabela1[[#This Row],[CC]],CC!$A$1:$H$389,5,0),"")</f>
        <v>ADS</v>
      </c>
      <c r="R1295" t="str">
        <f>IFERROR(VLOOKUP(Tabela1[[#This Row],[CC]],CC!$A$1:$H$389,6,0),"")</f>
        <v>FS</v>
      </c>
      <c r="S1295" t="str">
        <f>IFERROR(VLOOKUP(Tabela1[[#This Row],[CC]],CC!$A$1:$H$403,8,0),"")</f>
        <v>OP1</v>
      </c>
    </row>
    <row r="1296" spans="1:19" x14ac:dyDescent="0.3">
      <c r="A1296" s="25">
        <v>1292</v>
      </c>
      <c r="B1296" s="25" t="str">
        <f>IFERROR(VLOOKUP(Tabela1[[#This Row],[CC]],#REF!,5,0),"")</f>
        <v/>
      </c>
      <c r="C1296" t="str">
        <f>IFERROR(VLOOKUP(Tabela1[[#This Row],[CC]],CC!$A$1:$H$389,7,0),"")</f>
        <v>RITA ANDRADE</v>
      </c>
      <c r="D1296" t="str">
        <f>IFERROR(VLOOKUP(Tabela1[[#This Row],[CC]],CC!$A$1:$I$3869,3,0),"")</f>
        <v>BRADESCO_SEGUROS</v>
      </c>
      <c r="E1296" t="str">
        <f>IFERROR(VLOOKUP(Tabela1[[#This Row],[CC]],CC!$A$1:$H$389,2,0),"")</f>
        <v>BRADESCO - SEGUROS (1292)</v>
      </c>
      <c r="F1296" t="s">
        <v>586</v>
      </c>
      <c r="G1296" s="107">
        <v>4514</v>
      </c>
      <c r="H1296" s="12">
        <v>45931</v>
      </c>
      <c r="I1296" s="27">
        <v>27095.59</v>
      </c>
      <c r="J1296" s="24">
        <v>25429.22</v>
      </c>
      <c r="K1296" s="3">
        <v>45972</v>
      </c>
      <c r="L1296" s="91">
        <v>45985</v>
      </c>
      <c r="M1296" s="11">
        <v>45987</v>
      </c>
      <c r="N1296" s="1" t="s">
        <v>588</v>
      </c>
      <c r="O1296" s="35">
        <v>0</v>
      </c>
      <c r="P1296"/>
      <c r="Q1296" t="str">
        <f>IFERROR(VLOOKUP(Tabela1[[#This Row],[CC]],CC!$A$1:$H$389,5,0),"")</f>
        <v>ADS</v>
      </c>
      <c r="R1296" t="str">
        <f>IFERROR(VLOOKUP(Tabela1[[#This Row],[CC]],CC!$A$1:$H$389,6,0),"")</f>
        <v>FS</v>
      </c>
      <c r="S1296" t="str">
        <f>IFERROR(VLOOKUP(Tabela1[[#This Row],[CC]],CC!$A$1:$H$403,8,0),"")</f>
        <v>OP1</v>
      </c>
    </row>
    <row r="1297" spans="1:19" x14ac:dyDescent="0.3">
      <c r="A1297" s="25">
        <v>1292</v>
      </c>
      <c r="B1297" s="25" t="str">
        <f>IFERROR(VLOOKUP(Tabela1[[#This Row],[CC]],#REF!,5,0),"")</f>
        <v/>
      </c>
      <c r="C1297" t="str">
        <f>IFERROR(VLOOKUP(Tabela1[[#This Row],[CC]],CC!$A$1:$H$389,7,0),"")</f>
        <v>RITA ANDRADE</v>
      </c>
      <c r="D1297" t="str">
        <f>IFERROR(VLOOKUP(Tabela1[[#This Row],[CC]],CC!$A$1:$I$3869,3,0),"")</f>
        <v>BRADESCO_SEGUROS</v>
      </c>
      <c r="E1297" t="str">
        <f>IFERROR(VLOOKUP(Tabela1[[#This Row],[CC]],CC!$A$1:$H$389,2,0),"")</f>
        <v>BRADESCO - SEGUROS (1292)</v>
      </c>
      <c r="F1297" t="s">
        <v>586</v>
      </c>
      <c r="G1297" s="107">
        <v>4515</v>
      </c>
      <c r="H1297" s="12">
        <v>45931</v>
      </c>
      <c r="I1297" s="27">
        <v>27095.59</v>
      </c>
      <c r="J1297" s="24">
        <v>25429.22</v>
      </c>
      <c r="K1297" s="3">
        <v>45972</v>
      </c>
      <c r="L1297" s="91">
        <v>45985</v>
      </c>
      <c r="M1297" s="11">
        <v>45987</v>
      </c>
      <c r="N1297" s="1" t="s">
        <v>588</v>
      </c>
      <c r="O1297" s="35">
        <v>0</v>
      </c>
      <c r="P1297"/>
      <c r="Q1297" t="str">
        <f>IFERROR(VLOOKUP(Tabela1[[#This Row],[CC]],CC!$A$1:$H$389,5,0),"")</f>
        <v>ADS</v>
      </c>
      <c r="R1297" t="str">
        <f>IFERROR(VLOOKUP(Tabela1[[#This Row],[CC]],CC!$A$1:$H$389,6,0),"")</f>
        <v>FS</v>
      </c>
      <c r="S1297" t="str">
        <f>IFERROR(VLOOKUP(Tabela1[[#This Row],[CC]],CC!$A$1:$H$403,8,0),"")</f>
        <v>OP1</v>
      </c>
    </row>
    <row r="1298" spans="1:19" x14ac:dyDescent="0.3">
      <c r="A1298" s="25">
        <v>1292</v>
      </c>
      <c r="B1298" s="25" t="str">
        <f>IFERROR(VLOOKUP(Tabela1[[#This Row],[CC]],#REF!,5,0),"")</f>
        <v/>
      </c>
      <c r="C1298" t="str">
        <f>IFERROR(VLOOKUP(Tabela1[[#This Row],[CC]],CC!$A$1:$H$389,7,0),"")</f>
        <v>RITA ANDRADE</v>
      </c>
      <c r="D1298" t="str">
        <f>IFERROR(VLOOKUP(Tabela1[[#This Row],[CC]],CC!$A$1:$I$3869,3,0),"")</f>
        <v>BRADESCO_SEGUROS</v>
      </c>
      <c r="E1298" t="str">
        <f>IFERROR(VLOOKUP(Tabela1[[#This Row],[CC]],CC!$A$1:$H$389,2,0),"")</f>
        <v>BRADESCO - SEGUROS (1292)</v>
      </c>
      <c r="F1298" t="s">
        <v>586</v>
      </c>
      <c r="G1298" s="107">
        <v>4522</v>
      </c>
      <c r="H1298" s="12">
        <v>45931</v>
      </c>
      <c r="I1298" s="27">
        <v>57072</v>
      </c>
      <c r="J1298" s="27">
        <v>53562.07</v>
      </c>
      <c r="K1298" s="3">
        <v>45974</v>
      </c>
      <c r="L1298" s="91">
        <v>45985</v>
      </c>
      <c r="M1298" s="11">
        <v>45989</v>
      </c>
      <c r="N1298" s="1" t="s">
        <v>588</v>
      </c>
      <c r="O1298" s="35"/>
      <c r="P1298"/>
      <c r="Q1298" t="str">
        <f>IFERROR(VLOOKUP(Tabela1[[#This Row],[CC]],CC!$A$1:$H$389,5,0),"")</f>
        <v>ADS</v>
      </c>
      <c r="R1298" t="str">
        <f>IFERROR(VLOOKUP(Tabela1[[#This Row],[CC]],CC!$A$1:$H$389,6,0),"")</f>
        <v>FS</v>
      </c>
      <c r="S1298" t="str">
        <f>IFERROR(VLOOKUP(Tabela1[[#This Row],[CC]],CC!$A$1:$H$403,8,0),"")</f>
        <v>OP1</v>
      </c>
    </row>
    <row r="1299" spans="1:19" x14ac:dyDescent="0.3">
      <c r="A1299" s="25">
        <v>1507</v>
      </c>
      <c r="B1299" s="25" t="str">
        <f>IFERROR(VLOOKUP(Tabela1[[#This Row],[CC]],#REF!,5,0),"")</f>
        <v/>
      </c>
      <c r="C1299" t="str">
        <f>IFERROR(VLOOKUP(Tabela1[[#This Row],[CC]],CC!$A$1:$H$389,7,0),"")</f>
        <v>RITA ANDRADE</v>
      </c>
      <c r="D1299" t="str">
        <f>IFERROR(VLOOKUP(Tabela1[[#This Row],[CC]],CC!$A$1:$I$3869,3,0),"")</f>
        <v>BRADESCO_SEGUROS</v>
      </c>
      <c r="E1299" t="str">
        <f>IFERROR(VLOOKUP(Tabela1[[#This Row],[CC]],CC!$A$1:$H$389,2,0),"")</f>
        <v>BRADESCO SEGUROS (ADS) – BS2 (1507)</v>
      </c>
      <c r="F1299" t="s">
        <v>586</v>
      </c>
      <c r="G1299" s="107">
        <v>4479</v>
      </c>
      <c r="H1299" s="12">
        <v>45931</v>
      </c>
      <c r="I1299" s="27">
        <v>140554.46</v>
      </c>
      <c r="J1299" s="27">
        <v>131910.35999999999</v>
      </c>
      <c r="K1299" s="3">
        <v>45964</v>
      </c>
      <c r="L1299" s="91">
        <v>45978</v>
      </c>
      <c r="M1299" s="11">
        <v>45979</v>
      </c>
      <c r="N1299" s="1" t="s">
        <v>588</v>
      </c>
      <c r="O1299" s="35">
        <v>0</v>
      </c>
      <c r="P1299"/>
      <c r="Q1299" t="str">
        <f>IFERROR(VLOOKUP(Tabela1[[#This Row],[CC]],CC!$A$1:$H$389,5,0),"")</f>
        <v>ADS</v>
      </c>
      <c r="R1299" t="str">
        <f>IFERROR(VLOOKUP(Tabela1[[#This Row],[CC]],CC!$A$1:$H$389,6,0),"")</f>
        <v>FS</v>
      </c>
      <c r="S1299" t="str">
        <f>IFERROR(VLOOKUP(Tabela1[[#This Row],[CC]],CC!$A$1:$H$403,8,0),"")</f>
        <v>OP1</v>
      </c>
    </row>
    <row r="1300" spans="1:19" x14ac:dyDescent="0.3">
      <c r="A1300" s="25">
        <v>1507</v>
      </c>
      <c r="B1300" s="25" t="str">
        <f>IFERROR(VLOOKUP(Tabela1[[#This Row],[CC]],#REF!,5,0),"")</f>
        <v/>
      </c>
      <c r="C1300" t="str">
        <f>IFERROR(VLOOKUP(Tabela1[[#This Row],[CC]],CC!$A$1:$H$389,7,0),"")</f>
        <v>RITA ANDRADE</v>
      </c>
      <c r="D1300" t="str">
        <f>IFERROR(VLOOKUP(Tabela1[[#This Row],[CC]],CC!$A$1:$I$3869,3,0),"")</f>
        <v>BRADESCO_SEGUROS</v>
      </c>
      <c r="E1300" t="str">
        <f>IFERROR(VLOOKUP(Tabela1[[#This Row],[CC]],CC!$A$1:$H$389,2,0),"")</f>
        <v>BRADESCO SEGUROS (ADS) – BS2 (1507)</v>
      </c>
      <c r="F1300" t="s">
        <v>586</v>
      </c>
      <c r="G1300" s="107">
        <v>4480</v>
      </c>
      <c r="H1300" s="12">
        <v>45931</v>
      </c>
      <c r="I1300" s="27">
        <v>140554.46</v>
      </c>
      <c r="J1300" s="27">
        <v>131910.35999999999</v>
      </c>
      <c r="K1300" s="3">
        <v>45964</v>
      </c>
      <c r="L1300" s="91">
        <v>45978</v>
      </c>
      <c r="M1300" s="11">
        <v>45979</v>
      </c>
      <c r="N1300" s="1" t="s">
        <v>588</v>
      </c>
      <c r="O1300" s="35">
        <v>0</v>
      </c>
      <c r="P1300"/>
      <c r="Q1300" t="str">
        <f>IFERROR(VLOOKUP(Tabela1[[#This Row],[CC]],CC!$A$1:$H$389,5,0),"")</f>
        <v>ADS</v>
      </c>
      <c r="R1300" t="str">
        <f>IFERROR(VLOOKUP(Tabela1[[#This Row],[CC]],CC!$A$1:$H$389,6,0),"")</f>
        <v>FS</v>
      </c>
      <c r="S1300" t="str">
        <f>IFERROR(VLOOKUP(Tabela1[[#This Row],[CC]],CC!$A$1:$H$403,8,0),"")</f>
        <v>OP1</v>
      </c>
    </row>
    <row r="1301" spans="1:19" x14ac:dyDescent="0.3">
      <c r="A1301" s="25">
        <v>1507</v>
      </c>
      <c r="B1301" s="25" t="str">
        <f>IFERROR(VLOOKUP(Tabela1[[#This Row],[CC]],#REF!,5,0),"")</f>
        <v/>
      </c>
      <c r="C1301" t="str">
        <f>IFERROR(VLOOKUP(Tabela1[[#This Row],[CC]],CC!$A$1:$H$389,7,0),"")</f>
        <v>RITA ANDRADE</v>
      </c>
      <c r="D1301" t="str">
        <f>IFERROR(VLOOKUP(Tabela1[[#This Row],[CC]],CC!$A$1:$I$3869,3,0),"")</f>
        <v>BRADESCO_SEGUROS</v>
      </c>
      <c r="E1301" t="str">
        <f>IFERROR(VLOOKUP(Tabela1[[#This Row],[CC]],CC!$A$1:$H$389,2,0),"")</f>
        <v>BRADESCO SEGUROS (ADS) – BS2 (1507)</v>
      </c>
      <c r="F1301" t="s">
        <v>586</v>
      </c>
      <c r="G1301" s="107">
        <v>4482</v>
      </c>
      <c r="H1301" s="12">
        <v>45931</v>
      </c>
      <c r="I1301" s="27">
        <v>140554.46</v>
      </c>
      <c r="J1301" s="27">
        <v>131910.35999999999</v>
      </c>
      <c r="K1301" s="3">
        <v>45964</v>
      </c>
      <c r="L1301" s="91">
        <v>45999</v>
      </c>
      <c r="M1301" s="11">
        <v>46000</v>
      </c>
      <c r="N1301" s="1" t="s">
        <v>588</v>
      </c>
      <c r="O1301" s="35">
        <v>0</v>
      </c>
      <c r="P1301"/>
      <c r="Q1301" t="str">
        <f>IFERROR(VLOOKUP(Tabela1[[#This Row],[CC]],CC!$A$1:$H$389,5,0),"")</f>
        <v>ADS</v>
      </c>
      <c r="R1301" t="str">
        <f>IFERROR(VLOOKUP(Tabela1[[#This Row],[CC]],CC!$A$1:$H$389,6,0),"")</f>
        <v>FS</v>
      </c>
      <c r="S1301" t="str">
        <f>IFERROR(VLOOKUP(Tabela1[[#This Row],[CC]],CC!$A$1:$H$403,8,0),"")</f>
        <v>OP1</v>
      </c>
    </row>
    <row r="1302" spans="1:19" x14ac:dyDescent="0.3">
      <c r="A1302" s="25">
        <v>1507</v>
      </c>
      <c r="B1302" s="25" t="str">
        <f>IFERROR(VLOOKUP(Tabela1[[#This Row],[CC]],#REF!,5,0),"")</f>
        <v/>
      </c>
      <c r="C1302" t="str">
        <f>IFERROR(VLOOKUP(Tabela1[[#This Row],[CC]],CC!$A$1:$H$389,7,0),"")</f>
        <v>RITA ANDRADE</v>
      </c>
      <c r="D1302" t="str">
        <f>IFERROR(VLOOKUP(Tabela1[[#This Row],[CC]],CC!$A$1:$I$3869,3,0),"")</f>
        <v>BRADESCO_SEGUROS</v>
      </c>
      <c r="E1302" t="str">
        <f>IFERROR(VLOOKUP(Tabela1[[#This Row],[CC]],CC!$A$1:$H$389,2,0),"")</f>
        <v>BRADESCO SEGUROS (ADS) – BS2 (1507)</v>
      </c>
      <c r="F1302" t="s">
        <v>586</v>
      </c>
      <c r="G1302" s="107">
        <v>4483</v>
      </c>
      <c r="H1302" s="12">
        <v>45931</v>
      </c>
      <c r="I1302" s="24">
        <v>28856.02</v>
      </c>
      <c r="J1302" s="24">
        <v>27081.38</v>
      </c>
      <c r="K1302" s="3">
        <v>45964</v>
      </c>
      <c r="L1302" s="91">
        <v>45978</v>
      </c>
      <c r="M1302" s="11">
        <v>45979</v>
      </c>
      <c r="N1302" s="1" t="s">
        <v>588</v>
      </c>
      <c r="O1302" s="35">
        <v>0</v>
      </c>
      <c r="P1302"/>
      <c r="Q1302" t="str">
        <f>IFERROR(VLOOKUP(Tabela1[[#This Row],[CC]],CC!$A$1:$H$389,5,0),"")</f>
        <v>ADS</v>
      </c>
      <c r="R1302" t="str">
        <f>IFERROR(VLOOKUP(Tabela1[[#This Row],[CC]],CC!$A$1:$H$389,6,0),"")</f>
        <v>FS</v>
      </c>
      <c r="S1302" t="str">
        <f>IFERROR(VLOOKUP(Tabela1[[#This Row],[CC]],CC!$A$1:$H$403,8,0),"")</f>
        <v>OP1</v>
      </c>
    </row>
    <row r="1303" spans="1:19" x14ac:dyDescent="0.3">
      <c r="A1303" s="25">
        <v>1507</v>
      </c>
      <c r="B1303" s="25" t="str">
        <f>IFERROR(VLOOKUP(Tabela1[[#This Row],[CC]],#REF!,5,0),"")</f>
        <v/>
      </c>
      <c r="C1303" t="str">
        <f>IFERROR(VLOOKUP(Tabela1[[#This Row],[CC]],CC!$A$1:$H$389,7,0),"")</f>
        <v>RITA ANDRADE</v>
      </c>
      <c r="D1303" t="str">
        <f>IFERROR(VLOOKUP(Tabela1[[#This Row],[CC]],CC!$A$1:$I$3869,3,0),"")</f>
        <v>BRADESCO_SEGUROS</v>
      </c>
      <c r="E1303" t="str">
        <f>IFERROR(VLOOKUP(Tabela1[[#This Row],[CC]],CC!$A$1:$H$389,2,0),"")</f>
        <v>BRADESCO SEGUROS (ADS) – BS2 (1507)</v>
      </c>
      <c r="F1303" t="s">
        <v>586</v>
      </c>
      <c r="G1303" s="107">
        <v>4484</v>
      </c>
      <c r="H1303" s="12">
        <v>45931</v>
      </c>
      <c r="I1303" s="24">
        <v>28856.02</v>
      </c>
      <c r="J1303" s="24">
        <v>27081.38</v>
      </c>
      <c r="K1303" s="3">
        <v>45964</v>
      </c>
      <c r="L1303" s="91">
        <v>45978</v>
      </c>
      <c r="M1303" s="11">
        <v>45979</v>
      </c>
      <c r="N1303" s="1" t="s">
        <v>588</v>
      </c>
      <c r="O1303" s="35">
        <v>0</v>
      </c>
      <c r="P1303"/>
      <c r="Q1303" t="str">
        <f>IFERROR(VLOOKUP(Tabela1[[#This Row],[CC]],CC!$A$1:$H$389,5,0),"")</f>
        <v>ADS</v>
      </c>
      <c r="R1303" t="str">
        <f>IFERROR(VLOOKUP(Tabela1[[#This Row],[CC]],CC!$A$1:$H$389,6,0),"")</f>
        <v>FS</v>
      </c>
      <c r="S1303" t="str">
        <f>IFERROR(VLOOKUP(Tabela1[[#This Row],[CC]],CC!$A$1:$H$403,8,0),"")</f>
        <v>OP1</v>
      </c>
    </row>
    <row r="1304" spans="1:19" x14ac:dyDescent="0.3">
      <c r="A1304" s="25">
        <v>1507</v>
      </c>
      <c r="B1304" s="25" t="str">
        <f>IFERROR(VLOOKUP(Tabela1[[#This Row],[CC]],#REF!,5,0),"")</f>
        <v/>
      </c>
      <c r="C1304" t="str">
        <f>IFERROR(VLOOKUP(Tabela1[[#This Row],[CC]],CC!$A$1:$H$389,7,0),"")</f>
        <v>RITA ANDRADE</v>
      </c>
      <c r="D1304" t="str">
        <f>IFERROR(VLOOKUP(Tabela1[[#This Row],[CC]],CC!$A$1:$I$3869,3,0),"")</f>
        <v>BRADESCO_SEGUROS</v>
      </c>
      <c r="E1304" t="str">
        <f>IFERROR(VLOOKUP(Tabela1[[#This Row],[CC]],CC!$A$1:$H$389,2,0),"")</f>
        <v>BRADESCO SEGUROS (ADS) – BS2 (1507)</v>
      </c>
      <c r="F1304" t="s">
        <v>586</v>
      </c>
      <c r="G1304" s="107">
        <v>4485</v>
      </c>
      <c r="H1304" s="12">
        <v>45931</v>
      </c>
      <c r="I1304" s="24">
        <v>28856.02</v>
      </c>
      <c r="J1304" s="24">
        <v>27081.38</v>
      </c>
      <c r="K1304" s="3">
        <v>45964</v>
      </c>
      <c r="L1304" s="91">
        <v>45999</v>
      </c>
      <c r="M1304" s="11">
        <v>46000</v>
      </c>
      <c r="N1304" s="1" t="s">
        <v>588</v>
      </c>
      <c r="O1304" s="35">
        <v>0</v>
      </c>
      <c r="P1304"/>
      <c r="Q1304" t="str">
        <f>IFERROR(VLOOKUP(Tabela1[[#This Row],[CC]],CC!$A$1:$H$389,5,0),"")</f>
        <v>ADS</v>
      </c>
      <c r="R1304" t="str">
        <f>IFERROR(VLOOKUP(Tabela1[[#This Row],[CC]],CC!$A$1:$H$389,6,0),"")</f>
        <v>FS</v>
      </c>
      <c r="S1304" t="str">
        <f>IFERROR(VLOOKUP(Tabela1[[#This Row],[CC]],CC!$A$1:$H$403,8,0),"")</f>
        <v>OP1</v>
      </c>
    </row>
    <row r="1305" spans="1:19" x14ac:dyDescent="0.3">
      <c r="A1305" s="25">
        <v>1507</v>
      </c>
      <c r="B1305" s="25" t="str">
        <f>IFERROR(VLOOKUP(Tabela1[[#This Row],[CC]],#REF!,5,0),"")</f>
        <v/>
      </c>
      <c r="C1305" t="str">
        <f>IFERROR(VLOOKUP(Tabela1[[#This Row],[CC]],CC!$A$1:$H$389,7,0),"")</f>
        <v>RITA ANDRADE</v>
      </c>
      <c r="D1305" t="str">
        <f>IFERROR(VLOOKUP(Tabela1[[#This Row],[CC]],CC!$A$1:$I$3869,3,0),"")</f>
        <v>BRADESCO_SEGUROS</v>
      </c>
      <c r="E1305" t="str">
        <f>IFERROR(VLOOKUP(Tabela1[[#This Row],[CC]],CC!$A$1:$H$389,2,0),"")</f>
        <v>BRADESCO SEGUROS (ADS) – BS2 (1507)</v>
      </c>
      <c r="F1305" t="s">
        <v>586</v>
      </c>
      <c r="G1305" s="107">
        <v>4673</v>
      </c>
      <c r="H1305" s="12">
        <v>45962</v>
      </c>
      <c r="I1305" s="24">
        <v>15295.14</v>
      </c>
      <c r="J1305" s="24">
        <v>14354.49</v>
      </c>
      <c r="K1305" s="3">
        <v>46000</v>
      </c>
      <c r="L1305" s="91">
        <v>46034</v>
      </c>
      <c r="M1305" s="11">
        <v>46034</v>
      </c>
      <c r="N1305" s="1" t="s">
        <v>588</v>
      </c>
      <c r="O1305" s="35">
        <v>0</v>
      </c>
      <c r="P1305"/>
      <c r="Q1305" t="str">
        <f>IFERROR(VLOOKUP(Tabela1[[#This Row],[CC]],CC!$A$1:$H$389,5,0),"")</f>
        <v>ADS</v>
      </c>
      <c r="R1305" t="str">
        <f>IFERROR(VLOOKUP(Tabela1[[#This Row],[CC]],CC!$A$1:$H$389,6,0),"")</f>
        <v>FS</v>
      </c>
      <c r="S1305" t="str">
        <f>IFERROR(VLOOKUP(Tabela1[[#This Row],[CC]],CC!$A$1:$H$403,8,0),"")</f>
        <v>OP1</v>
      </c>
    </row>
    <row r="1306" spans="1:19" x14ac:dyDescent="0.3">
      <c r="A1306" s="25">
        <v>1507</v>
      </c>
      <c r="B1306" s="25" t="str">
        <f>IFERROR(VLOOKUP(Tabela1[[#This Row],[CC]],#REF!,5,0),"")</f>
        <v/>
      </c>
      <c r="C1306" t="str">
        <f>IFERROR(VLOOKUP(Tabela1[[#This Row],[CC]],CC!$A$1:$H$389,7,0),"")</f>
        <v>RITA ANDRADE</v>
      </c>
      <c r="D1306" t="str">
        <f>IFERROR(VLOOKUP(Tabela1[[#This Row],[CC]],CC!$A$1:$I$3869,3,0),"")</f>
        <v>BRADESCO_SEGUROS</v>
      </c>
      <c r="E1306" t="str">
        <f>IFERROR(VLOOKUP(Tabela1[[#This Row],[CC]],CC!$A$1:$H$389,2,0),"")</f>
        <v>BRADESCO SEGUROS (ADS) – BS2 (1507)</v>
      </c>
      <c r="F1306" t="s">
        <v>586</v>
      </c>
      <c r="G1306" s="107">
        <v>4712</v>
      </c>
      <c r="H1306" s="12">
        <v>45931</v>
      </c>
      <c r="I1306" s="27">
        <v>140554.46</v>
      </c>
      <c r="J1306" s="24">
        <v>131910.35999999999</v>
      </c>
      <c r="K1306" s="3">
        <v>46027</v>
      </c>
      <c r="L1306" s="91">
        <v>46041</v>
      </c>
      <c r="M1306" s="11">
        <v>46042</v>
      </c>
      <c r="N1306" s="1" t="s">
        <v>588</v>
      </c>
      <c r="O1306" s="35">
        <v>0</v>
      </c>
      <c r="P1306"/>
      <c r="Q1306" t="str">
        <f>IFERROR(VLOOKUP(Tabela1[[#This Row],[CC]],CC!$A$1:$H$389,5,0),"")</f>
        <v>ADS</v>
      </c>
      <c r="R1306" t="str">
        <f>IFERROR(VLOOKUP(Tabela1[[#This Row],[CC]],CC!$A$1:$H$389,6,0),"")</f>
        <v>FS</v>
      </c>
      <c r="S1306" t="str">
        <f>IFERROR(VLOOKUP(Tabela1[[#This Row],[CC]],CC!$A$1:$H$403,8,0),"")</f>
        <v>OP1</v>
      </c>
    </row>
    <row r="1307" spans="1:19" x14ac:dyDescent="0.3">
      <c r="A1307" s="25">
        <v>1507</v>
      </c>
      <c r="B1307" s="25" t="str">
        <f>IFERROR(VLOOKUP(Tabela1[[#This Row],[CC]],#REF!,5,0),"")</f>
        <v/>
      </c>
      <c r="C1307" t="str">
        <f>IFERROR(VLOOKUP(Tabela1[[#This Row],[CC]],CC!$A$1:$H$389,7,0),"")</f>
        <v>RITA ANDRADE</v>
      </c>
      <c r="D1307" t="str">
        <f>IFERROR(VLOOKUP(Tabela1[[#This Row],[CC]],CC!$A$1:$I$3869,3,0),"")</f>
        <v>BRADESCO_SEGUROS</v>
      </c>
      <c r="E1307" t="str">
        <f>IFERROR(VLOOKUP(Tabela1[[#This Row],[CC]],CC!$A$1:$H$389,2,0),"")</f>
        <v>BRADESCO SEGUROS (ADS) – BS2 (1507)</v>
      </c>
      <c r="F1307" t="s">
        <v>586</v>
      </c>
      <c r="G1307" s="107">
        <v>4713</v>
      </c>
      <c r="H1307" s="12">
        <v>45931</v>
      </c>
      <c r="I1307" s="27">
        <v>28856.02</v>
      </c>
      <c r="J1307" s="24">
        <v>27081.38</v>
      </c>
      <c r="K1307" s="3">
        <v>46027</v>
      </c>
      <c r="L1307" s="91">
        <v>46041</v>
      </c>
      <c r="M1307" s="11">
        <v>46042</v>
      </c>
      <c r="N1307" s="1" t="s">
        <v>588</v>
      </c>
      <c r="O1307" s="35">
        <v>0</v>
      </c>
      <c r="P1307"/>
      <c r="Q1307" t="str">
        <f>IFERROR(VLOOKUP(Tabela1[[#This Row],[CC]],CC!$A$1:$H$389,5,0),"")</f>
        <v>ADS</v>
      </c>
      <c r="R1307" t="str">
        <f>IFERROR(VLOOKUP(Tabela1[[#This Row],[CC]],CC!$A$1:$H$389,6,0),"")</f>
        <v>FS</v>
      </c>
      <c r="S1307" t="str">
        <f>IFERROR(VLOOKUP(Tabela1[[#This Row],[CC]],CC!$A$1:$H$403,8,0),"")</f>
        <v>OP1</v>
      </c>
    </row>
    <row r="1308" spans="1:19" x14ac:dyDescent="0.3">
      <c r="A1308" s="25">
        <v>1507</v>
      </c>
      <c r="B1308" s="25" t="str">
        <f>IFERROR(VLOOKUP(Tabela1[[#This Row],[CC]],#REF!,5,0),"")</f>
        <v/>
      </c>
      <c r="C1308" t="str">
        <f>IFERROR(VLOOKUP(Tabela1[[#This Row],[CC]],CC!$A$1:$H$389,7,0),"")</f>
        <v>RITA ANDRADE</v>
      </c>
      <c r="D1308" t="str">
        <f>IFERROR(VLOOKUP(Tabela1[[#This Row],[CC]],CC!$A$1:$I$3869,3,0),"")</f>
        <v>BRADESCO_SEGUROS</v>
      </c>
      <c r="E1308" t="str">
        <f>IFERROR(VLOOKUP(Tabela1[[#This Row],[CC]],CC!$A$1:$H$389,2,0),"")</f>
        <v>BRADESCO SEGUROS (ADS) – BS2 (1507)</v>
      </c>
      <c r="F1308" t="s">
        <v>586</v>
      </c>
      <c r="G1308" s="107" t="s">
        <v>596</v>
      </c>
      <c r="H1308" s="12">
        <v>45992</v>
      </c>
      <c r="I1308" s="27">
        <v>13216.92</v>
      </c>
      <c r="J1308" s="27">
        <v>12404.08</v>
      </c>
      <c r="K1308" s="3">
        <v>46056</v>
      </c>
      <c r="L1308" s="91">
        <v>46069</v>
      </c>
      <c r="M1308" s="11">
        <v>46071</v>
      </c>
      <c r="N1308" s="1" t="s">
        <v>588</v>
      </c>
      <c r="O1308" s="35">
        <v>0</v>
      </c>
      <c r="P1308"/>
      <c r="Q1308" t="str">
        <f>IFERROR(VLOOKUP(Tabela1[[#This Row],[CC]],CC!$A$1:$H$389,5,0),"")</f>
        <v>ADS</v>
      </c>
      <c r="R1308" t="str">
        <f>IFERROR(VLOOKUP(Tabela1[[#This Row],[CC]],CC!$A$1:$H$389,6,0),"")</f>
        <v>FS</v>
      </c>
      <c r="S1308" t="str">
        <f>IFERROR(VLOOKUP(Tabela1[[#This Row],[CC]],CC!$A$1:$H$403,8,0),"")</f>
        <v>OP1</v>
      </c>
    </row>
    <row r="1309" spans="1:19" x14ac:dyDescent="0.3">
      <c r="A1309" s="25">
        <v>1507</v>
      </c>
      <c r="B1309" s="25" t="str">
        <f>IFERROR(VLOOKUP(Tabela1[[#This Row],[CC]],#REF!,5,0),"")</f>
        <v/>
      </c>
      <c r="C1309" t="str">
        <f>IFERROR(VLOOKUP(Tabela1[[#This Row],[CC]],CC!$A$1:$H$389,7,0),"")</f>
        <v>RITA ANDRADE</v>
      </c>
      <c r="D1309" t="str">
        <f>IFERROR(VLOOKUP(Tabela1[[#This Row],[CC]],CC!$A$1:$I$3869,3,0),"")</f>
        <v>BRADESCO_SEGUROS</v>
      </c>
      <c r="E1309" t="str">
        <f>IFERROR(VLOOKUP(Tabela1[[#This Row],[CC]],CC!$A$1:$H$389,2,0),"")</f>
        <v>BRADESCO SEGUROS (ADS) – BS2 (1507)</v>
      </c>
      <c r="F1309" t="s">
        <v>586</v>
      </c>
      <c r="G1309" s="107" t="s">
        <v>597</v>
      </c>
      <c r="H1309" s="12">
        <v>45992</v>
      </c>
      <c r="I1309" s="27">
        <v>13216.92</v>
      </c>
      <c r="J1309" s="27">
        <v>12404.08</v>
      </c>
      <c r="K1309" s="3">
        <v>46056</v>
      </c>
      <c r="L1309" s="91">
        <v>46069</v>
      </c>
      <c r="M1309" s="11">
        <v>46071</v>
      </c>
      <c r="N1309" s="1" t="s">
        <v>588</v>
      </c>
      <c r="O1309" s="35">
        <v>0</v>
      </c>
      <c r="P1309"/>
      <c r="Q1309" t="str">
        <f>IFERROR(VLOOKUP(Tabela1[[#This Row],[CC]],CC!$A$1:$H$389,5,0),"")</f>
        <v>ADS</v>
      </c>
      <c r="R1309" t="str">
        <f>IFERROR(VLOOKUP(Tabela1[[#This Row],[CC]],CC!$A$1:$H$389,6,0),"")</f>
        <v>FS</v>
      </c>
      <c r="S1309" t="str">
        <f>IFERROR(VLOOKUP(Tabela1[[#This Row],[CC]],CC!$A$1:$H$403,8,0),"")</f>
        <v>OP1</v>
      </c>
    </row>
    <row r="1310" spans="1:19" x14ac:dyDescent="0.3">
      <c r="A1310" s="25">
        <v>1507</v>
      </c>
      <c r="B1310" s="25" t="str">
        <f>IFERROR(VLOOKUP(Tabela1[[#This Row],[CC]],#REF!,5,0),"")</f>
        <v/>
      </c>
      <c r="C1310" t="str">
        <f>IFERROR(VLOOKUP(Tabela1[[#This Row],[CC]],CC!$A$1:$H$389,7,0),"")</f>
        <v>RITA ANDRADE</v>
      </c>
      <c r="D1310" t="str">
        <f>IFERROR(VLOOKUP(Tabela1[[#This Row],[CC]],CC!$A$1:$I$3869,3,0),"")</f>
        <v>BRADESCO_SEGUROS</v>
      </c>
      <c r="E1310" t="str">
        <f>IFERROR(VLOOKUP(Tabela1[[#This Row],[CC]],CC!$A$1:$H$389,2,0),"")</f>
        <v>BRADESCO SEGUROS (ADS) – BS2 (1507)</v>
      </c>
      <c r="F1310" t="s">
        <v>586</v>
      </c>
      <c r="G1310" s="107" t="s">
        <v>598</v>
      </c>
      <c r="H1310" s="12">
        <v>45992</v>
      </c>
      <c r="I1310" s="27">
        <v>13216.92</v>
      </c>
      <c r="J1310" s="27">
        <v>12404.08</v>
      </c>
      <c r="K1310" s="3">
        <v>46056</v>
      </c>
      <c r="L1310" s="91">
        <v>46069</v>
      </c>
      <c r="M1310" s="11">
        <v>46071</v>
      </c>
      <c r="N1310" s="1" t="s">
        <v>588</v>
      </c>
      <c r="O1310" s="35">
        <v>0</v>
      </c>
      <c r="P1310"/>
      <c r="Q1310" t="str">
        <f>IFERROR(VLOOKUP(Tabela1[[#This Row],[CC]],CC!$A$1:$H$389,5,0),"")</f>
        <v>ADS</v>
      </c>
      <c r="R1310" t="str">
        <f>IFERROR(VLOOKUP(Tabela1[[#This Row],[CC]],CC!$A$1:$H$389,6,0),"")</f>
        <v>FS</v>
      </c>
      <c r="S1310" t="str">
        <f>IFERROR(VLOOKUP(Tabela1[[#This Row],[CC]],CC!$A$1:$H$403,8,0),"")</f>
        <v>OP1</v>
      </c>
    </row>
    <row r="1311" spans="1:19" x14ac:dyDescent="0.3">
      <c r="A1311" s="25">
        <v>1507</v>
      </c>
      <c r="B1311" s="25" t="str">
        <f>IFERROR(VLOOKUP(Tabela1[[#This Row],[CC]],#REF!,5,0),"")</f>
        <v/>
      </c>
      <c r="C1311" t="str">
        <f>IFERROR(VLOOKUP(Tabela1[[#This Row],[CC]],CC!$A$1:$H$389,7,0),"")</f>
        <v>RITA ANDRADE</v>
      </c>
      <c r="D1311" t="str">
        <f>IFERROR(VLOOKUP(Tabela1[[#This Row],[CC]],CC!$A$1:$I$3869,3,0),"")</f>
        <v>BRADESCO_SEGUROS</v>
      </c>
      <c r="E1311" t="str">
        <f>IFERROR(VLOOKUP(Tabela1[[#This Row],[CC]],CC!$A$1:$H$389,2,0),"")</f>
        <v>BRADESCO SEGUROS (ADS) – BS2 (1507)</v>
      </c>
      <c r="F1311" t="s">
        <v>586</v>
      </c>
      <c r="G1311" s="107" t="s">
        <v>599</v>
      </c>
      <c r="H1311" s="12">
        <v>45992</v>
      </c>
      <c r="I1311" s="27">
        <v>13216.9</v>
      </c>
      <c r="J1311" s="27">
        <v>12404.06</v>
      </c>
      <c r="K1311" s="3">
        <v>46056</v>
      </c>
      <c r="L1311" s="91">
        <v>46069</v>
      </c>
      <c r="M1311" s="11">
        <v>46071</v>
      </c>
      <c r="N1311" s="1" t="s">
        <v>588</v>
      </c>
      <c r="O1311" s="35">
        <v>0</v>
      </c>
      <c r="P1311"/>
      <c r="Q1311" t="str">
        <f>IFERROR(VLOOKUP(Tabela1[[#This Row],[CC]],CC!$A$1:$H$389,5,0),"")</f>
        <v>ADS</v>
      </c>
      <c r="R1311" t="str">
        <f>IFERROR(VLOOKUP(Tabela1[[#This Row],[CC]],CC!$A$1:$H$389,6,0),"")</f>
        <v>FS</v>
      </c>
      <c r="S1311" t="str">
        <f>IFERROR(VLOOKUP(Tabela1[[#This Row],[CC]],CC!$A$1:$H$403,8,0),"")</f>
        <v>OP1</v>
      </c>
    </row>
    <row r="1312" spans="1:19" x14ac:dyDescent="0.3">
      <c r="A1312" s="25">
        <v>1507</v>
      </c>
      <c r="B1312" s="25" t="str">
        <f>IFERROR(VLOOKUP(Tabela1[[#This Row],[CC]],#REF!,5,0),"")</f>
        <v/>
      </c>
      <c r="C1312" t="str">
        <f>IFERROR(VLOOKUP(Tabela1[[#This Row],[CC]],CC!$A$1:$H$389,7,0),"")</f>
        <v>RITA ANDRADE</v>
      </c>
      <c r="D1312" t="str">
        <f>IFERROR(VLOOKUP(Tabela1[[#This Row],[CC]],CC!$A$1:$I$3869,3,0),"")</f>
        <v>BRADESCO_SEGUROS</v>
      </c>
      <c r="E1312" t="str">
        <f>IFERROR(VLOOKUP(Tabela1[[#This Row],[CC]],CC!$A$1:$H$389,2,0),"")</f>
        <v>BRADESCO SEGUROS (ADS) – BS2 (1507)</v>
      </c>
      <c r="F1312" t="s">
        <v>586</v>
      </c>
      <c r="G1312" s="107" t="s">
        <v>600</v>
      </c>
      <c r="H1312" s="12">
        <v>46023</v>
      </c>
      <c r="I1312" s="27">
        <v>13216.92</v>
      </c>
      <c r="J1312" s="27">
        <v>12404.08</v>
      </c>
      <c r="K1312" s="3">
        <v>46056</v>
      </c>
      <c r="L1312" s="91">
        <v>46069</v>
      </c>
      <c r="M1312" s="11">
        <v>46071</v>
      </c>
      <c r="N1312" s="1" t="s">
        <v>588</v>
      </c>
      <c r="O1312" s="35">
        <v>0</v>
      </c>
      <c r="P1312"/>
      <c r="Q1312" t="str">
        <f>IFERROR(VLOOKUP(Tabela1[[#This Row],[CC]],CC!$A$1:$H$389,5,0),"")</f>
        <v>ADS</v>
      </c>
      <c r="R1312" t="str">
        <f>IFERROR(VLOOKUP(Tabela1[[#This Row],[CC]],CC!$A$1:$H$389,6,0),"")</f>
        <v>FS</v>
      </c>
      <c r="S1312" t="str">
        <f>IFERROR(VLOOKUP(Tabela1[[#This Row],[CC]],CC!$A$1:$H$403,8,0),"")</f>
        <v>OP1</v>
      </c>
    </row>
    <row r="1313" spans="1:19" x14ac:dyDescent="0.3">
      <c r="A1313" s="25">
        <v>1507</v>
      </c>
      <c r="B1313" s="25" t="str">
        <f>IFERROR(VLOOKUP(Tabela1[[#This Row],[CC]],#REF!,5,0),"")</f>
        <v/>
      </c>
      <c r="C1313" t="str">
        <f>IFERROR(VLOOKUP(Tabela1[[#This Row],[CC]],CC!$A$1:$H$389,7,0),"")</f>
        <v>RITA ANDRADE</v>
      </c>
      <c r="D1313" t="str">
        <f>IFERROR(VLOOKUP(Tabela1[[#This Row],[CC]],CC!$A$1:$I$3869,3,0),"")</f>
        <v>BRADESCO_SEGUROS</v>
      </c>
      <c r="E1313" t="str">
        <f>IFERROR(VLOOKUP(Tabela1[[#This Row],[CC]],CC!$A$1:$H$389,2,0),"")</f>
        <v>BRADESCO SEGUROS (ADS) – BS2 (1507)</v>
      </c>
      <c r="F1313" t="s">
        <v>586</v>
      </c>
      <c r="G1313" s="107" t="s">
        <v>601</v>
      </c>
      <c r="H1313" s="12">
        <v>46023</v>
      </c>
      <c r="I1313" s="27">
        <v>13216.92</v>
      </c>
      <c r="J1313" s="27">
        <v>12404.08</v>
      </c>
      <c r="K1313" s="3">
        <v>46056</v>
      </c>
      <c r="L1313" s="91">
        <v>46069</v>
      </c>
      <c r="M1313" s="11">
        <v>46071</v>
      </c>
      <c r="N1313" s="1" t="s">
        <v>588</v>
      </c>
      <c r="O1313" s="35">
        <v>0</v>
      </c>
      <c r="P1313"/>
      <c r="Q1313" t="str">
        <f>IFERROR(VLOOKUP(Tabela1[[#This Row],[CC]],CC!$A$1:$H$389,5,0),"")</f>
        <v>ADS</v>
      </c>
      <c r="R1313" t="str">
        <f>IFERROR(VLOOKUP(Tabela1[[#This Row],[CC]],CC!$A$1:$H$389,6,0),"")</f>
        <v>FS</v>
      </c>
      <c r="S1313" t="str">
        <f>IFERROR(VLOOKUP(Tabela1[[#This Row],[CC]],CC!$A$1:$H$403,8,0),"")</f>
        <v>OP1</v>
      </c>
    </row>
    <row r="1314" spans="1:19" x14ac:dyDescent="0.3">
      <c r="A1314" s="25">
        <v>1507</v>
      </c>
      <c r="B1314" s="25" t="str">
        <f>IFERROR(VLOOKUP(Tabela1[[#This Row],[CC]],#REF!,5,0),"")</f>
        <v/>
      </c>
      <c r="C1314" t="str">
        <f>IFERROR(VLOOKUP(Tabela1[[#This Row],[CC]],CC!$A$1:$H$389,7,0),"")</f>
        <v>RITA ANDRADE</v>
      </c>
      <c r="D1314" t="str">
        <f>IFERROR(VLOOKUP(Tabela1[[#This Row],[CC]],CC!$A$1:$I$3869,3,0),"")</f>
        <v>BRADESCO_SEGUROS</v>
      </c>
      <c r="E1314" t="str">
        <f>IFERROR(VLOOKUP(Tabela1[[#This Row],[CC]],CC!$A$1:$H$389,2,0),"")</f>
        <v>BRADESCO SEGUROS (ADS) – BS2 (1507)</v>
      </c>
      <c r="F1314" t="s">
        <v>586</v>
      </c>
      <c r="G1314" s="107" t="s">
        <v>602</v>
      </c>
      <c r="H1314" s="12">
        <v>46023</v>
      </c>
      <c r="I1314" s="27">
        <v>13216.92</v>
      </c>
      <c r="J1314" s="27">
        <v>12404.08</v>
      </c>
      <c r="K1314" s="3">
        <v>46056</v>
      </c>
      <c r="L1314" s="91">
        <v>46069</v>
      </c>
      <c r="M1314" s="11">
        <v>46071</v>
      </c>
      <c r="N1314" s="1" t="s">
        <v>588</v>
      </c>
      <c r="O1314" s="35">
        <v>0</v>
      </c>
      <c r="P1314"/>
      <c r="Q1314" t="str">
        <f>IFERROR(VLOOKUP(Tabela1[[#This Row],[CC]],CC!$A$1:$H$389,5,0),"")</f>
        <v>ADS</v>
      </c>
      <c r="R1314" t="str">
        <f>IFERROR(VLOOKUP(Tabela1[[#This Row],[CC]],CC!$A$1:$H$389,6,0),"")</f>
        <v>FS</v>
      </c>
      <c r="S1314" t="str">
        <f>IFERROR(VLOOKUP(Tabela1[[#This Row],[CC]],CC!$A$1:$H$403,8,0),"")</f>
        <v>OP1</v>
      </c>
    </row>
    <row r="1315" spans="1:19" x14ac:dyDescent="0.3">
      <c r="A1315" s="25">
        <v>1507</v>
      </c>
      <c r="B1315" s="25" t="str">
        <f>IFERROR(VLOOKUP(Tabela1[[#This Row],[CC]],#REF!,5,0),"")</f>
        <v/>
      </c>
      <c r="C1315" t="str">
        <f>IFERROR(VLOOKUP(Tabela1[[#This Row],[CC]],CC!$A$1:$H$389,7,0),"")</f>
        <v>RITA ANDRADE</v>
      </c>
      <c r="D1315" t="str">
        <f>IFERROR(VLOOKUP(Tabela1[[#This Row],[CC]],CC!$A$1:$I$3869,3,0),"")</f>
        <v>BRADESCO_SEGUROS</v>
      </c>
      <c r="E1315" t="str">
        <f>IFERROR(VLOOKUP(Tabela1[[#This Row],[CC]],CC!$A$1:$H$389,2,0),"")</f>
        <v>BRADESCO SEGUROS (ADS) – BS2 (1507)</v>
      </c>
      <c r="F1315" t="s">
        <v>586</v>
      </c>
      <c r="G1315" s="107" t="s">
        <v>603</v>
      </c>
      <c r="H1315" s="12">
        <v>46023</v>
      </c>
      <c r="I1315" s="27">
        <v>13216.9</v>
      </c>
      <c r="J1315" s="27">
        <v>12404.06</v>
      </c>
      <c r="K1315" s="3">
        <v>46056</v>
      </c>
      <c r="L1315" s="91">
        <v>46069</v>
      </c>
      <c r="M1315" s="11">
        <v>46071</v>
      </c>
      <c r="N1315" s="1" t="s">
        <v>588</v>
      </c>
      <c r="O1315" s="35">
        <v>0</v>
      </c>
      <c r="P1315"/>
      <c r="Q1315" t="str">
        <f>IFERROR(VLOOKUP(Tabela1[[#This Row],[CC]],CC!$A$1:$H$389,5,0),"")</f>
        <v>ADS</v>
      </c>
      <c r="R1315" t="str">
        <f>IFERROR(VLOOKUP(Tabela1[[#This Row],[CC]],CC!$A$1:$H$389,6,0),"")</f>
        <v>FS</v>
      </c>
      <c r="S1315" t="str">
        <f>IFERROR(VLOOKUP(Tabela1[[#This Row],[CC]],CC!$A$1:$H$403,8,0),"")</f>
        <v>OP1</v>
      </c>
    </row>
    <row r="1316" spans="1:19" x14ac:dyDescent="0.3">
      <c r="A1316" s="25">
        <v>1507</v>
      </c>
      <c r="B1316" s="25" t="str">
        <f>IFERROR(VLOOKUP(Tabela1[[#This Row],[CC]],#REF!,5,0),"")</f>
        <v/>
      </c>
      <c r="C1316" t="str">
        <f>IFERROR(VLOOKUP(Tabela1[[#This Row],[CC]],CC!$A$1:$H$389,7,0),"")</f>
        <v>RITA ANDRADE</v>
      </c>
      <c r="D1316" t="str">
        <f>IFERROR(VLOOKUP(Tabela1[[#This Row],[CC]],CC!$A$1:$I$3869,3,0),"")</f>
        <v>BRADESCO_SEGUROS</v>
      </c>
      <c r="E1316" t="str">
        <f>IFERROR(VLOOKUP(Tabela1[[#This Row],[CC]],CC!$A$1:$H$389,2,0),"")</f>
        <v>BRADESCO SEGUROS (ADS) – BS2 (1507)</v>
      </c>
      <c r="F1316" t="s">
        <v>586</v>
      </c>
      <c r="G1316" s="107" t="s">
        <v>604</v>
      </c>
      <c r="H1316" s="12">
        <v>46054</v>
      </c>
      <c r="I1316" s="27">
        <v>13216.92</v>
      </c>
      <c r="J1316" s="27">
        <v>12404.08</v>
      </c>
      <c r="K1316" s="3">
        <v>46056</v>
      </c>
      <c r="L1316" s="91">
        <v>46069</v>
      </c>
      <c r="M1316" s="11">
        <v>46071</v>
      </c>
      <c r="N1316" s="1" t="s">
        <v>588</v>
      </c>
      <c r="O1316" s="35">
        <v>0</v>
      </c>
      <c r="P1316"/>
      <c r="Q1316" t="str">
        <f>IFERROR(VLOOKUP(Tabela1[[#This Row],[CC]],CC!$A$1:$H$389,5,0),"")</f>
        <v>ADS</v>
      </c>
      <c r="R1316" t="str">
        <f>IFERROR(VLOOKUP(Tabela1[[#This Row],[CC]],CC!$A$1:$H$389,6,0),"")</f>
        <v>FS</v>
      </c>
      <c r="S1316" t="str">
        <f>IFERROR(VLOOKUP(Tabela1[[#This Row],[CC]],CC!$A$1:$H$403,8,0),"")</f>
        <v>OP1</v>
      </c>
    </row>
    <row r="1317" spans="1:19" x14ac:dyDescent="0.3">
      <c r="A1317" s="25">
        <v>1507</v>
      </c>
      <c r="B1317" s="25" t="str">
        <f>IFERROR(VLOOKUP(Tabela1[[#This Row],[CC]],#REF!,5,0),"")</f>
        <v/>
      </c>
      <c r="C1317" t="str">
        <f>IFERROR(VLOOKUP(Tabela1[[#This Row],[CC]],CC!$A$1:$H$389,7,0),"")</f>
        <v>RITA ANDRADE</v>
      </c>
      <c r="D1317" t="str">
        <f>IFERROR(VLOOKUP(Tabela1[[#This Row],[CC]],CC!$A$1:$I$3869,3,0),"")</f>
        <v>BRADESCO_SEGUROS</v>
      </c>
      <c r="E1317" t="str">
        <f>IFERROR(VLOOKUP(Tabela1[[#This Row],[CC]],CC!$A$1:$H$389,2,0),"")</f>
        <v>BRADESCO SEGUROS (ADS) – BS2 (1507)</v>
      </c>
      <c r="F1317" t="s">
        <v>586</v>
      </c>
      <c r="G1317" s="107" t="s">
        <v>605</v>
      </c>
      <c r="H1317" s="12">
        <v>46054</v>
      </c>
      <c r="I1317" s="27">
        <v>13216.92</v>
      </c>
      <c r="J1317" s="27">
        <v>12404.08</v>
      </c>
      <c r="K1317" s="3">
        <v>46056</v>
      </c>
      <c r="L1317" s="91">
        <v>46069</v>
      </c>
      <c r="M1317" s="11">
        <v>46071</v>
      </c>
      <c r="N1317" s="1" t="s">
        <v>588</v>
      </c>
      <c r="O1317" s="35">
        <v>0</v>
      </c>
      <c r="P1317"/>
      <c r="Q1317" t="str">
        <f>IFERROR(VLOOKUP(Tabela1[[#This Row],[CC]],CC!$A$1:$H$389,5,0),"")</f>
        <v>ADS</v>
      </c>
      <c r="R1317" t="str">
        <f>IFERROR(VLOOKUP(Tabela1[[#This Row],[CC]],CC!$A$1:$H$389,6,0),"")</f>
        <v>FS</v>
      </c>
      <c r="S1317" t="str">
        <f>IFERROR(VLOOKUP(Tabela1[[#This Row],[CC]],CC!$A$1:$H$403,8,0),"")</f>
        <v>OP1</v>
      </c>
    </row>
    <row r="1318" spans="1:19" x14ac:dyDescent="0.3">
      <c r="A1318" s="25">
        <v>1507</v>
      </c>
      <c r="B1318" s="25" t="str">
        <f>IFERROR(VLOOKUP(Tabela1[[#This Row],[CC]],#REF!,5,0),"")</f>
        <v/>
      </c>
      <c r="C1318" t="str">
        <f>IFERROR(VLOOKUP(Tabela1[[#This Row],[CC]],CC!$A$1:$H$389,7,0),"")</f>
        <v>RITA ANDRADE</v>
      </c>
      <c r="D1318" t="str">
        <f>IFERROR(VLOOKUP(Tabela1[[#This Row],[CC]],CC!$A$1:$I$3869,3,0),"")</f>
        <v>BRADESCO_SEGUROS</v>
      </c>
      <c r="E1318" t="str">
        <f>IFERROR(VLOOKUP(Tabela1[[#This Row],[CC]],CC!$A$1:$H$389,2,0),"")</f>
        <v>BRADESCO SEGUROS (ADS) – BS2 (1507)</v>
      </c>
      <c r="F1318" t="s">
        <v>586</v>
      </c>
      <c r="G1318" s="107" t="s">
        <v>606</v>
      </c>
      <c r="H1318" s="12">
        <v>46054</v>
      </c>
      <c r="I1318" s="27">
        <v>13216.92</v>
      </c>
      <c r="J1318" s="27">
        <v>12404.08</v>
      </c>
      <c r="K1318" s="3">
        <v>46056</v>
      </c>
      <c r="L1318" s="91">
        <v>46069</v>
      </c>
      <c r="M1318" s="11">
        <v>46071</v>
      </c>
      <c r="N1318" s="1" t="s">
        <v>588</v>
      </c>
      <c r="O1318" s="35">
        <v>0</v>
      </c>
      <c r="P1318"/>
      <c r="Q1318" t="str">
        <f>IFERROR(VLOOKUP(Tabela1[[#This Row],[CC]],CC!$A$1:$H$389,5,0),"")</f>
        <v>ADS</v>
      </c>
      <c r="R1318" t="str">
        <f>IFERROR(VLOOKUP(Tabela1[[#This Row],[CC]],CC!$A$1:$H$389,6,0),"")</f>
        <v>FS</v>
      </c>
      <c r="S1318" t="str">
        <f>IFERROR(VLOOKUP(Tabela1[[#This Row],[CC]],CC!$A$1:$H$403,8,0),"")</f>
        <v>OP1</v>
      </c>
    </row>
    <row r="1319" spans="1:19" x14ac:dyDescent="0.3">
      <c r="A1319" s="25">
        <v>1507</v>
      </c>
      <c r="B1319" s="25" t="str">
        <f>IFERROR(VLOOKUP(Tabela1[[#This Row],[CC]],#REF!,5,0),"")</f>
        <v/>
      </c>
      <c r="C1319" t="str">
        <f>IFERROR(VLOOKUP(Tabela1[[#This Row],[CC]],CC!$A$1:$H$389,7,0),"")</f>
        <v>RITA ANDRADE</v>
      </c>
      <c r="D1319" t="str">
        <f>IFERROR(VLOOKUP(Tabela1[[#This Row],[CC]],CC!$A$1:$I$3869,3,0),"")</f>
        <v>BRADESCO_SEGUROS</v>
      </c>
      <c r="E1319" t="str">
        <f>IFERROR(VLOOKUP(Tabela1[[#This Row],[CC]],CC!$A$1:$H$389,2,0),"")</f>
        <v>BRADESCO SEGUROS (ADS) – BS2 (1507)</v>
      </c>
      <c r="F1319" t="s">
        <v>586</v>
      </c>
      <c r="G1319" s="107" t="s">
        <v>607</v>
      </c>
      <c r="H1319" s="12">
        <v>46082</v>
      </c>
      <c r="I1319" s="27">
        <v>13216.92</v>
      </c>
      <c r="J1319" s="27">
        <v>12404.08</v>
      </c>
      <c r="K1319" s="3">
        <v>46056</v>
      </c>
      <c r="L1319" s="91">
        <v>46069</v>
      </c>
      <c r="M1319" s="11">
        <v>46071</v>
      </c>
      <c r="N1319" s="1" t="s">
        <v>588</v>
      </c>
      <c r="O1319" s="35">
        <v>0</v>
      </c>
      <c r="P1319"/>
      <c r="Q1319" t="str">
        <f>IFERROR(VLOOKUP(Tabela1[[#This Row],[CC]],CC!$A$1:$H$389,5,0),"")</f>
        <v>ADS</v>
      </c>
      <c r="R1319" t="str">
        <f>IFERROR(VLOOKUP(Tabela1[[#This Row],[CC]],CC!$A$1:$H$389,6,0),"")</f>
        <v>FS</v>
      </c>
      <c r="S1319" t="str">
        <f>IFERROR(VLOOKUP(Tabela1[[#This Row],[CC]],CC!$A$1:$H$403,8,0),"")</f>
        <v>OP1</v>
      </c>
    </row>
    <row r="1320" spans="1:19" x14ac:dyDescent="0.3">
      <c r="A1320" s="25">
        <v>1507</v>
      </c>
      <c r="B1320" s="25" t="str">
        <f>IFERROR(VLOOKUP(Tabela1[[#This Row],[CC]],#REF!,5,0),"")</f>
        <v/>
      </c>
      <c r="C1320" t="str">
        <f>IFERROR(VLOOKUP(Tabela1[[#This Row],[CC]],CC!$A$1:$H$389,7,0),"")</f>
        <v>RITA ANDRADE</v>
      </c>
      <c r="D1320" t="str">
        <f>IFERROR(VLOOKUP(Tabela1[[#This Row],[CC]],CC!$A$1:$I$3869,3,0),"")</f>
        <v>BRADESCO_SEGUROS</v>
      </c>
      <c r="E1320" t="str">
        <f>IFERROR(VLOOKUP(Tabela1[[#This Row],[CC]],CC!$A$1:$H$389,2,0),"")</f>
        <v>BRADESCO SEGUROS (ADS) – BS2 (1507)</v>
      </c>
      <c r="F1320" t="s">
        <v>586</v>
      </c>
      <c r="G1320" s="107" t="s">
        <v>608</v>
      </c>
      <c r="H1320" s="12">
        <v>46082</v>
      </c>
      <c r="I1320" s="27">
        <v>13216.92</v>
      </c>
      <c r="J1320" s="27">
        <v>12404.08</v>
      </c>
      <c r="K1320" s="3">
        <v>46056</v>
      </c>
      <c r="L1320" s="91">
        <v>46069</v>
      </c>
      <c r="M1320" s="11">
        <v>46071</v>
      </c>
      <c r="N1320" s="1" t="s">
        <v>588</v>
      </c>
      <c r="O1320" s="35">
        <v>0</v>
      </c>
      <c r="P1320"/>
      <c r="Q1320" t="str">
        <f>IFERROR(VLOOKUP(Tabela1[[#This Row],[CC]],CC!$A$1:$H$389,5,0),"")</f>
        <v>ADS</v>
      </c>
      <c r="R1320" t="str">
        <f>IFERROR(VLOOKUP(Tabela1[[#This Row],[CC]],CC!$A$1:$H$389,6,0),"")</f>
        <v>FS</v>
      </c>
      <c r="S1320" t="str">
        <f>IFERROR(VLOOKUP(Tabela1[[#This Row],[CC]],CC!$A$1:$H$403,8,0),"")</f>
        <v>OP1</v>
      </c>
    </row>
    <row r="1321" spans="1:19" x14ac:dyDescent="0.3">
      <c r="A1321" s="25">
        <v>1507</v>
      </c>
      <c r="B1321" s="25" t="str">
        <f>IFERROR(VLOOKUP(Tabela1[[#This Row],[CC]],#REF!,5,0),"")</f>
        <v/>
      </c>
      <c r="C1321" t="str">
        <f>IFERROR(VLOOKUP(Tabela1[[#This Row],[CC]],CC!$A$1:$H$389,7,0),"")</f>
        <v>RITA ANDRADE</v>
      </c>
      <c r="D1321" t="str">
        <f>IFERROR(VLOOKUP(Tabela1[[#This Row],[CC]],CC!$A$1:$I$3869,3,0),"")</f>
        <v>BRADESCO_SEGUROS</v>
      </c>
      <c r="E1321" t="str">
        <f>IFERROR(VLOOKUP(Tabela1[[#This Row],[CC]],CC!$A$1:$H$389,2,0),"")</f>
        <v>BRADESCO SEGUROS (ADS) – BS2 (1507)</v>
      </c>
      <c r="F1321" t="s">
        <v>586</v>
      </c>
      <c r="G1321" s="107" t="s">
        <v>609</v>
      </c>
      <c r="H1321" s="12">
        <v>46082</v>
      </c>
      <c r="I1321" s="27">
        <v>13216.92</v>
      </c>
      <c r="J1321" s="27">
        <v>12404.08</v>
      </c>
      <c r="K1321" s="3">
        <v>46056</v>
      </c>
      <c r="L1321" s="91">
        <v>46069</v>
      </c>
      <c r="M1321" s="11">
        <v>46071</v>
      </c>
      <c r="N1321" s="1" t="s">
        <v>588</v>
      </c>
      <c r="O1321" s="35">
        <v>0</v>
      </c>
      <c r="P1321"/>
      <c r="Q1321" t="str">
        <f>IFERROR(VLOOKUP(Tabela1[[#This Row],[CC]],CC!$A$1:$H$389,5,0),"")</f>
        <v>ADS</v>
      </c>
      <c r="R1321" t="str">
        <f>IFERROR(VLOOKUP(Tabela1[[#This Row],[CC]],CC!$A$1:$H$389,6,0),"")</f>
        <v>FS</v>
      </c>
      <c r="S1321" t="str">
        <f>IFERROR(VLOOKUP(Tabela1[[#This Row],[CC]],CC!$A$1:$H$403,8,0),"")</f>
        <v>OP1</v>
      </c>
    </row>
    <row r="1322" spans="1:19" x14ac:dyDescent="0.3">
      <c r="A1322" s="25">
        <v>1507</v>
      </c>
      <c r="B1322" s="25" t="str">
        <f>IFERROR(VLOOKUP(Tabela1[[#This Row],[CC]],#REF!,5,0),"")</f>
        <v/>
      </c>
      <c r="C1322" t="str">
        <f>IFERROR(VLOOKUP(Tabela1[[#This Row],[CC]],CC!$A$1:$H$389,7,0),"")</f>
        <v>RITA ANDRADE</v>
      </c>
      <c r="D1322" t="str">
        <f>IFERROR(VLOOKUP(Tabela1[[#This Row],[CC]],CC!$A$1:$I$3869,3,0),"")</f>
        <v>BRADESCO_SEGUROS</v>
      </c>
      <c r="E1322" t="str">
        <f>IFERROR(VLOOKUP(Tabela1[[#This Row],[CC]],CC!$A$1:$H$389,2,0),"")</f>
        <v>BRADESCO SEGUROS (ADS) – BS2 (1507)</v>
      </c>
      <c r="F1322" t="s">
        <v>586</v>
      </c>
      <c r="G1322" s="107" t="s">
        <v>610</v>
      </c>
      <c r="H1322" s="12">
        <v>46082</v>
      </c>
      <c r="I1322" s="27">
        <v>13216.9</v>
      </c>
      <c r="J1322" s="27">
        <v>12404.06</v>
      </c>
      <c r="K1322" s="3">
        <v>46056</v>
      </c>
      <c r="L1322" s="91">
        <v>46069</v>
      </c>
      <c r="M1322" s="11">
        <v>46071</v>
      </c>
      <c r="N1322" s="1" t="s">
        <v>588</v>
      </c>
      <c r="O1322" s="35">
        <v>0</v>
      </c>
      <c r="P1322"/>
      <c r="Q1322" t="str">
        <f>IFERROR(VLOOKUP(Tabela1[[#This Row],[CC]],CC!$A$1:$H$389,5,0),"")</f>
        <v>ADS</v>
      </c>
      <c r="R1322" t="str">
        <f>IFERROR(VLOOKUP(Tabela1[[#This Row],[CC]],CC!$A$1:$H$389,6,0),"")</f>
        <v>FS</v>
      </c>
      <c r="S1322" t="str">
        <f>IFERROR(VLOOKUP(Tabela1[[#This Row],[CC]],CC!$A$1:$H$403,8,0),"")</f>
        <v>OP1</v>
      </c>
    </row>
    <row r="1323" spans="1:19" x14ac:dyDescent="0.3">
      <c r="A1323" s="25">
        <v>1507</v>
      </c>
      <c r="B1323" s="25" t="str">
        <f>IFERROR(VLOOKUP(Tabela1[[#This Row],[CC]],#REF!,5,0),"")</f>
        <v/>
      </c>
      <c r="C1323" t="str">
        <f>IFERROR(VLOOKUP(Tabela1[[#This Row],[CC]],CC!$A$1:$H$389,7,0),"")</f>
        <v>RITA ANDRADE</v>
      </c>
      <c r="D1323" t="str">
        <f>IFERROR(VLOOKUP(Tabela1[[#This Row],[CC]],CC!$A$1:$I$3869,3,0),"")</f>
        <v>BRADESCO_SEGUROS</v>
      </c>
      <c r="E1323" t="str">
        <f>IFERROR(VLOOKUP(Tabela1[[#This Row],[CC]],CC!$A$1:$H$389,2,0),"")</f>
        <v>BRADESCO SEGUROS (ADS) – BS2 (1507)</v>
      </c>
      <c r="F1323" t="s">
        <v>586</v>
      </c>
      <c r="G1323" s="107">
        <v>4818</v>
      </c>
      <c r="H1323" s="12">
        <v>46054</v>
      </c>
      <c r="I1323" s="27">
        <v>13216.9</v>
      </c>
      <c r="J1323" s="27">
        <v>12404.06</v>
      </c>
      <c r="K1323" s="3">
        <v>46058</v>
      </c>
      <c r="L1323" s="91">
        <v>46069</v>
      </c>
      <c r="M1323" s="11">
        <v>46073</v>
      </c>
      <c r="N1323" s="1" t="s">
        <v>588</v>
      </c>
      <c r="O1323" s="35">
        <v>0</v>
      </c>
      <c r="P1323"/>
      <c r="Q1323" t="str">
        <f>IFERROR(VLOOKUP(Tabela1[[#This Row],[CC]],CC!$A$1:$H$389,5,0),"")</f>
        <v>ADS</v>
      </c>
      <c r="R1323" t="str">
        <f>IFERROR(VLOOKUP(Tabela1[[#This Row],[CC]],CC!$A$1:$H$389,6,0),"")</f>
        <v>FS</v>
      </c>
      <c r="S1323" t="str">
        <f>IFERROR(VLOOKUP(Tabela1[[#This Row],[CC]],CC!$A$1:$H$403,8,0),"")</f>
        <v>OP1</v>
      </c>
    </row>
    <row r="1324" spans="1:19" x14ac:dyDescent="0.3">
      <c r="A1324" s="25">
        <v>1507</v>
      </c>
      <c r="B1324" s="25" t="str">
        <f>IFERROR(VLOOKUP(Tabela1[[#This Row],[CC]],#REF!,5,0),"")</f>
        <v/>
      </c>
      <c r="C1324" t="str">
        <f>IFERROR(VLOOKUP(Tabela1[[#This Row],[CC]],CC!$A$1:$H$389,7,0),"")</f>
        <v>RITA ANDRADE</v>
      </c>
      <c r="D1324" t="str">
        <f>IFERROR(VLOOKUP(Tabela1[[#This Row],[CC]],CC!$A$1:$I$3869,3,0),"")</f>
        <v>BRADESCO_SEGUROS</v>
      </c>
      <c r="E1324" t="str">
        <f>IFERROR(VLOOKUP(Tabela1[[#This Row],[CC]],CC!$A$1:$H$389,2,0),"")</f>
        <v>BRADESCO SEGUROS (ADS) – BS2 (1507)</v>
      </c>
      <c r="F1324" t="s">
        <v>586</v>
      </c>
      <c r="G1324" s="107" t="s">
        <v>611</v>
      </c>
      <c r="H1324" s="12">
        <v>46023</v>
      </c>
      <c r="I1324" s="24">
        <v>30933.4</v>
      </c>
      <c r="J1324" s="27">
        <v>29031</v>
      </c>
      <c r="K1324" s="3">
        <v>46064</v>
      </c>
      <c r="L1324" s="91">
        <v>46076</v>
      </c>
      <c r="M1324" s="11">
        <v>46079</v>
      </c>
      <c r="N1324" s="1" t="s">
        <v>588</v>
      </c>
      <c r="O1324" s="35">
        <v>0</v>
      </c>
      <c r="P1324"/>
      <c r="Q1324" t="str">
        <f>IFERROR(VLOOKUP(Tabela1[[#This Row],[CC]],CC!$A$1:$H$389,5,0),"")</f>
        <v>ADS</v>
      </c>
      <c r="R1324" t="str">
        <f>IFERROR(VLOOKUP(Tabela1[[#This Row],[CC]],CC!$A$1:$H$389,6,0),"")</f>
        <v>FS</v>
      </c>
      <c r="S1324" t="str">
        <f>IFERROR(VLOOKUP(Tabela1[[#This Row],[CC]],CC!$A$1:$H$403,8,0),"")</f>
        <v>OP1</v>
      </c>
    </row>
    <row r="1325" spans="1:19" x14ac:dyDescent="0.3">
      <c r="A1325" s="25">
        <v>1507</v>
      </c>
      <c r="B1325" s="25" t="str">
        <f>IFERROR(VLOOKUP(Tabela1[[#This Row],[CC]],#REF!,5,0),"")</f>
        <v/>
      </c>
      <c r="C1325" t="str">
        <f>IFERROR(VLOOKUP(Tabela1[[#This Row],[CC]],CC!$A$1:$H$389,7,0),"")</f>
        <v>RITA ANDRADE</v>
      </c>
      <c r="D1325" t="str">
        <f>IFERROR(VLOOKUP(Tabela1[[#This Row],[CC]],CC!$A$1:$I$3869,3,0),"")</f>
        <v>BRADESCO_SEGUROS</v>
      </c>
      <c r="E1325" t="str">
        <f>IFERROR(VLOOKUP(Tabela1[[#This Row],[CC]],CC!$A$1:$H$389,2,0),"")</f>
        <v>BRADESCO SEGUROS (ADS) – BS2 (1507)</v>
      </c>
      <c r="F1325" t="s">
        <v>586</v>
      </c>
      <c r="G1325" s="107" t="s">
        <v>612</v>
      </c>
      <c r="H1325" s="12">
        <v>46023</v>
      </c>
      <c r="I1325" s="24">
        <v>30933.4</v>
      </c>
      <c r="J1325" s="27">
        <v>29031</v>
      </c>
      <c r="K1325" s="3">
        <v>46064</v>
      </c>
      <c r="L1325" s="91">
        <v>46076</v>
      </c>
      <c r="M1325" s="11">
        <v>46079</v>
      </c>
      <c r="N1325" s="1" t="s">
        <v>588</v>
      </c>
      <c r="O1325" s="35">
        <v>0</v>
      </c>
      <c r="P1325"/>
      <c r="Q1325" t="str">
        <f>IFERROR(VLOOKUP(Tabela1[[#This Row],[CC]],CC!$A$1:$H$389,5,0),"")</f>
        <v>ADS</v>
      </c>
      <c r="R1325" t="str">
        <f>IFERROR(VLOOKUP(Tabela1[[#This Row],[CC]],CC!$A$1:$H$389,6,0),"")</f>
        <v>FS</v>
      </c>
      <c r="S1325" t="str">
        <f>IFERROR(VLOOKUP(Tabela1[[#This Row],[CC]],CC!$A$1:$H$403,8,0),"")</f>
        <v>OP1</v>
      </c>
    </row>
    <row r="1326" spans="1:19" x14ac:dyDescent="0.3">
      <c r="A1326" s="25">
        <v>1507</v>
      </c>
      <c r="B1326" s="25" t="str">
        <f>IFERROR(VLOOKUP(Tabela1[[#This Row],[CC]],#REF!,5,0),"")</f>
        <v/>
      </c>
      <c r="C1326" t="str">
        <f>IFERROR(VLOOKUP(Tabela1[[#This Row],[CC]],CC!$A$1:$H$389,7,0),"")</f>
        <v>RITA ANDRADE</v>
      </c>
      <c r="D1326" t="str">
        <f>IFERROR(VLOOKUP(Tabela1[[#This Row],[CC]],CC!$A$1:$I$3869,3,0),"")</f>
        <v>BRADESCO_SEGUROS</v>
      </c>
      <c r="E1326" t="str">
        <f>IFERROR(VLOOKUP(Tabela1[[#This Row],[CC]],CC!$A$1:$H$389,2,0),"")</f>
        <v>BRADESCO SEGUROS (ADS) – BS2 (1507)</v>
      </c>
      <c r="F1326" t="s">
        <v>586</v>
      </c>
      <c r="G1326" s="107" t="s">
        <v>613</v>
      </c>
      <c r="H1326" s="12">
        <v>46023</v>
      </c>
      <c r="I1326" s="24">
        <v>30933.4</v>
      </c>
      <c r="J1326" s="27">
        <v>29031</v>
      </c>
      <c r="K1326" s="3">
        <v>46064</v>
      </c>
      <c r="L1326" s="91">
        <v>46076</v>
      </c>
      <c r="M1326" s="11">
        <v>46079</v>
      </c>
      <c r="N1326" s="1" t="s">
        <v>588</v>
      </c>
      <c r="O1326" s="35">
        <v>0</v>
      </c>
      <c r="P1326"/>
      <c r="Q1326" t="str">
        <f>IFERROR(VLOOKUP(Tabela1[[#This Row],[CC]],CC!$A$1:$H$389,5,0),"")</f>
        <v>ADS</v>
      </c>
      <c r="R1326" t="str">
        <f>IFERROR(VLOOKUP(Tabela1[[#This Row],[CC]],CC!$A$1:$H$389,6,0),"")</f>
        <v>FS</v>
      </c>
      <c r="S1326" t="str">
        <f>IFERROR(VLOOKUP(Tabela1[[#This Row],[CC]],CC!$A$1:$H$403,8,0),"")</f>
        <v>OP1</v>
      </c>
    </row>
    <row r="1327" spans="1:19" x14ac:dyDescent="0.3">
      <c r="A1327" s="25">
        <v>1507</v>
      </c>
      <c r="B1327" s="25" t="str">
        <f>IFERROR(VLOOKUP(Tabela1[[#This Row],[CC]],#REF!,5,0),"")</f>
        <v/>
      </c>
      <c r="C1327" t="str">
        <f>IFERROR(VLOOKUP(Tabela1[[#This Row],[CC]],CC!$A$1:$H$389,7,0),"")</f>
        <v>RITA ANDRADE</v>
      </c>
      <c r="D1327" t="str">
        <f>IFERROR(VLOOKUP(Tabela1[[#This Row],[CC]],CC!$A$1:$I$3869,3,0),"")</f>
        <v>BRADESCO_SEGUROS</v>
      </c>
      <c r="E1327" t="str">
        <f>IFERROR(VLOOKUP(Tabela1[[#This Row],[CC]],CC!$A$1:$H$389,2,0),"")</f>
        <v>BRADESCO SEGUROS (ADS) – BS2 (1507)</v>
      </c>
      <c r="F1327" t="s">
        <v>586</v>
      </c>
      <c r="G1327" s="107" t="s">
        <v>614</v>
      </c>
      <c r="H1327" s="12">
        <v>46023</v>
      </c>
      <c r="I1327" s="24">
        <v>6074.97</v>
      </c>
      <c r="J1327" s="27">
        <v>5701.36</v>
      </c>
      <c r="K1327" s="3">
        <v>46064</v>
      </c>
      <c r="L1327" s="91">
        <v>46076</v>
      </c>
      <c r="M1327" s="11">
        <v>46079</v>
      </c>
      <c r="N1327" s="1" t="s">
        <v>588</v>
      </c>
      <c r="O1327" s="35">
        <v>0</v>
      </c>
      <c r="P1327"/>
      <c r="Q1327" t="str">
        <f>IFERROR(VLOOKUP(Tabela1[[#This Row],[CC]],CC!$A$1:$H$389,5,0),"")</f>
        <v>ADS</v>
      </c>
      <c r="R1327" t="str">
        <f>IFERROR(VLOOKUP(Tabela1[[#This Row],[CC]],CC!$A$1:$H$389,6,0),"")</f>
        <v>FS</v>
      </c>
      <c r="S1327" t="str">
        <f>IFERROR(VLOOKUP(Tabela1[[#This Row],[CC]],CC!$A$1:$H$403,8,0),"")</f>
        <v>OP1</v>
      </c>
    </row>
    <row r="1328" spans="1:19" x14ac:dyDescent="0.3">
      <c r="A1328" s="25">
        <v>1507</v>
      </c>
      <c r="B1328" s="25" t="str">
        <f>IFERROR(VLOOKUP(Tabela1[[#This Row],[CC]],#REF!,5,0),"")</f>
        <v/>
      </c>
      <c r="C1328" t="str">
        <f>IFERROR(VLOOKUP(Tabela1[[#This Row],[CC]],CC!$A$1:$H$389,7,0),"")</f>
        <v>RITA ANDRADE</v>
      </c>
      <c r="D1328" t="str">
        <f>IFERROR(VLOOKUP(Tabela1[[#This Row],[CC]],CC!$A$1:$I$3869,3,0),"")</f>
        <v>BRADESCO_SEGUROS</v>
      </c>
      <c r="E1328" t="str">
        <f>IFERROR(VLOOKUP(Tabela1[[#This Row],[CC]],CC!$A$1:$H$389,2,0),"")</f>
        <v>BRADESCO SEGUROS (ADS) – BS2 (1507)</v>
      </c>
      <c r="F1328" t="s">
        <v>586</v>
      </c>
      <c r="G1328" s="107" t="s">
        <v>615</v>
      </c>
      <c r="H1328" s="12">
        <v>46023</v>
      </c>
      <c r="I1328" s="24">
        <v>30933.41</v>
      </c>
      <c r="J1328" s="27">
        <v>29031.01</v>
      </c>
      <c r="K1328" s="3">
        <v>46064</v>
      </c>
      <c r="L1328" s="91">
        <v>46076</v>
      </c>
      <c r="M1328" s="11">
        <v>46079</v>
      </c>
      <c r="N1328" s="1" t="s">
        <v>588</v>
      </c>
      <c r="O1328" s="35">
        <v>0</v>
      </c>
      <c r="P1328"/>
      <c r="Q1328" t="str">
        <f>IFERROR(VLOOKUP(Tabela1[[#This Row],[CC]],CC!$A$1:$H$389,5,0),"")</f>
        <v>ADS</v>
      </c>
      <c r="R1328" t="str">
        <f>IFERROR(VLOOKUP(Tabela1[[#This Row],[CC]],CC!$A$1:$H$389,6,0),"")</f>
        <v>FS</v>
      </c>
      <c r="S1328" t="str">
        <f>IFERROR(VLOOKUP(Tabela1[[#This Row],[CC]],CC!$A$1:$H$403,8,0),"")</f>
        <v>OP1</v>
      </c>
    </row>
    <row r="1329" spans="1:19" x14ac:dyDescent="0.3">
      <c r="A1329" s="25">
        <v>1507</v>
      </c>
      <c r="B1329" s="25" t="str">
        <f>IFERROR(VLOOKUP(Tabela1[[#This Row],[CC]],#REF!,5,0),"")</f>
        <v/>
      </c>
      <c r="C1329" t="str">
        <f>IFERROR(VLOOKUP(Tabela1[[#This Row],[CC]],CC!$A$1:$H$389,7,0),"")</f>
        <v>RITA ANDRADE</v>
      </c>
      <c r="D1329" t="str">
        <f>IFERROR(VLOOKUP(Tabela1[[#This Row],[CC]],CC!$A$1:$I$3869,3,0),"")</f>
        <v>BRADESCO_SEGUROS</v>
      </c>
      <c r="E1329" t="str">
        <f>IFERROR(VLOOKUP(Tabela1[[#This Row],[CC]],CC!$A$1:$H$389,2,0),"")</f>
        <v>BRADESCO SEGUROS (ADS) – BS2 (1507)</v>
      </c>
      <c r="F1329" t="s">
        <v>586</v>
      </c>
      <c r="G1329" s="107" t="s">
        <v>616</v>
      </c>
      <c r="H1329" s="12">
        <v>46023</v>
      </c>
      <c r="I1329" s="24">
        <v>32039</v>
      </c>
      <c r="J1329" s="27">
        <v>30068.6</v>
      </c>
      <c r="K1329" s="3">
        <v>46064</v>
      </c>
      <c r="L1329" s="91">
        <v>46076</v>
      </c>
      <c r="M1329" s="11">
        <v>46079</v>
      </c>
      <c r="N1329" s="1" t="s">
        <v>588</v>
      </c>
      <c r="O1329" s="35">
        <v>0</v>
      </c>
      <c r="P1329"/>
      <c r="Q1329" t="str">
        <f>IFERROR(VLOOKUP(Tabela1[[#This Row],[CC]],CC!$A$1:$H$389,5,0),"")</f>
        <v>ADS</v>
      </c>
      <c r="R1329" t="str">
        <f>IFERROR(VLOOKUP(Tabela1[[#This Row],[CC]],CC!$A$1:$H$389,6,0),"")</f>
        <v>FS</v>
      </c>
      <c r="S1329" t="str">
        <f>IFERROR(VLOOKUP(Tabela1[[#This Row],[CC]],CC!$A$1:$H$403,8,0),"")</f>
        <v>OP1</v>
      </c>
    </row>
    <row r="1330" spans="1:19" x14ac:dyDescent="0.3">
      <c r="A1330" s="25">
        <v>1507</v>
      </c>
      <c r="B1330" s="25" t="str">
        <f>IFERROR(VLOOKUP(Tabela1[[#This Row],[CC]],#REF!,5,0),"")</f>
        <v/>
      </c>
      <c r="C1330" t="str">
        <f>IFERROR(VLOOKUP(Tabela1[[#This Row],[CC]],CC!$A$1:$H$389,7,0),"")</f>
        <v>RITA ANDRADE</v>
      </c>
      <c r="D1330" t="str">
        <f>IFERROR(VLOOKUP(Tabela1[[#This Row],[CC]],CC!$A$1:$I$3869,3,0),"")</f>
        <v>BRADESCO_SEGUROS</v>
      </c>
      <c r="E1330" t="str">
        <f>IFERROR(VLOOKUP(Tabela1[[#This Row],[CC]],CC!$A$1:$H$389,2,0),"")</f>
        <v>BRADESCO SEGUROS (ADS) – BS2 (1507)</v>
      </c>
      <c r="F1330" t="s">
        <v>586</v>
      </c>
      <c r="G1330" s="107">
        <v>4850</v>
      </c>
      <c r="H1330" s="12">
        <v>46023</v>
      </c>
      <c r="I1330" s="24">
        <v>29590.400000000001</v>
      </c>
      <c r="J1330" s="24">
        <v>27770.59</v>
      </c>
      <c r="K1330" s="3">
        <v>46066</v>
      </c>
      <c r="L1330" s="91">
        <v>46076</v>
      </c>
      <c r="M1330" s="11">
        <v>46080</v>
      </c>
      <c r="N1330" s="1" t="s">
        <v>588</v>
      </c>
      <c r="O1330" s="35">
        <v>0</v>
      </c>
      <c r="P1330"/>
      <c r="Q1330" t="str">
        <f>IFERROR(VLOOKUP(Tabela1[[#This Row],[CC]],CC!$A$1:$H$389,5,0),"")</f>
        <v>ADS</v>
      </c>
      <c r="R1330" t="str">
        <f>IFERROR(VLOOKUP(Tabela1[[#This Row],[CC]],CC!$A$1:$H$389,6,0),"")</f>
        <v>FS</v>
      </c>
      <c r="S1330" t="str">
        <f>IFERROR(VLOOKUP(Tabela1[[#This Row],[CC]],CC!$A$1:$H$403,8,0),"")</f>
        <v>OP1</v>
      </c>
    </row>
    <row r="1331" spans="1:19" x14ac:dyDescent="0.3">
      <c r="A1331" s="25">
        <v>1507</v>
      </c>
      <c r="B1331" s="25" t="str">
        <f>IFERROR(VLOOKUP(Tabela1[[#This Row],[CC]],#REF!,5,0),"")</f>
        <v/>
      </c>
      <c r="C1331" t="str">
        <f>IFERROR(VLOOKUP(Tabela1[[#This Row],[CC]],CC!$A$1:$H$389,7,0),"")</f>
        <v>RITA ANDRADE</v>
      </c>
      <c r="D1331" t="str">
        <f>IFERROR(VLOOKUP(Tabela1[[#This Row],[CC]],CC!$A$1:$I$3869,3,0),"")</f>
        <v>BRADESCO_SEGUROS</v>
      </c>
      <c r="E1331" t="str">
        <f>IFERROR(VLOOKUP(Tabela1[[#This Row],[CC]],CC!$A$1:$H$389,2,0),"")</f>
        <v>BRADESCO SEGUROS (ADS) – BS2 (1507)</v>
      </c>
      <c r="F1331" t="s">
        <v>586</v>
      </c>
      <c r="G1331" s="107" t="s">
        <v>617</v>
      </c>
      <c r="H1331" s="12">
        <v>46054</v>
      </c>
      <c r="I1331" s="24">
        <v>30933.4</v>
      </c>
      <c r="J1331" s="27">
        <v>29031</v>
      </c>
      <c r="K1331" s="3">
        <v>46093</v>
      </c>
      <c r="L1331" s="91">
        <v>46104</v>
      </c>
      <c r="M1331" s="11">
        <v>46108</v>
      </c>
      <c r="N1331" s="1" t="s">
        <v>588</v>
      </c>
      <c r="O1331" s="35">
        <v>0</v>
      </c>
      <c r="P1331"/>
      <c r="Q1331" t="str">
        <f>IFERROR(VLOOKUP(Tabela1[[#This Row],[CC]],CC!$A$1:$H$389,5,0),"")</f>
        <v>ADS</v>
      </c>
      <c r="R1331" t="str">
        <f>IFERROR(VLOOKUP(Tabela1[[#This Row],[CC]],CC!$A$1:$H$389,6,0),"")</f>
        <v>FS</v>
      </c>
      <c r="S1331" t="str">
        <f>IFERROR(VLOOKUP(Tabela1[[#This Row],[CC]],CC!$A$1:$H$403,8,0),"")</f>
        <v>OP1</v>
      </c>
    </row>
    <row r="1332" spans="1:19" x14ac:dyDescent="0.3">
      <c r="A1332" s="25">
        <v>1507</v>
      </c>
      <c r="B1332" s="25" t="str">
        <f>IFERROR(VLOOKUP(Tabela1[[#This Row],[CC]],#REF!,5,0),"")</f>
        <v/>
      </c>
      <c r="C1332" t="str">
        <f>IFERROR(VLOOKUP(Tabela1[[#This Row],[CC]],CC!$A$1:$H$389,7,0),"")</f>
        <v>RITA ANDRADE</v>
      </c>
      <c r="D1332" t="str">
        <f>IFERROR(VLOOKUP(Tabela1[[#This Row],[CC]],CC!$A$1:$I$3869,3,0),"")</f>
        <v>BRADESCO_SEGUROS</v>
      </c>
      <c r="E1332" t="str">
        <f>IFERROR(VLOOKUP(Tabela1[[#This Row],[CC]],CC!$A$1:$H$389,2,0),"")</f>
        <v>BRADESCO SEGUROS (ADS) – BS2 (1507)</v>
      </c>
      <c r="F1332" t="s">
        <v>586</v>
      </c>
      <c r="G1332" s="107" t="s">
        <v>618</v>
      </c>
      <c r="H1332" s="12">
        <v>46054</v>
      </c>
      <c r="I1332" s="24">
        <v>30933.4</v>
      </c>
      <c r="J1332" s="27">
        <v>29031</v>
      </c>
      <c r="K1332" s="3">
        <v>46093</v>
      </c>
      <c r="L1332" s="91">
        <v>46104</v>
      </c>
      <c r="M1332" s="11">
        <v>46108</v>
      </c>
      <c r="N1332" s="1" t="s">
        <v>588</v>
      </c>
      <c r="O1332" s="35">
        <v>0</v>
      </c>
      <c r="P1332"/>
      <c r="Q1332" t="str">
        <f>IFERROR(VLOOKUP(Tabela1[[#This Row],[CC]],CC!$A$1:$H$389,5,0),"")</f>
        <v>ADS</v>
      </c>
      <c r="R1332" t="str">
        <f>IFERROR(VLOOKUP(Tabela1[[#This Row],[CC]],CC!$A$1:$H$389,6,0),"")</f>
        <v>FS</v>
      </c>
      <c r="S1332" t="str">
        <f>IFERROR(VLOOKUP(Tabela1[[#This Row],[CC]],CC!$A$1:$H$403,8,0),"")</f>
        <v>OP1</v>
      </c>
    </row>
    <row r="1333" spans="1:19" x14ac:dyDescent="0.3">
      <c r="A1333" s="25">
        <v>1507</v>
      </c>
      <c r="B1333" s="25" t="str">
        <f>IFERROR(VLOOKUP(Tabela1[[#This Row],[CC]],#REF!,5,0),"")</f>
        <v/>
      </c>
      <c r="C1333" t="str">
        <f>IFERROR(VLOOKUP(Tabela1[[#This Row],[CC]],CC!$A$1:$H$389,7,0),"")</f>
        <v>RITA ANDRADE</v>
      </c>
      <c r="D1333" t="str">
        <f>IFERROR(VLOOKUP(Tabela1[[#This Row],[CC]],CC!$A$1:$I$3869,3,0),"")</f>
        <v>BRADESCO_SEGUROS</v>
      </c>
      <c r="E1333" t="str">
        <f>IFERROR(VLOOKUP(Tabela1[[#This Row],[CC]],CC!$A$1:$H$389,2,0),"")</f>
        <v>BRADESCO SEGUROS (ADS) – BS2 (1507)</v>
      </c>
      <c r="F1333" t="s">
        <v>586</v>
      </c>
      <c r="G1333" s="107" t="s">
        <v>619</v>
      </c>
      <c r="H1333" s="12">
        <v>46054</v>
      </c>
      <c r="I1333" s="24">
        <v>30933.4</v>
      </c>
      <c r="J1333" s="27">
        <v>29031.01</v>
      </c>
      <c r="K1333" s="3">
        <v>46093</v>
      </c>
      <c r="L1333" s="91">
        <v>46104</v>
      </c>
      <c r="M1333" s="11">
        <v>46108</v>
      </c>
      <c r="N1333" s="1" t="s">
        <v>588</v>
      </c>
      <c r="O1333" s="35">
        <v>0</v>
      </c>
      <c r="P1333"/>
      <c r="Q1333" t="str">
        <f>IFERROR(VLOOKUP(Tabela1[[#This Row],[CC]],CC!$A$1:$H$389,5,0),"")</f>
        <v>ADS</v>
      </c>
      <c r="R1333" t="str">
        <f>IFERROR(VLOOKUP(Tabela1[[#This Row],[CC]],CC!$A$1:$H$389,6,0),"")</f>
        <v>FS</v>
      </c>
      <c r="S1333" t="str">
        <f>IFERROR(VLOOKUP(Tabela1[[#This Row],[CC]],CC!$A$1:$H$403,8,0),"")</f>
        <v>OP1</v>
      </c>
    </row>
    <row r="1334" spans="1:19" x14ac:dyDescent="0.3">
      <c r="A1334" s="25">
        <v>1507</v>
      </c>
      <c r="B1334" s="25" t="str">
        <f>IFERROR(VLOOKUP(Tabela1[[#This Row],[CC]],#REF!,5,0),"")</f>
        <v/>
      </c>
      <c r="C1334" t="str">
        <f>IFERROR(VLOOKUP(Tabela1[[#This Row],[CC]],CC!$A$1:$H$389,7,0),"")</f>
        <v>RITA ANDRADE</v>
      </c>
      <c r="D1334" t="str">
        <f>IFERROR(VLOOKUP(Tabela1[[#This Row],[CC]],CC!$A$1:$I$3869,3,0),"")</f>
        <v>BRADESCO_SEGUROS</v>
      </c>
      <c r="E1334" t="str">
        <f>IFERROR(VLOOKUP(Tabela1[[#This Row],[CC]],CC!$A$1:$H$389,2,0),"")</f>
        <v>BRADESCO SEGUROS (ADS) – BS2 (1507)</v>
      </c>
      <c r="F1334" t="s">
        <v>586</v>
      </c>
      <c r="G1334" s="107" t="s">
        <v>620</v>
      </c>
      <c r="H1334" s="12">
        <v>46054</v>
      </c>
      <c r="I1334" s="24">
        <v>30933.41</v>
      </c>
      <c r="J1334" s="27">
        <v>29031</v>
      </c>
      <c r="K1334" s="3">
        <v>46093</v>
      </c>
      <c r="L1334" s="91">
        <v>46104</v>
      </c>
      <c r="M1334" s="11">
        <v>46108</v>
      </c>
      <c r="N1334" s="1" t="s">
        <v>588</v>
      </c>
      <c r="O1334" s="35">
        <v>0</v>
      </c>
      <c r="P1334"/>
      <c r="Q1334" t="str">
        <f>IFERROR(VLOOKUP(Tabela1[[#This Row],[CC]],CC!$A$1:$H$389,5,0),"")</f>
        <v>ADS</v>
      </c>
      <c r="R1334" t="str">
        <f>IFERROR(VLOOKUP(Tabela1[[#This Row],[CC]],CC!$A$1:$H$389,6,0),"")</f>
        <v>FS</v>
      </c>
      <c r="S1334" t="str">
        <f>IFERROR(VLOOKUP(Tabela1[[#This Row],[CC]],CC!$A$1:$H$403,8,0),"")</f>
        <v>OP1</v>
      </c>
    </row>
    <row r="1335" spans="1:19" x14ac:dyDescent="0.3">
      <c r="A1335" s="25">
        <v>1507</v>
      </c>
      <c r="B1335" s="25" t="str">
        <f>IFERROR(VLOOKUP(Tabela1[[#This Row],[CC]],#REF!,5,0),"")</f>
        <v/>
      </c>
      <c r="C1335" t="str">
        <f>IFERROR(VLOOKUP(Tabela1[[#This Row],[CC]],CC!$A$1:$H$389,7,0),"")</f>
        <v>RITA ANDRADE</v>
      </c>
      <c r="D1335" t="str">
        <f>IFERROR(VLOOKUP(Tabela1[[#This Row],[CC]],CC!$A$1:$I$3869,3,0),"")</f>
        <v>BRADESCO_SEGUROS</v>
      </c>
      <c r="E1335" t="str">
        <f>IFERROR(VLOOKUP(Tabela1[[#This Row],[CC]],CC!$A$1:$H$389,2,0),"")</f>
        <v>BRADESCO SEGUROS (ADS) – BS2 (1507)</v>
      </c>
      <c r="F1335" t="s">
        <v>586</v>
      </c>
      <c r="G1335" s="107">
        <v>5028</v>
      </c>
      <c r="H1335" s="12">
        <v>46082</v>
      </c>
      <c r="I1335" s="27">
        <v>13216.92</v>
      </c>
      <c r="J1335" s="24">
        <v>12404.08</v>
      </c>
      <c r="K1335" s="3">
        <v>46119</v>
      </c>
      <c r="L1335" s="91">
        <v>46132</v>
      </c>
      <c r="M1335" s="11">
        <v>46134</v>
      </c>
      <c r="N1335" s="1" t="s">
        <v>588</v>
      </c>
      <c r="O1335" s="35">
        <v>0</v>
      </c>
      <c r="P1335"/>
      <c r="Q1335" t="str">
        <f>IFERROR(VLOOKUP(Tabela1[[#This Row],[CC]],CC!$A$1:$H$389,5,0),"")</f>
        <v>ADS</v>
      </c>
      <c r="R1335" t="str">
        <f>IFERROR(VLOOKUP(Tabela1[[#This Row],[CC]],CC!$A$1:$H$389,6,0),"")</f>
        <v>FS</v>
      </c>
      <c r="S1335" t="str">
        <f>IFERROR(VLOOKUP(Tabela1[[#This Row],[CC]],CC!$A$1:$H$403,8,0),"")</f>
        <v>OP1</v>
      </c>
    </row>
    <row r="1336" spans="1:19" x14ac:dyDescent="0.3">
      <c r="A1336" s="25">
        <v>1507</v>
      </c>
      <c r="B1336" s="25" t="str">
        <f>IFERROR(VLOOKUP(Tabela1[[#This Row],[CC]],#REF!,5,0),"")</f>
        <v/>
      </c>
      <c r="C1336" t="str">
        <f>IFERROR(VLOOKUP(Tabela1[[#This Row],[CC]],CC!$A$1:$H$389,7,0),"")</f>
        <v>RITA ANDRADE</v>
      </c>
      <c r="D1336" t="str">
        <f>IFERROR(VLOOKUP(Tabela1[[#This Row],[CC]],CC!$A$1:$I$3869,3,0),"")</f>
        <v>BRADESCO_SEGUROS</v>
      </c>
      <c r="E1336" t="str">
        <f>IFERROR(VLOOKUP(Tabela1[[#This Row],[CC]],CC!$A$1:$H$389,2,0),"")</f>
        <v>BRADESCO SEGUROS (ADS) – BS2 (1507)</v>
      </c>
      <c r="F1336" t="s">
        <v>586</v>
      </c>
      <c r="G1336" s="107">
        <v>5029</v>
      </c>
      <c r="H1336" s="12">
        <v>46082</v>
      </c>
      <c r="I1336" s="27">
        <v>13216.9</v>
      </c>
      <c r="J1336" s="24">
        <v>12404.06</v>
      </c>
      <c r="K1336" s="3">
        <v>46119</v>
      </c>
      <c r="L1336" s="91">
        <v>46132</v>
      </c>
      <c r="M1336" s="11">
        <v>46134</v>
      </c>
      <c r="N1336" s="1" t="s">
        <v>588</v>
      </c>
      <c r="O1336" s="35">
        <v>0</v>
      </c>
      <c r="P1336"/>
      <c r="Q1336" t="str">
        <f>IFERROR(VLOOKUP(Tabela1[[#This Row],[CC]],CC!$A$1:$H$389,5,0),"")</f>
        <v>ADS</v>
      </c>
      <c r="R1336" t="str">
        <f>IFERROR(VLOOKUP(Tabela1[[#This Row],[CC]],CC!$A$1:$H$389,6,0),"")</f>
        <v>FS</v>
      </c>
      <c r="S1336" t="str">
        <f>IFERROR(VLOOKUP(Tabela1[[#This Row],[CC]],CC!$A$1:$H$403,8,0),"")</f>
        <v>OP1</v>
      </c>
    </row>
    <row r="1337" spans="1:19" x14ac:dyDescent="0.3">
      <c r="A1337" s="25">
        <v>1507</v>
      </c>
      <c r="B1337" s="25" t="str">
        <f>IFERROR(VLOOKUP(Tabela1[[#This Row],[CC]],#REF!,5,0),"")</f>
        <v/>
      </c>
      <c r="C1337" t="str">
        <f>IFERROR(VLOOKUP(Tabela1[[#This Row],[CC]],CC!$A$1:$H$389,7,0),"")</f>
        <v>RITA ANDRADE</v>
      </c>
      <c r="D1337" t="str">
        <f>IFERROR(VLOOKUP(Tabela1[[#This Row],[CC]],CC!$A$1:$I$3869,3,0),"")</f>
        <v>BRADESCO_SEGUROS</v>
      </c>
      <c r="E1337" t="str">
        <f>IFERROR(VLOOKUP(Tabela1[[#This Row],[CC]],CC!$A$1:$H$389,2,0),"")</f>
        <v>BRADESCO SEGUROS (ADS) – BS2 (1507)</v>
      </c>
      <c r="F1337" t="s">
        <v>586</v>
      </c>
      <c r="G1337" s="107">
        <v>5030</v>
      </c>
      <c r="H1337" s="12">
        <v>46082</v>
      </c>
      <c r="I1337" s="27">
        <v>13216.92</v>
      </c>
      <c r="J1337" s="24">
        <v>12404.08</v>
      </c>
      <c r="K1337" s="3">
        <v>46119</v>
      </c>
      <c r="L1337" s="91">
        <v>46132</v>
      </c>
      <c r="M1337" s="11">
        <v>46134</v>
      </c>
      <c r="N1337" s="1" t="s">
        <v>588</v>
      </c>
      <c r="O1337" s="35">
        <v>0</v>
      </c>
      <c r="P1337"/>
      <c r="Q1337" t="str">
        <f>IFERROR(VLOOKUP(Tabela1[[#This Row],[CC]],CC!$A$1:$H$389,5,0),"")</f>
        <v>ADS</v>
      </c>
      <c r="R1337" t="str">
        <f>IFERROR(VLOOKUP(Tabela1[[#This Row],[CC]],CC!$A$1:$H$389,6,0),"")</f>
        <v>FS</v>
      </c>
      <c r="S1337" t="str">
        <f>IFERROR(VLOOKUP(Tabela1[[#This Row],[CC]],CC!$A$1:$H$403,8,0),"")</f>
        <v>OP1</v>
      </c>
    </row>
    <row r="1338" spans="1:19" x14ac:dyDescent="0.3">
      <c r="A1338" s="25">
        <v>1507</v>
      </c>
      <c r="B1338" s="25" t="str">
        <f>IFERROR(VLOOKUP(Tabela1[[#This Row],[CC]],#REF!,5,0),"")</f>
        <v/>
      </c>
      <c r="C1338" t="str">
        <f>IFERROR(VLOOKUP(Tabela1[[#This Row],[CC]],CC!$A$1:$H$389,7,0),"")</f>
        <v>RITA ANDRADE</v>
      </c>
      <c r="D1338" t="str">
        <f>IFERROR(VLOOKUP(Tabela1[[#This Row],[CC]],CC!$A$1:$I$3869,3,0),"")</f>
        <v>BRADESCO_SEGUROS</v>
      </c>
      <c r="E1338" t="str">
        <f>IFERROR(VLOOKUP(Tabela1[[#This Row],[CC]],CC!$A$1:$H$389,2,0),"")</f>
        <v>BRADESCO SEGUROS (ADS) – BS2 (1507)</v>
      </c>
      <c r="F1338" t="s">
        <v>586</v>
      </c>
      <c r="G1338" s="107">
        <v>5031</v>
      </c>
      <c r="H1338" s="12">
        <v>46082</v>
      </c>
      <c r="I1338" s="27">
        <v>13216.92</v>
      </c>
      <c r="J1338" s="24">
        <v>12404.08</v>
      </c>
      <c r="K1338" s="3">
        <v>46119</v>
      </c>
      <c r="L1338" s="91">
        <v>46132</v>
      </c>
      <c r="M1338" s="11">
        <v>46134</v>
      </c>
      <c r="N1338" s="1" t="s">
        <v>588</v>
      </c>
      <c r="O1338" s="35">
        <v>0</v>
      </c>
      <c r="P1338"/>
      <c r="Q1338" t="str">
        <f>IFERROR(VLOOKUP(Tabela1[[#This Row],[CC]],CC!$A$1:$H$389,5,0),"")</f>
        <v>ADS</v>
      </c>
      <c r="R1338" t="str">
        <f>IFERROR(VLOOKUP(Tabela1[[#This Row],[CC]],CC!$A$1:$H$389,6,0),"")</f>
        <v>FS</v>
      </c>
      <c r="S1338" t="str">
        <f>IFERROR(VLOOKUP(Tabela1[[#This Row],[CC]],CC!$A$1:$H$403,8,0),"")</f>
        <v>OP1</v>
      </c>
    </row>
    <row r="1339" spans="1:19" x14ac:dyDescent="0.3">
      <c r="A1339" s="25">
        <v>1507</v>
      </c>
      <c r="B1339" s="25" t="str">
        <f>IFERROR(VLOOKUP(Tabela1[[#This Row],[CC]],#REF!,5,0),"")</f>
        <v/>
      </c>
      <c r="C1339" t="str">
        <f>IFERROR(VLOOKUP(Tabela1[[#This Row],[CC]],CC!$A$1:$H$389,7,0),"")</f>
        <v>RITA ANDRADE</v>
      </c>
      <c r="D1339" t="str">
        <f>IFERROR(VLOOKUP(Tabela1[[#This Row],[CC]],CC!$A$1:$I$3869,3,0),"")</f>
        <v>BRADESCO_SEGUROS</v>
      </c>
      <c r="E1339" t="str">
        <f>IFERROR(VLOOKUP(Tabela1[[#This Row],[CC]],CC!$A$1:$H$389,2,0),"")</f>
        <v>BRADESCO SEGUROS (ADS) – BS2 (1507)</v>
      </c>
      <c r="F1339" t="s">
        <v>586</v>
      </c>
      <c r="G1339" s="107">
        <v>5032</v>
      </c>
      <c r="H1339" s="12">
        <v>46082</v>
      </c>
      <c r="I1339" s="27">
        <v>13216.92</v>
      </c>
      <c r="J1339" s="24">
        <v>12404.08</v>
      </c>
      <c r="K1339" s="3">
        <v>46119</v>
      </c>
      <c r="L1339" s="91">
        <v>46132</v>
      </c>
      <c r="M1339" s="11">
        <v>46134</v>
      </c>
      <c r="N1339" s="1" t="s">
        <v>588</v>
      </c>
      <c r="O1339" s="35">
        <v>0</v>
      </c>
      <c r="P1339"/>
      <c r="Q1339" t="str">
        <f>IFERROR(VLOOKUP(Tabela1[[#This Row],[CC]],CC!$A$1:$H$389,5,0),"")</f>
        <v>ADS</v>
      </c>
      <c r="R1339" t="str">
        <f>IFERROR(VLOOKUP(Tabela1[[#This Row],[CC]],CC!$A$1:$H$389,6,0),"")</f>
        <v>FS</v>
      </c>
      <c r="S1339" t="str">
        <f>IFERROR(VLOOKUP(Tabela1[[#This Row],[CC]],CC!$A$1:$H$403,8,0),"")</f>
        <v>OP1</v>
      </c>
    </row>
    <row r="1340" spans="1:19" x14ac:dyDescent="0.3">
      <c r="A1340" s="25">
        <v>1507</v>
      </c>
      <c r="B1340" s="25" t="str">
        <f>IFERROR(VLOOKUP(Tabela1[[#This Row],[CC]],#REF!,5,0),"")</f>
        <v/>
      </c>
      <c r="C1340" t="str">
        <f>IFERROR(VLOOKUP(Tabela1[[#This Row],[CC]],CC!$A$1:$H$389,7,0),"")</f>
        <v>RITA ANDRADE</v>
      </c>
      <c r="D1340" t="str">
        <f>IFERROR(VLOOKUP(Tabela1[[#This Row],[CC]],CC!$A$1:$I$3869,3,0),"")</f>
        <v>BRADESCO_SEGUROS</v>
      </c>
      <c r="E1340" t="str">
        <f>IFERROR(VLOOKUP(Tabela1[[#This Row],[CC]],CC!$A$1:$H$389,2,0),"")</f>
        <v>BRADESCO SEGUROS (ADS) – BS2 (1507)</v>
      </c>
      <c r="F1340" t="s">
        <v>586</v>
      </c>
      <c r="G1340" s="107">
        <v>5033</v>
      </c>
      <c r="H1340" s="12">
        <v>46082</v>
      </c>
      <c r="I1340" s="27">
        <v>13216.9</v>
      </c>
      <c r="J1340" s="24">
        <v>12404.06</v>
      </c>
      <c r="K1340" s="3">
        <v>46119</v>
      </c>
      <c r="L1340" s="91">
        <v>46132</v>
      </c>
      <c r="M1340" s="11">
        <v>46134</v>
      </c>
      <c r="N1340" s="1" t="s">
        <v>588</v>
      </c>
      <c r="O1340" s="35">
        <v>0</v>
      </c>
      <c r="P1340"/>
      <c r="Q1340" t="str">
        <f>IFERROR(VLOOKUP(Tabela1[[#This Row],[CC]],CC!$A$1:$H$389,5,0),"")</f>
        <v>ADS</v>
      </c>
      <c r="R1340" t="str">
        <f>IFERROR(VLOOKUP(Tabela1[[#This Row],[CC]],CC!$A$1:$H$389,6,0),"")</f>
        <v>FS</v>
      </c>
      <c r="S1340" t="str">
        <f>IFERROR(VLOOKUP(Tabela1[[#This Row],[CC]],CC!$A$1:$H$403,8,0),"")</f>
        <v>OP1</v>
      </c>
    </row>
    <row r="1341" spans="1:19" x14ac:dyDescent="0.3">
      <c r="A1341" s="25">
        <v>1507</v>
      </c>
      <c r="B1341" s="25" t="str">
        <f>IFERROR(VLOOKUP(Tabela1[[#This Row],[CC]],#REF!,5,0),"")</f>
        <v/>
      </c>
      <c r="C1341" t="str">
        <f>IFERROR(VLOOKUP(Tabela1[[#This Row],[CC]],CC!$A$1:$H$389,7,0),"")</f>
        <v>RITA ANDRADE</v>
      </c>
      <c r="D1341" t="str">
        <f>IFERROR(VLOOKUP(Tabela1[[#This Row],[CC]],CC!$A$1:$I$3869,3,0),"")</f>
        <v>BRADESCO_SEGUROS</v>
      </c>
      <c r="E1341" t="str">
        <f>IFERROR(VLOOKUP(Tabela1[[#This Row],[CC]],CC!$A$1:$H$389,2,0),"")</f>
        <v>BRADESCO SEGUROS (ADS) – BS2 (1507)</v>
      </c>
      <c r="F1341" t="s">
        <v>586</v>
      </c>
      <c r="G1341" s="107">
        <v>5034</v>
      </c>
      <c r="H1341" s="12">
        <v>46082</v>
      </c>
      <c r="I1341" s="27">
        <v>13216.92</v>
      </c>
      <c r="J1341" s="24">
        <v>12404.08</v>
      </c>
      <c r="K1341" s="3">
        <v>46119</v>
      </c>
      <c r="L1341" s="91">
        <v>46132</v>
      </c>
      <c r="M1341" s="11">
        <v>46134</v>
      </c>
      <c r="N1341" s="1" t="s">
        <v>588</v>
      </c>
      <c r="O1341" s="35">
        <v>0</v>
      </c>
      <c r="P1341"/>
      <c r="Q1341" t="str">
        <f>IFERROR(VLOOKUP(Tabela1[[#This Row],[CC]],CC!$A$1:$H$389,5,0),"")</f>
        <v>ADS</v>
      </c>
      <c r="R1341" t="str">
        <f>IFERROR(VLOOKUP(Tabela1[[#This Row],[CC]],CC!$A$1:$H$389,6,0),"")</f>
        <v>FS</v>
      </c>
      <c r="S1341" t="str">
        <f>IFERROR(VLOOKUP(Tabela1[[#This Row],[CC]],CC!$A$1:$H$403,8,0),"")</f>
        <v>OP1</v>
      </c>
    </row>
    <row r="1342" spans="1:19" x14ac:dyDescent="0.3">
      <c r="A1342" s="25">
        <v>1507</v>
      </c>
      <c r="B1342" s="25" t="str">
        <f>IFERROR(VLOOKUP(Tabela1[[#This Row],[CC]],#REF!,5,0),"")</f>
        <v/>
      </c>
      <c r="C1342" t="str">
        <f>IFERROR(VLOOKUP(Tabela1[[#This Row],[CC]],CC!$A$1:$H$389,7,0),"")</f>
        <v>RITA ANDRADE</v>
      </c>
      <c r="D1342" t="str">
        <f>IFERROR(VLOOKUP(Tabela1[[#This Row],[CC]],CC!$A$1:$I$3869,3,0),"")</f>
        <v>BRADESCO_SEGUROS</v>
      </c>
      <c r="E1342" t="str">
        <f>IFERROR(VLOOKUP(Tabela1[[#This Row],[CC]],CC!$A$1:$H$389,2,0),"")</f>
        <v>BRADESCO SEGUROS (ADS) – BS2 (1507)</v>
      </c>
      <c r="F1342" t="s">
        <v>586</v>
      </c>
      <c r="G1342" s="107">
        <v>5035</v>
      </c>
      <c r="H1342" s="12">
        <v>46082</v>
      </c>
      <c r="I1342" s="27">
        <v>13216.92</v>
      </c>
      <c r="J1342" s="24">
        <v>12404.08</v>
      </c>
      <c r="K1342" s="3">
        <v>46119</v>
      </c>
      <c r="L1342" s="91">
        <v>46132</v>
      </c>
      <c r="M1342" s="11">
        <v>46134</v>
      </c>
      <c r="N1342" s="1" t="s">
        <v>588</v>
      </c>
      <c r="O1342" s="35">
        <v>0</v>
      </c>
      <c r="P1342"/>
      <c r="Q1342" t="str">
        <f>IFERROR(VLOOKUP(Tabela1[[#This Row],[CC]],CC!$A$1:$H$389,5,0),"")</f>
        <v>ADS</v>
      </c>
      <c r="R1342" t="str">
        <f>IFERROR(VLOOKUP(Tabela1[[#This Row],[CC]],CC!$A$1:$H$389,6,0),"")</f>
        <v>FS</v>
      </c>
      <c r="S1342" t="str">
        <f>IFERROR(VLOOKUP(Tabela1[[#This Row],[CC]],CC!$A$1:$H$403,8,0),"")</f>
        <v>OP1</v>
      </c>
    </row>
    <row r="1343" spans="1:19" x14ac:dyDescent="0.3">
      <c r="A1343" s="25">
        <v>1507</v>
      </c>
      <c r="B1343" s="25" t="str">
        <f>IFERROR(VLOOKUP(Tabela1[[#This Row],[CC]],#REF!,5,0),"")</f>
        <v/>
      </c>
      <c r="C1343" t="str">
        <f>IFERROR(VLOOKUP(Tabela1[[#This Row],[CC]],CC!$A$1:$H$389,7,0),"")</f>
        <v>RITA ANDRADE</v>
      </c>
      <c r="D1343" t="str">
        <f>IFERROR(VLOOKUP(Tabela1[[#This Row],[CC]],CC!$A$1:$I$3869,3,0),"")</f>
        <v>BRADESCO_SEGUROS</v>
      </c>
      <c r="E1343" t="str">
        <f>IFERROR(VLOOKUP(Tabela1[[#This Row],[CC]],CC!$A$1:$H$389,2,0),"")</f>
        <v>BRADESCO SEGUROS (ADS) – BS2 (1507)</v>
      </c>
      <c r="F1343" t="s">
        <v>586</v>
      </c>
      <c r="G1343" s="107">
        <v>5069</v>
      </c>
      <c r="H1343" s="12">
        <v>46082</v>
      </c>
      <c r="I1343" s="27">
        <v>30933.41</v>
      </c>
      <c r="J1343" s="27">
        <v>29031.01</v>
      </c>
      <c r="K1343" s="3">
        <v>46125</v>
      </c>
      <c r="L1343" s="91">
        <v>46139</v>
      </c>
      <c r="M1343" s="11">
        <v>46141</v>
      </c>
      <c r="N1343" s="1" t="s">
        <v>588</v>
      </c>
      <c r="O1343" s="35">
        <v>0</v>
      </c>
      <c r="P1343"/>
      <c r="Q1343" t="str">
        <f>IFERROR(VLOOKUP(Tabela1[[#This Row],[CC]],CC!$A$1:$H$389,5,0),"")</f>
        <v>ADS</v>
      </c>
      <c r="R1343" t="str">
        <f>IFERROR(VLOOKUP(Tabela1[[#This Row],[CC]],CC!$A$1:$H$389,6,0),"")</f>
        <v>FS</v>
      </c>
      <c r="S1343" t="str">
        <f>IFERROR(VLOOKUP(Tabela1[[#This Row],[CC]],CC!$A$1:$H$403,8,0),"")</f>
        <v>OP1</v>
      </c>
    </row>
    <row r="1344" spans="1:19" x14ac:dyDescent="0.3">
      <c r="A1344" s="25">
        <v>1507</v>
      </c>
      <c r="B1344" s="25" t="str">
        <f>IFERROR(VLOOKUP(Tabela1[[#This Row],[CC]],#REF!,5,0),"")</f>
        <v/>
      </c>
      <c r="C1344" t="str">
        <f>IFERROR(VLOOKUP(Tabela1[[#This Row],[CC]],CC!$A$1:$H$389,7,0),"")</f>
        <v>RITA ANDRADE</v>
      </c>
      <c r="D1344" t="str">
        <f>IFERROR(VLOOKUP(Tabela1[[#This Row],[CC]],CC!$A$1:$I$3869,3,0),"")</f>
        <v>BRADESCO_SEGUROS</v>
      </c>
      <c r="E1344" t="str">
        <f>IFERROR(VLOOKUP(Tabela1[[#This Row],[CC]],CC!$A$1:$H$389,2,0),"")</f>
        <v>BRADESCO SEGUROS (ADS) – BS2 (1507)</v>
      </c>
      <c r="F1344" t="s">
        <v>586</v>
      </c>
      <c r="G1344" s="107">
        <v>5073</v>
      </c>
      <c r="H1344" s="12">
        <v>46082</v>
      </c>
      <c r="I1344" s="27">
        <v>30933.4</v>
      </c>
      <c r="J1344" s="27">
        <v>29031</v>
      </c>
      <c r="K1344" s="3">
        <v>46125</v>
      </c>
      <c r="L1344" s="91">
        <v>46139</v>
      </c>
      <c r="M1344" s="11">
        <v>46141</v>
      </c>
      <c r="N1344" s="1" t="s">
        <v>588</v>
      </c>
      <c r="O1344" s="35">
        <v>0</v>
      </c>
      <c r="P1344"/>
      <c r="Q1344" t="str">
        <f>IFERROR(VLOOKUP(Tabela1[[#This Row],[CC]],CC!$A$1:$H$389,5,0),"")</f>
        <v>ADS</v>
      </c>
      <c r="R1344" t="str">
        <f>IFERROR(VLOOKUP(Tabela1[[#This Row],[CC]],CC!$A$1:$H$389,6,0),"")</f>
        <v>FS</v>
      </c>
      <c r="S1344" t="str">
        <f>IFERROR(VLOOKUP(Tabela1[[#This Row],[CC]],CC!$A$1:$H$403,8,0),"")</f>
        <v>OP1</v>
      </c>
    </row>
    <row r="1345" spans="1:19" x14ac:dyDescent="0.3">
      <c r="A1345" s="25">
        <v>1507</v>
      </c>
      <c r="B1345" s="25" t="str">
        <f>IFERROR(VLOOKUP(Tabela1[[#This Row],[CC]],#REF!,5,0),"")</f>
        <v/>
      </c>
      <c r="C1345" t="str">
        <f>IFERROR(VLOOKUP(Tabela1[[#This Row],[CC]],CC!$A$1:$H$389,7,0),"")</f>
        <v>RITA ANDRADE</v>
      </c>
      <c r="D1345" t="str">
        <f>IFERROR(VLOOKUP(Tabela1[[#This Row],[CC]],CC!$A$1:$I$3869,3,0),"")</f>
        <v>BRADESCO_SEGUROS</v>
      </c>
      <c r="E1345" t="str">
        <f>IFERROR(VLOOKUP(Tabela1[[#This Row],[CC]],CC!$A$1:$H$389,2,0),"")</f>
        <v>BRADESCO SEGUROS (ADS) – BS2 (1507)</v>
      </c>
      <c r="F1345" t="s">
        <v>586</v>
      </c>
      <c r="G1345" s="107">
        <v>5075</v>
      </c>
      <c r="H1345" s="12">
        <v>46082</v>
      </c>
      <c r="I1345" s="27">
        <v>30933.4</v>
      </c>
      <c r="J1345" s="27">
        <v>29031</v>
      </c>
      <c r="K1345" s="3">
        <v>46125</v>
      </c>
      <c r="L1345" s="91">
        <v>46139</v>
      </c>
      <c r="M1345" s="11">
        <v>46141</v>
      </c>
      <c r="N1345" s="1" t="s">
        <v>588</v>
      </c>
      <c r="O1345" s="35">
        <v>0</v>
      </c>
      <c r="P1345"/>
      <c r="Q1345" t="str">
        <f>IFERROR(VLOOKUP(Tabela1[[#This Row],[CC]],CC!$A$1:$H$389,5,0),"")</f>
        <v>ADS</v>
      </c>
      <c r="R1345" t="str">
        <f>IFERROR(VLOOKUP(Tabela1[[#This Row],[CC]],CC!$A$1:$H$389,6,0),"")</f>
        <v>FS</v>
      </c>
      <c r="S1345" t="str">
        <f>IFERROR(VLOOKUP(Tabela1[[#This Row],[CC]],CC!$A$1:$H$403,8,0),"")</f>
        <v>OP1</v>
      </c>
    </row>
    <row r="1346" spans="1:19" x14ac:dyDescent="0.3">
      <c r="A1346" s="25">
        <v>1507</v>
      </c>
      <c r="B1346" s="25" t="str">
        <f>IFERROR(VLOOKUP(Tabela1[[#This Row],[CC]],#REF!,5,0),"")</f>
        <v/>
      </c>
      <c r="C1346" t="str">
        <f>IFERROR(VLOOKUP(Tabela1[[#This Row],[CC]],CC!$A$1:$H$389,7,0),"")</f>
        <v>RITA ANDRADE</v>
      </c>
      <c r="D1346" t="str">
        <f>IFERROR(VLOOKUP(Tabela1[[#This Row],[CC]],CC!$A$1:$I$3869,3,0),"")</f>
        <v>BRADESCO_SEGUROS</v>
      </c>
      <c r="E1346" t="str">
        <f>IFERROR(VLOOKUP(Tabela1[[#This Row],[CC]],CC!$A$1:$H$389,2,0),"")</f>
        <v>BRADESCO SEGUROS (ADS) – BS2 (1507)</v>
      </c>
      <c r="F1346" t="s">
        <v>586</v>
      </c>
      <c r="G1346" s="107">
        <v>5072</v>
      </c>
      <c r="H1346" s="12">
        <v>46082</v>
      </c>
      <c r="I1346" s="27">
        <v>30933.4</v>
      </c>
      <c r="J1346" s="27">
        <v>29031</v>
      </c>
      <c r="K1346" s="3">
        <v>46125</v>
      </c>
      <c r="L1346" s="91">
        <v>46139</v>
      </c>
      <c r="M1346" s="11">
        <v>46141</v>
      </c>
      <c r="N1346" s="1" t="s">
        <v>588</v>
      </c>
      <c r="O1346" s="35">
        <v>0</v>
      </c>
      <c r="P1346"/>
      <c r="Q1346" t="str">
        <f>IFERROR(VLOOKUP(Tabela1[[#This Row],[CC]],CC!$A$1:$H$389,5,0),"")</f>
        <v>ADS</v>
      </c>
      <c r="R1346" t="str">
        <f>IFERROR(VLOOKUP(Tabela1[[#This Row],[CC]],CC!$A$1:$H$389,6,0),"")</f>
        <v>FS</v>
      </c>
      <c r="S1346" t="str">
        <f>IFERROR(VLOOKUP(Tabela1[[#This Row],[CC]],CC!$A$1:$H$403,8,0),"")</f>
        <v>OP1</v>
      </c>
    </row>
    <row r="1347" spans="1:19" x14ac:dyDescent="0.3">
      <c r="A1347" s="25">
        <v>1507</v>
      </c>
      <c r="B1347" s="25" t="str">
        <f>IFERROR(VLOOKUP(Tabela1[[#This Row],[CC]],#REF!,5,0),"")</f>
        <v/>
      </c>
      <c r="C1347" t="str">
        <f>IFERROR(VLOOKUP(Tabela1[[#This Row],[CC]],CC!$A$1:$H$389,7,0),"")</f>
        <v>RITA ANDRADE</v>
      </c>
      <c r="D1347" t="str">
        <f>IFERROR(VLOOKUP(Tabela1[[#This Row],[CC]],CC!$A$1:$I$3869,3,0),"")</f>
        <v>BRADESCO_SEGUROS</v>
      </c>
      <c r="E1347" t="str">
        <f>IFERROR(VLOOKUP(Tabela1[[#This Row],[CC]],CC!$A$1:$H$389,2,0),"")</f>
        <v>BRADESCO SEGUROS (ADS) – BS2 (1507)</v>
      </c>
      <c r="F1347" t="s">
        <v>586</v>
      </c>
      <c r="G1347" s="107" t="s">
        <v>724</v>
      </c>
      <c r="H1347" s="12">
        <v>46113</v>
      </c>
      <c r="I1347" s="24">
        <v>30933.4</v>
      </c>
      <c r="J1347" s="27">
        <v>29031</v>
      </c>
      <c r="K1347" s="3">
        <v>46155</v>
      </c>
      <c r="L1347" s="91">
        <v>46167</v>
      </c>
      <c r="M1347" s="11">
        <v>46170</v>
      </c>
      <c r="N1347" s="1" t="s">
        <v>588</v>
      </c>
      <c r="O1347" s="35">
        <v>0</v>
      </c>
      <c r="P1347"/>
      <c r="Q1347" t="str">
        <f>IFERROR(VLOOKUP(Tabela1[[#This Row],[CC]],CC!$A$1:$H$389,5,0),"")</f>
        <v>ADS</v>
      </c>
      <c r="R1347" t="str">
        <f>IFERROR(VLOOKUP(Tabela1[[#This Row],[CC]],CC!$A$1:$H$389,6,0),"")</f>
        <v>FS</v>
      </c>
      <c r="S1347" t="str">
        <f>IFERROR(VLOOKUP(Tabela1[[#This Row],[CC]],CC!$A$1:$H$403,8,0),"")</f>
        <v>OP1</v>
      </c>
    </row>
    <row r="1348" spans="1:19" x14ac:dyDescent="0.3">
      <c r="A1348" s="25">
        <v>1507</v>
      </c>
      <c r="B1348" s="25" t="str">
        <f>IFERROR(VLOOKUP(Tabela1[[#This Row],[CC]],#REF!,5,0),"")</f>
        <v/>
      </c>
      <c r="C1348" t="str">
        <f>IFERROR(VLOOKUP(Tabela1[[#This Row],[CC]],CC!$A$1:$H$389,7,0),"")</f>
        <v>RITA ANDRADE</v>
      </c>
      <c r="D1348" t="str">
        <f>IFERROR(VLOOKUP(Tabela1[[#This Row],[CC]],CC!$A$1:$I$3869,3,0),"")</f>
        <v>BRADESCO_SEGUROS</v>
      </c>
      <c r="E1348" t="str">
        <f>IFERROR(VLOOKUP(Tabela1[[#This Row],[CC]],CC!$A$1:$H$389,2,0),"")</f>
        <v>BRADESCO SEGUROS (ADS) – BS2 (1507)</v>
      </c>
      <c r="F1348" t="s">
        <v>586</v>
      </c>
      <c r="G1348" s="107" t="s">
        <v>725</v>
      </c>
      <c r="H1348" s="12">
        <v>46113</v>
      </c>
      <c r="I1348" s="24">
        <v>30933.4</v>
      </c>
      <c r="J1348" s="27">
        <v>29031</v>
      </c>
      <c r="K1348" s="3">
        <v>46155</v>
      </c>
      <c r="L1348" s="91">
        <v>46167</v>
      </c>
      <c r="M1348" s="11">
        <v>46170</v>
      </c>
      <c r="N1348" s="1" t="s">
        <v>588</v>
      </c>
      <c r="O1348" s="35">
        <v>0</v>
      </c>
      <c r="P1348"/>
      <c r="Q1348" t="str">
        <f>IFERROR(VLOOKUP(Tabela1[[#This Row],[CC]],CC!$A$1:$H$389,5,0),"")</f>
        <v>ADS</v>
      </c>
      <c r="R1348" t="str">
        <f>IFERROR(VLOOKUP(Tabela1[[#This Row],[CC]],CC!$A$1:$H$389,6,0),"")</f>
        <v>FS</v>
      </c>
      <c r="S1348" t="str">
        <f>IFERROR(VLOOKUP(Tabela1[[#This Row],[CC]],CC!$A$1:$H$403,8,0),"")</f>
        <v>OP1</v>
      </c>
    </row>
    <row r="1349" spans="1:19" x14ac:dyDescent="0.3">
      <c r="A1349" s="25">
        <v>1507</v>
      </c>
      <c r="B1349" s="25" t="str">
        <f>IFERROR(VLOOKUP(Tabela1[[#This Row],[CC]],#REF!,5,0),"")</f>
        <v/>
      </c>
      <c r="C1349" t="str">
        <f>IFERROR(VLOOKUP(Tabela1[[#This Row],[CC]],CC!$A$1:$H$389,7,0),"")</f>
        <v>RITA ANDRADE</v>
      </c>
      <c r="D1349" t="str">
        <f>IFERROR(VLOOKUP(Tabela1[[#This Row],[CC]],CC!$A$1:$I$3869,3,0),"")</f>
        <v>BRADESCO_SEGUROS</v>
      </c>
      <c r="E1349" t="str">
        <f>IFERROR(VLOOKUP(Tabela1[[#This Row],[CC]],CC!$A$1:$H$389,2,0),"")</f>
        <v>BRADESCO SEGUROS (ADS) – BS2 (1507)</v>
      </c>
      <c r="F1349" t="s">
        <v>586</v>
      </c>
      <c r="G1349" s="107" t="s">
        <v>726</v>
      </c>
      <c r="H1349" s="12">
        <v>46113</v>
      </c>
      <c r="I1349" s="24">
        <v>30933.4</v>
      </c>
      <c r="J1349" s="27">
        <v>29031</v>
      </c>
      <c r="K1349" s="3">
        <v>46155</v>
      </c>
      <c r="L1349" s="91">
        <v>46167</v>
      </c>
      <c r="M1349" s="11">
        <v>46170</v>
      </c>
      <c r="N1349" s="1" t="s">
        <v>588</v>
      </c>
      <c r="O1349" s="35">
        <v>0</v>
      </c>
      <c r="P1349"/>
      <c r="Q1349" t="str">
        <f>IFERROR(VLOOKUP(Tabela1[[#This Row],[CC]],CC!$A$1:$H$389,5,0),"")</f>
        <v>ADS</v>
      </c>
      <c r="R1349" t="str">
        <f>IFERROR(VLOOKUP(Tabela1[[#This Row],[CC]],CC!$A$1:$H$389,6,0),"")</f>
        <v>FS</v>
      </c>
      <c r="S1349" t="str">
        <f>IFERROR(VLOOKUP(Tabela1[[#This Row],[CC]],CC!$A$1:$H$403,8,0),"")</f>
        <v>OP1</v>
      </c>
    </row>
    <row r="1350" spans="1:19" x14ac:dyDescent="0.3">
      <c r="A1350" s="25">
        <v>1507</v>
      </c>
      <c r="B1350" s="25" t="str">
        <f>IFERROR(VLOOKUP(Tabela1[[#This Row],[CC]],#REF!,5,0),"")</f>
        <v/>
      </c>
      <c r="C1350" t="str">
        <f>IFERROR(VLOOKUP(Tabela1[[#This Row],[CC]],CC!$A$1:$H$389,7,0),"")</f>
        <v>RITA ANDRADE</v>
      </c>
      <c r="D1350" t="str">
        <f>IFERROR(VLOOKUP(Tabela1[[#This Row],[CC]],CC!$A$1:$I$3869,3,0),"")</f>
        <v>BRADESCO_SEGUROS</v>
      </c>
      <c r="E1350" t="str">
        <f>IFERROR(VLOOKUP(Tabela1[[#This Row],[CC]],CC!$A$1:$H$389,2,0),"")</f>
        <v>BRADESCO SEGUROS (ADS) – BS2 (1507)</v>
      </c>
      <c r="F1350" t="s">
        <v>586</v>
      </c>
      <c r="G1350" s="107" t="s">
        <v>727</v>
      </c>
      <c r="H1350" s="12">
        <v>46113</v>
      </c>
      <c r="I1350" s="24">
        <v>30933.41</v>
      </c>
      <c r="J1350" s="27">
        <v>29031.01</v>
      </c>
      <c r="K1350" s="3">
        <v>46155</v>
      </c>
      <c r="L1350" s="91">
        <v>46167</v>
      </c>
      <c r="M1350" s="11">
        <v>46170</v>
      </c>
      <c r="N1350" s="1" t="s">
        <v>588</v>
      </c>
      <c r="O1350" s="35">
        <v>0</v>
      </c>
      <c r="P1350"/>
      <c r="Q1350" t="str">
        <f>IFERROR(VLOOKUP(Tabela1[[#This Row],[CC]],CC!$A$1:$H$389,5,0),"")</f>
        <v>ADS</v>
      </c>
      <c r="R1350" t="str">
        <f>IFERROR(VLOOKUP(Tabela1[[#This Row],[CC]],CC!$A$1:$H$389,6,0),"")</f>
        <v>FS</v>
      </c>
      <c r="S1350" t="str">
        <f>IFERROR(VLOOKUP(Tabela1[[#This Row],[CC]],CC!$A$1:$H$403,8,0),"")</f>
        <v>OP1</v>
      </c>
    </row>
    <row r="1351" spans="1:19" x14ac:dyDescent="0.3">
      <c r="A1351" s="25">
        <v>1507</v>
      </c>
      <c r="B1351" s="25" t="str">
        <f>IFERROR(VLOOKUP(Tabela1[[#This Row],[CC]],#REF!,5,0),"")</f>
        <v/>
      </c>
      <c r="C1351" t="str">
        <f>IFERROR(VLOOKUP(Tabela1[[#This Row],[CC]],CC!$A$1:$H$389,7,0),"")</f>
        <v>RITA ANDRADE</v>
      </c>
      <c r="D1351" t="str">
        <f>IFERROR(VLOOKUP(Tabela1[[#This Row],[CC]],CC!$A$1:$I$3869,3,0),"")</f>
        <v>BRADESCO_SEGUROS</v>
      </c>
      <c r="E1351" t="str">
        <f>IFERROR(VLOOKUP(Tabela1[[#This Row],[CC]],CC!$A$1:$H$389,2,0),"")</f>
        <v>BRADESCO SEGUROS (ADS) – BS2 (1507)</v>
      </c>
      <c r="F1351" t="s">
        <v>586</v>
      </c>
      <c r="G1351" s="107" t="s">
        <v>728</v>
      </c>
      <c r="H1351" s="12">
        <v>46113</v>
      </c>
      <c r="I1351" s="43">
        <v>13216.92</v>
      </c>
      <c r="J1351" s="27">
        <v>12404.08</v>
      </c>
      <c r="K1351" s="3">
        <v>46155</v>
      </c>
      <c r="L1351" s="147">
        <v>46181</v>
      </c>
      <c r="M1351" s="11"/>
      <c r="N1351" s="1" t="s">
        <v>587</v>
      </c>
      <c r="O1351" s="35">
        <v>0</v>
      </c>
      <c r="P1351"/>
      <c r="Q1351" t="str">
        <f>IFERROR(VLOOKUP(Tabela1[[#This Row],[CC]],CC!$A$1:$H$389,5,0),"")</f>
        <v>ADS</v>
      </c>
      <c r="R1351" t="str">
        <f>IFERROR(VLOOKUP(Tabela1[[#This Row],[CC]],CC!$A$1:$H$389,6,0),"")</f>
        <v>FS</v>
      </c>
      <c r="S1351" t="str">
        <f>IFERROR(VLOOKUP(Tabela1[[#This Row],[CC]],CC!$A$1:$H$403,8,0),"")</f>
        <v>OP1</v>
      </c>
    </row>
    <row r="1352" spans="1:19" x14ac:dyDescent="0.3">
      <c r="A1352" s="25">
        <v>1507</v>
      </c>
      <c r="B1352" s="25" t="str">
        <f>IFERROR(VLOOKUP(Tabela1[[#This Row],[CC]],#REF!,5,0),"")</f>
        <v/>
      </c>
      <c r="C1352" t="str">
        <f>IFERROR(VLOOKUP(Tabela1[[#This Row],[CC]],CC!$A$1:$H$389,7,0),"")</f>
        <v>RITA ANDRADE</v>
      </c>
      <c r="D1352" t="str">
        <f>IFERROR(VLOOKUP(Tabela1[[#This Row],[CC]],CC!$A$1:$I$3869,3,0),"")</f>
        <v>BRADESCO_SEGUROS</v>
      </c>
      <c r="E1352" t="str">
        <f>IFERROR(VLOOKUP(Tabela1[[#This Row],[CC]],CC!$A$1:$H$389,2,0),"")</f>
        <v>BRADESCO SEGUROS (ADS) – BS2 (1507)</v>
      </c>
      <c r="F1352" t="s">
        <v>586</v>
      </c>
      <c r="G1352" s="107" t="s">
        <v>729</v>
      </c>
      <c r="H1352" s="12">
        <v>46113</v>
      </c>
      <c r="I1352" s="43">
        <v>13216.92</v>
      </c>
      <c r="J1352" s="27">
        <v>12404.08</v>
      </c>
      <c r="K1352" s="3">
        <v>46155</v>
      </c>
      <c r="L1352" s="147">
        <v>46181</v>
      </c>
      <c r="M1352" s="11"/>
      <c r="N1352" s="1" t="s">
        <v>587</v>
      </c>
      <c r="O1352" s="35">
        <v>0</v>
      </c>
      <c r="P1352"/>
      <c r="Q1352" t="str">
        <f>IFERROR(VLOOKUP(Tabela1[[#This Row],[CC]],CC!$A$1:$H$389,5,0),"")</f>
        <v>ADS</v>
      </c>
      <c r="R1352" t="str">
        <f>IFERROR(VLOOKUP(Tabela1[[#This Row],[CC]],CC!$A$1:$H$389,6,0),"")</f>
        <v>FS</v>
      </c>
      <c r="S1352" t="str">
        <f>IFERROR(VLOOKUP(Tabela1[[#This Row],[CC]],CC!$A$1:$H$403,8,0),"")</f>
        <v>OP1</v>
      </c>
    </row>
    <row r="1353" spans="1:19" x14ac:dyDescent="0.3">
      <c r="A1353" s="25">
        <v>1507</v>
      </c>
      <c r="B1353" s="25" t="str">
        <f>IFERROR(VLOOKUP(Tabela1[[#This Row],[CC]],#REF!,5,0),"")</f>
        <v/>
      </c>
      <c r="C1353" t="str">
        <f>IFERROR(VLOOKUP(Tabela1[[#This Row],[CC]],CC!$A$1:$H$389,7,0),"")</f>
        <v>RITA ANDRADE</v>
      </c>
      <c r="D1353" t="str">
        <f>IFERROR(VLOOKUP(Tabela1[[#This Row],[CC]],CC!$A$1:$I$3869,3,0),"")</f>
        <v>BRADESCO_SEGUROS</v>
      </c>
      <c r="E1353" t="str">
        <f>IFERROR(VLOOKUP(Tabela1[[#This Row],[CC]],CC!$A$1:$H$389,2,0),"")</f>
        <v>BRADESCO SEGUROS (ADS) – BS2 (1507)</v>
      </c>
      <c r="F1353" t="s">
        <v>586</v>
      </c>
      <c r="G1353" s="107" t="s">
        <v>730</v>
      </c>
      <c r="H1353" s="12">
        <v>46113</v>
      </c>
      <c r="I1353" s="43">
        <v>13216.92</v>
      </c>
      <c r="J1353" s="27">
        <v>12404.08</v>
      </c>
      <c r="K1353" s="3">
        <v>46155</v>
      </c>
      <c r="L1353" s="147">
        <v>46181</v>
      </c>
      <c r="M1353" s="11"/>
      <c r="N1353" s="1" t="s">
        <v>587</v>
      </c>
      <c r="O1353" s="35">
        <v>0</v>
      </c>
      <c r="P1353"/>
      <c r="Q1353" t="str">
        <f>IFERROR(VLOOKUP(Tabela1[[#This Row],[CC]],CC!$A$1:$H$389,5,0),"")</f>
        <v>ADS</v>
      </c>
      <c r="R1353" t="str">
        <f>IFERROR(VLOOKUP(Tabela1[[#This Row],[CC]],CC!$A$1:$H$389,6,0),"")</f>
        <v>FS</v>
      </c>
      <c r="S1353" t="str">
        <f>IFERROR(VLOOKUP(Tabela1[[#This Row],[CC]],CC!$A$1:$H$403,8,0),"")</f>
        <v>OP1</v>
      </c>
    </row>
    <row r="1354" spans="1:19" x14ac:dyDescent="0.3">
      <c r="A1354" s="25">
        <v>1507</v>
      </c>
      <c r="B1354" s="25" t="str">
        <f>IFERROR(VLOOKUP(Tabela1[[#This Row],[CC]],#REF!,5,0),"")</f>
        <v/>
      </c>
      <c r="C1354" t="str">
        <f>IFERROR(VLOOKUP(Tabela1[[#This Row],[CC]],CC!$A$1:$H$389,7,0),"")</f>
        <v>RITA ANDRADE</v>
      </c>
      <c r="D1354" t="str">
        <f>IFERROR(VLOOKUP(Tabela1[[#This Row],[CC]],CC!$A$1:$I$3869,3,0),"")</f>
        <v>BRADESCO_SEGUROS</v>
      </c>
      <c r="E1354" t="str">
        <f>IFERROR(VLOOKUP(Tabela1[[#This Row],[CC]],CC!$A$1:$H$389,2,0),"")</f>
        <v>BRADESCO SEGUROS (ADS) – BS2 (1507)</v>
      </c>
      <c r="F1354" t="s">
        <v>586</v>
      </c>
      <c r="G1354" s="107" t="s">
        <v>731</v>
      </c>
      <c r="H1354" s="12">
        <v>46113</v>
      </c>
      <c r="I1354" s="43">
        <v>13216.9</v>
      </c>
      <c r="J1354" s="27">
        <v>12404.06</v>
      </c>
      <c r="K1354" s="3">
        <v>46155</v>
      </c>
      <c r="L1354" s="147">
        <v>46181</v>
      </c>
      <c r="M1354" s="11"/>
      <c r="N1354" s="1" t="s">
        <v>587</v>
      </c>
      <c r="O1354" s="35">
        <v>0</v>
      </c>
      <c r="P1354"/>
      <c r="Q1354" t="str">
        <f>IFERROR(VLOOKUP(Tabela1[[#This Row],[CC]],CC!$A$1:$H$389,5,0),"")</f>
        <v>ADS</v>
      </c>
      <c r="R1354" t="str">
        <f>IFERROR(VLOOKUP(Tabela1[[#This Row],[CC]],CC!$A$1:$H$389,6,0),"")</f>
        <v>FS</v>
      </c>
      <c r="S1354" t="str">
        <f>IFERROR(VLOOKUP(Tabela1[[#This Row],[CC]],CC!$A$1:$H$403,8,0),"")</f>
        <v>OP1</v>
      </c>
    </row>
    <row r="1355" spans="1:19" x14ac:dyDescent="0.3">
      <c r="A1355" s="25">
        <v>1507</v>
      </c>
      <c r="B1355" s="25" t="str">
        <f>IFERROR(VLOOKUP(Tabela1[[#This Row],[CC]],#REF!,5,0),"")</f>
        <v/>
      </c>
      <c r="C1355" t="str">
        <f>IFERROR(VLOOKUP(Tabela1[[#This Row],[CC]],CC!$A$1:$H$389,7,0),"")</f>
        <v>RITA ANDRADE</v>
      </c>
      <c r="D1355" t="str">
        <f>IFERROR(VLOOKUP(Tabela1[[#This Row],[CC]],CC!$A$1:$I$3869,3,0),"")</f>
        <v>BRADESCO_SEGUROS</v>
      </c>
      <c r="E1355" t="str">
        <f>IFERROR(VLOOKUP(Tabela1[[#This Row],[CC]],CC!$A$1:$H$389,2,0),"")</f>
        <v>BRADESCO SEGUROS (ADS) – BS2 (1507)</v>
      </c>
      <c r="F1355" t="s">
        <v>586</v>
      </c>
      <c r="G1355" s="107">
        <v>5239</v>
      </c>
      <c r="H1355" s="12">
        <v>46143</v>
      </c>
      <c r="I1355" s="24">
        <v>10963.18</v>
      </c>
      <c r="J1355" s="27">
        <v>10288.942723934018</v>
      </c>
      <c r="K1355" s="3">
        <v>46182</v>
      </c>
      <c r="L1355" s="91">
        <v>46195</v>
      </c>
      <c r="M1355" s="11"/>
      <c r="N1355" s="1" t="s">
        <v>587</v>
      </c>
      <c r="O1355" s="35">
        <v>0</v>
      </c>
      <c r="P1355"/>
      <c r="Q1355" t="str">
        <f>IFERROR(VLOOKUP(Tabela1[[#This Row],[CC]],CC!$A$1:$H$389,5,0),"")</f>
        <v>ADS</v>
      </c>
      <c r="R1355" t="str">
        <f>IFERROR(VLOOKUP(Tabela1[[#This Row],[CC]],CC!$A$1:$H$389,6,0),"")</f>
        <v>FS</v>
      </c>
      <c r="S1355" t="str">
        <f>IFERROR(VLOOKUP(Tabela1[[#This Row],[CC]],CC!$A$1:$H$403,8,0),"")</f>
        <v>OP1</v>
      </c>
    </row>
    <row r="1356" spans="1:19" x14ac:dyDescent="0.3">
      <c r="A1356" s="25">
        <v>1507</v>
      </c>
      <c r="B1356" s="25" t="str">
        <f>IFERROR(VLOOKUP(Tabela1[[#This Row],[CC]],#REF!,5,0),"")</f>
        <v/>
      </c>
      <c r="C1356" t="str">
        <f>IFERROR(VLOOKUP(Tabela1[[#This Row],[CC]],CC!$A$1:$H$389,7,0),"")</f>
        <v>RITA ANDRADE</v>
      </c>
      <c r="D1356" t="str">
        <f>IFERROR(VLOOKUP(Tabela1[[#This Row],[CC]],CC!$A$1:$I$3869,3,0),"")</f>
        <v>BRADESCO_SEGUROS</v>
      </c>
      <c r="E1356" t="str">
        <f>IFERROR(VLOOKUP(Tabela1[[#This Row],[CC]],CC!$A$1:$H$389,2,0),"")</f>
        <v>BRADESCO SEGUROS (ADS) – BS2 (1507)</v>
      </c>
      <c r="F1356" t="s">
        <v>586</v>
      </c>
      <c r="G1356" s="107">
        <v>5240</v>
      </c>
      <c r="H1356" s="12">
        <v>46143</v>
      </c>
      <c r="I1356" s="24">
        <v>10180.1</v>
      </c>
      <c r="J1356" s="27">
        <v>17062.021020852786</v>
      </c>
      <c r="K1356" s="3">
        <v>46182</v>
      </c>
      <c r="L1356" s="91">
        <v>46195</v>
      </c>
      <c r="M1356" s="11"/>
      <c r="N1356" s="1" t="s">
        <v>587</v>
      </c>
      <c r="O1356" s="35">
        <v>0</v>
      </c>
      <c r="P1356"/>
      <c r="Q1356" t="str">
        <f>IFERROR(VLOOKUP(Tabela1[[#This Row],[CC]],CC!$A$1:$H$389,5,0),"")</f>
        <v>ADS</v>
      </c>
      <c r="R1356" t="str">
        <f>IFERROR(VLOOKUP(Tabela1[[#This Row],[CC]],CC!$A$1:$H$389,6,0),"")</f>
        <v>FS</v>
      </c>
      <c r="S1356" t="str">
        <f>IFERROR(VLOOKUP(Tabela1[[#This Row],[CC]],CC!$A$1:$H$403,8,0),"")</f>
        <v>OP1</v>
      </c>
    </row>
    <row r="1357" spans="1:19" x14ac:dyDescent="0.3">
      <c r="A1357" s="25">
        <v>1507</v>
      </c>
      <c r="B1357" s="25" t="str">
        <f>IFERROR(VLOOKUP(Tabela1[[#This Row],[CC]],#REF!,5,0),"")</f>
        <v/>
      </c>
      <c r="C1357" t="str">
        <f>IFERROR(VLOOKUP(Tabela1[[#This Row],[CC]],CC!$A$1:$H$389,7,0),"")</f>
        <v>RITA ANDRADE</v>
      </c>
      <c r="D1357" t="str">
        <f>IFERROR(VLOOKUP(Tabela1[[#This Row],[CC]],CC!$A$1:$I$3869,3,0),"")</f>
        <v>BRADESCO_SEGUROS</v>
      </c>
      <c r="E1357" t="str">
        <f>IFERROR(VLOOKUP(Tabela1[[#This Row],[CC]],CC!$A$1:$H$389,2,0),"")</f>
        <v>BRADESCO SEGUROS (ADS) – BS2 (1507)</v>
      </c>
      <c r="F1357" t="s">
        <v>586</v>
      </c>
      <c r="G1357" s="107">
        <v>5241</v>
      </c>
      <c r="H1357" s="12">
        <v>46143</v>
      </c>
      <c r="I1357" s="24">
        <v>39154.22</v>
      </c>
      <c r="J1357" s="27">
        <v>36746.229376906318</v>
      </c>
      <c r="K1357" s="3">
        <v>46182</v>
      </c>
      <c r="L1357" s="91">
        <v>46195</v>
      </c>
      <c r="M1357" s="11"/>
      <c r="N1357" s="1" t="s">
        <v>587</v>
      </c>
      <c r="O1357" s="35">
        <v>0</v>
      </c>
      <c r="P1357"/>
      <c r="Q1357" t="str">
        <f>IFERROR(VLOOKUP(Tabela1[[#This Row],[CC]],CC!$A$1:$H$389,5,0),"")</f>
        <v>ADS</v>
      </c>
      <c r="R1357" t="str">
        <f>IFERROR(VLOOKUP(Tabela1[[#This Row],[CC]],CC!$A$1:$H$389,6,0),"")</f>
        <v>FS</v>
      </c>
      <c r="S1357" t="str">
        <f>IFERROR(VLOOKUP(Tabela1[[#This Row],[CC]],CC!$A$1:$H$403,8,0),"")</f>
        <v>OP1</v>
      </c>
    </row>
    <row r="1358" spans="1:19" x14ac:dyDescent="0.3">
      <c r="A1358" s="25">
        <v>1507</v>
      </c>
      <c r="B1358" s="25" t="str">
        <f>IFERROR(VLOOKUP(Tabela1[[#This Row],[CC]],#REF!,5,0),"")</f>
        <v/>
      </c>
      <c r="C1358" t="str">
        <f>IFERROR(VLOOKUP(Tabela1[[#This Row],[CC]],CC!$A$1:$H$389,7,0),"")</f>
        <v>RITA ANDRADE</v>
      </c>
      <c r="D1358" t="str">
        <f>IFERROR(VLOOKUP(Tabela1[[#This Row],[CC]],CC!$A$1:$I$3869,3,0),"")</f>
        <v>BRADESCO_SEGUROS</v>
      </c>
      <c r="E1358" t="str">
        <f>IFERROR(VLOOKUP(Tabela1[[#This Row],[CC]],CC!$A$1:$H$389,2,0),"")</f>
        <v>BRADESCO SEGUROS (ADS) – BS2 (1507)</v>
      </c>
      <c r="F1358" t="s">
        <v>586</v>
      </c>
      <c r="G1358" s="107">
        <v>5242</v>
      </c>
      <c r="H1358" s="12">
        <v>46143</v>
      </c>
      <c r="I1358" s="24">
        <v>18010.939999999999</v>
      </c>
      <c r="J1358" s="27">
        <v>16903.264387177092</v>
      </c>
      <c r="K1358" s="3">
        <v>46182</v>
      </c>
      <c r="L1358" s="91">
        <v>46195</v>
      </c>
      <c r="M1358" s="11"/>
      <c r="N1358" s="1" t="s">
        <v>587</v>
      </c>
      <c r="O1358" s="35">
        <v>0</v>
      </c>
      <c r="P1358"/>
      <c r="Q1358" t="str">
        <f>IFERROR(VLOOKUP(Tabela1[[#This Row],[CC]],CC!$A$1:$H$389,5,0),"")</f>
        <v>ADS</v>
      </c>
      <c r="R1358" t="str">
        <f>IFERROR(VLOOKUP(Tabela1[[#This Row],[CC]],CC!$A$1:$H$389,6,0),"")</f>
        <v>FS</v>
      </c>
      <c r="S1358" t="str">
        <f>IFERROR(VLOOKUP(Tabela1[[#This Row],[CC]],CC!$A$1:$H$403,8,0),"")</f>
        <v>OP1</v>
      </c>
    </row>
    <row r="1359" spans="1:19" x14ac:dyDescent="0.3">
      <c r="A1359" s="25">
        <v>1507</v>
      </c>
      <c r="B1359" s="25" t="str">
        <f>IFERROR(VLOOKUP(Tabela1[[#This Row],[CC]],#REF!,5,0),"")</f>
        <v/>
      </c>
      <c r="C1359" t="str">
        <f>IFERROR(VLOOKUP(Tabela1[[#This Row],[CC]],CC!$A$1:$H$389,7,0),"")</f>
        <v>RITA ANDRADE</v>
      </c>
      <c r="D1359" t="str">
        <f>IFERROR(VLOOKUP(Tabela1[[#This Row],[CC]],CC!$A$1:$I$3869,3,0),"")</f>
        <v>BRADESCO_SEGUROS</v>
      </c>
      <c r="E1359" t="str">
        <f>IFERROR(VLOOKUP(Tabela1[[#This Row],[CC]],CC!$A$1:$H$389,2,0),"")</f>
        <v>BRADESCO SEGUROS (ADS) – BS2 (1507)</v>
      </c>
      <c r="F1359" t="s">
        <v>586</v>
      </c>
      <c r="G1359" s="107">
        <v>5267</v>
      </c>
      <c r="H1359" s="12">
        <v>46113</v>
      </c>
      <c r="I1359" s="24">
        <v>30933.4</v>
      </c>
      <c r="J1359" s="27">
        <v>29030.99</v>
      </c>
      <c r="K1359" s="3">
        <v>46183</v>
      </c>
      <c r="L1359" s="91">
        <v>46195</v>
      </c>
      <c r="M1359" s="11"/>
      <c r="N1359" s="1" t="s">
        <v>587</v>
      </c>
      <c r="O1359" s="35">
        <v>0</v>
      </c>
      <c r="P1359"/>
      <c r="Q1359" t="str">
        <f>IFERROR(VLOOKUP(Tabela1[[#This Row],[CC]],CC!$A$1:$H$389,5,0),"")</f>
        <v>ADS</v>
      </c>
      <c r="R1359" t="str">
        <f>IFERROR(VLOOKUP(Tabela1[[#This Row],[CC]],CC!$A$1:$H$389,6,0),"")</f>
        <v>FS</v>
      </c>
      <c r="S1359" t="str">
        <f>IFERROR(VLOOKUP(Tabela1[[#This Row],[CC]],CC!$A$1:$H$403,8,0),"")</f>
        <v>OP1</v>
      </c>
    </row>
    <row r="1360" spans="1:19" x14ac:dyDescent="0.3">
      <c r="A1360" s="25">
        <v>1507</v>
      </c>
      <c r="B1360" s="25" t="str">
        <f>IFERROR(VLOOKUP(Tabela1[[#This Row],[CC]],#REF!,5,0),"")</f>
        <v/>
      </c>
      <c r="C1360" t="str">
        <f>IFERROR(VLOOKUP(Tabela1[[#This Row],[CC]],CC!$A$1:$H$389,7,0),"")</f>
        <v>RITA ANDRADE</v>
      </c>
      <c r="D1360" t="str">
        <f>IFERROR(VLOOKUP(Tabela1[[#This Row],[CC]],CC!$A$1:$I$3869,3,0),"")</f>
        <v>BRADESCO_SEGUROS</v>
      </c>
      <c r="E1360" t="str">
        <f>IFERROR(VLOOKUP(Tabela1[[#This Row],[CC]],CC!$A$1:$H$389,2,0),"")</f>
        <v>BRADESCO SEGUROS (ADS) – BS2 (1507)</v>
      </c>
      <c r="F1360" t="s">
        <v>586</v>
      </c>
      <c r="G1360" s="107">
        <v>5265</v>
      </c>
      <c r="H1360" s="12">
        <v>46143</v>
      </c>
      <c r="I1360" s="24">
        <v>30933.4</v>
      </c>
      <c r="J1360" s="27">
        <v>29030.99</v>
      </c>
      <c r="K1360" s="3">
        <v>46183</v>
      </c>
      <c r="L1360" s="91">
        <v>46195</v>
      </c>
      <c r="M1360" s="11"/>
      <c r="N1360" s="1" t="s">
        <v>587</v>
      </c>
      <c r="O1360" s="35">
        <v>0</v>
      </c>
      <c r="P1360"/>
      <c r="Q1360" t="str">
        <f>IFERROR(VLOOKUP(Tabela1[[#This Row],[CC]],CC!$A$1:$H$389,5,0),"")</f>
        <v>ADS</v>
      </c>
      <c r="R1360" t="str">
        <f>IFERROR(VLOOKUP(Tabela1[[#This Row],[CC]],CC!$A$1:$H$389,6,0),"")</f>
        <v>FS</v>
      </c>
      <c r="S1360" t="str">
        <f>IFERROR(VLOOKUP(Tabela1[[#This Row],[CC]],CC!$A$1:$H$403,8,0),"")</f>
        <v>OP1</v>
      </c>
    </row>
    <row r="1361" spans="1:19" x14ac:dyDescent="0.3">
      <c r="A1361" s="25">
        <v>1507</v>
      </c>
      <c r="B1361" s="25" t="str">
        <f>IFERROR(VLOOKUP(Tabela1[[#This Row],[CC]],#REF!,5,0),"")</f>
        <v/>
      </c>
      <c r="C1361" t="str">
        <f>IFERROR(VLOOKUP(Tabela1[[#This Row],[CC]],CC!$A$1:$H$389,7,0),"")</f>
        <v>RITA ANDRADE</v>
      </c>
      <c r="D1361" t="str">
        <f>IFERROR(VLOOKUP(Tabela1[[#This Row],[CC]],CC!$A$1:$I$3869,3,0),"")</f>
        <v>BRADESCO_SEGUROS</v>
      </c>
      <c r="E1361" t="str">
        <f>IFERROR(VLOOKUP(Tabela1[[#This Row],[CC]],CC!$A$1:$H$389,2,0),"")</f>
        <v>BRADESCO SEGUROS (ADS) – BS2 (1507)</v>
      </c>
      <c r="F1361" t="s">
        <v>586</v>
      </c>
      <c r="G1361" s="107">
        <v>5266</v>
      </c>
      <c r="H1361" s="12">
        <v>46143</v>
      </c>
      <c r="I1361" s="24">
        <v>30933.41</v>
      </c>
      <c r="J1361" s="27">
        <v>29031</v>
      </c>
      <c r="K1361" s="3">
        <v>46183</v>
      </c>
      <c r="L1361" s="91">
        <v>46195</v>
      </c>
      <c r="M1361" s="11"/>
      <c r="N1361" s="1" t="s">
        <v>587</v>
      </c>
      <c r="O1361" s="35">
        <v>0</v>
      </c>
      <c r="P1361"/>
      <c r="Q1361" t="str">
        <f>IFERROR(VLOOKUP(Tabela1[[#This Row],[CC]],CC!$A$1:$H$389,5,0),"")</f>
        <v>ADS</v>
      </c>
      <c r="R1361" t="str">
        <f>IFERROR(VLOOKUP(Tabela1[[#This Row],[CC]],CC!$A$1:$H$389,6,0),"")</f>
        <v>FS</v>
      </c>
      <c r="S1361" t="str">
        <f>IFERROR(VLOOKUP(Tabela1[[#This Row],[CC]],CC!$A$1:$H$403,8,0),"")</f>
        <v>OP1</v>
      </c>
    </row>
    <row r="1362" spans="1:19" x14ac:dyDescent="0.3">
      <c r="A1362" s="25">
        <v>1507</v>
      </c>
      <c r="B1362" s="25" t="str">
        <f>IFERROR(VLOOKUP(Tabela1[[#This Row],[CC]],#REF!,5,0),"")</f>
        <v/>
      </c>
      <c r="C1362" t="str">
        <f>IFERROR(VLOOKUP(Tabela1[[#This Row],[CC]],CC!$A$1:$H$389,7,0),"")</f>
        <v>RITA ANDRADE</v>
      </c>
      <c r="D1362" t="str">
        <f>IFERROR(VLOOKUP(Tabela1[[#This Row],[CC]],CC!$A$1:$I$3869,3,0),"")</f>
        <v>BRADESCO_SEGUROS</v>
      </c>
      <c r="E1362" t="str">
        <f>IFERROR(VLOOKUP(Tabela1[[#This Row],[CC]],CC!$A$1:$H$389,2,0),"")</f>
        <v>BRADESCO SEGUROS (ADS) – BS2 (1507)</v>
      </c>
      <c r="F1362" t="s">
        <v>586</v>
      </c>
      <c r="G1362" s="107">
        <v>5264</v>
      </c>
      <c r="H1362" s="12">
        <v>46113</v>
      </c>
      <c r="I1362" s="24">
        <v>30933.4</v>
      </c>
      <c r="J1362" s="27">
        <v>29030.99</v>
      </c>
      <c r="K1362" s="3">
        <v>46183</v>
      </c>
      <c r="L1362" s="91">
        <v>46195</v>
      </c>
      <c r="M1362" s="11"/>
      <c r="N1362" s="1" t="s">
        <v>587</v>
      </c>
      <c r="O1362" s="35">
        <v>0</v>
      </c>
      <c r="P1362"/>
      <c r="Q1362" t="str">
        <f>IFERROR(VLOOKUP(Tabela1[[#This Row],[CC]],CC!$A$1:$H$389,5,0),"")</f>
        <v>ADS</v>
      </c>
      <c r="R1362" t="str">
        <f>IFERROR(VLOOKUP(Tabela1[[#This Row],[CC]],CC!$A$1:$H$389,6,0),"")</f>
        <v>FS</v>
      </c>
      <c r="S1362" t="str">
        <f>IFERROR(VLOOKUP(Tabela1[[#This Row],[CC]],CC!$A$1:$H$403,8,0),"")</f>
        <v>OP1</v>
      </c>
    </row>
    <row r="1363" spans="1:19" x14ac:dyDescent="0.3">
      <c r="A1363" s="25">
        <v>1507</v>
      </c>
      <c r="B1363" s="25" t="str">
        <f>IFERROR(VLOOKUP(Tabela1[[#This Row],[CC]],#REF!,5,0),"")</f>
        <v/>
      </c>
      <c r="C1363" t="str">
        <f>IFERROR(VLOOKUP(Tabela1[[#This Row],[CC]],CC!$A$1:$H$389,7,0),"")</f>
        <v>RITA ANDRADE</v>
      </c>
      <c r="D1363" t="str">
        <f>IFERROR(VLOOKUP(Tabela1[[#This Row],[CC]],CC!$A$1:$I$3869,3,0),"")</f>
        <v>BRADESCO_SEGUROS</v>
      </c>
      <c r="E1363" t="str">
        <f>IFERROR(VLOOKUP(Tabela1[[#This Row],[CC]],CC!$A$1:$H$389,2,0),"")</f>
        <v>BRADESCO SEGUROS (ADS) – BS2 (1507)</v>
      </c>
      <c r="F1363" t="s">
        <v>586</v>
      </c>
      <c r="G1363" s="107">
        <v>5268</v>
      </c>
      <c r="H1363" s="12">
        <v>46143</v>
      </c>
      <c r="I1363" s="24">
        <v>4869.3900000000003</v>
      </c>
      <c r="J1363" s="27">
        <v>4569.92</v>
      </c>
      <c r="K1363" s="3">
        <v>46183</v>
      </c>
      <c r="L1363" s="91">
        <v>46195</v>
      </c>
      <c r="M1363" s="11"/>
      <c r="N1363" s="1" t="s">
        <v>587</v>
      </c>
      <c r="O1363" s="35">
        <v>0</v>
      </c>
      <c r="P1363"/>
      <c r="Q1363" t="str">
        <f>IFERROR(VLOOKUP(Tabela1[[#This Row],[CC]],CC!$A$1:$H$389,5,0),"")</f>
        <v>ADS</v>
      </c>
      <c r="R1363" t="str">
        <f>IFERROR(VLOOKUP(Tabela1[[#This Row],[CC]],CC!$A$1:$H$389,6,0),"")</f>
        <v>FS</v>
      </c>
      <c r="S1363" t="str">
        <f>IFERROR(VLOOKUP(Tabela1[[#This Row],[CC]],CC!$A$1:$H$403,8,0),"")</f>
        <v>OP1</v>
      </c>
    </row>
    <row r="1364" spans="1:19" x14ac:dyDescent="0.3">
      <c r="A1364" s="25">
        <v>1507</v>
      </c>
      <c r="B1364" s="25" t="str">
        <f>IFERROR(VLOOKUP(Tabela1[[#This Row],[CC]],#REF!,5,0),"")</f>
        <v/>
      </c>
      <c r="C1364" t="str">
        <f>IFERROR(VLOOKUP(Tabela1[[#This Row],[CC]],CC!$A$1:$H$389,7,0),"")</f>
        <v>RITA ANDRADE</v>
      </c>
      <c r="D1364" t="str">
        <f>IFERROR(VLOOKUP(Tabela1[[#This Row],[CC]],CC!$A$1:$I$3869,3,0),"")</f>
        <v>BRADESCO_SEGUROS</v>
      </c>
      <c r="E1364" t="str">
        <f>IFERROR(VLOOKUP(Tabela1[[#This Row],[CC]],CC!$A$1:$H$389,2,0),"")</f>
        <v>BRADESCO SEGUROS (ADS) – BS2 (1507)</v>
      </c>
      <c r="F1364" t="s">
        <v>586</v>
      </c>
      <c r="G1364" s="107">
        <v>5269</v>
      </c>
      <c r="H1364" s="12">
        <v>46143</v>
      </c>
      <c r="I1364" s="24">
        <v>4869.3900000000003</v>
      </c>
      <c r="J1364" s="27">
        <v>4569.92</v>
      </c>
      <c r="K1364" s="3">
        <v>46183</v>
      </c>
      <c r="L1364" s="91">
        <v>46195</v>
      </c>
      <c r="M1364" s="11"/>
      <c r="N1364" s="1" t="s">
        <v>587</v>
      </c>
      <c r="O1364" s="35">
        <v>0</v>
      </c>
      <c r="P1364"/>
      <c r="Q1364" t="str">
        <f>IFERROR(VLOOKUP(Tabela1[[#This Row],[CC]],CC!$A$1:$H$389,5,0),"")</f>
        <v>ADS</v>
      </c>
      <c r="R1364" t="str">
        <f>IFERROR(VLOOKUP(Tabela1[[#This Row],[CC]],CC!$A$1:$H$389,6,0),"")</f>
        <v>FS</v>
      </c>
      <c r="S1364" t="str">
        <f>IFERROR(VLOOKUP(Tabela1[[#This Row],[CC]],CC!$A$1:$H$403,8,0),"")</f>
        <v>OP1</v>
      </c>
    </row>
    <row r="1365" spans="1:19" x14ac:dyDescent="0.3">
      <c r="A1365" s="25">
        <v>1507</v>
      </c>
      <c r="B1365" s="25" t="str">
        <f>IFERROR(VLOOKUP(Tabela1[[#This Row],[CC]],#REF!,5,0),"")</f>
        <v/>
      </c>
      <c r="C1365" t="str">
        <f>IFERROR(VLOOKUP(Tabela1[[#This Row],[CC]],CC!$A$1:$H$389,7,0),"")</f>
        <v>RITA ANDRADE</v>
      </c>
      <c r="D1365" t="str">
        <f>IFERROR(VLOOKUP(Tabela1[[#This Row],[CC]],CC!$A$1:$I$3869,3,0),"")</f>
        <v>BRADESCO_SEGUROS</v>
      </c>
      <c r="E1365" t="str">
        <f>IFERROR(VLOOKUP(Tabela1[[#This Row],[CC]],CC!$A$1:$H$389,2,0),"")</f>
        <v>BRADESCO SEGUROS (ADS) – BS2 (1507)</v>
      </c>
      <c r="F1365" t="s">
        <v>586</v>
      </c>
      <c r="G1365" s="107">
        <v>5270</v>
      </c>
      <c r="H1365" s="12">
        <v>46143</v>
      </c>
      <c r="I1365" s="24">
        <v>4869.3900000000003</v>
      </c>
      <c r="J1365" s="27">
        <v>4569.92</v>
      </c>
      <c r="K1365" s="3">
        <v>46183</v>
      </c>
      <c r="L1365" s="91">
        <v>46195</v>
      </c>
      <c r="M1365" s="11"/>
      <c r="N1365" s="1" t="s">
        <v>587</v>
      </c>
      <c r="O1365" s="35">
        <v>0</v>
      </c>
      <c r="P1365"/>
      <c r="Q1365" t="str">
        <f>IFERROR(VLOOKUP(Tabela1[[#This Row],[CC]],CC!$A$1:$H$389,5,0),"")</f>
        <v>ADS</v>
      </c>
      <c r="R1365" t="str">
        <f>IFERROR(VLOOKUP(Tabela1[[#This Row],[CC]],CC!$A$1:$H$389,6,0),"")</f>
        <v>FS</v>
      </c>
      <c r="S1365" t="str">
        <f>IFERROR(VLOOKUP(Tabela1[[#This Row],[CC]],CC!$A$1:$H$403,8,0),"")</f>
        <v>OP1</v>
      </c>
    </row>
    <row r="1366" spans="1:19" x14ac:dyDescent="0.3">
      <c r="A1366" s="25">
        <v>1507</v>
      </c>
      <c r="B1366" s="25" t="str">
        <f>IFERROR(VLOOKUP(Tabela1[[#This Row],[CC]],#REF!,5,0),"")</f>
        <v/>
      </c>
      <c r="C1366" t="str">
        <f>IFERROR(VLOOKUP(Tabela1[[#This Row],[CC]],CC!$A$1:$H$389,7,0),"")</f>
        <v>RITA ANDRADE</v>
      </c>
      <c r="D1366" t="str">
        <f>IFERROR(VLOOKUP(Tabela1[[#This Row],[CC]],CC!$A$1:$I$3869,3,0),"")</f>
        <v>BRADESCO_SEGUROS</v>
      </c>
      <c r="E1366" t="str">
        <f>IFERROR(VLOOKUP(Tabela1[[#This Row],[CC]],CC!$A$1:$H$389,2,0),"")</f>
        <v>BRADESCO SEGUROS (ADS) – BS2 (1507)</v>
      </c>
      <c r="F1366" t="s">
        <v>586</v>
      </c>
      <c r="G1366" s="107">
        <v>5271</v>
      </c>
      <c r="H1366" s="12">
        <v>46143</v>
      </c>
      <c r="I1366" s="24">
        <v>4869.37</v>
      </c>
      <c r="J1366" s="27">
        <v>4569.8999999999996</v>
      </c>
      <c r="K1366" s="3">
        <v>46183</v>
      </c>
      <c r="L1366" s="91">
        <v>46195</v>
      </c>
      <c r="M1366" s="11"/>
      <c r="N1366" s="1" t="s">
        <v>587</v>
      </c>
      <c r="O1366" s="35">
        <v>0</v>
      </c>
      <c r="P1366"/>
      <c r="Q1366" t="str">
        <f>IFERROR(VLOOKUP(Tabela1[[#This Row],[CC]],CC!$A$1:$H$389,5,0),"")</f>
        <v>ADS</v>
      </c>
      <c r="R1366" t="str">
        <f>IFERROR(VLOOKUP(Tabela1[[#This Row],[CC]],CC!$A$1:$H$389,6,0),"")</f>
        <v>FS</v>
      </c>
      <c r="S1366" t="str">
        <f>IFERROR(VLOOKUP(Tabela1[[#This Row],[CC]],CC!$A$1:$H$403,8,0),"")</f>
        <v>OP1</v>
      </c>
    </row>
    <row r="1367" spans="1:19" x14ac:dyDescent="0.3">
      <c r="A1367" s="25">
        <v>1507</v>
      </c>
      <c r="B1367" s="25" t="str">
        <f>IFERROR(VLOOKUP(Tabela1[[#This Row],[CC]],#REF!,5,0),"")</f>
        <v/>
      </c>
      <c r="C1367" t="str">
        <f>IFERROR(VLOOKUP(Tabela1[[#This Row],[CC]],CC!$A$1:$H$389,7,0),"")</f>
        <v>RITA ANDRADE</v>
      </c>
      <c r="D1367" t="str">
        <f>IFERROR(VLOOKUP(Tabela1[[#This Row],[CC]],CC!$A$1:$I$3869,3,0),"")</f>
        <v>BRADESCO_SEGUROS</v>
      </c>
      <c r="E1367" t="str">
        <f>IFERROR(VLOOKUP(Tabela1[[#This Row],[CC]],CC!$A$1:$H$389,2,0),"")</f>
        <v>BRADESCO SEGUROS (ADS) – BS2 (1507)</v>
      </c>
      <c r="F1367" t="s">
        <v>586</v>
      </c>
      <c r="G1367" s="107"/>
      <c r="H1367" s="12">
        <v>46143</v>
      </c>
      <c r="I1367" s="24">
        <f>635000-352696-143000</f>
        <v>139304</v>
      </c>
      <c r="J1367" s="27"/>
      <c r="K1367" s="3">
        <v>46143</v>
      </c>
      <c r="L1367" s="147">
        <v>46202</v>
      </c>
      <c r="M1367" s="11"/>
      <c r="N1367" s="1" t="s">
        <v>572</v>
      </c>
      <c r="O1367" s="35">
        <v>0</v>
      </c>
      <c r="P1367"/>
      <c r="Q1367" t="str">
        <f>IFERROR(VLOOKUP(Tabela1[[#This Row],[CC]],CC!$A$1:$H$389,5,0),"")</f>
        <v>ADS</v>
      </c>
      <c r="R1367" t="str">
        <f>IFERROR(VLOOKUP(Tabela1[[#This Row],[CC]],CC!$A$1:$H$389,6,0),"")</f>
        <v>FS</v>
      </c>
      <c r="S1367" t="str">
        <f>IFERROR(VLOOKUP(Tabela1[[#This Row],[CC]],CC!$A$1:$H$403,8,0),"")</f>
        <v>OP1</v>
      </c>
    </row>
    <row r="1368" spans="1:19" x14ac:dyDescent="0.3">
      <c r="A1368" s="25">
        <v>1507</v>
      </c>
      <c r="B1368" s="25" t="str">
        <f>IFERROR(VLOOKUP(Tabela1[[#This Row],[CC]],#REF!,5,0),"")</f>
        <v/>
      </c>
      <c r="C1368" t="str">
        <f>IFERROR(VLOOKUP(Tabela1[[#This Row],[CC]],CC!$A$1:$H$389,7,0),"")</f>
        <v>RITA ANDRADE</v>
      </c>
      <c r="D1368" t="str">
        <f>IFERROR(VLOOKUP(Tabela1[[#This Row],[CC]],CC!$A$1:$I$3869,3,0),"")</f>
        <v>BRADESCO_SEGUROS</v>
      </c>
      <c r="E1368" t="str">
        <f>IFERROR(VLOOKUP(Tabela1[[#This Row],[CC]],CC!$A$1:$H$389,2,0),"")</f>
        <v>BRADESCO SEGUROS (ADS) – BS2 (1507)</v>
      </c>
      <c r="F1368" t="s">
        <v>586</v>
      </c>
      <c r="G1368" s="107"/>
      <c r="H1368" s="12">
        <v>46174</v>
      </c>
      <c r="I1368" s="24">
        <v>350000</v>
      </c>
      <c r="J1368" s="27"/>
      <c r="K1368" s="3">
        <v>46174</v>
      </c>
      <c r="L1368" s="147">
        <v>46223</v>
      </c>
      <c r="M1368" s="11"/>
      <c r="N1368" s="1" t="s">
        <v>572</v>
      </c>
      <c r="O1368" s="35">
        <v>0</v>
      </c>
      <c r="P1368"/>
      <c r="Q1368" t="str">
        <f>IFERROR(VLOOKUP(Tabela1[[#This Row],[CC]],CC!$A$1:$H$389,5,0),"")</f>
        <v>ADS</v>
      </c>
      <c r="R1368" t="str">
        <f>IFERROR(VLOOKUP(Tabela1[[#This Row],[CC]],CC!$A$1:$H$389,6,0),"")</f>
        <v>FS</v>
      </c>
      <c r="S1368" t="str">
        <f>IFERROR(VLOOKUP(Tabela1[[#This Row],[CC]],CC!$A$1:$H$403,8,0),"")</f>
        <v>OP1</v>
      </c>
    </row>
    <row r="1369" spans="1:19" x14ac:dyDescent="0.3">
      <c r="A1369" s="25">
        <v>1512</v>
      </c>
      <c r="B1369" s="25" t="str">
        <f>IFERROR(VLOOKUP(Tabela1[[#This Row],[CC]],#REF!,5,0),"")</f>
        <v/>
      </c>
      <c r="C1369" t="str">
        <f>IFERROR(VLOOKUP(Tabela1[[#This Row],[CC]],CC!$A$1:$H$389,7,0),"")</f>
        <v>RITA ANDRADE</v>
      </c>
      <c r="D1369" t="str">
        <f>IFERROR(VLOOKUP(Tabela1[[#This Row],[CC]],CC!$A$1:$I$3869,3,0),"")</f>
        <v>BRADESCO_SEGUROS</v>
      </c>
      <c r="E1369" t="str">
        <f>IFERROR(VLOOKUP(Tabela1[[#This Row],[CC]],CC!$A$1:$H$389,2,0),"")</f>
        <v>BRADESCO SEGUROS (CSA) – BS2 (1512)</v>
      </c>
      <c r="F1369" t="s">
        <v>586</v>
      </c>
      <c r="G1369" s="107" t="s">
        <v>621</v>
      </c>
      <c r="H1369" s="12">
        <v>46023</v>
      </c>
      <c r="I1369" s="27">
        <v>640.45000000000005</v>
      </c>
      <c r="J1369" s="24">
        <v>601.05999999999995</v>
      </c>
      <c r="K1369" s="3">
        <v>46057</v>
      </c>
      <c r="L1369" s="147">
        <v>46069</v>
      </c>
      <c r="M1369" s="11">
        <v>46072</v>
      </c>
      <c r="N1369" s="1" t="s">
        <v>588</v>
      </c>
      <c r="O1369" s="35">
        <v>0</v>
      </c>
      <c r="P1369"/>
      <c r="Q1369" t="str">
        <f>IFERROR(VLOOKUP(Tabela1[[#This Row],[CC]],CC!$A$1:$H$389,5,0),"")</f>
        <v>CSA</v>
      </c>
      <c r="R1369" t="str">
        <f>IFERROR(VLOOKUP(Tabela1[[#This Row],[CC]],CC!$A$1:$H$389,6,0),"")</f>
        <v>FS</v>
      </c>
      <c r="S1369" t="str">
        <f>IFERROR(VLOOKUP(Tabela1[[#This Row],[CC]],CC!$A$1:$H$403,8,0),"")</f>
        <v>OP1</v>
      </c>
    </row>
    <row r="1370" spans="1:19" x14ac:dyDescent="0.3">
      <c r="A1370" s="25">
        <v>1512</v>
      </c>
      <c r="B1370" s="25" t="str">
        <f>IFERROR(VLOOKUP(Tabela1[[#This Row],[CC]],#REF!,5,0),"")</f>
        <v/>
      </c>
      <c r="C1370" t="str">
        <f>IFERROR(VLOOKUP(Tabela1[[#This Row],[CC]],CC!$A$1:$H$389,7,0),"")</f>
        <v>RITA ANDRADE</v>
      </c>
      <c r="D1370" t="str">
        <f>IFERROR(VLOOKUP(Tabela1[[#This Row],[CC]],CC!$A$1:$I$3869,3,0),"")</f>
        <v>BRADESCO_SEGUROS</v>
      </c>
      <c r="E1370" t="str">
        <f>IFERROR(VLOOKUP(Tabela1[[#This Row],[CC]],CC!$A$1:$H$389,2,0),"")</f>
        <v>BRADESCO SEGUROS (CSA) – BS2 (1512)</v>
      </c>
      <c r="F1370" t="s">
        <v>586</v>
      </c>
      <c r="G1370" s="107" t="s">
        <v>622</v>
      </c>
      <c r="H1370" s="12">
        <v>46023</v>
      </c>
      <c r="I1370" s="27">
        <v>17292.11</v>
      </c>
      <c r="J1370" s="27">
        <v>16228.65</v>
      </c>
      <c r="K1370" s="3">
        <v>46057</v>
      </c>
      <c r="L1370" s="147">
        <v>46069</v>
      </c>
      <c r="M1370" s="11">
        <v>46072</v>
      </c>
      <c r="N1370" s="1" t="s">
        <v>588</v>
      </c>
      <c r="O1370" s="35">
        <v>0</v>
      </c>
      <c r="P1370"/>
      <c r="Q1370" t="str">
        <f>IFERROR(VLOOKUP(Tabela1[[#This Row],[CC]],CC!$A$1:$H$389,5,0),"")</f>
        <v>CSA</v>
      </c>
      <c r="R1370" t="str">
        <f>IFERROR(VLOOKUP(Tabela1[[#This Row],[CC]],CC!$A$1:$H$389,6,0),"")</f>
        <v>FS</v>
      </c>
      <c r="S1370" t="str">
        <f>IFERROR(VLOOKUP(Tabela1[[#This Row],[CC]],CC!$A$1:$H$403,8,0),"")</f>
        <v>OP1</v>
      </c>
    </row>
    <row r="1371" spans="1:19" x14ac:dyDescent="0.3">
      <c r="A1371" s="25">
        <v>1512</v>
      </c>
      <c r="B1371" s="25" t="str">
        <f>IFERROR(VLOOKUP(Tabela1[[#This Row],[CC]],#REF!,5,0),"")</f>
        <v/>
      </c>
      <c r="C1371" t="str">
        <f>IFERROR(VLOOKUP(Tabela1[[#This Row],[CC]],CC!$A$1:$H$389,7,0),"")</f>
        <v>RITA ANDRADE</v>
      </c>
      <c r="D1371" t="str">
        <f>IFERROR(VLOOKUP(Tabela1[[#This Row],[CC]],CC!$A$1:$I$3869,3,0),"")</f>
        <v>BRADESCO_SEGUROS</v>
      </c>
      <c r="E1371" t="str">
        <f>IFERROR(VLOOKUP(Tabela1[[#This Row],[CC]],CC!$A$1:$H$389,2,0),"")</f>
        <v>BRADESCO SEGUROS (CSA) – BS2 (1512)</v>
      </c>
      <c r="F1371" t="s">
        <v>586</v>
      </c>
      <c r="G1371" s="107" t="s">
        <v>623</v>
      </c>
      <c r="H1371" s="12">
        <v>46023</v>
      </c>
      <c r="I1371" s="27">
        <v>37786.46</v>
      </c>
      <c r="J1371" s="27">
        <v>35462.589999999997</v>
      </c>
      <c r="K1371" s="3">
        <v>46057</v>
      </c>
      <c r="L1371" s="147">
        <v>46069</v>
      </c>
      <c r="M1371" s="11">
        <v>46072</v>
      </c>
      <c r="N1371" s="1" t="s">
        <v>588</v>
      </c>
      <c r="O1371" s="35">
        <v>0</v>
      </c>
      <c r="P1371"/>
      <c r="Q1371" t="str">
        <f>IFERROR(VLOOKUP(Tabela1[[#This Row],[CC]],CC!$A$1:$H$389,5,0),"")</f>
        <v>CSA</v>
      </c>
      <c r="R1371" t="str">
        <f>IFERROR(VLOOKUP(Tabela1[[#This Row],[CC]],CC!$A$1:$H$389,6,0),"")</f>
        <v>FS</v>
      </c>
      <c r="S1371" t="str">
        <f>IFERROR(VLOOKUP(Tabela1[[#This Row],[CC]],CC!$A$1:$H$403,8,0),"")</f>
        <v>OP1</v>
      </c>
    </row>
    <row r="1372" spans="1:19" x14ac:dyDescent="0.3">
      <c r="A1372" s="25">
        <v>1512</v>
      </c>
      <c r="B1372" s="25" t="str">
        <f>IFERROR(VLOOKUP(Tabela1[[#This Row],[CC]],#REF!,5,0),"")</f>
        <v/>
      </c>
      <c r="C1372" t="str">
        <f>IFERROR(VLOOKUP(Tabela1[[#This Row],[CC]],CC!$A$1:$H$389,7,0),"")</f>
        <v>RITA ANDRADE</v>
      </c>
      <c r="D1372" t="str">
        <f>IFERROR(VLOOKUP(Tabela1[[#This Row],[CC]],CC!$A$1:$I$3869,3,0),"")</f>
        <v>BRADESCO_SEGUROS</v>
      </c>
      <c r="E1372" t="str">
        <f>IFERROR(VLOOKUP(Tabela1[[#This Row],[CC]],CC!$A$1:$H$389,2,0),"")</f>
        <v>BRADESCO SEGUROS (CSA) – BS2 (1512)</v>
      </c>
      <c r="F1372" t="s">
        <v>586</v>
      </c>
      <c r="G1372" s="107" t="s">
        <v>624</v>
      </c>
      <c r="H1372" s="12">
        <v>46023</v>
      </c>
      <c r="I1372" s="27">
        <v>8325.83</v>
      </c>
      <c r="J1372" s="27">
        <v>7813.79</v>
      </c>
      <c r="K1372" s="3">
        <v>46057</v>
      </c>
      <c r="L1372" s="147">
        <v>46069</v>
      </c>
      <c r="M1372" s="11">
        <v>46072</v>
      </c>
      <c r="N1372" s="1" t="s">
        <v>588</v>
      </c>
      <c r="O1372" s="35">
        <v>0</v>
      </c>
      <c r="P1372"/>
      <c r="Q1372" t="str">
        <f>IFERROR(VLOOKUP(Tabela1[[#This Row],[CC]],CC!$A$1:$H$389,5,0),"")</f>
        <v>CSA</v>
      </c>
      <c r="R1372" t="str">
        <f>IFERROR(VLOOKUP(Tabela1[[#This Row],[CC]],CC!$A$1:$H$389,6,0),"")</f>
        <v>FS</v>
      </c>
      <c r="S1372" t="str">
        <f>IFERROR(VLOOKUP(Tabela1[[#This Row],[CC]],CC!$A$1:$H$403,8,0),"")</f>
        <v>OP1</v>
      </c>
    </row>
    <row r="1373" spans="1:19" x14ac:dyDescent="0.3">
      <c r="A1373" s="25">
        <v>1512</v>
      </c>
      <c r="B1373" s="25" t="str">
        <f>IFERROR(VLOOKUP(Tabela1[[#This Row],[CC]],#REF!,5,0),"")</f>
        <v/>
      </c>
      <c r="C1373" t="str">
        <f>IFERROR(VLOOKUP(Tabela1[[#This Row],[CC]],CC!$A$1:$H$389,7,0),"")</f>
        <v>RITA ANDRADE</v>
      </c>
      <c r="D1373" t="str">
        <f>IFERROR(VLOOKUP(Tabela1[[#This Row],[CC]],CC!$A$1:$I$3869,3,0),"")</f>
        <v>BRADESCO_SEGUROS</v>
      </c>
      <c r="E1373" t="str">
        <f>IFERROR(VLOOKUP(Tabela1[[#This Row],[CC]],CC!$A$1:$H$389,2,0),"")</f>
        <v>BRADESCO SEGUROS (CSA) – BS2 (1512)</v>
      </c>
      <c r="F1373" t="s">
        <v>586</v>
      </c>
      <c r="G1373" s="107" t="s">
        <v>709</v>
      </c>
      <c r="H1373" s="12">
        <v>46082</v>
      </c>
      <c r="I1373" s="27">
        <v>37786.46</v>
      </c>
      <c r="J1373" s="24">
        <v>35462.589999999997</v>
      </c>
      <c r="K1373" s="3">
        <v>46120</v>
      </c>
      <c r="L1373" s="147">
        <v>46132</v>
      </c>
      <c r="M1373" s="11">
        <v>46135</v>
      </c>
      <c r="N1373" s="1" t="s">
        <v>588</v>
      </c>
      <c r="O1373" s="35">
        <v>0</v>
      </c>
      <c r="P1373"/>
      <c r="Q1373" t="str">
        <f>IFERROR(VLOOKUP(Tabela1[[#This Row],[CC]],CC!$A$1:$H$389,5,0),"")</f>
        <v>CSA</v>
      </c>
      <c r="R1373" t="str">
        <f>IFERROR(VLOOKUP(Tabela1[[#This Row],[CC]],CC!$A$1:$H$389,6,0),"")</f>
        <v>FS</v>
      </c>
      <c r="S1373" t="str">
        <f>IFERROR(VLOOKUP(Tabela1[[#This Row],[CC]],CC!$A$1:$H$403,8,0),"")</f>
        <v>OP1</v>
      </c>
    </row>
    <row r="1374" spans="1:19" x14ac:dyDescent="0.3">
      <c r="A1374" s="25">
        <v>1512</v>
      </c>
      <c r="B1374" s="25" t="str">
        <f>IFERROR(VLOOKUP(Tabela1[[#This Row],[CC]],#REF!,5,0),"")</f>
        <v/>
      </c>
      <c r="C1374" t="str">
        <f>IFERROR(VLOOKUP(Tabela1[[#This Row],[CC]],CC!$A$1:$H$389,7,0),"")</f>
        <v>RITA ANDRADE</v>
      </c>
      <c r="D1374" t="str">
        <f>IFERROR(VLOOKUP(Tabela1[[#This Row],[CC]],CC!$A$1:$I$3869,3,0),"")</f>
        <v>BRADESCO_SEGUROS</v>
      </c>
      <c r="E1374" t="str">
        <f>IFERROR(VLOOKUP(Tabela1[[#This Row],[CC]],CC!$A$1:$H$389,2,0),"")</f>
        <v>BRADESCO SEGUROS (CSA) – BS2 (1512)</v>
      </c>
      <c r="F1374" t="s">
        <v>586</v>
      </c>
      <c r="G1374" s="107" t="s">
        <v>710</v>
      </c>
      <c r="H1374" s="12">
        <v>46082</v>
      </c>
      <c r="I1374" s="27">
        <v>17292.11</v>
      </c>
      <c r="J1374" s="24">
        <v>16228.65</v>
      </c>
      <c r="K1374" s="3">
        <v>46120</v>
      </c>
      <c r="L1374" s="147">
        <v>46132</v>
      </c>
      <c r="M1374" s="11">
        <v>46135</v>
      </c>
      <c r="N1374" s="1" t="s">
        <v>588</v>
      </c>
      <c r="O1374" s="35">
        <v>0</v>
      </c>
      <c r="P1374"/>
      <c r="Q1374" t="str">
        <f>IFERROR(VLOOKUP(Tabela1[[#This Row],[CC]],CC!$A$1:$H$389,5,0),"")</f>
        <v>CSA</v>
      </c>
      <c r="R1374" t="str">
        <f>IFERROR(VLOOKUP(Tabela1[[#This Row],[CC]],CC!$A$1:$H$389,6,0),"")</f>
        <v>FS</v>
      </c>
      <c r="S1374" t="str">
        <f>IFERROR(VLOOKUP(Tabela1[[#This Row],[CC]],CC!$A$1:$H$403,8,0),"")</f>
        <v>OP1</v>
      </c>
    </row>
    <row r="1375" spans="1:19" x14ac:dyDescent="0.3">
      <c r="A1375" s="25">
        <v>1512</v>
      </c>
      <c r="B1375" s="25" t="str">
        <f>IFERROR(VLOOKUP(Tabela1[[#This Row],[CC]],#REF!,5,0),"")</f>
        <v/>
      </c>
      <c r="C1375" t="str">
        <f>IFERROR(VLOOKUP(Tabela1[[#This Row],[CC]],CC!$A$1:$H$389,7,0),"")</f>
        <v>RITA ANDRADE</v>
      </c>
      <c r="D1375" t="str">
        <f>IFERROR(VLOOKUP(Tabela1[[#This Row],[CC]],CC!$A$1:$I$3869,3,0),"")</f>
        <v>BRADESCO_SEGUROS</v>
      </c>
      <c r="E1375" t="str">
        <f>IFERROR(VLOOKUP(Tabela1[[#This Row],[CC]],CC!$A$1:$H$389,2,0),"")</f>
        <v>BRADESCO SEGUROS (CSA) – BS2 (1512)</v>
      </c>
      <c r="F1375" t="s">
        <v>586</v>
      </c>
      <c r="G1375" s="107" t="s">
        <v>711</v>
      </c>
      <c r="H1375" s="12">
        <v>46082</v>
      </c>
      <c r="I1375" s="27">
        <v>640.45000000000005</v>
      </c>
      <c r="J1375" s="24">
        <v>601.05999999999995</v>
      </c>
      <c r="K1375" s="3">
        <v>46120</v>
      </c>
      <c r="L1375" s="147">
        <v>46132</v>
      </c>
      <c r="M1375" s="11">
        <v>46135</v>
      </c>
      <c r="N1375" s="1" t="s">
        <v>588</v>
      </c>
      <c r="O1375" s="35">
        <v>0</v>
      </c>
      <c r="P1375"/>
      <c r="Q1375" t="str">
        <f>IFERROR(VLOOKUP(Tabela1[[#This Row],[CC]],CC!$A$1:$H$389,5,0),"")</f>
        <v>CSA</v>
      </c>
      <c r="R1375" t="str">
        <f>IFERROR(VLOOKUP(Tabela1[[#This Row],[CC]],CC!$A$1:$H$389,6,0),"")</f>
        <v>FS</v>
      </c>
      <c r="S1375" t="str">
        <f>IFERROR(VLOOKUP(Tabela1[[#This Row],[CC]],CC!$A$1:$H$403,8,0),"")</f>
        <v>OP1</v>
      </c>
    </row>
    <row r="1376" spans="1:19" x14ac:dyDescent="0.3">
      <c r="A1376" s="25">
        <v>1512</v>
      </c>
      <c r="B1376" s="25" t="str">
        <f>IFERROR(VLOOKUP(Tabela1[[#This Row],[CC]],#REF!,5,0),"")</f>
        <v/>
      </c>
      <c r="C1376" t="str">
        <f>IFERROR(VLOOKUP(Tabela1[[#This Row],[CC]],CC!$A$1:$H$389,7,0),"")</f>
        <v>RITA ANDRADE</v>
      </c>
      <c r="D1376" t="str">
        <f>IFERROR(VLOOKUP(Tabela1[[#This Row],[CC]],CC!$A$1:$I$3869,3,0),"")</f>
        <v>BRADESCO_SEGUROS</v>
      </c>
      <c r="E1376" t="str">
        <f>IFERROR(VLOOKUP(Tabela1[[#This Row],[CC]],CC!$A$1:$H$389,2,0),"")</f>
        <v>BRADESCO SEGUROS (CSA) – BS2 (1512)</v>
      </c>
      <c r="F1376" t="s">
        <v>586</v>
      </c>
      <c r="G1376" s="107" t="s">
        <v>712</v>
      </c>
      <c r="H1376" s="12">
        <v>46082</v>
      </c>
      <c r="I1376" s="27">
        <v>8325.83</v>
      </c>
      <c r="J1376" s="24">
        <v>7813.79</v>
      </c>
      <c r="K1376" s="3">
        <v>46120</v>
      </c>
      <c r="L1376" s="147">
        <v>46132</v>
      </c>
      <c r="M1376" s="11">
        <v>46135</v>
      </c>
      <c r="N1376" s="1" t="s">
        <v>588</v>
      </c>
      <c r="O1376" s="35">
        <v>0</v>
      </c>
      <c r="P1376"/>
      <c r="Q1376" t="str">
        <f>IFERROR(VLOOKUP(Tabela1[[#This Row],[CC]],CC!$A$1:$H$389,5,0),"")</f>
        <v>CSA</v>
      </c>
      <c r="R1376" t="str">
        <f>IFERROR(VLOOKUP(Tabela1[[#This Row],[CC]],CC!$A$1:$H$389,6,0),"")</f>
        <v>FS</v>
      </c>
      <c r="S1376" t="str">
        <f>IFERROR(VLOOKUP(Tabela1[[#This Row],[CC]],CC!$A$1:$H$403,8,0),"")</f>
        <v>OP1</v>
      </c>
    </row>
    <row r="1377" spans="1:19" x14ac:dyDescent="0.3">
      <c r="A1377" s="25">
        <v>1512</v>
      </c>
      <c r="B1377" s="25" t="str">
        <f>IFERROR(VLOOKUP(Tabela1[[#This Row],[CC]],#REF!,5,0),"")</f>
        <v/>
      </c>
      <c r="C1377" t="str">
        <f>IFERROR(VLOOKUP(Tabela1[[#This Row],[CC]],CC!$A$1:$H$389,7,0),"")</f>
        <v>RITA ANDRADE</v>
      </c>
      <c r="D1377" t="str">
        <f>IFERROR(VLOOKUP(Tabela1[[#This Row],[CC]],CC!$A$1:$I$3869,3,0),"")</f>
        <v>BRADESCO_SEGUROS</v>
      </c>
      <c r="E1377" t="str">
        <f>IFERROR(VLOOKUP(Tabela1[[#This Row],[CC]],CC!$A$1:$H$389,2,0),"")</f>
        <v>BRADESCO SEGUROS (CSA) – BS2 (1512)</v>
      </c>
      <c r="F1377" t="s">
        <v>586</v>
      </c>
      <c r="G1377" s="107" t="s">
        <v>713</v>
      </c>
      <c r="H1377" s="12">
        <v>46082</v>
      </c>
      <c r="I1377" s="27">
        <v>640.45000000000005</v>
      </c>
      <c r="J1377" s="24">
        <v>601.05999999999995</v>
      </c>
      <c r="K1377" s="3">
        <v>46120</v>
      </c>
      <c r="L1377" s="147">
        <v>46132</v>
      </c>
      <c r="M1377" s="11">
        <v>46135</v>
      </c>
      <c r="N1377" s="1" t="s">
        <v>588</v>
      </c>
      <c r="O1377" s="35">
        <v>0</v>
      </c>
      <c r="P1377"/>
      <c r="Q1377" t="str">
        <f>IFERROR(VLOOKUP(Tabela1[[#This Row],[CC]],CC!$A$1:$H$389,5,0),"")</f>
        <v>CSA</v>
      </c>
      <c r="R1377" t="str">
        <f>IFERROR(VLOOKUP(Tabela1[[#This Row],[CC]],CC!$A$1:$H$389,6,0),"")</f>
        <v>FS</v>
      </c>
      <c r="S1377" t="str">
        <f>IFERROR(VLOOKUP(Tabela1[[#This Row],[CC]],CC!$A$1:$H$403,8,0),"")</f>
        <v>OP1</v>
      </c>
    </row>
    <row r="1378" spans="1:19" x14ac:dyDescent="0.3">
      <c r="A1378" s="25">
        <v>1512</v>
      </c>
      <c r="B1378" s="25" t="str">
        <f>IFERROR(VLOOKUP(Tabela1[[#This Row],[CC]],#REF!,5,0),"")</f>
        <v/>
      </c>
      <c r="C1378" t="str">
        <f>IFERROR(VLOOKUP(Tabela1[[#This Row],[CC]],CC!$A$1:$H$389,7,0),"")</f>
        <v>RITA ANDRADE</v>
      </c>
      <c r="D1378" t="str">
        <f>IFERROR(VLOOKUP(Tabela1[[#This Row],[CC]],CC!$A$1:$I$3869,3,0),"")</f>
        <v>BRADESCO_SEGUROS</v>
      </c>
      <c r="E1378" t="str">
        <f>IFERROR(VLOOKUP(Tabela1[[#This Row],[CC]],CC!$A$1:$H$389,2,0),"")</f>
        <v>BRADESCO SEGUROS (CSA) – BS2 (1512)</v>
      </c>
      <c r="F1378" t="s">
        <v>586</v>
      </c>
      <c r="G1378" s="107" t="s">
        <v>714</v>
      </c>
      <c r="H1378" s="12">
        <v>46082</v>
      </c>
      <c r="I1378" s="27">
        <v>8325.83</v>
      </c>
      <c r="J1378" s="24">
        <v>7813.79</v>
      </c>
      <c r="K1378" s="3">
        <v>46120</v>
      </c>
      <c r="L1378" s="147">
        <v>46132</v>
      </c>
      <c r="M1378" s="11">
        <v>46135</v>
      </c>
      <c r="N1378" s="1" t="s">
        <v>588</v>
      </c>
      <c r="O1378" s="35">
        <v>0</v>
      </c>
      <c r="P1378"/>
      <c r="Q1378" t="str">
        <f>IFERROR(VLOOKUP(Tabela1[[#This Row],[CC]],CC!$A$1:$H$389,5,0),"")</f>
        <v>CSA</v>
      </c>
      <c r="R1378" t="str">
        <f>IFERROR(VLOOKUP(Tabela1[[#This Row],[CC]],CC!$A$1:$H$389,6,0),"")</f>
        <v>FS</v>
      </c>
      <c r="S1378" t="str">
        <f>IFERROR(VLOOKUP(Tabela1[[#This Row],[CC]],CC!$A$1:$H$403,8,0),"")</f>
        <v>OP1</v>
      </c>
    </row>
    <row r="1379" spans="1:19" x14ac:dyDescent="0.3">
      <c r="A1379" s="25">
        <v>1512</v>
      </c>
      <c r="B1379" s="25" t="str">
        <f>IFERROR(VLOOKUP(Tabela1[[#This Row],[CC]],#REF!,5,0),"")</f>
        <v/>
      </c>
      <c r="C1379" t="str">
        <f>IFERROR(VLOOKUP(Tabela1[[#This Row],[CC]],CC!$A$1:$H$389,7,0),"")</f>
        <v>RITA ANDRADE</v>
      </c>
      <c r="D1379" t="str">
        <f>IFERROR(VLOOKUP(Tabela1[[#This Row],[CC]],CC!$A$1:$I$3869,3,0),"")</f>
        <v>BRADESCO_SEGUROS</v>
      </c>
      <c r="E1379" t="str">
        <f>IFERROR(VLOOKUP(Tabela1[[#This Row],[CC]],CC!$A$1:$H$389,2,0),"")</f>
        <v>BRADESCO SEGUROS (CSA) – BS2 (1512)</v>
      </c>
      <c r="F1379" t="s">
        <v>586</v>
      </c>
      <c r="G1379" s="107" t="s">
        <v>715</v>
      </c>
      <c r="H1379" s="12">
        <v>46082</v>
      </c>
      <c r="I1379" s="27">
        <v>37786.46</v>
      </c>
      <c r="J1379" s="24">
        <v>35462.589999999997</v>
      </c>
      <c r="K1379" s="3">
        <v>46120</v>
      </c>
      <c r="L1379" s="147">
        <v>46132</v>
      </c>
      <c r="M1379" s="11">
        <v>46135</v>
      </c>
      <c r="N1379" s="1" t="s">
        <v>588</v>
      </c>
      <c r="O1379" s="35">
        <v>0</v>
      </c>
      <c r="P1379"/>
      <c r="Q1379" t="str">
        <f>IFERROR(VLOOKUP(Tabela1[[#This Row],[CC]],CC!$A$1:$H$389,5,0),"")</f>
        <v>CSA</v>
      </c>
      <c r="R1379" t="str">
        <f>IFERROR(VLOOKUP(Tabela1[[#This Row],[CC]],CC!$A$1:$H$389,6,0),"")</f>
        <v>FS</v>
      </c>
      <c r="S1379" t="str">
        <f>IFERROR(VLOOKUP(Tabela1[[#This Row],[CC]],CC!$A$1:$H$403,8,0),"")</f>
        <v>OP1</v>
      </c>
    </row>
    <row r="1380" spans="1:19" x14ac:dyDescent="0.3">
      <c r="A1380" s="25">
        <v>1512</v>
      </c>
      <c r="B1380" s="25" t="str">
        <f>IFERROR(VLOOKUP(Tabela1[[#This Row],[CC]],#REF!,5,0),"")</f>
        <v/>
      </c>
      <c r="C1380" t="str">
        <f>IFERROR(VLOOKUP(Tabela1[[#This Row],[CC]],CC!$A$1:$H$389,7,0),"")</f>
        <v>RITA ANDRADE</v>
      </c>
      <c r="D1380" t="str">
        <f>IFERROR(VLOOKUP(Tabela1[[#This Row],[CC]],CC!$A$1:$I$3869,3,0),"")</f>
        <v>BRADESCO_SEGUROS</v>
      </c>
      <c r="E1380" t="str">
        <f>IFERROR(VLOOKUP(Tabela1[[#This Row],[CC]],CC!$A$1:$H$389,2,0),"")</f>
        <v>BRADESCO SEGUROS (CSA) – BS2 (1512)</v>
      </c>
      <c r="F1380" t="s">
        <v>586</v>
      </c>
      <c r="G1380" s="107" t="s">
        <v>716</v>
      </c>
      <c r="H1380" s="12">
        <v>46082</v>
      </c>
      <c r="I1380" s="27">
        <v>37786.46</v>
      </c>
      <c r="J1380" s="24">
        <v>35462.589999999997</v>
      </c>
      <c r="K1380" s="3">
        <v>46120</v>
      </c>
      <c r="L1380" s="147">
        <v>46132</v>
      </c>
      <c r="M1380" s="11">
        <v>46135</v>
      </c>
      <c r="N1380" s="1" t="s">
        <v>588</v>
      </c>
      <c r="O1380" s="35">
        <v>0</v>
      </c>
      <c r="P1380"/>
      <c r="Q1380" t="str">
        <f>IFERROR(VLOOKUP(Tabela1[[#This Row],[CC]],CC!$A$1:$H$389,5,0),"")</f>
        <v>CSA</v>
      </c>
      <c r="R1380" t="str">
        <f>IFERROR(VLOOKUP(Tabela1[[#This Row],[CC]],CC!$A$1:$H$389,6,0),"")</f>
        <v>FS</v>
      </c>
      <c r="S1380" t="str">
        <f>IFERROR(VLOOKUP(Tabela1[[#This Row],[CC]],CC!$A$1:$H$403,8,0),"")</f>
        <v>OP1</v>
      </c>
    </row>
    <row r="1381" spans="1:19" x14ac:dyDescent="0.3">
      <c r="A1381" s="25">
        <v>1512</v>
      </c>
      <c r="B1381" s="25" t="str">
        <f>IFERROR(VLOOKUP(Tabela1[[#This Row],[CC]],#REF!,5,0),"")</f>
        <v/>
      </c>
      <c r="C1381" t="str">
        <f>IFERROR(VLOOKUP(Tabela1[[#This Row],[CC]],CC!$A$1:$H$389,7,0),"")</f>
        <v>RITA ANDRADE</v>
      </c>
      <c r="D1381" t="str">
        <f>IFERROR(VLOOKUP(Tabela1[[#This Row],[CC]],CC!$A$1:$I$3869,3,0),"")</f>
        <v>BRADESCO_SEGUROS</v>
      </c>
      <c r="E1381" t="str">
        <f>IFERROR(VLOOKUP(Tabela1[[#This Row],[CC]],CC!$A$1:$H$389,2,0),"")</f>
        <v>BRADESCO SEGUROS (CSA) – BS2 (1512)</v>
      </c>
      <c r="F1381" t="s">
        <v>586</v>
      </c>
      <c r="G1381" s="107" t="s">
        <v>717</v>
      </c>
      <c r="H1381" s="12">
        <v>46082</v>
      </c>
      <c r="I1381" s="27">
        <v>17292.11</v>
      </c>
      <c r="J1381" s="24">
        <v>16228.65</v>
      </c>
      <c r="K1381" s="3">
        <v>46120</v>
      </c>
      <c r="L1381" s="147">
        <v>46132</v>
      </c>
      <c r="M1381" s="11">
        <v>46135</v>
      </c>
      <c r="N1381" s="1" t="s">
        <v>588</v>
      </c>
      <c r="O1381" s="35">
        <v>0</v>
      </c>
      <c r="P1381"/>
      <c r="Q1381" t="str">
        <f>IFERROR(VLOOKUP(Tabela1[[#This Row],[CC]],CC!$A$1:$H$389,5,0),"")</f>
        <v>CSA</v>
      </c>
      <c r="R1381" t="str">
        <f>IFERROR(VLOOKUP(Tabela1[[#This Row],[CC]],CC!$A$1:$H$389,6,0),"")</f>
        <v>FS</v>
      </c>
      <c r="S1381" t="str">
        <f>IFERROR(VLOOKUP(Tabela1[[#This Row],[CC]],CC!$A$1:$H$403,8,0),"")</f>
        <v>OP1</v>
      </c>
    </row>
    <row r="1382" spans="1:19" x14ac:dyDescent="0.3">
      <c r="A1382" s="25">
        <v>1512</v>
      </c>
      <c r="B1382" s="25" t="str">
        <f>IFERROR(VLOOKUP(Tabela1[[#This Row],[CC]],#REF!,5,0),"")</f>
        <v/>
      </c>
      <c r="C1382" t="str">
        <f>IFERROR(VLOOKUP(Tabela1[[#This Row],[CC]],CC!$A$1:$H$389,7,0),"")</f>
        <v>RITA ANDRADE</v>
      </c>
      <c r="D1382" t="str">
        <f>IFERROR(VLOOKUP(Tabela1[[#This Row],[CC]],CC!$A$1:$I$3869,3,0),"")</f>
        <v>BRADESCO_SEGUROS</v>
      </c>
      <c r="E1382" t="str">
        <f>IFERROR(VLOOKUP(Tabela1[[#This Row],[CC]],CC!$A$1:$H$389,2,0),"")</f>
        <v>BRADESCO SEGUROS (CSA) – BS2 (1512)</v>
      </c>
      <c r="F1382" t="s">
        <v>586</v>
      </c>
      <c r="G1382" s="107" t="s">
        <v>718</v>
      </c>
      <c r="H1382" s="12">
        <v>46082</v>
      </c>
      <c r="I1382" s="27">
        <v>640.45000000000005</v>
      </c>
      <c r="J1382" s="24">
        <v>601.05999999999995</v>
      </c>
      <c r="K1382" s="3">
        <v>46120</v>
      </c>
      <c r="L1382" s="147">
        <v>46132</v>
      </c>
      <c r="M1382" s="11">
        <v>46135</v>
      </c>
      <c r="N1382" s="1" t="s">
        <v>588</v>
      </c>
      <c r="O1382" s="35">
        <v>0</v>
      </c>
      <c r="P1382"/>
      <c r="Q1382" t="str">
        <f>IFERROR(VLOOKUP(Tabela1[[#This Row],[CC]],CC!$A$1:$H$389,5,0),"")</f>
        <v>CSA</v>
      </c>
      <c r="R1382" t="str">
        <f>IFERROR(VLOOKUP(Tabela1[[#This Row],[CC]],CC!$A$1:$H$389,6,0),"")</f>
        <v>FS</v>
      </c>
      <c r="S1382" t="str">
        <f>IFERROR(VLOOKUP(Tabela1[[#This Row],[CC]],CC!$A$1:$H$403,8,0),"")</f>
        <v>OP1</v>
      </c>
    </row>
    <row r="1383" spans="1:19" x14ac:dyDescent="0.3">
      <c r="A1383" s="25">
        <v>1512</v>
      </c>
      <c r="B1383" s="25" t="str">
        <f>IFERROR(VLOOKUP(Tabela1[[#This Row],[CC]],#REF!,5,0),"")</f>
        <v/>
      </c>
      <c r="C1383" t="str">
        <f>IFERROR(VLOOKUP(Tabela1[[#This Row],[CC]],CC!$A$1:$H$389,7,0),"")</f>
        <v>RITA ANDRADE</v>
      </c>
      <c r="D1383" t="str">
        <f>IFERROR(VLOOKUP(Tabela1[[#This Row],[CC]],CC!$A$1:$I$3869,3,0),"")</f>
        <v>BRADESCO_SEGUROS</v>
      </c>
      <c r="E1383" t="str">
        <f>IFERROR(VLOOKUP(Tabela1[[#This Row],[CC]],CC!$A$1:$H$389,2,0),"")</f>
        <v>BRADESCO SEGUROS (CSA) – BS2 (1512)</v>
      </c>
      <c r="F1383" t="s">
        <v>586</v>
      </c>
      <c r="G1383" s="107" t="s">
        <v>719</v>
      </c>
      <c r="H1383" s="12">
        <v>46082</v>
      </c>
      <c r="I1383" s="27">
        <v>8325.83</v>
      </c>
      <c r="J1383" s="24">
        <v>7813.79</v>
      </c>
      <c r="K1383" s="3">
        <v>46120</v>
      </c>
      <c r="L1383" s="147">
        <v>46132</v>
      </c>
      <c r="M1383" s="11">
        <v>46135</v>
      </c>
      <c r="N1383" s="1" t="s">
        <v>588</v>
      </c>
      <c r="O1383" s="35">
        <v>0</v>
      </c>
      <c r="P1383"/>
      <c r="Q1383" t="str">
        <f>IFERROR(VLOOKUP(Tabela1[[#This Row],[CC]],CC!$A$1:$H$389,5,0),"")</f>
        <v>CSA</v>
      </c>
      <c r="R1383" t="str">
        <f>IFERROR(VLOOKUP(Tabela1[[#This Row],[CC]],CC!$A$1:$H$389,6,0),"")</f>
        <v>FS</v>
      </c>
      <c r="S1383" t="str">
        <f>IFERROR(VLOOKUP(Tabela1[[#This Row],[CC]],CC!$A$1:$H$403,8,0),"")</f>
        <v>OP1</v>
      </c>
    </row>
    <row r="1384" spans="1:19" x14ac:dyDescent="0.3">
      <c r="A1384" s="25">
        <v>1512</v>
      </c>
      <c r="B1384" s="25" t="str">
        <f>IFERROR(VLOOKUP(Tabela1[[#This Row],[CC]],#REF!,5,0),"")</f>
        <v/>
      </c>
      <c r="C1384" t="str">
        <f>IFERROR(VLOOKUP(Tabela1[[#This Row],[CC]],CC!$A$1:$H$389,7,0),"")</f>
        <v>RITA ANDRADE</v>
      </c>
      <c r="D1384" t="str">
        <f>IFERROR(VLOOKUP(Tabela1[[#This Row],[CC]],CC!$A$1:$I$3869,3,0),"")</f>
        <v>BRADESCO_SEGUROS</v>
      </c>
      <c r="E1384" t="str">
        <f>IFERROR(VLOOKUP(Tabela1[[#This Row],[CC]],CC!$A$1:$H$389,2,0),"")</f>
        <v>BRADESCO SEGUROS (CSA) – BS2 (1512)</v>
      </c>
      <c r="F1384" t="s">
        <v>586</v>
      </c>
      <c r="G1384" s="107" t="s">
        <v>720</v>
      </c>
      <c r="H1384" s="12">
        <v>46082</v>
      </c>
      <c r="I1384" s="27">
        <v>17292.11</v>
      </c>
      <c r="J1384" s="24">
        <v>16228.65</v>
      </c>
      <c r="K1384" s="3">
        <v>46120</v>
      </c>
      <c r="L1384" s="147">
        <v>46132</v>
      </c>
      <c r="M1384" s="11">
        <v>46135</v>
      </c>
      <c r="N1384" s="1" t="s">
        <v>588</v>
      </c>
      <c r="O1384" s="35">
        <v>0</v>
      </c>
      <c r="P1384"/>
      <c r="Q1384" t="str">
        <f>IFERROR(VLOOKUP(Tabela1[[#This Row],[CC]],CC!$A$1:$H$389,5,0),"")</f>
        <v>CSA</v>
      </c>
      <c r="R1384" t="str">
        <f>IFERROR(VLOOKUP(Tabela1[[#This Row],[CC]],CC!$A$1:$H$389,6,0),"")</f>
        <v>FS</v>
      </c>
      <c r="S1384" t="str">
        <f>IFERROR(VLOOKUP(Tabela1[[#This Row],[CC]],CC!$A$1:$H$403,8,0),"")</f>
        <v>OP1</v>
      </c>
    </row>
    <row r="1385" spans="1:19" x14ac:dyDescent="0.3">
      <c r="A1385" s="25">
        <v>1512</v>
      </c>
      <c r="B1385" s="25" t="str">
        <f>IFERROR(VLOOKUP(Tabela1[[#This Row],[CC]],#REF!,5,0),"")</f>
        <v/>
      </c>
      <c r="C1385" t="str">
        <f>IFERROR(VLOOKUP(Tabela1[[#This Row],[CC]],CC!$A$1:$H$389,7,0),"")</f>
        <v>RITA ANDRADE</v>
      </c>
      <c r="D1385" t="str">
        <f>IFERROR(VLOOKUP(Tabela1[[#This Row],[CC]],CC!$A$1:$I$3869,3,0),"")</f>
        <v>BRADESCO_SEGUROS</v>
      </c>
      <c r="E1385" t="str">
        <f>IFERROR(VLOOKUP(Tabela1[[#This Row],[CC]],CC!$A$1:$H$389,2,0),"")</f>
        <v>BRADESCO SEGUROS (CSA) – BS2 (1512)</v>
      </c>
      <c r="F1385" t="s">
        <v>586</v>
      </c>
      <c r="G1385" s="107">
        <v>5141</v>
      </c>
      <c r="H1385" s="12">
        <v>46113</v>
      </c>
      <c r="I1385" s="24">
        <v>4550.55</v>
      </c>
      <c r="J1385" s="27">
        <v>4270.6899999999996</v>
      </c>
      <c r="K1385" s="3">
        <v>46155</v>
      </c>
      <c r="L1385" s="91">
        <v>46167</v>
      </c>
      <c r="M1385" s="11">
        <v>46170</v>
      </c>
      <c r="N1385" s="1" t="s">
        <v>588</v>
      </c>
      <c r="O1385" s="35">
        <v>0</v>
      </c>
      <c r="P1385"/>
      <c r="Q1385" t="str">
        <f>IFERROR(VLOOKUP(Tabela1[[#This Row],[CC]],CC!$A$1:$H$389,5,0),"")</f>
        <v>CSA</v>
      </c>
      <c r="R1385" t="str">
        <f>IFERROR(VLOOKUP(Tabela1[[#This Row],[CC]],CC!$A$1:$H$389,6,0),"")</f>
        <v>FS</v>
      </c>
      <c r="S1385" t="str">
        <f>IFERROR(VLOOKUP(Tabela1[[#This Row],[CC]],CC!$A$1:$H$403,8,0),"")</f>
        <v>OP1</v>
      </c>
    </row>
    <row r="1386" spans="1:19" x14ac:dyDescent="0.3">
      <c r="A1386" s="25">
        <v>1512</v>
      </c>
      <c r="B1386" s="25" t="str">
        <f>IFERROR(VLOOKUP(Tabela1[[#This Row],[CC]],#REF!,5,0),"")</f>
        <v/>
      </c>
      <c r="C1386" t="str">
        <f>IFERROR(VLOOKUP(Tabela1[[#This Row],[CC]],CC!$A$1:$H$389,7,0),"")</f>
        <v>RITA ANDRADE</v>
      </c>
      <c r="D1386" t="str">
        <f>IFERROR(VLOOKUP(Tabela1[[#This Row],[CC]],CC!$A$1:$I$3869,3,0),"")</f>
        <v>BRADESCO_SEGUROS</v>
      </c>
      <c r="E1386" t="str">
        <f>IFERROR(VLOOKUP(Tabela1[[#This Row],[CC]],CC!$A$1:$H$389,2,0),"")</f>
        <v>BRADESCO SEGUROS (CSA) – BS2 (1512)</v>
      </c>
      <c r="F1386" t="s">
        <v>586</v>
      </c>
      <c r="G1386" s="107">
        <v>5142</v>
      </c>
      <c r="H1386" s="12">
        <v>46113</v>
      </c>
      <c r="I1386" s="24">
        <v>168.54</v>
      </c>
      <c r="J1386" s="27">
        <v>158.16999999999999</v>
      </c>
      <c r="K1386" s="3">
        <v>46155</v>
      </c>
      <c r="L1386" s="91">
        <v>46167</v>
      </c>
      <c r="M1386" s="11">
        <v>46170</v>
      </c>
      <c r="N1386" s="1" t="s">
        <v>588</v>
      </c>
      <c r="O1386" s="35">
        <v>0</v>
      </c>
      <c r="P1386"/>
      <c r="Q1386" t="str">
        <f>IFERROR(VLOOKUP(Tabela1[[#This Row],[CC]],CC!$A$1:$H$389,5,0),"")</f>
        <v>CSA</v>
      </c>
      <c r="R1386" t="str">
        <f>IFERROR(VLOOKUP(Tabela1[[#This Row],[CC]],CC!$A$1:$H$389,6,0),"")</f>
        <v>FS</v>
      </c>
      <c r="S1386" t="str">
        <f>IFERROR(VLOOKUP(Tabela1[[#This Row],[CC]],CC!$A$1:$H$403,8,0),"")</f>
        <v>OP1</v>
      </c>
    </row>
    <row r="1387" spans="1:19" x14ac:dyDescent="0.3">
      <c r="A1387" s="25">
        <v>1512</v>
      </c>
      <c r="B1387" s="25" t="str">
        <f>IFERROR(VLOOKUP(Tabela1[[#This Row],[CC]],#REF!,5,0),"")</f>
        <v/>
      </c>
      <c r="C1387" t="str">
        <f>IFERROR(VLOOKUP(Tabela1[[#This Row],[CC]],CC!$A$1:$H$389,7,0),"")</f>
        <v>RITA ANDRADE</v>
      </c>
      <c r="D1387" t="str">
        <f>IFERROR(VLOOKUP(Tabela1[[#This Row],[CC]],CC!$A$1:$I$3869,3,0),"")</f>
        <v>BRADESCO_SEGUROS</v>
      </c>
      <c r="E1387" t="str">
        <f>IFERROR(VLOOKUP(Tabela1[[#This Row],[CC]],CC!$A$1:$H$389,2,0),"")</f>
        <v>BRADESCO SEGUROS (CSA) – BS2 (1512)</v>
      </c>
      <c r="F1387" t="s">
        <v>586</v>
      </c>
      <c r="G1387" s="107">
        <v>5143</v>
      </c>
      <c r="H1387" s="12">
        <v>46113</v>
      </c>
      <c r="I1387" s="24">
        <v>2191.0100000000002</v>
      </c>
      <c r="J1387" s="27">
        <v>2056.2600000000002</v>
      </c>
      <c r="K1387" s="3">
        <v>46155</v>
      </c>
      <c r="L1387" s="91">
        <v>46167</v>
      </c>
      <c r="M1387" s="11">
        <v>46170</v>
      </c>
      <c r="N1387" s="1" t="s">
        <v>588</v>
      </c>
      <c r="O1387" s="35">
        <v>0</v>
      </c>
      <c r="P1387"/>
      <c r="Q1387" t="str">
        <f>IFERROR(VLOOKUP(Tabela1[[#This Row],[CC]],CC!$A$1:$H$389,5,0),"")</f>
        <v>CSA</v>
      </c>
      <c r="R1387" t="str">
        <f>IFERROR(VLOOKUP(Tabela1[[#This Row],[CC]],CC!$A$1:$H$389,6,0),"")</f>
        <v>FS</v>
      </c>
      <c r="S1387" t="str">
        <f>IFERROR(VLOOKUP(Tabela1[[#This Row],[CC]],CC!$A$1:$H$403,8,0),"")</f>
        <v>OP1</v>
      </c>
    </row>
    <row r="1388" spans="1:19" x14ac:dyDescent="0.3">
      <c r="A1388" s="25">
        <v>1512</v>
      </c>
      <c r="B1388" s="25" t="str">
        <f>IFERROR(VLOOKUP(Tabela1[[#This Row],[CC]],#REF!,5,0),"")</f>
        <v/>
      </c>
      <c r="C1388" t="str">
        <f>IFERROR(VLOOKUP(Tabela1[[#This Row],[CC]],CC!$A$1:$H$389,7,0),"")</f>
        <v>RITA ANDRADE</v>
      </c>
      <c r="D1388" t="str">
        <f>IFERROR(VLOOKUP(Tabela1[[#This Row],[CC]],CC!$A$1:$I$3869,3,0),"")</f>
        <v>BRADESCO_SEGUROS</v>
      </c>
      <c r="E1388" t="str">
        <f>IFERROR(VLOOKUP(Tabela1[[#This Row],[CC]],CC!$A$1:$H$389,2,0),"")</f>
        <v>BRADESCO SEGUROS (CSA) – BS2 (1512)</v>
      </c>
      <c r="F1388" t="s">
        <v>586</v>
      </c>
      <c r="G1388" s="107">
        <v>5144</v>
      </c>
      <c r="H1388" s="12">
        <v>46113</v>
      </c>
      <c r="I1388" s="24">
        <v>9943.7900000000009</v>
      </c>
      <c r="J1388" s="27">
        <v>9332.24</v>
      </c>
      <c r="K1388" s="3">
        <v>46155</v>
      </c>
      <c r="L1388" s="91">
        <v>46167</v>
      </c>
      <c r="M1388" s="11">
        <v>46170</v>
      </c>
      <c r="N1388" s="1" t="s">
        <v>588</v>
      </c>
      <c r="O1388" s="35">
        <v>0</v>
      </c>
      <c r="P1388"/>
      <c r="Q1388" t="str">
        <f>IFERROR(VLOOKUP(Tabela1[[#This Row],[CC]],CC!$A$1:$H$389,5,0),"")</f>
        <v>CSA</v>
      </c>
      <c r="R1388" t="str">
        <f>IFERROR(VLOOKUP(Tabela1[[#This Row],[CC]],CC!$A$1:$H$389,6,0),"")</f>
        <v>FS</v>
      </c>
      <c r="S1388" t="str">
        <f>IFERROR(VLOOKUP(Tabela1[[#This Row],[CC]],CC!$A$1:$H$403,8,0),"")</f>
        <v>OP1</v>
      </c>
    </row>
    <row r="1389" spans="1:19" x14ac:dyDescent="0.3">
      <c r="A1389" s="25">
        <v>1512</v>
      </c>
      <c r="B1389" s="25" t="str">
        <f>IFERROR(VLOOKUP(Tabela1[[#This Row],[CC]],#REF!,5,0),"")</f>
        <v/>
      </c>
      <c r="C1389" t="str">
        <f>IFERROR(VLOOKUP(Tabela1[[#This Row],[CC]],CC!$A$1:$H$389,7,0),"")</f>
        <v>RITA ANDRADE</v>
      </c>
      <c r="D1389" t="str">
        <f>IFERROR(VLOOKUP(Tabela1[[#This Row],[CC]],CC!$A$1:$I$3869,3,0),"")</f>
        <v>BRADESCO_SEGUROS</v>
      </c>
      <c r="E1389" t="str">
        <f>IFERROR(VLOOKUP(Tabela1[[#This Row],[CC]],CC!$A$1:$H$389,2,0),"")</f>
        <v>BRADESCO SEGUROS (CSA) – BS2 (1512)</v>
      </c>
      <c r="F1389" t="s">
        <v>586</v>
      </c>
      <c r="G1389" s="107"/>
      <c r="H1389" s="12">
        <v>46143</v>
      </c>
      <c r="I1389" s="24">
        <v>64045</v>
      </c>
      <c r="J1389" s="27"/>
      <c r="K1389" s="3">
        <v>46174</v>
      </c>
      <c r="L1389" s="147">
        <v>46195</v>
      </c>
      <c r="M1389" s="11"/>
      <c r="N1389" s="1" t="s">
        <v>572</v>
      </c>
      <c r="O1389" s="35">
        <v>0</v>
      </c>
      <c r="P1389"/>
      <c r="Q1389" t="str">
        <f>IFERROR(VLOOKUP(Tabela1[[#This Row],[CC]],CC!$A$1:$H$389,5,0),"")</f>
        <v>CSA</v>
      </c>
      <c r="R1389" t="str">
        <f>IFERROR(VLOOKUP(Tabela1[[#This Row],[CC]],CC!$A$1:$H$389,6,0),"")</f>
        <v>FS</v>
      </c>
      <c r="S1389" t="str">
        <f>IFERROR(VLOOKUP(Tabela1[[#This Row],[CC]],CC!$A$1:$H$403,8,0),"")</f>
        <v>OP1</v>
      </c>
    </row>
    <row r="1390" spans="1:19" x14ac:dyDescent="0.3">
      <c r="A1390" s="25">
        <v>1512</v>
      </c>
      <c r="B1390" s="25" t="str">
        <f>IFERROR(VLOOKUP(Tabela1[[#This Row],[CC]],#REF!,5,0),"")</f>
        <v/>
      </c>
      <c r="C1390" t="str">
        <f>IFERROR(VLOOKUP(Tabela1[[#This Row],[CC]],CC!$A$1:$H$389,7,0),"")</f>
        <v>RITA ANDRADE</v>
      </c>
      <c r="D1390" t="str">
        <f>IFERROR(VLOOKUP(Tabela1[[#This Row],[CC]],CC!$A$1:$I$3869,3,0),"")</f>
        <v>BRADESCO_SEGUROS</v>
      </c>
      <c r="E1390" t="str">
        <f>IFERROR(VLOOKUP(Tabela1[[#This Row],[CC]],CC!$A$1:$H$389,2,0),"")</f>
        <v>BRADESCO SEGUROS (CSA) – BS2 (1512)</v>
      </c>
      <c r="F1390" t="s">
        <v>586</v>
      </c>
      <c r="G1390" s="107">
        <v>4958</v>
      </c>
      <c r="H1390" s="12">
        <v>46054</v>
      </c>
      <c r="I1390" s="24">
        <v>8325.83</v>
      </c>
      <c r="J1390" s="27">
        <v>7813.79</v>
      </c>
      <c r="K1390" s="3">
        <v>46097</v>
      </c>
      <c r="L1390" s="147">
        <v>46111</v>
      </c>
      <c r="M1390" s="11">
        <v>46112</v>
      </c>
      <c r="N1390" s="1" t="s">
        <v>588</v>
      </c>
      <c r="O1390" s="35">
        <v>0</v>
      </c>
      <c r="P1390"/>
      <c r="Q1390" t="str">
        <f>IFERROR(VLOOKUP(Tabela1[[#This Row],[CC]],CC!$A$1:$H$389,5,0),"")</f>
        <v>CSA</v>
      </c>
      <c r="R1390" t="str">
        <f>IFERROR(VLOOKUP(Tabela1[[#This Row],[CC]],CC!$A$1:$H$389,6,0),"")</f>
        <v>FS</v>
      </c>
      <c r="S1390" t="str">
        <f>IFERROR(VLOOKUP(Tabela1[[#This Row],[CC]],CC!$A$1:$H$403,8,0),"")</f>
        <v>OP1</v>
      </c>
    </row>
    <row r="1391" spans="1:19" x14ac:dyDescent="0.3">
      <c r="A1391" s="25">
        <v>1512</v>
      </c>
      <c r="B1391" s="25" t="str">
        <f>IFERROR(VLOOKUP(Tabela1[[#This Row],[CC]],#REF!,5,0),"")</f>
        <v/>
      </c>
      <c r="C1391" t="str">
        <f>IFERROR(VLOOKUP(Tabela1[[#This Row],[CC]],CC!$A$1:$H$389,7,0),"")</f>
        <v>RITA ANDRADE</v>
      </c>
      <c r="D1391" t="str">
        <f>IFERROR(VLOOKUP(Tabela1[[#This Row],[CC]],CC!$A$1:$I$3869,3,0),"")</f>
        <v>BRADESCO_SEGUROS</v>
      </c>
      <c r="E1391" t="str">
        <f>IFERROR(VLOOKUP(Tabela1[[#This Row],[CC]],CC!$A$1:$H$389,2,0),"")</f>
        <v>BRADESCO SEGUROS (CSA) – BS2 (1512)</v>
      </c>
      <c r="F1391" t="s">
        <v>586</v>
      </c>
      <c r="G1391" s="107">
        <v>4959</v>
      </c>
      <c r="H1391" s="12">
        <v>46054</v>
      </c>
      <c r="I1391" s="24">
        <v>640.45000000000005</v>
      </c>
      <c r="J1391" s="27">
        <v>601.05999999999995</v>
      </c>
      <c r="K1391" s="3">
        <v>46097</v>
      </c>
      <c r="L1391" s="147">
        <v>46111</v>
      </c>
      <c r="M1391" s="11">
        <v>46112</v>
      </c>
      <c r="N1391" s="1" t="s">
        <v>588</v>
      </c>
      <c r="O1391" s="35">
        <v>0</v>
      </c>
      <c r="P1391"/>
      <c r="Q1391" t="str">
        <f>IFERROR(VLOOKUP(Tabela1[[#This Row],[CC]],CC!$A$1:$H$389,5,0),"")</f>
        <v>CSA</v>
      </c>
      <c r="R1391" t="str">
        <f>IFERROR(VLOOKUP(Tabela1[[#This Row],[CC]],CC!$A$1:$H$389,6,0),"")</f>
        <v>FS</v>
      </c>
      <c r="S1391" t="str">
        <f>IFERROR(VLOOKUP(Tabela1[[#This Row],[CC]],CC!$A$1:$H$403,8,0),"")</f>
        <v>OP1</v>
      </c>
    </row>
    <row r="1392" spans="1:19" x14ac:dyDescent="0.3">
      <c r="A1392" s="25">
        <v>1512</v>
      </c>
      <c r="B1392" s="25" t="str">
        <f>IFERROR(VLOOKUP(Tabela1[[#This Row],[CC]],#REF!,5,0),"")</f>
        <v/>
      </c>
      <c r="C1392" t="str">
        <f>IFERROR(VLOOKUP(Tabela1[[#This Row],[CC]],CC!$A$1:$H$389,7,0),"")</f>
        <v>RITA ANDRADE</v>
      </c>
      <c r="D1392" t="str">
        <f>IFERROR(VLOOKUP(Tabela1[[#This Row],[CC]],CC!$A$1:$I$3869,3,0),"")</f>
        <v>BRADESCO_SEGUROS</v>
      </c>
      <c r="E1392" t="str">
        <f>IFERROR(VLOOKUP(Tabela1[[#This Row],[CC]],CC!$A$1:$H$389,2,0),"")</f>
        <v>BRADESCO SEGUROS (CSA) – BS2 (1512)</v>
      </c>
      <c r="F1392" t="s">
        <v>586</v>
      </c>
      <c r="G1392" s="107">
        <v>4960</v>
      </c>
      <c r="H1392" s="12">
        <v>46054</v>
      </c>
      <c r="I1392" s="24">
        <v>37786.46</v>
      </c>
      <c r="J1392" s="27">
        <v>35462.589999999997</v>
      </c>
      <c r="K1392" s="3">
        <v>46097</v>
      </c>
      <c r="L1392" s="147">
        <v>46111</v>
      </c>
      <c r="M1392" s="11">
        <v>46112</v>
      </c>
      <c r="N1392" s="1" t="s">
        <v>588</v>
      </c>
      <c r="O1392" s="35">
        <v>0</v>
      </c>
      <c r="P1392"/>
      <c r="Q1392" t="str">
        <f>IFERROR(VLOOKUP(Tabela1[[#This Row],[CC]],CC!$A$1:$H$389,5,0),"")</f>
        <v>CSA</v>
      </c>
      <c r="R1392" t="str">
        <f>IFERROR(VLOOKUP(Tabela1[[#This Row],[CC]],CC!$A$1:$H$389,6,0),"")</f>
        <v>FS</v>
      </c>
      <c r="S1392" t="str">
        <f>IFERROR(VLOOKUP(Tabela1[[#This Row],[CC]],CC!$A$1:$H$403,8,0),"")</f>
        <v>OP1</v>
      </c>
    </row>
    <row r="1393" spans="1:19" x14ac:dyDescent="0.3">
      <c r="A1393" s="25">
        <v>1512</v>
      </c>
      <c r="B1393" s="25" t="str">
        <f>IFERROR(VLOOKUP(Tabela1[[#This Row],[CC]],#REF!,5,0),"")</f>
        <v/>
      </c>
      <c r="C1393" t="str">
        <f>IFERROR(VLOOKUP(Tabela1[[#This Row],[CC]],CC!$A$1:$H$389,7,0),"")</f>
        <v>RITA ANDRADE</v>
      </c>
      <c r="D1393" t="str">
        <f>IFERROR(VLOOKUP(Tabela1[[#This Row],[CC]],CC!$A$1:$I$3869,3,0),"")</f>
        <v>BRADESCO_SEGUROS</v>
      </c>
      <c r="E1393" t="str">
        <f>IFERROR(VLOOKUP(Tabela1[[#This Row],[CC]],CC!$A$1:$H$389,2,0),"")</f>
        <v>BRADESCO SEGUROS (CSA) – BS2 (1512)</v>
      </c>
      <c r="F1393" t="s">
        <v>586</v>
      </c>
      <c r="G1393" s="107">
        <v>4961</v>
      </c>
      <c r="H1393" s="12">
        <v>46054</v>
      </c>
      <c r="I1393" s="24">
        <v>17292.11</v>
      </c>
      <c r="J1393" s="27">
        <v>16228.65</v>
      </c>
      <c r="K1393" s="3">
        <v>46097</v>
      </c>
      <c r="L1393" s="147">
        <v>46111</v>
      </c>
      <c r="M1393" s="11">
        <v>46112</v>
      </c>
      <c r="N1393" s="1" t="s">
        <v>588</v>
      </c>
      <c r="O1393" s="35">
        <v>0</v>
      </c>
      <c r="P1393"/>
      <c r="Q1393" t="str">
        <f>IFERROR(VLOOKUP(Tabela1[[#This Row],[CC]],CC!$A$1:$H$389,5,0),"")</f>
        <v>CSA</v>
      </c>
      <c r="R1393" t="str">
        <f>IFERROR(VLOOKUP(Tabela1[[#This Row],[CC]],CC!$A$1:$H$389,6,0),"")</f>
        <v>FS</v>
      </c>
      <c r="S1393" t="str">
        <f>IFERROR(VLOOKUP(Tabela1[[#This Row],[CC]],CC!$A$1:$H$403,8,0),"")</f>
        <v>OP1</v>
      </c>
    </row>
    <row r="1394" spans="1:19" x14ac:dyDescent="0.3">
      <c r="A1394" s="25">
        <v>1507</v>
      </c>
      <c r="B1394" s="25" t="str">
        <f>IFERROR(VLOOKUP(Tabela1[[#This Row],[CC]],#REF!,5,0),"")</f>
        <v/>
      </c>
      <c r="C1394" t="str">
        <f>IFERROR(VLOOKUP(Tabela1[[#This Row],[CC]],CC!$A$1:$H$389,7,0),"")</f>
        <v>RITA ANDRADE</v>
      </c>
      <c r="D1394" t="str">
        <f>IFERROR(VLOOKUP(Tabela1[[#This Row],[CC]],CC!$A$1:$I$3869,3,0),"")</f>
        <v>BRADESCO_SEGUROS</v>
      </c>
      <c r="E1394" t="str">
        <f>IFERROR(VLOOKUP(Tabela1[[#This Row],[CC]],CC!$A$1:$H$389,2,0),"")</f>
        <v>BRADESCO SEGUROS (ADS) – BS2 (1507)</v>
      </c>
      <c r="F1394" t="s">
        <v>586</v>
      </c>
      <c r="G1394" s="107">
        <v>4487</v>
      </c>
      <c r="H1394" s="12">
        <v>45931</v>
      </c>
      <c r="I1394" s="27">
        <v>48434.61</v>
      </c>
      <c r="J1394" s="27">
        <v>45455.88</v>
      </c>
      <c r="K1394" s="3">
        <v>45964</v>
      </c>
      <c r="L1394" s="147">
        <v>45978</v>
      </c>
      <c r="M1394" s="11">
        <v>45979</v>
      </c>
      <c r="N1394" s="1" t="s">
        <v>588</v>
      </c>
      <c r="O1394" s="35">
        <v>0</v>
      </c>
      <c r="P1394"/>
      <c r="Q1394" t="str">
        <f>IFERROR(VLOOKUP(Tabela1[[#This Row],[CC]],CC!$A$1:$H$389,5,0),"")</f>
        <v>ADS</v>
      </c>
      <c r="R1394" t="str">
        <f>IFERROR(VLOOKUP(Tabela1[[#This Row],[CC]],CC!$A$1:$H$389,6,0),"")</f>
        <v>FS</v>
      </c>
      <c r="S1394" t="str">
        <f>IFERROR(VLOOKUP(Tabela1[[#This Row],[CC]],CC!$A$1:$H$403,8,0),"")</f>
        <v>OP1</v>
      </c>
    </row>
    <row r="1395" spans="1:19" x14ac:dyDescent="0.3">
      <c r="A1395" s="25">
        <v>1507</v>
      </c>
      <c r="B1395" s="25" t="str">
        <f>IFERROR(VLOOKUP(Tabela1[[#This Row],[CC]],#REF!,5,0),"")</f>
        <v/>
      </c>
      <c r="C1395" t="str">
        <f>IFERROR(VLOOKUP(Tabela1[[#This Row],[CC]],CC!$A$1:$H$389,7,0),"")</f>
        <v>RITA ANDRADE</v>
      </c>
      <c r="D1395" t="str">
        <f>IFERROR(VLOOKUP(Tabela1[[#This Row],[CC]],CC!$A$1:$I$3869,3,0),"")</f>
        <v>BRADESCO_SEGUROS</v>
      </c>
      <c r="E1395" t="str">
        <f>IFERROR(VLOOKUP(Tabela1[[#This Row],[CC]],CC!$A$1:$H$389,2,0),"")</f>
        <v>BRADESCO SEGUROS (ADS) – BS2 (1507)</v>
      </c>
      <c r="F1395" t="s">
        <v>586</v>
      </c>
      <c r="G1395" s="107">
        <v>4488</v>
      </c>
      <c r="H1395" s="12">
        <v>45931</v>
      </c>
      <c r="I1395" s="27">
        <v>48434.61</v>
      </c>
      <c r="J1395" s="27">
        <v>45455.88</v>
      </c>
      <c r="K1395" s="3">
        <v>45964</v>
      </c>
      <c r="L1395" s="147">
        <v>45978</v>
      </c>
      <c r="M1395" s="11">
        <v>45979</v>
      </c>
      <c r="N1395" s="1" t="s">
        <v>588</v>
      </c>
      <c r="O1395" s="35">
        <v>0</v>
      </c>
      <c r="P1395"/>
      <c r="Q1395" t="str">
        <f>IFERROR(VLOOKUP(Tabela1[[#This Row],[CC]],CC!$A$1:$H$389,5,0),"")</f>
        <v>ADS</v>
      </c>
      <c r="R1395" t="str">
        <f>IFERROR(VLOOKUP(Tabela1[[#This Row],[CC]],CC!$A$1:$H$389,6,0),"")</f>
        <v>FS</v>
      </c>
      <c r="S1395" t="str">
        <f>IFERROR(VLOOKUP(Tabela1[[#This Row],[CC]],CC!$A$1:$H$403,8,0),"")</f>
        <v>OP1</v>
      </c>
    </row>
    <row r="1396" spans="1:19" x14ac:dyDescent="0.3">
      <c r="A1396" s="25">
        <v>1292</v>
      </c>
      <c r="B1396" s="25" t="str">
        <f>IFERROR(VLOOKUP(Tabela1[[#This Row],[CC]],#REF!,5,0),"")</f>
        <v/>
      </c>
      <c r="C1396" t="str">
        <f>IFERROR(VLOOKUP(Tabela1[[#This Row],[CC]],CC!$A$1:$H$389,7,0),"")</f>
        <v>RITA ANDRADE</v>
      </c>
      <c r="D1396" t="str">
        <f>IFERROR(VLOOKUP(Tabela1[[#This Row],[CC]],CC!$A$1:$I$3869,3,0),"")</f>
        <v>BRADESCO_SEGUROS</v>
      </c>
      <c r="E1396" t="str">
        <f>IFERROR(VLOOKUP(Tabela1[[#This Row],[CC]],CC!$A$1:$H$389,2,0),"")</f>
        <v>BRADESCO - SEGUROS (1292)</v>
      </c>
      <c r="F1396" t="s">
        <v>586</v>
      </c>
      <c r="G1396" s="107">
        <v>4530</v>
      </c>
      <c r="H1396" s="12">
        <v>45931</v>
      </c>
      <c r="I1396" s="27">
        <v>119185.65</v>
      </c>
      <c r="J1396" s="27">
        <v>111855.74</v>
      </c>
      <c r="K1396" s="3">
        <v>45975</v>
      </c>
      <c r="L1396" s="147">
        <v>45992</v>
      </c>
      <c r="M1396" s="11">
        <v>45992</v>
      </c>
      <c r="N1396" s="1" t="s">
        <v>588</v>
      </c>
      <c r="O1396" s="35"/>
      <c r="P1396"/>
      <c r="Q1396" t="str">
        <f>IFERROR(VLOOKUP(Tabela1[[#This Row],[CC]],CC!$A$1:$H$389,5,0),"")</f>
        <v>ADS</v>
      </c>
      <c r="R1396" t="str">
        <f>IFERROR(VLOOKUP(Tabela1[[#This Row],[CC]],CC!$A$1:$H$389,6,0),"")</f>
        <v>FS</v>
      </c>
      <c r="S1396" t="str">
        <f>IFERROR(VLOOKUP(Tabela1[[#This Row],[CC]],CC!$A$1:$H$403,8,0),"")</f>
        <v>OP1</v>
      </c>
    </row>
    <row r="1397" spans="1:19" x14ac:dyDescent="0.3">
      <c r="A1397" s="25">
        <v>1387</v>
      </c>
      <c r="B1397" s="25" t="str">
        <f>IFERROR(VLOOKUP(Tabela1[[#This Row],[CC]],#REF!,5,0),"")</f>
        <v/>
      </c>
      <c r="C1397" t="str">
        <f>IFERROR(VLOOKUP(Tabela1[[#This Row],[CC]],CC!$A$1:$H$389,7,0),"")</f>
        <v>RITA ANDRADE</v>
      </c>
      <c r="D1397" t="str">
        <f>IFERROR(VLOOKUP(Tabela1[[#This Row],[CC]],CC!$A$1:$I$3869,3,0),"")</f>
        <v>SERASA</v>
      </c>
      <c r="E1397" t="str">
        <f>IFERROR(VLOOKUP(Tabela1[[#This Row],[CC]],CC!$A$1:$H$389,2,0),"")</f>
        <v>SERASA DC (1387)</v>
      </c>
      <c r="F1397" t="s">
        <v>586</v>
      </c>
      <c r="G1397" s="107">
        <v>4601</v>
      </c>
      <c r="H1397" s="12">
        <v>45962</v>
      </c>
      <c r="I1397" s="24">
        <v>74751.360000000001</v>
      </c>
      <c r="J1397" s="24">
        <v>70154.16</v>
      </c>
      <c r="K1397" s="3">
        <v>45992</v>
      </c>
      <c r="L1397" s="147">
        <v>46006</v>
      </c>
      <c r="M1397" s="11">
        <v>46006</v>
      </c>
      <c r="N1397" s="18" t="s">
        <v>588</v>
      </c>
      <c r="O1397" s="35"/>
      <c r="P1397"/>
      <c r="Q1397" t="str">
        <f>IFERROR(VLOOKUP(Tabela1[[#This Row],[CC]],CC!$A$1:$H$389,5,0),"")</f>
        <v>CSA</v>
      </c>
      <c r="R1397" t="str">
        <f>IFERROR(VLOOKUP(Tabela1[[#This Row],[CC]],CC!$A$1:$H$389,6,0),"")</f>
        <v>FS</v>
      </c>
      <c r="S1397" t="str">
        <f>IFERROR(VLOOKUP(Tabela1[[#This Row],[CC]],CC!$A$1:$H$403,8,0),"")</f>
        <v>OP1</v>
      </c>
    </row>
    <row r="1398" spans="1:19" x14ac:dyDescent="0.3">
      <c r="A1398" s="25">
        <v>1292</v>
      </c>
      <c r="B1398" s="25" t="str">
        <f>IFERROR(VLOOKUP(Tabela1[[#This Row],[CC]],#REF!,5,0),"")</f>
        <v/>
      </c>
      <c r="C1398" t="str">
        <f>IFERROR(VLOOKUP(Tabela1[[#This Row],[CC]],CC!$A$1:$H$389,7,0),"")</f>
        <v>RITA ANDRADE</v>
      </c>
      <c r="D1398" t="str">
        <f>IFERROR(VLOOKUP(Tabela1[[#This Row],[CC]],CC!$A$1:$I$3869,3,0),"")</f>
        <v>BRADESCO_SEGUROS</v>
      </c>
      <c r="E1398" t="str">
        <f>IFERROR(VLOOKUP(Tabela1[[#This Row],[CC]],CC!$A$1:$H$389,2,0),"")</f>
        <v>BRADESCO - SEGUROS (1292)</v>
      </c>
      <c r="F1398" t="s">
        <v>586</v>
      </c>
      <c r="G1398" s="107">
        <v>4536</v>
      </c>
      <c r="H1398" s="12">
        <v>45931</v>
      </c>
      <c r="I1398" s="27">
        <v>6137.45</v>
      </c>
      <c r="J1398" s="27">
        <v>5760</v>
      </c>
      <c r="K1398" s="3">
        <v>45979</v>
      </c>
      <c r="L1398" s="147">
        <v>45992</v>
      </c>
      <c r="M1398" s="11">
        <v>45994</v>
      </c>
      <c r="N1398" s="1" t="s">
        <v>588</v>
      </c>
      <c r="O1398" s="35"/>
      <c r="P1398"/>
      <c r="Q1398" t="str">
        <f>IFERROR(VLOOKUP(Tabela1[[#This Row],[CC]],CC!$A$1:$H$389,5,0),"")</f>
        <v>ADS</v>
      </c>
      <c r="R1398" t="str">
        <f>IFERROR(VLOOKUP(Tabela1[[#This Row],[CC]],CC!$A$1:$H$389,6,0),"")</f>
        <v>FS</v>
      </c>
      <c r="S1398" t="str">
        <f>IFERROR(VLOOKUP(Tabela1[[#This Row],[CC]],CC!$A$1:$H$403,8,0),"")</f>
        <v>OP1</v>
      </c>
    </row>
    <row r="1399" spans="1:19" x14ac:dyDescent="0.3">
      <c r="A1399" s="25">
        <v>1292</v>
      </c>
      <c r="B1399" s="25" t="str">
        <f>IFERROR(VLOOKUP(Tabela1[[#This Row],[CC]],#REF!,5,0),"")</f>
        <v/>
      </c>
      <c r="C1399" t="str">
        <f>IFERROR(VLOOKUP(Tabela1[[#This Row],[CC]],CC!$A$1:$H$389,7,0),"")</f>
        <v>RITA ANDRADE</v>
      </c>
      <c r="D1399" t="str">
        <f>IFERROR(VLOOKUP(Tabela1[[#This Row],[CC]],CC!$A$1:$I$3869,3,0),"")</f>
        <v>BRADESCO_SEGUROS</v>
      </c>
      <c r="E1399" t="str">
        <f>IFERROR(VLOOKUP(Tabela1[[#This Row],[CC]],CC!$A$1:$H$389,2,0),"")</f>
        <v>BRADESCO - SEGUROS (1292)</v>
      </c>
      <c r="F1399" t="s">
        <v>586</v>
      </c>
      <c r="G1399" s="107">
        <v>4537</v>
      </c>
      <c r="H1399" s="12">
        <v>45931</v>
      </c>
      <c r="I1399" s="27">
        <v>6137.45</v>
      </c>
      <c r="J1399" s="27">
        <v>5760</v>
      </c>
      <c r="K1399" s="3">
        <v>45979</v>
      </c>
      <c r="L1399" s="147">
        <v>45992</v>
      </c>
      <c r="M1399" s="11">
        <v>45994</v>
      </c>
      <c r="N1399" s="1" t="s">
        <v>588</v>
      </c>
      <c r="O1399" s="35"/>
      <c r="P1399"/>
      <c r="Q1399" t="str">
        <f>IFERROR(VLOOKUP(Tabela1[[#This Row],[CC]],CC!$A$1:$H$389,5,0),"")</f>
        <v>ADS</v>
      </c>
      <c r="R1399" t="str">
        <f>IFERROR(VLOOKUP(Tabela1[[#This Row],[CC]],CC!$A$1:$H$389,6,0),"")</f>
        <v>FS</v>
      </c>
      <c r="S1399" t="str">
        <f>IFERROR(VLOOKUP(Tabela1[[#This Row],[CC]],CC!$A$1:$H$403,8,0),"")</f>
        <v>OP1</v>
      </c>
    </row>
    <row r="1400" spans="1:19" x14ac:dyDescent="0.3">
      <c r="A1400" s="25">
        <v>1292</v>
      </c>
      <c r="B1400" s="25" t="str">
        <f>IFERROR(VLOOKUP(Tabela1[[#This Row],[CC]],#REF!,5,0),"")</f>
        <v/>
      </c>
      <c r="C1400" t="str">
        <f>IFERROR(VLOOKUP(Tabela1[[#This Row],[CC]],CC!$A$1:$H$389,7,0),"")</f>
        <v>RITA ANDRADE</v>
      </c>
      <c r="D1400" t="str">
        <f>IFERROR(VLOOKUP(Tabela1[[#This Row],[CC]],CC!$A$1:$I$3869,3,0),"")</f>
        <v>BRADESCO_SEGUROS</v>
      </c>
      <c r="E1400" t="str">
        <f>IFERROR(VLOOKUP(Tabela1[[#This Row],[CC]],CC!$A$1:$H$389,2,0),"")</f>
        <v>BRADESCO - SEGUROS (1292)</v>
      </c>
      <c r="F1400" t="s">
        <v>586</v>
      </c>
      <c r="G1400" s="107">
        <v>4538</v>
      </c>
      <c r="H1400" s="12">
        <v>45931</v>
      </c>
      <c r="I1400" s="27">
        <v>6137.45</v>
      </c>
      <c r="J1400" s="27">
        <v>5760</v>
      </c>
      <c r="K1400" s="3">
        <v>45979</v>
      </c>
      <c r="L1400" s="147">
        <v>45992</v>
      </c>
      <c r="M1400" s="11">
        <v>45994</v>
      </c>
      <c r="N1400" s="1" t="s">
        <v>588</v>
      </c>
      <c r="O1400" s="35"/>
      <c r="P1400"/>
      <c r="Q1400" t="str">
        <f>IFERROR(VLOOKUP(Tabela1[[#This Row],[CC]],CC!$A$1:$H$389,5,0),"")</f>
        <v>ADS</v>
      </c>
      <c r="R1400" t="str">
        <f>IFERROR(VLOOKUP(Tabela1[[#This Row],[CC]],CC!$A$1:$H$389,6,0),"")</f>
        <v>FS</v>
      </c>
      <c r="S1400" t="str">
        <f>IFERROR(VLOOKUP(Tabela1[[#This Row],[CC]],CC!$A$1:$H$403,8,0),"")</f>
        <v>OP1</v>
      </c>
    </row>
    <row r="1401" spans="1:19" x14ac:dyDescent="0.3">
      <c r="A1401" s="25">
        <v>1292</v>
      </c>
      <c r="B1401" s="25" t="str">
        <f>IFERROR(VLOOKUP(Tabela1[[#This Row],[CC]],#REF!,5,0),"")</f>
        <v/>
      </c>
      <c r="C1401" t="str">
        <f>IFERROR(VLOOKUP(Tabela1[[#This Row],[CC]],CC!$A$1:$H$389,7,0),"")</f>
        <v>RITA ANDRADE</v>
      </c>
      <c r="D1401" t="str">
        <f>IFERROR(VLOOKUP(Tabela1[[#This Row],[CC]],CC!$A$1:$I$3869,3,0),"")</f>
        <v>BRADESCO_SEGUROS</v>
      </c>
      <c r="E1401" t="str">
        <f>IFERROR(VLOOKUP(Tabela1[[#This Row],[CC]],CC!$A$1:$H$389,2,0),"")</f>
        <v>BRADESCO - SEGUROS (1292)</v>
      </c>
      <c r="F1401" t="s">
        <v>586</v>
      </c>
      <c r="G1401" s="107">
        <v>4539</v>
      </c>
      <c r="H1401" s="12">
        <v>45931</v>
      </c>
      <c r="I1401" s="27">
        <v>6137.45</v>
      </c>
      <c r="J1401" s="27">
        <v>5760</v>
      </c>
      <c r="K1401" s="3">
        <v>45979</v>
      </c>
      <c r="L1401" s="147">
        <v>45992</v>
      </c>
      <c r="M1401" s="11">
        <v>45994</v>
      </c>
      <c r="N1401" s="1" t="s">
        <v>588</v>
      </c>
      <c r="O1401" s="35"/>
      <c r="P1401"/>
      <c r="Q1401" t="str">
        <f>IFERROR(VLOOKUP(Tabela1[[#This Row],[CC]],CC!$A$1:$H$389,5,0),"")</f>
        <v>ADS</v>
      </c>
      <c r="R1401" t="str">
        <f>IFERROR(VLOOKUP(Tabela1[[#This Row],[CC]],CC!$A$1:$H$389,6,0),"")</f>
        <v>FS</v>
      </c>
      <c r="S1401" t="str">
        <f>IFERROR(VLOOKUP(Tabela1[[#This Row],[CC]],CC!$A$1:$H$403,8,0),"")</f>
        <v>OP1</v>
      </c>
    </row>
    <row r="1402" spans="1:19" x14ac:dyDescent="0.3">
      <c r="A1402" s="25">
        <v>1484</v>
      </c>
      <c r="B1402" s="25" t="str">
        <f>IFERROR(VLOOKUP(Tabela1[[#This Row],[CC]],#REF!,5,0),"")</f>
        <v/>
      </c>
      <c r="C1402" t="str">
        <f>IFERROR(VLOOKUP(Tabela1[[#This Row],[CC]],CC!$A$1:$H$389,7,0),"")</f>
        <v>RITA ANDRADE</v>
      </c>
      <c r="D1402" t="str">
        <f>IFERROR(VLOOKUP(Tabela1[[#This Row],[CC]],CC!$A$1:$I$3869,3,0),"")</f>
        <v>BRADESCO_SEGUROS</v>
      </c>
      <c r="E1402" t="str">
        <f>IFERROR(VLOOKUP(Tabela1[[#This Row],[CC]],CC!$A$1:$H$389,2,0),"")</f>
        <v>BRADESCO - SEGUROS (BPS) (1484)</v>
      </c>
      <c r="F1402" t="s">
        <v>586</v>
      </c>
      <c r="G1402" s="107">
        <v>4534</v>
      </c>
      <c r="H1402" s="12">
        <v>45931</v>
      </c>
      <c r="I1402" s="27">
        <v>36601.06</v>
      </c>
      <c r="J1402" s="27">
        <v>34350.089999999997</v>
      </c>
      <c r="K1402" s="3">
        <v>45979</v>
      </c>
      <c r="L1402" s="147">
        <v>45992</v>
      </c>
      <c r="M1402" s="11">
        <v>45994</v>
      </c>
      <c r="N1402" s="1" t="s">
        <v>588</v>
      </c>
      <c r="O1402" s="35">
        <v>0</v>
      </c>
      <c r="P1402"/>
      <c r="Q1402" t="str">
        <f>IFERROR(VLOOKUP(Tabela1[[#This Row],[CC]],CC!$A$1:$H$389,5,0),"")</f>
        <v>BPS</v>
      </c>
      <c r="R1402" t="str">
        <f>IFERROR(VLOOKUP(Tabela1[[#This Row],[CC]],CC!$A$1:$H$389,6,0),"")</f>
        <v>FS</v>
      </c>
      <c r="S1402" t="str">
        <f>IFERROR(VLOOKUP(Tabela1[[#This Row],[CC]],CC!$A$1:$H$403,8,0),"")</f>
        <v>OP1</v>
      </c>
    </row>
    <row r="1403" spans="1:19" x14ac:dyDescent="0.3">
      <c r="A1403" s="25">
        <v>1484</v>
      </c>
      <c r="B1403" s="25" t="str">
        <f>IFERROR(VLOOKUP(Tabela1[[#This Row],[CC]],#REF!,5,0),"")</f>
        <v/>
      </c>
      <c r="C1403" t="str">
        <f>IFERROR(VLOOKUP(Tabela1[[#This Row],[CC]],CC!$A$1:$H$389,7,0),"")</f>
        <v>RITA ANDRADE</v>
      </c>
      <c r="D1403" t="str">
        <f>IFERROR(VLOOKUP(Tabela1[[#This Row],[CC]],CC!$A$1:$I$3869,3,0),"")</f>
        <v>BRADESCO_SEGUROS</v>
      </c>
      <c r="E1403" t="str">
        <f>IFERROR(VLOOKUP(Tabela1[[#This Row],[CC]],CC!$A$1:$H$389,2,0),"")</f>
        <v>BRADESCO - SEGUROS (BPS) (1484)</v>
      </c>
      <c r="F1403" t="s">
        <v>586</v>
      </c>
      <c r="G1403" s="107">
        <v>4535</v>
      </c>
      <c r="H1403" s="12">
        <v>45931</v>
      </c>
      <c r="I1403" s="27">
        <v>42265.08</v>
      </c>
      <c r="J1403" s="27">
        <v>39665.769999999997</v>
      </c>
      <c r="K1403" s="3">
        <v>45979</v>
      </c>
      <c r="L1403" s="147">
        <v>46006</v>
      </c>
      <c r="M1403" s="11">
        <v>46007</v>
      </c>
      <c r="N1403" s="1" t="s">
        <v>588</v>
      </c>
      <c r="O1403" s="35">
        <v>0</v>
      </c>
      <c r="P1403"/>
      <c r="Q1403" t="str">
        <f>IFERROR(VLOOKUP(Tabela1[[#This Row],[CC]],CC!$A$1:$H$389,5,0),"")</f>
        <v>BPS</v>
      </c>
      <c r="R1403" t="str">
        <f>IFERROR(VLOOKUP(Tabela1[[#This Row],[CC]],CC!$A$1:$H$389,6,0),"")</f>
        <v>FS</v>
      </c>
      <c r="S1403" t="str">
        <f>IFERROR(VLOOKUP(Tabela1[[#This Row],[CC]],CC!$A$1:$H$403,8,0),"")</f>
        <v>OP1</v>
      </c>
    </row>
    <row r="1404" spans="1:19" x14ac:dyDescent="0.3">
      <c r="A1404" s="25">
        <v>1398</v>
      </c>
      <c r="B1404" s="25" t="str">
        <f>IFERROR(VLOOKUP(Tabela1[[#This Row],[CC]],#REF!,5,0),"")</f>
        <v/>
      </c>
      <c r="C1404" t="str">
        <f>IFERROR(VLOOKUP(Tabela1[[#This Row],[CC]],CC!$A$1:$H$389,7,0),"")</f>
        <v>RODRIGO CORUMBA</v>
      </c>
      <c r="D1404" t="str">
        <f>IFERROR(VLOOKUP(Tabela1[[#This Row],[CC]],CC!$A$1:$I$3869,3,0),"")</f>
        <v>COMPASS</v>
      </c>
      <c r="E1404" t="str">
        <f>IFERROR(VLOOKUP(Tabela1[[#This Row],[CC]],CC!$A$1:$H$389,2,0),"")</f>
        <v>COMPASS (1398)</v>
      </c>
      <c r="F1404" t="s">
        <v>586</v>
      </c>
      <c r="G1404" s="107">
        <v>8559</v>
      </c>
      <c r="H1404" s="12">
        <v>45870</v>
      </c>
      <c r="I1404" s="27">
        <v>22241.65</v>
      </c>
      <c r="J1404" s="27">
        <v>20873.79</v>
      </c>
      <c r="K1404" s="3">
        <v>45943</v>
      </c>
      <c r="L1404" s="147">
        <v>46006</v>
      </c>
      <c r="M1404" s="11">
        <v>46006</v>
      </c>
      <c r="N1404" s="18" t="s">
        <v>588</v>
      </c>
      <c r="O1404" s="35">
        <v>0</v>
      </c>
      <c r="P1404"/>
      <c r="Q1404" t="str">
        <f>IFERROR(VLOOKUP(Tabela1[[#This Row],[CC]],CC!$A$1:$H$389,5,0),"")</f>
        <v>CSA</v>
      </c>
      <c r="R1404" t="str">
        <f>IFERROR(VLOOKUP(Tabela1[[#This Row],[CC]],CC!$A$1:$H$389,6,0),"")</f>
        <v>UT</v>
      </c>
      <c r="S1404" t="str">
        <f>IFERROR(VLOOKUP(Tabela1[[#This Row],[CC]],CC!$A$1:$H$403,8,0),"")</f>
        <v>OP2</v>
      </c>
    </row>
    <row r="1405" spans="1:19" x14ac:dyDescent="0.3">
      <c r="A1405" s="25">
        <v>1398</v>
      </c>
      <c r="B1405" s="25" t="str">
        <f>IFERROR(VLOOKUP(Tabela1[[#This Row],[CC]],#REF!,5,0),"")</f>
        <v/>
      </c>
      <c r="C1405" t="str">
        <f>IFERROR(VLOOKUP(Tabela1[[#This Row],[CC]],CC!$A$1:$H$389,7,0),"")</f>
        <v>RODRIGO CORUMBA</v>
      </c>
      <c r="D1405" t="str">
        <f>IFERROR(VLOOKUP(Tabela1[[#This Row],[CC]],CC!$A$1:$I$3869,3,0),"")</f>
        <v>COMPASS</v>
      </c>
      <c r="E1405" t="str">
        <f>IFERROR(VLOOKUP(Tabela1[[#This Row],[CC]],CC!$A$1:$H$389,2,0),"")</f>
        <v>COMPASS (1398)</v>
      </c>
      <c r="F1405" t="s">
        <v>586</v>
      </c>
      <c r="G1405" s="107">
        <v>8567</v>
      </c>
      <c r="H1405" s="12">
        <v>45901</v>
      </c>
      <c r="I1405" s="27">
        <v>22241.65</v>
      </c>
      <c r="J1405" s="27">
        <v>20873.79</v>
      </c>
      <c r="K1405" s="3">
        <v>45945</v>
      </c>
      <c r="L1405" s="147">
        <v>46006</v>
      </c>
      <c r="M1405" s="11">
        <v>46006</v>
      </c>
      <c r="N1405" s="18" t="s">
        <v>588</v>
      </c>
      <c r="O1405" s="35">
        <v>0</v>
      </c>
      <c r="P1405"/>
      <c r="Q1405" t="str">
        <f>IFERROR(VLOOKUP(Tabela1[[#This Row],[CC]],CC!$A$1:$H$389,5,0),"")</f>
        <v>CSA</v>
      </c>
      <c r="R1405" t="str">
        <f>IFERROR(VLOOKUP(Tabela1[[#This Row],[CC]],CC!$A$1:$H$389,6,0),"")</f>
        <v>UT</v>
      </c>
      <c r="S1405" t="str">
        <f>IFERROR(VLOOKUP(Tabela1[[#This Row],[CC]],CC!$A$1:$H$403,8,0),"")</f>
        <v>OP2</v>
      </c>
    </row>
    <row r="1406" spans="1:19" x14ac:dyDescent="0.3">
      <c r="A1406" s="25">
        <v>1398</v>
      </c>
      <c r="B1406" s="25" t="str">
        <f>IFERROR(VLOOKUP(Tabela1[[#This Row],[CC]],#REF!,5,0),"")</f>
        <v/>
      </c>
      <c r="C1406" t="str">
        <f>IFERROR(VLOOKUP(Tabela1[[#This Row],[CC]],CC!$A$1:$H$389,7,0),"")</f>
        <v>RODRIGO CORUMBA</v>
      </c>
      <c r="D1406" t="str">
        <f>IFERROR(VLOOKUP(Tabela1[[#This Row],[CC]],CC!$A$1:$I$3869,3,0),"")</f>
        <v>COMPASS</v>
      </c>
      <c r="E1406" t="str">
        <f>IFERROR(VLOOKUP(Tabela1[[#This Row],[CC]],CC!$A$1:$H$389,2,0),"")</f>
        <v>COMPASS (1398)</v>
      </c>
      <c r="F1406" t="s">
        <v>586</v>
      </c>
      <c r="G1406" s="107">
        <v>8573</v>
      </c>
      <c r="H1406" s="12">
        <v>45931</v>
      </c>
      <c r="I1406" s="27">
        <v>40000</v>
      </c>
      <c r="J1406" s="27">
        <v>37540</v>
      </c>
      <c r="K1406" s="3">
        <v>45950</v>
      </c>
      <c r="L1406" s="147">
        <v>45978</v>
      </c>
      <c r="M1406" s="11">
        <v>45980</v>
      </c>
      <c r="N1406" s="18" t="s">
        <v>588</v>
      </c>
      <c r="O1406" s="35">
        <v>0</v>
      </c>
      <c r="P1406"/>
      <c r="Q1406" t="str">
        <f>IFERROR(VLOOKUP(Tabela1[[#This Row],[CC]],CC!$A$1:$H$389,5,0),"")</f>
        <v>CSA</v>
      </c>
      <c r="R1406" t="str">
        <f>IFERROR(VLOOKUP(Tabela1[[#This Row],[CC]],CC!$A$1:$H$389,6,0),"")</f>
        <v>UT</v>
      </c>
      <c r="S1406" t="str">
        <f>IFERROR(VLOOKUP(Tabela1[[#This Row],[CC]],CC!$A$1:$H$403,8,0),"")</f>
        <v>OP2</v>
      </c>
    </row>
    <row r="1407" spans="1:19" x14ac:dyDescent="0.3">
      <c r="A1407" s="25">
        <v>1398</v>
      </c>
      <c r="B1407" s="25" t="str">
        <f>IFERROR(VLOOKUP(Tabela1[[#This Row],[CC]],#REF!,5,0),"")</f>
        <v/>
      </c>
      <c r="C1407" t="str">
        <f>IFERROR(VLOOKUP(Tabela1[[#This Row],[CC]],CC!$A$1:$H$389,7,0),"")</f>
        <v>RODRIGO CORUMBA</v>
      </c>
      <c r="D1407" t="str">
        <f>IFERROR(VLOOKUP(Tabela1[[#This Row],[CC]],CC!$A$1:$I$3869,3,0),"")</f>
        <v>COMPASS</v>
      </c>
      <c r="E1407" t="str">
        <f>IFERROR(VLOOKUP(Tabela1[[#This Row],[CC]],CC!$A$1:$H$389,2,0),"")</f>
        <v>COMPASS (1398)</v>
      </c>
      <c r="F1407" t="s">
        <v>586</v>
      </c>
      <c r="G1407" s="107">
        <v>8574</v>
      </c>
      <c r="H1407" s="12">
        <v>45931</v>
      </c>
      <c r="I1407" s="27">
        <v>38934</v>
      </c>
      <c r="J1407" s="27">
        <v>36539.56</v>
      </c>
      <c r="K1407" s="3">
        <v>45951</v>
      </c>
      <c r="L1407" s="147">
        <v>45978</v>
      </c>
      <c r="M1407" s="11">
        <v>45982</v>
      </c>
      <c r="N1407" s="18" t="s">
        <v>588</v>
      </c>
      <c r="O1407" s="35">
        <v>0</v>
      </c>
      <c r="P1407"/>
      <c r="Q1407" t="str">
        <f>IFERROR(VLOOKUP(Tabela1[[#This Row],[CC]],CC!$A$1:$H$389,5,0),"")</f>
        <v>CSA</v>
      </c>
      <c r="R1407" t="str">
        <f>IFERROR(VLOOKUP(Tabela1[[#This Row],[CC]],CC!$A$1:$H$389,6,0),"")</f>
        <v>UT</v>
      </c>
      <c r="S1407" t="str">
        <f>IFERROR(VLOOKUP(Tabela1[[#This Row],[CC]],CC!$A$1:$H$403,8,0),"")</f>
        <v>OP2</v>
      </c>
    </row>
    <row r="1408" spans="1:19" x14ac:dyDescent="0.3">
      <c r="A1408" s="25">
        <v>1398</v>
      </c>
      <c r="B1408" s="25" t="str">
        <f>IFERROR(VLOOKUP(Tabela1[[#This Row],[CC]],#REF!,5,0),"")</f>
        <v/>
      </c>
      <c r="C1408" t="str">
        <f>IFERROR(VLOOKUP(Tabela1[[#This Row],[CC]],CC!$A$1:$H$389,7,0),"")</f>
        <v>RODRIGO CORUMBA</v>
      </c>
      <c r="D1408" t="str">
        <f>IFERROR(VLOOKUP(Tabela1[[#This Row],[CC]],CC!$A$1:$I$3869,3,0),"")</f>
        <v>COMPASS</v>
      </c>
      <c r="E1408" t="str">
        <f>IFERROR(VLOOKUP(Tabela1[[#This Row],[CC]],CC!$A$1:$H$389,2,0),"")</f>
        <v>COMPASS (1398)</v>
      </c>
      <c r="F1408" t="s">
        <v>586</v>
      </c>
      <c r="G1408" s="107">
        <v>8605</v>
      </c>
      <c r="H1408" s="12">
        <v>45931</v>
      </c>
      <c r="I1408" s="27">
        <v>26093.54</v>
      </c>
      <c r="J1408" s="24">
        <v>24488.79</v>
      </c>
      <c r="K1408" s="3">
        <v>45974</v>
      </c>
      <c r="L1408" s="147">
        <v>46006</v>
      </c>
      <c r="M1408" s="11">
        <v>46006</v>
      </c>
      <c r="N1408" s="18" t="s">
        <v>588</v>
      </c>
      <c r="O1408" s="35">
        <v>0</v>
      </c>
      <c r="P1408"/>
      <c r="Q1408" t="str">
        <f>IFERROR(VLOOKUP(Tabela1[[#This Row],[CC]],CC!$A$1:$H$389,5,0),"")</f>
        <v>CSA</v>
      </c>
      <c r="R1408" t="str">
        <f>IFERROR(VLOOKUP(Tabela1[[#This Row],[CC]],CC!$A$1:$H$389,6,0),"")</f>
        <v>UT</v>
      </c>
      <c r="S1408" t="str">
        <f>IFERROR(VLOOKUP(Tabela1[[#This Row],[CC]],CC!$A$1:$H$403,8,0),"")</f>
        <v>OP2</v>
      </c>
    </row>
    <row r="1409" spans="1:19" x14ac:dyDescent="0.3">
      <c r="A1409" s="25">
        <v>1398</v>
      </c>
      <c r="B1409" s="25" t="str">
        <f>IFERROR(VLOOKUP(Tabela1[[#This Row],[CC]],#REF!,5,0),"")</f>
        <v/>
      </c>
      <c r="C1409" t="str">
        <f>IFERROR(VLOOKUP(Tabela1[[#This Row],[CC]],CC!$A$1:$H$389,7,0),"")</f>
        <v>RODRIGO CORUMBA</v>
      </c>
      <c r="D1409" t="str">
        <f>IFERROR(VLOOKUP(Tabela1[[#This Row],[CC]],CC!$A$1:$I$3869,3,0),"")</f>
        <v>COMPASS</v>
      </c>
      <c r="E1409" t="str">
        <f>IFERROR(VLOOKUP(Tabela1[[#This Row],[CC]],CC!$A$1:$H$389,2,0),"")</f>
        <v>COMPASS (1398)</v>
      </c>
      <c r="F1409" t="s">
        <v>586</v>
      </c>
      <c r="G1409" s="107">
        <v>8609</v>
      </c>
      <c r="H1409" s="12">
        <v>45962</v>
      </c>
      <c r="I1409" s="24">
        <v>25600</v>
      </c>
      <c r="J1409" s="27">
        <v>24025.599999999999</v>
      </c>
      <c r="K1409" s="3">
        <v>45978</v>
      </c>
      <c r="L1409" s="147">
        <v>46083</v>
      </c>
      <c r="M1409" s="11">
        <v>46087</v>
      </c>
      <c r="N1409" s="18" t="s">
        <v>588</v>
      </c>
      <c r="O1409" s="35">
        <v>0</v>
      </c>
      <c r="P1409"/>
      <c r="Q1409" t="str">
        <f>IFERROR(VLOOKUP(Tabela1[[#This Row],[CC]],CC!$A$1:$H$389,5,0),"")</f>
        <v>CSA</v>
      </c>
      <c r="R1409" t="str">
        <f>IFERROR(VLOOKUP(Tabela1[[#This Row],[CC]],CC!$A$1:$H$389,6,0),"")</f>
        <v>UT</v>
      </c>
      <c r="S1409" t="str">
        <f>IFERROR(VLOOKUP(Tabela1[[#This Row],[CC]],CC!$A$1:$H$403,8,0),"")</f>
        <v>OP2</v>
      </c>
    </row>
    <row r="1410" spans="1:19" x14ac:dyDescent="0.3">
      <c r="A1410" s="25">
        <v>1398</v>
      </c>
      <c r="B1410" s="25" t="str">
        <f>IFERROR(VLOOKUP(Tabela1[[#This Row],[CC]],#REF!,5,0),"")</f>
        <v/>
      </c>
      <c r="C1410" t="str">
        <f>IFERROR(VLOOKUP(Tabela1[[#This Row],[CC]],CC!$A$1:$H$389,7,0),"")</f>
        <v>RODRIGO CORUMBA</v>
      </c>
      <c r="D1410" t="str">
        <f>IFERROR(VLOOKUP(Tabela1[[#This Row],[CC]],CC!$A$1:$I$3869,3,0),"")</f>
        <v>COMPASS</v>
      </c>
      <c r="E1410" t="str">
        <f>IFERROR(VLOOKUP(Tabela1[[#This Row],[CC]],CC!$A$1:$H$389,2,0),"")</f>
        <v>COMPASS (1398)</v>
      </c>
      <c r="F1410" t="s">
        <v>586</v>
      </c>
      <c r="G1410" s="107">
        <v>8627</v>
      </c>
      <c r="H1410" s="12">
        <v>45962</v>
      </c>
      <c r="I1410" s="27">
        <v>13916.55</v>
      </c>
      <c r="J1410" s="27">
        <v>13060.68</v>
      </c>
      <c r="K1410" s="3">
        <v>45986</v>
      </c>
      <c r="L1410" s="147">
        <v>46013</v>
      </c>
      <c r="M1410" s="11">
        <v>46017</v>
      </c>
      <c r="N1410" s="18" t="s">
        <v>588</v>
      </c>
      <c r="O1410" s="35">
        <v>0</v>
      </c>
      <c r="P1410"/>
      <c r="Q1410" t="str">
        <f>IFERROR(VLOOKUP(Tabela1[[#This Row],[CC]],CC!$A$1:$H$389,5,0),"")</f>
        <v>CSA</v>
      </c>
      <c r="R1410" t="str">
        <f>IFERROR(VLOOKUP(Tabela1[[#This Row],[CC]],CC!$A$1:$H$389,6,0),"")</f>
        <v>UT</v>
      </c>
      <c r="S1410" t="str">
        <f>IFERROR(VLOOKUP(Tabela1[[#This Row],[CC]],CC!$A$1:$H$403,8,0),"")</f>
        <v>OP2</v>
      </c>
    </row>
    <row r="1411" spans="1:19" x14ac:dyDescent="0.3">
      <c r="A1411" s="25">
        <v>1398</v>
      </c>
      <c r="B1411" s="25" t="str">
        <f>IFERROR(VLOOKUP(Tabela1[[#This Row],[CC]],#REF!,5,0),"")</f>
        <v/>
      </c>
      <c r="C1411" t="str">
        <f>IFERROR(VLOOKUP(Tabela1[[#This Row],[CC]],CC!$A$1:$H$389,7,0),"")</f>
        <v>RODRIGO CORUMBA</v>
      </c>
      <c r="D1411" t="str">
        <f>IFERROR(VLOOKUP(Tabela1[[#This Row],[CC]],CC!$A$1:$I$3869,3,0),"")</f>
        <v>COMPASS</v>
      </c>
      <c r="E1411" t="str">
        <f>IFERROR(VLOOKUP(Tabela1[[#This Row],[CC]],CC!$A$1:$H$389,2,0),"")</f>
        <v>COMPASS (1398)</v>
      </c>
      <c r="F1411" t="s">
        <v>586</v>
      </c>
      <c r="G1411" s="107">
        <v>8682</v>
      </c>
      <c r="H1411" s="12">
        <v>45962</v>
      </c>
      <c r="I1411" s="24">
        <v>40490.559999999998</v>
      </c>
      <c r="J1411" s="24">
        <v>38000.39</v>
      </c>
      <c r="K1411" s="3">
        <v>46002</v>
      </c>
      <c r="L1411" s="147">
        <v>46062</v>
      </c>
      <c r="M1411" s="11">
        <v>46062</v>
      </c>
      <c r="N1411" s="18" t="s">
        <v>588</v>
      </c>
      <c r="O1411" s="35">
        <v>0</v>
      </c>
      <c r="P1411"/>
      <c r="Q1411" t="str">
        <f>IFERROR(VLOOKUP(Tabela1[[#This Row],[CC]],CC!$A$1:$H$389,5,0),"")</f>
        <v>CSA</v>
      </c>
      <c r="R1411" t="str">
        <f>IFERROR(VLOOKUP(Tabela1[[#This Row],[CC]],CC!$A$1:$H$389,6,0),"")</f>
        <v>UT</v>
      </c>
      <c r="S1411" t="str">
        <f>IFERROR(VLOOKUP(Tabela1[[#This Row],[CC]],CC!$A$1:$H$403,8,0),"")</f>
        <v>OP2</v>
      </c>
    </row>
    <row r="1412" spans="1:19" x14ac:dyDescent="0.3">
      <c r="A1412" s="25">
        <v>1398</v>
      </c>
      <c r="B1412" s="25" t="str">
        <f>IFERROR(VLOOKUP(Tabela1[[#This Row],[CC]],#REF!,5,0),"")</f>
        <v/>
      </c>
      <c r="C1412" t="str">
        <f>IFERROR(VLOOKUP(Tabela1[[#This Row],[CC]],CC!$A$1:$H$389,7,0),"")</f>
        <v>RODRIGO CORUMBA</v>
      </c>
      <c r="D1412" t="str">
        <f>IFERROR(VLOOKUP(Tabela1[[#This Row],[CC]],CC!$A$1:$I$3869,3,0),"")</f>
        <v>COMPASS</v>
      </c>
      <c r="E1412" t="str">
        <f>IFERROR(VLOOKUP(Tabela1[[#This Row],[CC]],CC!$A$1:$H$389,2,0),"")</f>
        <v>COMPASS (1398)</v>
      </c>
      <c r="F1412" t="s">
        <v>586</v>
      </c>
      <c r="G1412" s="107">
        <v>8683</v>
      </c>
      <c r="H1412" s="12">
        <v>45962</v>
      </c>
      <c r="I1412" s="24">
        <v>11862.21</v>
      </c>
      <c r="J1412" s="24">
        <v>11132.69</v>
      </c>
      <c r="K1412" s="3">
        <v>46002</v>
      </c>
      <c r="L1412" s="147">
        <v>46062</v>
      </c>
      <c r="M1412" s="11">
        <v>46062</v>
      </c>
      <c r="N1412" s="18" t="s">
        <v>588</v>
      </c>
      <c r="O1412" s="35">
        <v>0</v>
      </c>
      <c r="P1412"/>
      <c r="Q1412" t="str">
        <f>IFERROR(VLOOKUP(Tabela1[[#This Row],[CC]],CC!$A$1:$H$389,5,0),"")</f>
        <v>CSA</v>
      </c>
      <c r="R1412" t="str">
        <f>IFERROR(VLOOKUP(Tabela1[[#This Row],[CC]],CC!$A$1:$H$389,6,0),"")</f>
        <v>UT</v>
      </c>
      <c r="S1412" t="str">
        <f>IFERROR(VLOOKUP(Tabela1[[#This Row],[CC]],CC!$A$1:$H$403,8,0),"")</f>
        <v>OP2</v>
      </c>
    </row>
    <row r="1413" spans="1:19" x14ac:dyDescent="0.3">
      <c r="A1413" s="8">
        <v>1391</v>
      </c>
      <c r="B1413" s="8" t="str">
        <f>IFERROR(VLOOKUP(Tabela1[[#This Row],[CC]],#REF!,5,0),"")</f>
        <v/>
      </c>
      <c r="C1413" t="str">
        <f>IFERROR(VLOOKUP(Tabela1[[#This Row],[CC]],CC!$A$1:$H$389,7,0),"")</f>
        <v>RITA ANDRADE</v>
      </c>
      <c r="D1413" t="str">
        <f>IFERROR(VLOOKUP(Tabela1[[#This Row],[CC]],CC!$A$1:$I$3869,3,0),"")</f>
        <v>BRADESCO</v>
      </c>
      <c r="E1413" t="str">
        <f>IFERROR(VLOOKUP(Tabela1[[#This Row],[CC]],CC!$A$1:$H$389,2,0),"")</f>
        <v>BRADESCO - DS (1391)</v>
      </c>
      <c r="F1413" t="s">
        <v>586</v>
      </c>
      <c r="G1413" s="107">
        <v>4610</v>
      </c>
      <c r="H1413" s="12">
        <v>45962</v>
      </c>
      <c r="I1413" s="24">
        <v>105978.6</v>
      </c>
      <c r="J1413" s="24">
        <v>99460.92</v>
      </c>
      <c r="K1413" s="3">
        <v>45994</v>
      </c>
      <c r="L1413" s="147">
        <v>46006</v>
      </c>
      <c r="M1413" s="11">
        <v>46009</v>
      </c>
      <c r="N1413" s="1" t="s">
        <v>588</v>
      </c>
      <c r="O1413" s="35">
        <v>0</v>
      </c>
      <c r="P1413"/>
      <c r="Q1413" t="str">
        <f>IFERROR(VLOOKUP(Tabela1[[#This Row],[CC]],CC!$A$1:$H$389,5,0),"")</f>
        <v>ADS</v>
      </c>
      <c r="R1413" t="str">
        <f>IFERROR(VLOOKUP(Tabela1[[#This Row],[CC]],CC!$A$1:$H$389,6,0),"")</f>
        <v>FS</v>
      </c>
      <c r="S1413" t="str">
        <f>IFERROR(VLOOKUP(Tabela1[[#This Row],[CC]],CC!$A$1:$H$403,8,0),"")</f>
        <v>OP1</v>
      </c>
    </row>
    <row r="1414" spans="1:19" x14ac:dyDescent="0.3">
      <c r="A1414" s="25">
        <v>1393</v>
      </c>
      <c r="B1414" s="25" t="str">
        <f>IFERROR(VLOOKUP(Tabela1[[#This Row],[CC]],#REF!,5,0),"")</f>
        <v/>
      </c>
      <c r="C1414" t="str">
        <f>IFERROR(VLOOKUP(Tabela1[[#This Row],[CC]],CC!$A$1:$H$389,7,0),"")</f>
        <v>ROGERIO GORDILHO</v>
      </c>
      <c r="D1414" t="str">
        <f>IFERROR(VLOOKUP(Tabela1[[#This Row],[CC]],CC!$A$1:$I$3869,3,0),"")</f>
        <v xml:space="preserve">DETRAN-BA </v>
      </c>
      <c r="E1414" t="str">
        <f>IFERROR(VLOOKUP(Tabela1[[#This Row],[CC]],CC!$A$1:$H$389,2,0),"")</f>
        <v>DETRAN - N3 (1393)</v>
      </c>
      <c r="F1414" t="s">
        <v>586</v>
      </c>
      <c r="G1414" s="107">
        <v>8603</v>
      </c>
      <c r="H1414" s="12">
        <v>45931</v>
      </c>
      <c r="I1414" s="24">
        <v>468378.53</v>
      </c>
      <c r="J1414" s="24">
        <v>420135.54</v>
      </c>
      <c r="K1414" s="3">
        <v>45973</v>
      </c>
      <c r="L1414" s="147">
        <v>45992</v>
      </c>
      <c r="M1414" s="29">
        <v>45994</v>
      </c>
      <c r="N1414" s="18" t="s">
        <v>588</v>
      </c>
      <c r="O1414" s="35">
        <v>0</v>
      </c>
      <c r="P1414" s="26"/>
      <c r="Q1414" t="str">
        <f>IFERROR(VLOOKUP(Tabela1[[#This Row],[CC]],CC!$A$1:$H$389,5,0),"")</f>
        <v>CSA</v>
      </c>
      <c r="R1414" t="str">
        <f>IFERROR(VLOOKUP(Tabela1[[#This Row],[CC]],CC!$A$1:$H$389,6,0),"")</f>
        <v>PS</v>
      </c>
      <c r="S1414" t="str">
        <f>IFERROR(VLOOKUP(Tabela1[[#This Row],[CC]],CC!$A$1:$H$403,8,0),"")</f>
        <v>OP4</v>
      </c>
    </row>
    <row r="1415" spans="1:19" x14ac:dyDescent="0.3">
      <c r="A1415" s="8">
        <v>1476</v>
      </c>
      <c r="B1415" s="8" t="str">
        <f>IFERROR(VLOOKUP(Tabela1[[#This Row],[CC]],#REF!,5,0),"")</f>
        <v/>
      </c>
      <c r="C1415" t="str">
        <f>IFERROR(VLOOKUP(Tabela1[[#This Row],[CC]],CC!$A$1:$H$389,7,0),"")</f>
        <v>ROGERIO GORDILHO</v>
      </c>
      <c r="D1415" t="str">
        <f>IFERROR(VLOOKUP(Tabela1[[#This Row],[CC]],CC!$A$1:$I$3869,3,0),"")</f>
        <v>DPE</v>
      </c>
      <c r="E1415" t="str">
        <f>IFERROR(VLOOKUP(Tabela1[[#This Row],[CC]],CC!$A$1:$H$389,2,0),"")</f>
        <v>DPE - BA Digital Center (1476)</v>
      </c>
      <c r="F1415" t="s">
        <v>586</v>
      </c>
      <c r="G1415" s="107">
        <v>8599</v>
      </c>
      <c r="H1415" s="12">
        <v>45931</v>
      </c>
      <c r="I1415" s="27">
        <v>3445.36</v>
      </c>
      <c r="J1415" s="27">
        <v>3090.48</v>
      </c>
      <c r="K1415" s="3">
        <v>45971</v>
      </c>
      <c r="L1415" s="147">
        <v>46006</v>
      </c>
      <c r="M1415" s="5">
        <v>46007</v>
      </c>
      <c r="N1415" s="21" t="s">
        <v>588</v>
      </c>
      <c r="O1415" s="34"/>
      <c r="P1415" s="14"/>
      <c r="Q1415" t="str">
        <f>IFERROR(VLOOKUP(Tabela1[[#This Row],[CC]],CC!$A$1:$H$389,5,0),"")</f>
        <v>CSA</v>
      </c>
      <c r="R1415" t="str">
        <f>IFERROR(VLOOKUP(Tabela1[[#This Row],[CC]],CC!$A$1:$H$389,6,0),"")</f>
        <v>PS</v>
      </c>
      <c r="S1415" t="str">
        <f>IFERROR(VLOOKUP(Tabela1[[#This Row],[CC]],CC!$A$1:$H$403,8,0),"")</f>
        <v>OP4</v>
      </c>
    </row>
    <row r="1416" spans="1:19" x14ac:dyDescent="0.3">
      <c r="A1416" s="8">
        <v>1476</v>
      </c>
      <c r="B1416" s="8" t="str">
        <f>IFERROR(VLOOKUP(Tabela1[[#This Row],[CC]],#REF!,5,0),"")</f>
        <v/>
      </c>
      <c r="C1416" t="str">
        <f>IFERROR(VLOOKUP(Tabela1[[#This Row],[CC]],CC!$A$1:$H$389,7,0),"")</f>
        <v>ROGERIO GORDILHO</v>
      </c>
      <c r="D1416" t="str">
        <f>IFERROR(VLOOKUP(Tabela1[[#This Row],[CC]],CC!$A$1:$I$3869,3,0),"")</f>
        <v>DPE</v>
      </c>
      <c r="E1416" t="str">
        <f>IFERROR(VLOOKUP(Tabela1[[#This Row],[CC]],CC!$A$1:$H$389,2,0),"")</f>
        <v>DPE - BA Digital Center (1476)</v>
      </c>
      <c r="F1416" t="s">
        <v>586</v>
      </c>
      <c r="G1416" s="107">
        <v>8600</v>
      </c>
      <c r="H1416" s="12">
        <v>45931</v>
      </c>
      <c r="I1416" s="27">
        <v>334117.52</v>
      </c>
      <c r="J1416" s="27">
        <v>299703.42</v>
      </c>
      <c r="K1416" s="3">
        <v>45971</v>
      </c>
      <c r="L1416" s="147">
        <v>45992</v>
      </c>
      <c r="M1416" s="5">
        <v>45994</v>
      </c>
      <c r="N1416" s="21" t="s">
        <v>588</v>
      </c>
      <c r="O1416" s="34"/>
      <c r="P1416" s="14"/>
      <c r="Q1416" t="str">
        <f>IFERROR(VLOOKUP(Tabela1[[#This Row],[CC]],CC!$A$1:$H$389,5,0),"")</f>
        <v>CSA</v>
      </c>
      <c r="R1416" t="str">
        <f>IFERROR(VLOOKUP(Tabela1[[#This Row],[CC]],CC!$A$1:$H$389,6,0),"")</f>
        <v>PS</v>
      </c>
      <c r="S1416" t="str">
        <f>IFERROR(VLOOKUP(Tabela1[[#This Row],[CC]],CC!$A$1:$H$403,8,0),"")</f>
        <v>OP4</v>
      </c>
    </row>
    <row r="1417" spans="1:19" x14ac:dyDescent="0.3">
      <c r="A1417" s="25">
        <v>1296</v>
      </c>
      <c r="B1417" s="25" t="str">
        <f>IFERROR(VLOOKUP(Tabela1[[#This Row],[CC]],#REF!,5,0),"")</f>
        <v/>
      </c>
      <c r="C1417" t="str">
        <f>IFERROR(VLOOKUP(Tabela1[[#This Row],[CC]],CC!$A$1:$H$389,7,0),"")</f>
        <v>JOSÉ NETO</v>
      </c>
      <c r="D1417" t="str">
        <f>IFERROR(VLOOKUP(Tabela1[[#This Row],[CC]],CC!$A$1:$I$3869,3,0),"")</f>
        <v>AXIA</v>
      </c>
      <c r="E1417" t="str">
        <f>IFERROR(VLOOKUP(Tabela1[[#This Row],[CC]],CC!$A$1:$H$389,2,0),"")</f>
        <v>ELETROBRAS DIGITAL SUPORT (1296)</v>
      </c>
      <c r="F1417" t="s">
        <v>586</v>
      </c>
      <c r="G1417" s="107">
        <v>1318</v>
      </c>
      <c r="H1417" s="12">
        <v>45931</v>
      </c>
      <c r="I1417" s="24">
        <v>894735.18</v>
      </c>
      <c r="J1417" s="27">
        <v>821814.26</v>
      </c>
      <c r="K1417" s="3">
        <v>46008</v>
      </c>
      <c r="L1417" s="147">
        <v>46013</v>
      </c>
      <c r="M1417" s="29">
        <v>46017</v>
      </c>
      <c r="N1417" s="18" t="s">
        <v>588</v>
      </c>
      <c r="O1417" s="56"/>
      <c r="P1417" s="26"/>
      <c r="Q1417" t="str">
        <f>IFERROR(VLOOKUP(Tabela1[[#This Row],[CC]],CC!$A$1:$H$389,5,0),"")</f>
        <v>CSA</v>
      </c>
      <c r="R1417" t="str">
        <f>IFERROR(VLOOKUP(Tabela1[[#This Row],[CC]],CC!$A$1:$H$389,6,0),"")</f>
        <v>UT</v>
      </c>
      <c r="S1417" t="str">
        <f>IFERROR(VLOOKUP(Tabela1[[#This Row],[CC]],CC!$A$1:$H$403,8,0),"")</f>
        <v>OP2</v>
      </c>
    </row>
    <row r="1418" spans="1:19" x14ac:dyDescent="0.3">
      <c r="A1418" s="8">
        <v>1300</v>
      </c>
      <c r="B1418" s="8" t="str">
        <f>IFERROR(VLOOKUP(Tabela1[[#This Row],[CC]],#REF!,5,0),"")</f>
        <v/>
      </c>
      <c r="C1418" t="str">
        <f>IFERROR(VLOOKUP(Tabela1[[#This Row],[CC]],CC!$A$1:$H$389,7,0),"")</f>
        <v>JOSÉ NETO</v>
      </c>
      <c r="D1418" t="str">
        <f>IFERROR(VLOOKUP(Tabela1[[#This Row],[CC]],CC!$A$1:$I$3869,3,0),"")</f>
        <v>AXIA</v>
      </c>
      <c r="E1418" t="str">
        <f>IFERROR(VLOOKUP(Tabela1[[#This Row],[CC]],CC!$A$1:$H$389,2,0),"")</f>
        <v>ELETROBRAS RS NOVO (1300)</v>
      </c>
      <c r="F1418" t="s">
        <v>586</v>
      </c>
      <c r="G1418" s="107">
        <v>8598</v>
      </c>
      <c r="H1418" s="12">
        <v>45931</v>
      </c>
      <c r="I1418" s="24">
        <v>37210.160000000003</v>
      </c>
      <c r="J1418" s="27">
        <v>34177.53</v>
      </c>
      <c r="K1418" s="3">
        <v>45968</v>
      </c>
      <c r="L1418" s="147">
        <v>45999</v>
      </c>
      <c r="M1418" s="11">
        <v>46000</v>
      </c>
      <c r="N1418" s="36" t="s">
        <v>588</v>
      </c>
      <c r="O1418" s="37">
        <v>0</v>
      </c>
      <c r="P1418" s="14"/>
      <c r="Q1418" t="str">
        <f>IFERROR(VLOOKUP(Tabela1[[#This Row],[CC]],CC!$A$1:$H$389,5,0),"")</f>
        <v>CSA</v>
      </c>
      <c r="R1418" t="str">
        <f>IFERROR(VLOOKUP(Tabela1[[#This Row],[CC]],CC!$A$1:$H$389,6,0),"")</f>
        <v>UT</v>
      </c>
      <c r="S1418" t="str">
        <f>IFERROR(VLOOKUP(Tabela1[[#This Row],[CC]],CC!$A$1:$H$403,8,0),"")</f>
        <v>OP2</v>
      </c>
    </row>
    <row r="1419" spans="1:19" x14ac:dyDescent="0.3">
      <c r="A1419" s="8">
        <v>1300</v>
      </c>
      <c r="B1419" s="8" t="str">
        <f>IFERROR(VLOOKUP(Tabela1[[#This Row],[CC]],#REF!,5,0),"")</f>
        <v/>
      </c>
      <c r="C1419" t="str">
        <f>IFERROR(VLOOKUP(Tabela1[[#This Row],[CC]],CC!$A$1:$H$389,7,0),"")</f>
        <v>JOSÉ NETO</v>
      </c>
      <c r="D1419" t="str">
        <f>IFERROR(VLOOKUP(Tabela1[[#This Row],[CC]],CC!$A$1:$I$3869,3,0),"")</f>
        <v>AXIA</v>
      </c>
      <c r="E1419" t="str">
        <f>IFERROR(VLOOKUP(Tabela1[[#This Row],[CC]],CC!$A$1:$H$389,2,0),"")</f>
        <v>ELETROBRAS RS NOVO (1300)</v>
      </c>
      <c r="F1419" t="s">
        <v>586</v>
      </c>
      <c r="G1419" s="107">
        <v>1311</v>
      </c>
      <c r="H1419" s="12">
        <v>45931</v>
      </c>
      <c r="I1419" s="24">
        <v>287717.94</v>
      </c>
      <c r="J1419" s="27">
        <v>264268.92</v>
      </c>
      <c r="K1419" s="3">
        <v>45975</v>
      </c>
      <c r="L1419" s="147">
        <v>46006</v>
      </c>
      <c r="M1419" s="5">
        <v>46007</v>
      </c>
      <c r="N1419" s="36" t="s">
        <v>588</v>
      </c>
      <c r="O1419" s="37">
        <v>0</v>
      </c>
      <c r="P1419" s="14"/>
      <c r="Q1419" t="str">
        <f>IFERROR(VLOOKUP(Tabela1[[#This Row],[CC]],CC!$A$1:$H$389,5,0),"")</f>
        <v>CSA</v>
      </c>
      <c r="R1419" t="str">
        <f>IFERROR(VLOOKUP(Tabela1[[#This Row],[CC]],CC!$A$1:$H$389,6,0),"")</f>
        <v>UT</v>
      </c>
      <c r="S1419" t="str">
        <f>IFERROR(VLOOKUP(Tabela1[[#This Row],[CC]],CC!$A$1:$H$403,8,0),"")</f>
        <v>OP2</v>
      </c>
    </row>
    <row r="1420" spans="1:19" x14ac:dyDescent="0.3">
      <c r="A1420" s="25">
        <v>1290</v>
      </c>
      <c r="B1420" s="25" t="str">
        <f>IFERROR(VLOOKUP(Tabela1[[#This Row],[CC]],#REF!,5,0),"")</f>
        <v/>
      </c>
      <c r="C1420" t="str">
        <f>IFERROR(VLOOKUP(Tabela1[[#This Row],[CC]],CC!$A$1:$H$389,7,0),"")</f>
        <v>ROGERIO GORDILHO</v>
      </c>
      <c r="D1420" t="str">
        <f>IFERROR(VLOOKUP(Tabela1[[#This Row],[CC]],CC!$A$1:$I$3869,3,0),"")</f>
        <v>EMBASA</v>
      </c>
      <c r="E1420" t="str">
        <f>IFERROR(VLOOKUP(Tabela1[[#This Row],[CC]],CC!$A$1:$H$389,2,0),"")</f>
        <v>EMBASA - NOVO (1290)</v>
      </c>
      <c r="F1420" t="s">
        <v>586</v>
      </c>
      <c r="G1420" s="107">
        <v>8592</v>
      </c>
      <c r="H1420" s="51">
        <v>45931</v>
      </c>
      <c r="I1420" s="24">
        <v>10835.2</v>
      </c>
      <c r="J1420" s="27">
        <v>9572.9</v>
      </c>
      <c r="K1420" s="3">
        <v>45967</v>
      </c>
      <c r="L1420" s="147">
        <v>45999</v>
      </c>
      <c r="M1420" s="11">
        <v>46000</v>
      </c>
      <c r="N1420" s="21" t="s">
        <v>588</v>
      </c>
      <c r="O1420" s="35">
        <v>0</v>
      </c>
      <c r="P1420" s="26"/>
      <c r="Q1420" t="str">
        <f>IFERROR(VLOOKUP(Tabela1[[#This Row],[CC]],CC!$A$1:$H$389,5,0),"")</f>
        <v>CSA</v>
      </c>
      <c r="R1420" t="str">
        <f>IFERROR(VLOOKUP(Tabela1[[#This Row],[CC]],CC!$A$1:$H$389,6,0),"")</f>
        <v>UT</v>
      </c>
      <c r="S1420" t="str">
        <f>IFERROR(VLOOKUP(Tabela1[[#This Row],[CC]],CC!$A$1:$H$403,8,0),"")</f>
        <v>OP4</v>
      </c>
    </row>
    <row r="1421" spans="1:19" x14ac:dyDescent="0.3">
      <c r="A1421" s="25">
        <v>1290</v>
      </c>
      <c r="B1421" s="25" t="str">
        <f>IFERROR(VLOOKUP(Tabela1[[#This Row],[CC]],#REF!,5,0),"")</f>
        <v/>
      </c>
      <c r="C1421" t="str">
        <f>IFERROR(VLOOKUP(Tabela1[[#This Row],[CC]],CC!$A$1:$H$389,7,0),"")</f>
        <v>ROGERIO GORDILHO</v>
      </c>
      <c r="D1421" t="str">
        <f>IFERROR(VLOOKUP(Tabela1[[#This Row],[CC]],CC!$A$1:$I$3869,3,0),"")</f>
        <v>EMBASA</v>
      </c>
      <c r="E1421" t="str">
        <f>IFERROR(VLOOKUP(Tabela1[[#This Row],[CC]],CC!$A$1:$H$389,2,0),"")</f>
        <v>EMBASA - NOVO (1290)</v>
      </c>
      <c r="F1421" t="s">
        <v>586</v>
      </c>
      <c r="G1421" s="107">
        <v>8593</v>
      </c>
      <c r="H1421" s="12">
        <v>45931</v>
      </c>
      <c r="I1421" s="24">
        <v>55929.99</v>
      </c>
      <c r="J1421" s="27">
        <v>49414.15</v>
      </c>
      <c r="K1421" s="3">
        <v>45967</v>
      </c>
      <c r="L1421" s="147">
        <v>45999</v>
      </c>
      <c r="M1421" s="11">
        <v>46000</v>
      </c>
      <c r="N1421" s="21" t="s">
        <v>588</v>
      </c>
      <c r="O1421" s="35">
        <v>0</v>
      </c>
      <c r="P1421" s="26"/>
      <c r="Q1421" t="str">
        <f>IFERROR(VLOOKUP(Tabela1[[#This Row],[CC]],CC!$A$1:$H$389,5,0),"")</f>
        <v>CSA</v>
      </c>
      <c r="R1421" t="str">
        <f>IFERROR(VLOOKUP(Tabela1[[#This Row],[CC]],CC!$A$1:$H$389,6,0),"")</f>
        <v>UT</v>
      </c>
      <c r="S1421" t="str">
        <f>IFERROR(VLOOKUP(Tabela1[[#This Row],[CC]],CC!$A$1:$H$403,8,0),"")</f>
        <v>OP4</v>
      </c>
    </row>
    <row r="1422" spans="1:19" x14ac:dyDescent="0.3">
      <c r="A1422" s="25">
        <v>1490</v>
      </c>
      <c r="B1422" s="25" t="str">
        <f>IFERROR(VLOOKUP(Tabela1[[#This Row],[CC]],#REF!,5,0),"")</f>
        <v/>
      </c>
      <c r="C1422" t="str">
        <f>IFERROR(VLOOKUP(Tabela1[[#This Row],[CC]],CC!$A$1:$H$389,7,0),"")</f>
        <v>ROGERIO GORDILHO</v>
      </c>
      <c r="D1422" t="str">
        <f>IFERROR(VLOOKUP(Tabela1[[#This Row],[CC]],CC!$A$1:$I$3869,3,0),"")</f>
        <v>EMBASA</v>
      </c>
      <c r="E1422" t="str">
        <f>IFERROR(VLOOKUP(Tabela1[[#This Row],[CC]],CC!$A$1:$H$389,2,0),"")</f>
        <v>EMBASA - Sustentação ITSM (1490)</v>
      </c>
      <c r="F1422" t="s">
        <v>586</v>
      </c>
      <c r="G1422" s="107">
        <v>8597</v>
      </c>
      <c r="H1422" s="12">
        <v>45931</v>
      </c>
      <c r="I1422" s="24">
        <v>2300</v>
      </c>
      <c r="J1422" s="27">
        <v>2032.05</v>
      </c>
      <c r="K1422" s="3">
        <v>45968</v>
      </c>
      <c r="L1422" s="147">
        <v>45999</v>
      </c>
      <c r="M1422" s="11">
        <v>46000</v>
      </c>
      <c r="N1422" s="21" t="s">
        <v>588</v>
      </c>
      <c r="O1422" s="35">
        <v>0</v>
      </c>
      <c r="P1422" s="26"/>
      <c r="Q1422" t="str">
        <f>IFERROR(VLOOKUP(Tabela1[[#This Row],[CC]],CC!$A$1:$H$389,5,0),"")</f>
        <v>CSA</v>
      </c>
      <c r="R1422" t="str">
        <f>IFERROR(VLOOKUP(Tabela1[[#This Row],[CC]],CC!$A$1:$H$389,6,0),"")</f>
        <v>UT</v>
      </c>
      <c r="S1422" t="str">
        <f>IFERROR(VLOOKUP(Tabela1[[#This Row],[CC]],CC!$A$1:$H$403,8,0),"")</f>
        <v>OP4</v>
      </c>
    </row>
    <row r="1423" spans="1:19" x14ac:dyDescent="0.3">
      <c r="A1423" s="8">
        <v>1480</v>
      </c>
      <c r="B1423" s="8" t="str">
        <f>IFERROR(VLOOKUP(Tabela1[[#This Row],[CC]],#REF!,5,0),"")</f>
        <v/>
      </c>
      <c r="C1423" t="str">
        <f>IFERROR(VLOOKUP(Tabela1[[#This Row],[CC]],CC!$A$1:$H$389,7,0),"")</f>
        <v>RODRIGO CORUMBA</v>
      </c>
      <c r="D1423" t="str">
        <f>IFERROR(VLOOKUP(Tabela1[[#This Row],[CC]],CC!$A$1:$I$3869,3,0),"")</f>
        <v>ENTREPAY</v>
      </c>
      <c r="E1423" t="str">
        <f>IFERROR(VLOOKUP(Tabela1[[#This Row],[CC]],CC!$A$1:$H$389,2,0),"")</f>
        <v>Entrepay ADS Alocação (1480)</v>
      </c>
      <c r="F1423" t="s">
        <v>586</v>
      </c>
      <c r="G1423" s="107">
        <v>4516</v>
      </c>
      <c r="H1423" s="12">
        <v>45931</v>
      </c>
      <c r="I1423" s="24">
        <v>514141</v>
      </c>
      <c r="J1423" s="24">
        <v>482521.32</v>
      </c>
      <c r="K1423" s="3">
        <v>45972</v>
      </c>
      <c r="L1423" s="147">
        <v>45999</v>
      </c>
      <c r="M1423" s="5">
        <v>46000</v>
      </c>
      <c r="N1423" s="18" t="s">
        <v>588</v>
      </c>
      <c r="O1423" s="37"/>
      <c r="P1423" s="14"/>
      <c r="Q1423" t="str">
        <f>IFERROR(VLOOKUP(Tabela1[[#This Row],[CC]],CC!$A$1:$H$389,5,0),"")</f>
        <v>ADS</v>
      </c>
      <c r="R1423" t="str">
        <f>IFERROR(VLOOKUP(Tabela1[[#This Row],[CC]],CC!$A$1:$H$389,6,0),"")</f>
        <v>FS</v>
      </c>
      <c r="S1423" t="str">
        <f>IFERROR(VLOOKUP(Tabela1[[#This Row],[CC]],CC!$A$1:$H$403,8,0),"")</f>
        <v>OP2</v>
      </c>
    </row>
    <row r="1424" spans="1:19" x14ac:dyDescent="0.3">
      <c r="A1424" s="25">
        <v>1475</v>
      </c>
      <c r="B1424" s="25" t="str">
        <f>IFERROR(VLOOKUP(Tabela1[[#This Row],[CC]],#REF!,5,0),"")</f>
        <v/>
      </c>
      <c r="C1424" t="str">
        <f>IFERROR(VLOOKUP(Tabela1[[#This Row],[CC]],CC!$A$1:$H$389,7,0),"")</f>
        <v>LIZANDRA PIMENTA</v>
      </c>
      <c r="D1424" t="str">
        <f>IFERROR(VLOOKUP(Tabela1[[#This Row],[CC]],CC!$A$1:$I$3869,3,0),"")</f>
        <v>FAPESB</v>
      </c>
      <c r="E1424" t="str">
        <f>IFERROR(VLOOKUP(Tabela1[[#This Row],[CC]],CC!$A$1:$H$389,2,0),"")</f>
        <v>FAPESB Sustentação (1475)</v>
      </c>
      <c r="F1424" t="s">
        <v>586</v>
      </c>
      <c r="G1424" s="107">
        <v>8594</v>
      </c>
      <c r="H1424" s="12">
        <v>45931</v>
      </c>
      <c r="I1424" s="27">
        <v>86064.83</v>
      </c>
      <c r="J1424" s="27">
        <v>77200.149999999994</v>
      </c>
      <c r="K1424" s="3">
        <v>45968</v>
      </c>
      <c r="L1424" s="147">
        <v>45985</v>
      </c>
      <c r="M1424" s="11">
        <v>45987</v>
      </c>
      <c r="N1424" s="18" t="s">
        <v>588</v>
      </c>
      <c r="O1424" s="35">
        <v>0</v>
      </c>
      <c r="P1424"/>
      <c r="Q1424" t="str">
        <f>IFERROR(VLOOKUP(Tabela1[[#This Row],[CC]],CC!$A$1:$H$389,5,0),"")</f>
        <v>ADS</v>
      </c>
      <c r="R1424" t="str">
        <f>IFERROR(VLOOKUP(Tabela1[[#This Row],[CC]],CC!$A$1:$H$389,6,0),"")</f>
        <v>PS</v>
      </c>
      <c r="S1424" t="str">
        <f>IFERROR(VLOOKUP(Tabela1[[#This Row],[CC]],CC!$A$1:$H$403,8,0),"")</f>
        <v>OP3</v>
      </c>
    </row>
    <row r="1425" spans="1:21" x14ac:dyDescent="0.3">
      <c r="A1425" s="25">
        <v>1472</v>
      </c>
      <c r="B1425" s="25" t="str">
        <f>IFERROR(VLOOKUP(Tabela1[[#This Row],[CC]],#REF!,5,0),"")</f>
        <v/>
      </c>
      <c r="C1425" t="str">
        <f>IFERROR(VLOOKUP(Tabela1[[#This Row],[CC]],CC!$A$1:$H$389,7,0),"")</f>
        <v>RITA ANDRADE</v>
      </c>
      <c r="D1425" t="str">
        <f>IFERROR(VLOOKUP(Tabela1[[#This Row],[CC]],CC!$A$1:$I$3869,3,0),"")</f>
        <v>FICO</v>
      </c>
      <c r="E1425" t="str">
        <f>IFERROR(VLOOKUP(Tabela1[[#This Row],[CC]],CC!$A$1:$H$389,2,0),"")</f>
        <v>FICO (1472)</v>
      </c>
      <c r="F1425" t="s">
        <v>586</v>
      </c>
      <c r="G1425" s="107">
        <v>4490</v>
      </c>
      <c r="H1425" s="12">
        <v>45931</v>
      </c>
      <c r="I1425" s="27">
        <v>60316.65</v>
      </c>
      <c r="J1425" s="27">
        <v>56607.17</v>
      </c>
      <c r="K1425" s="3">
        <v>45964</v>
      </c>
      <c r="L1425" s="147">
        <v>45971</v>
      </c>
      <c r="M1425" s="11">
        <v>45971</v>
      </c>
      <c r="N1425" s="18" t="s">
        <v>588</v>
      </c>
      <c r="O1425" s="41"/>
      <c r="P1425" s="26"/>
      <c r="Q1425" t="str">
        <f>IFERROR(VLOOKUP(Tabela1[[#This Row],[CC]],CC!$A$1:$H$389,5,0),"")</f>
        <v>BPS</v>
      </c>
      <c r="R1425" t="str">
        <f>IFERROR(VLOOKUP(Tabela1[[#This Row],[CC]],CC!$A$1:$H$389,6,0),"")</f>
        <v>FS</v>
      </c>
      <c r="S1425" t="str">
        <f>IFERROR(VLOOKUP(Tabela1[[#This Row],[CC]],CC!$A$1:$H$403,8,0),"")</f>
        <v>OP1</v>
      </c>
    </row>
    <row r="1426" spans="1:21" x14ac:dyDescent="0.3">
      <c r="A1426" s="25">
        <v>1378</v>
      </c>
      <c r="B1426" s="25" t="str">
        <f>IFERROR(VLOOKUP(Tabela1[[#This Row],[CC]],#REF!,5,0),"")</f>
        <v/>
      </c>
      <c r="C1426" t="s">
        <v>51</v>
      </c>
      <c r="D1426" t="str">
        <f>IFERROR(VLOOKUP(Tabela1[[#This Row],[CC]],CC!$A$1:$I$3869,3,0),"")</f>
        <v xml:space="preserve"> FUNCEF</v>
      </c>
      <c r="E1426" t="str">
        <f>IFERROR(VLOOKUP(Tabela1[[#This Row],[CC]],CC!$A$1:$H$389,2,0),"")</f>
        <v>SF – FUNCEF (1378)</v>
      </c>
      <c r="F1426" t="s">
        <v>586</v>
      </c>
      <c r="G1426" s="107">
        <v>8625</v>
      </c>
      <c r="H1426" s="12">
        <v>45931</v>
      </c>
      <c r="I1426" s="24">
        <v>4281.29</v>
      </c>
      <c r="J1426" s="24">
        <v>4017.99</v>
      </c>
      <c r="K1426" s="3">
        <v>45986</v>
      </c>
      <c r="L1426" s="147">
        <v>46006</v>
      </c>
      <c r="M1426" s="29">
        <v>46007</v>
      </c>
      <c r="N1426" s="18" t="s">
        <v>588</v>
      </c>
      <c r="O1426" s="35">
        <v>0</v>
      </c>
      <c r="P1426"/>
      <c r="Q1426" t="str">
        <f>IFERROR(VLOOKUP(Tabela1[[#This Row],[CC]],CC!$A$1:$H$389,5,0),"")</f>
        <v>BPS</v>
      </c>
      <c r="R1426" t="str">
        <f>IFERROR(VLOOKUP(Tabela1[[#This Row],[CC]],CC!$A$1:$H$389,6,0),"")</f>
        <v>FS</v>
      </c>
      <c r="S1426" t="str">
        <f>IFERROR(VLOOKUP(Tabela1[[#This Row],[CC]],CC!$A$1:$H$403,8,0),"")</f>
        <v>OP2</v>
      </c>
      <c r="T1426" t="s">
        <v>1</v>
      </c>
      <c r="U1426" t="s">
        <v>2</v>
      </c>
    </row>
    <row r="1427" spans="1:21" x14ac:dyDescent="0.3">
      <c r="A1427" s="25">
        <v>1247</v>
      </c>
      <c r="B1427" s="25" t="str">
        <f>IFERROR(VLOOKUP(Tabela1[[#This Row],[CC]],#REF!,5,0),"")</f>
        <v/>
      </c>
      <c r="C1427" t="str">
        <f>IFERROR(VLOOKUP(Tabela1[[#This Row],[CC]],CC!$A$1:$H$389,7,0),"")</f>
        <v>ROGERIO GORDILHO</v>
      </c>
      <c r="D1427" t="str">
        <f>IFERROR(VLOOKUP(Tabela1[[#This Row],[CC]],CC!$A$1:$I$3869,3,0),"")</f>
        <v>IBAMETRO</v>
      </c>
      <c r="E1427" t="str">
        <f>IFERROR(VLOOKUP(Tabela1[[#This Row],[CC]],CC!$A$1:$H$389,2,0),"")</f>
        <v>IBAMETRO (1247)</v>
      </c>
      <c r="F1427" t="s">
        <v>586</v>
      </c>
      <c r="G1427" s="107">
        <v>8585</v>
      </c>
      <c r="H1427" s="12">
        <v>45931</v>
      </c>
      <c r="I1427" s="27">
        <v>38395.360000000001</v>
      </c>
      <c r="J1427" s="27">
        <v>34440.629999999997</v>
      </c>
      <c r="K1427" s="3">
        <v>45965</v>
      </c>
      <c r="L1427" s="147">
        <v>45978</v>
      </c>
      <c r="M1427" s="11">
        <v>45979</v>
      </c>
      <c r="N1427" s="18" t="s">
        <v>588</v>
      </c>
      <c r="O1427" s="35">
        <v>0</v>
      </c>
      <c r="P1427"/>
      <c r="Q1427" t="str">
        <f>IFERROR(VLOOKUP(Tabela1[[#This Row],[CC]],CC!$A$1:$H$389,5,0),"")</f>
        <v>CSA</v>
      </c>
      <c r="R1427" t="str">
        <f>IFERROR(VLOOKUP(Tabela1[[#This Row],[CC]],CC!$A$1:$H$389,6,0),"")</f>
        <v>PS</v>
      </c>
      <c r="S1427" t="str">
        <f>IFERROR(VLOOKUP(Tabela1[[#This Row],[CC]],CC!$A$1:$H$403,8,0),"")</f>
        <v>OP4</v>
      </c>
    </row>
    <row r="1428" spans="1:21" x14ac:dyDescent="0.3">
      <c r="A1428" s="25">
        <v>1358</v>
      </c>
      <c r="B1428" s="25" t="str">
        <f>IFERROR(VLOOKUP(Tabela1[[#This Row],[CC]],#REF!,5,0),"")</f>
        <v/>
      </c>
      <c r="C1428" t="str">
        <f>IFERROR(VLOOKUP(Tabela1[[#This Row],[CC]],CC!$A$1:$H$389,7,0),"")</f>
        <v>ROGERIO GORDILHO</v>
      </c>
      <c r="D1428" t="str">
        <f>IFERROR(VLOOKUP(Tabela1[[#This Row],[CC]],CC!$A$1:$I$3869,3,0),"")</f>
        <v>INEMA</v>
      </c>
      <c r="E1428" t="str">
        <f>IFERROR(VLOOKUP(Tabela1[[#This Row],[CC]],CC!$A$1:$H$389,2,0),"")</f>
        <v>INEMA N3 (1358)</v>
      </c>
      <c r="F1428" t="s">
        <v>586</v>
      </c>
      <c r="G1428" s="107">
        <v>8604</v>
      </c>
      <c r="H1428" s="12">
        <v>45931</v>
      </c>
      <c r="I1428" s="27">
        <v>89150.64</v>
      </c>
      <c r="J1428" s="27">
        <v>79968.13</v>
      </c>
      <c r="K1428" s="3">
        <v>45974</v>
      </c>
      <c r="L1428" s="147">
        <v>45992</v>
      </c>
      <c r="M1428" s="11">
        <v>45995</v>
      </c>
      <c r="N1428" s="18" t="s">
        <v>588</v>
      </c>
      <c r="O1428" s="35"/>
      <c r="P1428"/>
      <c r="Q1428" t="str">
        <f>IFERROR(VLOOKUP(Tabela1[[#This Row],[CC]],CC!$A$1:$H$389,5,0),"")</f>
        <v>CSA</v>
      </c>
      <c r="R1428" t="str">
        <f>IFERROR(VLOOKUP(Tabela1[[#This Row],[CC]],CC!$A$1:$H$389,6,0),"")</f>
        <v>PS</v>
      </c>
      <c r="S1428" t="str">
        <f>IFERROR(VLOOKUP(Tabela1[[#This Row],[CC]],CC!$A$1:$H$403,8,0),"")</f>
        <v>OP4</v>
      </c>
    </row>
    <row r="1429" spans="1:21" x14ac:dyDescent="0.3">
      <c r="A1429" s="25">
        <v>1358</v>
      </c>
      <c r="B1429" s="25" t="str">
        <f>IFERROR(VLOOKUP(Tabela1[[#This Row],[CC]],#REF!,5,0),"")</f>
        <v/>
      </c>
      <c r="C1429" t="str">
        <f>IFERROR(VLOOKUP(Tabela1[[#This Row],[CC]],CC!$A$1:$H$389,7,0),"")</f>
        <v>ROGERIO GORDILHO</v>
      </c>
      <c r="D1429" t="str">
        <f>IFERROR(VLOOKUP(Tabela1[[#This Row],[CC]],CC!$A$1:$I$3869,3,0),"")</f>
        <v>INEMA</v>
      </c>
      <c r="E1429" t="str">
        <f>IFERROR(VLOOKUP(Tabela1[[#This Row],[CC]],CC!$A$1:$H$389,2,0),"")</f>
        <v>INEMA N3 (1358)</v>
      </c>
      <c r="F1429" t="s">
        <v>586</v>
      </c>
      <c r="G1429" s="107">
        <v>8624</v>
      </c>
      <c r="H1429" s="12">
        <v>45931</v>
      </c>
      <c r="I1429" s="27">
        <v>7649.4</v>
      </c>
      <c r="J1429" s="27">
        <v>6861.51</v>
      </c>
      <c r="K1429" s="3">
        <v>45986</v>
      </c>
      <c r="L1429" s="147">
        <v>45999</v>
      </c>
      <c r="M1429" s="11">
        <v>45999</v>
      </c>
      <c r="N1429" s="18" t="s">
        <v>588</v>
      </c>
      <c r="O1429" s="35"/>
      <c r="P1429"/>
      <c r="Q1429" t="str">
        <f>IFERROR(VLOOKUP(Tabela1[[#This Row],[CC]],CC!$A$1:$H$389,5,0),"")</f>
        <v>CSA</v>
      </c>
      <c r="R1429" t="str">
        <f>IFERROR(VLOOKUP(Tabela1[[#This Row],[CC]],CC!$A$1:$H$389,6,0),"")</f>
        <v>PS</v>
      </c>
      <c r="S1429" t="str">
        <f>IFERROR(VLOOKUP(Tabela1[[#This Row],[CC]],CC!$A$1:$H$403,8,0),"")</f>
        <v>OP4</v>
      </c>
    </row>
    <row r="1430" spans="1:21" x14ac:dyDescent="0.3">
      <c r="A1430" s="25">
        <v>1473</v>
      </c>
      <c r="B1430" s="25" t="str">
        <f>IFERROR(VLOOKUP(Tabela1[[#This Row],[CC]],#REF!,5,0),"")</f>
        <v/>
      </c>
      <c r="C1430" t="str">
        <f>IFERROR(VLOOKUP(Tabela1[[#This Row],[CC]],CC!$A$1:$H$389,7,0),"")</f>
        <v>ROGERIO GORDILHO</v>
      </c>
      <c r="D1430" t="str">
        <f>IFERROR(VLOOKUP(Tabela1[[#This Row],[CC]],CC!$A$1:$I$3869,3,0),"")</f>
        <v>MP_BA</v>
      </c>
      <c r="E1430" t="str">
        <f>IFERROR(VLOOKUP(Tabela1[[#This Row],[CC]],CC!$A$1:$H$389,2,0),"")</f>
        <v>MP - BA I (1473)</v>
      </c>
      <c r="F1430" t="s">
        <v>586</v>
      </c>
      <c r="G1430" s="107">
        <v>8663</v>
      </c>
      <c r="H1430" s="12">
        <v>45931</v>
      </c>
      <c r="I1430" s="10">
        <v>236280.79</v>
      </c>
      <c r="J1430" s="24">
        <v>220210.23</v>
      </c>
      <c r="K1430" s="3">
        <v>45996</v>
      </c>
      <c r="L1430" s="147">
        <v>46006</v>
      </c>
      <c r="M1430" s="11">
        <v>46010</v>
      </c>
      <c r="N1430" s="18" t="s">
        <v>588</v>
      </c>
      <c r="O1430" s="35">
        <v>0</v>
      </c>
      <c r="P1430"/>
      <c r="Q1430" t="str">
        <f>IFERROR(VLOOKUP(Tabela1[[#This Row],[CC]],CC!$A$1:$H$389,5,0),"")</f>
        <v>CSA</v>
      </c>
      <c r="R1430" t="str">
        <f>IFERROR(VLOOKUP(Tabela1[[#This Row],[CC]],CC!$A$1:$H$389,6,0),"")</f>
        <v>PS</v>
      </c>
      <c r="S1430" t="str">
        <f>IFERROR(VLOOKUP(Tabela1[[#This Row],[CC]],CC!$A$1:$H$403,8,0),"")</f>
        <v>OP4</v>
      </c>
    </row>
    <row r="1431" spans="1:21" x14ac:dyDescent="0.3">
      <c r="A1431" s="25">
        <v>1462</v>
      </c>
      <c r="B1431" s="25" t="str">
        <f>IFERROR(VLOOKUP(Tabela1[[#This Row],[CC]],#REF!,5,0),"")</f>
        <v/>
      </c>
      <c r="C1431" t="str">
        <f>IFERROR(VLOOKUP(Tabela1[[#This Row],[CC]],CC!$A$1:$H$389,7,0),"")</f>
        <v>EVANDRO BRAGA</v>
      </c>
      <c r="D1431" t="str">
        <f>IFERROR(VLOOKUP(Tabela1[[#This Row],[CC]],CC!$A$1:$I$3869,3,0),"")</f>
        <v>COMPASS</v>
      </c>
      <c r="E1431" t="str">
        <f>IFERROR(VLOOKUP(Tabela1[[#This Row],[CC]],CC!$A$1:$H$389,2,0),"")</f>
        <v>GAS BRASILIANO (1462)</v>
      </c>
      <c r="F1431" t="s">
        <v>586</v>
      </c>
      <c r="G1431" s="107">
        <v>8582</v>
      </c>
      <c r="H1431" s="12">
        <v>45931</v>
      </c>
      <c r="I1431" s="24">
        <v>800</v>
      </c>
      <c r="J1431" s="24">
        <v>750.8</v>
      </c>
      <c r="K1431" s="3">
        <v>45964</v>
      </c>
      <c r="L1431" s="147">
        <v>45964</v>
      </c>
      <c r="M1431" s="11">
        <v>45968</v>
      </c>
      <c r="N1431" s="18" t="s">
        <v>588</v>
      </c>
      <c r="O1431" s="35">
        <v>0</v>
      </c>
      <c r="P1431" s="26"/>
      <c r="Q1431" t="str">
        <f>IFERROR(VLOOKUP(Tabela1[[#This Row],[CC]],CC!$A$1:$H$389,5,0),"")</f>
        <v>CSA</v>
      </c>
      <c r="R1431" t="str">
        <f>IFERROR(VLOOKUP(Tabela1[[#This Row],[CC]],CC!$A$1:$H$389,6,0),"")</f>
        <v>UT</v>
      </c>
      <c r="S1431" t="str">
        <f>IFERROR(VLOOKUP(Tabela1[[#This Row],[CC]],CC!$A$1:$H$403,8,0),"")</f>
        <v>OP2</v>
      </c>
    </row>
    <row r="1432" spans="1:21" x14ac:dyDescent="0.3">
      <c r="A1432" s="25">
        <v>1390</v>
      </c>
      <c r="B1432" s="25" t="str">
        <f>IFERROR(VLOOKUP(Tabela1[[#This Row],[CC]],#REF!,5,0),"")</f>
        <v/>
      </c>
      <c r="C1432" t="str">
        <f>IFERROR(VLOOKUP(Tabela1[[#This Row],[CC]],CC!$A$1:$H$389,7,0),"")</f>
        <v>JOSÉ NETO</v>
      </c>
      <c r="D1432" t="str">
        <f>IFERROR(VLOOKUP(Tabela1[[#This Row],[CC]],CC!$A$1:$I$3869,3,0),"")</f>
        <v>OI</v>
      </c>
      <c r="E1432" t="str">
        <f>IFERROR(VLOOKUP(Tabela1[[#This Row],[CC]],CC!$A$1:$H$389,2,0),"")</f>
        <v>OI - DIGITAL SUPORT (1390)</v>
      </c>
      <c r="F1432" t="s">
        <v>586</v>
      </c>
      <c r="G1432" s="107">
        <v>1314</v>
      </c>
      <c r="H1432" s="12">
        <v>45931</v>
      </c>
      <c r="I1432" s="24">
        <v>146995.45000000001</v>
      </c>
      <c r="J1432" s="24">
        <v>129870.48</v>
      </c>
      <c r="K1432" s="3">
        <v>45986</v>
      </c>
      <c r="L1432" s="147">
        <v>46083</v>
      </c>
      <c r="M1432" s="11">
        <v>46084</v>
      </c>
      <c r="N1432" s="18" t="s">
        <v>588</v>
      </c>
      <c r="O1432" s="35"/>
      <c r="P1432"/>
      <c r="Q1432" t="str">
        <f>IFERROR(VLOOKUP(Tabela1[[#This Row],[CC]],CC!$A$1:$H$389,5,0),"")</f>
        <v>CSA</v>
      </c>
      <c r="R1432" t="str">
        <f>IFERROR(VLOOKUP(Tabela1[[#This Row],[CC]],CC!$A$1:$H$389,6,0),"")</f>
        <v>UT</v>
      </c>
      <c r="S1432" t="str">
        <f>IFERROR(VLOOKUP(Tabela1[[#This Row],[CC]],CC!$A$1:$H$403,8,0),"")</f>
        <v>OP2</v>
      </c>
    </row>
    <row r="1433" spans="1:21" x14ac:dyDescent="0.3">
      <c r="A1433" s="25">
        <v>1390</v>
      </c>
      <c r="B1433" s="25" t="str">
        <f>IFERROR(VLOOKUP(Tabela1[[#This Row],[CC]],#REF!,5,0),"")</f>
        <v/>
      </c>
      <c r="C1433" t="str">
        <f>IFERROR(VLOOKUP(Tabela1[[#This Row],[CC]],CC!$A$1:$H$389,7,0),"")</f>
        <v>JOSÉ NETO</v>
      </c>
      <c r="D1433" t="str">
        <f>IFERROR(VLOOKUP(Tabela1[[#This Row],[CC]],CC!$A$1:$I$3869,3,0),"")</f>
        <v>OI</v>
      </c>
      <c r="E1433" t="str">
        <f>IFERROR(VLOOKUP(Tabela1[[#This Row],[CC]],CC!$A$1:$H$389,2,0),"")</f>
        <v>OI - DIGITAL SUPORT (1390)</v>
      </c>
      <c r="F1433" t="s">
        <v>586</v>
      </c>
      <c r="G1433" s="107">
        <v>1326</v>
      </c>
      <c r="H1433" s="12">
        <v>45962</v>
      </c>
      <c r="I1433" s="24">
        <v>147014.88</v>
      </c>
      <c r="J1433" s="27">
        <v>129887.65</v>
      </c>
      <c r="K1433" s="3">
        <v>46015</v>
      </c>
      <c r="L1433" s="147">
        <v>46104</v>
      </c>
      <c r="M1433" s="11">
        <v>46106</v>
      </c>
      <c r="N1433" s="18" t="s">
        <v>588</v>
      </c>
      <c r="O1433" s="35"/>
      <c r="P1433"/>
      <c r="Q1433" t="str">
        <f>IFERROR(VLOOKUP(Tabela1[[#This Row],[CC]],CC!$A$1:$H$389,5,0),"")</f>
        <v>CSA</v>
      </c>
      <c r="R1433" t="str">
        <f>IFERROR(VLOOKUP(Tabela1[[#This Row],[CC]],CC!$A$1:$H$389,6,0),"")</f>
        <v>UT</v>
      </c>
      <c r="S1433" t="str">
        <f>IFERROR(VLOOKUP(Tabela1[[#This Row],[CC]],CC!$A$1:$H$403,8,0),"")</f>
        <v>OP2</v>
      </c>
    </row>
    <row r="1434" spans="1:21" x14ac:dyDescent="0.3">
      <c r="A1434" s="25">
        <v>1390</v>
      </c>
      <c r="B1434" s="25" t="str">
        <f>IFERROR(VLOOKUP(Tabela1[[#This Row],[CC]],#REF!,5,0),"")</f>
        <v/>
      </c>
      <c r="C1434" t="str">
        <f>IFERROR(VLOOKUP(Tabela1[[#This Row],[CC]],CC!$A$1:$H$389,7,0),"")</f>
        <v>JOSÉ NETO</v>
      </c>
      <c r="D1434" t="str">
        <f>IFERROR(VLOOKUP(Tabela1[[#This Row],[CC]],CC!$A$1:$I$3869,3,0),"")</f>
        <v>OI</v>
      </c>
      <c r="E1434" t="str">
        <f>IFERROR(VLOOKUP(Tabela1[[#This Row],[CC]],CC!$A$1:$H$389,2,0),"")</f>
        <v>OI - DIGITAL SUPORT (1390)</v>
      </c>
      <c r="F1434" t="s">
        <v>586</v>
      </c>
      <c r="G1434" s="107">
        <v>1327</v>
      </c>
      <c r="H1434" s="12">
        <v>45992</v>
      </c>
      <c r="I1434" s="24">
        <v>120533.74</v>
      </c>
      <c r="J1434" s="27">
        <v>106491.56</v>
      </c>
      <c r="K1434" s="3">
        <v>46035</v>
      </c>
      <c r="L1434" s="147">
        <v>46104</v>
      </c>
      <c r="M1434" s="11">
        <v>46106</v>
      </c>
      <c r="N1434" s="18" t="s">
        <v>588</v>
      </c>
      <c r="O1434" s="35"/>
      <c r="P1434"/>
      <c r="Q1434" t="str">
        <f>IFERROR(VLOOKUP(Tabela1[[#This Row],[CC]],CC!$A$1:$H$389,5,0),"")</f>
        <v>CSA</v>
      </c>
      <c r="R1434" t="str">
        <f>IFERROR(VLOOKUP(Tabela1[[#This Row],[CC]],CC!$A$1:$H$389,6,0),"")</f>
        <v>UT</v>
      </c>
      <c r="S1434" t="str">
        <f>IFERROR(VLOOKUP(Tabela1[[#This Row],[CC]],CC!$A$1:$H$403,8,0),"")</f>
        <v>OP2</v>
      </c>
    </row>
    <row r="1435" spans="1:21" x14ac:dyDescent="0.3">
      <c r="A1435" s="25">
        <v>1390</v>
      </c>
      <c r="B1435" s="25" t="str">
        <f>IFERROR(VLOOKUP(Tabela1[[#This Row],[CC]],#REF!,5,0),"")</f>
        <v/>
      </c>
      <c r="C1435" t="str">
        <f>IFERROR(VLOOKUP(Tabela1[[#This Row],[CC]],CC!$A$1:$H$389,7,0),"")</f>
        <v>JOSÉ NETO</v>
      </c>
      <c r="D1435" t="str">
        <f>IFERROR(VLOOKUP(Tabela1[[#This Row],[CC]],CC!$A$1:$I$3869,3,0),"")</f>
        <v>OI</v>
      </c>
      <c r="E1435" t="str">
        <f>IFERROR(VLOOKUP(Tabela1[[#This Row],[CC]],CC!$A$1:$H$389,2,0),"")</f>
        <v>OI - DIGITAL SUPORT (1390)</v>
      </c>
      <c r="F1435" t="s">
        <v>586</v>
      </c>
      <c r="G1435" s="107">
        <v>1332</v>
      </c>
      <c r="H1435" s="12">
        <v>46023</v>
      </c>
      <c r="I1435" s="24">
        <v>94052.6</v>
      </c>
      <c r="J1435" s="27">
        <v>83095.47</v>
      </c>
      <c r="K1435" s="3">
        <v>46072</v>
      </c>
      <c r="L1435" s="147">
        <v>46153</v>
      </c>
      <c r="M1435" s="11">
        <v>46155</v>
      </c>
      <c r="N1435" s="18" t="s">
        <v>588</v>
      </c>
      <c r="O1435" s="35"/>
      <c r="P1435"/>
      <c r="Q1435" t="str">
        <f>IFERROR(VLOOKUP(Tabela1[[#This Row],[CC]],CC!$A$1:$H$389,5,0),"")</f>
        <v>CSA</v>
      </c>
      <c r="R1435" t="str">
        <f>IFERROR(VLOOKUP(Tabela1[[#This Row],[CC]],CC!$A$1:$H$389,6,0),"")</f>
        <v>UT</v>
      </c>
      <c r="S1435" t="str">
        <f>IFERROR(VLOOKUP(Tabela1[[#This Row],[CC]],CC!$A$1:$H$403,8,0),"")</f>
        <v>OP2</v>
      </c>
    </row>
    <row r="1436" spans="1:21" x14ac:dyDescent="0.3">
      <c r="A1436" s="25">
        <v>1390</v>
      </c>
      <c r="B1436" s="25" t="str">
        <f>IFERROR(VLOOKUP(Tabela1[[#This Row],[CC]],#REF!,5,0),"")</f>
        <v/>
      </c>
      <c r="C1436" t="str">
        <f>IFERROR(VLOOKUP(Tabela1[[#This Row],[CC]],CC!$A$1:$H$389,7,0),"")</f>
        <v>JOSÉ NETO</v>
      </c>
      <c r="D1436" t="str">
        <f>IFERROR(VLOOKUP(Tabela1[[#This Row],[CC]],CC!$A$1:$I$3869,3,0),"")</f>
        <v>OI</v>
      </c>
      <c r="E1436" t="str">
        <f>IFERROR(VLOOKUP(Tabela1[[#This Row],[CC]],CC!$A$1:$H$389,2,0),"")</f>
        <v>OI - DIGITAL SUPORT (1390)</v>
      </c>
      <c r="F1436" t="s">
        <v>586</v>
      </c>
      <c r="G1436" s="107">
        <v>1337</v>
      </c>
      <c r="H1436" s="12">
        <v>46054</v>
      </c>
      <c r="I1436" s="24">
        <v>94072.03</v>
      </c>
      <c r="J1436" s="27">
        <v>83112.639999999999</v>
      </c>
      <c r="K1436" s="3">
        <v>46090</v>
      </c>
      <c r="L1436" s="147">
        <v>46153</v>
      </c>
      <c r="M1436" s="11">
        <v>46155</v>
      </c>
      <c r="N1436" s="18" t="s">
        <v>588</v>
      </c>
      <c r="O1436" s="35"/>
      <c r="P1436"/>
      <c r="Q1436" t="str">
        <f>IFERROR(VLOOKUP(Tabela1[[#This Row],[CC]],CC!$A$1:$H$389,5,0),"")</f>
        <v>CSA</v>
      </c>
      <c r="R1436" t="str">
        <f>IFERROR(VLOOKUP(Tabela1[[#This Row],[CC]],CC!$A$1:$H$389,6,0),"")</f>
        <v>UT</v>
      </c>
      <c r="S1436" t="str">
        <f>IFERROR(VLOOKUP(Tabela1[[#This Row],[CC]],CC!$A$1:$H$403,8,0),"")</f>
        <v>OP2</v>
      </c>
    </row>
    <row r="1437" spans="1:21" x14ac:dyDescent="0.3">
      <c r="A1437" s="25">
        <v>1390</v>
      </c>
      <c r="B1437" s="25" t="str">
        <f>IFERROR(VLOOKUP(Tabela1[[#This Row],[CC]],#REF!,5,0),"")</f>
        <v/>
      </c>
      <c r="C1437" t="str">
        <f>IFERROR(VLOOKUP(Tabela1[[#This Row],[CC]],CC!$A$1:$H$389,7,0),"")</f>
        <v>JOSÉ NETO</v>
      </c>
      <c r="D1437" t="str">
        <f>IFERROR(VLOOKUP(Tabela1[[#This Row],[CC]],CC!$A$1:$I$3869,3,0),"")</f>
        <v>OI</v>
      </c>
      <c r="E1437" t="str">
        <f>IFERROR(VLOOKUP(Tabela1[[#This Row],[CC]],CC!$A$1:$H$389,2,0),"")</f>
        <v>OI - DIGITAL SUPORT (1390)</v>
      </c>
      <c r="F1437" t="s">
        <v>586</v>
      </c>
      <c r="G1437" s="107">
        <v>1342</v>
      </c>
      <c r="H1437" s="12">
        <v>46082</v>
      </c>
      <c r="I1437" s="24">
        <v>94072.03</v>
      </c>
      <c r="J1437" s="24">
        <v>83112.639999999999</v>
      </c>
      <c r="K1437" s="3">
        <v>46121</v>
      </c>
      <c r="L1437" s="147">
        <v>46202</v>
      </c>
      <c r="M1437" s="11"/>
      <c r="N1437" s="18" t="s">
        <v>587</v>
      </c>
      <c r="O1437" s="35"/>
      <c r="P1437"/>
      <c r="Q1437" t="str">
        <f>IFERROR(VLOOKUP(Tabela1[[#This Row],[CC]],CC!$A$1:$H$389,5,0),"")</f>
        <v>CSA</v>
      </c>
      <c r="R1437" t="str">
        <f>IFERROR(VLOOKUP(Tabela1[[#This Row],[CC]],CC!$A$1:$H$389,6,0),"")</f>
        <v>UT</v>
      </c>
      <c r="S1437" t="str">
        <f>IFERROR(VLOOKUP(Tabela1[[#This Row],[CC]],CC!$A$1:$H$403,8,0),"")</f>
        <v>OP2</v>
      </c>
    </row>
    <row r="1438" spans="1:21" x14ac:dyDescent="0.3">
      <c r="A1438" s="25">
        <v>1390</v>
      </c>
      <c r="B1438" s="25" t="str">
        <f>IFERROR(VLOOKUP(Tabela1[[#This Row],[CC]],#REF!,5,0),"")</f>
        <v/>
      </c>
      <c r="C1438" t="str">
        <f>IFERROR(VLOOKUP(Tabela1[[#This Row],[CC]],CC!$A$1:$H$389,7,0),"")</f>
        <v>JOSÉ NETO</v>
      </c>
      <c r="D1438" t="str">
        <f>IFERROR(VLOOKUP(Tabela1[[#This Row],[CC]],CC!$A$1:$I$3869,3,0),"")</f>
        <v>OI</v>
      </c>
      <c r="E1438" t="str">
        <f>IFERROR(VLOOKUP(Tabela1[[#This Row],[CC]],CC!$A$1:$H$389,2,0),"")</f>
        <v>OI - DIGITAL SUPORT (1390)</v>
      </c>
      <c r="F1438" t="s">
        <v>586</v>
      </c>
      <c r="G1438" s="107">
        <v>1349</v>
      </c>
      <c r="H1438" s="12">
        <v>46113</v>
      </c>
      <c r="I1438" s="24">
        <v>25620.82</v>
      </c>
      <c r="J1438" s="24">
        <v>22635.99</v>
      </c>
      <c r="K1438" s="3">
        <v>46161</v>
      </c>
      <c r="L1438" s="147">
        <v>46223</v>
      </c>
      <c r="M1438" s="11"/>
      <c r="N1438" s="18" t="s">
        <v>587</v>
      </c>
      <c r="O1438" s="35"/>
      <c r="P1438"/>
      <c r="Q1438" t="str">
        <f>IFERROR(VLOOKUP(Tabela1[[#This Row],[CC]],CC!$A$1:$H$389,5,0),"")</f>
        <v>CSA</v>
      </c>
      <c r="R1438" t="str">
        <f>IFERROR(VLOOKUP(Tabela1[[#This Row],[CC]],CC!$A$1:$H$389,6,0),"")</f>
        <v>UT</v>
      </c>
      <c r="S1438" t="str">
        <f>IFERROR(VLOOKUP(Tabela1[[#This Row],[CC]],CC!$A$1:$H$403,8,0),"")</f>
        <v>OP2</v>
      </c>
    </row>
    <row r="1439" spans="1:21" x14ac:dyDescent="0.3">
      <c r="A1439" s="25">
        <v>1390</v>
      </c>
      <c r="B1439" s="25" t="str">
        <f>IFERROR(VLOOKUP(Tabela1[[#This Row],[CC]],#REF!,5,0),"")</f>
        <v/>
      </c>
      <c r="C1439" t="str">
        <f>IFERROR(VLOOKUP(Tabela1[[#This Row],[CC]],CC!$A$1:$H$389,7,0),"")</f>
        <v>JOSÉ NETO</v>
      </c>
      <c r="D1439" t="str">
        <f>IFERROR(VLOOKUP(Tabela1[[#This Row],[CC]],CC!$A$1:$I$3869,3,0),"")</f>
        <v>OI</v>
      </c>
      <c r="E1439" t="str">
        <f>IFERROR(VLOOKUP(Tabela1[[#This Row],[CC]],CC!$A$1:$H$389,2,0),"")</f>
        <v>OI - DIGITAL SUPORT (1390)</v>
      </c>
      <c r="F1439" t="s">
        <v>586</v>
      </c>
      <c r="G1439" s="107">
        <v>1350</v>
      </c>
      <c r="H1439" s="12">
        <v>46113</v>
      </c>
      <c r="I1439" s="24">
        <v>16000</v>
      </c>
      <c r="J1439" s="24">
        <v>14136</v>
      </c>
      <c r="K1439" s="3">
        <v>46161</v>
      </c>
      <c r="L1439" s="147">
        <v>46223</v>
      </c>
      <c r="M1439" s="11"/>
      <c r="N1439" s="18" t="s">
        <v>587</v>
      </c>
      <c r="O1439" s="35"/>
      <c r="P1439"/>
      <c r="Q1439" t="str">
        <f>IFERROR(VLOOKUP(Tabela1[[#This Row],[CC]],CC!$A$1:$H$389,5,0),"")</f>
        <v>CSA</v>
      </c>
      <c r="R1439" t="str">
        <f>IFERROR(VLOOKUP(Tabela1[[#This Row],[CC]],CC!$A$1:$H$389,6,0),"")</f>
        <v>UT</v>
      </c>
      <c r="S1439" t="str">
        <f>IFERROR(VLOOKUP(Tabela1[[#This Row],[CC]],CC!$A$1:$H$403,8,0),"")</f>
        <v>OP2</v>
      </c>
    </row>
    <row r="1440" spans="1:21" x14ac:dyDescent="0.3">
      <c r="A1440" s="25">
        <v>1390</v>
      </c>
      <c r="B1440" s="25" t="str">
        <f>IFERROR(VLOOKUP(Tabela1[[#This Row],[CC]],#REF!,5,0),"")</f>
        <v/>
      </c>
      <c r="C1440" t="str">
        <f>IFERROR(VLOOKUP(Tabela1[[#This Row],[CC]],CC!$A$1:$H$389,7,0),"")</f>
        <v>JOSÉ NETO</v>
      </c>
      <c r="D1440" t="str">
        <f>IFERROR(VLOOKUP(Tabela1[[#This Row],[CC]],CC!$A$1:$I$3869,3,0),"")</f>
        <v>OI</v>
      </c>
      <c r="E1440" t="str">
        <f>IFERROR(VLOOKUP(Tabela1[[#This Row],[CC]],CC!$A$1:$H$389,2,0),"")</f>
        <v>OI - DIGITAL SUPORT (1390)</v>
      </c>
      <c r="F1440" t="s">
        <v>586</v>
      </c>
      <c r="G1440" s="107">
        <v>1352</v>
      </c>
      <c r="H1440" s="12">
        <v>46143</v>
      </c>
      <c r="I1440" s="24">
        <v>41640.25</v>
      </c>
      <c r="J1440" s="24">
        <v>36789.160000000003</v>
      </c>
      <c r="K1440" s="3">
        <v>46183</v>
      </c>
      <c r="L1440" s="91">
        <v>46223</v>
      </c>
      <c r="M1440" s="11"/>
      <c r="N1440" s="18" t="s">
        <v>587</v>
      </c>
      <c r="O1440" s="35"/>
      <c r="P1440"/>
      <c r="Q1440" t="str">
        <f>IFERROR(VLOOKUP(Tabela1[[#This Row],[CC]],CC!$A$1:$H$389,5,0),"")</f>
        <v>CSA</v>
      </c>
      <c r="R1440" t="str">
        <f>IFERROR(VLOOKUP(Tabela1[[#This Row],[CC]],CC!$A$1:$H$389,6,0),"")</f>
        <v>UT</v>
      </c>
      <c r="S1440" t="str">
        <f>IFERROR(VLOOKUP(Tabela1[[#This Row],[CC]],CC!$A$1:$H$403,8,0),"")</f>
        <v>OP2</v>
      </c>
    </row>
    <row r="1441" spans="1:19" x14ac:dyDescent="0.3">
      <c r="A1441" s="13">
        <v>1260</v>
      </c>
      <c r="B1441" s="13" t="str">
        <f>IFERROR(VLOOKUP(Tabela1[[#This Row],[CC]],#REF!,5,0),"")</f>
        <v/>
      </c>
      <c r="C1441" t="str">
        <f>IFERROR(VLOOKUP(Tabela1[[#This Row],[CC]],CC!$A$1:$H$389,7,0),"")</f>
        <v>RODRIGO CORUMBA</v>
      </c>
      <c r="D1441" t="str">
        <f>IFERROR(VLOOKUP(Tabela1[[#This Row],[CC]],CC!$A$1:$I$3869,3,0),"")</f>
        <v>PETZ</v>
      </c>
      <c r="E1441" t="str">
        <f>IFERROR(VLOOKUP(Tabela1[[#This Row],[CC]],CC!$A$1:$H$389,2,0),"")</f>
        <v>PETZ - ADS (1260)</v>
      </c>
      <c r="F1441" t="s">
        <v>586</v>
      </c>
      <c r="G1441" s="107">
        <v>4478</v>
      </c>
      <c r="H1441" s="12">
        <v>45931</v>
      </c>
      <c r="I1441" s="27">
        <v>10914</v>
      </c>
      <c r="J1441" s="27">
        <v>10242.790000000001</v>
      </c>
      <c r="K1441" s="3">
        <v>45964</v>
      </c>
      <c r="L1441" s="147">
        <v>45985</v>
      </c>
      <c r="M1441" s="11">
        <v>45987</v>
      </c>
      <c r="N1441" s="19" t="s">
        <v>588</v>
      </c>
      <c r="O1441" s="34">
        <v>0</v>
      </c>
      <c r="P1441"/>
      <c r="Q1441" t="str">
        <f>IFERROR(VLOOKUP(Tabela1[[#This Row],[CC]],CC!$A$1:$H$389,5,0),"")</f>
        <v>ADS</v>
      </c>
      <c r="R1441" t="str">
        <f>IFERROR(VLOOKUP(Tabela1[[#This Row],[CC]],CC!$A$1:$H$389,6,0),"")</f>
        <v>MS</v>
      </c>
      <c r="S1441" t="str">
        <f>IFERROR(VLOOKUP(Tabela1[[#This Row],[CC]],CC!$A$1:$H$403,8,0),"")</f>
        <v>OP2</v>
      </c>
    </row>
    <row r="1442" spans="1:19" x14ac:dyDescent="0.3">
      <c r="A1442" s="25">
        <v>1482</v>
      </c>
      <c r="B1442" s="25" t="str">
        <f>IFERROR(VLOOKUP(Tabela1[[#This Row],[CC]],#REF!,5,0),"")</f>
        <v/>
      </c>
      <c r="C1442" t="str">
        <f>IFERROR(VLOOKUP(Tabela1[[#This Row],[CC]],CC!$A$1:$H$389,7,0),"")</f>
        <v>JOSÉ NETO</v>
      </c>
      <c r="D1442" t="str">
        <f>IFERROR(VLOOKUP(Tabela1[[#This Row],[CC]],CC!$A$1:$I$3869,3,0),"")</f>
        <v>AXIA</v>
      </c>
      <c r="E1442" t="str">
        <f>IFERROR(VLOOKUP(Tabela1[[#This Row],[CC]],CC!$A$1:$H$389,2,0),"")</f>
        <v>REAL GRANDEZA (1482)</v>
      </c>
      <c r="F1442" t="s">
        <v>586</v>
      </c>
      <c r="G1442" s="107">
        <v>8591</v>
      </c>
      <c r="H1442" s="12">
        <v>45931</v>
      </c>
      <c r="I1442" s="24">
        <v>39000</v>
      </c>
      <c r="J1442" s="27">
        <v>35236.5</v>
      </c>
      <c r="K1442" s="3">
        <v>45967</v>
      </c>
      <c r="L1442" s="147">
        <v>45992</v>
      </c>
      <c r="M1442" s="11">
        <v>45994</v>
      </c>
      <c r="N1442" s="36" t="s">
        <v>588</v>
      </c>
      <c r="O1442" s="47"/>
      <c r="P1442" s="26"/>
      <c r="Q1442" t="str">
        <f>IFERROR(VLOOKUP(Tabela1[[#This Row],[CC]],CC!$A$1:$H$389,5,0),"")</f>
        <v>CSA</v>
      </c>
      <c r="R1442" t="str">
        <f>IFERROR(VLOOKUP(Tabela1[[#This Row],[CC]],CC!$A$1:$H$389,6,0),"")</f>
        <v>UT</v>
      </c>
      <c r="S1442" t="str">
        <f>IFERROR(VLOOKUP(Tabela1[[#This Row],[CC]],CC!$A$1:$H$403,8,0),"")</f>
        <v>OP2</v>
      </c>
    </row>
    <row r="1443" spans="1:19" x14ac:dyDescent="0.3">
      <c r="A1443" s="25">
        <v>1262</v>
      </c>
      <c r="B1443" s="25" t="str">
        <f>IFERROR(VLOOKUP(Tabela1[[#This Row],[CC]],#REF!,5,0),"")</f>
        <v/>
      </c>
      <c r="C1443" t="str">
        <f>IFERROR(VLOOKUP(Tabela1[[#This Row],[CC]],CC!$A$1:$H$389,7,0),"")</f>
        <v>RODRIGO CORUMBA</v>
      </c>
      <c r="D1443" t="str">
        <f>IFERROR(VLOOKUP(Tabela1[[#This Row],[CC]],CC!$A$1:$I$3869,3,0),"")</f>
        <v>RENDIMENTO</v>
      </c>
      <c r="E1443" t="str">
        <f>IFERROR(VLOOKUP(Tabela1[[#This Row],[CC]],CC!$A$1:$H$389,2,0),"")</f>
        <v>BANCO RENDIMENTO ADS (1262)</v>
      </c>
      <c r="F1443" t="s">
        <v>586</v>
      </c>
      <c r="G1443" s="107">
        <v>4541</v>
      </c>
      <c r="H1443" s="12">
        <v>45931</v>
      </c>
      <c r="I1443" s="27">
        <v>37838.49</v>
      </c>
      <c r="J1443" s="27">
        <v>35511.43</v>
      </c>
      <c r="K1443" s="3">
        <v>45980</v>
      </c>
      <c r="L1443" s="147">
        <v>45985</v>
      </c>
      <c r="M1443" s="11">
        <v>45989</v>
      </c>
      <c r="N1443" s="18" t="s">
        <v>588</v>
      </c>
      <c r="O1443" s="35">
        <v>0</v>
      </c>
      <c r="P1443" s="26"/>
      <c r="Q1443" t="str">
        <f>IFERROR(VLOOKUP(Tabela1[[#This Row],[CC]],CC!$A$1:$H$389,5,0),"")</f>
        <v>ADS</v>
      </c>
      <c r="R1443" t="str">
        <f>IFERROR(VLOOKUP(Tabela1[[#This Row],[CC]],CC!$A$1:$H$389,6,0),"")</f>
        <v>FS</v>
      </c>
      <c r="S1443" t="str">
        <f>IFERROR(VLOOKUP(Tabela1[[#This Row],[CC]],CC!$A$1:$H$403,8,0),"")</f>
        <v>OP2</v>
      </c>
    </row>
    <row r="1444" spans="1:19" x14ac:dyDescent="0.3">
      <c r="A1444" s="25">
        <v>1262</v>
      </c>
      <c r="B1444" s="25" t="str">
        <f>IFERROR(VLOOKUP(Tabela1[[#This Row],[CC]],#REF!,5,0),"")</f>
        <v/>
      </c>
      <c r="C1444" t="str">
        <f>IFERROR(VLOOKUP(Tabela1[[#This Row],[CC]],CC!$A$1:$H$389,7,0),"")</f>
        <v>RODRIGO CORUMBA</v>
      </c>
      <c r="D1444" t="str">
        <f>IFERROR(VLOOKUP(Tabela1[[#This Row],[CC]],CC!$A$1:$I$3869,3,0),"")</f>
        <v>RENDIMENTO</v>
      </c>
      <c r="E1444" t="str">
        <f>IFERROR(VLOOKUP(Tabela1[[#This Row],[CC]],CC!$A$1:$H$389,2,0),"")</f>
        <v>BANCO RENDIMENTO ADS (1262)</v>
      </c>
      <c r="F1444" t="s">
        <v>586</v>
      </c>
      <c r="G1444" s="107">
        <v>4542</v>
      </c>
      <c r="H1444" s="12">
        <v>45931</v>
      </c>
      <c r="I1444" s="27">
        <v>22804.36</v>
      </c>
      <c r="J1444" s="27">
        <v>21401.89</v>
      </c>
      <c r="K1444" s="3">
        <v>45980</v>
      </c>
      <c r="L1444" s="147">
        <v>45985</v>
      </c>
      <c r="M1444" s="11">
        <v>45989</v>
      </c>
      <c r="N1444" s="18" t="s">
        <v>588</v>
      </c>
      <c r="O1444" s="35">
        <v>0</v>
      </c>
      <c r="P1444" s="26"/>
      <c r="Q1444" t="str">
        <f>IFERROR(VLOOKUP(Tabela1[[#This Row],[CC]],CC!$A$1:$H$389,5,0),"")</f>
        <v>ADS</v>
      </c>
      <c r="R1444" t="str">
        <f>IFERROR(VLOOKUP(Tabela1[[#This Row],[CC]],CC!$A$1:$H$389,6,0),"")</f>
        <v>FS</v>
      </c>
      <c r="S1444" t="str">
        <f>IFERROR(VLOOKUP(Tabela1[[#This Row],[CC]],CC!$A$1:$H$403,8,0),"")</f>
        <v>OP2</v>
      </c>
    </row>
    <row r="1445" spans="1:19" x14ac:dyDescent="0.3">
      <c r="A1445" s="25">
        <v>1262</v>
      </c>
      <c r="B1445" s="25" t="str">
        <f>IFERROR(VLOOKUP(Tabela1[[#This Row],[CC]],#REF!,5,0),"")</f>
        <v/>
      </c>
      <c r="C1445" t="str">
        <f>IFERROR(VLOOKUP(Tabela1[[#This Row],[CC]],CC!$A$1:$H$389,7,0),"")</f>
        <v>RODRIGO CORUMBA</v>
      </c>
      <c r="D1445" t="str">
        <f>IFERROR(VLOOKUP(Tabela1[[#This Row],[CC]],CC!$A$1:$I$3869,3,0),"")</f>
        <v>RENDIMENTO</v>
      </c>
      <c r="E1445" t="str">
        <f>IFERROR(VLOOKUP(Tabela1[[#This Row],[CC]],CC!$A$1:$H$389,2,0),"")</f>
        <v>BANCO RENDIMENTO ADS (1262)</v>
      </c>
      <c r="F1445" t="s">
        <v>586</v>
      </c>
      <c r="G1445" s="107">
        <v>4543</v>
      </c>
      <c r="H1445" s="12">
        <v>45931</v>
      </c>
      <c r="I1445" s="27">
        <v>19097.88</v>
      </c>
      <c r="J1445" s="27">
        <v>17923.349999999999</v>
      </c>
      <c r="K1445" s="3">
        <v>45980</v>
      </c>
      <c r="L1445" s="147">
        <v>45985</v>
      </c>
      <c r="M1445" s="11">
        <v>45989</v>
      </c>
      <c r="N1445" s="18" t="s">
        <v>588</v>
      </c>
      <c r="O1445" s="35">
        <v>0</v>
      </c>
      <c r="P1445" s="26"/>
      <c r="Q1445" t="str">
        <f>IFERROR(VLOOKUP(Tabela1[[#This Row],[CC]],CC!$A$1:$H$389,5,0),"")</f>
        <v>ADS</v>
      </c>
      <c r="R1445" t="str">
        <f>IFERROR(VLOOKUP(Tabela1[[#This Row],[CC]],CC!$A$1:$H$389,6,0),"")</f>
        <v>FS</v>
      </c>
      <c r="S1445" t="str">
        <f>IFERROR(VLOOKUP(Tabela1[[#This Row],[CC]],CC!$A$1:$H$403,8,0),"")</f>
        <v>OP2</v>
      </c>
    </row>
    <row r="1446" spans="1:19" x14ac:dyDescent="0.3">
      <c r="A1446" s="25">
        <v>1262</v>
      </c>
      <c r="B1446" s="25" t="str">
        <f>IFERROR(VLOOKUP(Tabela1[[#This Row],[CC]],#REF!,5,0),"")</f>
        <v/>
      </c>
      <c r="C1446" t="str">
        <f>IFERROR(VLOOKUP(Tabela1[[#This Row],[CC]],CC!$A$1:$H$389,7,0),"")</f>
        <v>RODRIGO CORUMBA</v>
      </c>
      <c r="D1446" t="str">
        <f>IFERROR(VLOOKUP(Tabela1[[#This Row],[CC]],CC!$A$1:$I$3869,3,0),"")</f>
        <v>RENDIMENTO</v>
      </c>
      <c r="E1446" t="str">
        <f>IFERROR(VLOOKUP(Tabela1[[#This Row],[CC]],CC!$A$1:$H$389,2,0),"")</f>
        <v>BANCO RENDIMENTO ADS (1262)</v>
      </c>
      <c r="F1446" t="s">
        <v>586</v>
      </c>
      <c r="G1446" s="107">
        <v>4544</v>
      </c>
      <c r="H1446" s="12">
        <v>45931</v>
      </c>
      <c r="I1446" s="27">
        <v>59313.83</v>
      </c>
      <c r="J1446" s="27">
        <v>55666.03</v>
      </c>
      <c r="K1446" s="3">
        <v>45980</v>
      </c>
      <c r="L1446" s="147">
        <v>45985</v>
      </c>
      <c r="M1446" s="11">
        <v>45989</v>
      </c>
      <c r="N1446" s="18" t="s">
        <v>588</v>
      </c>
      <c r="O1446" s="35">
        <v>0</v>
      </c>
      <c r="P1446" s="26"/>
      <c r="Q1446" t="str">
        <f>IFERROR(VLOOKUP(Tabela1[[#This Row],[CC]],CC!$A$1:$H$389,5,0),"")</f>
        <v>ADS</v>
      </c>
      <c r="R1446" t="str">
        <f>IFERROR(VLOOKUP(Tabela1[[#This Row],[CC]],CC!$A$1:$H$389,6,0),"")</f>
        <v>FS</v>
      </c>
      <c r="S1446" t="str">
        <f>IFERROR(VLOOKUP(Tabela1[[#This Row],[CC]],CC!$A$1:$H$403,8,0),"")</f>
        <v>OP2</v>
      </c>
    </row>
    <row r="1447" spans="1:19" x14ac:dyDescent="0.3">
      <c r="A1447" s="25">
        <v>1262</v>
      </c>
      <c r="B1447" s="25" t="str">
        <f>IFERROR(VLOOKUP(Tabela1[[#This Row],[CC]],#REF!,5,0),"")</f>
        <v/>
      </c>
      <c r="C1447" t="str">
        <f>IFERROR(VLOOKUP(Tabela1[[#This Row],[CC]],CC!$A$1:$H$389,7,0),"")</f>
        <v>RODRIGO CORUMBA</v>
      </c>
      <c r="D1447" t="str">
        <f>IFERROR(VLOOKUP(Tabela1[[#This Row],[CC]],CC!$A$1:$I$3869,3,0),"")</f>
        <v>RENDIMENTO</v>
      </c>
      <c r="E1447" t="str">
        <f>IFERROR(VLOOKUP(Tabela1[[#This Row],[CC]],CC!$A$1:$H$389,2,0),"")</f>
        <v>BANCO RENDIMENTO ADS (1262)</v>
      </c>
      <c r="F1447" t="s">
        <v>586</v>
      </c>
      <c r="G1447" s="107">
        <v>4546</v>
      </c>
      <c r="H1447" s="12">
        <v>45931</v>
      </c>
      <c r="I1447" s="27">
        <v>8184.81</v>
      </c>
      <c r="J1447" s="27">
        <v>7681.45</v>
      </c>
      <c r="K1447" s="3">
        <v>45980</v>
      </c>
      <c r="L1447" s="147">
        <v>45985</v>
      </c>
      <c r="M1447" s="11">
        <v>45989</v>
      </c>
      <c r="N1447" s="18" t="s">
        <v>588</v>
      </c>
      <c r="O1447" s="35">
        <v>0</v>
      </c>
      <c r="P1447" s="26"/>
      <c r="Q1447" t="str">
        <f>IFERROR(VLOOKUP(Tabela1[[#This Row],[CC]],CC!$A$1:$H$389,5,0),"")</f>
        <v>ADS</v>
      </c>
      <c r="R1447" t="str">
        <f>IFERROR(VLOOKUP(Tabela1[[#This Row],[CC]],CC!$A$1:$H$389,6,0),"")</f>
        <v>FS</v>
      </c>
      <c r="S1447" t="str">
        <f>IFERROR(VLOOKUP(Tabela1[[#This Row],[CC]],CC!$A$1:$H$403,8,0),"")</f>
        <v>OP2</v>
      </c>
    </row>
    <row r="1448" spans="1:19" x14ac:dyDescent="0.3">
      <c r="A1448" s="8">
        <v>1269</v>
      </c>
      <c r="B1448" s="8" t="str">
        <f>IFERROR(VLOOKUP(Tabela1[[#This Row],[CC]],#REF!,5,0),"")</f>
        <v/>
      </c>
      <c r="C1448" t="str">
        <f>IFERROR(VLOOKUP(Tabela1[[#This Row],[CC]],CC!$A$1:$H$389,7,0),"")</f>
        <v>RODRIGO CORUMBA</v>
      </c>
      <c r="D1448" t="str">
        <f>IFERROR(VLOOKUP(Tabela1[[#This Row],[CC]],CC!$A$1:$I$3869,3,0),"")</f>
        <v>RENDIMENTO</v>
      </c>
      <c r="E1448" t="str">
        <f>IFERROR(VLOOKUP(Tabela1[[#This Row],[CC]],CC!$A$1:$H$389,2,0),"")</f>
        <v>BANCO RENDIMENTO MONITORING CSA (1269)</v>
      </c>
      <c r="F1448" t="s">
        <v>586</v>
      </c>
      <c r="G1448" s="107">
        <v>4545</v>
      </c>
      <c r="H1448" s="12">
        <v>45931</v>
      </c>
      <c r="I1448" s="27">
        <v>256578.23</v>
      </c>
      <c r="J1448" s="27">
        <v>240798.67</v>
      </c>
      <c r="K1448" s="3">
        <v>45980</v>
      </c>
      <c r="L1448" s="147">
        <v>45985</v>
      </c>
      <c r="M1448" s="11">
        <v>45989</v>
      </c>
      <c r="N1448" s="18" t="s">
        <v>588</v>
      </c>
      <c r="O1448" s="34">
        <v>0</v>
      </c>
      <c r="P1448" s="14"/>
      <c r="Q1448" t="str">
        <f>IFERROR(VLOOKUP(Tabela1[[#This Row],[CC]],CC!$A$1:$H$389,5,0),"")</f>
        <v>CSA</v>
      </c>
      <c r="R1448" t="str">
        <f>IFERROR(VLOOKUP(Tabela1[[#This Row],[CC]],CC!$A$1:$H$389,6,0),"")</f>
        <v>FS</v>
      </c>
      <c r="S1448" t="str">
        <f>IFERROR(VLOOKUP(Tabela1[[#This Row],[CC]],CC!$A$1:$H$403,8,0),"")</f>
        <v>OP2</v>
      </c>
    </row>
    <row r="1449" spans="1:19" x14ac:dyDescent="0.3">
      <c r="A1449" s="8">
        <v>1269</v>
      </c>
      <c r="B1449" s="8" t="str">
        <f>IFERROR(VLOOKUP(Tabela1[[#This Row],[CC]],#REF!,5,0),"")</f>
        <v/>
      </c>
      <c r="C1449" t="str">
        <f>IFERROR(VLOOKUP(Tabela1[[#This Row],[CC]],CC!$A$1:$H$389,7,0),"")</f>
        <v>RODRIGO CORUMBA</v>
      </c>
      <c r="D1449" t="str">
        <f>IFERROR(VLOOKUP(Tabela1[[#This Row],[CC]],CC!$A$1:$I$3869,3,0),"")</f>
        <v>RENDIMENTO</v>
      </c>
      <c r="E1449" t="str">
        <f>IFERROR(VLOOKUP(Tabela1[[#This Row],[CC]],CC!$A$1:$H$389,2,0),"")</f>
        <v>BANCO RENDIMENTO MONITORING CSA (1269)</v>
      </c>
      <c r="F1449" t="s">
        <v>586</v>
      </c>
      <c r="G1449" s="107">
        <v>4547</v>
      </c>
      <c r="H1449" s="12">
        <v>45931</v>
      </c>
      <c r="I1449" s="27">
        <v>10876.23</v>
      </c>
      <c r="J1449" s="27">
        <v>10207.34</v>
      </c>
      <c r="K1449" s="3">
        <v>45980</v>
      </c>
      <c r="L1449" s="147">
        <v>45985</v>
      </c>
      <c r="M1449" s="11">
        <v>45989</v>
      </c>
      <c r="N1449" s="18" t="s">
        <v>588</v>
      </c>
      <c r="O1449" s="34">
        <v>0</v>
      </c>
      <c r="P1449" s="14"/>
      <c r="Q1449" t="str">
        <f>IFERROR(VLOOKUP(Tabela1[[#This Row],[CC]],CC!$A$1:$H$389,5,0),"")</f>
        <v>CSA</v>
      </c>
      <c r="R1449" t="str">
        <f>IFERROR(VLOOKUP(Tabela1[[#This Row],[CC]],CC!$A$1:$H$389,6,0),"")</f>
        <v>FS</v>
      </c>
      <c r="S1449" t="str">
        <f>IFERROR(VLOOKUP(Tabela1[[#This Row],[CC]],CC!$A$1:$H$403,8,0),"")</f>
        <v>OP2</v>
      </c>
    </row>
    <row r="1450" spans="1:19" x14ac:dyDescent="0.3">
      <c r="A1450" s="8">
        <v>1269</v>
      </c>
      <c r="B1450" s="8" t="str">
        <f>IFERROR(VLOOKUP(Tabela1[[#This Row],[CC]],#REF!,5,0),"")</f>
        <v/>
      </c>
      <c r="C1450" t="str">
        <f>IFERROR(VLOOKUP(Tabela1[[#This Row],[CC]],CC!$A$1:$H$389,7,0),"")</f>
        <v>RODRIGO CORUMBA</v>
      </c>
      <c r="D1450" t="str">
        <f>IFERROR(VLOOKUP(Tabela1[[#This Row],[CC]],CC!$A$1:$I$3869,3,0),"")</f>
        <v>RENDIMENTO</v>
      </c>
      <c r="E1450" t="str">
        <f>IFERROR(VLOOKUP(Tabela1[[#This Row],[CC]],CC!$A$1:$H$389,2,0),"")</f>
        <v>BANCO RENDIMENTO MONITORING CSA (1269)</v>
      </c>
      <c r="F1450" t="s">
        <v>586</v>
      </c>
      <c r="G1450" s="107">
        <v>4548</v>
      </c>
      <c r="H1450" s="12">
        <v>45931</v>
      </c>
      <c r="I1450" s="27">
        <v>6655.99</v>
      </c>
      <c r="J1450" s="27">
        <v>6246.65</v>
      </c>
      <c r="K1450" s="3">
        <v>45980</v>
      </c>
      <c r="L1450" s="147">
        <v>45985</v>
      </c>
      <c r="M1450" s="11">
        <v>45989</v>
      </c>
      <c r="N1450" s="18" t="s">
        <v>588</v>
      </c>
      <c r="O1450" s="34">
        <v>0</v>
      </c>
      <c r="P1450" s="14"/>
      <c r="Q1450" t="str">
        <f>IFERROR(VLOOKUP(Tabela1[[#This Row],[CC]],CC!$A$1:$H$389,5,0),"")</f>
        <v>CSA</v>
      </c>
      <c r="R1450" t="str">
        <f>IFERROR(VLOOKUP(Tabela1[[#This Row],[CC]],CC!$A$1:$H$389,6,0),"")</f>
        <v>FS</v>
      </c>
      <c r="S1450" t="str">
        <f>IFERROR(VLOOKUP(Tabela1[[#This Row],[CC]],CC!$A$1:$H$403,8,0),"")</f>
        <v>OP2</v>
      </c>
    </row>
    <row r="1451" spans="1:19" x14ac:dyDescent="0.3">
      <c r="A1451" s="8">
        <v>1269</v>
      </c>
      <c r="B1451" s="8" t="str">
        <f>IFERROR(VLOOKUP(Tabela1[[#This Row],[CC]],#REF!,5,0),"")</f>
        <v/>
      </c>
      <c r="C1451" t="str">
        <f>IFERROR(VLOOKUP(Tabela1[[#This Row],[CC]],CC!$A$1:$H$389,7,0),"")</f>
        <v>RODRIGO CORUMBA</v>
      </c>
      <c r="D1451" t="str">
        <f>IFERROR(VLOOKUP(Tabela1[[#This Row],[CC]],CC!$A$1:$I$3869,3,0),"")</f>
        <v>RENDIMENTO</v>
      </c>
      <c r="E1451" t="str">
        <f>IFERROR(VLOOKUP(Tabela1[[#This Row],[CC]],CC!$A$1:$H$389,2,0),"")</f>
        <v>BANCO RENDIMENTO MONITORING CSA (1269)</v>
      </c>
      <c r="F1451" t="s">
        <v>586</v>
      </c>
      <c r="G1451" s="107">
        <v>4549</v>
      </c>
      <c r="H1451" s="12">
        <v>45931</v>
      </c>
      <c r="I1451" s="27">
        <v>30699.39</v>
      </c>
      <c r="J1451" s="27">
        <v>28811.38</v>
      </c>
      <c r="K1451" s="3">
        <v>45980</v>
      </c>
      <c r="L1451" s="147">
        <v>45985</v>
      </c>
      <c r="M1451" s="11">
        <v>45989</v>
      </c>
      <c r="N1451" s="18" t="s">
        <v>588</v>
      </c>
      <c r="O1451" s="34">
        <v>0</v>
      </c>
      <c r="P1451" s="14"/>
      <c r="Q1451" t="str">
        <f>IFERROR(VLOOKUP(Tabela1[[#This Row],[CC]],CC!$A$1:$H$389,5,0),"")</f>
        <v>CSA</v>
      </c>
      <c r="R1451" t="str">
        <f>IFERROR(VLOOKUP(Tabela1[[#This Row],[CC]],CC!$A$1:$H$389,6,0),"")</f>
        <v>FS</v>
      </c>
      <c r="S1451" t="str">
        <f>IFERROR(VLOOKUP(Tabela1[[#This Row],[CC]],CC!$A$1:$H$403,8,0),"")</f>
        <v>OP2</v>
      </c>
    </row>
    <row r="1452" spans="1:19" x14ac:dyDescent="0.3">
      <c r="A1452" s="25">
        <v>1400</v>
      </c>
      <c r="B1452" s="25" t="str">
        <f>IFERROR(VLOOKUP(Tabela1[[#This Row],[CC]],#REF!,5,0),"")</f>
        <v/>
      </c>
      <c r="C1452" t="str">
        <f>IFERROR(VLOOKUP(Tabela1[[#This Row],[CC]],CC!$A$1:$H$389,7,0),"")</f>
        <v>CYRO SALVATORE</v>
      </c>
      <c r="D1452" t="str">
        <f>IFERROR(VLOOKUP(Tabela1[[#This Row],[CC]],CC!$A$1:$I$3869,3,0),"")</f>
        <v>SABESP</v>
      </c>
      <c r="E1452" t="str">
        <f>IFERROR(VLOOKUP(Tabela1[[#This Row],[CC]],CC!$A$1:$H$389,2,0),"")</f>
        <v>SABESP - MICROSOFT NOVO (1400)</v>
      </c>
      <c r="F1452" t="s">
        <v>586</v>
      </c>
      <c r="G1452" s="107">
        <v>8619</v>
      </c>
      <c r="H1452" s="12">
        <v>45931</v>
      </c>
      <c r="I1452" s="27">
        <v>77751.44</v>
      </c>
      <c r="J1452" s="27">
        <v>70248.44</v>
      </c>
      <c r="K1452" s="3">
        <v>45980</v>
      </c>
      <c r="L1452" s="147">
        <v>45992</v>
      </c>
      <c r="M1452" s="11">
        <v>45995</v>
      </c>
      <c r="N1452" s="18" t="s">
        <v>588</v>
      </c>
      <c r="O1452" s="35"/>
      <c r="P1452"/>
      <c r="Q1452" t="str">
        <f>IFERROR(VLOOKUP(Tabela1[[#This Row],[CC]],CC!$A$1:$H$389,5,0),"")</f>
        <v>ADS</v>
      </c>
      <c r="R1452" t="str">
        <f>IFERROR(VLOOKUP(Tabela1[[#This Row],[CC]],CC!$A$1:$H$389,6,0),"")</f>
        <v>UT</v>
      </c>
      <c r="S1452" t="str">
        <f>IFERROR(VLOOKUP(Tabela1[[#This Row],[CC]],CC!$A$1:$H$403,8,0),"")</f>
        <v>OP1</v>
      </c>
    </row>
    <row r="1453" spans="1:19" x14ac:dyDescent="0.3">
      <c r="A1453" s="25">
        <v>1400</v>
      </c>
      <c r="B1453" s="25" t="str">
        <f>IFERROR(VLOOKUP(Tabela1[[#This Row],[CC]],#REF!,5,0),"")</f>
        <v/>
      </c>
      <c r="C1453" t="str">
        <f>IFERROR(VLOOKUP(Tabela1[[#This Row],[CC]],CC!$A$1:$H$389,7,0),"")</f>
        <v>CYRO SALVATORE</v>
      </c>
      <c r="D1453" t="str">
        <f>IFERROR(VLOOKUP(Tabela1[[#This Row],[CC]],CC!$A$1:$I$3869,3,0),"")</f>
        <v>SABESP</v>
      </c>
      <c r="E1453" t="str">
        <f>IFERROR(VLOOKUP(Tabela1[[#This Row],[CC]],CC!$A$1:$H$389,2,0),"")</f>
        <v>SABESP - MICROSOFT NOVO (1400)</v>
      </c>
      <c r="F1453" t="s">
        <v>586</v>
      </c>
      <c r="G1453" s="107">
        <v>8639</v>
      </c>
      <c r="H1453" s="12">
        <v>45931</v>
      </c>
      <c r="I1453" s="24">
        <v>578936.85</v>
      </c>
      <c r="J1453" s="27">
        <v>523069.44</v>
      </c>
      <c r="K1453" s="3">
        <v>45992</v>
      </c>
      <c r="L1453" s="147">
        <v>45992</v>
      </c>
      <c r="M1453" s="11">
        <v>45995</v>
      </c>
      <c r="N1453" s="18" t="s">
        <v>588</v>
      </c>
      <c r="O1453" s="35"/>
      <c r="P1453"/>
      <c r="Q1453" t="str">
        <f>IFERROR(VLOOKUP(Tabela1[[#This Row],[CC]],CC!$A$1:$H$389,5,0),"")</f>
        <v>ADS</v>
      </c>
      <c r="R1453" t="str">
        <f>IFERROR(VLOOKUP(Tabela1[[#This Row],[CC]],CC!$A$1:$H$389,6,0),"")</f>
        <v>UT</v>
      </c>
      <c r="S1453" t="str">
        <f>IFERROR(VLOOKUP(Tabela1[[#This Row],[CC]],CC!$A$1:$H$403,8,0),"")</f>
        <v>OP1</v>
      </c>
    </row>
    <row r="1454" spans="1:19" x14ac:dyDescent="0.3">
      <c r="A1454" s="25">
        <v>1400</v>
      </c>
      <c r="B1454" s="25" t="str">
        <f>IFERROR(VLOOKUP(Tabela1[[#This Row],[CC]],#REF!,5,0),"")</f>
        <v/>
      </c>
      <c r="C1454" t="str">
        <f>IFERROR(VLOOKUP(Tabela1[[#This Row],[CC]],CC!$A$1:$H$389,7,0),"")</f>
        <v>CYRO SALVATORE</v>
      </c>
      <c r="D1454" t="str">
        <f>IFERROR(VLOOKUP(Tabela1[[#This Row],[CC]],CC!$A$1:$I$3869,3,0),"")</f>
        <v>SABESP</v>
      </c>
      <c r="E1454" t="str">
        <f>IFERROR(VLOOKUP(Tabela1[[#This Row],[CC]],CC!$A$1:$H$389,2,0),"")</f>
        <v>SABESP - MICROSOFT NOVO (1400)</v>
      </c>
      <c r="F1454" t="s">
        <v>586</v>
      </c>
      <c r="G1454" s="107">
        <v>8664</v>
      </c>
      <c r="H1454" s="12">
        <v>45962</v>
      </c>
      <c r="I1454" s="24">
        <v>639761.97</v>
      </c>
      <c r="J1454" s="27">
        <v>578024.93999999994</v>
      </c>
      <c r="K1454" s="3">
        <v>45996</v>
      </c>
      <c r="L1454" s="147">
        <v>46006</v>
      </c>
      <c r="M1454" s="11">
        <v>46009</v>
      </c>
      <c r="N1454" s="18" t="s">
        <v>588</v>
      </c>
      <c r="O1454" s="35"/>
      <c r="P1454"/>
      <c r="Q1454" t="str">
        <f>IFERROR(VLOOKUP(Tabela1[[#This Row],[CC]],CC!$A$1:$H$389,5,0),"")</f>
        <v>ADS</v>
      </c>
      <c r="R1454" t="str">
        <f>IFERROR(VLOOKUP(Tabela1[[#This Row],[CC]],CC!$A$1:$H$389,6,0),"")</f>
        <v>UT</v>
      </c>
      <c r="S1454" t="str">
        <f>IFERROR(VLOOKUP(Tabela1[[#This Row],[CC]],CC!$A$1:$H$403,8,0),"")</f>
        <v>OP1</v>
      </c>
    </row>
    <row r="1455" spans="1:19" x14ac:dyDescent="0.3">
      <c r="A1455" s="8">
        <v>1501</v>
      </c>
      <c r="B1455" s="8" t="str">
        <f>IFERROR(VLOOKUP(Tabela1[[#This Row],[CC]],#REF!,5,0),"")</f>
        <v/>
      </c>
      <c r="C1455" t="str">
        <f>IFERROR(VLOOKUP(Tabela1[[#This Row],[CC]],CC!$A$1:$H$389,7,0),"")</f>
        <v>CYRO SALVATORE</v>
      </c>
      <c r="D1455" t="str">
        <f>IFERROR(VLOOKUP(Tabela1[[#This Row],[CC]],CC!$A$1:$I$3869,3,0),"")</f>
        <v>SABESP</v>
      </c>
      <c r="E1455" t="str">
        <f>IFERROR(VLOOKUP(Tabela1[[#This Row],[CC]],CC!$A$1:$H$389,2,0),"")</f>
        <v>SABESP - SD 2025 (1501)</v>
      </c>
      <c r="F1455" t="s">
        <v>586</v>
      </c>
      <c r="G1455" s="107">
        <v>8618</v>
      </c>
      <c r="H1455" s="12">
        <v>45931</v>
      </c>
      <c r="I1455" s="10">
        <v>428275</v>
      </c>
      <c r="J1455" s="24">
        <v>386946.45</v>
      </c>
      <c r="K1455" s="3">
        <v>45980</v>
      </c>
      <c r="L1455" s="147">
        <v>45992</v>
      </c>
      <c r="M1455" s="11">
        <v>45995</v>
      </c>
      <c r="N1455" s="18" t="s">
        <v>588</v>
      </c>
      <c r="O1455" s="34">
        <v>0</v>
      </c>
      <c r="P1455"/>
      <c r="Q1455" t="str">
        <f>IFERROR(VLOOKUP(Tabela1[[#This Row],[CC]],CC!$A$1:$H$389,5,0),"")</f>
        <v>CSA</v>
      </c>
      <c r="R1455" t="str">
        <f>IFERROR(VLOOKUP(Tabela1[[#This Row],[CC]],CC!$A$1:$H$389,6,0),"")</f>
        <v>UT</v>
      </c>
      <c r="S1455" t="str">
        <f>IFERROR(VLOOKUP(Tabela1[[#This Row],[CC]],CC!$A$1:$H$403,8,0),"")</f>
        <v>OP1</v>
      </c>
    </row>
    <row r="1456" spans="1:19" x14ac:dyDescent="0.3">
      <c r="A1456" s="8">
        <v>1501</v>
      </c>
      <c r="B1456" s="8" t="str">
        <f>IFERROR(VLOOKUP(Tabela1[[#This Row],[CC]],#REF!,5,0),"")</f>
        <v/>
      </c>
      <c r="C1456" t="str">
        <f>IFERROR(VLOOKUP(Tabela1[[#This Row],[CC]],CC!$A$1:$H$389,7,0),"")</f>
        <v>CYRO SALVATORE</v>
      </c>
      <c r="D1456" t="str">
        <f>IFERROR(VLOOKUP(Tabela1[[#This Row],[CC]],CC!$A$1:$I$3869,3,0),"")</f>
        <v>SABESP</v>
      </c>
      <c r="E1456" t="str">
        <f>IFERROR(VLOOKUP(Tabela1[[#This Row],[CC]],CC!$A$1:$H$389,2,0),"")</f>
        <v>SABESP - SD 2025 (1501)</v>
      </c>
      <c r="F1456" t="s">
        <v>586</v>
      </c>
      <c r="G1456" s="107">
        <v>8666</v>
      </c>
      <c r="H1456" s="12">
        <v>45962</v>
      </c>
      <c r="I1456" s="10">
        <v>620073.25</v>
      </c>
      <c r="J1456" s="24">
        <v>560236.18000000005</v>
      </c>
      <c r="K1456" s="3">
        <v>46000</v>
      </c>
      <c r="L1456" s="147">
        <v>46006</v>
      </c>
      <c r="M1456" s="11">
        <v>46009</v>
      </c>
      <c r="N1456" s="18" t="s">
        <v>588</v>
      </c>
      <c r="O1456" s="34"/>
      <c r="P1456"/>
      <c r="Q1456" t="str">
        <f>IFERROR(VLOOKUP(Tabela1[[#This Row],[CC]],CC!$A$1:$H$389,5,0),"")</f>
        <v>CSA</v>
      </c>
      <c r="R1456" t="str">
        <f>IFERROR(VLOOKUP(Tabela1[[#This Row],[CC]],CC!$A$1:$H$389,6,0),"")</f>
        <v>UT</v>
      </c>
      <c r="S1456" t="str">
        <f>IFERROR(VLOOKUP(Tabela1[[#This Row],[CC]],CC!$A$1:$H$403,8,0),"")</f>
        <v>OP1</v>
      </c>
    </row>
    <row r="1457" spans="1:23" x14ac:dyDescent="0.3">
      <c r="A1457" s="8">
        <v>1501</v>
      </c>
      <c r="B1457" s="8" t="str">
        <f>IFERROR(VLOOKUP(Tabela1[[#This Row],[CC]],#REF!,5,0),"")</f>
        <v/>
      </c>
      <c r="C1457" t="str">
        <f>IFERROR(VLOOKUP(Tabela1[[#This Row],[CC]],CC!$A$1:$H$389,7,0),"")</f>
        <v>CYRO SALVATORE</v>
      </c>
      <c r="D1457" t="str">
        <f>IFERROR(VLOOKUP(Tabela1[[#This Row],[CC]],CC!$A$1:$I$3869,3,0),"")</f>
        <v>SABESP</v>
      </c>
      <c r="E1457" t="str">
        <f>IFERROR(VLOOKUP(Tabela1[[#This Row],[CC]],CC!$A$1:$H$389,2,0),"")</f>
        <v>SABESP - SD 2025 (1501)</v>
      </c>
      <c r="F1457" t="s">
        <v>586</v>
      </c>
      <c r="G1457" s="107">
        <v>8718</v>
      </c>
      <c r="H1457" s="12">
        <v>45992</v>
      </c>
      <c r="I1457" s="10">
        <v>446333.25</v>
      </c>
      <c r="J1457" s="24">
        <v>403262.09</v>
      </c>
      <c r="K1457" s="3">
        <v>46037</v>
      </c>
      <c r="L1457" s="147">
        <v>46055</v>
      </c>
      <c r="M1457" s="11">
        <v>46058</v>
      </c>
      <c r="N1457" s="18" t="s">
        <v>588</v>
      </c>
      <c r="O1457" s="34"/>
      <c r="P1457"/>
      <c r="Q1457" t="str">
        <f>IFERROR(VLOOKUP(Tabela1[[#This Row],[CC]],CC!$A$1:$H$389,5,0),"")</f>
        <v>CSA</v>
      </c>
      <c r="R1457" t="str">
        <f>IFERROR(VLOOKUP(Tabela1[[#This Row],[CC]],CC!$A$1:$H$389,6,0),"")</f>
        <v>UT</v>
      </c>
      <c r="S1457" t="str">
        <f>IFERROR(VLOOKUP(Tabela1[[#This Row],[CC]],CC!$A$1:$H$403,8,0),"")</f>
        <v>OP1</v>
      </c>
    </row>
    <row r="1458" spans="1:23" x14ac:dyDescent="0.3">
      <c r="A1458" s="8">
        <v>1501</v>
      </c>
      <c r="B1458" s="8" t="str">
        <f>IFERROR(VLOOKUP(Tabela1[[#This Row],[CC]],#REF!,5,0),"")</f>
        <v/>
      </c>
      <c r="C1458" t="str">
        <f>IFERROR(VLOOKUP(Tabela1[[#This Row],[CC]],CC!$A$1:$H$389,7,0),"")</f>
        <v>CYRO SALVATORE</v>
      </c>
      <c r="D1458" t="str">
        <f>IFERROR(VLOOKUP(Tabela1[[#This Row],[CC]],CC!$A$1:$I$3869,3,0),"")</f>
        <v>SABESP</v>
      </c>
      <c r="E1458" t="str">
        <f>IFERROR(VLOOKUP(Tabela1[[#This Row],[CC]],CC!$A$1:$H$389,2,0),"")</f>
        <v>SABESP - SD 2025 (1501)</v>
      </c>
      <c r="F1458" t="s">
        <v>586</v>
      </c>
      <c r="G1458" s="107">
        <v>8766</v>
      </c>
      <c r="H1458" s="12">
        <v>46023</v>
      </c>
      <c r="I1458" s="10">
        <v>454812</v>
      </c>
      <c r="J1458" s="24">
        <v>410922.64</v>
      </c>
      <c r="K1458" s="3">
        <v>46072</v>
      </c>
      <c r="L1458" s="147">
        <v>46083</v>
      </c>
      <c r="M1458" s="11">
        <v>46086</v>
      </c>
      <c r="N1458" s="18" t="s">
        <v>588</v>
      </c>
      <c r="O1458" s="34"/>
      <c r="P1458"/>
      <c r="Q1458" t="str">
        <f>IFERROR(VLOOKUP(Tabela1[[#This Row],[CC]],CC!$A$1:$H$389,5,0),"")</f>
        <v>CSA</v>
      </c>
      <c r="R1458" t="str">
        <f>IFERROR(VLOOKUP(Tabela1[[#This Row],[CC]],CC!$A$1:$H$389,6,0),"")</f>
        <v>UT</v>
      </c>
      <c r="S1458" t="str">
        <f>IFERROR(VLOOKUP(Tabela1[[#This Row],[CC]],CC!$A$1:$H$403,8,0),"")</f>
        <v>OP1</v>
      </c>
    </row>
    <row r="1459" spans="1:23" x14ac:dyDescent="0.3">
      <c r="A1459" s="8">
        <v>1501</v>
      </c>
      <c r="B1459" s="8" t="str">
        <f>IFERROR(VLOOKUP(Tabela1[[#This Row],[CC]],#REF!,5,0),"")</f>
        <v/>
      </c>
      <c r="C1459" t="str">
        <f>IFERROR(VLOOKUP(Tabela1[[#This Row],[CC]],CC!$A$1:$H$389,7,0),"")</f>
        <v>CYRO SALVATORE</v>
      </c>
      <c r="D1459" t="str">
        <f>IFERROR(VLOOKUP(Tabela1[[#This Row],[CC]],CC!$A$1:$I$3869,3,0),"")</f>
        <v>SABESP</v>
      </c>
      <c r="E1459" t="str">
        <f>IFERROR(VLOOKUP(Tabela1[[#This Row],[CC]],CC!$A$1:$H$389,2,0),"")</f>
        <v>SABESP - SD 2025 (1501)</v>
      </c>
      <c r="F1459" t="s">
        <v>586</v>
      </c>
      <c r="G1459" s="107">
        <v>8803</v>
      </c>
      <c r="H1459" s="12">
        <v>46054</v>
      </c>
      <c r="I1459" s="10">
        <v>464808</v>
      </c>
      <c r="J1459" s="24">
        <v>419954.02</v>
      </c>
      <c r="K1459" s="3">
        <v>46092</v>
      </c>
      <c r="L1459" s="147">
        <v>46104</v>
      </c>
      <c r="M1459" s="11">
        <v>46106</v>
      </c>
      <c r="N1459" s="18" t="s">
        <v>588</v>
      </c>
      <c r="O1459" s="34"/>
      <c r="P1459"/>
      <c r="Q1459" t="str">
        <f>IFERROR(VLOOKUP(Tabela1[[#This Row],[CC]],CC!$A$1:$H$389,5,0),"")</f>
        <v>CSA</v>
      </c>
      <c r="R1459" t="str">
        <f>IFERROR(VLOOKUP(Tabela1[[#This Row],[CC]],CC!$A$1:$H$389,6,0),"")</f>
        <v>UT</v>
      </c>
      <c r="S1459" t="str">
        <f>IFERROR(VLOOKUP(Tabela1[[#This Row],[CC]],CC!$A$1:$H$403,8,0),"")</f>
        <v>OP1</v>
      </c>
    </row>
    <row r="1460" spans="1:23" x14ac:dyDescent="0.3">
      <c r="A1460" s="8">
        <v>1501</v>
      </c>
      <c r="B1460" s="8" t="str">
        <f>IFERROR(VLOOKUP(Tabela1[[#This Row],[CC]],#REF!,5,0),"")</f>
        <v/>
      </c>
      <c r="C1460" t="str">
        <f>IFERROR(VLOOKUP(Tabela1[[#This Row],[CC]],CC!$A$1:$H$389,7,0),"")</f>
        <v>CYRO SALVATORE</v>
      </c>
      <c r="D1460" t="str">
        <f>IFERROR(VLOOKUP(Tabela1[[#This Row],[CC]],CC!$A$1:$I$3869,3,0),"")</f>
        <v>SABESP</v>
      </c>
      <c r="E1460" t="str">
        <f>IFERROR(VLOOKUP(Tabela1[[#This Row],[CC]],CC!$A$1:$H$389,2,0),"")</f>
        <v>SABESP - SD 2025 (1501)</v>
      </c>
      <c r="F1460" t="s">
        <v>586</v>
      </c>
      <c r="G1460" s="107">
        <v>8911</v>
      </c>
      <c r="H1460" s="12">
        <v>46110</v>
      </c>
      <c r="I1460" s="10">
        <v>464808</v>
      </c>
      <c r="J1460" s="24">
        <v>419954.03</v>
      </c>
      <c r="K1460" s="3">
        <v>46146</v>
      </c>
      <c r="L1460" s="147">
        <v>46195</v>
      </c>
      <c r="M1460" s="11"/>
      <c r="N1460" s="18" t="s">
        <v>587</v>
      </c>
      <c r="O1460" s="34"/>
      <c r="P1460"/>
      <c r="Q1460" t="str">
        <f>IFERROR(VLOOKUP(Tabela1[[#This Row],[CC]],CC!$A$1:$H$389,5,0),"")</f>
        <v>CSA</v>
      </c>
      <c r="R1460" t="str">
        <f>IFERROR(VLOOKUP(Tabela1[[#This Row],[CC]],CC!$A$1:$H$389,6,0),"")</f>
        <v>UT</v>
      </c>
      <c r="S1460" t="str">
        <f>IFERROR(VLOOKUP(Tabela1[[#This Row],[CC]],CC!$A$1:$H$403,8,0),"")</f>
        <v>OP1</v>
      </c>
    </row>
    <row r="1461" spans="1:23" x14ac:dyDescent="0.3">
      <c r="A1461" s="8">
        <v>1501</v>
      </c>
      <c r="B1461" s="8" t="str">
        <f>IFERROR(VLOOKUP(Tabela1[[#This Row],[CC]],#REF!,5,0),"")</f>
        <v/>
      </c>
      <c r="C1461" t="str">
        <f>IFERROR(VLOOKUP(Tabela1[[#This Row],[CC]],CC!$A$1:$H$389,7,0),"")</f>
        <v>CYRO SALVATORE</v>
      </c>
      <c r="D1461" t="str">
        <f>IFERROR(VLOOKUP(Tabela1[[#This Row],[CC]],CC!$A$1:$I$3869,3,0),"")</f>
        <v>SABESP</v>
      </c>
      <c r="E1461" t="str">
        <f>IFERROR(VLOOKUP(Tabela1[[#This Row],[CC]],CC!$A$1:$H$389,2,0),"")</f>
        <v>SABESP - SD 2025 (1501)</v>
      </c>
      <c r="F1461" t="s">
        <v>586</v>
      </c>
      <c r="G1461" s="107">
        <v>8937</v>
      </c>
      <c r="H1461" s="12">
        <v>46141</v>
      </c>
      <c r="I1461" s="10">
        <v>487656</v>
      </c>
      <c r="J1461" s="24">
        <v>440597.2</v>
      </c>
      <c r="K1461" s="3">
        <v>46154</v>
      </c>
      <c r="L1461" s="147">
        <v>46195</v>
      </c>
      <c r="M1461" s="11"/>
      <c r="N1461" s="18" t="s">
        <v>587</v>
      </c>
      <c r="O1461" s="34"/>
      <c r="P1461"/>
      <c r="Q1461" t="str">
        <f>IFERROR(VLOOKUP(Tabela1[[#This Row],[CC]],CC!$A$1:$H$389,5,0),"")</f>
        <v>CSA</v>
      </c>
      <c r="R1461" t="str">
        <f>IFERROR(VLOOKUP(Tabela1[[#This Row],[CC]],CC!$A$1:$H$389,6,0),"")</f>
        <v>UT</v>
      </c>
      <c r="S1461" t="str">
        <f>IFERROR(VLOOKUP(Tabela1[[#This Row],[CC]],CC!$A$1:$H$403,8,0),"")</f>
        <v>OP1</v>
      </c>
    </row>
    <row r="1462" spans="1:23" x14ac:dyDescent="0.3">
      <c r="A1462" s="8">
        <v>1501</v>
      </c>
      <c r="B1462" s="8" t="str">
        <f>IFERROR(VLOOKUP(Tabela1[[#This Row],[CC]],#REF!,5,0),"")</f>
        <v/>
      </c>
      <c r="C1462" t="str">
        <f>IFERROR(VLOOKUP(Tabela1[[#This Row],[CC]],CC!$A$1:$H$389,7,0),"")</f>
        <v>CYRO SALVATORE</v>
      </c>
      <c r="D1462" t="str">
        <f>IFERROR(VLOOKUP(Tabela1[[#This Row],[CC]],CC!$A$1:$I$3869,3,0),"")</f>
        <v>SABESP</v>
      </c>
      <c r="E1462" t="str">
        <f>IFERROR(VLOOKUP(Tabela1[[#This Row],[CC]],CC!$A$1:$H$389,2,0),"")</f>
        <v>SABESP - SD 2025 (1501)</v>
      </c>
      <c r="F1462" t="s">
        <v>586</v>
      </c>
      <c r="G1462" s="107">
        <v>9006</v>
      </c>
      <c r="H1462" s="12">
        <v>46171</v>
      </c>
      <c r="I1462" s="10">
        <v>447672</v>
      </c>
      <c r="J1462" s="24">
        <v>404471.66</v>
      </c>
      <c r="K1462" s="3">
        <v>46183</v>
      </c>
      <c r="L1462" s="91">
        <v>46209</v>
      </c>
      <c r="M1462" s="11"/>
      <c r="N1462" s="18" t="s">
        <v>587</v>
      </c>
      <c r="O1462" s="34"/>
      <c r="P1462"/>
      <c r="Q1462" t="str">
        <f>IFERROR(VLOOKUP(Tabela1[[#This Row],[CC]],CC!$A$1:$H$389,5,0),"")</f>
        <v>CSA</v>
      </c>
      <c r="R1462" t="str">
        <f>IFERROR(VLOOKUP(Tabela1[[#This Row],[CC]],CC!$A$1:$H$389,6,0),"")</f>
        <v>UT</v>
      </c>
      <c r="S1462" t="str">
        <f>IFERROR(VLOOKUP(Tabela1[[#This Row],[CC]],CC!$A$1:$H$403,8,0),"")</f>
        <v>OP1</v>
      </c>
    </row>
    <row r="1463" spans="1:23" x14ac:dyDescent="0.3">
      <c r="A1463" s="25">
        <v>1388</v>
      </c>
      <c r="B1463" s="25" t="str">
        <f>IFERROR(VLOOKUP(Tabela1[[#This Row],[CC]],#REF!,5,0),"")</f>
        <v/>
      </c>
      <c r="C1463" t="str">
        <f>IFERROR(VLOOKUP(Tabela1[[#This Row],[CC]],CC!$A$1:$H$389,7,0),"")</f>
        <v>CYRO SALVATORE</v>
      </c>
      <c r="D1463" t="str">
        <f>IFERROR(VLOOKUP(Tabela1[[#This Row],[CC]],CC!$A$1:$I$3869,3,0),"")</f>
        <v>SABESP</v>
      </c>
      <c r="E1463" t="str">
        <f>IFERROR(VLOOKUP(Tabela1[[#This Row],[CC]],CC!$A$1:$H$389,2,0),"")</f>
        <v>SABESP - NETCONTROL (1388)</v>
      </c>
      <c r="F1463" t="s">
        <v>586</v>
      </c>
      <c r="G1463" s="107">
        <v>4552</v>
      </c>
      <c r="H1463" s="12">
        <v>45931</v>
      </c>
      <c r="I1463" s="27">
        <v>319606.86</v>
      </c>
      <c r="J1463" s="27">
        <v>288764.79999999999</v>
      </c>
      <c r="K1463" s="3">
        <v>45980</v>
      </c>
      <c r="L1463" s="147">
        <v>45992</v>
      </c>
      <c r="M1463" s="11">
        <v>45995</v>
      </c>
      <c r="N1463" s="18" t="s">
        <v>588</v>
      </c>
      <c r="O1463" s="35"/>
      <c r="P1463"/>
      <c r="Q1463" t="str">
        <f>IFERROR(VLOOKUP(Tabela1[[#This Row],[CC]],CC!$A$1:$H$389,5,0),"")</f>
        <v>ADS</v>
      </c>
      <c r="R1463" t="str">
        <f>IFERROR(VLOOKUP(Tabela1[[#This Row],[CC]],CC!$A$1:$H$389,6,0),"")</f>
        <v>UT</v>
      </c>
      <c r="S1463" t="str">
        <f>IFERROR(VLOOKUP(Tabela1[[#This Row],[CC]],CC!$A$1:$H$403,8,0),"")</f>
        <v>OP1</v>
      </c>
    </row>
    <row r="1464" spans="1:23" x14ac:dyDescent="0.3">
      <c r="A1464" s="25">
        <v>1388</v>
      </c>
      <c r="B1464" s="25" t="str">
        <f>IFERROR(VLOOKUP(Tabela1[[#This Row],[CC]],#REF!,5,0),"")</f>
        <v/>
      </c>
      <c r="C1464" t="str">
        <f>IFERROR(VLOOKUP(Tabela1[[#This Row],[CC]],CC!$A$1:$H$389,7,0),"")</f>
        <v>CYRO SALVATORE</v>
      </c>
      <c r="D1464" t="str">
        <f>IFERROR(VLOOKUP(Tabela1[[#This Row],[CC]],CC!$A$1:$I$3869,3,0),"")</f>
        <v>SABESP</v>
      </c>
      <c r="E1464" t="str">
        <f>IFERROR(VLOOKUP(Tabela1[[#This Row],[CC]],CC!$A$1:$H$389,2,0),"")</f>
        <v>SABESP - NETCONTROL (1388)</v>
      </c>
      <c r="F1464" t="s">
        <v>586</v>
      </c>
      <c r="G1464" s="107">
        <v>4670</v>
      </c>
      <c r="H1464" s="12">
        <v>45962</v>
      </c>
      <c r="I1464" s="27">
        <v>191527.36</v>
      </c>
      <c r="J1464" s="27">
        <v>173044.98</v>
      </c>
      <c r="K1464" s="3">
        <v>46000</v>
      </c>
      <c r="L1464" s="147">
        <v>46006</v>
      </c>
      <c r="M1464" s="11">
        <v>46009</v>
      </c>
      <c r="N1464" s="18" t="s">
        <v>588</v>
      </c>
      <c r="O1464" s="35"/>
      <c r="P1464"/>
      <c r="Q1464" t="str">
        <f>IFERROR(VLOOKUP(Tabela1[[#This Row],[CC]],CC!$A$1:$H$389,5,0),"")</f>
        <v>ADS</v>
      </c>
      <c r="R1464" t="str">
        <f>IFERROR(VLOOKUP(Tabela1[[#This Row],[CC]],CC!$A$1:$H$389,6,0),"")</f>
        <v>UT</v>
      </c>
      <c r="S1464" t="str">
        <f>IFERROR(VLOOKUP(Tabela1[[#This Row],[CC]],CC!$A$1:$H$403,8,0),"")</f>
        <v>OP1</v>
      </c>
    </row>
    <row r="1465" spans="1:23" x14ac:dyDescent="0.3">
      <c r="A1465" s="25">
        <v>1360</v>
      </c>
      <c r="B1465" s="25" t="str">
        <f>IFERROR(VLOOKUP(Tabela1[[#This Row],[CC]],#REF!,5,0),"")</f>
        <v/>
      </c>
      <c r="C1465" t="str">
        <f>IFERROR(VLOOKUP(Tabela1[[#This Row],[CC]],CC!$A$1:$H$389,7,0),"")</f>
        <v>RITA ANDRADE</v>
      </c>
      <c r="D1465" t="str">
        <f>IFERROR(VLOOKUP(Tabela1[[#This Row],[CC]],CC!$A$1:$I$3869,3,0),"")</f>
        <v>SERASA</v>
      </c>
      <c r="E1465" t="str">
        <f>IFERROR(VLOOKUP(Tabela1[[#This Row],[CC]],CC!$A$1:$H$389,2,0),"")</f>
        <v>SERASA EXPERIAN (1360)</v>
      </c>
      <c r="F1465" t="s">
        <v>586</v>
      </c>
      <c r="G1465" s="107">
        <v>5198</v>
      </c>
      <c r="H1465" s="12">
        <v>46143</v>
      </c>
      <c r="I1465" s="27">
        <v>52801.760000000002</v>
      </c>
      <c r="J1465" s="27">
        <v>49554.45</v>
      </c>
      <c r="K1465" s="3">
        <v>46174</v>
      </c>
      <c r="L1465" s="91">
        <v>46202</v>
      </c>
      <c r="M1465" s="11"/>
      <c r="N1465" s="18" t="s">
        <v>587</v>
      </c>
      <c r="O1465" s="34"/>
      <c r="P1465"/>
      <c r="Q1465" t="str">
        <f>IFERROR(VLOOKUP(Tabela1[[#This Row],[CC]],CC!$A$1:$H$389,5,0),"")</f>
        <v>ADS</v>
      </c>
      <c r="R1465" t="str">
        <f>IFERROR(VLOOKUP(Tabela1[[#This Row],[CC]],CC!$A$1:$H$389,6,0),"")</f>
        <v>FS</v>
      </c>
      <c r="S1465" t="str">
        <f>IFERROR(VLOOKUP(Tabela1[[#This Row],[CC]],CC!$A$1:$H$403,8,0),"")</f>
        <v>OP1</v>
      </c>
      <c r="W1465" s="91">
        <v>46202</v>
      </c>
    </row>
    <row r="1466" spans="1:23" x14ac:dyDescent="0.3">
      <c r="A1466" s="25">
        <v>1387</v>
      </c>
      <c r="B1466" s="25" t="str">
        <f>IFERROR(VLOOKUP(Tabela1[[#This Row],[CC]],#REF!,5,0),"")</f>
        <v/>
      </c>
      <c r="C1466" t="str">
        <f>IFERROR(VLOOKUP(Tabela1[[#This Row],[CC]],CC!$A$1:$H$389,7,0),"")</f>
        <v>RITA ANDRADE</v>
      </c>
      <c r="D1466" t="str">
        <f>IFERROR(VLOOKUP(Tabela1[[#This Row],[CC]],CC!$A$1:$I$3869,3,0),"")</f>
        <v>SERASA</v>
      </c>
      <c r="E1466" t="str">
        <f>IFERROR(VLOOKUP(Tabela1[[#This Row],[CC]],CC!$A$1:$H$389,2,0),"")</f>
        <v>SERASA DC (1387)</v>
      </c>
      <c r="F1466" t="s">
        <v>586</v>
      </c>
      <c r="G1466" s="107">
        <v>5199</v>
      </c>
      <c r="H1466" s="12">
        <v>46143</v>
      </c>
      <c r="I1466" s="27">
        <v>42427.199999999997</v>
      </c>
      <c r="J1466" s="27">
        <v>39817.93</v>
      </c>
      <c r="K1466" s="3">
        <v>46174</v>
      </c>
      <c r="L1466" s="91">
        <v>46202</v>
      </c>
      <c r="M1466" s="11"/>
      <c r="N1466" s="18" t="s">
        <v>587</v>
      </c>
      <c r="O1466" s="34"/>
      <c r="P1466"/>
      <c r="Q1466" t="str">
        <f>IFERROR(VLOOKUP(Tabela1[[#This Row],[CC]],CC!$A$1:$H$389,5,0),"")</f>
        <v>CSA</v>
      </c>
      <c r="R1466" t="str">
        <f>IFERROR(VLOOKUP(Tabela1[[#This Row],[CC]],CC!$A$1:$H$389,6,0),"")</f>
        <v>FS</v>
      </c>
      <c r="S1466" t="str">
        <f>IFERROR(VLOOKUP(Tabela1[[#This Row],[CC]],CC!$A$1:$H$403,8,0),"")</f>
        <v>OP1</v>
      </c>
      <c r="W1466" s="91"/>
    </row>
    <row r="1467" spans="1:23" x14ac:dyDescent="0.3">
      <c r="A1467" s="25">
        <v>1388</v>
      </c>
      <c r="B1467" s="25" t="str">
        <f>IFERROR(VLOOKUP(Tabela1[[#This Row],[CC]],#REF!,5,0),"")</f>
        <v/>
      </c>
      <c r="C1467" t="str">
        <f>IFERROR(VLOOKUP(Tabela1[[#This Row],[CC]],CC!$A$1:$H$389,7,0),"")</f>
        <v>CYRO SALVATORE</v>
      </c>
      <c r="D1467" t="str">
        <f>IFERROR(VLOOKUP(Tabela1[[#This Row],[CC]],CC!$A$1:$I$3869,3,0),"")</f>
        <v>SABESP</v>
      </c>
      <c r="E1467" t="str">
        <f>IFERROR(VLOOKUP(Tabela1[[#This Row],[CC]],CC!$A$1:$H$389,2,0),"")</f>
        <v>SABESP - NETCONTROL (1388)</v>
      </c>
      <c r="F1467" t="s">
        <v>586</v>
      </c>
      <c r="G1467" s="107">
        <v>5204</v>
      </c>
      <c r="H1467" s="12">
        <v>46020</v>
      </c>
      <c r="I1467" s="43">
        <v>221143.8</v>
      </c>
      <c r="J1467" s="24">
        <v>199803.42</v>
      </c>
      <c r="K1467" s="3">
        <v>46174</v>
      </c>
      <c r="L1467" s="147">
        <v>46195</v>
      </c>
      <c r="M1467" s="11"/>
      <c r="N1467" s="18" t="s">
        <v>587</v>
      </c>
      <c r="O1467" s="34"/>
      <c r="P1467"/>
      <c r="Q1467" t="str">
        <f>IFERROR(VLOOKUP(Tabela1[[#This Row],[CC]],CC!$A$1:$H$389,5,0),"")</f>
        <v>ADS</v>
      </c>
      <c r="R1467" t="str">
        <f>IFERROR(VLOOKUP(Tabela1[[#This Row],[CC]],CC!$A$1:$H$389,6,0),"")</f>
        <v>UT</v>
      </c>
      <c r="S1467" t="str">
        <f>IFERROR(VLOOKUP(Tabela1[[#This Row],[CC]],CC!$A$1:$H$403,8,0),"")</f>
        <v>OP1</v>
      </c>
      <c r="W1467" s="91"/>
    </row>
    <row r="1468" spans="1:23" x14ac:dyDescent="0.3">
      <c r="A1468" s="25">
        <v>1388</v>
      </c>
      <c r="B1468" s="25" t="str">
        <f>IFERROR(VLOOKUP(Tabela1[[#This Row],[CC]],#REF!,5,0),"")</f>
        <v/>
      </c>
      <c r="C1468" t="str">
        <f>IFERROR(VLOOKUP(Tabela1[[#This Row],[CC]],CC!$A$1:$H$389,7,0),"")</f>
        <v>CYRO SALVATORE</v>
      </c>
      <c r="D1468" t="str">
        <f>IFERROR(VLOOKUP(Tabela1[[#This Row],[CC]],CC!$A$1:$I$3869,3,0),"")</f>
        <v>SABESP</v>
      </c>
      <c r="E1468" t="str">
        <f>IFERROR(VLOOKUP(Tabela1[[#This Row],[CC]],CC!$A$1:$H$389,2,0),"")</f>
        <v>SABESP - NETCONTROL (1388)</v>
      </c>
      <c r="F1468" t="s">
        <v>586</v>
      </c>
      <c r="G1468" s="107">
        <v>5206</v>
      </c>
      <c r="H1468" s="12">
        <v>46023</v>
      </c>
      <c r="I1468" s="43">
        <v>209636.42</v>
      </c>
      <c r="J1468" s="24">
        <v>189406.5</v>
      </c>
      <c r="K1468" s="3">
        <v>46174</v>
      </c>
      <c r="L1468" s="147">
        <v>46195</v>
      </c>
      <c r="M1468" s="11"/>
      <c r="N1468" s="18" t="s">
        <v>587</v>
      </c>
      <c r="O1468" s="34"/>
      <c r="P1468"/>
      <c r="Q1468" t="str">
        <f>IFERROR(VLOOKUP(Tabela1[[#This Row],[CC]],CC!$A$1:$H$389,5,0),"")</f>
        <v>ADS</v>
      </c>
      <c r="R1468" t="str">
        <f>IFERROR(VLOOKUP(Tabela1[[#This Row],[CC]],CC!$A$1:$H$389,6,0),"")</f>
        <v>UT</v>
      </c>
      <c r="S1468" t="str">
        <f>IFERROR(VLOOKUP(Tabela1[[#This Row],[CC]],CC!$A$1:$H$403,8,0),"")</f>
        <v>OP1</v>
      </c>
      <c r="W1468" s="91"/>
    </row>
    <row r="1469" spans="1:23" x14ac:dyDescent="0.3">
      <c r="A1469" s="25">
        <v>1388</v>
      </c>
      <c r="B1469" s="25" t="str">
        <f>IFERROR(VLOOKUP(Tabela1[[#This Row],[CC]],#REF!,5,0),"")</f>
        <v/>
      </c>
      <c r="C1469" t="str">
        <f>IFERROR(VLOOKUP(Tabela1[[#This Row],[CC]],CC!$A$1:$H$389,7,0),"")</f>
        <v>CYRO SALVATORE</v>
      </c>
      <c r="D1469" t="str">
        <f>IFERROR(VLOOKUP(Tabela1[[#This Row],[CC]],CC!$A$1:$I$3869,3,0),"")</f>
        <v>SABESP</v>
      </c>
      <c r="E1469" t="str">
        <f>IFERROR(VLOOKUP(Tabela1[[#This Row],[CC]],CC!$A$1:$H$389,2,0),"")</f>
        <v>SABESP - NETCONTROL (1388)</v>
      </c>
      <c r="F1469" t="s">
        <v>586</v>
      </c>
      <c r="G1469" s="107">
        <v>5208</v>
      </c>
      <c r="H1469" s="12">
        <v>46081</v>
      </c>
      <c r="I1469" s="43">
        <v>216715.82</v>
      </c>
      <c r="J1469" s="24">
        <v>195802.74</v>
      </c>
      <c r="K1469" s="3">
        <v>46174</v>
      </c>
      <c r="L1469" s="147">
        <v>46195</v>
      </c>
      <c r="M1469" s="11"/>
      <c r="N1469" s="18" t="s">
        <v>587</v>
      </c>
      <c r="O1469" s="34"/>
      <c r="P1469"/>
      <c r="Q1469" t="str">
        <f>IFERROR(VLOOKUP(Tabela1[[#This Row],[CC]],CC!$A$1:$H$389,5,0),"")</f>
        <v>ADS</v>
      </c>
      <c r="R1469" t="str">
        <f>IFERROR(VLOOKUP(Tabela1[[#This Row],[CC]],CC!$A$1:$H$389,6,0),"")</f>
        <v>UT</v>
      </c>
      <c r="S1469" t="str">
        <f>IFERROR(VLOOKUP(Tabela1[[#This Row],[CC]],CC!$A$1:$H$403,8,0),"")</f>
        <v>OP1</v>
      </c>
      <c r="W1469" s="91"/>
    </row>
    <row r="1470" spans="1:23" x14ac:dyDescent="0.3">
      <c r="A1470" s="8">
        <v>1298</v>
      </c>
      <c r="B1470" s="8" t="str">
        <f>IFERROR(VLOOKUP(Tabela1[[#This Row],[CC]],#REF!,5,0),"")</f>
        <v/>
      </c>
      <c r="C1470" t="str">
        <f>IFERROR(VLOOKUP(Tabela1[[#This Row],[CC]],CC!$A$1:$H$389,7,0),"")</f>
        <v>JOSÉ NETO</v>
      </c>
      <c r="D1470" t="str">
        <f>IFERROR(VLOOKUP(Tabela1[[#This Row],[CC]],CC!$A$1:$I$3869,3,0),"")</f>
        <v>SEBRAE</v>
      </c>
      <c r="E1470" t="str">
        <f>IFERROR(VLOOKUP(Tabela1[[#This Row],[CC]],CC!$A$1:$H$389,2,0),"")</f>
        <v>SEBRAE-SP DC NOVO (1298)</v>
      </c>
      <c r="F1470" t="s">
        <v>586</v>
      </c>
      <c r="G1470" s="107">
        <v>1298</v>
      </c>
      <c r="H1470" s="66">
        <v>45931</v>
      </c>
      <c r="I1470" s="24">
        <v>64756.13</v>
      </c>
      <c r="J1470" s="27">
        <v>60773.64</v>
      </c>
      <c r="K1470" s="3">
        <v>45931</v>
      </c>
      <c r="L1470" s="147">
        <v>45957</v>
      </c>
      <c r="M1470" s="11">
        <v>45961</v>
      </c>
      <c r="N1470" s="18" t="s">
        <v>588</v>
      </c>
      <c r="O1470" s="34">
        <v>0</v>
      </c>
      <c r="P1470"/>
      <c r="Q1470" t="str">
        <f>IFERROR(VLOOKUP(Tabela1[[#This Row],[CC]],CC!$A$1:$H$389,5,0),"")</f>
        <v>CSA</v>
      </c>
      <c r="R1470" t="str">
        <f>IFERROR(VLOOKUP(Tabela1[[#This Row],[CC]],CC!$A$1:$H$389,6,0),"")</f>
        <v>PS</v>
      </c>
      <c r="S1470" t="str">
        <f>IFERROR(VLOOKUP(Tabela1[[#This Row],[CC]],CC!$A$1:$H$403,8,0),"")</f>
        <v>OP2</v>
      </c>
      <c r="W1470" s="91"/>
    </row>
    <row r="1471" spans="1:23" x14ac:dyDescent="0.3">
      <c r="A1471" s="8">
        <v>1298</v>
      </c>
      <c r="B1471" s="8" t="str">
        <f>IFERROR(VLOOKUP(Tabela1[[#This Row],[CC]],#REF!,5,0),"")</f>
        <v/>
      </c>
      <c r="C1471" t="str">
        <f>IFERROR(VLOOKUP(Tabela1[[#This Row],[CC]],CC!$A$1:$H$389,7,0),"")</f>
        <v>JOSÉ NETO</v>
      </c>
      <c r="D1471" t="str">
        <f>IFERROR(VLOOKUP(Tabela1[[#This Row],[CC]],CC!$A$1:$I$3869,3,0),"")</f>
        <v>SEBRAE</v>
      </c>
      <c r="E1471" t="str">
        <f>IFERROR(VLOOKUP(Tabela1[[#This Row],[CC]],CC!$A$1:$H$389,2,0),"")</f>
        <v>SEBRAE-SP DC NOVO (1298)</v>
      </c>
      <c r="F1471" t="s">
        <v>586</v>
      </c>
      <c r="G1471" s="107">
        <v>1299</v>
      </c>
      <c r="H1471" s="66">
        <v>45931</v>
      </c>
      <c r="I1471" s="24">
        <v>39057.21</v>
      </c>
      <c r="J1471" s="27">
        <v>36655.19</v>
      </c>
      <c r="K1471" s="3">
        <v>45931</v>
      </c>
      <c r="L1471" s="147">
        <v>45957</v>
      </c>
      <c r="M1471" s="11">
        <v>45961</v>
      </c>
      <c r="N1471" s="18" t="s">
        <v>588</v>
      </c>
      <c r="O1471" s="34">
        <v>0</v>
      </c>
      <c r="P1471"/>
      <c r="Q1471" t="str">
        <f>IFERROR(VLOOKUP(Tabela1[[#This Row],[CC]],CC!$A$1:$H$389,5,0),"")</f>
        <v>CSA</v>
      </c>
      <c r="R1471" t="str">
        <f>IFERROR(VLOOKUP(Tabela1[[#This Row],[CC]],CC!$A$1:$H$389,6,0),"")</f>
        <v>PS</v>
      </c>
      <c r="S1471" t="str">
        <f>IFERROR(VLOOKUP(Tabela1[[#This Row],[CC]],CC!$A$1:$H$403,8,0),"")</f>
        <v>OP2</v>
      </c>
      <c r="W1471" s="91"/>
    </row>
    <row r="1472" spans="1:23" x14ac:dyDescent="0.3">
      <c r="A1472" s="8">
        <v>1298</v>
      </c>
      <c r="B1472" s="8" t="str">
        <f>IFERROR(VLOOKUP(Tabela1[[#This Row],[CC]],#REF!,5,0),"")</f>
        <v/>
      </c>
      <c r="C1472" t="str">
        <f>IFERROR(VLOOKUP(Tabela1[[#This Row],[CC]],CC!$A$1:$H$389,7,0),"")</f>
        <v>JOSÉ NETO</v>
      </c>
      <c r="D1472" t="str">
        <f>IFERROR(VLOOKUP(Tabela1[[#This Row],[CC]],CC!$A$1:$I$3869,3,0),"")</f>
        <v>SEBRAE</v>
      </c>
      <c r="E1472" t="str">
        <f>IFERROR(VLOOKUP(Tabela1[[#This Row],[CC]],CC!$A$1:$H$389,2,0),"")</f>
        <v>SEBRAE-SP DC NOVO (1298)</v>
      </c>
      <c r="F1472" t="s">
        <v>586</v>
      </c>
      <c r="G1472" s="107">
        <v>1313</v>
      </c>
      <c r="H1472" s="12">
        <v>45931</v>
      </c>
      <c r="I1472" s="27">
        <v>294000.96000000002</v>
      </c>
      <c r="J1472" s="27">
        <v>275919.90000000002</v>
      </c>
      <c r="K1472" s="3">
        <v>45975</v>
      </c>
      <c r="L1472" s="147">
        <v>45985</v>
      </c>
      <c r="M1472" s="11">
        <v>45989</v>
      </c>
      <c r="N1472" s="18" t="s">
        <v>588</v>
      </c>
      <c r="O1472" s="34">
        <v>0</v>
      </c>
      <c r="P1472"/>
      <c r="Q1472" t="str">
        <f>IFERROR(VLOOKUP(Tabela1[[#This Row],[CC]],CC!$A$1:$H$389,5,0),"")</f>
        <v>CSA</v>
      </c>
      <c r="R1472" t="str">
        <f>IFERROR(VLOOKUP(Tabela1[[#This Row],[CC]],CC!$A$1:$H$389,6,0),"")</f>
        <v>PS</v>
      </c>
      <c r="S1472" t="str">
        <f>IFERROR(VLOOKUP(Tabela1[[#This Row],[CC]],CC!$A$1:$H$403,8,0),"")</f>
        <v>OP2</v>
      </c>
      <c r="W1472" s="91"/>
    </row>
    <row r="1473" spans="1:23" x14ac:dyDescent="0.3">
      <c r="A1473" s="25">
        <v>1288</v>
      </c>
      <c r="B1473" s="25" t="str">
        <f>IFERROR(VLOOKUP(Tabela1[[#This Row],[CC]],#REF!,5,0),"")</f>
        <v/>
      </c>
      <c r="C1473" t="str">
        <f>IFERROR(VLOOKUP(Tabela1[[#This Row],[CC]],CC!$A$1:$H$389,7,0),"")</f>
        <v>LIZANDRA PIMENTA</v>
      </c>
      <c r="D1473" t="str">
        <f>IFERROR(VLOOKUP(Tabela1[[#This Row],[CC]],CC!$A$1:$I$3869,3,0),"")</f>
        <v>SEC-BA</v>
      </c>
      <c r="E1473" t="str">
        <f>IFERROR(VLOOKUP(Tabela1[[#This Row],[CC]],CC!$A$1:$H$389,2,0),"")</f>
        <v>SEC BA SISTEMAS  (1288)</v>
      </c>
      <c r="F1473" t="s">
        <v>586</v>
      </c>
      <c r="G1473" s="107">
        <v>8689</v>
      </c>
      <c r="H1473" s="12">
        <v>45962</v>
      </c>
      <c r="I1473" s="24">
        <v>393506.36</v>
      </c>
      <c r="J1473" s="24">
        <v>366747.92</v>
      </c>
      <c r="K1473" s="3">
        <v>46007</v>
      </c>
      <c r="L1473" s="147">
        <v>46013</v>
      </c>
      <c r="M1473" s="11">
        <v>46015</v>
      </c>
      <c r="N1473" s="18" t="s">
        <v>588</v>
      </c>
      <c r="O1473" s="34"/>
      <c r="P1473"/>
      <c r="Q1473" t="str">
        <f>IFERROR(VLOOKUP(Tabela1[[#This Row],[CC]],CC!$A$1:$H$389,5,0),"")</f>
        <v>ADS</v>
      </c>
      <c r="R1473" t="str">
        <f>IFERROR(VLOOKUP(Tabela1[[#This Row],[CC]],CC!$A$1:$H$389,6,0),"")</f>
        <v>PS</v>
      </c>
      <c r="S1473" t="str">
        <f>IFERROR(VLOOKUP(Tabela1[[#This Row],[CC]],CC!$A$1:$H$403,8,0),"")</f>
        <v>OP3</v>
      </c>
      <c r="W1473" s="91"/>
    </row>
    <row r="1474" spans="1:23" x14ac:dyDescent="0.3">
      <c r="A1474" s="8">
        <v>1393</v>
      </c>
      <c r="B1474" s="8" t="str">
        <f>IFERROR(VLOOKUP(Tabela1[[#This Row],[CC]],#REF!,5,0),"")</f>
        <v/>
      </c>
      <c r="C1474" t="str">
        <f>IFERROR(VLOOKUP(Tabela1[[#This Row],[CC]],CC!$A$1:$H$389,7,0),"")</f>
        <v>ROGERIO GORDILHO</v>
      </c>
      <c r="D1474" t="str">
        <f>IFERROR(VLOOKUP(Tabela1[[#This Row],[CC]],CC!$A$1:$I$3869,3,0),"")</f>
        <v xml:space="preserve">DETRAN-BA </v>
      </c>
      <c r="E1474" t="str">
        <f>IFERROR(VLOOKUP(Tabela1[[#This Row],[CC]],CC!$A$1:$H$389,2,0),"")</f>
        <v>DETRAN - N3 (1393)</v>
      </c>
      <c r="F1474" t="s">
        <v>586</v>
      </c>
      <c r="G1474" s="107">
        <v>8850</v>
      </c>
      <c r="H1474" s="12">
        <v>46082</v>
      </c>
      <c r="I1474" s="24">
        <v>466200.21</v>
      </c>
      <c r="J1474" s="24">
        <v>418181.59</v>
      </c>
      <c r="K1474" s="3">
        <v>46122</v>
      </c>
      <c r="L1474" s="147">
        <v>46160</v>
      </c>
      <c r="M1474" s="5">
        <v>46161</v>
      </c>
      <c r="N1474" s="18" t="s">
        <v>588</v>
      </c>
      <c r="O1474" s="34"/>
      <c r="P1474" s="14"/>
      <c r="Q1474" t="str">
        <f>IFERROR(VLOOKUP(Tabela1[[#This Row],[CC]],CC!$A$1:$H$389,5,0),"")</f>
        <v>CSA</v>
      </c>
      <c r="R1474" t="str">
        <f>IFERROR(VLOOKUP(Tabela1[[#This Row],[CC]],CC!$A$1:$H$389,6,0),"")</f>
        <v>PS</v>
      </c>
      <c r="S1474" t="str">
        <f>IFERROR(VLOOKUP(Tabela1[[#This Row],[CC]],CC!$A$1:$H$403,8,0),"")</f>
        <v>OP4</v>
      </c>
      <c r="W1474" s="91"/>
    </row>
    <row r="1475" spans="1:23" x14ac:dyDescent="0.3">
      <c r="A1475" s="25">
        <v>1455</v>
      </c>
      <c r="B1475" s="25" t="str">
        <f>IFERROR(VLOOKUP(Tabela1[[#This Row],[CC]],#REF!,5,0),"")</f>
        <v/>
      </c>
      <c r="C1475" t="str">
        <f>IFERROR(VLOOKUP(Tabela1[[#This Row],[CC]],CC!$A$1:$H$389,7,0),"")</f>
        <v>ROGERIO GORDILHO</v>
      </c>
      <c r="D1475" t="str">
        <f>IFERROR(VLOOKUP(Tabela1[[#This Row],[CC]],CC!$A$1:$I$3869,3,0),"")</f>
        <v>ATAKAREJO</v>
      </c>
      <c r="E1475" t="str">
        <f>IFERROR(VLOOKUP(Tabela1[[#This Row],[CC]],CC!$A$1:$H$389,2,0),"")</f>
        <v>ATAKAREJO N3 (1455)</v>
      </c>
      <c r="F1475" t="s">
        <v>586</v>
      </c>
      <c r="G1475" s="107">
        <v>8971</v>
      </c>
      <c r="H1475" s="12">
        <v>46113</v>
      </c>
      <c r="I1475" s="27">
        <v>888.93</v>
      </c>
      <c r="J1475" s="24">
        <v>785.37</v>
      </c>
      <c r="K1475" s="3">
        <v>46164</v>
      </c>
      <c r="L1475" s="147">
        <v>46195</v>
      </c>
      <c r="M1475" s="11"/>
      <c r="N1475" s="21" t="s">
        <v>587</v>
      </c>
      <c r="O1475" s="34"/>
      <c r="P1475" s="26"/>
      <c r="Q1475" t="str">
        <f>IFERROR(VLOOKUP(Tabela1[[#This Row],[CC]],CC!$A$1:$H$389,5,0),"")</f>
        <v>CSA</v>
      </c>
      <c r="R1475" t="str">
        <f>IFERROR(VLOOKUP(Tabela1[[#This Row],[CC]],CC!$A$1:$H$389,6,0),"")</f>
        <v>MS</v>
      </c>
      <c r="S1475" t="str">
        <f>IFERROR(VLOOKUP(Tabela1[[#This Row],[CC]],CC!$A$1:$H$403,8,0),"")</f>
        <v>OP4</v>
      </c>
      <c r="W1475" s="91"/>
    </row>
    <row r="1476" spans="1:23" x14ac:dyDescent="0.3">
      <c r="A1476" s="25">
        <v>1455</v>
      </c>
      <c r="B1476" s="25" t="str">
        <f>IFERROR(VLOOKUP(Tabela1[[#This Row],[CC]],#REF!,5,0),"")</f>
        <v/>
      </c>
      <c r="C1476" t="str">
        <f>IFERROR(VLOOKUP(Tabela1[[#This Row],[CC]],CC!$A$1:$H$389,7,0),"")</f>
        <v>ROGERIO GORDILHO</v>
      </c>
      <c r="D1476" t="str">
        <f>IFERROR(VLOOKUP(Tabela1[[#This Row],[CC]],CC!$A$1:$I$3869,3,0),"")</f>
        <v>ATAKAREJO</v>
      </c>
      <c r="E1476" t="str">
        <f>IFERROR(VLOOKUP(Tabela1[[#This Row],[CC]],CC!$A$1:$H$389,2,0),"")</f>
        <v>ATAKAREJO N3 (1455)</v>
      </c>
      <c r="F1476" t="s">
        <v>586</v>
      </c>
      <c r="G1476" s="107">
        <v>8912</v>
      </c>
      <c r="H1476" s="12">
        <v>46113</v>
      </c>
      <c r="I1476" s="43">
        <v>56875.77</v>
      </c>
      <c r="J1476" s="24">
        <v>50249.74</v>
      </c>
      <c r="K1476" s="3">
        <v>46146</v>
      </c>
      <c r="L1476" s="147">
        <v>46174</v>
      </c>
      <c r="M1476" s="11">
        <v>46174</v>
      </c>
      <c r="N1476" s="21" t="s">
        <v>588</v>
      </c>
      <c r="O1476" s="34"/>
      <c r="P1476" s="26"/>
      <c r="Q1476" t="str">
        <f>IFERROR(VLOOKUP(Tabela1[[#This Row],[CC]],CC!$A$1:$H$389,5,0),"")</f>
        <v>CSA</v>
      </c>
      <c r="R1476" t="str">
        <f>IFERROR(VLOOKUP(Tabela1[[#This Row],[CC]],CC!$A$1:$H$389,6,0),"")</f>
        <v>MS</v>
      </c>
      <c r="S1476" t="str">
        <f>IFERROR(VLOOKUP(Tabela1[[#This Row],[CC]],CC!$A$1:$H$403,8,0),"")</f>
        <v>OP4</v>
      </c>
      <c r="W1476" s="91"/>
    </row>
    <row r="1477" spans="1:23" x14ac:dyDescent="0.3">
      <c r="A1477" s="8">
        <v>1393</v>
      </c>
      <c r="B1477" s="8" t="str">
        <f>IFERROR(VLOOKUP(Tabela1[[#This Row],[CC]],#REF!,5,0),"")</f>
        <v/>
      </c>
      <c r="C1477" t="str">
        <f>IFERROR(VLOOKUP(Tabela1[[#This Row],[CC]],CC!$A$1:$H$389,7,0),"")</f>
        <v>ROGERIO GORDILHO</v>
      </c>
      <c r="D1477" t="str">
        <f>IFERROR(VLOOKUP(Tabela1[[#This Row],[CC]],CC!$A$1:$I$3869,3,0),"")</f>
        <v xml:space="preserve">DETRAN-BA </v>
      </c>
      <c r="E1477" t="str">
        <f>IFERROR(VLOOKUP(Tabela1[[#This Row],[CC]],CC!$A$1:$H$389,2,0),"")</f>
        <v>DETRAN - N3 (1393)</v>
      </c>
      <c r="F1477" t="s">
        <v>586</v>
      </c>
      <c r="G1477" s="107">
        <v>9007</v>
      </c>
      <c r="H1477" s="12">
        <v>46172</v>
      </c>
      <c r="I1477" s="24">
        <v>486838.95</v>
      </c>
      <c r="J1477" s="24">
        <v>436694.54</v>
      </c>
      <c r="K1477" s="3">
        <v>46183</v>
      </c>
      <c r="L1477" s="147">
        <v>46195</v>
      </c>
      <c r="M1477" s="5"/>
      <c r="N1477" s="18" t="s">
        <v>587</v>
      </c>
      <c r="O1477" s="34">
        <v>486838.95</v>
      </c>
      <c r="P1477" s="14" t="s">
        <v>759</v>
      </c>
      <c r="Q1477" t="str">
        <f>IFERROR(VLOOKUP(Tabela1[[#This Row],[CC]],CC!$A$1:$H$389,5,0),"")</f>
        <v>CSA</v>
      </c>
      <c r="R1477" t="str">
        <f>IFERROR(VLOOKUP(Tabela1[[#This Row],[CC]],CC!$A$1:$H$389,6,0),"")</f>
        <v>PS</v>
      </c>
      <c r="S1477" t="str">
        <f>IFERROR(VLOOKUP(Tabela1[[#This Row],[CC]],CC!$A$1:$H$403,8,0),"")</f>
        <v>OP4</v>
      </c>
      <c r="W1477" s="91"/>
    </row>
    <row r="1478" spans="1:23" x14ac:dyDescent="0.3">
      <c r="A1478" s="25">
        <v>1288</v>
      </c>
      <c r="B1478" s="25" t="str">
        <f>IFERROR(VLOOKUP(Tabela1[[#This Row],[CC]],#REF!,5,0),"")</f>
        <v/>
      </c>
      <c r="C1478" t="str">
        <f>IFERROR(VLOOKUP(Tabela1[[#This Row],[CC]],CC!$A$1:$H$389,7,0),"")</f>
        <v>LIZANDRA PIMENTA</v>
      </c>
      <c r="D1478" t="str">
        <f>IFERROR(VLOOKUP(Tabela1[[#This Row],[CC]],CC!$A$1:$I$3869,3,0),"")</f>
        <v>SEC-BA</v>
      </c>
      <c r="E1478" t="str">
        <f>IFERROR(VLOOKUP(Tabela1[[#This Row],[CC]],CC!$A$1:$H$389,2,0),"")</f>
        <v>SEC BA SISTEMAS  (1288)</v>
      </c>
      <c r="F1478" t="s">
        <v>586</v>
      </c>
      <c r="G1478" s="107">
        <v>8763</v>
      </c>
      <c r="H1478" s="12">
        <v>46023</v>
      </c>
      <c r="I1478" s="24">
        <v>393510.19</v>
      </c>
      <c r="J1478" s="27">
        <v>366751.5</v>
      </c>
      <c r="K1478" s="3">
        <v>46072</v>
      </c>
      <c r="L1478" s="147">
        <v>46083</v>
      </c>
      <c r="M1478" s="11">
        <v>46087</v>
      </c>
      <c r="N1478" s="18" t="s">
        <v>588</v>
      </c>
      <c r="O1478" s="34"/>
      <c r="P1478"/>
      <c r="Q1478" t="str">
        <f>IFERROR(VLOOKUP(Tabela1[[#This Row],[CC]],CC!$A$1:$H$389,5,0),"")</f>
        <v>ADS</v>
      </c>
      <c r="R1478" t="str">
        <f>IFERROR(VLOOKUP(Tabela1[[#This Row],[CC]],CC!$A$1:$H$389,6,0),"")</f>
        <v>PS</v>
      </c>
      <c r="S1478" t="str">
        <f>IFERROR(VLOOKUP(Tabela1[[#This Row],[CC]],CC!$A$1:$H$403,8,0),"")</f>
        <v>OP3</v>
      </c>
      <c r="W1478" s="91"/>
    </row>
    <row r="1479" spans="1:23" x14ac:dyDescent="0.3">
      <c r="A1479" s="25">
        <v>1288</v>
      </c>
      <c r="B1479" s="25" t="str">
        <f>IFERROR(VLOOKUP(Tabela1[[#This Row],[CC]],#REF!,5,0),"")</f>
        <v/>
      </c>
      <c r="C1479" t="str">
        <f>IFERROR(VLOOKUP(Tabela1[[#This Row],[CC]],CC!$A$1:$H$389,7,0),"")</f>
        <v>LIZANDRA PIMENTA</v>
      </c>
      <c r="D1479" t="str">
        <f>IFERROR(VLOOKUP(Tabela1[[#This Row],[CC]],CC!$A$1:$I$3869,3,0),"")</f>
        <v>SEC-BA</v>
      </c>
      <c r="E1479" t="str">
        <f>IFERROR(VLOOKUP(Tabela1[[#This Row],[CC]],CC!$A$1:$H$389,2,0),"")</f>
        <v>SEC BA SISTEMAS  (1288)</v>
      </c>
      <c r="F1479" t="s">
        <v>586</v>
      </c>
      <c r="G1479" s="107">
        <v>8831</v>
      </c>
      <c r="H1479" s="12">
        <v>46054</v>
      </c>
      <c r="I1479" s="27">
        <v>393590.17</v>
      </c>
      <c r="J1479" s="27">
        <v>366826.04</v>
      </c>
      <c r="K1479" s="3">
        <v>46106</v>
      </c>
      <c r="L1479" s="147">
        <v>46113</v>
      </c>
      <c r="M1479" s="11">
        <v>46113</v>
      </c>
      <c r="N1479" s="18" t="s">
        <v>588</v>
      </c>
      <c r="O1479" s="34"/>
      <c r="P1479" s="24"/>
      <c r="Q1479" t="str">
        <f>IFERROR(VLOOKUP(Tabela1[[#This Row],[CC]],CC!$A$1:$H$389,5,0),"")</f>
        <v>ADS</v>
      </c>
      <c r="R1479" t="str">
        <f>IFERROR(VLOOKUP(Tabela1[[#This Row],[CC]],CC!$A$1:$H$389,6,0),"")</f>
        <v>PS</v>
      </c>
      <c r="S1479" t="str">
        <f>IFERROR(VLOOKUP(Tabela1[[#This Row],[CC]],CC!$A$1:$H$403,8,0),"")</f>
        <v>OP3</v>
      </c>
      <c r="W1479" s="91"/>
    </row>
    <row r="1480" spans="1:23" x14ac:dyDescent="0.3">
      <c r="A1480" s="25">
        <v>1289</v>
      </c>
      <c r="B1480" s="25" t="str">
        <f>IFERROR(VLOOKUP(Tabela1[[#This Row],[CC]],#REF!,5,0),"")</f>
        <v/>
      </c>
      <c r="C1480" t="str">
        <f>IFERROR(VLOOKUP(Tabela1[[#This Row],[CC]],CC!$A$1:$H$389,7,0),"")</f>
        <v>LIZANDRA PIMENTA</v>
      </c>
      <c r="D1480" t="str">
        <f>IFERROR(VLOOKUP(Tabela1[[#This Row],[CC]],CC!$A$1:$I$3869,3,0),"")</f>
        <v>SEC-BA</v>
      </c>
      <c r="E1480" t="str">
        <f>IFERROR(VLOOKUP(Tabela1[[#This Row],[CC]],CC!$A$1:$H$389,2,0),"")</f>
        <v>SEC N3 NOVO (1289)</v>
      </c>
      <c r="F1480" t="s">
        <v>586</v>
      </c>
      <c r="G1480" s="107">
        <v>8622</v>
      </c>
      <c r="H1480" s="12">
        <v>45931</v>
      </c>
      <c r="I1480" s="24">
        <v>301917.75</v>
      </c>
      <c r="J1480" s="24">
        <v>281387.34000000003</v>
      </c>
      <c r="K1480" s="3">
        <v>45985</v>
      </c>
      <c r="L1480" s="147">
        <v>45992</v>
      </c>
      <c r="M1480" s="11">
        <v>45996</v>
      </c>
      <c r="N1480" s="18" t="s">
        <v>588</v>
      </c>
      <c r="O1480" s="34"/>
      <c r="P1480" s="26"/>
      <c r="Q1480" t="str">
        <f>IFERROR(VLOOKUP(Tabela1[[#This Row],[CC]],CC!$A$1:$H$389,5,0),"")</f>
        <v>CSA</v>
      </c>
      <c r="R1480" t="str">
        <f>IFERROR(VLOOKUP(Tabela1[[#This Row],[CC]],CC!$A$1:$H$389,6,0),"")</f>
        <v>PS</v>
      </c>
      <c r="S1480" t="str">
        <f>IFERROR(VLOOKUP(Tabela1[[#This Row],[CC]],CC!$A$1:$H$403,8,0),"")</f>
        <v>OP3</v>
      </c>
      <c r="W1480" s="91"/>
    </row>
    <row r="1481" spans="1:23" x14ac:dyDescent="0.3">
      <c r="A1481" s="25">
        <v>1289</v>
      </c>
      <c r="B1481" s="25" t="str">
        <f>IFERROR(VLOOKUP(Tabela1[[#This Row],[CC]],#REF!,5,0),"")</f>
        <v/>
      </c>
      <c r="C1481" t="str">
        <f>IFERROR(VLOOKUP(Tabela1[[#This Row],[CC]],CC!$A$1:$H$389,7,0),"")</f>
        <v>LIZANDRA PIMENTA</v>
      </c>
      <c r="D1481" t="str">
        <f>IFERROR(VLOOKUP(Tabela1[[#This Row],[CC]],CC!$A$1:$I$3869,3,0),"")</f>
        <v>SEC-BA</v>
      </c>
      <c r="E1481" t="str">
        <f>IFERROR(VLOOKUP(Tabela1[[#This Row],[CC]],CC!$A$1:$H$389,2,0),"")</f>
        <v>SEC N3 NOVO (1289)</v>
      </c>
      <c r="F1481" t="s">
        <v>586</v>
      </c>
      <c r="G1481" s="107">
        <v>8675</v>
      </c>
      <c r="H1481" s="12">
        <v>45962</v>
      </c>
      <c r="I1481" s="24">
        <v>301917.75</v>
      </c>
      <c r="J1481" s="24">
        <v>281387.34000000003</v>
      </c>
      <c r="K1481" s="3">
        <v>46002</v>
      </c>
      <c r="L1481" s="147">
        <v>46006</v>
      </c>
      <c r="M1481" s="11">
        <v>46009</v>
      </c>
      <c r="N1481" s="18" t="s">
        <v>588</v>
      </c>
      <c r="O1481" s="34"/>
      <c r="P1481"/>
      <c r="Q1481" t="str">
        <f>IFERROR(VLOOKUP(Tabela1[[#This Row],[CC]],CC!$A$1:$H$389,5,0),"")</f>
        <v>CSA</v>
      </c>
      <c r="R1481" t="str">
        <f>IFERROR(VLOOKUP(Tabela1[[#This Row],[CC]],CC!$A$1:$H$389,6,0),"")</f>
        <v>PS</v>
      </c>
      <c r="S1481" t="str">
        <f>IFERROR(VLOOKUP(Tabela1[[#This Row],[CC]],CC!$A$1:$H$403,8,0),"")</f>
        <v>OP3</v>
      </c>
      <c r="W1481" s="91"/>
    </row>
    <row r="1482" spans="1:23" x14ac:dyDescent="0.3">
      <c r="A1482" s="25">
        <v>1289</v>
      </c>
      <c r="B1482" s="25" t="str">
        <f>IFERROR(VLOOKUP(Tabela1[[#This Row],[CC]],#REF!,5,0),"")</f>
        <v/>
      </c>
      <c r="C1482" t="str">
        <f>IFERROR(VLOOKUP(Tabela1[[#This Row],[CC]],CC!$A$1:$H$389,7,0),"")</f>
        <v>LIZANDRA PIMENTA</v>
      </c>
      <c r="D1482" t="str">
        <f>IFERROR(VLOOKUP(Tabela1[[#This Row],[CC]],CC!$A$1:$I$3869,3,0),"")</f>
        <v>SEC-BA</v>
      </c>
      <c r="E1482" t="str">
        <f>IFERROR(VLOOKUP(Tabela1[[#This Row],[CC]],CC!$A$1:$H$389,2,0),"")</f>
        <v>SEC N3 NOVO (1289)</v>
      </c>
      <c r="F1482" t="s">
        <v>586</v>
      </c>
      <c r="G1482" s="107">
        <v>8798</v>
      </c>
      <c r="H1482" s="12">
        <v>45992</v>
      </c>
      <c r="I1482" s="24">
        <v>301917.75</v>
      </c>
      <c r="J1482" s="24">
        <v>281387.34000000003</v>
      </c>
      <c r="K1482" s="3">
        <v>46087</v>
      </c>
      <c r="L1482" s="147">
        <v>46097</v>
      </c>
      <c r="M1482" s="11">
        <v>46100</v>
      </c>
      <c r="N1482" s="18" t="s">
        <v>588</v>
      </c>
      <c r="O1482" s="34"/>
      <c r="P1482"/>
      <c r="Q1482" t="str">
        <f>IFERROR(VLOOKUP(Tabela1[[#This Row],[CC]],CC!$A$1:$H$389,5,0),"")</f>
        <v>CSA</v>
      </c>
      <c r="R1482" t="str">
        <f>IFERROR(VLOOKUP(Tabela1[[#This Row],[CC]],CC!$A$1:$H$389,6,0),"")</f>
        <v>PS</v>
      </c>
      <c r="S1482" t="str">
        <f>IFERROR(VLOOKUP(Tabela1[[#This Row],[CC]],CC!$A$1:$H$403,8,0),"")</f>
        <v>OP3</v>
      </c>
      <c r="W1482" s="91"/>
    </row>
    <row r="1483" spans="1:23" x14ac:dyDescent="0.3">
      <c r="A1483" s="25">
        <v>1289</v>
      </c>
      <c r="B1483" s="25" t="str">
        <f>IFERROR(VLOOKUP(Tabela1[[#This Row],[CC]],#REF!,5,0),"")</f>
        <v/>
      </c>
      <c r="C1483" t="str">
        <f>IFERROR(VLOOKUP(Tabela1[[#This Row],[CC]],CC!$A$1:$H$389,7,0),"")</f>
        <v>LIZANDRA PIMENTA</v>
      </c>
      <c r="D1483" t="str">
        <f>IFERROR(VLOOKUP(Tabela1[[#This Row],[CC]],CC!$A$1:$I$3869,3,0),"")</f>
        <v>SEC-BA</v>
      </c>
      <c r="E1483" t="str">
        <f>IFERROR(VLOOKUP(Tabela1[[#This Row],[CC]],CC!$A$1:$H$389,2,0),"")</f>
        <v>SEC N3 NOVO (1289)</v>
      </c>
      <c r="F1483" t="s">
        <v>586</v>
      </c>
      <c r="G1483" s="107">
        <v>8764</v>
      </c>
      <c r="H1483" s="12">
        <v>46023</v>
      </c>
      <c r="I1483" s="24">
        <v>301917.75</v>
      </c>
      <c r="J1483" s="24">
        <v>281387.34000000003</v>
      </c>
      <c r="K1483" s="3">
        <v>46072</v>
      </c>
      <c r="L1483" s="147">
        <v>46090</v>
      </c>
      <c r="M1483" s="11">
        <v>46094</v>
      </c>
      <c r="N1483" s="18" t="s">
        <v>588</v>
      </c>
      <c r="O1483" s="34"/>
      <c r="P1483"/>
      <c r="Q1483" t="str">
        <f>IFERROR(VLOOKUP(Tabela1[[#This Row],[CC]],CC!$A$1:$H$389,5,0),"")</f>
        <v>CSA</v>
      </c>
      <c r="R1483" t="str">
        <f>IFERROR(VLOOKUP(Tabela1[[#This Row],[CC]],CC!$A$1:$H$389,6,0),"")</f>
        <v>PS</v>
      </c>
      <c r="S1483" t="str">
        <f>IFERROR(VLOOKUP(Tabela1[[#This Row],[CC]],CC!$A$1:$H$403,8,0),"")</f>
        <v>OP3</v>
      </c>
      <c r="W1483" s="91"/>
    </row>
    <row r="1484" spans="1:23" x14ac:dyDescent="0.3">
      <c r="A1484" s="25">
        <v>1289</v>
      </c>
      <c r="B1484" s="25" t="str">
        <f>IFERROR(VLOOKUP(Tabela1[[#This Row],[CC]],#REF!,5,0),"")</f>
        <v/>
      </c>
      <c r="C1484" t="str">
        <f>IFERROR(VLOOKUP(Tabela1[[#This Row],[CC]],CC!$A$1:$H$389,7,0),"")</f>
        <v>LIZANDRA PIMENTA</v>
      </c>
      <c r="D1484" t="str">
        <f>IFERROR(VLOOKUP(Tabela1[[#This Row],[CC]],CC!$A$1:$I$3869,3,0),"")</f>
        <v>SEC-BA</v>
      </c>
      <c r="E1484" t="str">
        <f>IFERROR(VLOOKUP(Tabela1[[#This Row],[CC]],CC!$A$1:$H$389,2,0),"")</f>
        <v>SEC N3 NOVO (1289)</v>
      </c>
      <c r="F1484" t="s">
        <v>586</v>
      </c>
      <c r="G1484" s="107">
        <v>8833</v>
      </c>
      <c r="H1484" s="12">
        <v>46054</v>
      </c>
      <c r="I1484" s="27">
        <v>301917.75</v>
      </c>
      <c r="J1484" s="24">
        <v>281387.34000000003</v>
      </c>
      <c r="K1484" s="3">
        <v>46106</v>
      </c>
      <c r="L1484" s="147">
        <v>46118</v>
      </c>
      <c r="M1484" s="11">
        <v>46118</v>
      </c>
      <c r="N1484" s="18" t="s">
        <v>588</v>
      </c>
      <c r="O1484" s="34"/>
      <c r="P1484"/>
      <c r="Q1484" t="str">
        <f>IFERROR(VLOOKUP(Tabela1[[#This Row],[CC]],CC!$A$1:$H$389,5,0),"")</f>
        <v>CSA</v>
      </c>
      <c r="R1484" t="str">
        <f>IFERROR(VLOOKUP(Tabela1[[#This Row],[CC]],CC!$A$1:$H$389,6,0),"")</f>
        <v>PS</v>
      </c>
      <c r="S1484" t="str">
        <f>IFERROR(VLOOKUP(Tabela1[[#This Row],[CC]],CC!$A$1:$H$403,8,0),"")</f>
        <v>OP3</v>
      </c>
      <c r="W1484" s="91"/>
    </row>
    <row r="1485" spans="1:23" x14ac:dyDescent="0.3">
      <c r="A1485" s="8">
        <v>1476</v>
      </c>
      <c r="B1485" s="8" t="str">
        <f>IFERROR(VLOOKUP(Tabela1[[#This Row],[CC]],#REF!,5,0),"")</f>
        <v/>
      </c>
      <c r="C1485" t="str">
        <f>IFERROR(VLOOKUP(Tabela1[[#This Row],[CC]],CC!$A$1:$H$389,7,0),"")</f>
        <v>ROGERIO GORDILHO</v>
      </c>
      <c r="D1485" t="str">
        <f>IFERROR(VLOOKUP(Tabela1[[#This Row],[CC]],CC!$A$1:$I$3869,3,0),"")</f>
        <v>DPE</v>
      </c>
      <c r="E1485" t="str">
        <f>IFERROR(VLOOKUP(Tabela1[[#This Row],[CC]],CC!$A$1:$H$389,2,0),"")</f>
        <v>DPE - BA Digital Center (1476)</v>
      </c>
      <c r="F1485" t="s">
        <v>586</v>
      </c>
      <c r="G1485" s="107">
        <v>9005</v>
      </c>
      <c r="H1485" s="12">
        <v>46143</v>
      </c>
      <c r="I1485" s="24">
        <v>376608.23</v>
      </c>
      <c r="J1485" s="24">
        <v>337817.59999999998</v>
      </c>
      <c r="K1485" s="3">
        <v>46183</v>
      </c>
      <c r="L1485" s="147">
        <v>46195</v>
      </c>
      <c r="M1485" s="5"/>
      <c r="N1485" s="21" t="s">
        <v>587</v>
      </c>
      <c r="O1485" s="34"/>
      <c r="P1485" s="14"/>
      <c r="Q1485" t="str">
        <f>IFERROR(VLOOKUP(Tabela1[[#This Row],[CC]],CC!$A$1:$H$389,5,0),"")</f>
        <v>CSA</v>
      </c>
      <c r="R1485" t="str">
        <f>IFERROR(VLOOKUP(Tabela1[[#This Row],[CC]],CC!$A$1:$H$389,6,0),"")</f>
        <v>PS</v>
      </c>
      <c r="S1485" t="str">
        <f>IFERROR(VLOOKUP(Tabela1[[#This Row],[CC]],CC!$A$1:$H$403,8,0),"")</f>
        <v>OP4</v>
      </c>
      <c r="W1485" s="91"/>
    </row>
    <row r="1486" spans="1:23" x14ac:dyDescent="0.3">
      <c r="A1486" s="8">
        <v>1394</v>
      </c>
      <c r="B1486" s="8" t="str">
        <f>IFERROR(VLOOKUP(Tabela1[[#This Row],[CC]],#REF!,5,0),"")</f>
        <v/>
      </c>
      <c r="C1486" t="str">
        <f>IFERROR(VLOOKUP(Tabela1[[#This Row],[CC]],CC!$A$1:$H$389,7,0),"")</f>
        <v>ANTONIO ALVES</v>
      </c>
      <c r="D1486" t="str">
        <f>IFERROR(VLOOKUP(Tabela1[[#This Row],[CC]],CC!$A$1:$I$3869,3,0),"")</f>
        <v>SEFAZ_BA</v>
      </c>
      <c r="E1486" t="str">
        <f>IFERROR(VLOOKUP(Tabela1[[#This Row],[CC]],CC!$A$1:$H$389,2,0),"")</f>
        <v>SEFAZ - BA DIGITAL CENTER (1394)</v>
      </c>
      <c r="F1486" t="s">
        <v>586</v>
      </c>
      <c r="G1486" s="107">
        <v>8606</v>
      </c>
      <c r="H1486" s="12">
        <v>45931</v>
      </c>
      <c r="I1486" s="27">
        <v>66511.77</v>
      </c>
      <c r="J1486" s="27">
        <v>61988.959999999999</v>
      </c>
      <c r="K1486" s="3">
        <v>45975</v>
      </c>
      <c r="L1486" s="91">
        <v>45985</v>
      </c>
      <c r="M1486" s="5">
        <v>45987</v>
      </c>
      <c r="N1486" s="21" t="s">
        <v>588</v>
      </c>
      <c r="O1486" s="34">
        <v>0</v>
      </c>
      <c r="P1486" s="14"/>
      <c r="Q1486" t="str">
        <f>IFERROR(VLOOKUP(Tabela1[[#This Row],[CC]],CC!$A$1:$H$389,5,0),"")</f>
        <v>CSA</v>
      </c>
      <c r="R1486" t="str">
        <f>IFERROR(VLOOKUP(Tabela1[[#This Row],[CC]],CC!$A$1:$H$389,6,0),"")</f>
        <v>PS</v>
      </c>
      <c r="S1486" t="str">
        <f>IFERROR(VLOOKUP(Tabela1[[#This Row],[CC]],CC!$A$1:$H$403,8,0),"")</f>
        <v>OP4</v>
      </c>
      <c r="W1486" s="91"/>
    </row>
    <row r="1487" spans="1:23" x14ac:dyDescent="0.3">
      <c r="A1487" s="8">
        <v>1394</v>
      </c>
      <c r="B1487" s="8" t="str">
        <f>IFERROR(VLOOKUP(Tabela1[[#This Row],[CC]],#REF!,5,0),"")</f>
        <v/>
      </c>
      <c r="C1487" t="str">
        <f>IFERROR(VLOOKUP(Tabela1[[#This Row],[CC]],CC!$A$1:$H$389,7,0),"")</f>
        <v>ANTONIO ALVES</v>
      </c>
      <c r="D1487" t="str">
        <f>IFERROR(VLOOKUP(Tabela1[[#This Row],[CC]],CC!$A$1:$I$3869,3,0),"")</f>
        <v>SEFAZ_BA</v>
      </c>
      <c r="E1487" t="str">
        <f>IFERROR(VLOOKUP(Tabela1[[#This Row],[CC]],CC!$A$1:$H$389,2,0),"")</f>
        <v>SEFAZ - BA DIGITAL CENTER (1394)</v>
      </c>
      <c r="F1487" t="s">
        <v>586</v>
      </c>
      <c r="G1487" s="107">
        <v>8607</v>
      </c>
      <c r="H1487" s="12">
        <v>45931</v>
      </c>
      <c r="I1487" s="27">
        <v>117291.83</v>
      </c>
      <c r="J1487" s="27">
        <v>109315.98</v>
      </c>
      <c r="K1487" s="3">
        <v>45975</v>
      </c>
      <c r="L1487" s="91">
        <v>45985</v>
      </c>
      <c r="M1487" s="5">
        <v>45987</v>
      </c>
      <c r="N1487" s="21" t="s">
        <v>588</v>
      </c>
      <c r="O1487" s="34">
        <v>0</v>
      </c>
      <c r="P1487" s="14"/>
      <c r="Q1487" t="str">
        <f>IFERROR(VLOOKUP(Tabela1[[#This Row],[CC]],CC!$A$1:$H$389,5,0),"")</f>
        <v>CSA</v>
      </c>
      <c r="R1487" t="str">
        <f>IFERROR(VLOOKUP(Tabela1[[#This Row],[CC]],CC!$A$1:$H$389,6,0),"")</f>
        <v>PS</v>
      </c>
      <c r="S1487" t="str">
        <f>IFERROR(VLOOKUP(Tabela1[[#This Row],[CC]],CC!$A$1:$H$403,8,0),"")</f>
        <v>OP4</v>
      </c>
      <c r="W1487" s="91"/>
    </row>
    <row r="1488" spans="1:23" x14ac:dyDescent="0.3">
      <c r="A1488" s="8">
        <v>1394</v>
      </c>
      <c r="B1488" s="8" t="str">
        <f>IFERROR(VLOOKUP(Tabela1[[#This Row],[CC]],#REF!,5,0),"")</f>
        <v/>
      </c>
      <c r="C1488" t="str">
        <f>IFERROR(VLOOKUP(Tabela1[[#This Row],[CC]],CC!$A$1:$H$389,7,0),"")</f>
        <v>ANTONIO ALVES</v>
      </c>
      <c r="D1488" t="str">
        <f>IFERROR(VLOOKUP(Tabela1[[#This Row],[CC]],CC!$A$1:$I$3869,3,0),"")</f>
        <v>SEFAZ_BA</v>
      </c>
      <c r="E1488" t="str">
        <f>IFERROR(VLOOKUP(Tabela1[[#This Row],[CC]],CC!$A$1:$H$389,2,0),"")</f>
        <v>SEFAZ - BA DIGITAL CENTER (1394)</v>
      </c>
      <c r="F1488" t="s">
        <v>586</v>
      </c>
      <c r="G1488" s="107">
        <v>8610</v>
      </c>
      <c r="H1488" s="12">
        <v>45931</v>
      </c>
      <c r="I1488" s="27">
        <v>8722.56</v>
      </c>
      <c r="J1488" s="27">
        <v>8129.43</v>
      </c>
      <c r="K1488" s="3">
        <v>45978</v>
      </c>
      <c r="L1488" s="91">
        <v>45985</v>
      </c>
      <c r="M1488" s="11">
        <v>45989</v>
      </c>
      <c r="N1488" s="1" t="s">
        <v>588</v>
      </c>
      <c r="O1488" s="34"/>
      <c r="P1488" s="14"/>
      <c r="Q1488" t="str">
        <f>IFERROR(VLOOKUP(Tabela1[[#This Row],[CC]],CC!$A$1:$H$389,5,0),"")</f>
        <v>CSA</v>
      </c>
      <c r="R1488" t="str">
        <f>IFERROR(VLOOKUP(Tabela1[[#This Row],[CC]],CC!$A$1:$H$389,6,0),"")</f>
        <v>PS</v>
      </c>
      <c r="S1488" t="str">
        <f>IFERROR(VLOOKUP(Tabela1[[#This Row],[CC]],CC!$A$1:$H$403,8,0),"")</f>
        <v>OP4</v>
      </c>
      <c r="W1488" s="91"/>
    </row>
    <row r="1489" spans="1:23" x14ac:dyDescent="0.3">
      <c r="A1489" s="25">
        <v>1394</v>
      </c>
      <c r="B1489" s="25" t="str">
        <f>IFERROR(VLOOKUP(Tabela1[[#This Row],[CC]],#REF!,5,0),"")</f>
        <v/>
      </c>
      <c r="C1489" t="str">
        <f>IFERROR(VLOOKUP(Tabela1[[#This Row],[CC]],CC!$A$1:$H$389,7,0),"")</f>
        <v>ANTONIO ALVES</v>
      </c>
      <c r="D1489" t="str">
        <f>IFERROR(VLOOKUP(Tabela1[[#This Row],[CC]],CC!$A$1:$I$3869,3,0),"")</f>
        <v>SEFAZ_BA</v>
      </c>
      <c r="E1489" t="str">
        <f>IFERROR(VLOOKUP(Tabela1[[#This Row],[CC]],CC!$A$1:$H$389,2,0),"")</f>
        <v>SEFAZ - BA DIGITAL CENTER (1394)</v>
      </c>
      <c r="F1489" t="s">
        <v>586</v>
      </c>
      <c r="G1489" s="107">
        <v>8611</v>
      </c>
      <c r="H1489" s="12">
        <v>45901</v>
      </c>
      <c r="I1489" s="27">
        <v>233745.96</v>
      </c>
      <c r="J1489" s="27">
        <v>217851.23</v>
      </c>
      <c r="K1489" s="3">
        <v>45979</v>
      </c>
      <c r="L1489" s="91">
        <v>45985</v>
      </c>
      <c r="M1489" s="11">
        <v>45989</v>
      </c>
      <c r="N1489" s="1" t="s">
        <v>588</v>
      </c>
      <c r="O1489" s="34"/>
      <c r="P1489" s="26"/>
      <c r="Q1489" t="str">
        <f>IFERROR(VLOOKUP(Tabela1[[#This Row],[CC]],CC!$A$1:$H$389,5,0),"")</f>
        <v>CSA</v>
      </c>
      <c r="R1489" t="str">
        <f>IFERROR(VLOOKUP(Tabela1[[#This Row],[CC]],CC!$A$1:$H$389,6,0),"")</f>
        <v>PS</v>
      </c>
      <c r="S1489" t="str">
        <f>IFERROR(VLOOKUP(Tabela1[[#This Row],[CC]],CC!$A$1:$H$403,8,0),"")</f>
        <v>OP4</v>
      </c>
      <c r="W1489" s="91"/>
    </row>
    <row r="1490" spans="1:23" x14ac:dyDescent="0.3">
      <c r="A1490" s="8">
        <v>1394</v>
      </c>
      <c r="B1490" s="8" t="str">
        <f>IFERROR(VLOOKUP(Tabela1[[#This Row],[CC]],#REF!,5,0),"")</f>
        <v/>
      </c>
      <c r="C1490" t="str">
        <f>IFERROR(VLOOKUP(Tabela1[[#This Row],[CC]],CC!$A$1:$H$389,7,0),"")</f>
        <v>ANTONIO ALVES</v>
      </c>
      <c r="D1490" t="str">
        <f>IFERROR(VLOOKUP(Tabela1[[#This Row],[CC]],CC!$A$1:$I$3869,3,0),"")</f>
        <v>SEFAZ_BA</v>
      </c>
      <c r="E1490" t="str">
        <f>IFERROR(VLOOKUP(Tabela1[[#This Row],[CC]],CC!$A$1:$H$389,2,0),"")</f>
        <v>SEFAZ - BA DIGITAL CENTER (1394)</v>
      </c>
      <c r="F1490" t="s">
        <v>586</v>
      </c>
      <c r="G1490" s="107">
        <v>8613</v>
      </c>
      <c r="H1490" s="12">
        <v>45931</v>
      </c>
      <c r="I1490" s="24">
        <v>94087.62</v>
      </c>
      <c r="J1490" s="24">
        <v>87689.66</v>
      </c>
      <c r="K1490" s="3">
        <v>45980</v>
      </c>
      <c r="L1490" s="91">
        <v>45992</v>
      </c>
      <c r="M1490" s="5">
        <v>45992</v>
      </c>
      <c r="N1490" s="21" t="s">
        <v>588</v>
      </c>
      <c r="O1490" s="34"/>
      <c r="P1490" s="14"/>
      <c r="Q1490" t="str">
        <f>IFERROR(VLOOKUP(Tabela1[[#This Row],[CC]],CC!$A$1:$H$389,5,0),"")</f>
        <v>CSA</v>
      </c>
      <c r="R1490" t="str">
        <f>IFERROR(VLOOKUP(Tabela1[[#This Row],[CC]],CC!$A$1:$H$389,6,0),"")</f>
        <v>PS</v>
      </c>
      <c r="S1490" t="str">
        <f>IFERROR(VLOOKUP(Tabela1[[#This Row],[CC]],CC!$A$1:$H$403,8,0),"")</f>
        <v>OP4</v>
      </c>
      <c r="W1490" s="91"/>
    </row>
    <row r="1491" spans="1:23" x14ac:dyDescent="0.3">
      <c r="A1491" s="8">
        <v>1394</v>
      </c>
      <c r="B1491" s="8" t="str">
        <f>IFERROR(VLOOKUP(Tabela1[[#This Row],[CC]],#REF!,5,0),"")</f>
        <v/>
      </c>
      <c r="C1491" t="str">
        <f>IFERROR(VLOOKUP(Tabela1[[#This Row],[CC]],CC!$A$1:$H$389,7,0),"")</f>
        <v>ANTONIO ALVES</v>
      </c>
      <c r="D1491" t="str">
        <f>IFERROR(VLOOKUP(Tabela1[[#This Row],[CC]],CC!$A$1:$I$3869,3,0),"")</f>
        <v>SEFAZ_BA</v>
      </c>
      <c r="E1491" t="str">
        <f>IFERROR(VLOOKUP(Tabela1[[#This Row],[CC]],CC!$A$1:$H$389,2,0),"")</f>
        <v>SEFAZ - BA DIGITAL CENTER (1394)</v>
      </c>
      <c r="F1491" t="s">
        <v>586</v>
      </c>
      <c r="G1491" s="107">
        <v>8614</v>
      </c>
      <c r="H1491" s="12">
        <v>45931</v>
      </c>
      <c r="I1491" s="24">
        <v>194679.83</v>
      </c>
      <c r="J1491" s="24">
        <v>181441.6</v>
      </c>
      <c r="K1491" s="3">
        <v>45980</v>
      </c>
      <c r="L1491" s="91">
        <v>45992</v>
      </c>
      <c r="M1491" s="5">
        <v>45994</v>
      </c>
      <c r="N1491" s="21" t="s">
        <v>588</v>
      </c>
      <c r="O1491" s="34"/>
      <c r="P1491" s="14"/>
      <c r="Q1491" t="str">
        <f>IFERROR(VLOOKUP(Tabela1[[#This Row],[CC]],CC!$A$1:$H$389,5,0),"")</f>
        <v>CSA</v>
      </c>
      <c r="R1491" t="str">
        <f>IFERROR(VLOOKUP(Tabela1[[#This Row],[CC]],CC!$A$1:$H$389,6,0),"")</f>
        <v>PS</v>
      </c>
      <c r="S1491" t="str">
        <f>IFERROR(VLOOKUP(Tabela1[[#This Row],[CC]],CC!$A$1:$H$403,8,0),"")</f>
        <v>OP4</v>
      </c>
      <c r="W1491" s="91"/>
    </row>
    <row r="1492" spans="1:23" x14ac:dyDescent="0.3">
      <c r="A1492" s="8">
        <v>1394</v>
      </c>
      <c r="B1492" s="8" t="str">
        <f>IFERROR(VLOOKUP(Tabela1[[#This Row],[CC]],#REF!,5,0),"")</f>
        <v/>
      </c>
      <c r="C1492" t="str">
        <f>IFERROR(VLOOKUP(Tabela1[[#This Row],[CC]],CC!$A$1:$H$389,7,0),"")</f>
        <v>ANTONIO ALVES</v>
      </c>
      <c r="D1492" t="str">
        <f>IFERROR(VLOOKUP(Tabela1[[#This Row],[CC]],CC!$A$1:$I$3869,3,0),"")</f>
        <v>SEFAZ_BA</v>
      </c>
      <c r="E1492" t="str">
        <f>IFERROR(VLOOKUP(Tabela1[[#This Row],[CC]],CC!$A$1:$H$389,2,0),"")</f>
        <v>SEFAZ - BA DIGITAL CENTER (1394)</v>
      </c>
      <c r="F1492" t="s">
        <v>586</v>
      </c>
      <c r="G1492" s="107">
        <v>8620</v>
      </c>
      <c r="H1492" s="12">
        <v>45931</v>
      </c>
      <c r="I1492" s="24">
        <v>140971.81</v>
      </c>
      <c r="J1492" s="24">
        <v>131385.72</v>
      </c>
      <c r="K1492" s="3">
        <v>45982</v>
      </c>
      <c r="L1492" s="91">
        <v>45992</v>
      </c>
      <c r="M1492" s="5">
        <v>45993</v>
      </c>
      <c r="N1492" s="21" t="s">
        <v>588</v>
      </c>
      <c r="O1492" s="34"/>
      <c r="P1492" s="14"/>
      <c r="Q1492" t="str">
        <f>IFERROR(VLOOKUP(Tabela1[[#This Row],[CC]],CC!$A$1:$H$389,5,0),"")</f>
        <v>CSA</v>
      </c>
      <c r="R1492" t="str">
        <f>IFERROR(VLOOKUP(Tabela1[[#This Row],[CC]],CC!$A$1:$H$389,6,0),"")</f>
        <v>PS</v>
      </c>
      <c r="S1492" t="str">
        <f>IFERROR(VLOOKUP(Tabela1[[#This Row],[CC]],CC!$A$1:$H$403,8,0),"")</f>
        <v>OP4</v>
      </c>
      <c r="W1492" s="91"/>
    </row>
    <row r="1493" spans="1:23" x14ac:dyDescent="0.3">
      <c r="A1493" s="8">
        <v>1394</v>
      </c>
      <c r="B1493" s="8" t="str">
        <f>IFERROR(VLOOKUP(Tabela1[[#This Row],[CC]],#REF!,5,0),"")</f>
        <v/>
      </c>
      <c r="C1493" t="str">
        <f>IFERROR(VLOOKUP(Tabela1[[#This Row],[CC]],CC!$A$1:$H$389,7,0),"")</f>
        <v>ANTONIO ALVES</v>
      </c>
      <c r="D1493" t="str">
        <f>IFERROR(VLOOKUP(Tabela1[[#This Row],[CC]],CC!$A$1:$I$3869,3,0),"")</f>
        <v>SEFAZ_BA</v>
      </c>
      <c r="E1493" t="str">
        <f>IFERROR(VLOOKUP(Tabela1[[#This Row],[CC]],CC!$A$1:$H$389,2,0),"")</f>
        <v>SEFAZ - BA DIGITAL CENTER (1394)</v>
      </c>
      <c r="F1493" t="s">
        <v>586</v>
      </c>
      <c r="G1493" s="107">
        <v>8621</v>
      </c>
      <c r="H1493" s="12">
        <v>45931</v>
      </c>
      <c r="I1493" s="24">
        <v>313649.51</v>
      </c>
      <c r="J1493" s="24">
        <v>292321.34000000003</v>
      </c>
      <c r="K1493" s="3">
        <v>45985</v>
      </c>
      <c r="L1493" s="91">
        <v>45992</v>
      </c>
      <c r="M1493" s="5">
        <v>45995</v>
      </c>
      <c r="N1493" s="21" t="s">
        <v>588</v>
      </c>
      <c r="O1493" s="34"/>
      <c r="P1493" s="14"/>
      <c r="Q1493" t="str">
        <f>IFERROR(VLOOKUP(Tabela1[[#This Row],[CC]],CC!$A$1:$H$389,5,0),"")</f>
        <v>CSA</v>
      </c>
      <c r="R1493" t="str">
        <f>IFERROR(VLOOKUP(Tabela1[[#This Row],[CC]],CC!$A$1:$H$389,6,0),"")</f>
        <v>PS</v>
      </c>
      <c r="S1493" t="str">
        <f>IFERROR(VLOOKUP(Tabela1[[#This Row],[CC]],CC!$A$1:$H$403,8,0),"")</f>
        <v>OP4</v>
      </c>
      <c r="W1493" s="91"/>
    </row>
    <row r="1494" spans="1:23" x14ac:dyDescent="0.3">
      <c r="A1494" s="25">
        <v>1500</v>
      </c>
      <c r="B1494" s="25" t="str">
        <f>IFERROR(VLOOKUP(Tabela1[[#This Row],[CC]],#REF!,5,0),"")</f>
        <v/>
      </c>
      <c r="C1494" t="str">
        <f>IFERROR(VLOOKUP(Tabela1[[#This Row],[CC]],CC!$A$1:$H$389,7,0),"")</f>
        <v>RITA ANDRADE</v>
      </c>
      <c r="D1494" t="str">
        <f>IFERROR(VLOOKUP(Tabela1[[#This Row],[CC]],CC!$A$1:$I$3869,3,0),"")</f>
        <v>SERASA</v>
      </c>
      <c r="E1494" t="str">
        <f>IFERROR(VLOOKUP(Tabela1[[#This Row],[CC]],CC!$A$1:$H$389,2,0),"")</f>
        <v>SERASA (BPS) (1500)</v>
      </c>
      <c r="F1494" t="s">
        <v>586</v>
      </c>
      <c r="G1494" s="107">
        <v>4469</v>
      </c>
      <c r="H1494" s="12">
        <v>45931</v>
      </c>
      <c r="I1494" s="24">
        <v>17786.88</v>
      </c>
      <c r="J1494" s="27">
        <v>16692.990000000002</v>
      </c>
      <c r="K1494" s="3">
        <v>45954</v>
      </c>
      <c r="L1494" s="91">
        <v>45985</v>
      </c>
      <c r="M1494" s="11">
        <v>45987</v>
      </c>
      <c r="N1494" s="18" t="s">
        <v>588</v>
      </c>
      <c r="O1494" s="34"/>
      <c r="P1494"/>
      <c r="Q1494" t="str">
        <f>IFERROR(VLOOKUP(Tabela1[[#This Row],[CC]],CC!$A$1:$H$389,5,0),"")</f>
        <v>BPS</v>
      </c>
      <c r="R1494" t="str">
        <f>IFERROR(VLOOKUP(Tabela1[[#This Row],[CC]],CC!$A$1:$H$389,6,0),"")</f>
        <v>FS</v>
      </c>
      <c r="S1494" t="str">
        <f>IFERROR(VLOOKUP(Tabela1[[#This Row],[CC]],CC!$A$1:$H$403,8,0),"")</f>
        <v>OP1</v>
      </c>
      <c r="W1494" s="91"/>
    </row>
    <row r="1495" spans="1:23" x14ac:dyDescent="0.3">
      <c r="A1495" s="25">
        <v>1360</v>
      </c>
      <c r="B1495" s="25" t="str">
        <f>IFERROR(VLOOKUP(Tabela1[[#This Row],[CC]],#REF!,5,0),"")</f>
        <v/>
      </c>
      <c r="C1495" t="str">
        <f>IFERROR(VLOOKUP(Tabela1[[#This Row],[CC]],CC!$A$1:$H$389,7,0),"")</f>
        <v>RITA ANDRADE</v>
      </c>
      <c r="D1495" t="str">
        <f>IFERROR(VLOOKUP(Tabela1[[#This Row],[CC]],CC!$A$1:$I$3869,3,0),"")</f>
        <v>SERASA</v>
      </c>
      <c r="E1495" t="str">
        <f>IFERROR(VLOOKUP(Tabela1[[#This Row],[CC]],CC!$A$1:$H$389,2,0),"")</f>
        <v>SERASA EXPERIAN (1360)</v>
      </c>
      <c r="F1495" t="s">
        <v>586</v>
      </c>
      <c r="G1495" s="107">
        <v>4396</v>
      </c>
      <c r="H1495" s="12">
        <v>45931</v>
      </c>
      <c r="I1495" s="24">
        <v>27029.599999999999</v>
      </c>
      <c r="J1495" s="27">
        <v>25367.279999999999</v>
      </c>
      <c r="K1495" s="3">
        <v>45936</v>
      </c>
      <c r="L1495" s="91">
        <v>45985</v>
      </c>
      <c r="M1495" s="11">
        <v>45987</v>
      </c>
      <c r="N1495" s="18" t="s">
        <v>588</v>
      </c>
      <c r="O1495" s="34"/>
      <c r="P1495"/>
      <c r="Q1495" t="str">
        <f>IFERROR(VLOOKUP(Tabela1[[#This Row],[CC]],CC!$A$1:$H$389,5,0),"")</f>
        <v>ADS</v>
      </c>
      <c r="R1495" t="str">
        <f>IFERROR(VLOOKUP(Tabela1[[#This Row],[CC]],CC!$A$1:$H$389,6,0),"")</f>
        <v>FS</v>
      </c>
      <c r="S1495" t="str">
        <f>IFERROR(VLOOKUP(Tabela1[[#This Row],[CC]],CC!$A$1:$H$403,8,0),"")</f>
        <v>OP1</v>
      </c>
      <c r="W1495" s="91"/>
    </row>
    <row r="1496" spans="1:23" x14ac:dyDescent="0.3">
      <c r="A1496" s="25">
        <v>1360</v>
      </c>
      <c r="B1496" s="25" t="str">
        <f>IFERROR(VLOOKUP(Tabela1[[#This Row],[CC]],#REF!,5,0),"")</f>
        <v/>
      </c>
      <c r="C1496" t="str">
        <f>IFERROR(VLOOKUP(Tabela1[[#This Row],[CC]],CC!$A$1:$H$389,7,0),"")</f>
        <v>RITA ANDRADE</v>
      </c>
      <c r="D1496" t="str">
        <f>IFERROR(VLOOKUP(Tabela1[[#This Row],[CC]],CC!$A$1:$I$3869,3,0),"")</f>
        <v>SERASA</v>
      </c>
      <c r="E1496" t="str">
        <f>IFERROR(VLOOKUP(Tabela1[[#This Row],[CC]],CC!$A$1:$H$389,2,0),"")</f>
        <v>SERASA EXPERIAN (1360)</v>
      </c>
      <c r="F1496" t="s">
        <v>586</v>
      </c>
      <c r="G1496" s="107">
        <v>4397</v>
      </c>
      <c r="H1496" s="12">
        <v>45931</v>
      </c>
      <c r="I1496" s="24">
        <v>160817.84</v>
      </c>
      <c r="J1496" s="27">
        <v>150927.53</v>
      </c>
      <c r="K1496" s="3">
        <v>45936</v>
      </c>
      <c r="L1496" s="91">
        <v>45985</v>
      </c>
      <c r="M1496" s="11">
        <v>45987</v>
      </c>
      <c r="N1496" s="18" t="s">
        <v>588</v>
      </c>
      <c r="O1496" s="34"/>
      <c r="P1496"/>
      <c r="Q1496" t="str">
        <f>IFERROR(VLOOKUP(Tabela1[[#This Row],[CC]],CC!$A$1:$H$389,5,0),"")</f>
        <v>ADS</v>
      </c>
      <c r="R1496" t="str">
        <f>IFERROR(VLOOKUP(Tabela1[[#This Row],[CC]],CC!$A$1:$H$389,6,0),"")</f>
        <v>FS</v>
      </c>
      <c r="S1496" t="str">
        <f>IFERROR(VLOOKUP(Tabela1[[#This Row],[CC]],CC!$A$1:$H$403,8,0),"")</f>
        <v>OP1</v>
      </c>
      <c r="W1496" s="91"/>
    </row>
    <row r="1497" spans="1:23" x14ac:dyDescent="0.3">
      <c r="A1497" s="25">
        <v>1360</v>
      </c>
      <c r="B1497" s="25" t="str">
        <f>IFERROR(VLOOKUP(Tabela1[[#This Row],[CC]],#REF!,5,0),"")</f>
        <v/>
      </c>
      <c r="C1497" t="str">
        <f>IFERROR(VLOOKUP(Tabela1[[#This Row],[CC]],CC!$A$1:$H$389,7,0),"")</f>
        <v>RITA ANDRADE</v>
      </c>
      <c r="D1497" t="str">
        <f>IFERROR(VLOOKUP(Tabela1[[#This Row],[CC]],CC!$A$1:$I$3869,3,0),"")</f>
        <v>SERASA</v>
      </c>
      <c r="E1497" t="str">
        <f>IFERROR(VLOOKUP(Tabela1[[#This Row],[CC]],CC!$A$1:$H$389,2,0),"")</f>
        <v>SERASA EXPERIAN (1360)</v>
      </c>
      <c r="F1497" t="s">
        <v>586</v>
      </c>
      <c r="G1497" s="107">
        <v>4447</v>
      </c>
      <c r="H1497" s="12">
        <v>45931</v>
      </c>
      <c r="I1497" s="24">
        <v>44693.599999999999</v>
      </c>
      <c r="J1497" s="27">
        <v>41944.94</v>
      </c>
      <c r="K1497" s="3">
        <v>45952</v>
      </c>
      <c r="L1497" s="91">
        <v>45985</v>
      </c>
      <c r="M1497" s="11">
        <v>45987</v>
      </c>
      <c r="N1497" s="18" t="s">
        <v>588</v>
      </c>
      <c r="O1497" s="34"/>
      <c r="P1497"/>
      <c r="Q1497" t="str">
        <f>IFERROR(VLOOKUP(Tabela1[[#This Row],[CC]],CC!$A$1:$H$389,5,0),"")</f>
        <v>ADS</v>
      </c>
      <c r="R1497" t="str">
        <f>IFERROR(VLOOKUP(Tabela1[[#This Row],[CC]],CC!$A$1:$H$389,6,0),"")</f>
        <v>FS</v>
      </c>
      <c r="S1497" t="str">
        <f>IFERROR(VLOOKUP(Tabela1[[#This Row],[CC]],CC!$A$1:$H$403,8,0),"")</f>
        <v>OP1</v>
      </c>
      <c r="W1497" s="91"/>
    </row>
    <row r="1498" spans="1:23" x14ac:dyDescent="0.3">
      <c r="A1498" s="25">
        <v>1360</v>
      </c>
      <c r="B1498" s="25" t="str">
        <f>IFERROR(VLOOKUP(Tabela1[[#This Row],[CC]],#REF!,5,0),"")</f>
        <v/>
      </c>
      <c r="C1498" t="str">
        <f>IFERROR(VLOOKUP(Tabela1[[#This Row],[CC]],CC!$A$1:$H$389,7,0),"")</f>
        <v>RITA ANDRADE</v>
      </c>
      <c r="D1498" t="str">
        <f>IFERROR(VLOOKUP(Tabela1[[#This Row],[CC]],CC!$A$1:$I$3869,3,0),"")</f>
        <v>SERASA</v>
      </c>
      <c r="E1498" t="str">
        <f>IFERROR(VLOOKUP(Tabela1[[#This Row],[CC]],CC!$A$1:$H$389,2,0),"")</f>
        <v>SERASA EXPERIAN (1360)</v>
      </c>
      <c r="F1498" t="s">
        <v>586</v>
      </c>
      <c r="G1498" s="107">
        <v>4448</v>
      </c>
      <c r="H1498" s="12">
        <v>45931</v>
      </c>
      <c r="I1498" s="24">
        <v>204269.12</v>
      </c>
      <c r="J1498" s="27">
        <v>191706.57</v>
      </c>
      <c r="K1498" s="3">
        <v>45952</v>
      </c>
      <c r="L1498" s="91">
        <v>45985</v>
      </c>
      <c r="M1498" s="11">
        <v>45987</v>
      </c>
      <c r="N1498" s="18" t="s">
        <v>588</v>
      </c>
      <c r="O1498" s="34"/>
      <c r="P1498"/>
      <c r="Q1498" t="str">
        <f>IFERROR(VLOOKUP(Tabela1[[#This Row],[CC]],CC!$A$1:$H$389,5,0),"")</f>
        <v>ADS</v>
      </c>
      <c r="R1498" t="str">
        <f>IFERROR(VLOOKUP(Tabela1[[#This Row],[CC]],CC!$A$1:$H$389,6,0),"")</f>
        <v>FS</v>
      </c>
      <c r="S1498" t="str">
        <f>IFERROR(VLOOKUP(Tabela1[[#This Row],[CC]],CC!$A$1:$H$403,8,0),"")</f>
        <v>OP1</v>
      </c>
      <c r="W1498" s="91"/>
    </row>
    <row r="1499" spans="1:23" x14ac:dyDescent="0.3">
      <c r="A1499" s="25">
        <v>1360</v>
      </c>
      <c r="B1499" s="25" t="str">
        <f>IFERROR(VLOOKUP(Tabela1[[#This Row],[CC]],#REF!,5,0),"")</f>
        <v/>
      </c>
      <c r="C1499" t="str">
        <f>IFERROR(VLOOKUP(Tabela1[[#This Row],[CC]],CC!$A$1:$H$389,7,0),"")</f>
        <v>RITA ANDRADE</v>
      </c>
      <c r="D1499" t="str">
        <f>IFERROR(VLOOKUP(Tabela1[[#This Row],[CC]],CC!$A$1:$I$3869,3,0),"")</f>
        <v>SERASA</v>
      </c>
      <c r="E1499" t="str">
        <f>IFERROR(VLOOKUP(Tabela1[[#This Row],[CC]],CC!$A$1:$H$389,2,0),"")</f>
        <v>SERASA EXPERIAN (1360)</v>
      </c>
      <c r="F1499" t="s">
        <v>586</v>
      </c>
      <c r="G1499" s="107">
        <v>4449</v>
      </c>
      <c r="H1499" s="12">
        <v>45931</v>
      </c>
      <c r="I1499" s="24">
        <v>58910.720000000001</v>
      </c>
      <c r="J1499" s="27">
        <v>55287.71</v>
      </c>
      <c r="K1499" s="3">
        <v>45952</v>
      </c>
      <c r="L1499" s="91">
        <v>45985</v>
      </c>
      <c r="M1499" s="11">
        <v>45987</v>
      </c>
      <c r="N1499" s="18" t="s">
        <v>588</v>
      </c>
      <c r="O1499" s="34"/>
      <c r="P1499"/>
      <c r="Q1499" t="str">
        <f>IFERROR(VLOOKUP(Tabela1[[#This Row],[CC]],CC!$A$1:$H$389,5,0),"")</f>
        <v>ADS</v>
      </c>
      <c r="R1499" t="str">
        <f>IFERROR(VLOOKUP(Tabela1[[#This Row],[CC]],CC!$A$1:$H$389,6,0),"")</f>
        <v>FS</v>
      </c>
      <c r="S1499" t="str">
        <f>IFERROR(VLOOKUP(Tabela1[[#This Row],[CC]],CC!$A$1:$H$403,8,0),"")</f>
        <v>OP1</v>
      </c>
      <c r="W1499" s="91"/>
    </row>
    <row r="1500" spans="1:23" x14ac:dyDescent="0.3">
      <c r="A1500" s="25">
        <v>1360</v>
      </c>
      <c r="B1500" s="25" t="str">
        <f>IFERROR(VLOOKUP(Tabela1[[#This Row],[CC]],#REF!,5,0),"")</f>
        <v/>
      </c>
      <c r="C1500" t="str">
        <f>IFERROR(VLOOKUP(Tabela1[[#This Row],[CC]],CC!$A$1:$H$389,7,0),"")</f>
        <v>RITA ANDRADE</v>
      </c>
      <c r="D1500" t="str">
        <f>IFERROR(VLOOKUP(Tabela1[[#This Row],[CC]],CC!$A$1:$I$3869,3,0),"")</f>
        <v>SERASA</v>
      </c>
      <c r="E1500" t="str">
        <f>IFERROR(VLOOKUP(Tabela1[[#This Row],[CC]],CC!$A$1:$H$389,2,0),"")</f>
        <v>SERASA EXPERIAN (1360)</v>
      </c>
      <c r="F1500" t="s">
        <v>586</v>
      </c>
      <c r="G1500" s="107">
        <v>4450</v>
      </c>
      <c r="H1500" s="12">
        <v>45931</v>
      </c>
      <c r="I1500" s="24">
        <v>24360</v>
      </c>
      <c r="J1500" s="27">
        <v>22861.86</v>
      </c>
      <c r="K1500" s="3">
        <v>45952</v>
      </c>
      <c r="L1500" s="91">
        <v>45999</v>
      </c>
      <c r="M1500" s="11">
        <v>46001</v>
      </c>
      <c r="N1500" s="18" t="s">
        <v>588</v>
      </c>
      <c r="O1500" s="34"/>
      <c r="P1500"/>
      <c r="Q1500" t="str">
        <f>IFERROR(VLOOKUP(Tabela1[[#This Row],[CC]],CC!$A$1:$H$389,5,0),"")</f>
        <v>ADS</v>
      </c>
      <c r="R1500" t="str">
        <f>IFERROR(VLOOKUP(Tabela1[[#This Row],[CC]],CC!$A$1:$H$389,6,0),"")</f>
        <v>FS</v>
      </c>
      <c r="S1500" t="str">
        <f>IFERROR(VLOOKUP(Tabela1[[#This Row],[CC]],CC!$A$1:$H$403,8,0),"")</f>
        <v>OP1</v>
      </c>
      <c r="W1500" s="91"/>
    </row>
    <row r="1501" spans="1:23" x14ac:dyDescent="0.3">
      <c r="A1501" s="25">
        <v>1360</v>
      </c>
      <c r="B1501" s="25" t="str">
        <f>IFERROR(VLOOKUP(Tabela1[[#This Row],[CC]],#REF!,5,0),"")</f>
        <v/>
      </c>
      <c r="C1501" t="str">
        <f>IFERROR(VLOOKUP(Tabela1[[#This Row],[CC]],CC!$A$1:$H$389,7,0),"")</f>
        <v>RITA ANDRADE</v>
      </c>
      <c r="D1501" t="str">
        <f>IFERROR(VLOOKUP(Tabela1[[#This Row],[CC]],CC!$A$1:$I$3869,3,0),"")</f>
        <v>SERASA</v>
      </c>
      <c r="E1501" t="str">
        <f>IFERROR(VLOOKUP(Tabela1[[#This Row],[CC]],CC!$A$1:$H$389,2,0),"")</f>
        <v>SERASA EXPERIAN (1360)</v>
      </c>
      <c r="F1501" t="s">
        <v>586</v>
      </c>
      <c r="G1501" s="107">
        <v>4452</v>
      </c>
      <c r="H1501" s="12">
        <v>45931</v>
      </c>
      <c r="I1501" s="24">
        <v>26224</v>
      </c>
      <c r="J1501" s="27">
        <v>24611.22</v>
      </c>
      <c r="K1501" s="3">
        <v>45952</v>
      </c>
      <c r="L1501" s="91">
        <v>45985</v>
      </c>
      <c r="M1501" s="11">
        <v>45987</v>
      </c>
      <c r="N1501" s="18" t="s">
        <v>588</v>
      </c>
      <c r="O1501" s="34"/>
      <c r="P1501"/>
      <c r="Q1501" t="str">
        <f>IFERROR(VLOOKUP(Tabela1[[#This Row],[CC]],CC!$A$1:$H$389,5,0),"")</f>
        <v>ADS</v>
      </c>
      <c r="R1501" t="str">
        <f>IFERROR(VLOOKUP(Tabela1[[#This Row],[CC]],CC!$A$1:$H$389,6,0),"")</f>
        <v>FS</v>
      </c>
      <c r="S1501" t="str">
        <f>IFERROR(VLOOKUP(Tabela1[[#This Row],[CC]],CC!$A$1:$H$403,8,0),"")</f>
        <v>OP1</v>
      </c>
      <c r="W1501" s="91"/>
    </row>
    <row r="1502" spans="1:23" x14ac:dyDescent="0.3">
      <c r="A1502" s="25">
        <v>1360</v>
      </c>
      <c r="B1502" s="25" t="str">
        <f>IFERROR(VLOOKUP(Tabela1[[#This Row],[CC]],#REF!,5,0),"")</f>
        <v/>
      </c>
      <c r="C1502" t="str">
        <f>IFERROR(VLOOKUP(Tabela1[[#This Row],[CC]],CC!$A$1:$H$389,7,0),"")</f>
        <v>RITA ANDRADE</v>
      </c>
      <c r="D1502" t="str">
        <f>IFERROR(VLOOKUP(Tabela1[[#This Row],[CC]],CC!$A$1:$I$3869,3,0),"")</f>
        <v>SERASA</v>
      </c>
      <c r="E1502" t="str">
        <f>IFERROR(VLOOKUP(Tabela1[[#This Row],[CC]],CC!$A$1:$H$389,2,0),"")</f>
        <v>SERASA EXPERIAN (1360)</v>
      </c>
      <c r="F1502" t="s">
        <v>586</v>
      </c>
      <c r="G1502" s="107">
        <v>4453</v>
      </c>
      <c r="H1502" s="12">
        <v>45931</v>
      </c>
      <c r="I1502" s="24">
        <v>87403.66</v>
      </c>
      <c r="J1502" s="27">
        <v>82028.34</v>
      </c>
      <c r="K1502" s="3">
        <v>45952</v>
      </c>
      <c r="L1502" s="91">
        <v>45985</v>
      </c>
      <c r="M1502" s="11">
        <v>45987</v>
      </c>
      <c r="N1502" s="18" t="s">
        <v>588</v>
      </c>
      <c r="O1502" s="34"/>
      <c r="P1502"/>
      <c r="Q1502" t="str">
        <f>IFERROR(VLOOKUP(Tabela1[[#This Row],[CC]],CC!$A$1:$H$389,5,0),"")</f>
        <v>ADS</v>
      </c>
      <c r="R1502" t="str">
        <f>IFERROR(VLOOKUP(Tabela1[[#This Row],[CC]],CC!$A$1:$H$389,6,0),"")</f>
        <v>FS</v>
      </c>
      <c r="S1502" t="str">
        <f>IFERROR(VLOOKUP(Tabela1[[#This Row],[CC]],CC!$A$1:$H$403,8,0),"")</f>
        <v>OP1</v>
      </c>
      <c r="W1502" s="91"/>
    </row>
    <row r="1503" spans="1:23" x14ac:dyDescent="0.3">
      <c r="A1503" s="25">
        <v>1360</v>
      </c>
      <c r="B1503" s="25" t="str">
        <f>IFERROR(VLOOKUP(Tabela1[[#This Row],[CC]],#REF!,5,0),"")</f>
        <v/>
      </c>
      <c r="C1503" t="str">
        <f>IFERROR(VLOOKUP(Tabela1[[#This Row],[CC]],CC!$A$1:$H$389,7,0),"")</f>
        <v>RITA ANDRADE</v>
      </c>
      <c r="D1503" t="str">
        <f>IFERROR(VLOOKUP(Tabela1[[#This Row],[CC]],CC!$A$1:$I$3869,3,0),"")</f>
        <v>SERASA</v>
      </c>
      <c r="E1503" t="str">
        <f>IFERROR(VLOOKUP(Tabela1[[#This Row],[CC]],CC!$A$1:$H$389,2,0),"")</f>
        <v>SERASA EXPERIAN (1360)</v>
      </c>
      <c r="F1503" t="s">
        <v>586</v>
      </c>
      <c r="G1503" s="107">
        <v>4454</v>
      </c>
      <c r="H1503" s="12">
        <v>45931</v>
      </c>
      <c r="I1503" s="24">
        <v>67040.399999999994</v>
      </c>
      <c r="J1503" s="27">
        <v>62917.42</v>
      </c>
      <c r="K1503" s="3">
        <v>45952</v>
      </c>
      <c r="L1503" s="91">
        <v>45985</v>
      </c>
      <c r="M1503" s="11">
        <v>45987</v>
      </c>
      <c r="N1503" s="18" t="s">
        <v>588</v>
      </c>
      <c r="O1503" s="34"/>
      <c r="P1503"/>
      <c r="Q1503" t="str">
        <f>IFERROR(VLOOKUP(Tabela1[[#This Row],[CC]],CC!$A$1:$H$389,5,0),"")</f>
        <v>ADS</v>
      </c>
      <c r="R1503" t="str">
        <f>IFERROR(VLOOKUP(Tabela1[[#This Row],[CC]],CC!$A$1:$H$389,6,0),"")</f>
        <v>FS</v>
      </c>
      <c r="S1503" t="str">
        <f>IFERROR(VLOOKUP(Tabela1[[#This Row],[CC]],CC!$A$1:$H$403,8,0),"")</f>
        <v>OP1</v>
      </c>
      <c r="W1503" s="91"/>
    </row>
    <row r="1504" spans="1:23" x14ac:dyDescent="0.3">
      <c r="A1504" s="25">
        <v>1360</v>
      </c>
      <c r="B1504" s="25" t="str">
        <f>IFERROR(VLOOKUP(Tabela1[[#This Row],[CC]],#REF!,5,0),"")</f>
        <v/>
      </c>
      <c r="C1504" t="str">
        <f>IFERROR(VLOOKUP(Tabela1[[#This Row],[CC]],CC!$A$1:$H$389,7,0),"")</f>
        <v>RITA ANDRADE</v>
      </c>
      <c r="D1504" t="str">
        <f>IFERROR(VLOOKUP(Tabela1[[#This Row],[CC]],CC!$A$1:$I$3869,3,0),"")</f>
        <v>SERASA</v>
      </c>
      <c r="E1504" t="str">
        <f>IFERROR(VLOOKUP(Tabela1[[#This Row],[CC]],CC!$A$1:$H$389,2,0),"")</f>
        <v>SERASA EXPERIAN (1360)</v>
      </c>
      <c r="F1504" t="s">
        <v>586</v>
      </c>
      <c r="G1504" s="107">
        <v>4457</v>
      </c>
      <c r="H1504" s="12">
        <v>45931</v>
      </c>
      <c r="I1504" s="24">
        <v>75559.600000000006</v>
      </c>
      <c r="J1504" s="27">
        <v>70912.679999999993</v>
      </c>
      <c r="K1504" s="3">
        <v>45952</v>
      </c>
      <c r="L1504" s="91">
        <v>45985</v>
      </c>
      <c r="M1504" s="11">
        <v>45987</v>
      </c>
      <c r="N1504" s="18" t="s">
        <v>588</v>
      </c>
      <c r="O1504" s="34"/>
      <c r="P1504"/>
      <c r="Q1504" t="str">
        <f>IFERROR(VLOOKUP(Tabela1[[#This Row],[CC]],CC!$A$1:$H$389,5,0),"")</f>
        <v>ADS</v>
      </c>
      <c r="R1504" t="str">
        <f>IFERROR(VLOOKUP(Tabela1[[#This Row],[CC]],CC!$A$1:$H$389,6,0),"")</f>
        <v>FS</v>
      </c>
      <c r="S1504" t="str">
        <f>IFERROR(VLOOKUP(Tabela1[[#This Row],[CC]],CC!$A$1:$H$403,8,0),"")</f>
        <v>OP1</v>
      </c>
      <c r="W1504" s="91"/>
    </row>
    <row r="1505" spans="1:23" x14ac:dyDescent="0.3">
      <c r="A1505" s="25">
        <v>1360</v>
      </c>
      <c r="B1505" s="25" t="str">
        <f>IFERROR(VLOOKUP(Tabela1[[#This Row],[CC]],#REF!,5,0),"")</f>
        <v/>
      </c>
      <c r="C1505" t="str">
        <f>IFERROR(VLOOKUP(Tabela1[[#This Row],[CC]],CC!$A$1:$H$389,7,0),"")</f>
        <v>RITA ANDRADE</v>
      </c>
      <c r="D1505" t="str">
        <f>IFERROR(VLOOKUP(Tabela1[[#This Row],[CC]],CC!$A$1:$I$3869,3,0),"")</f>
        <v>SERASA</v>
      </c>
      <c r="E1505" t="str">
        <f>IFERROR(VLOOKUP(Tabela1[[#This Row],[CC]],CC!$A$1:$H$389,2,0),"")</f>
        <v>SERASA EXPERIAN (1360)</v>
      </c>
      <c r="F1505" t="s">
        <v>586</v>
      </c>
      <c r="G1505" s="107">
        <v>4459</v>
      </c>
      <c r="H1505" s="12">
        <v>45931</v>
      </c>
      <c r="I1505" s="24">
        <v>30157.599999999999</v>
      </c>
      <c r="J1505" s="27">
        <v>28302.91</v>
      </c>
      <c r="K1505" s="3">
        <v>45952</v>
      </c>
      <c r="L1505" s="91">
        <v>45985</v>
      </c>
      <c r="M1505" s="11">
        <v>45987</v>
      </c>
      <c r="N1505" s="18" t="s">
        <v>588</v>
      </c>
      <c r="O1505" s="34"/>
      <c r="P1505"/>
      <c r="Q1505" t="str">
        <f>IFERROR(VLOOKUP(Tabela1[[#This Row],[CC]],CC!$A$1:$H$389,5,0),"")</f>
        <v>ADS</v>
      </c>
      <c r="R1505" t="str">
        <f>IFERROR(VLOOKUP(Tabela1[[#This Row],[CC]],CC!$A$1:$H$389,6,0),"")</f>
        <v>FS</v>
      </c>
      <c r="S1505" t="str">
        <f>IFERROR(VLOOKUP(Tabela1[[#This Row],[CC]],CC!$A$1:$H$403,8,0),"")</f>
        <v>OP1</v>
      </c>
      <c r="W1505" s="91"/>
    </row>
    <row r="1506" spans="1:23" x14ac:dyDescent="0.3">
      <c r="A1506" s="25">
        <v>1360</v>
      </c>
      <c r="B1506" s="25" t="str">
        <f>IFERROR(VLOOKUP(Tabela1[[#This Row],[CC]],#REF!,5,0),"")</f>
        <v/>
      </c>
      <c r="C1506" t="str">
        <f>IFERROR(VLOOKUP(Tabela1[[#This Row],[CC]],CC!$A$1:$H$389,7,0),"")</f>
        <v>RITA ANDRADE</v>
      </c>
      <c r="D1506" t="str">
        <f>IFERROR(VLOOKUP(Tabela1[[#This Row],[CC]],CC!$A$1:$I$3869,3,0),"")</f>
        <v>SERASA</v>
      </c>
      <c r="E1506" t="str">
        <f>IFERROR(VLOOKUP(Tabela1[[#This Row],[CC]],CC!$A$1:$H$389,2,0),"")</f>
        <v>SERASA EXPERIAN (1360)</v>
      </c>
      <c r="F1506" t="s">
        <v>586</v>
      </c>
      <c r="G1506" s="107">
        <v>4460</v>
      </c>
      <c r="H1506" s="12">
        <v>45931</v>
      </c>
      <c r="I1506" s="24">
        <v>29703.119999999999</v>
      </c>
      <c r="J1506" s="27">
        <v>27876.38</v>
      </c>
      <c r="K1506" s="3">
        <v>45952</v>
      </c>
      <c r="L1506" s="91">
        <v>45985</v>
      </c>
      <c r="M1506" s="11">
        <v>45987</v>
      </c>
      <c r="N1506" s="18" t="s">
        <v>588</v>
      </c>
      <c r="O1506" s="34"/>
      <c r="P1506"/>
      <c r="Q1506" t="str">
        <f>IFERROR(VLOOKUP(Tabela1[[#This Row],[CC]],CC!$A$1:$H$389,5,0),"")</f>
        <v>ADS</v>
      </c>
      <c r="R1506" t="str">
        <f>IFERROR(VLOOKUP(Tabela1[[#This Row],[CC]],CC!$A$1:$H$389,6,0),"")</f>
        <v>FS</v>
      </c>
      <c r="S1506" t="str">
        <f>IFERROR(VLOOKUP(Tabela1[[#This Row],[CC]],CC!$A$1:$H$403,8,0),"")</f>
        <v>OP1</v>
      </c>
      <c r="W1506" s="91"/>
    </row>
    <row r="1507" spans="1:23" x14ac:dyDescent="0.3">
      <c r="A1507" s="25">
        <v>1360</v>
      </c>
      <c r="B1507" s="25" t="str">
        <f>IFERROR(VLOOKUP(Tabela1[[#This Row],[CC]],#REF!,5,0),"")</f>
        <v/>
      </c>
      <c r="C1507" t="str">
        <f>IFERROR(VLOOKUP(Tabela1[[#This Row],[CC]],CC!$A$1:$H$389,7,0),"")</f>
        <v>RITA ANDRADE</v>
      </c>
      <c r="D1507" t="str">
        <f>IFERROR(VLOOKUP(Tabela1[[#This Row],[CC]],CC!$A$1:$I$3869,3,0),"")</f>
        <v>SERASA</v>
      </c>
      <c r="E1507" t="str">
        <f>IFERROR(VLOOKUP(Tabela1[[#This Row],[CC]],CC!$A$1:$H$389,2,0),"")</f>
        <v>SERASA EXPERIAN (1360)</v>
      </c>
      <c r="F1507" t="s">
        <v>586</v>
      </c>
      <c r="G1507" s="107">
        <v>4461</v>
      </c>
      <c r="H1507" s="12">
        <v>45931</v>
      </c>
      <c r="I1507" s="24">
        <v>21264</v>
      </c>
      <c r="J1507" s="27">
        <v>19956.259999999998</v>
      </c>
      <c r="K1507" s="3">
        <v>45952</v>
      </c>
      <c r="L1507" s="91">
        <v>45985</v>
      </c>
      <c r="M1507" s="11">
        <v>45987</v>
      </c>
      <c r="N1507" s="18" t="s">
        <v>588</v>
      </c>
      <c r="O1507" s="34"/>
      <c r="P1507"/>
      <c r="Q1507" t="str">
        <f>IFERROR(VLOOKUP(Tabela1[[#This Row],[CC]],CC!$A$1:$H$389,5,0),"")</f>
        <v>ADS</v>
      </c>
      <c r="R1507" t="str">
        <f>IFERROR(VLOOKUP(Tabela1[[#This Row],[CC]],CC!$A$1:$H$389,6,0),"")</f>
        <v>FS</v>
      </c>
      <c r="S1507" t="str">
        <f>IFERROR(VLOOKUP(Tabela1[[#This Row],[CC]],CC!$A$1:$H$403,8,0),"")</f>
        <v>OP1</v>
      </c>
      <c r="W1507" s="91"/>
    </row>
    <row r="1508" spans="1:23" x14ac:dyDescent="0.3">
      <c r="A1508" s="25">
        <v>1360</v>
      </c>
      <c r="B1508" s="25" t="str">
        <f>IFERROR(VLOOKUP(Tabela1[[#This Row],[CC]],#REF!,5,0),"")</f>
        <v/>
      </c>
      <c r="C1508" t="str">
        <f>IFERROR(VLOOKUP(Tabela1[[#This Row],[CC]],CC!$A$1:$H$389,7,0),"")</f>
        <v>RITA ANDRADE</v>
      </c>
      <c r="D1508" t="str">
        <f>IFERROR(VLOOKUP(Tabela1[[#This Row],[CC]],CC!$A$1:$I$3869,3,0),"")</f>
        <v>SERASA</v>
      </c>
      <c r="E1508" t="str">
        <f>IFERROR(VLOOKUP(Tabela1[[#This Row],[CC]],CC!$A$1:$H$389,2,0),"")</f>
        <v>SERASA EXPERIAN (1360)</v>
      </c>
      <c r="F1508" t="s">
        <v>586</v>
      </c>
      <c r="G1508" s="107">
        <v>4462</v>
      </c>
      <c r="H1508" s="12">
        <v>45931</v>
      </c>
      <c r="I1508" s="24">
        <v>72500</v>
      </c>
      <c r="J1508" s="27">
        <v>68041.25</v>
      </c>
      <c r="K1508" s="3">
        <v>45952</v>
      </c>
      <c r="L1508" s="91">
        <v>45985</v>
      </c>
      <c r="M1508" s="11">
        <v>45987</v>
      </c>
      <c r="N1508" s="18" t="s">
        <v>588</v>
      </c>
      <c r="O1508" s="34"/>
      <c r="P1508"/>
      <c r="Q1508" t="str">
        <f>IFERROR(VLOOKUP(Tabela1[[#This Row],[CC]],CC!$A$1:$H$389,5,0),"")</f>
        <v>ADS</v>
      </c>
      <c r="R1508" t="str">
        <f>IFERROR(VLOOKUP(Tabela1[[#This Row],[CC]],CC!$A$1:$H$389,6,0),"")</f>
        <v>FS</v>
      </c>
      <c r="S1508" t="str">
        <f>IFERROR(VLOOKUP(Tabela1[[#This Row],[CC]],CC!$A$1:$H$403,8,0),"")</f>
        <v>OP1</v>
      </c>
      <c r="W1508" s="91"/>
    </row>
    <row r="1509" spans="1:23" x14ac:dyDescent="0.3">
      <c r="A1509" s="25">
        <v>1360</v>
      </c>
      <c r="B1509" s="25" t="str">
        <f>IFERROR(VLOOKUP(Tabela1[[#This Row],[CC]],#REF!,5,0),"")</f>
        <v/>
      </c>
      <c r="C1509" t="str">
        <f>IFERROR(VLOOKUP(Tabela1[[#This Row],[CC]],CC!$A$1:$H$389,7,0),"")</f>
        <v>RITA ANDRADE</v>
      </c>
      <c r="D1509" t="str">
        <f>IFERROR(VLOOKUP(Tabela1[[#This Row],[CC]],CC!$A$1:$I$3869,3,0),"")</f>
        <v>SERASA</v>
      </c>
      <c r="E1509" t="str">
        <f>IFERROR(VLOOKUP(Tabela1[[#This Row],[CC]],CC!$A$1:$H$389,2,0),"")</f>
        <v>SERASA EXPERIAN (1360)</v>
      </c>
      <c r="F1509" t="s">
        <v>586</v>
      </c>
      <c r="G1509" s="107">
        <v>4463</v>
      </c>
      <c r="H1509" s="12">
        <v>45931</v>
      </c>
      <c r="I1509" s="24">
        <v>157629.12</v>
      </c>
      <c r="J1509" s="27">
        <v>147934.93</v>
      </c>
      <c r="K1509" s="3">
        <v>45953</v>
      </c>
      <c r="L1509" s="91">
        <v>45985</v>
      </c>
      <c r="M1509" s="11">
        <v>45987</v>
      </c>
      <c r="N1509" s="18" t="s">
        <v>588</v>
      </c>
      <c r="O1509" s="34"/>
      <c r="P1509"/>
      <c r="Q1509" t="str">
        <f>IFERROR(VLOOKUP(Tabela1[[#This Row],[CC]],CC!$A$1:$H$389,5,0),"")</f>
        <v>ADS</v>
      </c>
      <c r="R1509" t="str">
        <f>IFERROR(VLOOKUP(Tabela1[[#This Row],[CC]],CC!$A$1:$H$389,6,0),"")</f>
        <v>FS</v>
      </c>
      <c r="S1509" t="str">
        <f>IFERROR(VLOOKUP(Tabela1[[#This Row],[CC]],CC!$A$1:$H$403,8,0),"")</f>
        <v>OP1</v>
      </c>
      <c r="W1509" s="91"/>
    </row>
    <row r="1510" spans="1:23" x14ac:dyDescent="0.3">
      <c r="A1510" s="25">
        <v>1360</v>
      </c>
      <c r="B1510" s="25" t="str">
        <f>IFERROR(VLOOKUP(Tabela1[[#This Row],[CC]],#REF!,5,0),"")</f>
        <v/>
      </c>
      <c r="C1510" t="str">
        <f>IFERROR(VLOOKUP(Tabela1[[#This Row],[CC]],CC!$A$1:$H$389,7,0),"")</f>
        <v>RITA ANDRADE</v>
      </c>
      <c r="D1510" t="str">
        <f>IFERROR(VLOOKUP(Tabela1[[#This Row],[CC]],CC!$A$1:$I$3869,3,0),"")</f>
        <v>SERASA</v>
      </c>
      <c r="E1510" t="str">
        <f>IFERROR(VLOOKUP(Tabela1[[#This Row],[CC]],CC!$A$1:$H$389,2,0),"")</f>
        <v>SERASA EXPERIAN (1360)</v>
      </c>
      <c r="F1510" t="s">
        <v>586</v>
      </c>
      <c r="G1510" s="107">
        <v>4464</v>
      </c>
      <c r="H1510" s="12">
        <v>45931</v>
      </c>
      <c r="I1510" s="24">
        <v>35512</v>
      </c>
      <c r="J1510" s="27">
        <v>33328.01</v>
      </c>
      <c r="K1510" s="3">
        <v>45954</v>
      </c>
      <c r="L1510" s="91">
        <v>45985</v>
      </c>
      <c r="M1510" s="11">
        <v>45987</v>
      </c>
      <c r="N1510" s="18" t="s">
        <v>588</v>
      </c>
      <c r="O1510" s="34"/>
      <c r="P1510"/>
      <c r="Q1510" t="str">
        <f>IFERROR(VLOOKUP(Tabela1[[#This Row],[CC]],CC!$A$1:$H$389,5,0),"")</f>
        <v>ADS</v>
      </c>
      <c r="R1510" t="str">
        <f>IFERROR(VLOOKUP(Tabela1[[#This Row],[CC]],CC!$A$1:$H$389,6,0),"")</f>
        <v>FS</v>
      </c>
      <c r="S1510" t="str">
        <f>IFERROR(VLOOKUP(Tabela1[[#This Row],[CC]],CC!$A$1:$H$403,8,0),"")</f>
        <v>OP1</v>
      </c>
      <c r="W1510" s="91"/>
    </row>
    <row r="1511" spans="1:23" x14ac:dyDescent="0.3">
      <c r="A1511" s="25">
        <v>1360</v>
      </c>
      <c r="B1511" s="25" t="str">
        <f>IFERROR(VLOOKUP(Tabela1[[#This Row],[CC]],#REF!,5,0),"")</f>
        <v/>
      </c>
      <c r="C1511" t="str">
        <f>IFERROR(VLOOKUP(Tabela1[[#This Row],[CC]],CC!$A$1:$H$389,7,0),"")</f>
        <v>RITA ANDRADE</v>
      </c>
      <c r="D1511" t="str">
        <f>IFERROR(VLOOKUP(Tabela1[[#This Row],[CC]],CC!$A$1:$I$3869,3,0),"")</f>
        <v>SERASA</v>
      </c>
      <c r="E1511" t="str">
        <f>IFERROR(VLOOKUP(Tabela1[[#This Row],[CC]],CC!$A$1:$H$389,2,0),"")</f>
        <v>SERASA EXPERIAN (1360)</v>
      </c>
      <c r="F1511" t="s">
        <v>586</v>
      </c>
      <c r="G1511" s="107">
        <v>4465</v>
      </c>
      <c r="H1511" s="12">
        <v>45931</v>
      </c>
      <c r="I1511" s="24">
        <v>35512</v>
      </c>
      <c r="J1511" s="27">
        <v>33328.01</v>
      </c>
      <c r="K1511" s="3">
        <v>45954</v>
      </c>
      <c r="L1511" s="91">
        <v>45985</v>
      </c>
      <c r="M1511" s="11">
        <v>45987</v>
      </c>
      <c r="N1511" s="18" t="s">
        <v>588</v>
      </c>
      <c r="O1511" s="34"/>
      <c r="P1511"/>
      <c r="Q1511" t="str">
        <f>IFERROR(VLOOKUP(Tabela1[[#This Row],[CC]],CC!$A$1:$H$389,5,0),"")</f>
        <v>ADS</v>
      </c>
      <c r="R1511" t="str">
        <f>IFERROR(VLOOKUP(Tabela1[[#This Row],[CC]],CC!$A$1:$H$389,6,0),"")</f>
        <v>FS</v>
      </c>
      <c r="S1511" t="str">
        <f>IFERROR(VLOOKUP(Tabela1[[#This Row],[CC]],CC!$A$1:$H$403,8,0),"")</f>
        <v>OP1</v>
      </c>
      <c r="W1511" s="91"/>
    </row>
    <row r="1512" spans="1:23" x14ac:dyDescent="0.3">
      <c r="A1512" s="25">
        <v>1360</v>
      </c>
      <c r="B1512" s="25" t="str">
        <f>IFERROR(VLOOKUP(Tabela1[[#This Row],[CC]],#REF!,5,0),"")</f>
        <v/>
      </c>
      <c r="C1512" t="str">
        <f>IFERROR(VLOOKUP(Tabela1[[#This Row],[CC]],CC!$A$1:$H$389,7,0),"")</f>
        <v>RITA ANDRADE</v>
      </c>
      <c r="D1512" t="str">
        <f>IFERROR(VLOOKUP(Tabela1[[#This Row],[CC]],CC!$A$1:$I$3869,3,0),"")</f>
        <v>SERASA</v>
      </c>
      <c r="E1512" t="str">
        <f>IFERROR(VLOOKUP(Tabela1[[#This Row],[CC]],CC!$A$1:$H$389,2,0),"")</f>
        <v>SERASA EXPERIAN (1360)</v>
      </c>
      <c r="F1512" t="s">
        <v>586</v>
      </c>
      <c r="G1512" s="107">
        <v>4466</v>
      </c>
      <c r="H1512" s="12">
        <v>45931</v>
      </c>
      <c r="I1512" s="24">
        <v>42975.040000000001</v>
      </c>
      <c r="J1512" s="27">
        <v>40332.07</v>
      </c>
      <c r="K1512" s="3">
        <v>45954</v>
      </c>
      <c r="L1512" s="91">
        <v>45985</v>
      </c>
      <c r="M1512" s="11">
        <v>45987</v>
      </c>
      <c r="N1512" s="18" t="s">
        <v>588</v>
      </c>
      <c r="O1512" s="34"/>
      <c r="P1512"/>
      <c r="Q1512" t="str">
        <f>IFERROR(VLOOKUP(Tabela1[[#This Row],[CC]],CC!$A$1:$H$389,5,0),"")</f>
        <v>ADS</v>
      </c>
      <c r="R1512" t="str">
        <f>IFERROR(VLOOKUP(Tabela1[[#This Row],[CC]],CC!$A$1:$H$389,6,0),"")</f>
        <v>FS</v>
      </c>
      <c r="S1512" t="str">
        <f>IFERROR(VLOOKUP(Tabela1[[#This Row],[CC]],CC!$A$1:$H$403,8,0),"")</f>
        <v>OP1</v>
      </c>
      <c r="W1512" s="91"/>
    </row>
    <row r="1513" spans="1:23" x14ac:dyDescent="0.3">
      <c r="A1513" s="25">
        <v>1360</v>
      </c>
      <c r="B1513" s="25" t="str">
        <f>IFERROR(VLOOKUP(Tabela1[[#This Row],[CC]],#REF!,5,0),"")</f>
        <v/>
      </c>
      <c r="C1513" t="str">
        <f>IFERROR(VLOOKUP(Tabela1[[#This Row],[CC]],CC!$A$1:$H$389,7,0),"")</f>
        <v>RITA ANDRADE</v>
      </c>
      <c r="D1513" t="str">
        <f>IFERROR(VLOOKUP(Tabela1[[#This Row],[CC]],CC!$A$1:$I$3869,3,0),"")</f>
        <v>SERASA</v>
      </c>
      <c r="E1513" t="str">
        <f>IFERROR(VLOOKUP(Tabela1[[#This Row],[CC]],CC!$A$1:$H$389,2,0),"")</f>
        <v>SERASA EXPERIAN (1360)</v>
      </c>
      <c r="F1513" t="s">
        <v>586</v>
      </c>
      <c r="G1513" s="107">
        <v>4468</v>
      </c>
      <c r="H1513" s="12">
        <v>45931</v>
      </c>
      <c r="I1513" s="24">
        <v>127486.24</v>
      </c>
      <c r="J1513" s="27">
        <v>119645.84</v>
      </c>
      <c r="K1513" s="3">
        <v>45954</v>
      </c>
      <c r="L1513" s="91">
        <v>45985</v>
      </c>
      <c r="M1513" s="11">
        <v>45987</v>
      </c>
      <c r="N1513" s="18" t="s">
        <v>588</v>
      </c>
      <c r="O1513" s="34"/>
      <c r="P1513"/>
      <c r="Q1513" t="str">
        <f>IFERROR(VLOOKUP(Tabela1[[#This Row],[CC]],CC!$A$1:$H$389,5,0),"")</f>
        <v>ADS</v>
      </c>
      <c r="R1513" t="str">
        <f>IFERROR(VLOOKUP(Tabela1[[#This Row],[CC]],CC!$A$1:$H$389,6,0),"")</f>
        <v>FS</v>
      </c>
      <c r="S1513" t="str">
        <f>IFERROR(VLOOKUP(Tabela1[[#This Row],[CC]],CC!$A$1:$H$403,8,0),"")</f>
        <v>OP1</v>
      </c>
      <c r="W1513" s="91"/>
    </row>
    <row r="1514" spans="1:23" x14ac:dyDescent="0.3">
      <c r="A1514" s="25">
        <v>1360</v>
      </c>
      <c r="B1514" s="25" t="str">
        <f>IFERROR(VLOOKUP(Tabela1[[#This Row],[CC]],#REF!,5,0),"")</f>
        <v/>
      </c>
      <c r="C1514" t="str">
        <f>IFERROR(VLOOKUP(Tabela1[[#This Row],[CC]],CC!$A$1:$H$389,7,0),"")</f>
        <v>RITA ANDRADE</v>
      </c>
      <c r="D1514" t="str">
        <f>IFERROR(VLOOKUP(Tabela1[[#This Row],[CC]],CC!$A$1:$I$3869,3,0),"")</f>
        <v>SERASA</v>
      </c>
      <c r="E1514" t="str">
        <f>IFERROR(VLOOKUP(Tabela1[[#This Row],[CC]],CC!$A$1:$H$389,2,0),"")</f>
        <v>SERASA EXPERIAN (1360)</v>
      </c>
      <c r="F1514" t="s">
        <v>586</v>
      </c>
      <c r="G1514" s="107">
        <v>4470</v>
      </c>
      <c r="H1514" s="12">
        <v>45931</v>
      </c>
      <c r="I1514" s="24">
        <v>13896</v>
      </c>
      <c r="J1514" s="27">
        <v>13041.4</v>
      </c>
      <c r="K1514" s="3">
        <v>45954</v>
      </c>
      <c r="L1514" s="91">
        <v>45985</v>
      </c>
      <c r="M1514" s="11">
        <v>45987</v>
      </c>
      <c r="N1514" s="18" t="s">
        <v>588</v>
      </c>
      <c r="O1514" s="34"/>
      <c r="P1514"/>
      <c r="Q1514" t="str">
        <f>IFERROR(VLOOKUP(Tabela1[[#This Row],[CC]],CC!$A$1:$H$389,5,0),"")</f>
        <v>ADS</v>
      </c>
      <c r="R1514" t="str">
        <f>IFERROR(VLOOKUP(Tabela1[[#This Row],[CC]],CC!$A$1:$H$389,6,0),"")</f>
        <v>FS</v>
      </c>
      <c r="S1514" t="str">
        <f>IFERROR(VLOOKUP(Tabela1[[#This Row],[CC]],CC!$A$1:$H$403,8,0),"")</f>
        <v>OP1</v>
      </c>
      <c r="W1514" s="91"/>
    </row>
    <row r="1515" spans="1:23" x14ac:dyDescent="0.3">
      <c r="A1515" s="25">
        <v>1360</v>
      </c>
      <c r="B1515" s="25" t="str">
        <f>IFERROR(VLOOKUP(Tabela1[[#This Row],[CC]],#REF!,5,0),"")</f>
        <v/>
      </c>
      <c r="C1515" t="str">
        <f>IFERROR(VLOOKUP(Tabela1[[#This Row],[CC]],CC!$A$1:$H$389,7,0),"")</f>
        <v>RITA ANDRADE</v>
      </c>
      <c r="D1515" t="str">
        <f>IFERROR(VLOOKUP(Tabela1[[#This Row],[CC]],CC!$A$1:$I$3869,3,0),"")</f>
        <v>SERASA</v>
      </c>
      <c r="E1515" t="str">
        <f>IFERROR(VLOOKUP(Tabela1[[#This Row],[CC]],CC!$A$1:$H$389,2,0),"")</f>
        <v>SERASA EXPERIAN (1360)</v>
      </c>
      <c r="F1515" t="s">
        <v>586</v>
      </c>
      <c r="G1515" s="107">
        <v>4473</v>
      </c>
      <c r="H1515" s="12">
        <v>45931</v>
      </c>
      <c r="I1515" s="24">
        <v>37986.800000000003</v>
      </c>
      <c r="J1515" s="24">
        <v>35650.620000000003</v>
      </c>
      <c r="K1515" s="3">
        <v>45958</v>
      </c>
      <c r="L1515" s="91">
        <v>45985</v>
      </c>
      <c r="M1515" s="11">
        <v>45988</v>
      </c>
      <c r="N1515" s="18" t="s">
        <v>588</v>
      </c>
      <c r="O1515" s="34"/>
      <c r="P1515"/>
      <c r="Q1515" t="str">
        <f>IFERROR(VLOOKUP(Tabela1[[#This Row],[CC]],CC!$A$1:$H$389,5,0),"")</f>
        <v>ADS</v>
      </c>
      <c r="R1515" t="str">
        <f>IFERROR(VLOOKUP(Tabela1[[#This Row],[CC]],CC!$A$1:$H$389,6,0),"")</f>
        <v>FS</v>
      </c>
      <c r="S1515" t="str">
        <f>IFERROR(VLOOKUP(Tabela1[[#This Row],[CC]],CC!$A$1:$H$403,8,0),"")</f>
        <v>OP1</v>
      </c>
      <c r="W1515" s="91"/>
    </row>
    <row r="1516" spans="1:23" x14ac:dyDescent="0.3">
      <c r="A1516" s="25">
        <v>1360</v>
      </c>
      <c r="B1516" s="25" t="str">
        <f>IFERROR(VLOOKUP(Tabela1[[#This Row],[CC]],#REF!,5,0),"")</f>
        <v/>
      </c>
      <c r="C1516" t="str">
        <f>IFERROR(VLOOKUP(Tabela1[[#This Row],[CC]],CC!$A$1:$H$389,7,0),"")</f>
        <v>RITA ANDRADE</v>
      </c>
      <c r="D1516" t="str">
        <f>IFERROR(VLOOKUP(Tabela1[[#This Row],[CC]],CC!$A$1:$I$3869,3,0),"")</f>
        <v>SERASA</v>
      </c>
      <c r="E1516" t="str">
        <f>IFERROR(VLOOKUP(Tabela1[[#This Row],[CC]],CC!$A$1:$H$389,2,0),"")</f>
        <v>SERASA EXPERIAN (1360)</v>
      </c>
      <c r="F1516" t="s">
        <v>586</v>
      </c>
      <c r="G1516" s="107">
        <v>4474</v>
      </c>
      <c r="H1516" s="12">
        <v>45931</v>
      </c>
      <c r="I1516" s="24">
        <v>30157.599999999999</v>
      </c>
      <c r="J1516" s="24">
        <v>28302.91</v>
      </c>
      <c r="K1516" s="3">
        <v>45958</v>
      </c>
      <c r="L1516" s="91">
        <v>45985</v>
      </c>
      <c r="M1516" s="11">
        <v>45988</v>
      </c>
      <c r="N1516" s="18" t="s">
        <v>588</v>
      </c>
      <c r="O1516" s="34"/>
      <c r="P1516"/>
      <c r="Q1516" t="str">
        <f>IFERROR(VLOOKUP(Tabela1[[#This Row],[CC]],CC!$A$1:$H$389,5,0),"")</f>
        <v>ADS</v>
      </c>
      <c r="R1516" t="str">
        <f>IFERROR(VLOOKUP(Tabela1[[#This Row],[CC]],CC!$A$1:$H$389,6,0),"")</f>
        <v>FS</v>
      </c>
      <c r="S1516" t="str">
        <f>IFERROR(VLOOKUP(Tabela1[[#This Row],[CC]],CC!$A$1:$H$403,8,0),"")</f>
        <v>OP1</v>
      </c>
      <c r="W1516" s="91"/>
    </row>
    <row r="1517" spans="1:23" x14ac:dyDescent="0.3">
      <c r="A1517" s="25">
        <v>1360</v>
      </c>
      <c r="B1517" s="25" t="str">
        <f>IFERROR(VLOOKUP(Tabela1[[#This Row],[CC]],#REF!,5,0),"")</f>
        <v/>
      </c>
      <c r="C1517" t="str">
        <f>IFERROR(VLOOKUP(Tabela1[[#This Row],[CC]],CC!$A$1:$H$389,7,0),"")</f>
        <v>RITA ANDRADE</v>
      </c>
      <c r="D1517" t="str">
        <f>IFERROR(VLOOKUP(Tabela1[[#This Row],[CC]],CC!$A$1:$I$3869,3,0),"")</f>
        <v>SERASA</v>
      </c>
      <c r="E1517" t="str">
        <f>IFERROR(VLOOKUP(Tabela1[[#This Row],[CC]],CC!$A$1:$H$389,2,0),"")</f>
        <v>SERASA EXPERIAN (1360)</v>
      </c>
      <c r="F1517" t="s">
        <v>586</v>
      </c>
      <c r="G1517" s="107">
        <v>4475</v>
      </c>
      <c r="H1517" s="12">
        <v>45931</v>
      </c>
      <c r="I1517" s="24">
        <v>15640</v>
      </c>
      <c r="J1517" s="24">
        <v>14678.14</v>
      </c>
      <c r="K1517" s="3">
        <v>45958</v>
      </c>
      <c r="L1517" s="91">
        <v>45985</v>
      </c>
      <c r="M1517" s="11">
        <v>45988</v>
      </c>
      <c r="N1517" s="18" t="s">
        <v>588</v>
      </c>
      <c r="O1517" s="34"/>
      <c r="P1517"/>
      <c r="Q1517" t="str">
        <f>IFERROR(VLOOKUP(Tabela1[[#This Row],[CC]],CC!$A$1:$H$389,5,0),"")</f>
        <v>ADS</v>
      </c>
      <c r="R1517" t="str">
        <f>IFERROR(VLOOKUP(Tabela1[[#This Row],[CC]],CC!$A$1:$H$389,6,0),"")</f>
        <v>FS</v>
      </c>
      <c r="S1517" t="str">
        <f>IFERROR(VLOOKUP(Tabela1[[#This Row],[CC]],CC!$A$1:$H$403,8,0),"")</f>
        <v>OP1</v>
      </c>
      <c r="W1517" s="91"/>
    </row>
    <row r="1518" spans="1:23" x14ac:dyDescent="0.3">
      <c r="A1518" s="25">
        <v>1360</v>
      </c>
      <c r="B1518" s="25" t="str">
        <f>IFERROR(VLOOKUP(Tabela1[[#This Row],[CC]],#REF!,5,0),"")</f>
        <v/>
      </c>
      <c r="C1518" t="str">
        <f>IFERROR(VLOOKUP(Tabela1[[#This Row],[CC]],CC!$A$1:$H$389,7,0),"")</f>
        <v>RITA ANDRADE</v>
      </c>
      <c r="D1518" t="str">
        <f>IFERROR(VLOOKUP(Tabela1[[#This Row],[CC]],CC!$A$1:$I$3869,3,0),"")</f>
        <v>SERASA</v>
      </c>
      <c r="E1518" t="str">
        <f>IFERROR(VLOOKUP(Tabela1[[#This Row],[CC]],CC!$A$1:$H$389,2,0),"")</f>
        <v>SERASA EXPERIAN (1360)</v>
      </c>
      <c r="F1518" t="s">
        <v>586</v>
      </c>
      <c r="G1518" s="107">
        <v>4476</v>
      </c>
      <c r="H1518" s="12">
        <v>45931</v>
      </c>
      <c r="I1518" s="24">
        <v>44980.639999999999</v>
      </c>
      <c r="J1518" s="27">
        <v>42214.33</v>
      </c>
      <c r="K1518" s="3">
        <v>45959</v>
      </c>
      <c r="L1518" s="91">
        <v>45985</v>
      </c>
      <c r="M1518" s="11">
        <v>45989</v>
      </c>
      <c r="N1518" s="18" t="s">
        <v>588</v>
      </c>
      <c r="O1518" s="34"/>
      <c r="P1518"/>
      <c r="Q1518" t="str">
        <f>IFERROR(VLOOKUP(Tabela1[[#This Row],[CC]],CC!$A$1:$H$389,5,0),"")</f>
        <v>ADS</v>
      </c>
      <c r="R1518" t="str">
        <f>IFERROR(VLOOKUP(Tabela1[[#This Row],[CC]],CC!$A$1:$H$389,6,0),"")</f>
        <v>FS</v>
      </c>
      <c r="S1518" t="str">
        <f>IFERROR(VLOOKUP(Tabela1[[#This Row],[CC]],CC!$A$1:$H$403,8,0),"")</f>
        <v>OP1</v>
      </c>
      <c r="W1518" s="91"/>
    </row>
    <row r="1519" spans="1:23" x14ac:dyDescent="0.3">
      <c r="A1519" s="25">
        <v>1360</v>
      </c>
      <c r="B1519" s="25" t="str">
        <f>IFERROR(VLOOKUP(Tabela1[[#This Row],[CC]],#REF!,5,0),"")</f>
        <v/>
      </c>
      <c r="C1519" t="str">
        <f>IFERROR(VLOOKUP(Tabela1[[#This Row],[CC]],CC!$A$1:$H$389,7,0),"")</f>
        <v>RITA ANDRADE</v>
      </c>
      <c r="D1519" t="str">
        <f>IFERROR(VLOOKUP(Tabela1[[#This Row],[CC]],CC!$A$1:$I$3869,3,0),"")</f>
        <v>SERASA</v>
      </c>
      <c r="E1519" t="str">
        <f>IFERROR(VLOOKUP(Tabela1[[#This Row],[CC]],CC!$A$1:$H$389,2,0),"")</f>
        <v>SERASA EXPERIAN (1360)</v>
      </c>
      <c r="F1519" t="s">
        <v>586</v>
      </c>
      <c r="G1519" s="107">
        <v>4477</v>
      </c>
      <c r="H1519" s="12">
        <v>45931</v>
      </c>
      <c r="I1519" s="24">
        <v>14829.12</v>
      </c>
      <c r="J1519" s="27">
        <v>13917.13</v>
      </c>
      <c r="K1519" s="3">
        <v>45959</v>
      </c>
      <c r="L1519" s="91">
        <v>45985</v>
      </c>
      <c r="M1519" s="11">
        <v>45989</v>
      </c>
      <c r="N1519" s="18" t="s">
        <v>588</v>
      </c>
      <c r="O1519" s="34"/>
      <c r="P1519"/>
      <c r="Q1519" t="str">
        <f>IFERROR(VLOOKUP(Tabela1[[#This Row],[CC]],CC!$A$1:$H$389,5,0),"")</f>
        <v>ADS</v>
      </c>
      <c r="R1519" t="str">
        <f>IFERROR(VLOOKUP(Tabela1[[#This Row],[CC]],CC!$A$1:$H$389,6,0),"")</f>
        <v>FS</v>
      </c>
      <c r="S1519" t="str">
        <f>IFERROR(VLOOKUP(Tabela1[[#This Row],[CC]],CC!$A$1:$H$403,8,0),"")</f>
        <v>OP1</v>
      </c>
      <c r="W1519" s="91"/>
    </row>
    <row r="1520" spans="1:23" x14ac:dyDescent="0.3">
      <c r="A1520" s="25">
        <v>1360</v>
      </c>
      <c r="B1520" s="25" t="str">
        <f>IFERROR(VLOOKUP(Tabela1[[#This Row],[CC]],#REF!,5,0),"")</f>
        <v/>
      </c>
      <c r="C1520" t="str">
        <f>IFERROR(VLOOKUP(Tabela1[[#This Row],[CC]],CC!$A$1:$H$389,7,0),"")</f>
        <v>RITA ANDRADE</v>
      </c>
      <c r="D1520" t="str">
        <f>IFERROR(VLOOKUP(Tabela1[[#This Row],[CC]],CC!$A$1:$I$3869,3,0),"")</f>
        <v>SERASA</v>
      </c>
      <c r="E1520" t="str">
        <f>IFERROR(VLOOKUP(Tabela1[[#This Row],[CC]],CC!$A$1:$H$389,2,0),"")</f>
        <v>SERASA EXPERIAN (1360)</v>
      </c>
      <c r="F1520" t="s">
        <v>586</v>
      </c>
      <c r="G1520" s="107">
        <v>4495</v>
      </c>
      <c r="H1520" s="12">
        <v>45931</v>
      </c>
      <c r="I1520" s="24">
        <v>38428.400000000001</v>
      </c>
      <c r="J1520" s="27">
        <v>36065.06</v>
      </c>
      <c r="K1520" s="3">
        <v>45966</v>
      </c>
      <c r="L1520" s="91">
        <v>46006</v>
      </c>
      <c r="M1520" s="11">
        <v>46006</v>
      </c>
      <c r="N1520" s="18" t="s">
        <v>588</v>
      </c>
      <c r="O1520" s="34"/>
      <c r="P1520"/>
      <c r="Q1520" t="str">
        <f>IFERROR(VLOOKUP(Tabela1[[#This Row],[CC]],CC!$A$1:$H$389,5,0),"")</f>
        <v>ADS</v>
      </c>
      <c r="R1520" t="str">
        <f>IFERROR(VLOOKUP(Tabela1[[#This Row],[CC]],CC!$A$1:$H$389,6,0),"")</f>
        <v>FS</v>
      </c>
      <c r="S1520" t="str">
        <f>IFERROR(VLOOKUP(Tabela1[[#This Row],[CC]],CC!$A$1:$H$403,8,0),"")</f>
        <v>OP1</v>
      </c>
      <c r="W1520" s="91"/>
    </row>
    <row r="1521" spans="1:23" x14ac:dyDescent="0.3">
      <c r="A1521" s="25">
        <v>1360</v>
      </c>
      <c r="B1521" s="25" t="str">
        <f>IFERROR(VLOOKUP(Tabela1[[#This Row],[CC]],#REF!,5,0),"")</f>
        <v/>
      </c>
      <c r="C1521" t="str">
        <f>IFERROR(VLOOKUP(Tabela1[[#This Row],[CC]],CC!$A$1:$H$389,7,0),"")</f>
        <v>RITA ANDRADE</v>
      </c>
      <c r="D1521" t="str">
        <f>IFERROR(VLOOKUP(Tabela1[[#This Row],[CC]],CC!$A$1:$I$3869,3,0),"")</f>
        <v>SERASA</v>
      </c>
      <c r="E1521" t="str">
        <f>IFERROR(VLOOKUP(Tabela1[[#This Row],[CC]],CC!$A$1:$H$389,2,0),"")</f>
        <v>SERASA EXPERIAN (1360)</v>
      </c>
      <c r="F1521" t="s">
        <v>586</v>
      </c>
      <c r="G1521" s="107">
        <v>4553</v>
      </c>
      <c r="H1521" s="12">
        <v>45962</v>
      </c>
      <c r="I1521" s="24">
        <v>30074.400000000001</v>
      </c>
      <c r="J1521" s="27">
        <v>28224.83</v>
      </c>
      <c r="K1521" s="3">
        <v>45985</v>
      </c>
      <c r="L1521" s="91">
        <v>46006</v>
      </c>
      <c r="M1521" s="11">
        <v>46006</v>
      </c>
      <c r="N1521" s="18" t="s">
        <v>588</v>
      </c>
      <c r="O1521" s="34"/>
      <c r="P1521"/>
      <c r="Q1521" t="str">
        <f>IFERROR(VLOOKUP(Tabela1[[#This Row],[CC]],CC!$A$1:$H$389,5,0),"")</f>
        <v>ADS</v>
      </c>
      <c r="R1521" t="str">
        <f>IFERROR(VLOOKUP(Tabela1[[#This Row],[CC]],CC!$A$1:$H$389,6,0),"")</f>
        <v>FS</v>
      </c>
      <c r="S1521" t="str">
        <f>IFERROR(VLOOKUP(Tabela1[[#This Row],[CC]],CC!$A$1:$H$403,8,0),"")</f>
        <v>OP1</v>
      </c>
      <c r="W1521" s="91"/>
    </row>
    <row r="1522" spans="1:23" x14ac:dyDescent="0.3">
      <c r="A1522" s="25">
        <v>1360</v>
      </c>
      <c r="B1522" s="25" t="str">
        <f>IFERROR(VLOOKUP(Tabela1[[#This Row],[CC]],#REF!,5,0),"")</f>
        <v/>
      </c>
      <c r="C1522" t="str">
        <f>IFERROR(VLOOKUP(Tabela1[[#This Row],[CC]],CC!$A$1:$H$389,7,0),"")</f>
        <v>RITA ANDRADE</v>
      </c>
      <c r="D1522" t="str">
        <f>IFERROR(VLOOKUP(Tabela1[[#This Row],[CC]],CC!$A$1:$I$3869,3,0),"")</f>
        <v>SERASA</v>
      </c>
      <c r="E1522" t="str">
        <f>IFERROR(VLOOKUP(Tabela1[[#This Row],[CC]],CC!$A$1:$H$389,2,0),"")</f>
        <v>SERASA EXPERIAN (1360)</v>
      </c>
      <c r="F1522" t="s">
        <v>586</v>
      </c>
      <c r="G1522" s="107">
        <v>4555</v>
      </c>
      <c r="H1522" s="12">
        <v>45962</v>
      </c>
      <c r="I1522" s="24">
        <v>153352.32000000001</v>
      </c>
      <c r="J1522" s="27">
        <v>143921.16</v>
      </c>
      <c r="K1522" s="3">
        <v>45985</v>
      </c>
      <c r="L1522" s="91">
        <v>46006</v>
      </c>
      <c r="M1522" s="11">
        <v>46006</v>
      </c>
      <c r="N1522" s="18" t="s">
        <v>588</v>
      </c>
      <c r="O1522" s="34"/>
      <c r="P1522"/>
      <c r="Q1522" t="str">
        <f>IFERROR(VLOOKUP(Tabela1[[#This Row],[CC]],CC!$A$1:$H$389,5,0),"")</f>
        <v>ADS</v>
      </c>
      <c r="R1522" t="str">
        <f>IFERROR(VLOOKUP(Tabela1[[#This Row],[CC]],CC!$A$1:$H$389,6,0),"")</f>
        <v>FS</v>
      </c>
      <c r="S1522" t="str">
        <f>IFERROR(VLOOKUP(Tabela1[[#This Row],[CC]],CC!$A$1:$H$403,8,0),"")</f>
        <v>OP1</v>
      </c>
      <c r="W1522" s="91"/>
    </row>
    <row r="1523" spans="1:23" x14ac:dyDescent="0.3">
      <c r="A1523" s="25">
        <v>1360</v>
      </c>
      <c r="B1523" s="25" t="str">
        <f>IFERROR(VLOOKUP(Tabela1[[#This Row],[CC]],#REF!,5,0),"")</f>
        <v/>
      </c>
      <c r="C1523" t="str">
        <f>IFERROR(VLOOKUP(Tabela1[[#This Row],[CC]],CC!$A$1:$H$389,7,0),"")</f>
        <v>RITA ANDRADE</v>
      </c>
      <c r="D1523" t="str">
        <f>IFERROR(VLOOKUP(Tabela1[[#This Row],[CC]],CC!$A$1:$I$3869,3,0),"")</f>
        <v>SERASA</v>
      </c>
      <c r="E1523" t="str">
        <f>IFERROR(VLOOKUP(Tabela1[[#This Row],[CC]],CC!$A$1:$H$389,2,0),"")</f>
        <v>SERASA EXPERIAN (1360)</v>
      </c>
      <c r="F1523" t="s">
        <v>586</v>
      </c>
      <c r="G1523" s="107">
        <v>4557</v>
      </c>
      <c r="H1523" s="12">
        <v>45962</v>
      </c>
      <c r="I1523" s="24">
        <v>24912.799999999999</v>
      </c>
      <c r="J1523" s="27">
        <v>23380.67</v>
      </c>
      <c r="K1523" s="3">
        <v>45985</v>
      </c>
      <c r="L1523" s="91">
        <v>46006</v>
      </c>
      <c r="M1523" s="11">
        <v>46006</v>
      </c>
      <c r="N1523" s="18" t="s">
        <v>588</v>
      </c>
      <c r="O1523" s="34"/>
      <c r="P1523"/>
      <c r="Q1523" t="str">
        <f>IFERROR(VLOOKUP(Tabela1[[#This Row],[CC]],CC!$A$1:$H$389,5,0),"")</f>
        <v>ADS</v>
      </c>
      <c r="R1523" t="str">
        <f>IFERROR(VLOOKUP(Tabela1[[#This Row],[CC]],CC!$A$1:$H$389,6,0),"")</f>
        <v>FS</v>
      </c>
      <c r="S1523" t="str">
        <f>IFERROR(VLOOKUP(Tabela1[[#This Row],[CC]],CC!$A$1:$H$403,8,0),"")</f>
        <v>OP1</v>
      </c>
      <c r="W1523" s="91"/>
    </row>
    <row r="1524" spans="1:23" x14ac:dyDescent="0.3">
      <c r="A1524" s="25">
        <v>1360</v>
      </c>
      <c r="B1524" s="25" t="str">
        <f>IFERROR(VLOOKUP(Tabela1[[#This Row],[CC]],#REF!,5,0),"")</f>
        <v/>
      </c>
      <c r="C1524" t="str">
        <f>IFERROR(VLOOKUP(Tabela1[[#This Row],[CC]],CC!$A$1:$H$389,7,0),"")</f>
        <v>RITA ANDRADE</v>
      </c>
      <c r="D1524" t="str">
        <f>IFERROR(VLOOKUP(Tabela1[[#This Row],[CC]],CC!$A$1:$I$3869,3,0),"")</f>
        <v>SERASA</v>
      </c>
      <c r="E1524" t="str">
        <f>IFERROR(VLOOKUP(Tabela1[[#This Row],[CC]],CC!$A$1:$H$389,2,0),"")</f>
        <v>SERASA EXPERIAN (1360)</v>
      </c>
      <c r="F1524" t="s">
        <v>586</v>
      </c>
      <c r="G1524" s="107">
        <v>4558</v>
      </c>
      <c r="H1524" s="12">
        <v>45962</v>
      </c>
      <c r="I1524" s="24">
        <v>24912.799999999999</v>
      </c>
      <c r="J1524" s="27">
        <v>23380.67</v>
      </c>
      <c r="K1524" s="3">
        <v>45985</v>
      </c>
      <c r="L1524" s="91">
        <v>46006</v>
      </c>
      <c r="M1524" s="11">
        <v>46006</v>
      </c>
      <c r="N1524" s="18" t="s">
        <v>588</v>
      </c>
      <c r="O1524" s="34"/>
      <c r="P1524"/>
      <c r="Q1524" t="str">
        <f>IFERROR(VLOOKUP(Tabela1[[#This Row],[CC]],CC!$A$1:$H$389,5,0),"")</f>
        <v>ADS</v>
      </c>
      <c r="R1524" t="str">
        <f>IFERROR(VLOOKUP(Tabela1[[#This Row],[CC]],CC!$A$1:$H$389,6,0),"")</f>
        <v>FS</v>
      </c>
      <c r="S1524" t="str">
        <f>IFERROR(VLOOKUP(Tabela1[[#This Row],[CC]],CC!$A$1:$H$403,8,0),"")</f>
        <v>OP1</v>
      </c>
      <c r="W1524" s="91"/>
    </row>
    <row r="1525" spans="1:23" x14ac:dyDescent="0.3">
      <c r="A1525" s="25">
        <v>1360</v>
      </c>
      <c r="B1525" s="25" t="str">
        <f>IFERROR(VLOOKUP(Tabela1[[#This Row],[CC]],#REF!,5,0),"")</f>
        <v/>
      </c>
      <c r="C1525" t="str">
        <f>IFERROR(VLOOKUP(Tabela1[[#This Row],[CC]],CC!$A$1:$H$389,7,0),"")</f>
        <v>RITA ANDRADE</v>
      </c>
      <c r="D1525" t="str">
        <f>IFERROR(VLOOKUP(Tabela1[[#This Row],[CC]],CC!$A$1:$I$3869,3,0),"")</f>
        <v>SERASA</v>
      </c>
      <c r="E1525" t="str">
        <f>IFERROR(VLOOKUP(Tabela1[[#This Row],[CC]],CC!$A$1:$H$389,2,0),"")</f>
        <v>SERASA EXPERIAN (1360)</v>
      </c>
      <c r="F1525" t="s">
        <v>586</v>
      </c>
      <c r="G1525" s="107">
        <v>4560</v>
      </c>
      <c r="H1525" s="12">
        <v>45962</v>
      </c>
      <c r="I1525" s="24">
        <v>23245.919999999998</v>
      </c>
      <c r="J1525" s="27">
        <v>21816.29</v>
      </c>
      <c r="K1525" s="3">
        <v>45985</v>
      </c>
      <c r="L1525" s="91">
        <v>46006</v>
      </c>
      <c r="M1525" s="11">
        <v>46006</v>
      </c>
      <c r="N1525" s="18" t="s">
        <v>588</v>
      </c>
      <c r="O1525" s="34"/>
      <c r="P1525"/>
      <c r="Q1525" t="str">
        <f>IFERROR(VLOOKUP(Tabela1[[#This Row],[CC]],CC!$A$1:$H$389,5,0),"")</f>
        <v>ADS</v>
      </c>
      <c r="R1525" t="str">
        <f>IFERROR(VLOOKUP(Tabela1[[#This Row],[CC]],CC!$A$1:$H$389,6,0),"")</f>
        <v>FS</v>
      </c>
      <c r="S1525" t="str">
        <f>IFERROR(VLOOKUP(Tabela1[[#This Row],[CC]],CC!$A$1:$H$403,8,0),"")</f>
        <v>OP1</v>
      </c>
      <c r="W1525" s="91"/>
    </row>
    <row r="1526" spans="1:23" x14ac:dyDescent="0.3">
      <c r="A1526" s="25">
        <v>1360</v>
      </c>
      <c r="B1526" s="25" t="str">
        <f>IFERROR(VLOOKUP(Tabela1[[#This Row],[CC]],#REF!,5,0),"")</f>
        <v/>
      </c>
      <c r="C1526" t="str">
        <f>IFERROR(VLOOKUP(Tabela1[[#This Row],[CC]],CC!$A$1:$H$389,7,0),"")</f>
        <v>RITA ANDRADE</v>
      </c>
      <c r="D1526" t="str">
        <f>IFERROR(VLOOKUP(Tabela1[[#This Row],[CC]],CC!$A$1:$I$3869,3,0),"")</f>
        <v>SERASA</v>
      </c>
      <c r="E1526" t="str">
        <f>IFERROR(VLOOKUP(Tabela1[[#This Row],[CC]],CC!$A$1:$H$389,2,0),"")</f>
        <v>SERASA EXPERIAN (1360)</v>
      </c>
      <c r="F1526" t="s">
        <v>586</v>
      </c>
      <c r="G1526" s="107">
        <v>4561</v>
      </c>
      <c r="H1526" s="12">
        <v>45962</v>
      </c>
      <c r="I1526" s="24">
        <v>23601.599999999999</v>
      </c>
      <c r="J1526" s="27">
        <v>22150.1</v>
      </c>
      <c r="K1526" s="3">
        <v>45985</v>
      </c>
      <c r="L1526" s="91">
        <v>46006</v>
      </c>
      <c r="M1526" s="11">
        <v>46006</v>
      </c>
      <c r="N1526" s="18" t="s">
        <v>588</v>
      </c>
      <c r="O1526" s="34"/>
      <c r="P1526"/>
      <c r="Q1526" t="str">
        <f>IFERROR(VLOOKUP(Tabela1[[#This Row],[CC]],CC!$A$1:$H$389,5,0),"")</f>
        <v>ADS</v>
      </c>
      <c r="R1526" t="str">
        <f>IFERROR(VLOOKUP(Tabela1[[#This Row],[CC]],CC!$A$1:$H$389,6,0),"")</f>
        <v>FS</v>
      </c>
      <c r="S1526" t="str">
        <f>IFERROR(VLOOKUP(Tabela1[[#This Row],[CC]],CC!$A$1:$H$403,8,0),"")</f>
        <v>OP1</v>
      </c>
      <c r="W1526" s="91"/>
    </row>
    <row r="1527" spans="1:23" x14ac:dyDescent="0.3">
      <c r="A1527" s="25">
        <v>1360</v>
      </c>
      <c r="B1527" s="25" t="str">
        <f>IFERROR(VLOOKUP(Tabela1[[#This Row],[CC]],#REF!,5,0),"")</f>
        <v/>
      </c>
      <c r="C1527" t="str">
        <f>IFERROR(VLOOKUP(Tabela1[[#This Row],[CC]],CC!$A$1:$H$389,7,0),"")</f>
        <v>RITA ANDRADE</v>
      </c>
      <c r="D1527" t="str">
        <f>IFERROR(VLOOKUP(Tabela1[[#This Row],[CC]],CC!$A$1:$I$3869,3,0),"")</f>
        <v>SERASA</v>
      </c>
      <c r="E1527" t="str">
        <f>IFERROR(VLOOKUP(Tabela1[[#This Row],[CC]],CC!$A$1:$H$389,2,0),"")</f>
        <v>SERASA EXPERIAN (1360)</v>
      </c>
      <c r="F1527" t="s">
        <v>586</v>
      </c>
      <c r="G1527" s="107">
        <v>4562</v>
      </c>
      <c r="H1527" s="12">
        <v>45962</v>
      </c>
      <c r="I1527" s="24">
        <v>80843.199999999997</v>
      </c>
      <c r="J1527" s="27">
        <v>75871.34</v>
      </c>
      <c r="K1527" s="3">
        <v>45985</v>
      </c>
      <c r="L1527" s="91">
        <v>46006</v>
      </c>
      <c r="M1527" s="11">
        <v>46006</v>
      </c>
      <c r="N1527" s="18" t="s">
        <v>588</v>
      </c>
      <c r="O1527" s="34"/>
      <c r="P1527"/>
      <c r="Q1527" t="str">
        <f>IFERROR(VLOOKUP(Tabela1[[#This Row],[CC]],CC!$A$1:$H$389,5,0),"")</f>
        <v>ADS</v>
      </c>
      <c r="R1527" t="str">
        <f>IFERROR(VLOOKUP(Tabela1[[#This Row],[CC]],CC!$A$1:$H$389,6,0),"")</f>
        <v>FS</v>
      </c>
      <c r="S1527" t="str">
        <f>IFERROR(VLOOKUP(Tabela1[[#This Row],[CC]],CC!$A$1:$H$403,8,0),"")</f>
        <v>OP1</v>
      </c>
      <c r="W1527" s="91"/>
    </row>
    <row r="1528" spans="1:23" x14ac:dyDescent="0.3">
      <c r="A1528" s="25">
        <v>1360</v>
      </c>
      <c r="B1528" s="25" t="str">
        <f>IFERROR(VLOOKUP(Tabela1[[#This Row],[CC]],#REF!,5,0),"")</f>
        <v/>
      </c>
      <c r="C1528" t="str">
        <f>IFERROR(VLOOKUP(Tabela1[[#This Row],[CC]],CC!$A$1:$H$389,7,0),"")</f>
        <v>RITA ANDRADE</v>
      </c>
      <c r="D1528" t="str">
        <f>IFERROR(VLOOKUP(Tabela1[[#This Row],[CC]],CC!$A$1:$I$3869,3,0),"")</f>
        <v>SERASA</v>
      </c>
      <c r="E1528" t="str">
        <f>IFERROR(VLOOKUP(Tabela1[[#This Row],[CC]],CC!$A$1:$H$389,2,0),"")</f>
        <v>SERASA EXPERIAN (1360)</v>
      </c>
      <c r="F1528" t="s">
        <v>586</v>
      </c>
      <c r="G1528" s="107">
        <v>4563</v>
      </c>
      <c r="H1528" s="12">
        <v>45962</v>
      </c>
      <c r="I1528" s="24">
        <v>125857.44</v>
      </c>
      <c r="J1528" s="27">
        <v>118117.22</v>
      </c>
      <c r="K1528" s="3">
        <v>45985</v>
      </c>
      <c r="L1528" s="91">
        <v>46006</v>
      </c>
      <c r="M1528" s="11">
        <v>46006</v>
      </c>
      <c r="N1528" s="18" t="s">
        <v>588</v>
      </c>
      <c r="O1528" s="34"/>
      <c r="P1528"/>
      <c r="Q1528" t="str">
        <f>IFERROR(VLOOKUP(Tabela1[[#This Row],[CC]],CC!$A$1:$H$389,5,0),"")</f>
        <v>ADS</v>
      </c>
      <c r="R1528" t="str">
        <f>IFERROR(VLOOKUP(Tabela1[[#This Row],[CC]],CC!$A$1:$H$389,6,0),"")</f>
        <v>FS</v>
      </c>
      <c r="S1528" t="str">
        <f>IFERROR(VLOOKUP(Tabela1[[#This Row],[CC]],CC!$A$1:$H$403,8,0),"")</f>
        <v>OP1</v>
      </c>
      <c r="W1528" s="91"/>
    </row>
    <row r="1529" spans="1:23" x14ac:dyDescent="0.3">
      <c r="A1529" s="25">
        <v>1360</v>
      </c>
      <c r="B1529" s="25" t="str">
        <f>IFERROR(VLOOKUP(Tabela1[[#This Row],[CC]],#REF!,5,0),"")</f>
        <v/>
      </c>
      <c r="C1529" t="str">
        <f>IFERROR(VLOOKUP(Tabela1[[#This Row],[CC]],CC!$A$1:$H$389,7,0),"")</f>
        <v>RITA ANDRADE</v>
      </c>
      <c r="D1529" t="str">
        <f>IFERROR(VLOOKUP(Tabela1[[#This Row],[CC]],CC!$A$1:$I$3869,3,0),"")</f>
        <v>SERASA</v>
      </c>
      <c r="E1529" t="str">
        <f>IFERROR(VLOOKUP(Tabela1[[#This Row],[CC]],CC!$A$1:$H$389,2,0),"")</f>
        <v>SERASA EXPERIAN (1360)</v>
      </c>
      <c r="F1529" t="s">
        <v>586</v>
      </c>
      <c r="G1529" s="107">
        <v>4564</v>
      </c>
      <c r="H1529" s="12">
        <v>45962</v>
      </c>
      <c r="I1529" s="24">
        <v>35463.4</v>
      </c>
      <c r="J1529" s="27">
        <v>33282.410000000003</v>
      </c>
      <c r="K1529" s="3">
        <v>45985</v>
      </c>
      <c r="L1529" s="91">
        <v>46006</v>
      </c>
      <c r="M1529" s="11">
        <v>46006</v>
      </c>
      <c r="N1529" s="18" t="s">
        <v>588</v>
      </c>
      <c r="O1529" s="34"/>
      <c r="P1529"/>
      <c r="Q1529" t="str">
        <f>IFERROR(VLOOKUP(Tabela1[[#This Row],[CC]],CC!$A$1:$H$389,5,0),"")</f>
        <v>ADS</v>
      </c>
      <c r="R1529" t="str">
        <f>IFERROR(VLOOKUP(Tabela1[[#This Row],[CC]],CC!$A$1:$H$389,6,0),"")</f>
        <v>FS</v>
      </c>
      <c r="S1529" t="str">
        <f>IFERROR(VLOOKUP(Tabela1[[#This Row],[CC]],CC!$A$1:$H$403,8,0),"")</f>
        <v>OP1</v>
      </c>
      <c r="W1529" s="91"/>
    </row>
    <row r="1530" spans="1:23" x14ac:dyDescent="0.3">
      <c r="A1530" s="25">
        <v>1360</v>
      </c>
      <c r="B1530" s="25" t="str">
        <f>IFERROR(VLOOKUP(Tabela1[[#This Row],[CC]],#REF!,5,0),"")</f>
        <v/>
      </c>
      <c r="C1530" t="str">
        <f>IFERROR(VLOOKUP(Tabela1[[#This Row],[CC]],CC!$A$1:$H$389,7,0),"")</f>
        <v>RITA ANDRADE</v>
      </c>
      <c r="D1530" t="str">
        <f>IFERROR(VLOOKUP(Tabela1[[#This Row],[CC]],CC!$A$1:$I$3869,3,0),"")</f>
        <v>SERASA</v>
      </c>
      <c r="E1530" t="str">
        <f>IFERROR(VLOOKUP(Tabela1[[#This Row],[CC]],CC!$A$1:$H$389,2,0),"")</f>
        <v>SERASA EXPERIAN (1360)</v>
      </c>
      <c r="F1530" t="s">
        <v>586</v>
      </c>
      <c r="G1530" s="107">
        <v>4565</v>
      </c>
      <c r="H1530" s="12">
        <v>45962</v>
      </c>
      <c r="I1530" s="24">
        <v>30395.52</v>
      </c>
      <c r="J1530" s="27">
        <v>28526.19</v>
      </c>
      <c r="K1530" s="3">
        <v>45985</v>
      </c>
      <c r="L1530" s="91">
        <v>46006</v>
      </c>
      <c r="M1530" s="11">
        <v>46006</v>
      </c>
      <c r="N1530" s="18" t="s">
        <v>588</v>
      </c>
      <c r="O1530" s="34"/>
      <c r="P1530"/>
      <c r="Q1530" t="str">
        <f>IFERROR(VLOOKUP(Tabela1[[#This Row],[CC]],CC!$A$1:$H$389,5,0),"")</f>
        <v>ADS</v>
      </c>
      <c r="R1530" t="str">
        <f>IFERROR(VLOOKUP(Tabela1[[#This Row],[CC]],CC!$A$1:$H$389,6,0),"")</f>
        <v>FS</v>
      </c>
      <c r="S1530" t="str">
        <f>IFERROR(VLOOKUP(Tabela1[[#This Row],[CC]],CC!$A$1:$H$403,8,0),"")</f>
        <v>OP1</v>
      </c>
      <c r="W1530" s="91"/>
    </row>
    <row r="1531" spans="1:23" x14ac:dyDescent="0.3">
      <c r="A1531" s="25">
        <v>1360</v>
      </c>
      <c r="B1531" s="25" t="str">
        <f>IFERROR(VLOOKUP(Tabela1[[#This Row],[CC]],#REF!,5,0),"")</f>
        <v/>
      </c>
      <c r="C1531" t="str">
        <f>IFERROR(VLOOKUP(Tabela1[[#This Row],[CC]],CC!$A$1:$H$389,7,0),"")</f>
        <v>RITA ANDRADE</v>
      </c>
      <c r="D1531" t="str">
        <f>IFERROR(VLOOKUP(Tabela1[[#This Row],[CC]],CC!$A$1:$I$3869,3,0),"")</f>
        <v>SERASA</v>
      </c>
      <c r="E1531" t="str">
        <f>IFERROR(VLOOKUP(Tabela1[[#This Row],[CC]],CC!$A$1:$H$389,2,0),"")</f>
        <v>SERASA EXPERIAN (1360)</v>
      </c>
      <c r="F1531" t="s">
        <v>586</v>
      </c>
      <c r="G1531" s="107">
        <v>4566</v>
      </c>
      <c r="H1531" s="12">
        <v>45962</v>
      </c>
      <c r="I1531" s="24">
        <v>72500</v>
      </c>
      <c r="J1531" s="27">
        <v>68041.25</v>
      </c>
      <c r="K1531" s="3">
        <v>45985</v>
      </c>
      <c r="L1531" s="91">
        <v>46006</v>
      </c>
      <c r="M1531" s="11">
        <v>46006</v>
      </c>
      <c r="N1531" s="18" t="s">
        <v>588</v>
      </c>
      <c r="O1531" s="34"/>
      <c r="P1531"/>
      <c r="Q1531" t="str">
        <f>IFERROR(VLOOKUP(Tabela1[[#This Row],[CC]],CC!$A$1:$H$389,5,0),"")</f>
        <v>ADS</v>
      </c>
      <c r="R1531" t="str">
        <f>IFERROR(VLOOKUP(Tabela1[[#This Row],[CC]],CC!$A$1:$H$389,6,0),"")</f>
        <v>FS</v>
      </c>
      <c r="S1531" t="str">
        <f>IFERROR(VLOOKUP(Tabela1[[#This Row],[CC]],CC!$A$1:$H$403,8,0),"")</f>
        <v>OP1</v>
      </c>
      <c r="W1531" s="91"/>
    </row>
    <row r="1532" spans="1:23" x14ac:dyDescent="0.3">
      <c r="A1532" s="25">
        <v>1360</v>
      </c>
      <c r="B1532" s="25" t="str">
        <f>IFERROR(VLOOKUP(Tabela1[[#This Row],[CC]],#REF!,5,0),"")</f>
        <v/>
      </c>
      <c r="C1532" t="str">
        <f>IFERROR(VLOOKUP(Tabela1[[#This Row],[CC]],CC!$A$1:$H$389,7,0),"")</f>
        <v>RITA ANDRADE</v>
      </c>
      <c r="D1532" t="str">
        <f>IFERROR(VLOOKUP(Tabela1[[#This Row],[CC]],CC!$A$1:$I$3869,3,0),"")</f>
        <v>SERASA</v>
      </c>
      <c r="E1532" t="str">
        <f>IFERROR(VLOOKUP(Tabela1[[#This Row],[CC]],CC!$A$1:$H$389,2,0),"")</f>
        <v>SERASA EXPERIAN (1360)</v>
      </c>
      <c r="F1532" t="s">
        <v>586</v>
      </c>
      <c r="G1532" s="107">
        <v>4567</v>
      </c>
      <c r="H1532" s="12">
        <v>45962</v>
      </c>
      <c r="I1532" s="24">
        <v>61222.1</v>
      </c>
      <c r="J1532" s="27">
        <v>57456.95</v>
      </c>
      <c r="K1532" s="3">
        <v>45985</v>
      </c>
      <c r="L1532" s="91">
        <v>46006</v>
      </c>
      <c r="M1532" s="11">
        <v>46006</v>
      </c>
      <c r="N1532" s="18" t="s">
        <v>588</v>
      </c>
      <c r="O1532" s="34"/>
      <c r="P1532"/>
      <c r="Q1532" t="str">
        <f>IFERROR(VLOOKUP(Tabela1[[#This Row],[CC]],CC!$A$1:$H$389,5,0),"")</f>
        <v>ADS</v>
      </c>
      <c r="R1532" t="str">
        <f>IFERROR(VLOOKUP(Tabela1[[#This Row],[CC]],CC!$A$1:$H$389,6,0),"")</f>
        <v>FS</v>
      </c>
      <c r="S1532" t="str">
        <f>IFERROR(VLOOKUP(Tabela1[[#This Row],[CC]],CC!$A$1:$H$403,8,0),"")</f>
        <v>OP1</v>
      </c>
      <c r="W1532" s="91"/>
    </row>
    <row r="1533" spans="1:23" x14ac:dyDescent="0.3">
      <c r="A1533" s="25">
        <v>1360</v>
      </c>
      <c r="B1533" s="25" t="str">
        <f>IFERROR(VLOOKUP(Tabela1[[#This Row],[CC]],#REF!,5,0),"")</f>
        <v/>
      </c>
      <c r="C1533" t="str">
        <f>IFERROR(VLOOKUP(Tabela1[[#This Row],[CC]],CC!$A$1:$H$389,7,0),"")</f>
        <v>RITA ANDRADE</v>
      </c>
      <c r="D1533" t="str">
        <f>IFERROR(VLOOKUP(Tabela1[[#This Row],[CC]],CC!$A$1:$I$3869,3,0),"")</f>
        <v>SERASA</v>
      </c>
      <c r="E1533" t="str">
        <f>IFERROR(VLOOKUP(Tabela1[[#This Row],[CC]],CC!$A$1:$H$389,2,0),"")</f>
        <v>SERASA EXPERIAN (1360)</v>
      </c>
      <c r="F1533" t="s">
        <v>586</v>
      </c>
      <c r="G1533" s="107">
        <v>4569</v>
      </c>
      <c r="H1533" s="12">
        <v>45962</v>
      </c>
      <c r="I1533" s="24">
        <v>33632.639999999999</v>
      </c>
      <c r="J1533" s="27">
        <v>31564.23</v>
      </c>
      <c r="K1533" s="3">
        <v>45986</v>
      </c>
      <c r="L1533" s="91">
        <v>46006</v>
      </c>
      <c r="M1533" s="11">
        <v>46006</v>
      </c>
      <c r="N1533" s="18" t="s">
        <v>588</v>
      </c>
      <c r="O1533" s="34"/>
      <c r="P1533"/>
      <c r="Q1533" t="str">
        <f>IFERROR(VLOOKUP(Tabela1[[#This Row],[CC]],CC!$A$1:$H$389,5,0),"")</f>
        <v>ADS</v>
      </c>
      <c r="R1533" t="str">
        <f>IFERROR(VLOOKUP(Tabela1[[#This Row],[CC]],CC!$A$1:$H$389,6,0),"")</f>
        <v>FS</v>
      </c>
      <c r="S1533" t="str">
        <f>IFERROR(VLOOKUP(Tabela1[[#This Row],[CC]],CC!$A$1:$H$403,8,0),"")</f>
        <v>OP1</v>
      </c>
      <c r="W1533" s="91"/>
    </row>
    <row r="1534" spans="1:23" x14ac:dyDescent="0.3">
      <c r="A1534" s="25">
        <v>1360</v>
      </c>
      <c r="B1534" s="25" t="str">
        <f>IFERROR(VLOOKUP(Tabela1[[#This Row],[CC]],#REF!,5,0),"")</f>
        <v/>
      </c>
      <c r="C1534" t="str">
        <f>IFERROR(VLOOKUP(Tabela1[[#This Row],[CC]],CC!$A$1:$H$389,7,0),"")</f>
        <v>RITA ANDRADE</v>
      </c>
      <c r="D1534" t="str">
        <f>IFERROR(VLOOKUP(Tabela1[[#This Row],[CC]],CC!$A$1:$I$3869,3,0),"")</f>
        <v>SERASA</v>
      </c>
      <c r="E1534" t="str">
        <f>IFERROR(VLOOKUP(Tabela1[[#This Row],[CC]],CC!$A$1:$H$389,2,0),"")</f>
        <v>SERASA EXPERIAN (1360)</v>
      </c>
      <c r="F1534" t="s">
        <v>586</v>
      </c>
      <c r="G1534" s="107">
        <v>4570</v>
      </c>
      <c r="H1534" s="12">
        <v>45962</v>
      </c>
      <c r="I1534" s="24">
        <v>27792</v>
      </c>
      <c r="J1534" s="27">
        <v>26082.79</v>
      </c>
      <c r="K1534" s="3">
        <v>45987</v>
      </c>
      <c r="L1534" s="91">
        <v>46006</v>
      </c>
      <c r="M1534" s="11">
        <v>46006</v>
      </c>
      <c r="N1534" s="18" t="s">
        <v>588</v>
      </c>
      <c r="O1534" s="34"/>
      <c r="P1534"/>
      <c r="Q1534" t="str">
        <f>IFERROR(VLOOKUP(Tabela1[[#This Row],[CC]],CC!$A$1:$H$389,5,0),"")</f>
        <v>ADS</v>
      </c>
      <c r="R1534" t="str">
        <f>IFERROR(VLOOKUP(Tabela1[[#This Row],[CC]],CC!$A$1:$H$389,6,0),"")</f>
        <v>FS</v>
      </c>
      <c r="S1534" t="str">
        <f>IFERROR(VLOOKUP(Tabela1[[#This Row],[CC]],CC!$A$1:$H$403,8,0),"")</f>
        <v>OP1</v>
      </c>
      <c r="W1534" s="91"/>
    </row>
    <row r="1535" spans="1:23" x14ac:dyDescent="0.3">
      <c r="A1535" s="25">
        <v>1360</v>
      </c>
      <c r="B1535" s="25" t="str">
        <f>IFERROR(VLOOKUP(Tabela1[[#This Row],[CC]],#REF!,5,0),"")</f>
        <v/>
      </c>
      <c r="C1535" t="str">
        <f>IFERROR(VLOOKUP(Tabela1[[#This Row],[CC]],CC!$A$1:$H$389,7,0),"")</f>
        <v>RITA ANDRADE</v>
      </c>
      <c r="D1535" t="str">
        <f>IFERROR(VLOOKUP(Tabela1[[#This Row],[CC]],CC!$A$1:$I$3869,3,0),"")</f>
        <v>SERASA</v>
      </c>
      <c r="E1535" t="str">
        <f>IFERROR(VLOOKUP(Tabela1[[#This Row],[CC]],CC!$A$1:$H$389,2,0),"")</f>
        <v>SERASA EXPERIAN (1360)</v>
      </c>
      <c r="F1535" t="s">
        <v>586</v>
      </c>
      <c r="G1535" s="107">
        <v>4571</v>
      </c>
      <c r="H1535" s="12">
        <v>45962</v>
      </c>
      <c r="I1535" s="24">
        <v>69955.199999999997</v>
      </c>
      <c r="J1535" s="27">
        <v>65652.95</v>
      </c>
      <c r="K1535" s="3">
        <v>45987</v>
      </c>
      <c r="L1535" s="91">
        <v>46006</v>
      </c>
      <c r="M1535" s="11">
        <v>46006</v>
      </c>
      <c r="N1535" s="18" t="s">
        <v>588</v>
      </c>
      <c r="O1535" s="34"/>
      <c r="P1535"/>
      <c r="Q1535" t="str">
        <f>IFERROR(VLOOKUP(Tabela1[[#This Row],[CC]],CC!$A$1:$H$389,5,0),"")</f>
        <v>ADS</v>
      </c>
      <c r="R1535" t="str">
        <f>IFERROR(VLOOKUP(Tabela1[[#This Row],[CC]],CC!$A$1:$H$389,6,0),"")</f>
        <v>FS</v>
      </c>
      <c r="S1535" t="str">
        <f>IFERROR(VLOOKUP(Tabela1[[#This Row],[CC]],CC!$A$1:$H$403,8,0),"")</f>
        <v>OP1</v>
      </c>
      <c r="W1535" s="91"/>
    </row>
    <row r="1536" spans="1:23" x14ac:dyDescent="0.3">
      <c r="A1536" s="25">
        <v>1360</v>
      </c>
      <c r="B1536" s="25" t="str">
        <f>IFERROR(VLOOKUP(Tabela1[[#This Row],[CC]],#REF!,5,0),"")</f>
        <v/>
      </c>
      <c r="C1536" t="str">
        <f>IFERROR(VLOOKUP(Tabela1[[#This Row],[CC]],CC!$A$1:$H$389,7,0),"")</f>
        <v>RITA ANDRADE</v>
      </c>
      <c r="D1536" t="str">
        <f>IFERROR(VLOOKUP(Tabela1[[#This Row],[CC]],CC!$A$1:$I$3869,3,0),"")</f>
        <v>SERASA</v>
      </c>
      <c r="E1536" t="str">
        <f>IFERROR(VLOOKUP(Tabela1[[#This Row],[CC]],CC!$A$1:$H$389,2,0),"")</f>
        <v>SERASA EXPERIAN (1360)</v>
      </c>
      <c r="F1536" t="s">
        <v>586</v>
      </c>
      <c r="G1536" s="107">
        <v>4573</v>
      </c>
      <c r="H1536" s="12">
        <v>45962</v>
      </c>
      <c r="I1536" s="24">
        <v>170508.96</v>
      </c>
      <c r="J1536" s="27">
        <v>160022.66</v>
      </c>
      <c r="K1536" s="3">
        <v>45988</v>
      </c>
      <c r="L1536" s="91">
        <v>46006</v>
      </c>
      <c r="M1536" s="11">
        <v>46006</v>
      </c>
      <c r="N1536" s="18" t="s">
        <v>588</v>
      </c>
      <c r="O1536" s="34"/>
      <c r="P1536"/>
      <c r="Q1536" t="str">
        <f>IFERROR(VLOOKUP(Tabela1[[#This Row],[CC]],CC!$A$1:$H$389,5,0),"")</f>
        <v>ADS</v>
      </c>
      <c r="R1536" t="str">
        <f>IFERROR(VLOOKUP(Tabela1[[#This Row],[CC]],CC!$A$1:$H$389,6,0),"")</f>
        <v>FS</v>
      </c>
      <c r="S1536" t="str">
        <f>IFERROR(VLOOKUP(Tabela1[[#This Row],[CC]],CC!$A$1:$H$403,8,0),"")</f>
        <v>OP1</v>
      </c>
      <c r="W1536" s="91"/>
    </row>
    <row r="1537" spans="1:23" x14ac:dyDescent="0.3">
      <c r="A1537" s="25">
        <v>1360</v>
      </c>
      <c r="B1537" s="25" t="str">
        <f>IFERROR(VLOOKUP(Tabela1[[#This Row],[CC]],#REF!,5,0),"")</f>
        <v/>
      </c>
      <c r="C1537" t="str">
        <f>IFERROR(VLOOKUP(Tabela1[[#This Row],[CC]],CC!$A$1:$H$389,7,0),"")</f>
        <v>RITA ANDRADE</v>
      </c>
      <c r="D1537" t="str">
        <f>IFERROR(VLOOKUP(Tabela1[[#This Row],[CC]],CC!$A$1:$I$3869,3,0),"")</f>
        <v>SERASA</v>
      </c>
      <c r="E1537" t="str">
        <f>IFERROR(VLOOKUP(Tabela1[[#This Row],[CC]],CC!$A$1:$H$389,2,0),"")</f>
        <v>SERASA EXPERIAN (1360)</v>
      </c>
      <c r="F1537" t="s">
        <v>586</v>
      </c>
      <c r="G1537" s="107">
        <v>4575</v>
      </c>
      <c r="H1537" s="12">
        <v>45962</v>
      </c>
      <c r="I1537" s="24">
        <v>60900</v>
      </c>
      <c r="J1537" s="27">
        <v>57154.65</v>
      </c>
      <c r="K1537" s="3">
        <v>45988</v>
      </c>
      <c r="L1537" s="91">
        <v>46006</v>
      </c>
      <c r="M1537" s="11">
        <v>46006</v>
      </c>
      <c r="N1537" s="18" t="s">
        <v>588</v>
      </c>
      <c r="O1537" s="34"/>
      <c r="P1537"/>
      <c r="Q1537" t="str">
        <f>IFERROR(VLOOKUP(Tabela1[[#This Row],[CC]],CC!$A$1:$H$389,5,0),"")</f>
        <v>ADS</v>
      </c>
      <c r="R1537" t="str">
        <f>IFERROR(VLOOKUP(Tabela1[[#This Row],[CC]],CC!$A$1:$H$389,6,0),"")</f>
        <v>FS</v>
      </c>
      <c r="S1537" t="str">
        <f>IFERROR(VLOOKUP(Tabela1[[#This Row],[CC]],CC!$A$1:$H$403,8,0),"")</f>
        <v>OP1</v>
      </c>
      <c r="W1537" s="91"/>
    </row>
    <row r="1538" spans="1:23" x14ac:dyDescent="0.3">
      <c r="A1538" s="25">
        <v>1360</v>
      </c>
      <c r="B1538" s="25" t="str">
        <f>IFERROR(VLOOKUP(Tabela1[[#This Row],[CC]],#REF!,5,0),"")</f>
        <v/>
      </c>
      <c r="C1538" t="str">
        <f>IFERROR(VLOOKUP(Tabela1[[#This Row],[CC]],CC!$A$1:$H$389,7,0),"")</f>
        <v>RITA ANDRADE</v>
      </c>
      <c r="D1538" t="str">
        <f>IFERROR(VLOOKUP(Tabela1[[#This Row],[CC]],CC!$A$1:$I$3869,3,0),"")</f>
        <v>SERASA</v>
      </c>
      <c r="E1538" t="str">
        <f>IFERROR(VLOOKUP(Tabela1[[#This Row],[CC]],CC!$A$1:$H$389,2,0),"")</f>
        <v>SERASA EXPERIAN (1360)</v>
      </c>
      <c r="F1538" t="s">
        <v>586</v>
      </c>
      <c r="G1538" s="107">
        <v>4602</v>
      </c>
      <c r="H1538" s="12">
        <v>45962</v>
      </c>
      <c r="I1538" s="24">
        <v>40611.199999999997</v>
      </c>
      <c r="J1538" s="27">
        <v>38113.61</v>
      </c>
      <c r="K1538" s="3">
        <v>45992</v>
      </c>
      <c r="L1538" s="91">
        <v>46006</v>
      </c>
      <c r="M1538" s="11">
        <v>46006</v>
      </c>
      <c r="N1538" s="18" t="s">
        <v>588</v>
      </c>
      <c r="O1538" s="34"/>
      <c r="P1538"/>
      <c r="Q1538" t="str">
        <f>IFERROR(VLOOKUP(Tabela1[[#This Row],[CC]],CC!$A$1:$H$389,5,0),"")</f>
        <v>ADS</v>
      </c>
      <c r="R1538" t="str">
        <f>IFERROR(VLOOKUP(Tabela1[[#This Row],[CC]],CC!$A$1:$H$389,6,0),"")</f>
        <v>FS</v>
      </c>
      <c r="S1538" t="str">
        <f>IFERROR(VLOOKUP(Tabela1[[#This Row],[CC]],CC!$A$1:$H$403,8,0),"")</f>
        <v>OP1</v>
      </c>
      <c r="W1538" s="91"/>
    </row>
    <row r="1539" spans="1:23" x14ac:dyDescent="0.3">
      <c r="A1539" s="25">
        <v>1360</v>
      </c>
      <c r="B1539" s="25" t="str">
        <f>IFERROR(VLOOKUP(Tabela1[[#This Row],[CC]],#REF!,5,0),"")</f>
        <v/>
      </c>
      <c r="C1539" t="str">
        <f>IFERROR(VLOOKUP(Tabela1[[#This Row],[CC]],CC!$A$1:$H$389,7,0),"")</f>
        <v>RITA ANDRADE</v>
      </c>
      <c r="D1539" t="str">
        <f>IFERROR(VLOOKUP(Tabela1[[#This Row],[CC]],CC!$A$1:$I$3869,3,0),"")</f>
        <v>SERASA</v>
      </c>
      <c r="E1539" t="str">
        <f>IFERROR(VLOOKUP(Tabela1[[#This Row],[CC]],CC!$A$1:$H$389,2,0),"")</f>
        <v>SERASA EXPERIAN (1360)</v>
      </c>
      <c r="F1539" t="s">
        <v>586</v>
      </c>
      <c r="G1539" s="107">
        <v>4603</v>
      </c>
      <c r="H1539" s="12">
        <v>45962</v>
      </c>
      <c r="I1539" s="24">
        <v>12240</v>
      </c>
      <c r="J1539" s="27">
        <v>11487.24</v>
      </c>
      <c r="K1539" s="3">
        <v>45992</v>
      </c>
      <c r="L1539" s="91">
        <v>46006</v>
      </c>
      <c r="M1539" s="11">
        <v>46006</v>
      </c>
      <c r="N1539" s="18" t="s">
        <v>588</v>
      </c>
      <c r="O1539" s="34"/>
      <c r="P1539"/>
      <c r="Q1539" t="str">
        <f>IFERROR(VLOOKUP(Tabela1[[#This Row],[CC]],CC!$A$1:$H$389,5,0),"")</f>
        <v>ADS</v>
      </c>
      <c r="R1539" t="str">
        <f>IFERROR(VLOOKUP(Tabela1[[#This Row],[CC]],CC!$A$1:$H$389,6,0),"")</f>
        <v>FS</v>
      </c>
      <c r="S1539" t="str">
        <f>IFERROR(VLOOKUP(Tabela1[[#This Row],[CC]],CC!$A$1:$H$403,8,0),"")</f>
        <v>OP1</v>
      </c>
      <c r="W1539" s="91"/>
    </row>
    <row r="1540" spans="1:23" x14ac:dyDescent="0.3">
      <c r="A1540" s="25">
        <v>1360</v>
      </c>
      <c r="B1540" s="25" t="str">
        <f>IFERROR(VLOOKUP(Tabela1[[#This Row],[CC]],#REF!,5,0),"")</f>
        <v/>
      </c>
      <c r="C1540" t="str">
        <f>IFERROR(VLOOKUP(Tabela1[[#This Row],[CC]],CC!$A$1:$H$389,7,0),"")</f>
        <v>RITA ANDRADE</v>
      </c>
      <c r="D1540" t="str">
        <f>IFERROR(VLOOKUP(Tabela1[[#This Row],[CC]],CC!$A$1:$I$3869,3,0),"")</f>
        <v>SERASA</v>
      </c>
      <c r="E1540" t="str">
        <f>IFERROR(VLOOKUP(Tabela1[[#This Row],[CC]],CC!$A$1:$H$389,2,0),"")</f>
        <v>SERASA EXPERIAN (1360)</v>
      </c>
      <c r="F1540" t="s">
        <v>586</v>
      </c>
      <c r="G1540" s="107">
        <v>4604</v>
      </c>
      <c r="H1540" s="12">
        <v>45962</v>
      </c>
      <c r="I1540" s="24">
        <v>162622.72</v>
      </c>
      <c r="J1540" s="27">
        <v>152621.42000000001</v>
      </c>
      <c r="K1540" s="3">
        <v>45992</v>
      </c>
      <c r="L1540" s="91">
        <v>46006</v>
      </c>
      <c r="M1540" s="11">
        <v>46006</v>
      </c>
      <c r="N1540" s="18" t="s">
        <v>588</v>
      </c>
      <c r="O1540" s="34"/>
      <c r="P1540"/>
      <c r="Q1540" t="str">
        <f>IFERROR(VLOOKUP(Tabela1[[#This Row],[CC]],CC!$A$1:$H$389,5,0),"")</f>
        <v>ADS</v>
      </c>
      <c r="R1540" t="str">
        <f>IFERROR(VLOOKUP(Tabela1[[#This Row],[CC]],CC!$A$1:$H$389,6,0),"")</f>
        <v>FS</v>
      </c>
      <c r="S1540" t="str">
        <f>IFERROR(VLOOKUP(Tabela1[[#This Row],[CC]],CC!$A$1:$H$403,8,0),"")</f>
        <v>OP1</v>
      </c>
      <c r="W1540" s="91"/>
    </row>
    <row r="1541" spans="1:23" x14ac:dyDescent="0.3">
      <c r="A1541" s="25">
        <v>1387</v>
      </c>
      <c r="B1541" s="25" t="str">
        <f>IFERROR(VLOOKUP(Tabela1[[#This Row],[CC]],#REF!,5,0),"")</f>
        <v/>
      </c>
      <c r="C1541" t="str">
        <f>IFERROR(VLOOKUP(Tabela1[[#This Row],[CC]],CC!$A$1:$H$389,7,0),"")</f>
        <v>RITA ANDRADE</v>
      </c>
      <c r="D1541" t="str">
        <f>IFERROR(VLOOKUP(Tabela1[[#This Row],[CC]],CC!$A$1:$I$3869,3,0),"")</f>
        <v>SERASA</v>
      </c>
      <c r="E1541" t="str">
        <f>IFERROR(VLOOKUP(Tabela1[[#This Row],[CC]],CC!$A$1:$H$389,2,0),"")</f>
        <v>SERASA DC (1387)</v>
      </c>
      <c r="F1541" t="s">
        <v>586</v>
      </c>
      <c r="G1541" s="107">
        <v>4556</v>
      </c>
      <c r="H1541" s="12">
        <v>45962</v>
      </c>
      <c r="I1541" s="24">
        <v>26362.44</v>
      </c>
      <c r="J1541" s="24">
        <v>24741.15</v>
      </c>
      <c r="K1541" s="3">
        <v>45985</v>
      </c>
      <c r="L1541" s="91">
        <v>46006</v>
      </c>
      <c r="M1541" s="11">
        <v>46006</v>
      </c>
      <c r="N1541" s="18" t="s">
        <v>588</v>
      </c>
      <c r="O1541" s="34"/>
      <c r="P1541"/>
      <c r="Q1541" t="str">
        <f>IFERROR(VLOOKUP(Tabela1[[#This Row],[CC]],CC!$A$1:$H$389,5,0),"")</f>
        <v>CSA</v>
      </c>
      <c r="R1541" t="str">
        <f>IFERROR(VLOOKUP(Tabela1[[#This Row],[CC]],CC!$A$1:$H$389,6,0),"")</f>
        <v>FS</v>
      </c>
      <c r="S1541" t="str">
        <f>IFERROR(VLOOKUP(Tabela1[[#This Row],[CC]],CC!$A$1:$H$403,8,0),"")</f>
        <v>OP1</v>
      </c>
      <c r="W1541" s="91"/>
    </row>
    <row r="1542" spans="1:23" x14ac:dyDescent="0.3">
      <c r="A1542" s="25">
        <v>1387</v>
      </c>
      <c r="B1542" s="25" t="str">
        <f>IFERROR(VLOOKUP(Tabela1[[#This Row],[CC]],#REF!,5,0),"")</f>
        <v/>
      </c>
      <c r="C1542" t="str">
        <f>IFERROR(VLOOKUP(Tabela1[[#This Row],[CC]],CC!$A$1:$H$389,7,0),"")</f>
        <v>RITA ANDRADE</v>
      </c>
      <c r="D1542" t="str">
        <f>IFERROR(VLOOKUP(Tabela1[[#This Row],[CC]],CC!$A$1:$I$3869,3,0),"")</f>
        <v>SERASA</v>
      </c>
      <c r="E1542" t="str">
        <f>IFERROR(VLOOKUP(Tabela1[[#This Row],[CC]],CC!$A$1:$H$389,2,0),"")</f>
        <v>SERASA DC (1387)</v>
      </c>
      <c r="F1542" t="s">
        <v>586</v>
      </c>
      <c r="G1542" s="107">
        <v>4568</v>
      </c>
      <c r="H1542" s="12">
        <v>45931</v>
      </c>
      <c r="I1542" s="24">
        <v>46690</v>
      </c>
      <c r="J1542" s="24">
        <v>43818.559999999998</v>
      </c>
      <c r="K1542" s="3">
        <v>45986</v>
      </c>
      <c r="L1542" s="91">
        <v>46006</v>
      </c>
      <c r="M1542" s="11">
        <v>46006</v>
      </c>
      <c r="N1542" s="18" t="s">
        <v>588</v>
      </c>
      <c r="O1542" s="34"/>
      <c r="P1542"/>
      <c r="Q1542" t="str">
        <f>IFERROR(VLOOKUP(Tabela1[[#This Row],[CC]],CC!$A$1:$H$389,5,0),"")</f>
        <v>CSA</v>
      </c>
      <c r="R1542" t="str">
        <f>IFERROR(VLOOKUP(Tabela1[[#This Row],[CC]],CC!$A$1:$H$389,6,0),"")</f>
        <v>FS</v>
      </c>
      <c r="S1542" t="str">
        <f>IFERROR(VLOOKUP(Tabela1[[#This Row],[CC]],CC!$A$1:$H$403,8,0),"")</f>
        <v>OP1</v>
      </c>
      <c r="W1542" s="91"/>
    </row>
    <row r="1543" spans="1:23" x14ac:dyDescent="0.3">
      <c r="A1543" s="25">
        <v>1360</v>
      </c>
      <c r="B1543" s="25" t="str">
        <f>IFERROR(VLOOKUP(Tabela1[[#This Row],[CC]],#REF!,5,0),"")</f>
        <v/>
      </c>
      <c r="C1543" t="str">
        <f>IFERROR(VLOOKUP(Tabela1[[#This Row],[CC]],CC!$A$1:$H$389,7,0),"")</f>
        <v>RITA ANDRADE</v>
      </c>
      <c r="D1543" t="str">
        <f>IFERROR(VLOOKUP(Tabela1[[#This Row],[CC]],CC!$A$1:$I$3869,3,0),"")</f>
        <v>SERASA</v>
      </c>
      <c r="E1543" t="str">
        <f>IFERROR(VLOOKUP(Tabela1[[#This Row],[CC]],CC!$A$1:$H$389,2,0),"")</f>
        <v>SERASA EXPERIAN (1360)</v>
      </c>
      <c r="F1543" t="s">
        <v>586</v>
      </c>
      <c r="G1543" s="107">
        <v>4611</v>
      </c>
      <c r="H1543" s="12">
        <v>45992</v>
      </c>
      <c r="I1543" s="24">
        <v>77317.600000000006</v>
      </c>
      <c r="J1543" s="27">
        <v>72562.570000000007</v>
      </c>
      <c r="K1543" s="3">
        <v>45994</v>
      </c>
      <c r="L1543" s="91">
        <v>46006</v>
      </c>
      <c r="M1543" s="11">
        <v>46009</v>
      </c>
      <c r="N1543" s="18" t="s">
        <v>588</v>
      </c>
      <c r="O1543" s="34"/>
      <c r="P1543"/>
      <c r="Q1543" t="str">
        <f>IFERROR(VLOOKUP(Tabela1[[#This Row],[CC]],CC!$A$1:$H$389,5,0),"")</f>
        <v>ADS</v>
      </c>
      <c r="R1543" t="str">
        <f>IFERROR(VLOOKUP(Tabela1[[#This Row],[CC]],CC!$A$1:$H$389,6,0),"")</f>
        <v>FS</v>
      </c>
      <c r="S1543" t="str">
        <f>IFERROR(VLOOKUP(Tabela1[[#This Row],[CC]],CC!$A$1:$H$403,8,0),"")</f>
        <v>OP1</v>
      </c>
      <c r="W1543" s="91"/>
    </row>
    <row r="1544" spans="1:23" x14ac:dyDescent="0.3">
      <c r="A1544" s="25">
        <v>1360</v>
      </c>
      <c r="B1544" s="25" t="str">
        <f>IFERROR(VLOOKUP(Tabela1[[#This Row],[CC]],#REF!,5,0),"")</f>
        <v/>
      </c>
      <c r="C1544" t="str">
        <f>IFERROR(VLOOKUP(Tabela1[[#This Row],[CC]],CC!$A$1:$H$389,7,0),"")</f>
        <v>RITA ANDRADE</v>
      </c>
      <c r="D1544" t="str">
        <f>IFERROR(VLOOKUP(Tabela1[[#This Row],[CC]],CC!$A$1:$I$3869,3,0),"")</f>
        <v>SERASA</v>
      </c>
      <c r="E1544" t="str">
        <f>IFERROR(VLOOKUP(Tabela1[[#This Row],[CC]],CC!$A$1:$H$389,2,0),"")</f>
        <v>SERASA EXPERIAN (1360)</v>
      </c>
      <c r="F1544" t="s">
        <v>586</v>
      </c>
      <c r="G1544" s="107">
        <v>4613</v>
      </c>
      <c r="H1544" s="12">
        <v>45992</v>
      </c>
      <c r="I1544" s="24">
        <v>104251.92</v>
      </c>
      <c r="J1544" s="27">
        <v>97840.42</v>
      </c>
      <c r="K1544" s="3">
        <v>45994</v>
      </c>
      <c r="L1544" s="91">
        <v>46006</v>
      </c>
      <c r="M1544" s="11">
        <v>46009</v>
      </c>
      <c r="N1544" s="18" t="s">
        <v>588</v>
      </c>
      <c r="O1544" s="34"/>
      <c r="P1544"/>
      <c r="Q1544" t="str">
        <f>IFERROR(VLOOKUP(Tabela1[[#This Row],[CC]],CC!$A$1:$H$389,5,0),"")</f>
        <v>ADS</v>
      </c>
      <c r="R1544" t="str">
        <f>IFERROR(VLOOKUP(Tabela1[[#This Row],[CC]],CC!$A$1:$H$389,6,0),"")</f>
        <v>FS</v>
      </c>
      <c r="S1544" t="str">
        <f>IFERROR(VLOOKUP(Tabela1[[#This Row],[CC]],CC!$A$1:$H$403,8,0),"")</f>
        <v>OP1</v>
      </c>
      <c r="W1544" s="91"/>
    </row>
    <row r="1545" spans="1:23" x14ac:dyDescent="0.3">
      <c r="A1545" s="25">
        <v>1360</v>
      </c>
      <c r="B1545" s="25" t="str">
        <f>IFERROR(VLOOKUP(Tabela1[[#This Row],[CC]],#REF!,5,0),"")</f>
        <v/>
      </c>
      <c r="C1545" t="str">
        <f>IFERROR(VLOOKUP(Tabela1[[#This Row],[CC]],CC!$A$1:$H$389,7,0),"")</f>
        <v>RITA ANDRADE</v>
      </c>
      <c r="D1545" t="str">
        <f>IFERROR(VLOOKUP(Tabela1[[#This Row],[CC]],CC!$A$1:$I$3869,3,0),"")</f>
        <v>SERASA</v>
      </c>
      <c r="E1545" t="str">
        <f>IFERROR(VLOOKUP(Tabela1[[#This Row],[CC]],CC!$A$1:$H$389,2,0),"")</f>
        <v>SERASA EXPERIAN (1360)</v>
      </c>
      <c r="F1545" t="s">
        <v>586</v>
      </c>
      <c r="G1545" s="107">
        <v>4633</v>
      </c>
      <c r="H1545" s="12">
        <v>45992</v>
      </c>
      <c r="I1545" s="24">
        <v>29148</v>
      </c>
      <c r="J1545" s="27">
        <v>27355.4</v>
      </c>
      <c r="K1545" s="3">
        <v>45995</v>
      </c>
      <c r="L1545" s="91">
        <v>46006</v>
      </c>
      <c r="M1545" s="11">
        <v>46009</v>
      </c>
      <c r="N1545" s="18" t="s">
        <v>588</v>
      </c>
      <c r="O1545" s="34"/>
      <c r="P1545"/>
      <c r="Q1545" t="str">
        <f>IFERROR(VLOOKUP(Tabela1[[#This Row],[CC]],CC!$A$1:$H$389,5,0),"")</f>
        <v>ADS</v>
      </c>
      <c r="R1545" t="str">
        <f>IFERROR(VLOOKUP(Tabela1[[#This Row],[CC]],CC!$A$1:$H$389,6,0),"")</f>
        <v>FS</v>
      </c>
      <c r="S1545" t="str">
        <f>IFERROR(VLOOKUP(Tabela1[[#This Row],[CC]],CC!$A$1:$H$403,8,0),"")</f>
        <v>OP1</v>
      </c>
      <c r="W1545" s="91"/>
    </row>
    <row r="1546" spans="1:23" x14ac:dyDescent="0.3">
      <c r="A1546" s="25">
        <v>1360</v>
      </c>
      <c r="B1546" s="25" t="str">
        <f>IFERROR(VLOOKUP(Tabela1[[#This Row],[CC]],#REF!,5,0),"")</f>
        <v/>
      </c>
      <c r="C1546" t="str">
        <f>IFERROR(VLOOKUP(Tabela1[[#This Row],[CC]],CC!$A$1:$H$389,7,0),"")</f>
        <v>RITA ANDRADE</v>
      </c>
      <c r="D1546" t="str">
        <f>IFERROR(VLOOKUP(Tabela1[[#This Row],[CC]],CC!$A$1:$I$3869,3,0),"")</f>
        <v>SERASA</v>
      </c>
      <c r="E1546" t="str">
        <f>IFERROR(VLOOKUP(Tabela1[[#This Row],[CC]],CC!$A$1:$H$389,2,0),"")</f>
        <v>SERASA EXPERIAN (1360)</v>
      </c>
      <c r="F1546" t="s">
        <v>586</v>
      </c>
      <c r="G1546" s="107">
        <v>4617</v>
      </c>
      <c r="H1546" s="12">
        <v>45992</v>
      </c>
      <c r="I1546" s="24">
        <v>99771.839999999997</v>
      </c>
      <c r="J1546" s="27">
        <v>93635.86</v>
      </c>
      <c r="K1546" s="3">
        <v>45995</v>
      </c>
      <c r="L1546" s="91">
        <v>46006</v>
      </c>
      <c r="M1546" s="11">
        <v>46009</v>
      </c>
      <c r="N1546" s="18" t="s">
        <v>588</v>
      </c>
      <c r="O1546" s="34"/>
      <c r="P1546"/>
      <c r="Q1546" t="str">
        <f>IFERROR(VLOOKUP(Tabela1[[#This Row],[CC]],CC!$A$1:$H$389,5,0),"")</f>
        <v>ADS</v>
      </c>
      <c r="R1546" t="str">
        <f>IFERROR(VLOOKUP(Tabela1[[#This Row],[CC]],CC!$A$1:$H$389,6,0),"")</f>
        <v>FS</v>
      </c>
      <c r="S1546" t="str">
        <f>IFERROR(VLOOKUP(Tabela1[[#This Row],[CC]],CC!$A$1:$H$403,8,0),"")</f>
        <v>OP1</v>
      </c>
      <c r="W1546" s="91"/>
    </row>
    <row r="1547" spans="1:23" x14ac:dyDescent="0.3">
      <c r="A1547" s="25">
        <v>1360</v>
      </c>
      <c r="B1547" s="25" t="str">
        <f>IFERROR(VLOOKUP(Tabela1[[#This Row],[CC]],#REF!,5,0),"")</f>
        <v/>
      </c>
      <c r="C1547" t="str">
        <f>IFERROR(VLOOKUP(Tabela1[[#This Row],[CC]],CC!$A$1:$H$389,7,0),"")</f>
        <v>RITA ANDRADE</v>
      </c>
      <c r="D1547" t="str">
        <f>IFERROR(VLOOKUP(Tabela1[[#This Row],[CC]],CC!$A$1:$I$3869,3,0),"")</f>
        <v>SERASA</v>
      </c>
      <c r="E1547" t="str">
        <f>IFERROR(VLOOKUP(Tabela1[[#This Row],[CC]],CC!$A$1:$H$389,2,0),"")</f>
        <v>SERASA EXPERIAN (1360)</v>
      </c>
      <c r="F1547" t="s">
        <v>586</v>
      </c>
      <c r="G1547" s="107">
        <v>4629</v>
      </c>
      <c r="H1547" s="12">
        <v>45992</v>
      </c>
      <c r="I1547" s="24">
        <v>58296</v>
      </c>
      <c r="J1547" s="27">
        <v>54710.8</v>
      </c>
      <c r="K1547" s="3">
        <v>45995</v>
      </c>
      <c r="L1547" s="91">
        <v>46006</v>
      </c>
      <c r="M1547" s="11">
        <v>46009</v>
      </c>
      <c r="N1547" s="18" t="s">
        <v>588</v>
      </c>
      <c r="O1547" s="34"/>
      <c r="P1547"/>
      <c r="Q1547" t="str">
        <f>IFERROR(VLOOKUP(Tabela1[[#This Row],[CC]],CC!$A$1:$H$389,5,0),"")</f>
        <v>ADS</v>
      </c>
      <c r="R1547" t="str">
        <f>IFERROR(VLOOKUP(Tabela1[[#This Row],[CC]],CC!$A$1:$H$389,6,0),"")</f>
        <v>FS</v>
      </c>
      <c r="S1547" t="str">
        <f>IFERROR(VLOOKUP(Tabela1[[#This Row],[CC]],CC!$A$1:$H$403,8,0),"")</f>
        <v>OP1</v>
      </c>
      <c r="W1547" s="91"/>
    </row>
    <row r="1548" spans="1:23" x14ac:dyDescent="0.3">
      <c r="A1548" s="25">
        <v>1360</v>
      </c>
      <c r="B1548" s="25" t="str">
        <f>IFERROR(VLOOKUP(Tabela1[[#This Row],[CC]],#REF!,5,0),"")</f>
        <v/>
      </c>
      <c r="C1548" t="str">
        <f>IFERROR(VLOOKUP(Tabela1[[#This Row],[CC]],CC!$A$1:$H$389,7,0),"")</f>
        <v>RITA ANDRADE</v>
      </c>
      <c r="D1548" t="str">
        <f>IFERROR(VLOOKUP(Tabela1[[#This Row],[CC]],CC!$A$1:$I$3869,3,0),"")</f>
        <v>SERASA</v>
      </c>
      <c r="E1548" t="str">
        <f>IFERROR(VLOOKUP(Tabela1[[#This Row],[CC]],CC!$A$1:$H$389,2,0),"")</f>
        <v>SERASA EXPERIAN (1360)</v>
      </c>
      <c r="F1548" t="s">
        <v>586</v>
      </c>
      <c r="G1548" s="107">
        <v>4630</v>
      </c>
      <c r="H1548" s="12">
        <v>45992</v>
      </c>
      <c r="I1548" s="24">
        <v>97497.600000000006</v>
      </c>
      <c r="J1548" s="27">
        <v>91501.5</v>
      </c>
      <c r="K1548" s="3">
        <v>45995</v>
      </c>
      <c r="L1548" s="91">
        <v>46006</v>
      </c>
      <c r="M1548" s="11">
        <v>46009</v>
      </c>
      <c r="N1548" s="18" t="s">
        <v>588</v>
      </c>
      <c r="O1548" s="34"/>
      <c r="P1548"/>
      <c r="Q1548" t="str">
        <f>IFERROR(VLOOKUP(Tabela1[[#This Row],[CC]],CC!$A$1:$H$389,5,0),"")</f>
        <v>ADS</v>
      </c>
      <c r="R1548" t="str">
        <f>IFERROR(VLOOKUP(Tabela1[[#This Row],[CC]],CC!$A$1:$H$389,6,0),"")</f>
        <v>FS</v>
      </c>
      <c r="S1548" t="str">
        <f>IFERROR(VLOOKUP(Tabela1[[#This Row],[CC]],CC!$A$1:$H$403,8,0),"")</f>
        <v>OP1</v>
      </c>
      <c r="W1548" s="91"/>
    </row>
    <row r="1549" spans="1:23" x14ac:dyDescent="0.3">
      <c r="A1549" s="25">
        <v>1360</v>
      </c>
      <c r="B1549" s="25" t="str">
        <f>IFERROR(VLOOKUP(Tabela1[[#This Row],[CC]],#REF!,5,0),"")</f>
        <v/>
      </c>
      <c r="C1549" t="str">
        <f>IFERROR(VLOOKUP(Tabela1[[#This Row],[CC]],CC!$A$1:$H$389,7,0),"")</f>
        <v>RITA ANDRADE</v>
      </c>
      <c r="D1549" t="str">
        <f>IFERROR(VLOOKUP(Tabela1[[#This Row],[CC]],CC!$A$1:$I$3869,3,0),"")</f>
        <v>SERASA</v>
      </c>
      <c r="E1549" t="str">
        <f>IFERROR(VLOOKUP(Tabela1[[#This Row],[CC]],CC!$A$1:$H$389,2,0),"")</f>
        <v>SERASA EXPERIAN (1360)</v>
      </c>
      <c r="F1549" t="s">
        <v>586</v>
      </c>
      <c r="G1549" s="107" t="s">
        <v>625</v>
      </c>
      <c r="H1549" s="12">
        <v>45992</v>
      </c>
      <c r="I1549" s="24">
        <v>39348</v>
      </c>
      <c r="J1549" s="27">
        <v>36928.1</v>
      </c>
      <c r="K1549" s="3">
        <v>45995</v>
      </c>
      <c r="L1549" s="91">
        <v>46006</v>
      </c>
      <c r="M1549" s="11">
        <v>46009</v>
      </c>
      <c r="N1549" s="18" t="s">
        <v>588</v>
      </c>
      <c r="O1549" s="34"/>
      <c r="P1549"/>
      <c r="Q1549" t="str">
        <f>IFERROR(VLOOKUP(Tabela1[[#This Row],[CC]],CC!$A$1:$H$389,5,0),"")</f>
        <v>ADS</v>
      </c>
      <c r="R1549" t="str">
        <f>IFERROR(VLOOKUP(Tabela1[[#This Row],[CC]],CC!$A$1:$H$389,6,0),"")</f>
        <v>FS</v>
      </c>
      <c r="S1549" t="str">
        <f>IFERROR(VLOOKUP(Tabela1[[#This Row],[CC]],CC!$A$1:$H$403,8,0),"")</f>
        <v>OP1</v>
      </c>
      <c r="W1549" s="91"/>
    </row>
    <row r="1550" spans="1:23" x14ac:dyDescent="0.3">
      <c r="A1550" s="25">
        <v>1360</v>
      </c>
      <c r="B1550" s="25" t="str">
        <f>IFERROR(VLOOKUP(Tabela1[[#This Row],[CC]],#REF!,5,0),"")</f>
        <v/>
      </c>
      <c r="C1550" t="str">
        <f>IFERROR(VLOOKUP(Tabela1[[#This Row],[CC]],CC!$A$1:$H$389,7,0),"")</f>
        <v>RITA ANDRADE</v>
      </c>
      <c r="D1550" t="str">
        <f>IFERROR(VLOOKUP(Tabela1[[#This Row],[CC]],CC!$A$1:$I$3869,3,0),"")</f>
        <v>SERASA</v>
      </c>
      <c r="E1550" t="str">
        <f>IFERROR(VLOOKUP(Tabela1[[#This Row],[CC]],CC!$A$1:$H$389,2,0),"")</f>
        <v>SERASA EXPERIAN (1360)</v>
      </c>
      <c r="F1550" t="s">
        <v>586</v>
      </c>
      <c r="G1550" s="107" t="s">
        <v>626</v>
      </c>
      <c r="H1550" s="12">
        <v>45992</v>
      </c>
      <c r="I1550" s="24">
        <v>5287.2</v>
      </c>
      <c r="J1550" s="27">
        <v>4962.03</v>
      </c>
      <c r="K1550" s="3">
        <v>45996</v>
      </c>
      <c r="L1550" s="91">
        <v>46006</v>
      </c>
      <c r="M1550" s="11">
        <v>46009</v>
      </c>
      <c r="N1550" s="18" t="s">
        <v>588</v>
      </c>
      <c r="O1550" s="34"/>
      <c r="P1550"/>
      <c r="Q1550" t="str">
        <f>IFERROR(VLOOKUP(Tabela1[[#This Row],[CC]],CC!$A$1:$H$389,5,0),"")</f>
        <v>ADS</v>
      </c>
      <c r="R1550" t="str">
        <f>IFERROR(VLOOKUP(Tabela1[[#This Row],[CC]],CC!$A$1:$H$389,6,0),"")</f>
        <v>FS</v>
      </c>
      <c r="S1550" t="str">
        <f>IFERROR(VLOOKUP(Tabela1[[#This Row],[CC]],CC!$A$1:$H$403,8,0),"")</f>
        <v>OP1</v>
      </c>
      <c r="W1550" s="91"/>
    </row>
    <row r="1551" spans="1:23" x14ac:dyDescent="0.3">
      <c r="A1551" s="25">
        <v>1360</v>
      </c>
      <c r="B1551" s="25" t="str">
        <f>IFERROR(VLOOKUP(Tabela1[[#This Row],[CC]],#REF!,5,0),"")</f>
        <v/>
      </c>
      <c r="C1551" t="str">
        <f>IFERROR(VLOOKUP(Tabela1[[#This Row],[CC]],CC!$A$1:$H$389,7,0),"")</f>
        <v>RITA ANDRADE</v>
      </c>
      <c r="D1551" t="str">
        <f>IFERROR(VLOOKUP(Tabela1[[#This Row],[CC]],CC!$A$1:$I$3869,3,0),"")</f>
        <v>SERASA</v>
      </c>
      <c r="E1551" t="str">
        <f>IFERROR(VLOOKUP(Tabela1[[#This Row],[CC]],CC!$A$1:$H$389,2,0),"")</f>
        <v>SERASA EXPERIAN (1360)</v>
      </c>
      <c r="F1551" t="s">
        <v>586</v>
      </c>
      <c r="G1551" s="107" t="s">
        <v>627</v>
      </c>
      <c r="H1551" s="12">
        <v>45992</v>
      </c>
      <c r="I1551" s="24">
        <v>7159.2</v>
      </c>
      <c r="J1551" s="27">
        <v>6718.91</v>
      </c>
      <c r="K1551" s="3">
        <v>45996</v>
      </c>
      <c r="L1551" s="91">
        <v>46006</v>
      </c>
      <c r="M1551" s="11">
        <v>46009</v>
      </c>
      <c r="N1551" s="18" t="s">
        <v>588</v>
      </c>
      <c r="O1551" s="34"/>
      <c r="P1551"/>
      <c r="Q1551" t="str">
        <f>IFERROR(VLOOKUP(Tabela1[[#This Row],[CC]],CC!$A$1:$H$389,5,0),"")</f>
        <v>ADS</v>
      </c>
      <c r="R1551" t="str">
        <f>IFERROR(VLOOKUP(Tabela1[[#This Row],[CC]],CC!$A$1:$H$389,6,0),"")</f>
        <v>FS</v>
      </c>
      <c r="S1551" t="str">
        <f>IFERROR(VLOOKUP(Tabela1[[#This Row],[CC]],CC!$A$1:$H$403,8,0),"")</f>
        <v>OP1</v>
      </c>
      <c r="W1551" s="91"/>
    </row>
    <row r="1552" spans="1:23" x14ac:dyDescent="0.3">
      <c r="A1552" s="25">
        <v>1360</v>
      </c>
      <c r="B1552" s="25" t="str">
        <f>IFERROR(VLOOKUP(Tabela1[[#This Row],[CC]],#REF!,5,0),"")</f>
        <v/>
      </c>
      <c r="C1552" t="str">
        <f>IFERROR(VLOOKUP(Tabela1[[#This Row],[CC]],CC!$A$1:$H$389,7,0),"")</f>
        <v>RITA ANDRADE</v>
      </c>
      <c r="D1552" t="str">
        <f>IFERROR(VLOOKUP(Tabela1[[#This Row],[CC]],CC!$A$1:$I$3869,3,0),"")</f>
        <v>SERASA</v>
      </c>
      <c r="E1552" t="str">
        <f>IFERROR(VLOOKUP(Tabela1[[#This Row],[CC]],CC!$A$1:$H$389,2,0),"")</f>
        <v>SERASA EXPERIAN (1360)</v>
      </c>
      <c r="F1552" t="s">
        <v>586</v>
      </c>
      <c r="G1552" s="107" t="s">
        <v>628</v>
      </c>
      <c r="H1552" s="12">
        <v>45992</v>
      </c>
      <c r="I1552" s="24">
        <v>22224</v>
      </c>
      <c r="J1552" s="27">
        <v>20857.23</v>
      </c>
      <c r="K1552" s="3">
        <v>46000</v>
      </c>
      <c r="L1552" s="91">
        <v>46006</v>
      </c>
      <c r="M1552" s="11">
        <v>46010</v>
      </c>
      <c r="N1552" s="18" t="s">
        <v>588</v>
      </c>
      <c r="O1552" s="34"/>
      <c r="P1552"/>
      <c r="Q1552" t="str">
        <f>IFERROR(VLOOKUP(Tabela1[[#This Row],[CC]],CC!$A$1:$H$389,5,0),"")</f>
        <v>ADS</v>
      </c>
      <c r="R1552" t="str">
        <f>IFERROR(VLOOKUP(Tabela1[[#This Row],[CC]],CC!$A$1:$H$389,6,0),"")</f>
        <v>FS</v>
      </c>
      <c r="S1552" t="str">
        <f>IFERROR(VLOOKUP(Tabela1[[#This Row],[CC]],CC!$A$1:$H$403,8,0),"")</f>
        <v>OP1</v>
      </c>
      <c r="W1552" s="91"/>
    </row>
    <row r="1553" spans="1:23" x14ac:dyDescent="0.3">
      <c r="A1553" s="25">
        <v>1360</v>
      </c>
      <c r="B1553" s="25" t="str">
        <f>IFERROR(VLOOKUP(Tabela1[[#This Row],[CC]],#REF!,5,0),"")</f>
        <v/>
      </c>
      <c r="C1553" t="str">
        <f>IFERROR(VLOOKUP(Tabela1[[#This Row],[CC]],CC!$A$1:$H$389,7,0),"")</f>
        <v>RITA ANDRADE</v>
      </c>
      <c r="D1553" t="str">
        <f>IFERROR(VLOOKUP(Tabela1[[#This Row],[CC]],CC!$A$1:$I$3869,3,0),"")</f>
        <v>SERASA</v>
      </c>
      <c r="E1553" t="str">
        <f>IFERROR(VLOOKUP(Tabela1[[#This Row],[CC]],CC!$A$1:$H$389,2,0),"")</f>
        <v>SERASA EXPERIAN (1360)</v>
      </c>
      <c r="F1553" t="s">
        <v>586</v>
      </c>
      <c r="G1553" s="107" t="s">
        <v>629</v>
      </c>
      <c r="H1553" s="12">
        <v>45992</v>
      </c>
      <c r="I1553" s="24">
        <v>59302.8</v>
      </c>
      <c r="J1553" s="27">
        <v>55655.68</v>
      </c>
      <c r="K1553" s="3">
        <v>46000</v>
      </c>
      <c r="L1553" s="91">
        <v>46006</v>
      </c>
      <c r="M1553" s="11">
        <v>46009</v>
      </c>
      <c r="N1553" s="18" t="s">
        <v>588</v>
      </c>
      <c r="O1553" s="34"/>
      <c r="P1553"/>
      <c r="Q1553" t="str">
        <f>IFERROR(VLOOKUP(Tabela1[[#This Row],[CC]],CC!$A$1:$H$389,5,0),"")</f>
        <v>ADS</v>
      </c>
      <c r="R1553" t="str">
        <f>IFERROR(VLOOKUP(Tabela1[[#This Row],[CC]],CC!$A$1:$H$389,6,0),"")</f>
        <v>FS</v>
      </c>
      <c r="S1553" t="str">
        <f>IFERROR(VLOOKUP(Tabela1[[#This Row],[CC]],CC!$A$1:$H$403,8,0),"")</f>
        <v>OP1</v>
      </c>
      <c r="W1553" s="91"/>
    </row>
    <row r="1554" spans="1:23" x14ac:dyDescent="0.3">
      <c r="A1554" s="25">
        <v>1360</v>
      </c>
      <c r="B1554" s="25" t="str">
        <f>IFERROR(VLOOKUP(Tabela1[[#This Row],[CC]],#REF!,5,0),"")</f>
        <v/>
      </c>
      <c r="C1554" t="str">
        <f>IFERROR(VLOOKUP(Tabela1[[#This Row],[CC]],CC!$A$1:$H$389,7,0),"")</f>
        <v>RITA ANDRADE</v>
      </c>
      <c r="D1554" t="str">
        <f>IFERROR(VLOOKUP(Tabela1[[#This Row],[CC]],CC!$A$1:$I$3869,3,0),"")</f>
        <v>SERASA</v>
      </c>
      <c r="E1554" t="str">
        <f>IFERROR(VLOOKUP(Tabela1[[#This Row],[CC]],CC!$A$1:$H$389,2,0),"")</f>
        <v>SERASA EXPERIAN (1360)</v>
      </c>
      <c r="F1554" t="s">
        <v>586</v>
      </c>
      <c r="G1554" s="107" t="s">
        <v>630</v>
      </c>
      <c r="H1554" s="12">
        <v>45992</v>
      </c>
      <c r="I1554" s="24">
        <v>33959.519999999997</v>
      </c>
      <c r="J1554" s="27">
        <v>31871</v>
      </c>
      <c r="K1554" s="3">
        <v>46000</v>
      </c>
      <c r="L1554" s="91">
        <v>46006</v>
      </c>
      <c r="M1554" s="11">
        <v>46010</v>
      </c>
      <c r="N1554" s="18" t="s">
        <v>588</v>
      </c>
      <c r="O1554" s="34"/>
      <c r="P1554"/>
      <c r="Q1554" t="str">
        <f>IFERROR(VLOOKUP(Tabela1[[#This Row],[CC]],CC!$A$1:$H$389,5,0),"")</f>
        <v>ADS</v>
      </c>
      <c r="R1554" t="str">
        <f>IFERROR(VLOOKUP(Tabela1[[#This Row],[CC]],CC!$A$1:$H$389,6,0),"")</f>
        <v>FS</v>
      </c>
      <c r="S1554" t="str">
        <f>IFERROR(VLOOKUP(Tabela1[[#This Row],[CC]],CC!$A$1:$H$403,8,0),"")</f>
        <v>OP1</v>
      </c>
      <c r="W1554" s="91"/>
    </row>
    <row r="1555" spans="1:23" x14ac:dyDescent="0.3">
      <c r="A1555" s="25">
        <v>1360</v>
      </c>
      <c r="B1555" s="25" t="str">
        <f>IFERROR(VLOOKUP(Tabela1[[#This Row],[CC]],#REF!,5,0),"")</f>
        <v/>
      </c>
      <c r="C1555" t="str">
        <f>IFERROR(VLOOKUP(Tabela1[[#This Row],[CC]],CC!$A$1:$H$389,7,0),"")</f>
        <v>RITA ANDRADE</v>
      </c>
      <c r="D1555" t="str">
        <f>IFERROR(VLOOKUP(Tabela1[[#This Row],[CC]],CC!$A$1:$I$3869,3,0),"")</f>
        <v>SERASA</v>
      </c>
      <c r="E1555" t="str">
        <f>IFERROR(VLOOKUP(Tabela1[[#This Row],[CC]],CC!$A$1:$H$389,2,0),"")</f>
        <v>SERASA EXPERIAN (1360)</v>
      </c>
      <c r="F1555" t="s">
        <v>586</v>
      </c>
      <c r="G1555" s="107" t="s">
        <v>631</v>
      </c>
      <c r="H1555" s="12">
        <v>45992</v>
      </c>
      <c r="I1555" s="24">
        <v>25062</v>
      </c>
      <c r="J1555" s="27">
        <v>23520.69</v>
      </c>
      <c r="K1555" s="3">
        <v>46002</v>
      </c>
      <c r="L1555" s="91">
        <v>46006</v>
      </c>
      <c r="M1555" s="11">
        <v>46009</v>
      </c>
      <c r="N1555" s="18" t="s">
        <v>588</v>
      </c>
      <c r="O1555" s="34"/>
      <c r="P1555"/>
      <c r="Q1555" t="str">
        <f>IFERROR(VLOOKUP(Tabela1[[#This Row],[CC]],CC!$A$1:$H$389,5,0),"")</f>
        <v>ADS</v>
      </c>
      <c r="R1555" t="str">
        <f>IFERROR(VLOOKUP(Tabela1[[#This Row],[CC]],CC!$A$1:$H$389,6,0),"")</f>
        <v>FS</v>
      </c>
      <c r="S1555" t="str">
        <f>IFERROR(VLOOKUP(Tabela1[[#This Row],[CC]],CC!$A$1:$H$403,8,0),"")</f>
        <v>OP1</v>
      </c>
      <c r="W1555" s="91"/>
    </row>
    <row r="1556" spans="1:23" x14ac:dyDescent="0.3">
      <c r="A1556" s="25">
        <v>1360</v>
      </c>
      <c r="B1556" s="25" t="str">
        <f>IFERROR(VLOOKUP(Tabela1[[#This Row],[CC]],#REF!,5,0),"")</f>
        <v/>
      </c>
      <c r="C1556" t="str">
        <f>IFERROR(VLOOKUP(Tabela1[[#This Row],[CC]],CC!$A$1:$H$389,7,0),"")</f>
        <v>RITA ANDRADE</v>
      </c>
      <c r="D1556" t="str">
        <f>IFERROR(VLOOKUP(Tabela1[[#This Row],[CC]],CC!$A$1:$I$3869,3,0),"")</f>
        <v>SERASA</v>
      </c>
      <c r="E1556" t="str">
        <f>IFERROR(VLOOKUP(Tabela1[[#This Row],[CC]],CC!$A$1:$H$389,2,0),"")</f>
        <v>SERASA EXPERIAN (1360)</v>
      </c>
      <c r="F1556" t="s">
        <v>586</v>
      </c>
      <c r="G1556" s="107" t="s">
        <v>632</v>
      </c>
      <c r="H1556" s="12">
        <v>45992</v>
      </c>
      <c r="I1556" s="24">
        <v>140402.88</v>
      </c>
      <c r="J1556" s="27">
        <v>131768.1</v>
      </c>
      <c r="K1556" s="3">
        <v>46000</v>
      </c>
      <c r="L1556" s="91">
        <v>46006</v>
      </c>
      <c r="M1556" s="11">
        <v>46009</v>
      </c>
      <c r="N1556" s="18" t="s">
        <v>588</v>
      </c>
      <c r="O1556" s="34"/>
      <c r="P1556"/>
      <c r="Q1556" t="str">
        <f>IFERROR(VLOOKUP(Tabela1[[#This Row],[CC]],CC!$A$1:$H$389,5,0),"")</f>
        <v>ADS</v>
      </c>
      <c r="R1556" t="str">
        <f>IFERROR(VLOOKUP(Tabela1[[#This Row],[CC]],CC!$A$1:$H$389,6,0),"")</f>
        <v>FS</v>
      </c>
      <c r="S1556" t="str">
        <f>IFERROR(VLOOKUP(Tabela1[[#This Row],[CC]],CC!$A$1:$H$403,8,0),"")</f>
        <v>OP1</v>
      </c>
      <c r="W1556" s="91"/>
    </row>
    <row r="1557" spans="1:23" x14ac:dyDescent="0.3">
      <c r="A1557" s="25">
        <v>1360</v>
      </c>
      <c r="B1557" s="25" t="str">
        <f>IFERROR(VLOOKUP(Tabela1[[#This Row],[CC]],#REF!,5,0),"")</f>
        <v/>
      </c>
      <c r="C1557" t="str">
        <f>IFERROR(VLOOKUP(Tabela1[[#This Row],[CC]],CC!$A$1:$H$389,7,0),"")</f>
        <v>RITA ANDRADE</v>
      </c>
      <c r="D1557" t="str">
        <f>IFERROR(VLOOKUP(Tabela1[[#This Row],[CC]],CC!$A$1:$I$3869,3,0),"")</f>
        <v>SERASA</v>
      </c>
      <c r="E1557" t="str">
        <f>IFERROR(VLOOKUP(Tabela1[[#This Row],[CC]],CC!$A$1:$H$389,2,0),"")</f>
        <v>SERASA EXPERIAN (1360)</v>
      </c>
      <c r="F1557" t="s">
        <v>586</v>
      </c>
      <c r="G1557" s="107">
        <v>4615</v>
      </c>
      <c r="H1557" s="12">
        <v>45992</v>
      </c>
      <c r="I1557" s="24">
        <v>19668</v>
      </c>
      <c r="J1557" s="24">
        <v>18458.419999999998</v>
      </c>
      <c r="K1557" s="3">
        <v>45994</v>
      </c>
      <c r="L1557" s="91">
        <v>46006</v>
      </c>
      <c r="M1557" s="11">
        <v>46009</v>
      </c>
      <c r="N1557" s="18" t="s">
        <v>588</v>
      </c>
      <c r="O1557" s="34"/>
      <c r="P1557"/>
      <c r="Q1557" t="str">
        <f>IFERROR(VLOOKUP(Tabela1[[#This Row],[CC]],CC!$A$1:$H$389,5,0),"")</f>
        <v>ADS</v>
      </c>
      <c r="R1557" t="str">
        <f>IFERROR(VLOOKUP(Tabela1[[#This Row],[CC]],CC!$A$1:$H$389,6,0),"")</f>
        <v>FS</v>
      </c>
      <c r="S1557" t="str">
        <f>IFERROR(VLOOKUP(Tabela1[[#This Row],[CC]],CC!$A$1:$H$403,8,0),"")</f>
        <v>OP1</v>
      </c>
      <c r="W1557" s="91"/>
    </row>
    <row r="1558" spans="1:23" x14ac:dyDescent="0.3">
      <c r="A1558" s="25">
        <v>1360</v>
      </c>
      <c r="B1558" s="25" t="str">
        <f>IFERROR(VLOOKUP(Tabela1[[#This Row],[CC]],#REF!,5,0),"")</f>
        <v/>
      </c>
      <c r="C1558" t="str">
        <f>IFERROR(VLOOKUP(Tabela1[[#This Row],[CC]],CC!$A$1:$H$389,7,0),"")</f>
        <v>RITA ANDRADE</v>
      </c>
      <c r="D1558" t="str">
        <f>IFERROR(VLOOKUP(Tabela1[[#This Row],[CC]],CC!$A$1:$I$3869,3,0),"")</f>
        <v>SERASA</v>
      </c>
      <c r="E1558" t="str">
        <f>IFERROR(VLOOKUP(Tabela1[[#This Row],[CC]],CC!$A$1:$H$389,2,0),"")</f>
        <v>SERASA EXPERIAN (1360)</v>
      </c>
      <c r="F1558" t="s">
        <v>586</v>
      </c>
      <c r="G1558" s="107" t="s">
        <v>633</v>
      </c>
      <c r="H1558" s="12">
        <v>45992</v>
      </c>
      <c r="I1558" s="24">
        <v>10200</v>
      </c>
      <c r="J1558" s="24">
        <v>9572.7000000000007</v>
      </c>
      <c r="K1558" s="3">
        <v>45995</v>
      </c>
      <c r="L1558" s="91">
        <v>46006</v>
      </c>
      <c r="M1558" s="11">
        <v>46009</v>
      </c>
      <c r="N1558" s="18" t="s">
        <v>588</v>
      </c>
      <c r="O1558" s="34"/>
      <c r="P1558"/>
      <c r="Q1558" t="str">
        <f>IFERROR(VLOOKUP(Tabela1[[#This Row],[CC]],CC!$A$1:$H$389,5,0),"")</f>
        <v>ADS</v>
      </c>
      <c r="R1558" t="str">
        <f>IFERROR(VLOOKUP(Tabela1[[#This Row],[CC]],CC!$A$1:$H$389,6,0),"")</f>
        <v>FS</v>
      </c>
      <c r="S1558" t="str">
        <f>IFERROR(VLOOKUP(Tabela1[[#This Row],[CC]],CC!$A$1:$H$403,8,0),"")</f>
        <v>OP1</v>
      </c>
      <c r="W1558" s="91"/>
    </row>
    <row r="1559" spans="1:23" x14ac:dyDescent="0.3">
      <c r="A1559" s="25">
        <v>1360</v>
      </c>
      <c r="B1559" s="25" t="str">
        <f>IFERROR(VLOOKUP(Tabela1[[#This Row],[CC]],#REF!,5,0),"")</f>
        <v/>
      </c>
      <c r="C1559" t="str">
        <f>IFERROR(VLOOKUP(Tabela1[[#This Row],[CC]],CC!$A$1:$H$389,7,0),"")</f>
        <v>RITA ANDRADE</v>
      </c>
      <c r="D1559" t="str">
        <f>IFERROR(VLOOKUP(Tabela1[[#This Row],[CC]],CC!$A$1:$I$3869,3,0),"")</f>
        <v>SERASA</v>
      </c>
      <c r="E1559" t="str">
        <f>IFERROR(VLOOKUP(Tabela1[[#This Row],[CC]],CC!$A$1:$H$389,2,0),"")</f>
        <v>SERASA EXPERIAN (1360)</v>
      </c>
      <c r="F1559" t="s">
        <v>586</v>
      </c>
      <c r="G1559" s="107" t="s">
        <v>634</v>
      </c>
      <c r="H1559" s="12">
        <v>45992</v>
      </c>
      <c r="I1559" s="24">
        <v>11600.64</v>
      </c>
      <c r="J1559" s="24">
        <v>10887.2</v>
      </c>
      <c r="K1559" s="3">
        <v>46000</v>
      </c>
      <c r="L1559" s="91">
        <v>46006</v>
      </c>
      <c r="M1559" s="11">
        <v>46009</v>
      </c>
      <c r="N1559" s="18" t="s">
        <v>588</v>
      </c>
      <c r="O1559" s="34"/>
      <c r="P1559"/>
      <c r="Q1559" t="str">
        <f>IFERROR(VLOOKUP(Tabela1[[#This Row],[CC]],CC!$A$1:$H$389,5,0),"")</f>
        <v>ADS</v>
      </c>
      <c r="R1559" t="str">
        <f>IFERROR(VLOOKUP(Tabela1[[#This Row],[CC]],CC!$A$1:$H$389,6,0),"")</f>
        <v>FS</v>
      </c>
      <c r="S1559" t="str">
        <f>IFERROR(VLOOKUP(Tabela1[[#This Row],[CC]],CC!$A$1:$H$403,8,0),"")</f>
        <v>OP1</v>
      </c>
      <c r="W1559" s="91"/>
    </row>
    <row r="1560" spans="1:23" x14ac:dyDescent="0.3">
      <c r="A1560" s="25">
        <v>1360</v>
      </c>
      <c r="B1560" s="25" t="str">
        <f>IFERROR(VLOOKUP(Tabela1[[#This Row],[CC]],#REF!,5,0),"")</f>
        <v/>
      </c>
      <c r="C1560" t="str">
        <f>IFERROR(VLOOKUP(Tabela1[[#This Row],[CC]],CC!$A$1:$H$389,7,0),"")</f>
        <v>RITA ANDRADE</v>
      </c>
      <c r="D1560" t="str">
        <f>IFERROR(VLOOKUP(Tabela1[[#This Row],[CC]],CC!$A$1:$I$3869,3,0),"")</f>
        <v>SERASA</v>
      </c>
      <c r="E1560" t="str">
        <f>IFERROR(VLOOKUP(Tabela1[[#This Row],[CC]],CC!$A$1:$H$389,2,0),"")</f>
        <v>SERASA EXPERIAN (1360)</v>
      </c>
      <c r="F1560" t="s">
        <v>586</v>
      </c>
      <c r="G1560" s="107" t="s">
        <v>635</v>
      </c>
      <c r="H1560" s="12">
        <v>45992</v>
      </c>
      <c r="I1560" s="24">
        <v>23160</v>
      </c>
      <c r="J1560" s="27">
        <v>21735.66</v>
      </c>
      <c r="K1560" s="3">
        <v>46000</v>
      </c>
      <c r="L1560" s="91">
        <v>46006</v>
      </c>
      <c r="M1560" s="11">
        <v>46010</v>
      </c>
      <c r="N1560" s="18" t="s">
        <v>588</v>
      </c>
      <c r="O1560" s="34"/>
      <c r="P1560"/>
      <c r="Q1560" t="str">
        <f>IFERROR(VLOOKUP(Tabela1[[#This Row],[CC]],CC!$A$1:$H$389,5,0),"")</f>
        <v>ADS</v>
      </c>
      <c r="R1560" t="str">
        <f>IFERROR(VLOOKUP(Tabela1[[#This Row],[CC]],CC!$A$1:$H$389,6,0),"")</f>
        <v>FS</v>
      </c>
      <c r="S1560" t="str">
        <f>IFERROR(VLOOKUP(Tabela1[[#This Row],[CC]],CC!$A$1:$H$403,8,0),"")</f>
        <v>OP1</v>
      </c>
      <c r="W1560" s="91"/>
    </row>
    <row r="1561" spans="1:23" x14ac:dyDescent="0.3">
      <c r="A1561" s="25">
        <v>1360</v>
      </c>
      <c r="B1561" s="25" t="str">
        <f>IFERROR(VLOOKUP(Tabela1[[#This Row],[CC]],#REF!,5,0),"")</f>
        <v/>
      </c>
      <c r="C1561" t="str">
        <f>IFERROR(VLOOKUP(Tabela1[[#This Row],[CC]],CC!$A$1:$H$389,7,0),"")</f>
        <v>RITA ANDRADE</v>
      </c>
      <c r="D1561" t="str">
        <f>IFERROR(VLOOKUP(Tabela1[[#This Row],[CC]],CC!$A$1:$I$3869,3,0),"")</f>
        <v>SERASA</v>
      </c>
      <c r="E1561" t="str">
        <f>IFERROR(VLOOKUP(Tabela1[[#This Row],[CC]],CC!$A$1:$H$389,2,0),"")</f>
        <v>SERASA EXPERIAN (1360)</v>
      </c>
      <c r="F1561" t="s">
        <v>586</v>
      </c>
      <c r="G1561" s="107" t="s">
        <v>636</v>
      </c>
      <c r="H1561" s="12">
        <v>45992</v>
      </c>
      <c r="I1561" s="24">
        <v>27535.200000000001</v>
      </c>
      <c r="J1561" s="24">
        <v>25841.78</v>
      </c>
      <c r="K1561" s="3">
        <v>45996</v>
      </c>
      <c r="L1561" s="91">
        <v>46006</v>
      </c>
      <c r="M1561" s="11">
        <v>46009</v>
      </c>
      <c r="N1561" s="18" t="s">
        <v>588</v>
      </c>
      <c r="O1561" s="34"/>
      <c r="P1561"/>
      <c r="Q1561" t="str">
        <f>IFERROR(VLOOKUP(Tabela1[[#This Row],[CC]],CC!$A$1:$H$389,5,0),"")</f>
        <v>ADS</v>
      </c>
      <c r="R1561" t="str">
        <f>IFERROR(VLOOKUP(Tabela1[[#This Row],[CC]],CC!$A$1:$H$389,6,0),"")</f>
        <v>FS</v>
      </c>
      <c r="S1561" t="str">
        <f>IFERROR(VLOOKUP(Tabela1[[#This Row],[CC]],CC!$A$1:$H$403,8,0),"")</f>
        <v>OP1</v>
      </c>
      <c r="W1561" s="91"/>
    </row>
    <row r="1562" spans="1:23" x14ac:dyDescent="0.3">
      <c r="A1562" s="25">
        <v>1360</v>
      </c>
      <c r="B1562" s="25" t="str">
        <f>IFERROR(VLOOKUP(Tabela1[[#This Row],[CC]],#REF!,5,0),"")</f>
        <v/>
      </c>
      <c r="C1562" t="str">
        <f>IFERROR(VLOOKUP(Tabela1[[#This Row],[CC]],CC!$A$1:$H$389,7,0),"")</f>
        <v>RITA ANDRADE</v>
      </c>
      <c r="D1562" t="str">
        <f>IFERROR(VLOOKUP(Tabela1[[#This Row],[CC]],CC!$A$1:$I$3869,3,0),"")</f>
        <v>SERASA</v>
      </c>
      <c r="E1562" t="str">
        <f>IFERROR(VLOOKUP(Tabela1[[#This Row],[CC]],CC!$A$1:$H$389,2,0),"")</f>
        <v>SERASA EXPERIAN (1360)</v>
      </c>
      <c r="F1562" t="s">
        <v>586</v>
      </c>
      <c r="G1562" s="107" t="s">
        <v>637</v>
      </c>
      <c r="H1562" s="12">
        <v>45992</v>
      </c>
      <c r="I1562" s="24">
        <v>19371.599999999999</v>
      </c>
      <c r="J1562" s="24">
        <v>18180.240000000002</v>
      </c>
      <c r="K1562" s="3">
        <v>45996</v>
      </c>
      <c r="L1562" s="91">
        <v>46006</v>
      </c>
      <c r="M1562" s="11">
        <v>46009</v>
      </c>
      <c r="N1562" s="18" t="s">
        <v>588</v>
      </c>
      <c r="O1562" s="34"/>
      <c r="P1562"/>
      <c r="Q1562" t="str">
        <f>IFERROR(VLOOKUP(Tabela1[[#This Row],[CC]],CC!$A$1:$H$389,5,0),"")</f>
        <v>ADS</v>
      </c>
      <c r="R1562" t="str">
        <f>IFERROR(VLOOKUP(Tabela1[[#This Row],[CC]],CC!$A$1:$H$389,6,0),"")</f>
        <v>FS</v>
      </c>
      <c r="S1562" t="str">
        <f>IFERROR(VLOOKUP(Tabela1[[#This Row],[CC]],CC!$A$1:$H$403,8,0),"")</f>
        <v>OP1</v>
      </c>
      <c r="W1562" s="91"/>
    </row>
    <row r="1563" spans="1:23" x14ac:dyDescent="0.3">
      <c r="A1563" s="25">
        <v>1360</v>
      </c>
      <c r="B1563" s="25" t="str">
        <f>IFERROR(VLOOKUP(Tabela1[[#This Row],[CC]],#REF!,5,0),"")</f>
        <v/>
      </c>
      <c r="C1563" t="str">
        <f>IFERROR(VLOOKUP(Tabela1[[#This Row],[CC]],CC!$A$1:$H$389,7,0),"")</f>
        <v>RITA ANDRADE</v>
      </c>
      <c r="D1563" t="str">
        <f>IFERROR(VLOOKUP(Tabela1[[#This Row],[CC]],CC!$A$1:$I$3869,3,0),"")</f>
        <v>SERASA</v>
      </c>
      <c r="E1563" t="str">
        <f>IFERROR(VLOOKUP(Tabela1[[#This Row],[CC]],CC!$A$1:$H$389,2,0),"")</f>
        <v>SERASA EXPERIAN (1360)</v>
      </c>
      <c r="F1563" t="s">
        <v>586</v>
      </c>
      <c r="G1563" s="107" t="s">
        <v>638</v>
      </c>
      <c r="H1563" s="12">
        <v>45992</v>
      </c>
      <c r="I1563" s="24">
        <v>9667.2000000000007</v>
      </c>
      <c r="J1563" s="24">
        <v>9072.66</v>
      </c>
      <c r="K1563" s="3">
        <v>46000</v>
      </c>
      <c r="L1563" s="91">
        <v>46020</v>
      </c>
      <c r="M1563" s="11">
        <v>46021</v>
      </c>
      <c r="N1563" s="18" t="s">
        <v>588</v>
      </c>
      <c r="O1563" s="34"/>
      <c r="P1563"/>
      <c r="Q1563" t="str">
        <f>IFERROR(VLOOKUP(Tabela1[[#This Row],[CC]],CC!$A$1:$H$389,5,0),"")</f>
        <v>ADS</v>
      </c>
      <c r="R1563" t="str">
        <f>IFERROR(VLOOKUP(Tabela1[[#This Row],[CC]],CC!$A$1:$H$389,6,0),"")</f>
        <v>FS</v>
      </c>
      <c r="S1563" t="str">
        <f>IFERROR(VLOOKUP(Tabela1[[#This Row],[CC]],CC!$A$1:$H$403,8,0),"")</f>
        <v>OP1</v>
      </c>
      <c r="W1563" s="91"/>
    </row>
    <row r="1564" spans="1:23" x14ac:dyDescent="0.3">
      <c r="A1564" s="25">
        <v>1360</v>
      </c>
      <c r="B1564" s="25" t="str">
        <f>IFERROR(VLOOKUP(Tabela1[[#This Row],[CC]],#REF!,5,0),"")</f>
        <v/>
      </c>
      <c r="C1564" t="str">
        <f>IFERROR(VLOOKUP(Tabela1[[#This Row],[CC]],CC!$A$1:$H$389,7,0),"")</f>
        <v>RITA ANDRADE</v>
      </c>
      <c r="D1564" t="str">
        <f>IFERROR(VLOOKUP(Tabela1[[#This Row],[CC]],CC!$A$1:$I$3869,3,0),"")</f>
        <v>SERASA</v>
      </c>
      <c r="E1564" t="str">
        <f>IFERROR(VLOOKUP(Tabela1[[#This Row],[CC]],CC!$A$1:$H$389,2,0),"")</f>
        <v>SERASA EXPERIAN (1360)</v>
      </c>
      <c r="F1564" t="s">
        <v>586</v>
      </c>
      <c r="G1564" s="107" t="s">
        <v>639</v>
      </c>
      <c r="H1564" s="12">
        <v>45992</v>
      </c>
      <c r="I1564" s="24">
        <v>28027.200000000001</v>
      </c>
      <c r="J1564" s="24">
        <v>26303.52</v>
      </c>
      <c r="K1564" s="3">
        <v>46000</v>
      </c>
      <c r="L1564" s="91">
        <v>46006</v>
      </c>
      <c r="M1564" s="11">
        <v>46009</v>
      </c>
      <c r="N1564" s="18" t="s">
        <v>588</v>
      </c>
      <c r="O1564" s="34"/>
      <c r="P1564"/>
      <c r="Q1564" t="str">
        <f>IFERROR(VLOOKUP(Tabela1[[#This Row],[CC]],CC!$A$1:$H$389,5,0),"")</f>
        <v>ADS</v>
      </c>
      <c r="R1564" t="str">
        <f>IFERROR(VLOOKUP(Tabela1[[#This Row],[CC]],CC!$A$1:$H$389,6,0),"")</f>
        <v>FS</v>
      </c>
      <c r="S1564" t="str">
        <f>IFERROR(VLOOKUP(Tabela1[[#This Row],[CC]],CC!$A$1:$H$403,8,0),"")</f>
        <v>OP1</v>
      </c>
      <c r="W1564" s="91"/>
    </row>
    <row r="1565" spans="1:23" x14ac:dyDescent="0.3">
      <c r="A1565" s="25">
        <v>1360</v>
      </c>
      <c r="B1565" s="25" t="str">
        <f>IFERROR(VLOOKUP(Tabela1[[#This Row],[CC]],#REF!,5,0),"")</f>
        <v/>
      </c>
      <c r="C1565" t="str">
        <f>IFERROR(VLOOKUP(Tabela1[[#This Row],[CC]],CC!$A$1:$H$389,7,0),"")</f>
        <v>RITA ANDRADE</v>
      </c>
      <c r="D1565" t="str">
        <f>IFERROR(VLOOKUP(Tabela1[[#This Row],[CC]],CC!$A$1:$I$3869,3,0),"")</f>
        <v>SERASA</v>
      </c>
      <c r="E1565" t="str">
        <f>IFERROR(VLOOKUP(Tabela1[[#This Row],[CC]],CC!$A$1:$H$389,2,0),"")</f>
        <v>SERASA EXPERIAN (1360)</v>
      </c>
      <c r="F1565" t="s">
        <v>586</v>
      </c>
      <c r="G1565" s="107" t="s">
        <v>640</v>
      </c>
      <c r="H1565" s="12">
        <v>45992</v>
      </c>
      <c r="I1565" s="24">
        <v>12600</v>
      </c>
      <c r="J1565" s="24">
        <v>11825.1</v>
      </c>
      <c r="K1565" s="3">
        <v>46000</v>
      </c>
      <c r="L1565" s="91">
        <v>46006</v>
      </c>
      <c r="M1565" s="11">
        <v>46009</v>
      </c>
      <c r="N1565" s="18" t="s">
        <v>588</v>
      </c>
      <c r="O1565" s="34"/>
      <c r="P1565"/>
      <c r="Q1565" t="str">
        <f>IFERROR(VLOOKUP(Tabela1[[#This Row],[CC]],CC!$A$1:$H$389,5,0),"")</f>
        <v>ADS</v>
      </c>
      <c r="R1565" t="str">
        <f>IFERROR(VLOOKUP(Tabela1[[#This Row],[CC]],CC!$A$1:$H$389,6,0),"")</f>
        <v>FS</v>
      </c>
      <c r="S1565" t="str">
        <f>IFERROR(VLOOKUP(Tabela1[[#This Row],[CC]],CC!$A$1:$H$403,8,0),"")</f>
        <v>OP1</v>
      </c>
      <c r="W1565" s="91"/>
    </row>
    <row r="1566" spans="1:23" x14ac:dyDescent="0.3">
      <c r="A1566" s="25">
        <v>1360</v>
      </c>
      <c r="B1566" s="25" t="str">
        <f>IFERROR(VLOOKUP(Tabela1[[#This Row],[CC]],#REF!,5,0),"")</f>
        <v/>
      </c>
      <c r="C1566" t="str">
        <f>IFERROR(VLOOKUP(Tabela1[[#This Row],[CC]],CC!$A$1:$H$389,7,0),"")</f>
        <v>RITA ANDRADE</v>
      </c>
      <c r="D1566" t="str">
        <f>IFERROR(VLOOKUP(Tabela1[[#This Row],[CC]],CC!$A$1:$I$3869,3,0),"")</f>
        <v>SERASA</v>
      </c>
      <c r="E1566" t="str">
        <f>IFERROR(VLOOKUP(Tabela1[[#This Row],[CC]],CC!$A$1:$H$389,2,0),"")</f>
        <v>SERASA EXPERIAN (1360)</v>
      </c>
      <c r="F1566" t="s">
        <v>586</v>
      </c>
      <c r="G1566" s="107" t="s">
        <v>641</v>
      </c>
      <c r="H1566" s="12">
        <v>46023</v>
      </c>
      <c r="I1566" s="24">
        <v>166420.79999999999</v>
      </c>
      <c r="J1566" s="24">
        <v>156185.92000000001</v>
      </c>
      <c r="K1566" s="3">
        <v>46002</v>
      </c>
      <c r="L1566" s="91">
        <v>46006</v>
      </c>
      <c r="M1566" s="11">
        <v>46009</v>
      </c>
      <c r="N1566" s="18" t="s">
        <v>588</v>
      </c>
      <c r="O1566" s="34"/>
      <c r="P1566"/>
      <c r="Q1566" t="str">
        <f>IFERROR(VLOOKUP(Tabela1[[#This Row],[CC]],CC!$A$1:$H$389,5,0),"")</f>
        <v>ADS</v>
      </c>
      <c r="R1566" t="str">
        <f>IFERROR(VLOOKUP(Tabela1[[#This Row],[CC]],CC!$A$1:$H$389,6,0),"")</f>
        <v>FS</v>
      </c>
      <c r="S1566" t="str">
        <f>IFERROR(VLOOKUP(Tabela1[[#This Row],[CC]],CC!$A$1:$H$403,8,0),"")</f>
        <v>OP1</v>
      </c>
      <c r="W1566" s="91"/>
    </row>
    <row r="1567" spans="1:23" x14ac:dyDescent="0.3">
      <c r="A1567" s="25">
        <v>1360</v>
      </c>
      <c r="B1567" s="25" t="str">
        <f>IFERROR(VLOOKUP(Tabela1[[#This Row],[CC]],#REF!,5,0),"")</f>
        <v/>
      </c>
      <c r="C1567" t="str">
        <f>IFERROR(VLOOKUP(Tabela1[[#This Row],[CC]],CC!$A$1:$H$389,7,0),"")</f>
        <v>RITA ANDRADE</v>
      </c>
      <c r="D1567" t="str">
        <f>IFERROR(VLOOKUP(Tabela1[[#This Row],[CC]],CC!$A$1:$I$3869,3,0),"")</f>
        <v>SERASA</v>
      </c>
      <c r="E1567" t="str">
        <f>IFERROR(VLOOKUP(Tabela1[[#This Row],[CC]],CC!$A$1:$H$389,2,0),"")</f>
        <v>SERASA EXPERIAN (1360)</v>
      </c>
      <c r="F1567" t="s">
        <v>586</v>
      </c>
      <c r="G1567" s="107" t="s">
        <v>642</v>
      </c>
      <c r="H1567" s="12">
        <v>46023</v>
      </c>
      <c r="I1567" s="24">
        <v>18265.599999999999</v>
      </c>
      <c r="J1567" s="24">
        <v>17142.259999999998</v>
      </c>
      <c r="K1567" s="3">
        <v>46002</v>
      </c>
      <c r="L1567" s="91">
        <v>46006</v>
      </c>
      <c r="M1567" s="11">
        <v>46009</v>
      </c>
      <c r="N1567" s="18" t="s">
        <v>588</v>
      </c>
      <c r="O1567" s="34"/>
      <c r="P1567"/>
      <c r="Q1567" t="str">
        <f>IFERROR(VLOOKUP(Tabela1[[#This Row],[CC]],CC!$A$1:$H$389,5,0),"")</f>
        <v>ADS</v>
      </c>
      <c r="R1567" t="str">
        <f>IFERROR(VLOOKUP(Tabela1[[#This Row],[CC]],CC!$A$1:$H$389,6,0),"")</f>
        <v>FS</v>
      </c>
      <c r="S1567" t="str">
        <f>IFERROR(VLOOKUP(Tabela1[[#This Row],[CC]],CC!$A$1:$H$403,8,0),"")</f>
        <v>OP1</v>
      </c>
      <c r="W1567" s="91"/>
    </row>
    <row r="1568" spans="1:23" x14ac:dyDescent="0.3">
      <c r="A1568" s="25">
        <v>1360</v>
      </c>
      <c r="B1568" s="25" t="str">
        <f>IFERROR(VLOOKUP(Tabela1[[#This Row],[CC]],#REF!,5,0),"")</f>
        <v/>
      </c>
      <c r="C1568" t="str">
        <f>IFERROR(VLOOKUP(Tabela1[[#This Row],[CC]],CC!$A$1:$H$389,7,0),"")</f>
        <v>RITA ANDRADE</v>
      </c>
      <c r="D1568" t="str">
        <f>IFERROR(VLOOKUP(Tabela1[[#This Row],[CC]],CC!$A$1:$I$3869,3,0),"")</f>
        <v>SERASA</v>
      </c>
      <c r="E1568" t="str">
        <f>IFERROR(VLOOKUP(Tabela1[[#This Row],[CC]],CC!$A$1:$H$389,2,0),"")</f>
        <v>SERASA EXPERIAN (1360)</v>
      </c>
      <c r="F1568" t="s">
        <v>586</v>
      </c>
      <c r="G1568" s="107">
        <v>4683</v>
      </c>
      <c r="H1568" s="12">
        <v>45992</v>
      </c>
      <c r="I1568" s="24">
        <v>23160</v>
      </c>
      <c r="J1568" s="24">
        <v>21735.66</v>
      </c>
      <c r="K1568" s="3">
        <v>46002</v>
      </c>
      <c r="L1568" s="91">
        <v>46006</v>
      </c>
      <c r="M1568" s="11">
        <v>46009</v>
      </c>
      <c r="N1568" s="18" t="s">
        <v>588</v>
      </c>
      <c r="O1568" s="34"/>
      <c r="P1568"/>
      <c r="Q1568" t="str">
        <f>IFERROR(VLOOKUP(Tabela1[[#This Row],[CC]],CC!$A$1:$H$389,5,0),"")</f>
        <v>ADS</v>
      </c>
      <c r="R1568" t="str">
        <f>IFERROR(VLOOKUP(Tabela1[[#This Row],[CC]],CC!$A$1:$H$389,6,0),"")</f>
        <v>FS</v>
      </c>
      <c r="S1568" t="str">
        <f>IFERROR(VLOOKUP(Tabela1[[#This Row],[CC]],CC!$A$1:$H$403,8,0),"")</f>
        <v>OP1</v>
      </c>
      <c r="W1568" s="91"/>
    </row>
    <row r="1569" spans="1:23" x14ac:dyDescent="0.3">
      <c r="A1569" s="25">
        <v>1360</v>
      </c>
      <c r="B1569" s="25" t="str">
        <f>IFERROR(VLOOKUP(Tabela1[[#This Row],[CC]],#REF!,5,0),"")</f>
        <v/>
      </c>
      <c r="C1569" t="str">
        <f>IFERROR(VLOOKUP(Tabela1[[#This Row],[CC]],CC!$A$1:$H$389,7,0),"")</f>
        <v>RITA ANDRADE</v>
      </c>
      <c r="D1569" t="str">
        <f>IFERROR(VLOOKUP(Tabela1[[#This Row],[CC]],CC!$A$1:$I$3869,3,0),"")</f>
        <v>SERASA</v>
      </c>
      <c r="E1569" t="str">
        <f>IFERROR(VLOOKUP(Tabela1[[#This Row],[CC]],CC!$A$1:$H$389,2,0),"")</f>
        <v>SERASA EXPERIAN (1360)</v>
      </c>
      <c r="F1569" t="s">
        <v>586</v>
      </c>
      <c r="G1569" s="107">
        <v>4684</v>
      </c>
      <c r="H1569" s="12">
        <v>45962</v>
      </c>
      <c r="I1569" s="24">
        <v>27792</v>
      </c>
      <c r="J1569" s="24">
        <v>26082.79</v>
      </c>
      <c r="K1569" s="3">
        <v>46002</v>
      </c>
      <c r="L1569" s="91">
        <v>46006</v>
      </c>
      <c r="M1569" s="11">
        <v>46009</v>
      </c>
      <c r="N1569" s="18" t="s">
        <v>588</v>
      </c>
      <c r="O1569" s="34"/>
      <c r="P1569"/>
      <c r="Q1569" t="str">
        <f>IFERROR(VLOOKUP(Tabela1[[#This Row],[CC]],CC!$A$1:$H$389,5,0),"")</f>
        <v>ADS</v>
      </c>
      <c r="R1569" t="str">
        <f>IFERROR(VLOOKUP(Tabela1[[#This Row],[CC]],CC!$A$1:$H$389,6,0),"")</f>
        <v>FS</v>
      </c>
      <c r="S1569" t="str">
        <f>IFERROR(VLOOKUP(Tabela1[[#This Row],[CC]],CC!$A$1:$H$403,8,0),"")</f>
        <v>OP1</v>
      </c>
      <c r="W1569" s="91"/>
    </row>
    <row r="1570" spans="1:23" x14ac:dyDescent="0.3">
      <c r="A1570" s="25">
        <v>1360</v>
      </c>
      <c r="B1570" s="25" t="str">
        <f>IFERROR(VLOOKUP(Tabela1[[#This Row],[CC]],#REF!,5,0),"")</f>
        <v/>
      </c>
      <c r="C1570" t="str">
        <f>IFERROR(VLOOKUP(Tabela1[[#This Row],[CC]],CC!$A$1:$H$389,7,0),"")</f>
        <v>RITA ANDRADE</v>
      </c>
      <c r="D1570" t="str">
        <f>IFERROR(VLOOKUP(Tabela1[[#This Row],[CC]],CC!$A$1:$I$3869,3,0),"")</f>
        <v>SERASA</v>
      </c>
      <c r="E1570" t="str">
        <f>IFERROR(VLOOKUP(Tabela1[[#This Row],[CC]],CC!$A$1:$H$389,2,0),"")</f>
        <v>SERASA EXPERIAN (1360)</v>
      </c>
      <c r="F1570" t="s">
        <v>586</v>
      </c>
      <c r="G1570" s="107" t="s">
        <v>643</v>
      </c>
      <c r="H1570" s="12">
        <v>46023</v>
      </c>
      <c r="I1570" s="24">
        <v>38864</v>
      </c>
      <c r="J1570" s="24">
        <v>36473.86</v>
      </c>
      <c r="K1570" s="3">
        <v>46003</v>
      </c>
      <c r="L1570" s="91">
        <v>46020</v>
      </c>
      <c r="M1570" s="11">
        <v>46021</v>
      </c>
      <c r="N1570" s="18" t="s">
        <v>588</v>
      </c>
      <c r="O1570" s="34"/>
      <c r="P1570"/>
      <c r="Q1570" t="str">
        <f>IFERROR(VLOOKUP(Tabela1[[#This Row],[CC]],CC!$A$1:$H$389,5,0),"")</f>
        <v>ADS</v>
      </c>
      <c r="R1570" t="str">
        <f>IFERROR(VLOOKUP(Tabela1[[#This Row],[CC]],CC!$A$1:$H$389,6,0),"")</f>
        <v>FS</v>
      </c>
      <c r="S1570" t="str">
        <f>IFERROR(VLOOKUP(Tabela1[[#This Row],[CC]],CC!$A$1:$H$403,8,0),"")</f>
        <v>OP1</v>
      </c>
      <c r="W1570" s="91"/>
    </row>
    <row r="1571" spans="1:23" x14ac:dyDescent="0.3">
      <c r="A1571" s="25">
        <v>1360</v>
      </c>
      <c r="B1571" s="25" t="str">
        <f>IFERROR(VLOOKUP(Tabela1[[#This Row],[CC]],#REF!,5,0),"")</f>
        <v/>
      </c>
      <c r="C1571" t="str">
        <f>IFERROR(VLOOKUP(Tabela1[[#This Row],[CC]],CC!$A$1:$H$389,7,0),"")</f>
        <v>RITA ANDRADE</v>
      </c>
      <c r="D1571" t="str">
        <f>IFERROR(VLOOKUP(Tabela1[[#This Row],[CC]],CC!$A$1:$I$3869,3,0),"")</f>
        <v>SERASA</v>
      </c>
      <c r="E1571" t="str">
        <f>IFERROR(VLOOKUP(Tabela1[[#This Row],[CC]],CC!$A$1:$H$389,2,0),"")</f>
        <v>SERASA EXPERIAN (1360)</v>
      </c>
      <c r="F1571" t="s">
        <v>586</v>
      </c>
      <c r="G1571" s="107" t="s">
        <v>644</v>
      </c>
      <c r="H1571" s="12">
        <v>46023</v>
      </c>
      <c r="I1571" s="24">
        <v>129919.2</v>
      </c>
      <c r="J1571" s="27">
        <v>121929.17</v>
      </c>
      <c r="K1571" s="3">
        <v>46003</v>
      </c>
      <c r="L1571" s="91">
        <v>46006</v>
      </c>
      <c r="M1571" s="11">
        <v>46010</v>
      </c>
      <c r="N1571" s="18" t="s">
        <v>588</v>
      </c>
      <c r="O1571" s="34"/>
      <c r="P1571"/>
      <c r="Q1571" t="str">
        <f>IFERROR(VLOOKUP(Tabela1[[#This Row],[CC]],CC!$A$1:$H$389,5,0),"")</f>
        <v>ADS</v>
      </c>
      <c r="R1571" t="str">
        <f>IFERROR(VLOOKUP(Tabela1[[#This Row],[CC]],CC!$A$1:$H$389,6,0),"")</f>
        <v>FS</v>
      </c>
      <c r="S1571" t="str">
        <f>IFERROR(VLOOKUP(Tabela1[[#This Row],[CC]],CC!$A$1:$H$403,8,0),"")</f>
        <v>OP1</v>
      </c>
      <c r="W1571" s="91"/>
    </row>
    <row r="1572" spans="1:23" x14ac:dyDescent="0.3">
      <c r="A1572" s="25">
        <v>1360</v>
      </c>
      <c r="B1572" s="25" t="str">
        <f>IFERROR(VLOOKUP(Tabela1[[#This Row],[CC]],#REF!,5,0),"")</f>
        <v/>
      </c>
      <c r="C1572" t="str">
        <f>IFERROR(VLOOKUP(Tabela1[[#This Row],[CC]],CC!$A$1:$H$389,7,0),"")</f>
        <v>RITA ANDRADE</v>
      </c>
      <c r="D1572" t="str">
        <f>IFERROR(VLOOKUP(Tabela1[[#This Row],[CC]],CC!$A$1:$I$3869,3,0),"")</f>
        <v>SERASA</v>
      </c>
      <c r="E1572" t="str">
        <f>IFERROR(VLOOKUP(Tabela1[[#This Row],[CC]],CC!$A$1:$H$389,2,0),"")</f>
        <v>SERASA EXPERIAN (1360)</v>
      </c>
      <c r="F1572" t="s">
        <v>586</v>
      </c>
      <c r="G1572" s="107" t="s">
        <v>645</v>
      </c>
      <c r="H1572" s="12">
        <v>46023</v>
      </c>
      <c r="I1572" s="24">
        <v>18240</v>
      </c>
      <c r="J1572" s="27">
        <v>17118.240000000002</v>
      </c>
      <c r="K1572" s="3">
        <v>46003</v>
      </c>
      <c r="L1572" s="91">
        <v>46006</v>
      </c>
      <c r="M1572" s="11">
        <v>46010</v>
      </c>
      <c r="N1572" s="18" t="s">
        <v>588</v>
      </c>
      <c r="O1572" s="34"/>
      <c r="P1572"/>
      <c r="Q1572" t="str">
        <f>IFERROR(VLOOKUP(Tabela1[[#This Row],[CC]],CC!$A$1:$H$389,5,0),"")</f>
        <v>ADS</v>
      </c>
      <c r="R1572" t="str">
        <f>IFERROR(VLOOKUP(Tabela1[[#This Row],[CC]],CC!$A$1:$H$389,6,0),"")</f>
        <v>FS</v>
      </c>
      <c r="S1572" t="str">
        <f>IFERROR(VLOOKUP(Tabela1[[#This Row],[CC]],CC!$A$1:$H$403,8,0),"")</f>
        <v>OP1</v>
      </c>
      <c r="W1572" s="91"/>
    </row>
    <row r="1573" spans="1:23" x14ac:dyDescent="0.3">
      <c r="A1573" s="25">
        <v>1360</v>
      </c>
      <c r="B1573" s="25" t="str">
        <f>IFERROR(VLOOKUP(Tabela1[[#This Row],[CC]],#REF!,5,0),"")</f>
        <v/>
      </c>
      <c r="C1573" t="str">
        <f>IFERROR(VLOOKUP(Tabela1[[#This Row],[CC]],CC!$A$1:$H$389,7,0),"")</f>
        <v>RITA ANDRADE</v>
      </c>
      <c r="D1573" t="str">
        <f>IFERROR(VLOOKUP(Tabela1[[#This Row],[CC]],CC!$A$1:$I$3869,3,0),"")</f>
        <v>SERASA</v>
      </c>
      <c r="E1573" t="str">
        <f>IFERROR(VLOOKUP(Tabela1[[#This Row],[CC]],CC!$A$1:$H$389,2,0),"")</f>
        <v>SERASA EXPERIAN (1360)</v>
      </c>
      <c r="F1573" t="s">
        <v>586</v>
      </c>
      <c r="G1573" s="107" t="s">
        <v>646</v>
      </c>
      <c r="H1573" s="12">
        <v>45992</v>
      </c>
      <c r="I1573" s="24">
        <v>59959.199999999997</v>
      </c>
      <c r="J1573" s="24">
        <v>56271.71</v>
      </c>
      <c r="K1573" s="3">
        <v>46003</v>
      </c>
      <c r="L1573" s="91">
        <v>46041</v>
      </c>
      <c r="M1573" s="11">
        <v>46045</v>
      </c>
      <c r="N1573" s="18" t="s">
        <v>588</v>
      </c>
      <c r="O1573" s="34"/>
      <c r="P1573"/>
      <c r="Q1573" t="str">
        <f>IFERROR(VLOOKUP(Tabela1[[#This Row],[CC]],CC!$A$1:$H$389,5,0),"")</f>
        <v>ADS</v>
      </c>
      <c r="R1573" t="str">
        <f>IFERROR(VLOOKUP(Tabela1[[#This Row],[CC]],CC!$A$1:$H$389,6,0),"")</f>
        <v>FS</v>
      </c>
      <c r="S1573" t="str">
        <f>IFERROR(VLOOKUP(Tabela1[[#This Row],[CC]],CC!$A$1:$H$403,8,0),"")</f>
        <v>OP1</v>
      </c>
      <c r="W1573" s="91"/>
    </row>
    <row r="1574" spans="1:23" x14ac:dyDescent="0.3">
      <c r="A1574" s="25">
        <v>1360</v>
      </c>
      <c r="B1574" s="25" t="str">
        <f>IFERROR(VLOOKUP(Tabela1[[#This Row],[CC]],#REF!,5,0),"")</f>
        <v/>
      </c>
      <c r="C1574" t="str">
        <f>IFERROR(VLOOKUP(Tabela1[[#This Row],[CC]],CC!$A$1:$H$389,7,0),"")</f>
        <v>RITA ANDRADE</v>
      </c>
      <c r="D1574" t="str">
        <f>IFERROR(VLOOKUP(Tabela1[[#This Row],[CC]],CC!$A$1:$I$3869,3,0),"")</f>
        <v>SERASA</v>
      </c>
      <c r="E1574" t="str">
        <f>IFERROR(VLOOKUP(Tabela1[[#This Row],[CC]],CC!$A$1:$H$389,2,0),"")</f>
        <v>SERASA EXPERIAN (1360)</v>
      </c>
      <c r="F1574" t="s">
        <v>586</v>
      </c>
      <c r="G1574" s="107" t="s">
        <v>647</v>
      </c>
      <c r="H1574" s="12">
        <v>45962</v>
      </c>
      <c r="I1574" s="24">
        <v>35892</v>
      </c>
      <c r="J1574" s="24">
        <v>33684.639999999999</v>
      </c>
      <c r="K1574" s="3">
        <v>46003</v>
      </c>
      <c r="L1574" s="91">
        <v>46041</v>
      </c>
      <c r="M1574" s="11">
        <v>46045</v>
      </c>
      <c r="N1574" s="18" t="s">
        <v>588</v>
      </c>
      <c r="O1574" s="34"/>
      <c r="P1574"/>
      <c r="Q1574" t="str">
        <f>IFERROR(VLOOKUP(Tabela1[[#This Row],[CC]],CC!$A$1:$H$389,5,0),"")</f>
        <v>ADS</v>
      </c>
      <c r="R1574" t="str">
        <f>IFERROR(VLOOKUP(Tabela1[[#This Row],[CC]],CC!$A$1:$H$389,6,0),"")</f>
        <v>FS</v>
      </c>
      <c r="S1574" t="str">
        <f>IFERROR(VLOOKUP(Tabela1[[#This Row],[CC]],CC!$A$1:$H$403,8,0),"")</f>
        <v>OP1</v>
      </c>
      <c r="W1574" s="91"/>
    </row>
    <row r="1575" spans="1:23" x14ac:dyDescent="0.3">
      <c r="A1575" s="25">
        <v>1360</v>
      </c>
      <c r="B1575" s="25" t="str">
        <f>IFERROR(VLOOKUP(Tabela1[[#This Row],[CC]],#REF!,5,0),"")</f>
        <v/>
      </c>
      <c r="C1575" t="str">
        <f>IFERROR(VLOOKUP(Tabela1[[#This Row],[CC]],CC!$A$1:$H$389,7,0),"")</f>
        <v>RITA ANDRADE</v>
      </c>
      <c r="D1575" t="str">
        <f>IFERROR(VLOOKUP(Tabela1[[#This Row],[CC]],CC!$A$1:$I$3869,3,0),"")</f>
        <v>SERASA</v>
      </c>
      <c r="E1575" t="str">
        <f>IFERROR(VLOOKUP(Tabela1[[#This Row],[CC]],CC!$A$1:$H$389,2,0),"")</f>
        <v>SERASA EXPERIAN (1360)</v>
      </c>
      <c r="F1575" t="s">
        <v>586</v>
      </c>
      <c r="G1575" s="107" t="s">
        <v>648</v>
      </c>
      <c r="H1575" s="12">
        <v>45992</v>
      </c>
      <c r="I1575" s="27">
        <v>25329.599999999999</v>
      </c>
      <c r="J1575" s="24">
        <v>23771.84</v>
      </c>
      <c r="K1575" s="3">
        <v>46037</v>
      </c>
      <c r="L1575" s="91">
        <v>46076</v>
      </c>
      <c r="M1575" s="11">
        <v>46080</v>
      </c>
      <c r="N1575" s="18" t="s">
        <v>588</v>
      </c>
      <c r="O1575" s="34"/>
      <c r="P1575"/>
      <c r="Q1575" t="str">
        <f>IFERROR(VLOOKUP(Tabela1[[#This Row],[CC]],CC!$A$1:$H$389,5,0),"")</f>
        <v>ADS</v>
      </c>
      <c r="R1575" t="str">
        <f>IFERROR(VLOOKUP(Tabela1[[#This Row],[CC]],CC!$A$1:$H$389,6,0),"")</f>
        <v>FS</v>
      </c>
      <c r="S1575" t="str">
        <f>IFERROR(VLOOKUP(Tabela1[[#This Row],[CC]],CC!$A$1:$H$403,8,0),"")</f>
        <v>OP1</v>
      </c>
      <c r="W1575" s="91"/>
    </row>
    <row r="1576" spans="1:23" x14ac:dyDescent="0.3">
      <c r="A1576" s="25">
        <v>1360</v>
      </c>
      <c r="B1576" s="25" t="str">
        <f>IFERROR(VLOOKUP(Tabela1[[#This Row],[CC]],#REF!,5,0),"")</f>
        <v/>
      </c>
      <c r="C1576" t="str">
        <f>IFERROR(VLOOKUP(Tabela1[[#This Row],[CC]],CC!$A$1:$H$389,7,0),"")</f>
        <v>RITA ANDRADE</v>
      </c>
      <c r="D1576" t="str">
        <f>IFERROR(VLOOKUP(Tabela1[[#This Row],[CC]],CC!$A$1:$I$3869,3,0),"")</f>
        <v>SERASA</v>
      </c>
      <c r="E1576" t="str">
        <f>IFERROR(VLOOKUP(Tabela1[[#This Row],[CC]],CC!$A$1:$H$389,2,0),"")</f>
        <v>SERASA EXPERIAN (1360)</v>
      </c>
      <c r="F1576" t="s">
        <v>586</v>
      </c>
      <c r="G1576" s="107" t="s">
        <v>649</v>
      </c>
      <c r="H1576" s="12">
        <v>45992</v>
      </c>
      <c r="I1576" s="27">
        <v>91010.4</v>
      </c>
      <c r="J1576" s="24">
        <v>85413.27</v>
      </c>
      <c r="K1576" s="3">
        <v>46037</v>
      </c>
      <c r="L1576" s="91">
        <v>46076</v>
      </c>
      <c r="M1576" s="11">
        <v>46080</v>
      </c>
      <c r="N1576" s="18" t="s">
        <v>588</v>
      </c>
      <c r="O1576" s="34"/>
      <c r="P1576"/>
      <c r="Q1576" t="str">
        <f>IFERROR(VLOOKUP(Tabela1[[#This Row],[CC]],CC!$A$1:$H$389,5,0),"")</f>
        <v>ADS</v>
      </c>
      <c r="R1576" t="str">
        <f>IFERROR(VLOOKUP(Tabela1[[#This Row],[CC]],CC!$A$1:$H$389,6,0),"")</f>
        <v>FS</v>
      </c>
      <c r="S1576" t="str">
        <f>IFERROR(VLOOKUP(Tabela1[[#This Row],[CC]],CC!$A$1:$H$403,8,0),"")</f>
        <v>OP1</v>
      </c>
      <c r="W1576" s="91"/>
    </row>
    <row r="1577" spans="1:23" x14ac:dyDescent="0.3">
      <c r="A1577" s="25">
        <v>1360</v>
      </c>
      <c r="B1577" s="25" t="str">
        <f>IFERROR(VLOOKUP(Tabela1[[#This Row],[CC]],#REF!,5,0),"")</f>
        <v/>
      </c>
      <c r="C1577" t="str">
        <f>IFERROR(VLOOKUP(Tabela1[[#This Row],[CC]],CC!$A$1:$H$389,7,0),"")</f>
        <v>RITA ANDRADE</v>
      </c>
      <c r="D1577" t="str">
        <f>IFERROR(VLOOKUP(Tabela1[[#This Row],[CC]],CC!$A$1:$I$3869,3,0),"")</f>
        <v>SERASA</v>
      </c>
      <c r="E1577" t="str">
        <f>IFERROR(VLOOKUP(Tabela1[[#This Row],[CC]],CC!$A$1:$H$389,2,0),"")</f>
        <v>SERASA EXPERIAN (1360)</v>
      </c>
      <c r="F1577" t="s">
        <v>586</v>
      </c>
      <c r="G1577" s="107" t="s">
        <v>650</v>
      </c>
      <c r="H1577" s="12">
        <v>46023</v>
      </c>
      <c r="I1577" s="27">
        <v>53273.599999999999</v>
      </c>
      <c r="J1577" s="24">
        <v>49997.27</v>
      </c>
      <c r="K1577" s="3">
        <v>46037</v>
      </c>
      <c r="L1577" s="91">
        <v>46076</v>
      </c>
      <c r="M1577" s="11">
        <v>46080</v>
      </c>
      <c r="N1577" s="18" t="s">
        <v>588</v>
      </c>
      <c r="O1577" s="34"/>
      <c r="P1577"/>
      <c r="Q1577" t="str">
        <f>IFERROR(VLOOKUP(Tabela1[[#This Row],[CC]],CC!$A$1:$H$389,5,0),"")</f>
        <v>ADS</v>
      </c>
      <c r="R1577" t="str">
        <f>IFERROR(VLOOKUP(Tabela1[[#This Row],[CC]],CC!$A$1:$H$389,6,0),"")</f>
        <v>FS</v>
      </c>
      <c r="S1577" t="str">
        <f>IFERROR(VLOOKUP(Tabela1[[#This Row],[CC]],CC!$A$1:$H$403,8,0),"")</f>
        <v>OP1</v>
      </c>
      <c r="W1577" s="91"/>
    </row>
    <row r="1578" spans="1:23" x14ac:dyDescent="0.3">
      <c r="A1578" s="25">
        <v>1360</v>
      </c>
      <c r="B1578" s="25" t="str">
        <f>IFERROR(VLOOKUP(Tabela1[[#This Row],[CC]],#REF!,5,0),"")</f>
        <v/>
      </c>
      <c r="C1578" t="str">
        <f>IFERROR(VLOOKUP(Tabela1[[#This Row],[CC]],CC!$A$1:$H$389,7,0),"")</f>
        <v>RITA ANDRADE</v>
      </c>
      <c r="D1578" t="str">
        <f>IFERROR(VLOOKUP(Tabela1[[#This Row],[CC]],CC!$A$1:$I$3869,3,0),"")</f>
        <v>SERASA</v>
      </c>
      <c r="E1578" t="str">
        <f>IFERROR(VLOOKUP(Tabela1[[#This Row],[CC]],CC!$A$1:$H$389,2,0),"")</f>
        <v>SERASA EXPERIAN (1360)</v>
      </c>
      <c r="F1578" t="s">
        <v>586</v>
      </c>
      <c r="G1578" s="107" t="s">
        <v>651</v>
      </c>
      <c r="H1578" s="12">
        <v>46023</v>
      </c>
      <c r="I1578" s="27">
        <v>96169.52</v>
      </c>
      <c r="J1578" s="24">
        <v>90255.09</v>
      </c>
      <c r="K1578" s="3">
        <v>46037</v>
      </c>
      <c r="L1578" s="91">
        <v>46076</v>
      </c>
      <c r="M1578" s="11">
        <v>46080</v>
      </c>
      <c r="N1578" s="18" t="s">
        <v>588</v>
      </c>
      <c r="O1578" s="34"/>
      <c r="P1578"/>
      <c r="Q1578" t="str">
        <f>IFERROR(VLOOKUP(Tabela1[[#This Row],[CC]],CC!$A$1:$H$389,5,0),"")</f>
        <v>ADS</v>
      </c>
      <c r="R1578" t="str">
        <f>IFERROR(VLOOKUP(Tabela1[[#This Row],[CC]],CC!$A$1:$H$389,6,0),"")</f>
        <v>FS</v>
      </c>
      <c r="S1578" t="str">
        <f>IFERROR(VLOOKUP(Tabela1[[#This Row],[CC]],CC!$A$1:$H$403,8,0),"")</f>
        <v>OP1</v>
      </c>
      <c r="W1578" s="91"/>
    </row>
    <row r="1579" spans="1:23" x14ac:dyDescent="0.3">
      <c r="A1579" s="25">
        <v>1360</v>
      </c>
      <c r="B1579" s="25" t="str">
        <f>IFERROR(VLOOKUP(Tabela1[[#This Row],[CC]],#REF!,5,0),"")</f>
        <v/>
      </c>
      <c r="C1579" t="str">
        <f>IFERROR(VLOOKUP(Tabela1[[#This Row],[CC]],CC!$A$1:$H$389,7,0),"")</f>
        <v>RITA ANDRADE</v>
      </c>
      <c r="D1579" t="str">
        <f>IFERROR(VLOOKUP(Tabela1[[#This Row],[CC]],CC!$A$1:$I$3869,3,0),"")</f>
        <v>SERASA</v>
      </c>
      <c r="E1579" t="str">
        <f>IFERROR(VLOOKUP(Tabela1[[#This Row],[CC]],CC!$A$1:$H$389,2,0),"")</f>
        <v>SERASA EXPERIAN (1360)</v>
      </c>
      <c r="F1579" t="s">
        <v>586</v>
      </c>
      <c r="G1579" s="107">
        <v>4751</v>
      </c>
      <c r="H1579" s="12">
        <v>46023</v>
      </c>
      <c r="I1579" s="27">
        <v>90000</v>
      </c>
      <c r="J1579" s="24">
        <v>84465</v>
      </c>
      <c r="K1579" s="3">
        <v>46042</v>
      </c>
      <c r="L1579" s="91">
        <v>46076</v>
      </c>
      <c r="M1579" s="11">
        <v>46080</v>
      </c>
      <c r="N1579" s="18" t="s">
        <v>588</v>
      </c>
      <c r="O1579" s="34"/>
      <c r="P1579"/>
      <c r="Q1579" t="str">
        <f>IFERROR(VLOOKUP(Tabela1[[#This Row],[CC]],CC!$A$1:$H$389,5,0),"")</f>
        <v>ADS</v>
      </c>
      <c r="R1579" t="str">
        <f>IFERROR(VLOOKUP(Tabela1[[#This Row],[CC]],CC!$A$1:$H$389,6,0),"")</f>
        <v>FS</v>
      </c>
      <c r="S1579" t="str">
        <f>IFERROR(VLOOKUP(Tabela1[[#This Row],[CC]],CC!$A$1:$H$403,8,0),"")</f>
        <v>OP1</v>
      </c>
      <c r="W1579" s="91"/>
    </row>
    <row r="1580" spans="1:23" ht="13.95" customHeight="1" x14ac:dyDescent="0.3">
      <c r="A1580" s="25">
        <v>1360</v>
      </c>
      <c r="B1580" s="25" t="str">
        <f>IFERROR(VLOOKUP(Tabela1[[#This Row],[CC]],#REF!,5,0),"")</f>
        <v/>
      </c>
      <c r="C1580" t="str">
        <f>IFERROR(VLOOKUP(Tabela1[[#This Row],[CC]],CC!$A$1:$H$389,7,0),"")</f>
        <v>RITA ANDRADE</v>
      </c>
      <c r="D1580" t="str">
        <f>IFERROR(VLOOKUP(Tabela1[[#This Row],[CC]],CC!$A$1:$I$3869,3,0),"")</f>
        <v>SERASA</v>
      </c>
      <c r="E1580" t="str">
        <f>IFERROR(VLOOKUP(Tabela1[[#This Row],[CC]],CC!$A$1:$H$389,2,0),"")</f>
        <v>SERASA EXPERIAN (1360)</v>
      </c>
      <c r="F1580" t="s">
        <v>586</v>
      </c>
      <c r="G1580" s="107">
        <v>4752</v>
      </c>
      <c r="H1580" s="12">
        <v>46023</v>
      </c>
      <c r="I1580" s="27">
        <v>17640</v>
      </c>
      <c r="J1580" s="24">
        <v>16555.14</v>
      </c>
      <c r="K1580" s="3">
        <v>46042</v>
      </c>
      <c r="L1580" s="91">
        <v>46076</v>
      </c>
      <c r="M1580" s="11">
        <v>46080</v>
      </c>
      <c r="N1580" s="18" t="s">
        <v>588</v>
      </c>
      <c r="O1580" s="34"/>
      <c r="P1580"/>
      <c r="Q1580" t="str">
        <f>IFERROR(VLOOKUP(Tabela1[[#This Row],[CC]],CC!$A$1:$H$389,5,0),"")</f>
        <v>ADS</v>
      </c>
      <c r="R1580" t="str">
        <f>IFERROR(VLOOKUP(Tabela1[[#This Row],[CC]],CC!$A$1:$H$389,6,0),"")</f>
        <v>FS</v>
      </c>
      <c r="S1580" t="str">
        <f>IFERROR(VLOOKUP(Tabela1[[#This Row],[CC]],CC!$A$1:$H$403,8,0),"")</f>
        <v>OP1</v>
      </c>
      <c r="W1580" s="91"/>
    </row>
    <row r="1581" spans="1:23" x14ac:dyDescent="0.3">
      <c r="A1581" s="25">
        <v>1360</v>
      </c>
      <c r="B1581" s="25" t="str">
        <f>IFERROR(VLOOKUP(Tabela1[[#This Row],[CC]],#REF!,5,0),"")</f>
        <v/>
      </c>
      <c r="C1581" t="str">
        <f>IFERROR(VLOOKUP(Tabela1[[#This Row],[CC]],CC!$A$1:$H$389,7,0),"")</f>
        <v>RITA ANDRADE</v>
      </c>
      <c r="D1581" t="str">
        <f>IFERROR(VLOOKUP(Tabela1[[#This Row],[CC]],CC!$A$1:$I$3869,3,0),"")</f>
        <v>SERASA</v>
      </c>
      <c r="E1581" t="str">
        <f>IFERROR(VLOOKUP(Tabela1[[#This Row],[CC]],CC!$A$1:$H$389,2,0),"")</f>
        <v>SERASA EXPERIAN (1360)</v>
      </c>
      <c r="F1581" t="s">
        <v>586</v>
      </c>
      <c r="G1581" s="107">
        <v>4756</v>
      </c>
      <c r="H1581" s="12">
        <v>46023</v>
      </c>
      <c r="I1581" s="27">
        <v>77728</v>
      </c>
      <c r="J1581" s="24">
        <v>72947.73</v>
      </c>
      <c r="K1581" s="3">
        <v>46043</v>
      </c>
      <c r="L1581" s="91">
        <v>46076</v>
      </c>
      <c r="M1581" s="11">
        <v>46080</v>
      </c>
      <c r="N1581" s="18" t="s">
        <v>588</v>
      </c>
      <c r="O1581" s="34"/>
      <c r="P1581"/>
      <c r="Q1581" t="str">
        <f>IFERROR(VLOOKUP(Tabela1[[#This Row],[CC]],CC!$A$1:$H$389,5,0),"")</f>
        <v>ADS</v>
      </c>
      <c r="R1581" t="str">
        <f>IFERROR(VLOOKUP(Tabela1[[#This Row],[CC]],CC!$A$1:$H$389,6,0),"")</f>
        <v>FS</v>
      </c>
      <c r="S1581" t="str">
        <f>IFERROR(VLOOKUP(Tabela1[[#This Row],[CC]],CC!$A$1:$H$403,8,0),"")</f>
        <v>OP1</v>
      </c>
      <c r="W1581" s="91"/>
    </row>
    <row r="1582" spans="1:23" x14ac:dyDescent="0.3">
      <c r="A1582" s="25">
        <v>1360</v>
      </c>
      <c r="B1582" s="25" t="str">
        <f>IFERROR(VLOOKUP(Tabela1[[#This Row],[CC]],#REF!,5,0),"")</f>
        <v/>
      </c>
      <c r="C1582" t="str">
        <f>IFERROR(VLOOKUP(Tabela1[[#This Row],[CC]],CC!$A$1:$H$389,7,0),"")</f>
        <v>RITA ANDRADE</v>
      </c>
      <c r="D1582" t="str">
        <f>IFERROR(VLOOKUP(Tabela1[[#This Row],[CC]],CC!$A$1:$I$3869,3,0),"")</f>
        <v>SERASA</v>
      </c>
      <c r="E1582" t="str">
        <f>IFERROR(VLOOKUP(Tabela1[[#This Row],[CC]],CC!$A$1:$H$389,2,0),"")</f>
        <v>SERASA EXPERIAN (1360)</v>
      </c>
      <c r="F1582" t="s">
        <v>586</v>
      </c>
      <c r="G1582" s="107" t="s">
        <v>652</v>
      </c>
      <c r="H1582" s="12">
        <v>46023</v>
      </c>
      <c r="I1582" s="27">
        <v>27535.200000000001</v>
      </c>
      <c r="J1582" s="24">
        <v>25841.78</v>
      </c>
      <c r="K1582" s="3">
        <v>46044</v>
      </c>
      <c r="L1582" s="91">
        <v>46076</v>
      </c>
      <c r="M1582" s="11">
        <v>46080</v>
      </c>
      <c r="N1582" s="18" t="s">
        <v>588</v>
      </c>
      <c r="O1582" s="34"/>
      <c r="P1582"/>
      <c r="Q1582" t="str">
        <f>IFERROR(VLOOKUP(Tabela1[[#This Row],[CC]],CC!$A$1:$H$389,5,0),"")</f>
        <v>ADS</v>
      </c>
      <c r="R1582" t="str">
        <f>IFERROR(VLOOKUP(Tabela1[[#This Row],[CC]],CC!$A$1:$H$389,6,0),"")</f>
        <v>FS</v>
      </c>
      <c r="S1582" t="str">
        <f>IFERROR(VLOOKUP(Tabela1[[#This Row],[CC]],CC!$A$1:$H$403,8,0),"")</f>
        <v>OP1</v>
      </c>
      <c r="W1582" s="91"/>
    </row>
    <row r="1583" spans="1:23" x14ac:dyDescent="0.3">
      <c r="A1583" s="25">
        <v>1360</v>
      </c>
      <c r="B1583" s="25" t="str">
        <f>IFERROR(VLOOKUP(Tabela1[[#This Row],[CC]],#REF!,5,0),"")</f>
        <v/>
      </c>
      <c r="C1583" t="str">
        <f>IFERROR(VLOOKUP(Tabela1[[#This Row],[CC]],CC!$A$1:$H$389,7,0),"")</f>
        <v>RITA ANDRADE</v>
      </c>
      <c r="D1583" t="str">
        <f>IFERROR(VLOOKUP(Tabela1[[#This Row],[CC]],CC!$A$1:$I$3869,3,0),"")</f>
        <v>SERASA</v>
      </c>
      <c r="E1583" t="str">
        <f>IFERROR(VLOOKUP(Tabela1[[#This Row],[CC]],CC!$A$1:$H$389,2,0),"")</f>
        <v>SERASA EXPERIAN (1360)</v>
      </c>
      <c r="F1583" t="s">
        <v>586</v>
      </c>
      <c r="G1583" s="107" t="s">
        <v>653</v>
      </c>
      <c r="H1583" s="12">
        <v>46023</v>
      </c>
      <c r="I1583" s="27">
        <v>59959.199999999997</v>
      </c>
      <c r="J1583" s="24">
        <v>56271.71</v>
      </c>
      <c r="K1583" s="3">
        <v>46044</v>
      </c>
      <c r="L1583" s="91">
        <v>46076</v>
      </c>
      <c r="M1583" s="11">
        <v>46080</v>
      </c>
      <c r="N1583" s="18" t="s">
        <v>588</v>
      </c>
      <c r="O1583" s="34"/>
      <c r="P1583"/>
      <c r="Q1583" t="str">
        <f>IFERROR(VLOOKUP(Tabela1[[#This Row],[CC]],CC!$A$1:$H$389,5,0),"")</f>
        <v>ADS</v>
      </c>
      <c r="R1583" t="str">
        <f>IFERROR(VLOOKUP(Tabela1[[#This Row],[CC]],CC!$A$1:$H$389,6,0),"")</f>
        <v>FS</v>
      </c>
      <c r="S1583" t="str">
        <f>IFERROR(VLOOKUP(Tabela1[[#This Row],[CC]],CC!$A$1:$H$403,8,0),"")</f>
        <v>OP1</v>
      </c>
      <c r="W1583" s="91"/>
    </row>
    <row r="1584" spans="1:23" x14ac:dyDescent="0.3">
      <c r="A1584" s="25">
        <v>1360</v>
      </c>
      <c r="B1584" s="25" t="str">
        <f>IFERROR(VLOOKUP(Tabela1[[#This Row],[CC]],#REF!,5,0),"")</f>
        <v/>
      </c>
      <c r="C1584" t="str">
        <f>IFERROR(VLOOKUP(Tabela1[[#This Row],[CC]],CC!$A$1:$H$389,7,0),"")</f>
        <v>RITA ANDRADE</v>
      </c>
      <c r="D1584" t="str">
        <f>IFERROR(VLOOKUP(Tabela1[[#This Row],[CC]],CC!$A$1:$I$3869,3,0),"")</f>
        <v>SERASA</v>
      </c>
      <c r="E1584" t="str">
        <f>IFERROR(VLOOKUP(Tabela1[[#This Row],[CC]],CC!$A$1:$H$389,2,0),"")</f>
        <v>SERASA EXPERIAN (1360)</v>
      </c>
      <c r="F1584" t="s">
        <v>586</v>
      </c>
      <c r="G1584" s="107" t="s">
        <v>654</v>
      </c>
      <c r="H1584" s="12">
        <v>46023</v>
      </c>
      <c r="I1584" s="27">
        <v>26224</v>
      </c>
      <c r="J1584" s="24">
        <v>24611.22</v>
      </c>
      <c r="K1584" s="3">
        <v>46044</v>
      </c>
      <c r="L1584" s="91">
        <v>46076</v>
      </c>
      <c r="M1584" s="11">
        <v>46080</v>
      </c>
      <c r="N1584" s="18" t="s">
        <v>588</v>
      </c>
      <c r="O1584" s="34"/>
      <c r="P1584"/>
      <c r="Q1584" t="str">
        <f>IFERROR(VLOOKUP(Tabela1[[#This Row],[CC]],CC!$A$1:$H$389,5,0),"")</f>
        <v>ADS</v>
      </c>
      <c r="R1584" t="str">
        <f>IFERROR(VLOOKUP(Tabela1[[#This Row],[CC]],CC!$A$1:$H$389,6,0),"")</f>
        <v>FS</v>
      </c>
      <c r="S1584" t="str">
        <f>IFERROR(VLOOKUP(Tabela1[[#This Row],[CC]],CC!$A$1:$H$403,8,0),"")</f>
        <v>OP1</v>
      </c>
      <c r="W1584" s="91"/>
    </row>
    <row r="1585" spans="1:23" x14ac:dyDescent="0.3">
      <c r="A1585" s="25">
        <v>1360</v>
      </c>
      <c r="B1585" s="25" t="str">
        <f>IFERROR(VLOOKUP(Tabela1[[#This Row],[CC]],#REF!,5,0),"")</f>
        <v/>
      </c>
      <c r="C1585" t="str">
        <f>IFERROR(VLOOKUP(Tabela1[[#This Row],[CC]],CC!$A$1:$H$389,7,0),"")</f>
        <v>RITA ANDRADE</v>
      </c>
      <c r="D1585" t="str">
        <f>IFERROR(VLOOKUP(Tabela1[[#This Row],[CC]],CC!$A$1:$I$3869,3,0),"")</f>
        <v>SERASA</v>
      </c>
      <c r="E1585" t="str">
        <f>IFERROR(VLOOKUP(Tabela1[[#This Row],[CC]],CC!$A$1:$H$389,2,0),"")</f>
        <v>SERASA EXPERIAN (1360)</v>
      </c>
      <c r="F1585" t="s">
        <v>586</v>
      </c>
      <c r="G1585" s="107" t="s">
        <v>655</v>
      </c>
      <c r="H1585" s="12">
        <v>46023</v>
      </c>
      <c r="I1585" s="27">
        <v>27535.200000000001</v>
      </c>
      <c r="J1585" s="24">
        <v>25841.78</v>
      </c>
      <c r="K1585" s="3">
        <v>46044</v>
      </c>
      <c r="L1585" s="91">
        <v>46076</v>
      </c>
      <c r="M1585" s="11">
        <v>46080</v>
      </c>
      <c r="N1585" s="18" t="s">
        <v>588</v>
      </c>
      <c r="O1585" s="34"/>
      <c r="P1585"/>
      <c r="Q1585" t="str">
        <f>IFERROR(VLOOKUP(Tabela1[[#This Row],[CC]],CC!$A$1:$H$389,5,0),"")</f>
        <v>ADS</v>
      </c>
      <c r="R1585" t="str">
        <f>IFERROR(VLOOKUP(Tabela1[[#This Row],[CC]],CC!$A$1:$H$389,6,0),"")</f>
        <v>FS</v>
      </c>
      <c r="S1585" t="str">
        <f>IFERROR(VLOOKUP(Tabela1[[#This Row],[CC]],CC!$A$1:$H$403,8,0),"")</f>
        <v>OP1</v>
      </c>
      <c r="W1585" s="91"/>
    </row>
    <row r="1586" spans="1:23" x14ac:dyDescent="0.3">
      <c r="A1586" s="25">
        <v>1360</v>
      </c>
      <c r="B1586" s="25" t="str">
        <f>IFERROR(VLOOKUP(Tabela1[[#This Row],[CC]],#REF!,5,0),"")</f>
        <v/>
      </c>
      <c r="C1586" t="str">
        <f>IFERROR(VLOOKUP(Tabela1[[#This Row],[CC]],CC!$A$1:$H$389,7,0),"")</f>
        <v>RITA ANDRADE</v>
      </c>
      <c r="D1586" t="str">
        <f>IFERROR(VLOOKUP(Tabela1[[#This Row],[CC]],CC!$A$1:$I$3869,3,0),"")</f>
        <v>SERASA</v>
      </c>
      <c r="E1586" t="str">
        <f>IFERROR(VLOOKUP(Tabela1[[#This Row],[CC]],CC!$A$1:$H$389,2,0),"")</f>
        <v>SERASA EXPERIAN (1360)</v>
      </c>
      <c r="F1586" t="s">
        <v>586</v>
      </c>
      <c r="G1586" s="107" t="s">
        <v>656</v>
      </c>
      <c r="H1586" s="12">
        <v>46023</v>
      </c>
      <c r="I1586" s="27">
        <v>38523.599999999999</v>
      </c>
      <c r="J1586" s="24">
        <v>36154.400000000001</v>
      </c>
      <c r="K1586" s="3">
        <v>46044</v>
      </c>
      <c r="L1586" s="91">
        <v>46076</v>
      </c>
      <c r="M1586" s="11">
        <v>46080</v>
      </c>
      <c r="N1586" s="18" t="s">
        <v>588</v>
      </c>
      <c r="O1586" s="34"/>
      <c r="P1586"/>
      <c r="Q1586" t="str">
        <f>IFERROR(VLOOKUP(Tabela1[[#This Row],[CC]],CC!$A$1:$H$389,5,0),"")</f>
        <v>ADS</v>
      </c>
      <c r="R1586" t="str">
        <f>IFERROR(VLOOKUP(Tabela1[[#This Row],[CC]],CC!$A$1:$H$389,6,0),"")</f>
        <v>FS</v>
      </c>
      <c r="S1586" t="str">
        <f>IFERROR(VLOOKUP(Tabela1[[#This Row],[CC]],CC!$A$1:$H$403,8,0),"")</f>
        <v>OP1</v>
      </c>
      <c r="W1586" s="91"/>
    </row>
    <row r="1587" spans="1:23" x14ac:dyDescent="0.3">
      <c r="A1587" s="25">
        <v>1360</v>
      </c>
      <c r="B1587" s="25" t="str">
        <f>IFERROR(VLOOKUP(Tabela1[[#This Row],[CC]],#REF!,5,0),"")</f>
        <v/>
      </c>
      <c r="C1587" t="str">
        <f>IFERROR(VLOOKUP(Tabela1[[#This Row],[CC]],CC!$A$1:$H$389,7,0),"")</f>
        <v>RITA ANDRADE</v>
      </c>
      <c r="D1587" t="str">
        <f>IFERROR(VLOOKUP(Tabela1[[#This Row],[CC]],CC!$A$1:$I$3869,3,0),"")</f>
        <v>SERASA</v>
      </c>
      <c r="E1587" t="str">
        <f>IFERROR(VLOOKUP(Tabela1[[#This Row],[CC]],CC!$A$1:$H$389,2,0),"")</f>
        <v>SERASA EXPERIAN (1360)</v>
      </c>
      <c r="F1587" t="s">
        <v>586</v>
      </c>
      <c r="G1587" s="107" t="s">
        <v>657</v>
      </c>
      <c r="H1587" s="12">
        <v>46023</v>
      </c>
      <c r="I1587" s="27">
        <v>15734.4</v>
      </c>
      <c r="J1587" s="24">
        <v>14766.74</v>
      </c>
      <c r="K1587" s="3">
        <v>46044</v>
      </c>
      <c r="L1587" s="91">
        <v>46076</v>
      </c>
      <c r="M1587" s="11">
        <v>46080</v>
      </c>
      <c r="N1587" s="18" t="s">
        <v>588</v>
      </c>
      <c r="O1587" s="34"/>
      <c r="P1587"/>
      <c r="Q1587" t="str">
        <f>IFERROR(VLOOKUP(Tabela1[[#This Row],[CC]],CC!$A$1:$H$389,5,0),"")</f>
        <v>ADS</v>
      </c>
      <c r="R1587" t="str">
        <f>IFERROR(VLOOKUP(Tabela1[[#This Row],[CC]],CC!$A$1:$H$389,6,0),"")</f>
        <v>FS</v>
      </c>
      <c r="S1587" t="str">
        <f>IFERROR(VLOOKUP(Tabela1[[#This Row],[CC]],CC!$A$1:$H$403,8,0),"")</f>
        <v>OP1</v>
      </c>
      <c r="W1587" s="91"/>
    </row>
    <row r="1588" spans="1:23" x14ac:dyDescent="0.3">
      <c r="A1588" s="25">
        <v>1360</v>
      </c>
      <c r="B1588" s="25" t="str">
        <f>IFERROR(VLOOKUP(Tabela1[[#This Row],[CC]],#REF!,5,0),"")</f>
        <v/>
      </c>
      <c r="C1588" t="str">
        <f>IFERROR(VLOOKUP(Tabela1[[#This Row],[CC]],CC!$A$1:$H$389,7,0),"")</f>
        <v>RITA ANDRADE</v>
      </c>
      <c r="D1588" t="str">
        <f>IFERROR(VLOOKUP(Tabela1[[#This Row],[CC]],CC!$A$1:$I$3869,3,0),"")</f>
        <v>SERASA</v>
      </c>
      <c r="E1588" t="str">
        <f>IFERROR(VLOOKUP(Tabela1[[#This Row],[CC]],CC!$A$1:$H$389,2,0),"")</f>
        <v>SERASA EXPERIAN (1360)</v>
      </c>
      <c r="F1588" t="s">
        <v>586</v>
      </c>
      <c r="G1588" s="107" t="s">
        <v>658</v>
      </c>
      <c r="H1588" s="12">
        <v>46023</v>
      </c>
      <c r="I1588" s="27">
        <v>32342.400000000001</v>
      </c>
      <c r="J1588" s="24">
        <v>30353.34</v>
      </c>
      <c r="K1588" s="3">
        <v>46045</v>
      </c>
      <c r="L1588" s="91">
        <v>46076</v>
      </c>
      <c r="M1588" s="11">
        <v>46080</v>
      </c>
      <c r="N1588" s="18" t="s">
        <v>588</v>
      </c>
      <c r="O1588" s="34"/>
      <c r="P1588"/>
      <c r="Q1588" t="str">
        <f>IFERROR(VLOOKUP(Tabela1[[#This Row],[CC]],CC!$A$1:$H$389,5,0),"")</f>
        <v>ADS</v>
      </c>
      <c r="R1588" t="str">
        <f>IFERROR(VLOOKUP(Tabela1[[#This Row],[CC]],CC!$A$1:$H$389,6,0),"")</f>
        <v>FS</v>
      </c>
      <c r="S1588" t="str">
        <f>IFERROR(VLOOKUP(Tabela1[[#This Row],[CC]],CC!$A$1:$H$403,8,0),"")</f>
        <v>OP1</v>
      </c>
      <c r="W1588" s="91"/>
    </row>
    <row r="1589" spans="1:23" x14ac:dyDescent="0.3">
      <c r="A1589" s="25">
        <v>1360</v>
      </c>
      <c r="B1589" s="25" t="str">
        <f>IFERROR(VLOOKUP(Tabela1[[#This Row],[CC]],#REF!,5,0),"")</f>
        <v/>
      </c>
      <c r="C1589" t="str">
        <f>IFERROR(VLOOKUP(Tabela1[[#This Row],[CC]],CC!$A$1:$H$389,7,0),"")</f>
        <v>RITA ANDRADE</v>
      </c>
      <c r="D1589" t="str">
        <f>IFERROR(VLOOKUP(Tabela1[[#This Row],[CC]],CC!$A$1:$I$3869,3,0),"")</f>
        <v>SERASA</v>
      </c>
      <c r="E1589" t="str">
        <f>IFERROR(VLOOKUP(Tabela1[[#This Row],[CC]],CC!$A$1:$H$389,2,0),"")</f>
        <v>SERASA EXPERIAN (1360)</v>
      </c>
      <c r="F1589" t="s">
        <v>586</v>
      </c>
      <c r="G1589" s="107" t="s">
        <v>659</v>
      </c>
      <c r="H1589" s="12">
        <v>46023</v>
      </c>
      <c r="I1589" s="27">
        <v>30880</v>
      </c>
      <c r="J1589" s="24">
        <v>28980.880000000001</v>
      </c>
      <c r="K1589" s="3">
        <v>46045</v>
      </c>
      <c r="L1589" s="91">
        <v>46076</v>
      </c>
      <c r="M1589" s="11">
        <v>46080</v>
      </c>
      <c r="N1589" s="18" t="s">
        <v>588</v>
      </c>
      <c r="O1589" s="34"/>
      <c r="P1589"/>
      <c r="Q1589" t="str">
        <f>IFERROR(VLOOKUP(Tabela1[[#This Row],[CC]],CC!$A$1:$H$389,5,0),"")</f>
        <v>ADS</v>
      </c>
      <c r="R1589" t="str">
        <f>IFERROR(VLOOKUP(Tabela1[[#This Row],[CC]],CC!$A$1:$H$389,6,0),"")</f>
        <v>FS</v>
      </c>
      <c r="S1589" t="str">
        <f>IFERROR(VLOOKUP(Tabela1[[#This Row],[CC]],CC!$A$1:$H$403,8,0),"")</f>
        <v>OP1</v>
      </c>
      <c r="W1589" s="91"/>
    </row>
    <row r="1590" spans="1:23" x14ac:dyDescent="0.3">
      <c r="A1590" s="25">
        <v>1360</v>
      </c>
      <c r="B1590" s="25" t="str">
        <f>IFERROR(VLOOKUP(Tabela1[[#This Row],[CC]],#REF!,5,0),"")</f>
        <v/>
      </c>
      <c r="C1590" t="str">
        <f>IFERROR(VLOOKUP(Tabela1[[#This Row],[CC]],CC!$A$1:$H$389,7,0),"")</f>
        <v>RITA ANDRADE</v>
      </c>
      <c r="D1590" t="str">
        <f>IFERROR(VLOOKUP(Tabela1[[#This Row],[CC]],CC!$A$1:$I$3869,3,0),"")</f>
        <v>SERASA</v>
      </c>
      <c r="E1590" t="str">
        <f>IFERROR(VLOOKUP(Tabela1[[#This Row],[CC]],CC!$A$1:$H$389,2,0),"")</f>
        <v>SERASA EXPERIAN (1360)</v>
      </c>
      <c r="F1590" t="s">
        <v>586</v>
      </c>
      <c r="G1590" s="107" t="s">
        <v>660</v>
      </c>
      <c r="H1590" s="12">
        <v>46023</v>
      </c>
      <c r="I1590" s="27">
        <v>30880</v>
      </c>
      <c r="J1590" s="24">
        <v>28980.880000000001</v>
      </c>
      <c r="K1590" s="3">
        <v>46045</v>
      </c>
      <c r="L1590" s="91">
        <v>46076</v>
      </c>
      <c r="M1590" s="11">
        <v>46080</v>
      </c>
      <c r="N1590" s="18" t="s">
        <v>588</v>
      </c>
      <c r="O1590" s="34"/>
      <c r="P1590"/>
      <c r="Q1590" t="str">
        <f>IFERROR(VLOOKUP(Tabela1[[#This Row],[CC]],CC!$A$1:$H$389,5,0),"")</f>
        <v>ADS</v>
      </c>
      <c r="R1590" t="str">
        <f>IFERROR(VLOOKUP(Tabela1[[#This Row],[CC]],CC!$A$1:$H$389,6,0),"")</f>
        <v>FS</v>
      </c>
      <c r="S1590" t="str">
        <f>IFERROR(VLOOKUP(Tabela1[[#This Row],[CC]],CC!$A$1:$H$403,8,0),"")</f>
        <v>OP1</v>
      </c>
      <c r="W1590" s="91"/>
    </row>
    <row r="1591" spans="1:23" x14ac:dyDescent="0.3">
      <c r="A1591" s="25">
        <v>1360</v>
      </c>
      <c r="B1591" s="25" t="str">
        <f>IFERROR(VLOOKUP(Tabela1[[#This Row],[CC]],#REF!,5,0),"")</f>
        <v/>
      </c>
      <c r="C1591" t="str">
        <f>IFERROR(VLOOKUP(Tabela1[[#This Row],[CC]],CC!$A$1:$H$389,7,0),"")</f>
        <v>RITA ANDRADE</v>
      </c>
      <c r="D1591" t="str">
        <f>IFERROR(VLOOKUP(Tabela1[[#This Row],[CC]],CC!$A$1:$I$3869,3,0),"")</f>
        <v>SERASA</v>
      </c>
      <c r="E1591" t="str">
        <f>IFERROR(VLOOKUP(Tabela1[[#This Row],[CC]],CC!$A$1:$H$389,2,0),"")</f>
        <v>SERASA EXPERIAN (1360)</v>
      </c>
      <c r="F1591" t="s">
        <v>586</v>
      </c>
      <c r="G1591" s="107" t="s">
        <v>661</v>
      </c>
      <c r="H1591" s="12">
        <v>46023</v>
      </c>
      <c r="I1591" s="27">
        <v>18080.16</v>
      </c>
      <c r="J1591" s="24">
        <v>16968.240000000002</v>
      </c>
      <c r="K1591" s="3">
        <v>46045</v>
      </c>
      <c r="L1591" s="91">
        <v>46076</v>
      </c>
      <c r="M1591" s="11">
        <v>46080</v>
      </c>
      <c r="N1591" s="18" t="s">
        <v>588</v>
      </c>
      <c r="O1591" s="34"/>
      <c r="P1591"/>
      <c r="Q1591" t="str">
        <f>IFERROR(VLOOKUP(Tabela1[[#This Row],[CC]],CC!$A$1:$H$389,5,0),"")</f>
        <v>ADS</v>
      </c>
      <c r="R1591" t="str">
        <f>IFERROR(VLOOKUP(Tabela1[[#This Row],[CC]],CC!$A$1:$H$389,6,0),"")</f>
        <v>FS</v>
      </c>
      <c r="S1591" t="str">
        <f>IFERROR(VLOOKUP(Tabela1[[#This Row],[CC]],CC!$A$1:$H$403,8,0),"")</f>
        <v>OP1</v>
      </c>
      <c r="W1591" s="91"/>
    </row>
    <row r="1592" spans="1:23" x14ac:dyDescent="0.3">
      <c r="A1592" s="25">
        <v>1360</v>
      </c>
      <c r="B1592" s="25" t="str">
        <f>IFERROR(VLOOKUP(Tabela1[[#This Row],[CC]],#REF!,5,0),"")</f>
        <v/>
      </c>
      <c r="C1592" t="str">
        <f>IFERROR(VLOOKUP(Tabela1[[#This Row],[CC]],CC!$A$1:$H$389,7,0),"")</f>
        <v>RITA ANDRADE</v>
      </c>
      <c r="D1592" t="str">
        <f>IFERROR(VLOOKUP(Tabela1[[#This Row],[CC]],CC!$A$1:$I$3869,3,0),"")</f>
        <v>SERASA</v>
      </c>
      <c r="E1592" t="str">
        <f>IFERROR(VLOOKUP(Tabela1[[#This Row],[CC]],CC!$A$1:$H$389,2,0),"")</f>
        <v>SERASA EXPERIAN (1360)</v>
      </c>
      <c r="F1592" t="s">
        <v>586</v>
      </c>
      <c r="G1592" s="107" t="s">
        <v>662</v>
      </c>
      <c r="H1592" s="12">
        <v>46023</v>
      </c>
      <c r="I1592" s="27">
        <v>7748.64</v>
      </c>
      <c r="J1592" s="24">
        <v>7272.09</v>
      </c>
      <c r="K1592" s="3">
        <v>46045</v>
      </c>
      <c r="L1592" s="91">
        <v>46076</v>
      </c>
      <c r="M1592" s="11">
        <v>46080</v>
      </c>
      <c r="N1592" s="18" t="s">
        <v>588</v>
      </c>
      <c r="O1592" s="34"/>
      <c r="P1592"/>
      <c r="Q1592" t="str">
        <f>IFERROR(VLOOKUP(Tabela1[[#This Row],[CC]],CC!$A$1:$H$389,5,0),"")</f>
        <v>ADS</v>
      </c>
      <c r="R1592" t="str">
        <f>IFERROR(VLOOKUP(Tabela1[[#This Row],[CC]],CC!$A$1:$H$389,6,0),"")</f>
        <v>FS</v>
      </c>
      <c r="S1592" t="str">
        <f>IFERROR(VLOOKUP(Tabela1[[#This Row],[CC]],CC!$A$1:$H$403,8,0),"")</f>
        <v>OP1</v>
      </c>
      <c r="W1592" s="91"/>
    </row>
    <row r="1593" spans="1:23" x14ac:dyDescent="0.3">
      <c r="A1593" s="25">
        <v>1360</v>
      </c>
      <c r="B1593" s="25" t="str">
        <f>IFERROR(VLOOKUP(Tabela1[[#This Row],[CC]],#REF!,5,0),"")</f>
        <v/>
      </c>
      <c r="C1593" t="str">
        <f>IFERROR(VLOOKUP(Tabela1[[#This Row],[CC]],CC!$A$1:$H$389,7,0),"")</f>
        <v>RITA ANDRADE</v>
      </c>
      <c r="D1593" t="str">
        <f>IFERROR(VLOOKUP(Tabela1[[#This Row],[CC]],CC!$A$1:$I$3869,3,0),"")</f>
        <v>SERASA</v>
      </c>
      <c r="E1593" t="str">
        <f>IFERROR(VLOOKUP(Tabela1[[#This Row],[CC]],CC!$A$1:$H$389,2,0),"")</f>
        <v>SERASA EXPERIAN (1360)</v>
      </c>
      <c r="F1593" t="s">
        <v>586</v>
      </c>
      <c r="G1593" s="107" t="s">
        <v>663</v>
      </c>
      <c r="H1593" s="12">
        <v>46023</v>
      </c>
      <c r="I1593" s="27">
        <v>97708</v>
      </c>
      <c r="J1593" s="24">
        <v>91698.96</v>
      </c>
      <c r="K1593" s="3">
        <v>46045</v>
      </c>
      <c r="L1593" s="91">
        <v>46076</v>
      </c>
      <c r="M1593" s="11">
        <v>46080</v>
      </c>
      <c r="N1593" s="18" t="s">
        <v>588</v>
      </c>
      <c r="O1593" s="34"/>
      <c r="P1593"/>
      <c r="Q1593" t="str">
        <f>IFERROR(VLOOKUP(Tabela1[[#This Row],[CC]],CC!$A$1:$H$389,5,0),"")</f>
        <v>ADS</v>
      </c>
      <c r="R1593" t="str">
        <f>IFERROR(VLOOKUP(Tabela1[[#This Row],[CC]],CC!$A$1:$H$389,6,0),"")</f>
        <v>FS</v>
      </c>
      <c r="S1593" t="str">
        <f>IFERROR(VLOOKUP(Tabela1[[#This Row],[CC]],CC!$A$1:$H$403,8,0),"")</f>
        <v>OP1</v>
      </c>
      <c r="W1593" s="91"/>
    </row>
    <row r="1594" spans="1:23" x14ac:dyDescent="0.3">
      <c r="A1594" s="25">
        <v>1360</v>
      </c>
      <c r="B1594" s="25" t="str">
        <f>IFERROR(VLOOKUP(Tabela1[[#This Row],[CC]],#REF!,5,0),"")</f>
        <v/>
      </c>
      <c r="C1594" t="str">
        <f>IFERROR(VLOOKUP(Tabela1[[#This Row],[CC]],CC!$A$1:$H$389,7,0),"")</f>
        <v>RITA ANDRADE</v>
      </c>
      <c r="D1594" t="str">
        <f>IFERROR(VLOOKUP(Tabela1[[#This Row],[CC]],CC!$A$1:$I$3869,3,0),"")</f>
        <v>SERASA</v>
      </c>
      <c r="E1594" t="str">
        <f>IFERROR(VLOOKUP(Tabela1[[#This Row],[CC]],CC!$A$1:$H$389,2,0),"")</f>
        <v>SERASA EXPERIAN (1360)</v>
      </c>
      <c r="F1594" t="s">
        <v>586</v>
      </c>
      <c r="G1594" s="107">
        <v>4779</v>
      </c>
      <c r="H1594" s="12">
        <v>46023</v>
      </c>
      <c r="I1594" s="27">
        <v>42312.800000000003</v>
      </c>
      <c r="J1594" s="24">
        <v>39710.57</v>
      </c>
      <c r="K1594" s="3">
        <v>46048</v>
      </c>
      <c r="L1594" s="91">
        <v>46076</v>
      </c>
      <c r="M1594" s="11">
        <v>46080</v>
      </c>
      <c r="N1594" s="18" t="s">
        <v>588</v>
      </c>
      <c r="O1594" s="34"/>
      <c r="P1594"/>
      <c r="Q1594" t="str">
        <f>IFERROR(VLOOKUP(Tabela1[[#This Row],[CC]],CC!$A$1:$H$389,5,0),"")</f>
        <v>ADS</v>
      </c>
      <c r="R1594" t="str">
        <f>IFERROR(VLOOKUP(Tabela1[[#This Row],[CC]],CC!$A$1:$H$389,6,0),"")</f>
        <v>FS</v>
      </c>
      <c r="S1594" t="str">
        <f>IFERROR(VLOOKUP(Tabela1[[#This Row],[CC]],CC!$A$1:$H$403,8,0),"")</f>
        <v>OP1</v>
      </c>
      <c r="W1594" s="91"/>
    </row>
    <row r="1595" spans="1:23" x14ac:dyDescent="0.3">
      <c r="A1595" s="25">
        <v>1360</v>
      </c>
      <c r="B1595" s="25" t="str">
        <f>IFERROR(VLOOKUP(Tabela1[[#This Row],[CC]],#REF!,5,0),"")</f>
        <v/>
      </c>
      <c r="C1595" t="str">
        <f>IFERROR(VLOOKUP(Tabela1[[#This Row],[CC]],CC!$A$1:$H$389,7,0),"")</f>
        <v>RITA ANDRADE</v>
      </c>
      <c r="D1595" t="str">
        <f>IFERROR(VLOOKUP(Tabela1[[#This Row],[CC]],CC!$A$1:$I$3869,3,0),"")</f>
        <v>SERASA</v>
      </c>
      <c r="E1595" t="str">
        <f>IFERROR(VLOOKUP(Tabela1[[#This Row],[CC]],CC!$A$1:$H$389,2,0),"")</f>
        <v>SERASA EXPERIAN (1360)</v>
      </c>
      <c r="F1595" t="s">
        <v>586</v>
      </c>
      <c r="G1595" s="107">
        <v>4780</v>
      </c>
      <c r="H1595" s="12">
        <v>46023</v>
      </c>
      <c r="I1595" s="27">
        <v>175433.60000000001</v>
      </c>
      <c r="J1595" s="24">
        <v>164644.43</v>
      </c>
      <c r="K1595" s="3">
        <v>46048</v>
      </c>
      <c r="L1595" s="91">
        <v>46076</v>
      </c>
      <c r="M1595" s="11">
        <v>46080</v>
      </c>
      <c r="N1595" s="18" t="s">
        <v>588</v>
      </c>
      <c r="O1595" s="34"/>
      <c r="P1595"/>
      <c r="Q1595" t="str">
        <f>IFERROR(VLOOKUP(Tabela1[[#This Row],[CC]],CC!$A$1:$H$389,5,0),"")</f>
        <v>ADS</v>
      </c>
      <c r="R1595" t="str">
        <f>IFERROR(VLOOKUP(Tabela1[[#This Row],[CC]],CC!$A$1:$H$389,6,0),"")</f>
        <v>FS</v>
      </c>
      <c r="S1595" t="str">
        <f>IFERROR(VLOOKUP(Tabela1[[#This Row],[CC]],CC!$A$1:$H$403,8,0),"")</f>
        <v>OP1</v>
      </c>
      <c r="W1595" s="91"/>
    </row>
    <row r="1596" spans="1:23" x14ac:dyDescent="0.3">
      <c r="A1596" s="25">
        <v>1360</v>
      </c>
      <c r="B1596" s="25" t="str">
        <f>IFERROR(VLOOKUP(Tabela1[[#This Row],[CC]],#REF!,5,0),"")</f>
        <v/>
      </c>
      <c r="C1596" t="str">
        <f>IFERROR(VLOOKUP(Tabela1[[#This Row],[CC]],CC!$A$1:$H$389,7,0),"")</f>
        <v>RITA ANDRADE</v>
      </c>
      <c r="D1596" t="str">
        <f>IFERROR(VLOOKUP(Tabela1[[#This Row],[CC]],CC!$A$1:$I$3869,3,0),"")</f>
        <v>SERASA</v>
      </c>
      <c r="E1596" t="str">
        <f>IFERROR(VLOOKUP(Tabela1[[#This Row],[CC]],CC!$A$1:$H$389,2,0),"")</f>
        <v>SERASA EXPERIAN (1360)</v>
      </c>
      <c r="F1596" t="s">
        <v>586</v>
      </c>
      <c r="G1596" s="107">
        <v>4781</v>
      </c>
      <c r="H1596" s="12">
        <v>46023</v>
      </c>
      <c r="I1596" s="27">
        <v>33416</v>
      </c>
      <c r="J1596" s="24">
        <v>31360.92</v>
      </c>
      <c r="K1596" s="3">
        <v>46049</v>
      </c>
      <c r="L1596" s="91">
        <v>46076</v>
      </c>
      <c r="M1596" s="11">
        <v>46080</v>
      </c>
      <c r="N1596" s="18" t="s">
        <v>588</v>
      </c>
      <c r="O1596" s="34"/>
      <c r="P1596"/>
      <c r="Q1596" t="str">
        <f>IFERROR(VLOOKUP(Tabela1[[#This Row],[CC]],CC!$A$1:$H$389,5,0),"")</f>
        <v>ADS</v>
      </c>
      <c r="R1596" t="str">
        <f>IFERROR(VLOOKUP(Tabela1[[#This Row],[CC]],CC!$A$1:$H$389,6,0),"")</f>
        <v>FS</v>
      </c>
      <c r="S1596" t="str">
        <f>IFERROR(VLOOKUP(Tabela1[[#This Row],[CC]],CC!$A$1:$H$403,8,0),"")</f>
        <v>OP1</v>
      </c>
      <c r="W1596" s="91"/>
    </row>
    <row r="1597" spans="1:23" x14ac:dyDescent="0.3">
      <c r="A1597" s="25">
        <v>1360</v>
      </c>
      <c r="B1597" s="25" t="str">
        <f>IFERROR(VLOOKUP(Tabela1[[#This Row],[CC]],#REF!,5,0),"")</f>
        <v/>
      </c>
      <c r="C1597" t="str">
        <f>IFERROR(VLOOKUP(Tabela1[[#This Row],[CC]],CC!$A$1:$H$389,7,0),"")</f>
        <v>RITA ANDRADE</v>
      </c>
      <c r="D1597" t="str">
        <f>IFERROR(VLOOKUP(Tabela1[[#This Row],[CC]],CC!$A$1:$I$3869,3,0),"")</f>
        <v>SERASA</v>
      </c>
      <c r="E1597" t="str">
        <f>IFERROR(VLOOKUP(Tabela1[[#This Row],[CC]],CC!$A$1:$H$389,2,0),"")</f>
        <v>SERASA EXPERIAN (1360)</v>
      </c>
      <c r="F1597" t="s">
        <v>586</v>
      </c>
      <c r="G1597" s="107">
        <v>4782</v>
      </c>
      <c r="H1597" s="12">
        <v>46023</v>
      </c>
      <c r="I1597" s="27">
        <v>37369.599999999999</v>
      </c>
      <c r="J1597" s="24">
        <v>35071.370000000003</v>
      </c>
      <c r="K1597" s="3">
        <v>46049</v>
      </c>
      <c r="L1597" s="91">
        <v>46076</v>
      </c>
      <c r="M1597" s="11">
        <v>46080</v>
      </c>
      <c r="N1597" s="18" t="s">
        <v>588</v>
      </c>
      <c r="O1597" s="34"/>
      <c r="P1597"/>
      <c r="Q1597" t="str">
        <f>IFERROR(VLOOKUP(Tabela1[[#This Row],[CC]],CC!$A$1:$H$389,5,0),"")</f>
        <v>ADS</v>
      </c>
      <c r="R1597" t="str">
        <f>IFERROR(VLOOKUP(Tabela1[[#This Row],[CC]],CC!$A$1:$H$389,6,0),"")</f>
        <v>FS</v>
      </c>
      <c r="S1597" t="str">
        <f>IFERROR(VLOOKUP(Tabela1[[#This Row],[CC]],CC!$A$1:$H$403,8,0),"")</f>
        <v>OP1</v>
      </c>
      <c r="W1597" s="91"/>
    </row>
    <row r="1598" spans="1:23" x14ac:dyDescent="0.3">
      <c r="A1598" s="25">
        <v>1360</v>
      </c>
      <c r="B1598" s="25" t="str">
        <f>IFERROR(VLOOKUP(Tabela1[[#This Row],[CC]],#REF!,5,0),"")</f>
        <v/>
      </c>
      <c r="C1598" t="str">
        <f>IFERROR(VLOOKUP(Tabela1[[#This Row],[CC]],CC!$A$1:$H$389,7,0),"")</f>
        <v>RITA ANDRADE</v>
      </c>
      <c r="D1598" t="str">
        <f>IFERROR(VLOOKUP(Tabela1[[#This Row],[CC]],CC!$A$1:$I$3869,3,0),"")</f>
        <v>SERASA</v>
      </c>
      <c r="E1598" t="str">
        <f>IFERROR(VLOOKUP(Tabela1[[#This Row],[CC]],CC!$A$1:$H$389,2,0),"")</f>
        <v>SERASA EXPERIAN (1360)</v>
      </c>
      <c r="F1598" t="s">
        <v>586</v>
      </c>
      <c r="G1598" s="107">
        <v>4783</v>
      </c>
      <c r="H1598" s="12">
        <v>46023</v>
      </c>
      <c r="I1598" s="27">
        <v>49108.800000000003</v>
      </c>
      <c r="J1598" s="24">
        <v>46088.61</v>
      </c>
      <c r="K1598" s="3">
        <v>46049</v>
      </c>
      <c r="L1598" s="91">
        <v>46076</v>
      </c>
      <c r="M1598" s="11">
        <v>46080</v>
      </c>
      <c r="N1598" s="18" t="s">
        <v>588</v>
      </c>
      <c r="O1598" s="34"/>
      <c r="P1598"/>
      <c r="Q1598" t="str">
        <f>IFERROR(VLOOKUP(Tabela1[[#This Row],[CC]],CC!$A$1:$H$389,5,0),"")</f>
        <v>ADS</v>
      </c>
      <c r="R1598" t="str">
        <f>IFERROR(VLOOKUP(Tabela1[[#This Row],[CC]],CC!$A$1:$H$389,6,0),"")</f>
        <v>FS</v>
      </c>
      <c r="S1598" t="str">
        <f>IFERROR(VLOOKUP(Tabela1[[#This Row],[CC]],CC!$A$1:$H$403,8,0),"")</f>
        <v>OP1</v>
      </c>
      <c r="W1598" s="91"/>
    </row>
    <row r="1599" spans="1:23" x14ac:dyDescent="0.3">
      <c r="A1599" s="25">
        <v>1360</v>
      </c>
      <c r="B1599" s="25" t="str">
        <f>IFERROR(VLOOKUP(Tabela1[[#This Row],[CC]],#REF!,5,0),"")</f>
        <v/>
      </c>
      <c r="C1599" t="str">
        <f>IFERROR(VLOOKUP(Tabela1[[#This Row],[CC]],CC!$A$1:$H$389,7,0),"")</f>
        <v>RITA ANDRADE</v>
      </c>
      <c r="D1599" t="str">
        <f>IFERROR(VLOOKUP(Tabela1[[#This Row],[CC]],CC!$A$1:$I$3869,3,0),"")</f>
        <v>SERASA</v>
      </c>
      <c r="E1599" t="str">
        <f>IFERROR(VLOOKUP(Tabela1[[#This Row],[CC]],CC!$A$1:$H$389,2,0),"")</f>
        <v>SERASA EXPERIAN (1360)</v>
      </c>
      <c r="F1599" t="s">
        <v>586</v>
      </c>
      <c r="G1599" s="107">
        <v>4843</v>
      </c>
      <c r="H1599" s="12">
        <v>46023</v>
      </c>
      <c r="I1599" s="27">
        <v>114957.44</v>
      </c>
      <c r="J1599" s="27">
        <v>107887.57</v>
      </c>
      <c r="K1599" s="3">
        <v>46064</v>
      </c>
      <c r="L1599" s="91">
        <v>46111</v>
      </c>
      <c r="M1599" s="11">
        <v>46112</v>
      </c>
      <c r="N1599" s="18" t="s">
        <v>588</v>
      </c>
      <c r="O1599" s="34"/>
      <c r="P1599"/>
      <c r="Q1599" t="str">
        <f>IFERROR(VLOOKUP(Tabela1[[#This Row],[CC]],CC!$A$1:$H$389,5,0),"")</f>
        <v>ADS</v>
      </c>
      <c r="R1599" t="str">
        <f>IFERROR(VLOOKUP(Tabela1[[#This Row],[CC]],CC!$A$1:$H$389,6,0),"")</f>
        <v>FS</v>
      </c>
      <c r="S1599" t="str">
        <f>IFERROR(VLOOKUP(Tabela1[[#This Row],[CC]],CC!$A$1:$H$403,8,0),"")</f>
        <v>OP1</v>
      </c>
      <c r="W1599" s="91"/>
    </row>
    <row r="1600" spans="1:23" x14ac:dyDescent="0.3">
      <c r="A1600" s="25">
        <v>1360</v>
      </c>
      <c r="B1600" s="25" t="str">
        <f>IFERROR(VLOOKUP(Tabela1[[#This Row],[CC]],#REF!,5,0),"")</f>
        <v/>
      </c>
      <c r="C1600" t="str">
        <f>IFERROR(VLOOKUP(Tabela1[[#This Row],[CC]],CC!$A$1:$H$389,7,0),"")</f>
        <v>RITA ANDRADE</v>
      </c>
      <c r="D1600" t="str">
        <f>IFERROR(VLOOKUP(Tabela1[[#This Row],[CC]],CC!$A$1:$I$3869,3,0),"")</f>
        <v>SERASA</v>
      </c>
      <c r="E1600" t="str">
        <f>IFERROR(VLOOKUP(Tabela1[[#This Row],[CC]],CC!$A$1:$H$389,2,0),"")</f>
        <v>SERASA EXPERIAN (1360)</v>
      </c>
      <c r="F1600" t="s">
        <v>586</v>
      </c>
      <c r="G1600" s="107">
        <v>4869</v>
      </c>
      <c r="H1600" s="12">
        <v>46054</v>
      </c>
      <c r="I1600" s="27">
        <v>52098.400000000001</v>
      </c>
      <c r="J1600" s="27">
        <v>48894.35</v>
      </c>
      <c r="K1600" s="3">
        <v>46072</v>
      </c>
      <c r="L1600" s="91">
        <v>46111</v>
      </c>
      <c r="M1600" s="11">
        <v>46112</v>
      </c>
      <c r="N1600" s="18" t="s">
        <v>588</v>
      </c>
      <c r="O1600" s="34"/>
      <c r="P1600"/>
      <c r="Q1600" t="str">
        <f>IFERROR(VLOOKUP(Tabela1[[#This Row],[CC]],CC!$A$1:$H$389,5,0),"")</f>
        <v>ADS</v>
      </c>
      <c r="R1600" t="str">
        <f>IFERROR(VLOOKUP(Tabela1[[#This Row],[CC]],CC!$A$1:$H$389,6,0),"")</f>
        <v>FS</v>
      </c>
      <c r="S1600" t="str">
        <f>IFERROR(VLOOKUP(Tabela1[[#This Row],[CC]],CC!$A$1:$H$403,8,0),"")</f>
        <v>OP1</v>
      </c>
      <c r="W1600" s="91"/>
    </row>
    <row r="1601" spans="1:23" x14ac:dyDescent="0.3">
      <c r="A1601" s="25">
        <v>1360</v>
      </c>
      <c r="B1601" s="25" t="str">
        <f>IFERROR(VLOOKUP(Tabela1[[#This Row],[CC]],#REF!,5,0),"")</f>
        <v/>
      </c>
      <c r="C1601" t="str">
        <f>IFERROR(VLOOKUP(Tabela1[[#This Row],[CC]],CC!$A$1:$H$389,7,0),"")</f>
        <v>RITA ANDRADE</v>
      </c>
      <c r="D1601" t="str">
        <f>IFERROR(VLOOKUP(Tabela1[[#This Row],[CC]],CC!$A$1:$I$3869,3,0),"")</f>
        <v>SERASA</v>
      </c>
      <c r="E1601" t="str">
        <f>IFERROR(VLOOKUP(Tabela1[[#This Row],[CC]],CC!$A$1:$H$389,2,0),"")</f>
        <v>SERASA EXPERIAN (1360)</v>
      </c>
      <c r="F1601" t="s">
        <v>586</v>
      </c>
      <c r="G1601" s="107">
        <v>4870</v>
      </c>
      <c r="H1601" s="12">
        <v>46054</v>
      </c>
      <c r="I1601" s="27">
        <v>88090.08</v>
      </c>
      <c r="J1601" s="27">
        <v>82672.539999999994</v>
      </c>
      <c r="K1601" s="3">
        <v>46072</v>
      </c>
      <c r="L1601" s="91">
        <v>46111</v>
      </c>
      <c r="M1601" s="11">
        <v>46112</v>
      </c>
      <c r="N1601" s="18" t="s">
        <v>588</v>
      </c>
      <c r="O1601" s="34"/>
      <c r="P1601"/>
      <c r="Q1601" t="str">
        <f>IFERROR(VLOOKUP(Tabela1[[#This Row],[CC]],CC!$A$1:$H$389,5,0),"")</f>
        <v>ADS</v>
      </c>
      <c r="R1601" t="str">
        <f>IFERROR(VLOOKUP(Tabela1[[#This Row],[CC]],CC!$A$1:$H$389,6,0),"")</f>
        <v>FS</v>
      </c>
      <c r="S1601" t="str">
        <f>IFERROR(VLOOKUP(Tabela1[[#This Row],[CC]],CC!$A$1:$H$403,8,0),"")</f>
        <v>OP1</v>
      </c>
      <c r="W1601" s="91"/>
    </row>
    <row r="1602" spans="1:23" x14ac:dyDescent="0.3">
      <c r="A1602" s="25">
        <v>1360</v>
      </c>
      <c r="B1602" s="25" t="str">
        <f>IFERROR(VLOOKUP(Tabela1[[#This Row],[CC]],#REF!,5,0),"")</f>
        <v/>
      </c>
      <c r="C1602" t="str">
        <f>IFERROR(VLOOKUP(Tabela1[[#This Row],[CC]],CC!$A$1:$H$389,7,0),"")</f>
        <v>RITA ANDRADE</v>
      </c>
      <c r="D1602" t="str">
        <f>IFERROR(VLOOKUP(Tabela1[[#This Row],[CC]],CC!$A$1:$I$3869,3,0),"")</f>
        <v>SERASA</v>
      </c>
      <c r="E1602" t="str">
        <f>IFERROR(VLOOKUP(Tabela1[[#This Row],[CC]],CC!$A$1:$H$389,2,0),"")</f>
        <v>SERASA EXPERIAN (1360)</v>
      </c>
      <c r="F1602" t="s">
        <v>586</v>
      </c>
      <c r="G1602" s="107" t="s">
        <v>664</v>
      </c>
      <c r="H1602" s="12">
        <v>46054</v>
      </c>
      <c r="I1602" s="27">
        <v>40998.720000000001</v>
      </c>
      <c r="J1602" s="27">
        <v>38477.300000000003</v>
      </c>
      <c r="K1602" s="3">
        <v>46076</v>
      </c>
      <c r="L1602" s="91">
        <v>46111</v>
      </c>
      <c r="M1602" s="11">
        <v>46112</v>
      </c>
      <c r="N1602" s="18" t="s">
        <v>588</v>
      </c>
      <c r="O1602" s="34"/>
      <c r="P1602"/>
      <c r="Q1602" t="str">
        <f>IFERROR(VLOOKUP(Tabela1[[#This Row],[CC]],CC!$A$1:$H$389,5,0),"")</f>
        <v>ADS</v>
      </c>
      <c r="R1602" t="str">
        <f>IFERROR(VLOOKUP(Tabela1[[#This Row],[CC]],CC!$A$1:$H$389,6,0),"")</f>
        <v>FS</v>
      </c>
      <c r="S1602" t="str">
        <f>IFERROR(VLOOKUP(Tabela1[[#This Row],[CC]],CC!$A$1:$H$403,8,0),"")</f>
        <v>OP1</v>
      </c>
      <c r="W1602" s="91"/>
    </row>
    <row r="1603" spans="1:23" x14ac:dyDescent="0.3">
      <c r="A1603" s="25">
        <v>1360</v>
      </c>
      <c r="B1603" s="25" t="str">
        <f>IFERROR(VLOOKUP(Tabela1[[#This Row],[CC]],#REF!,5,0),"")</f>
        <v/>
      </c>
      <c r="C1603" t="str">
        <f>IFERROR(VLOOKUP(Tabela1[[#This Row],[CC]],CC!$A$1:$H$389,7,0),"")</f>
        <v>RITA ANDRADE</v>
      </c>
      <c r="D1603" t="str">
        <f>IFERROR(VLOOKUP(Tabela1[[#This Row],[CC]],CC!$A$1:$I$3869,3,0),"")</f>
        <v>SERASA</v>
      </c>
      <c r="E1603" t="str">
        <f>IFERROR(VLOOKUP(Tabela1[[#This Row],[CC]],CC!$A$1:$H$389,2,0),"")</f>
        <v>SERASA EXPERIAN (1360)</v>
      </c>
      <c r="F1603" t="s">
        <v>586</v>
      </c>
      <c r="G1603" s="107" t="s">
        <v>665</v>
      </c>
      <c r="H1603" s="12">
        <v>46023</v>
      </c>
      <c r="I1603" s="27">
        <v>32780</v>
      </c>
      <c r="J1603" s="27">
        <v>30764.03</v>
      </c>
      <c r="K1603" s="3">
        <v>46076</v>
      </c>
      <c r="L1603" s="91">
        <v>46111</v>
      </c>
      <c r="M1603" s="11">
        <v>46112</v>
      </c>
      <c r="N1603" s="18" t="s">
        <v>588</v>
      </c>
      <c r="O1603" s="34"/>
      <c r="P1603"/>
      <c r="Q1603" t="str">
        <f>IFERROR(VLOOKUP(Tabela1[[#This Row],[CC]],CC!$A$1:$H$389,5,0),"")</f>
        <v>ADS</v>
      </c>
      <c r="R1603" t="str">
        <f>IFERROR(VLOOKUP(Tabela1[[#This Row],[CC]],CC!$A$1:$H$389,6,0),"")</f>
        <v>FS</v>
      </c>
      <c r="S1603" t="str">
        <f>IFERROR(VLOOKUP(Tabela1[[#This Row],[CC]],CC!$A$1:$H$403,8,0),"")</f>
        <v>OP1</v>
      </c>
      <c r="W1603" s="91"/>
    </row>
    <row r="1604" spans="1:23" x14ac:dyDescent="0.3">
      <c r="A1604" s="25">
        <v>1360</v>
      </c>
      <c r="B1604" s="25" t="str">
        <f>IFERROR(VLOOKUP(Tabela1[[#This Row],[CC]],#REF!,5,0),"")</f>
        <v/>
      </c>
      <c r="C1604" t="str">
        <f>IFERROR(VLOOKUP(Tabela1[[#This Row],[CC]],CC!$A$1:$H$389,7,0),"")</f>
        <v>RITA ANDRADE</v>
      </c>
      <c r="D1604" t="str">
        <f>IFERROR(VLOOKUP(Tabela1[[#This Row],[CC]],CC!$A$1:$I$3869,3,0),"")</f>
        <v>SERASA</v>
      </c>
      <c r="E1604" t="str">
        <f>IFERROR(VLOOKUP(Tabela1[[#This Row],[CC]],CC!$A$1:$H$389,2,0),"")</f>
        <v>SERASA EXPERIAN (1360)</v>
      </c>
      <c r="F1604" t="s">
        <v>586</v>
      </c>
      <c r="G1604" s="107" t="s">
        <v>666</v>
      </c>
      <c r="H1604" s="12">
        <v>46054</v>
      </c>
      <c r="I1604" s="27">
        <v>73841.600000000006</v>
      </c>
      <c r="J1604" s="27">
        <v>69300.34</v>
      </c>
      <c r="K1604" s="3">
        <v>46076</v>
      </c>
      <c r="L1604" s="91">
        <v>46111</v>
      </c>
      <c r="M1604" s="11">
        <v>46112</v>
      </c>
      <c r="N1604" s="18" t="s">
        <v>588</v>
      </c>
      <c r="O1604" s="34"/>
      <c r="P1604"/>
      <c r="Q1604" t="str">
        <f>IFERROR(VLOOKUP(Tabela1[[#This Row],[CC]],CC!$A$1:$H$389,5,0),"")</f>
        <v>ADS</v>
      </c>
      <c r="R1604" t="str">
        <f>IFERROR(VLOOKUP(Tabela1[[#This Row],[CC]],CC!$A$1:$H$389,6,0),"")</f>
        <v>FS</v>
      </c>
      <c r="S1604" t="str">
        <f>IFERROR(VLOOKUP(Tabela1[[#This Row],[CC]],CC!$A$1:$H$403,8,0),"")</f>
        <v>OP1</v>
      </c>
      <c r="W1604" s="91"/>
    </row>
    <row r="1605" spans="1:23" x14ac:dyDescent="0.3">
      <c r="A1605" s="25">
        <v>1360</v>
      </c>
      <c r="B1605" s="25" t="str">
        <f>IFERROR(VLOOKUP(Tabela1[[#This Row],[CC]],#REF!,5,0),"")</f>
        <v/>
      </c>
      <c r="C1605" t="str">
        <f>IFERROR(VLOOKUP(Tabela1[[#This Row],[CC]],CC!$A$1:$H$389,7,0),"")</f>
        <v>RITA ANDRADE</v>
      </c>
      <c r="D1605" t="str">
        <f>IFERROR(VLOOKUP(Tabela1[[#This Row],[CC]],CC!$A$1:$I$3869,3,0),"")</f>
        <v>SERASA</v>
      </c>
      <c r="E1605" t="str">
        <f>IFERROR(VLOOKUP(Tabela1[[#This Row],[CC]],CC!$A$1:$H$389,2,0),"")</f>
        <v>SERASA EXPERIAN (1360)</v>
      </c>
      <c r="F1605" t="s">
        <v>586</v>
      </c>
      <c r="G1605" s="107" t="s">
        <v>667</v>
      </c>
      <c r="H1605" s="12">
        <v>46054</v>
      </c>
      <c r="I1605" s="27">
        <v>54248.800000000003</v>
      </c>
      <c r="J1605" s="27">
        <v>50912.5</v>
      </c>
      <c r="K1605" s="3">
        <v>46076</v>
      </c>
      <c r="L1605" s="91">
        <v>46111</v>
      </c>
      <c r="M1605" s="11">
        <v>46112</v>
      </c>
      <c r="N1605" s="18" t="s">
        <v>588</v>
      </c>
      <c r="O1605" s="34"/>
      <c r="P1605"/>
      <c r="Q1605" t="str">
        <f>IFERROR(VLOOKUP(Tabela1[[#This Row],[CC]],CC!$A$1:$H$389,5,0),"")</f>
        <v>ADS</v>
      </c>
      <c r="R1605" t="str">
        <f>IFERROR(VLOOKUP(Tabela1[[#This Row],[CC]],CC!$A$1:$H$389,6,0),"")</f>
        <v>FS</v>
      </c>
      <c r="S1605" t="str">
        <f>IFERROR(VLOOKUP(Tabela1[[#This Row],[CC]],CC!$A$1:$H$403,8,0),"")</f>
        <v>OP1</v>
      </c>
      <c r="W1605" s="91"/>
    </row>
    <row r="1606" spans="1:23" x14ac:dyDescent="0.3">
      <c r="A1606" s="25">
        <v>1360</v>
      </c>
      <c r="B1606" s="25" t="str">
        <f>IFERROR(VLOOKUP(Tabela1[[#This Row],[CC]],#REF!,5,0),"")</f>
        <v/>
      </c>
      <c r="C1606" t="str">
        <f>IFERROR(VLOOKUP(Tabela1[[#This Row],[CC]],CC!$A$1:$H$389,7,0),"")</f>
        <v>RITA ANDRADE</v>
      </c>
      <c r="D1606" t="str">
        <f>IFERROR(VLOOKUP(Tabela1[[#This Row],[CC]],CC!$A$1:$I$3869,3,0),"")</f>
        <v>SERASA</v>
      </c>
      <c r="E1606" t="str">
        <f>IFERROR(VLOOKUP(Tabela1[[#This Row],[CC]],CC!$A$1:$H$389,2,0),"")</f>
        <v>SERASA EXPERIAN (1360)</v>
      </c>
      <c r="F1606" t="s">
        <v>586</v>
      </c>
      <c r="G1606" s="107" t="s">
        <v>668</v>
      </c>
      <c r="H1606" s="12">
        <v>46054</v>
      </c>
      <c r="I1606" s="27">
        <v>24912.799999999999</v>
      </c>
      <c r="J1606" s="27">
        <v>23380.67</v>
      </c>
      <c r="K1606" s="3">
        <v>46076</v>
      </c>
      <c r="L1606" s="91">
        <v>46111</v>
      </c>
      <c r="M1606" s="11">
        <v>46112</v>
      </c>
      <c r="N1606" s="18" t="s">
        <v>588</v>
      </c>
      <c r="O1606" s="34"/>
      <c r="P1606"/>
      <c r="Q1606" t="str">
        <f>IFERROR(VLOOKUP(Tabela1[[#This Row],[CC]],CC!$A$1:$H$389,5,0),"")</f>
        <v>ADS</v>
      </c>
      <c r="R1606" t="str">
        <f>IFERROR(VLOOKUP(Tabela1[[#This Row],[CC]],CC!$A$1:$H$389,6,0),"")</f>
        <v>FS</v>
      </c>
      <c r="S1606" t="str">
        <f>IFERROR(VLOOKUP(Tabela1[[#This Row],[CC]],CC!$A$1:$H$403,8,0),"")</f>
        <v>OP1</v>
      </c>
      <c r="W1606" s="91"/>
    </row>
    <row r="1607" spans="1:23" x14ac:dyDescent="0.3">
      <c r="A1607" s="25">
        <v>1360</v>
      </c>
      <c r="B1607" s="25" t="str">
        <f>IFERROR(VLOOKUP(Tabela1[[#This Row],[CC]],#REF!,5,0),"")</f>
        <v/>
      </c>
      <c r="C1607" t="str">
        <f>IFERROR(VLOOKUP(Tabela1[[#This Row],[CC]],CC!$A$1:$H$389,7,0),"")</f>
        <v>RITA ANDRADE</v>
      </c>
      <c r="D1607" t="str">
        <f>IFERROR(VLOOKUP(Tabela1[[#This Row],[CC]],CC!$A$1:$I$3869,3,0),"")</f>
        <v>SERASA</v>
      </c>
      <c r="E1607" t="str">
        <f>IFERROR(VLOOKUP(Tabela1[[#This Row],[CC]],CC!$A$1:$H$389,2,0),"")</f>
        <v>SERASA EXPERIAN (1360)</v>
      </c>
      <c r="F1607" t="s">
        <v>586</v>
      </c>
      <c r="G1607" s="107" t="s">
        <v>669</v>
      </c>
      <c r="H1607" s="12">
        <v>46054</v>
      </c>
      <c r="I1607" s="27">
        <v>33577.440000000002</v>
      </c>
      <c r="J1607" s="27">
        <v>31512.44</v>
      </c>
      <c r="K1607" s="3">
        <v>46076</v>
      </c>
      <c r="L1607" s="91">
        <v>46111</v>
      </c>
      <c r="M1607" s="11">
        <v>46112</v>
      </c>
      <c r="N1607" s="18" t="s">
        <v>588</v>
      </c>
      <c r="O1607" s="34"/>
      <c r="P1607"/>
      <c r="Q1607" t="str">
        <f>IFERROR(VLOOKUP(Tabela1[[#This Row],[CC]],CC!$A$1:$H$389,5,0),"")</f>
        <v>ADS</v>
      </c>
      <c r="R1607" t="str">
        <f>IFERROR(VLOOKUP(Tabela1[[#This Row],[CC]],CC!$A$1:$H$389,6,0),"")</f>
        <v>FS</v>
      </c>
      <c r="S1607" t="str">
        <f>IFERROR(VLOOKUP(Tabela1[[#This Row],[CC]],CC!$A$1:$H$403,8,0),"")</f>
        <v>OP1</v>
      </c>
      <c r="W1607" s="91"/>
    </row>
    <row r="1608" spans="1:23" x14ac:dyDescent="0.3">
      <c r="A1608" s="25">
        <v>1360</v>
      </c>
      <c r="B1608" s="25" t="str">
        <f>IFERROR(VLOOKUP(Tabela1[[#This Row],[CC]],#REF!,5,0),"")</f>
        <v/>
      </c>
      <c r="C1608" t="str">
        <f>IFERROR(VLOOKUP(Tabela1[[#This Row],[CC]],CC!$A$1:$H$389,7,0),"")</f>
        <v>RITA ANDRADE</v>
      </c>
      <c r="D1608" t="str">
        <f>IFERROR(VLOOKUP(Tabela1[[#This Row],[CC]],CC!$A$1:$I$3869,3,0),"")</f>
        <v>SERASA</v>
      </c>
      <c r="E1608" t="str">
        <f>IFERROR(VLOOKUP(Tabela1[[#This Row],[CC]],CC!$A$1:$H$389,2,0),"")</f>
        <v>SERASA EXPERIAN (1360)</v>
      </c>
      <c r="F1608" t="s">
        <v>586</v>
      </c>
      <c r="G1608" s="107" t="s">
        <v>670</v>
      </c>
      <c r="H1608" s="12">
        <v>46054</v>
      </c>
      <c r="I1608" s="27">
        <v>24912.799999999999</v>
      </c>
      <c r="J1608" s="27">
        <v>23380.67</v>
      </c>
      <c r="K1608" s="3">
        <v>46076</v>
      </c>
      <c r="L1608" s="91">
        <v>46111</v>
      </c>
      <c r="M1608" s="11">
        <v>46112</v>
      </c>
      <c r="N1608" s="18" t="s">
        <v>588</v>
      </c>
      <c r="O1608" s="34"/>
      <c r="P1608"/>
      <c r="Q1608" t="str">
        <f>IFERROR(VLOOKUP(Tabela1[[#This Row],[CC]],CC!$A$1:$H$389,5,0),"")</f>
        <v>ADS</v>
      </c>
      <c r="R1608" t="str">
        <f>IFERROR(VLOOKUP(Tabela1[[#This Row],[CC]],CC!$A$1:$H$389,6,0),"")</f>
        <v>FS</v>
      </c>
      <c r="S1608" t="str">
        <f>IFERROR(VLOOKUP(Tabela1[[#This Row],[CC]],CC!$A$1:$H$403,8,0),"")</f>
        <v>OP1</v>
      </c>
      <c r="W1608" s="91"/>
    </row>
    <row r="1609" spans="1:23" x14ac:dyDescent="0.3">
      <c r="A1609" s="25">
        <v>1360</v>
      </c>
      <c r="B1609" s="25" t="str">
        <f>IFERROR(VLOOKUP(Tabela1[[#This Row],[CC]],#REF!,5,0),"")</f>
        <v/>
      </c>
      <c r="C1609" t="str">
        <f>IFERROR(VLOOKUP(Tabela1[[#This Row],[CC]],CC!$A$1:$H$389,7,0),"")</f>
        <v>RITA ANDRADE</v>
      </c>
      <c r="D1609" t="str">
        <f>IFERROR(VLOOKUP(Tabela1[[#This Row],[CC]],CC!$A$1:$I$3869,3,0),"")</f>
        <v>SERASA</v>
      </c>
      <c r="E1609" t="str">
        <f>IFERROR(VLOOKUP(Tabela1[[#This Row],[CC]],CC!$A$1:$H$389,2,0),"")</f>
        <v>SERASA EXPERIAN (1360)</v>
      </c>
      <c r="F1609" t="s">
        <v>586</v>
      </c>
      <c r="G1609" s="107">
        <v>4881</v>
      </c>
      <c r="H1609" s="12">
        <v>46054</v>
      </c>
      <c r="I1609" s="27">
        <v>34977.599999999999</v>
      </c>
      <c r="J1609" s="27">
        <v>32826.480000000003</v>
      </c>
      <c r="K1609" s="3">
        <v>46077</v>
      </c>
      <c r="L1609" s="91">
        <v>46111</v>
      </c>
      <c r="M1609" s="11">
        <v>46112</v>
      </c>
      <c r="N1609" s="18" t="s">
        <v>588</v>
      </c>
      <c r="O1609" s="34"/>
      <c r="P1609"/>
      <c r="Q1609" t="str">
        <f>IFERROR(VLOOKUP(Tabela1[[#This Row],[CC]],CC!$A$1:$H$389,5,0),"")</f>
        <v>ADS</v>
      </c>
      <c r="R1609" t="str">
        <f>IFERROR(VLOOKUP(Tabela1[[#This Row],[CC]],CC!$A$1:$H$389,6,0),"")</f>
        <v>FS</v>
      </c>
      <c r="S1609" t="str">
        <f>IFERROR(VLOOKUP(Tabela1[[#This Row],[CC]],CC!$A$1:$H$403,8,0),"")</f>
        <v>OP1</v>
      </c>
      <c r="W1609" s="91"/>
    </row>
    <row r="1610" spans="1:23" x14ac:dyDescent="0.3">
      <c r="A1610" s="25">
        <v>1360</v>
      </c>
      <c r="B1610" s="25" t="str">
        <f>IFERROR(VLOOKUP(Tabela1[[#This Row],[CC]],#REF!,5,0),"")</f>
        <v/>
      </c>
      <c r="C1610" t="str">
        <f>IFERROR(VLOOKUP(Tabela1[[#This Row],[CC]],CC!$A$1:$H$389,7,0),"")</f>
        <v>RITA ANDRADE</v>
      </c>
      <c r="D1610" t="str">
        <f>IFERROR(VLOOKUP(Tabela1[[#This Row],[CC]],CC!$A$1:$I$3869,3,0),"")</f>
        <v>SERASA</v>
      </c>
      <c r="E1610" t="str">
        <f>IFERROR(VLOOKUP(Tabela1[[#This Row],[CC]],CC!$A$1:$H$389,2,0),"")</f>
        <v>SERASA EXPERIAN (1360)</v>
      </c>
      <c r="F1610" t="s">
        <v>586</v>
      </c>
      <c r="G1610" s="107">
        <v>4882</v>
      </c>
      <c r="H1610" s="12">
        <v>46054</v>
      </c>
      <c r="I1610" s="27">
        <v>16416</v>
      </c>
      <c r="J1610" s="27">
        <v>15406.42</v>
      </c>
      <c r="K1610" s="3">
        <v>46077</v>
      </c>
      <c r="L1610" s="91">
        <v>46111</v>
      </c>
      <c r="M1610" s="11">
        <v>46112</v>
      </c>
      <c r="N1610" s="18" t="s">
        <v>588</v>
      </c>
      <c r="O1610" s="34"/>
      <c r="P1610"/>
      <c r="Q1610" t="str">
        <f>IFERROR(VLOOKUP(Tabela1[[#This Row],[CC]],CC!$A$1:$H$389,5,0),"")</f>
        <v>ADS</v>
      </c>
      <c r="R1610" t="str">
        <f>IFERROR(VLOOKUP(Tabela1[[#This Row],[CC]],CC!$A$1:$H$389,6,0),"")</f>
        <v>FS</v>
      </c>
      <c r="S1610" t="str">
        <f>IFERROR(VLOOKUP(Tabela1[[#This Row],[CC]],CC!$A$1:$H$403,8,0),"")</f>
        <v>OP1</v>
      </c>
      <c r="W1610" s="91"/>
    </row>
    <row r="1611" spans="1:23" x14ac:dyDescent="0.3">
      <c r="A1611" s="25">
        <v>1360</v>
      </c>
      <c r="B1611" s="25" t="str">
        <f>IFERROR(VLOOKUP(Tabela1[[#This Row],[CC]],#REF!,5,0),"")</f>
        <v/>
      </c>
      <c r="C1611" t="str">
        <f>IFERROR(VLOOKUP(Tabela1[[#This Row],[CC]],CC!$A$1:$H$389,7,0),"")</f>
        <v>RITA ANDRADE</v>
      </c>
      <c r="D1611" t="str">
        <f>IFERROR(VLOOKUP(Tabela1[[#This Row],[CC]],CC!$A$1:$I$3869,3,0),"")</f>
        <v>SERASA</v>
      </c>
      <c r="E1611" t="str">
        <f>IFERROR(VLOOKUP(Tabela1[[#This Row],[CC]],CC!$A$1:$H$389,2,0),"")</f>
        <v>SERASA EXPERIAN (1360)</v>
      </c>
      <c r="F1611" t="s">
        <v>586</v>
      </c>
      <c r="G1611" s="107">
        <v>4884</v>
      </c>
      <c r="H1611" s="12">
        <v>46054</v>
      </c>
      <c r="I1611" s="27">
        <v>47217.599999999999</v>
      </c>
      <c r="J1611" s="27">
        <v>44313.72</v>
      </c>
      <c r="K1611" s="3">
        <v>46077</v>
      </c>
      <c r="L1611" s="91">
        <v>46111</v>
      </c>
      <c r="M1611" s="11">
        <v>46112</v>
      </c>
      <c r="N1611" s="18" t="s">
        <v>588</v>
      </c>
      <c r="O1611" s="34"/>
      <c r="P1611"/>
      <c r="Q1611" t="str">
        <f>IFERROR(VLOOKUP(Tabela1[[#This Row],[CC]],CC!$A$1:$H$389,5,0),"")</f>
        <v>ADS</v>
      </c>
      <c r="R1611" t="str">
        <f>IFERROR(VLOOKUP(Tabela1[[#This Row],[CC]],CC!$A$1:$H$389,6,0),"")</f>
        <v>FS</v>
      </c>
      <c r="S1611" t="str">
        <f>IFERROR(VLOOKUP(Tabela1[[#This Row],[CC]],CC!$A$1:$H$403,8,0),"")</f>
        <v>OP1</v>
      </c>
      <c r="W1611" s="91"/>
    </row>
    <row r="1612" spans="1:23" x14ac:dyDescent="0.3">
      <c r="A1612" s="25">
        <v>1360</v>
      </c>
      <c r="B1612" s="25" t="str">
        <f>IFERROR(VLOOKUP(Tabela1[[#This Row],[CC]],#REF!,5,0),"")</f>
        <v/>
      </c>
      <c r="C1612" t="str">
        <f>IFERROR(VLOOKUP(Tabela1[[#This Row],[CC]],CC!$A$1:$H$389,7,0),"")</f>
        <v>RITA ANDRADE</v>
      </c>
      <c r="D1612" t="str">
        <f>IFERROR(VLOOKUP(Tabela1[[#This Row],[CC]],CC!$A$1:$I$3869,3,0),"")</f>
        <v>SERASA</v>
      </c>
      <c r="E1612" t="str">
        <f>IFERROR(VLOOKUP(Tabela1[[#This Row],[CC]],CC!$A$1:$H$389,2,0),"")</f>
        <v>SERASA EXPERIAN (1360)</v>
      </c>
      <c r="F1612" t="s">
        <v>586</v>
      </c>
      <c r="G1612" s="107" t="s">
        <v>671</v>
      </c>
      <c r="H1612" s="12">
        <v>46054</v>
      </c>
      <c r="I1612" s="27">
        <v>83413.039999999994</v>
      </c>
      <c r="J1612" s="27">
        <v>78283.14</v>
      </c>
      <c r="K1612" s="3">
        <v>46078</v>
      </c>
      <c r="L1612" s="91">
        <v>46111</v>
      </c>
      <c r="M1612" s="11">
        <v>46112</v>
      </c>
      <c r="N1612" s="18" t="s">
        <v>588</v>
      </c>
      <c r="O1612" s="34"/>
      <c r="P1612"/>
      <c r="Q1612" t="str">
        <f>IFERROR(VLOOKUP(Tabela1[[#This Row],[CC]],CC!$A$1:$H$389,5,0),"")</f>
        <v>ADS</v>
      </c>
      <c r="R1612" t="str">
        <f>IFERROR(VLOOKUP(Tabela1[[#This Row],[CC]],CC!$A$1:$H$389,6,0),"")</f>
        <v>FS</v>
      </c>
      <c r="S1612" t="str">
        <f>IFERROR(VLOOKUP(Tabela1[[#This Row],[CC]],CC!$A$1:$H$403,8,0),"")</f>
        <v>OP1</v>
      </c>
      <c r="W1612" s="91"/>
    </row>
    <row r="1613" spans="1:23" x14ac:dyDescent="0.3">
      <c r="A1613" s="25">
        <v>1360</v>
      </c>
      <c r="B1613" s="25" t="str">
        <f>IFERROR(VLOOKUP(Tabela1[[#This Row],[CC]],#REF!,5,0),"")</f>
        <v/>
      </c>
      <c r="C1613" t="str">
        <f>IFERROR(VLOOKUP(Tabela1[[#This Row],[CC]],CC!$A$1:$H$389,7,0),"")</f>
        <v>RITA ANDRADE</v>
      </c>
      <c r="D1613" t="str">
        <f>IFERROR(VLOOKUP(Tabela1[[#This Row],[CC]],CC!$A$1:$I$3869,3,0),"")</f>
        <v>SERASA</v>
      </c>
      <c r="E1613" t="str">
        <f>IFERROR(VLOOKUP(Tabela1[[#This Row],[CC]],CC!$A$1:$H$389,2,0),"")</f>
        <v>SERASA EXPERIAN (1360)</v>
      </c>
      <c r="F1613" t="s">
        <v>586</v>
      </c>
      <c r="G1613" s="107" t="s">
        <v>672</v>
      </c>
      <c r="H1613" s="12">
        <v>46054</v>
      </c>
      <c r="I1613" s="27">
        <v>29108.16</v>
      </c>
      <c r="J1613" s="27">
        <v>27318.02</v>
      </c>
      <c r="K1613" s="3">
        <v>46078</v>
      </c>
      <c r="L1613" s="91">
        <v>46111</v>
      </c>
      <c r="M1613" s="11">
        <v>46112</v>
      </c>
      <c r="N1613" s="18" t="s">
        <v>588</v>
      </c>
      <c r="O1613" s="34"/>
      <c r="P1613"/>
      <c r="Q1613" t="str">
        <f>IFERROR(VLOOKUP(Tabela1[[#This Row],[CC]],CC!$A$1:$H$389,5,0),"")</f>
        <v>ADS</v>
      </c>
      <c r="R1613" t="str">
        <f>IFERROR(VLOOKUP(Tabela1[[#This Row],[CC]],CC!$A$1:$H$389,6,0),"")</f>
        <v>FS</v>
      </c>
      <c r="S1613" t="str">
        <f>IFERROR(VLOOKUP(Tabela1[[#This Row],[CC]],CC!$A$1:$H$403,8,0),"")</f>
        <v>OP1</v>
      </c>
      <c r="W1613" s="91"/>
    </row>
    <row r="1614" spans="1:23" x14ac:dyDescent="0.3">
      <c r="A1614" s="25">
        <v>1360</v>
      </c>
      <c r="B1614" s="25" t="str">
        <f>IFERROR(VLOOKUP(Tabela1[[#This Row],[CC]],#REF!,5,0),"")</f>
        <v/>
      </c>
      <c r="C1614" t="str">
        <f>IFERROR(VLOOKUP(Tabela1[[#This Row],[CC]],CC!$A$1:$H$389,7,0),"")</f>
        <v>RITA ANDRADE</v>
      </c>
      <c r="D1614" t="str">
        <f>IFERROR(VLOOKUP(Tabela1[[#This Row],[CC]],CC!$A$1:$I$3869,3,0),"")</f>
        <v>SERASA</v>
      </c>
      <c r="E1614" t="str">
        <f>IFERROR(VLOOKUP(Tabela1[[#This Row],[CC]],CC!$A$1:$H$389,2,0),"")</f>
        <v>SERASA EXPERIAN (1360)</v>
      </c>
      <c r="F1614" t="s">
        <v>586</v>
      </c>
      <c r="G1614" s="107" t="s">
        <v>673</v>
      </c>
      <c r="H1614" s="12">
        <v>46054</v>
      </c>
      <c r="I1614" s="27">
        <v>59133.599999999999</v>
      </c>
      <c r="J1614" s="27">
        <v>55496.88</v>
      </c>
      <c r="K1614" s="3">
        <v>46078</v>
      </c>
      <c r="L1614" s="91">
        <v>46111</v>
      </c>
      <c r="M1614" s="11">
        <v>46112</v>
      </c>
      <c r="N1614" s="18" t="s">
        <v>588</v>
      </c>
      <c r="O1614" s="34"/>
      <c r="P1614"/>
      <c r="Q1614" t="str">
        <f>IFERROR(VLOOKUP(Tabela1[[#This Row],[CC]],CC!$A$1:$H$389,5,0),"")</f>
        <v>ADS</v>
      </c>
      <c r="R1614" t="str">
        <f>IFERROR(VLOOKUP(Tabela1[[#This Row],[CC]],CC!$A$1:$H$389,6,0),"")</f>
        <v>FS</v>
      </c>
      <c r="S1614" t="str">
        <f>IFERROR(VLOOKUP(Tabela1[[#This Row],[CC]],CC!$A$1:$H$403,8,0),"")</f>
        <v>OP1</v>
      </c>
      <c r="W1614" s="91"/>
    </row>
    <row r="1615" spans="1:23" x14ac:dyDescent="0.3">
      <c r="A1615" s="25">
        <v>1360</v>
      </c>
      <c r="B1615" s="25" t="str">
        <f>IFERROR(VLOOKUP(Tabela1[[#This Row],[CC]],#REF!,5,0),"")</f>
        <v/>
      </c>
      <c r="C1615" t="str">
        <f>IFERROR(VLOOKUP(Tabela1[[#This Row],[CC]],CC!$A$1:$H$389,7,0),"")</f>
        <v>RITA ANDRADE</v>
      </c>
      <c r="D1615" t="str">
        <f>IFERROR(VLOOKUP(Tabela1[[#This Row],[CC]],CC!$A$1:$I$3869,3,0),"")</f>
        <v>SERASA</v>
      </c>
      <c r="E1615" t="str">
        <f>IFERROR(VLOOKUP(Tabela1[[#This Row],[CC]],CC!$A$1:$H$389,2,0),"")</f>
        <v>SERASA EXPERIAN (1360)</v>
      </c>
      <c r="F1615" t="s">
        <v>586</v>
      </c>
      <c r="G1615" s="107" t="s">
        <v>674</v>
      </c>
      <c r="H1615" s="12">
        <v>46054</v>
      </c>
      <c r="I1615" s="27">
        <v>15960</v>
      </c>
      <c r="J1615" s="27">
        <v>14978.46</v>
      </c>
      <c r="K1615" s="3">
        <v>46078</v>
      </c>
      <c r="L1615" s="91">
        <v>46111</v>
      </c>
      <c r="M1615" s="11">
        <v>46112</v>
      </c>
      <c r="N1615" s="18" t="s">
        <v>588</v>
      </c>
      <c r="O1615" s="34"/>
      <c r="P1615"/>
      <c r="Q1615" t="str">
        <f>IFERROR(VLOOKUP(Tabela1[[#This Row],[CC]],CC!$A$1:$H$389,5,0),"")</f>
        <v>ADS</v>
      </c>
      <c r="R1615" t="str">
        <f>IFERROR(VLOOKUP(Tabela1[[#This Row],[CC]],CC!$A$1:$H$389,6,0),"")</f>
        <v>FS</v>
      </c>
      <c r="S1615" t="str">
        <f>IFERROR(VLOOKUP(Tabela1[[#This Row],[CC]],CC!$A$1:$H$403,8,0),"")</f>
        <v>OP1</v>
      </c>
      <c r="W1615" s="91"/>
    </row>
    <row r="1616" spans="1:23" x14ac:dyDescent="0.3">
      <c r="A1616" s="25">
        <v>1360</v>
      </c>
      <c r="B1616" s="25" t="str">
        <f>IFERROR(VLOOKUP(Tabela1[[#This Row],[CC]],#REF!,5,0),"")</f>
        <v/>
      </c>
      <c r="C1616" t="str">
        <f>IFERROR(VLOOKUP(Tabela1[[#This Row],[CC]],CC!$A$1:$H$389,7,0),"")</f>
        <v>RITA ANDRADE</v>
      </c>
      <c r="D1616" t="str">
        <f>IFERROR(VLOOKUP(Tabela1[[#This Row],[CC]],CC!$A$1:$I$3869,3,0),"")</f>
        <v>SERASA</v>
      </c>
      <c r="E1616" t="str">
        <f>IFERROR(VLOOKUP(Tabela1[[#This Row],[CC]],CC!$A$1:$H$389,2,0),"")</f>
        <v>SERASA EXPERIAN (1360)</v>
      </c>
      <c r="F1616" t="s">
        <v>586</v>
      </c>
      <c r="G1616" s="107" t="s">
        <v>675</v>
      </c>
      <c r="H1616" s="12">
        <v>46054</v>
      </c>
      <c r="I1616" s="27">
        <v>23601.599999999999</v>
      </c>
      <c r="J1616" s="27">
        <v>22150.1</v>
      </c>
      <c r="K1616" s="3">
        <v>46078</v>
      </c>
      <c r="L1616" s="91">
        <v>46111</v>
      </c>
      <c r="M1616" s="11">
        <v>46112</v>
      </c>
      <c r="N1616" s="18" t="s">
        <v>588</v>
      </c>
      <c r="O1616" s="34"/>
      <c r="P1616"/>
      <c r="Q1616" t="str">
        <f>IFERROR(VLOOKUP(Tabela1[[#This Row],[CC]],CC!$A$1:$H$389,5,0),"")</f>
        <v>ADS</v>
      </c>
      <c r="R1616" t="str">
        <f>IFERROR(VLOOKUP(Tabela1[[#This Row],[CC]],CC!$A$1:$H$389,6,0),"")</f>
        <v>FS</v>
      </c>
      <c r="S1616" t="str">
        <f>IFERROR(VLOOKUP(Tabela1[[#This Row],[CC]],CC!$A$1:$H$403,8,0),"")</f>
        <v>OP1</v>
      </c>
      <c r="W1616" s="91"/>
    </row>
    <row r="1617" spans="1:23" x14ac:dyDescent="0.3">
      <c r="A1617" s="25">
        <v>1360</v>
      </c>
      <c r="B1617" s="25" t="str">
        <f>IFERROR(VLOOKUP(Tabela1[[#This Row],[CC]],#REF!,5,0),"")</f>
        <v/>
      </c>
      <c r="C1617" t="str">
        <f>IFERROR(VLOOKUP(Tabela1[[#This Row],[CC]],CC!$A$1:$H$389,7,0),"")</f>
        <v>RITA ANDRADE</v>
      </c>
      <c r="D1617" t="str">
        <f>IFERROR(VLOOKUP(Tabela1[[#This Row],[CC]],CC!$A$1:$I$3869,3,0),"")</f>
        <v>SERASA</v>
      </c>
      <c r="E1617" t="str">
        <f>IFERROR(VLOOKUP(Tabela1[[#This Row],[CC]],CC!$A$1:$H$389,2,0),"")</f>
        <v>SERASA EXPERIAN (1360)</v>
      </c>
      <c r="F1617" t="s">
        <v>586</v>
      </c>
      <c r="G1617" s="107" t="s">
        <v>676</v>
      </c>
      <c r="H1617" s="12">
        <v>46054</v>
      </c>
      <c r="I1617" s="27">
        <v>52776</v>
      </c>
      <c r="J1617" s="27">
        <v>49530.28</v>
      </c>
      <c r="K1617" s="3">
        <v>46078</v>
      </c>
      <c r="L1617" s="91">
        <v>46111</v>
      </c>
      <c r="M1617" s="11">
        <v>46112</v>
      </c>
      <c r="N1617" s="18" t="s">
        <v>588</v>
      </c>
      <c r="O1617" s="34"/>
      <c r="P1617"/>
      <c r="Q1617" t="str">
        <f>IFERROR(VLOOKUP(Tabela1[[#This Row],[CC]],CC!$A$1:$H$389,5,0),"")</f>
        <v>ADS</v>
      </c>
      <c r="R1617" t="str">
        <f>IFERROR(VLOOKUP(Tabela1[[#This Row],[CC]],CC!$A$1:$H$389,6,0),"")</f>
        <v>FS</v>
      </c>
      <c r="S1617" t="str">
        <f>IFERROR(VLOOKUP(Tabela1[[#This Row],[CC]],CC!$A$1:$H$403,8,0),"")</f>
        <v>OP1</v>
      </c>
      <c r="W1617" s="91"/>
    </row>
    <row r="1618" spans="1:23" x14ac:dyDescent="0.3">
      <c r="A1618" s="25">
        <v>1360</v>
      </c>
      <c r="B1618" s="25" t="str">
        <f>IFERROR(VLOOKUP(Tabela1[[#This Row],[CC]],#REF!,5,0),"")</f>
        <v/>
      </c>
      <c r="C1618" t="str">
        <f>IFERROR(VLOOKUP(Tabela1[[#This Row],[CC]],CC!$A$1:$H$389,7,0),"")</f>
        <v>RITA ANDRADE</v>
      </c>
      <c r="D1618" t="str">
        <f>IFERROR(VLOOKUP(Tabela1[[#This Row],[CC]],CC!$A$1:$I$3869,3,0),"")</f>
        <v>SERASA</v>
      </c>
      <c r="E1618" t="str">
        <f>IFERROR(VLOOKUP(Tabela1[[#This Row],[CC]],CC!$A$1:$H$389,2,0),"")</f>
        <v>SERASA EXPERIAN (1360)</v>
      </c>
      <c r="F1618" t="s">
        <v>586</v>
      </c>
      <c r="G1618" s="107">
        <v>4893</v>
      </c>
      <c r="H1618" s="12">
        <v>46054</v>
      </c>
      <c r="I1618" s="27">
        <v>29686.48</v>
      </c>
      <c r="J1618" s="27">
        <v>27860.77</v>
      </c>
      <c r="K1618" s="3">
        <v>46079</v>
      </c>
      <c r="L1618" s="91">
        <v>46111</v>
      </c>
      <c r="M1618" s="11">
        <v>46112</v>
      </c>
      <c r="N1618" s="18" t="s">
        <v>588</v>
      </c>
      <c r="O1618" s="34"/>
      <c r="P1618"/>
      <c r="Q1618" t="str">
        <f>IFERROR(VLOOKUP(Tabela1[[#This Row],[CC]],CC!$A$1:$H$389,5,0),"")</f>
        <v>ADS</v>
      </c>
      <c r="R1618" t="str">
        <f>IFERROR(VLOOKUP(Tabela1[[#This Row],[CC]],CC!$A$1:$H$389,6,0),"")</f>
        <v>FS</v>
      </c>
      <c r="S1618" t="str">
        <f>IFERROR(VLOOKUP(Tabela1[[#This Row],[CC]],CC!$A$1:$H$403,8,0),"")</f>
        <v>OP1</v>
      </c>
      <c r="W1618" s="91"/>
    </row>
    <row r="1619" spans="1:23" x14ac:dyDescent="0.3">
      <c r="A1619" s="25">
        <v>1360</v>
      </c>
      <c r="B1619" s="25" t="str">
        <f>IFERROR(VLOOKUP(Tabela1[[#This Row],[CC]],#REF!,5,0),"")</f>
        <v/>
      </c>
      <c r="C1619" t="str">
        <f>IFERROR(VLOOKUP(Tabela1[[#This Row],[CC]],CC!$A$1:$H$389,7,0),"")</f>
        <v>RITA ANDRADE</v>
      </c>
      <c r="D1619" t="str">
        <f>IFERROR(VLOOKUP(Tabela1[[#This Row],[CC]],CC!$A$1:$I$3869,3,0),"")</f>
        <v>SERASA</v>
      </c>
      <c r="E1619" t="str">
        <f>IFERROR(VLOOKUP(Tabela1[[#This Row],[CC]],CC!$A$1:$H$389,2,0),"")</f>
        <v>SERASA EXPERIAN (1360)</v>
      </c>
      <c r="F1619" t="s">
        <v>586</v>
      </c>
      <c r="G1619" s="107">
        <v>4894</v>
      </c>
      <c r="H1619" s="12">
        <v>46054</v>
      </c>
      <c r="I1619" s="27">
        <v>33632.639999999999</v>
      </c>
      <c r="J1619" s="27">
        <v>31564.23</v>
      </c>
      <c r="K1619" s="3">
        <v>46079</v>
      </c>
      <c r="L1619" s="91">
        <v>46111</v>
      </c>
      <c r="M1619" s="11">
        <v>46112</v>
      </c>
      <c r="N1619" s="18" t="s">
        <v>588</v>
      </c>
      <c r="O1619" s="34"/>
      <c r="P1619"/>
      <c r="Q1619" t="str">
        <f>IFERROR(VLOOKUP(Tabela1[[#This Row],[CC]],CC!$A$1:$H$389,5,0),"")</f>
        <v>ADS</v>
      </c>
      <c r="R1619" t="str">
        <f>IFERROR(VLOOKUP(Tabela1[[#This Row],[CC]],CC!$A$1:$H$389,6,0),"")</f>
        <v>FS</v>
      </c>
      <c r="S1619" t="str">
        <f>IFERROR(VLOOKUP(Tabela1[[#This Row],[CC]],CC!$A$1:$H$403,8,0),"")</f>
        <v>OP1</v>
      </c>
      <c r="W1619" s="91"/>
    </row>
    <row r="1620" spans="1:23" x14ac:dyDescent="0.3">
      <c r="A1620" s="25">
        <v>1360</v>
      </c>
      <c r="B1620" s="25" t="str">
        <f>IFERROR(VLOOKUP(Tabela1[[#This Row],[CC]],#REF!,5,0),"")</f>
        <v/>
      </c>
      <c r="C1620" t="str">
        <f>IFERROR(VLOOKUP(Tabela1[[#This Row],[CC]],CC!$A$1:$H$389,7,0),"")</f>
        <v>RITA ANDRADE</v>
      </c>
      <c r="D1620" t="str">
        <f>IFERROR(VLOOKUP(Tabela1[[#This Row],[CC]],CC!$A$1:$I$3869,3,0),"")</f>
        <v>SERASA</v>
      </c>
      <c r="E1620" t="str">
        <f>IFERROR(VLOOKUP(Tabela1[[#This Row],[CC]],CC!$A$1:$H$389,2,0),"")</f>
        <v>SERASA EXPERIAN (1360)</v>
      </c>
      <c r="F1620" t="s">
        <v>586</v>
      </c>
      <c r="G1620" s="107" t="s">
        <v>677</v>
      </c>
      <c r="H1620" s="12">
        <v>46054</v>
      </c>
      <c r="I1620" s="27">
        <v>145618.20000000001</v>
      </c>
      <c r="J1620" s="27">
        <v>136662.68</v>
      </c>
      <c r="K1620" s="3">
        <v>46080</v>
      </c>
      <c r="L1620" s="91">
        <v>46111</v>
      </c>
      <c r="M1620" s="11">
        <v>46112</v>
      </c>
      <c r="N1620" s="18" t="s">
        <v>588</v>
      </c>
      <c r="O1620" s="34"/>
      <c r="P1620"/>
      <c r="Q1620" t="str">
        <f>IFERROR(VLOOKUP(Tabela1[[#This Row],[CC]],CC!$A$1:$H$389,5,0),"")</f>
        <v>ADS</v>
      </c>
      <c r="R1620" t="str">
        <f>IFERROR(VLOOKUP(Tabela1[[#This Row],[CC]],CC!$A$1:$H$389,6,0),"")</f>
        <v>FS</v>
      </c>
      <c r="S1620" t="str">
        <f>IFERROR(VLOOKUP(Tabela1[[#This Row],[CC]],CC!$A$1:$H$403,8,0),"")</f>
        <v>OP1</v>
      </c>
      <c r="W1620" s="91"/>
    </row>
    <row r="1621" spans="1:23" x14ac:dyDescent="0.3">
      <c r="A1621" s="25">
        <v>1360</v>
      </c>
      <c r="B1621" s="25" t="str">
        <f>IFERROR(VLOOKUP(Tabela1[[#This Row],[CC]],#REF!,5,0),"")</f>
        <v/>
      </c>
      <c r="C1621" t="str">
        <f>IFERROR(VLOOKUP(Tabela1[[#This Row],[CC]],CC!$A$1:$H$389,7,0),"")</f>
        <v>RITA ANDRADE</v>
      </c>
      <c r="D1621" t="str">
        <f>IFERROR(VLOOKUP(Tabela1[[#This Row],[CC]],CC!$A$1:$I$3869,3,0),"")</f>
        <v>SERASA</v>
      </c>
      <c r="E1621" t="str">
        <f>IFERROR(VLOOKUP(Tabela1[[#This Row],[CC]],CC!$A$1:$H$389,2,0),"")</f>
        <v>SERASA EXPERIAN (1360)</v>
      </c>
      <c r="F1621" t="s">
        <v>586</v>
      </c>
      <c r="G1621" s="107" t="s">
        <v>678</v>
      </c>
      <c r="H1621" s="12">
        <v>46054</v>
      </c>
      <c r="I1621" s="27">
        <v>15982.4</v>
      </c>
      <c r="J1621" s="27">
        <v>14999.48</v>
      </c>
      <c r="K1621" s="3">
        <v>46080</v>
      </c>
      <c r="L1621" s="91">
        <v>46111</v>
      </c>
      <c r="M1621" s="11">
        <v>46112</v>
      </c>
      <c r="N1621" s="18" t="s">
        <v>588</v>
      </c>
      <c r="O1621" s="34"/>
      <c r="P1621"/>
      <c r="Q1621" t="str">
        <f>IFERROR(VLOOKUP(Tabela1[[#This Row],[CC]],CC!$A$1:$H$389,5,0),"")</f>
        <v>ADS</v>
      </c>
      <c r="R1621" t="str">
        <f>IFERROR(VLOOKUP(Tabela1[[#This Row],[CC]],CC!$A$1:$H$389,6,0),"")</f>
        <v>FS</v>
      </c>
      <c r="S1621" t="str">
        <f>IFERROR(VLOOKUP(Tabela1[[#This Row],[CC]],CC!$A$1:$H$403,8,0),"")</f>
        <v>OP1</v>
      </c>
      <c r="W1621" s="91"/>
    </row>
    <row r="1622" spans="1:23" x14ac:dyDescent="0.3">
      <c r="A1622" s="25">
        <v>1360</v>
      </c>
      <c r="B1622" s="25" t="str">
        <f>IFERROR(VLOOKUP(Tabela1[[#This Row],[CC]],#REF!,5,0),"")</f>
        <v/>
      </c>
      <c r="C1622" t="str">
        <f>IFERROR(VLOOKUP(Tabela1[[#This Row],[CC]],CC!$A$1:$H$389,7,0),"")</f>
        <v>RITA ANDRADE</v>
      </c>
      <c r="D1622" t="str">
        <f>IFERROR(VLOOKUP(Tabela1[[#This Row],[CC]],CC!$A$1:$I$3869,3,0),"")</f>
        <v>SERASA</v>
      </c>
      <c r="E1622" t="str">
        <f>IFERROR(VLOOKUP(Tabela1[[#This Row],[CC]],CC!$A$1:$H$389,2,0),"")</f>
        <v>SERASA EXPERIAN (1360)</v>
      </c>
      <c r="F1622" t="s">
        <v>586</v>
      </c>
      <c r="G1622" s="107" t="s">
        <v>679</v>
      </c>
      <c r="H1622" s="12">
        <v>46054</v>
      </c>
      <c r="I1622" s="27">
        <v>14574</v>
      </c>
      <c r="J1622" s="27">
        <v>13677.7</v>
      </c>
      <c r="K1622" s="3">
        <v>46080</v>
      </c>
      <c r="L1622" s="91">
        <v>46113</v>
      </c>
      <c r="M1622" s="11">
        <v>46113</v>
      </c>
      <c r="N1622" s="18" t="s">
        <v>588</v>
      </c>
      <c r="O1622" s="34"/>
      <c r="P1622"/>
      <c r="Q1622" t="str">
        <f>IFERROR(VLOOKUP(Tabela1[[#This Row],[CC]],CC!$A$1:$H$389,5,0),"")</f>
        <v>ADS</v>
      </c>
      <c r="R1622" t="str">
        <f>IFERROR(VLOOKUP(Tabela1[[#This Row],[CC]],CC!$A$1:$H$389,6,0),"")</f>
        <v>FS</v>
      </c>
      <c r="S1622" t="str">
        <f>IFERROR(VLOOKUP(Tabela1[[#This Row],[CC]],CC!$A$1:$H$403,8,0),"")</f>
        <v>OP1</v>
      </c>
      <c r="W1622" s="91"/>
    </row>
    <row r="1623" spans="1:23" x14ac:dyDescent="0.3">
      <c r="A1623" s="25">
        <v>1360</v>
      </c>
      <c r="B1623" s="25" t="str">
        <f>IFERROR(VLOOKUP(Tabela1[[#This Row],[CC]],#REF!,5,0),"")</f>
        <v/>
      </c>
      <c r="C1623" t="str">
        <f>IFERROR(VLOOKUP(Tabela1[[#This Row],[CC]],CC!$A$1:$H$389,7,0),"")</f>
        <v>RITA ANDRADE</v>
      </c>
      <c r="D1623" t="str">
        <f>IFERROR(VLOOKUP(Tabela1[[#This Row],[CC]],CC!$A$1:$I$3869,3,0),"")</f>
        <v>SERASA</v>
      </c>
      <c r="E1623" t="str">
        <f>IFERROR(VLOOKUP(Tabela1[[#This Row],[CC]],CC!$A$1:$H$389,2,0),"")</f>
        <v>SERASA EXPERIAN (1360)</v>
      </c>
      <c r="F1623" t="s">
        <v>586</v>
      </c>
      <c r="G1623" s="107" t="s">
        <v>680</v>
      </c>
      <c r="H1623" s="12">
        <v>46054</v>
      </c>
      <c r="I1623" s="27">
        <v>53759.199999999997</v>
      </c>
      <c r="J1623" s="27">
        <v>50453.01</v>
      </c>
      <c r="K1623" s="3">
        <v>46080</v>
      </c>
      <c r="L1623" s="91">
        <v>46111</v>
      </c>
      <c r="M1623" s="11">
        <v>46112</v>
      </c>
      <c r="N1623" s="18" t="s">
        <v>588</v>
      </c>
      <c r="O1623" s="34"/>
      <c r="P1623"/>
      <c r="Q1623" t="str">
        <f>IFERROR(VLOOKUP(Tabela1[[#This Row],[CC]],CC!$A$1:$H$389,5,0),"")</f>
        <v>ADS</v>
      </c>
      <c r="R1623" t="str">
        <f>IFERROR(VLOOKUP(Tabela1[[#This Row],[CC]],CC!$A$1:$H$389,6,0),"")</f>
        <v>FS</v>
      </c>
      <c r="S1623" t="str">
        <f>IFERROR(VLOOKUP(Tabela1[[#This Row],[CC]],CC!$A$1:$H$403,8,0),"")</f>
        <v>OP1</v>
      </c>
      <c r="W1623" s="91"/>
    </row>
    <row r="1624" spans="1:23" x14ac:dyDescent="0.3">
      <c r="A1624" s="25">
        <v>1360</v>
      </c>
      <c r="B1624" s="25" t="str">
        <f>IFERROR(VLOOKUP(Tabela1[[#This Row],[CC]],#REF!,5,0),"")</f>
        <v/>
      </c>
      <c r="C1624" t="str">
        <f>IFERROR(VLOOKUP(Tabela1[[#This Row],[CC]],CC!$A$1:$H$389,7,0),"")</f>
        <v>RITA ANDRADE</v>
      </c>
      <c r="D1624" t="str">
        <f>IFERROR(VLOOKUP(Tabela1[[#This Row],[CC]],CC!$A$1:$I$3869,3,0),"")</f>
        <v>SERASA</v>
      </c>
      <c r="E1624" t="str">
        <f>IFERROR(VLOOKUP(Tabela1[[#This Row],[CC]],CC!$A$1:$H$389,2,0),"")</f>
        <v>SERASA EXPERIAN (1360)</v>
      </c>
      <c r="F1624" t="s">
        <v>586</v>
      </c>
      <c r="G1624" s="107" t="s">
        <v>681</v>
      </c>
      <c r="H1624" s="12">
        <v>46054</v>
      </c>
      <c r="I1624" s="27">
        <v>27792</v>
      </c>
      <c r="J1624" s="27">
        <v>26082.79</v>
      </c>
      <c r="K1624" s="3">
        <v>46080</v>
      </c>
      <c r="L1624" s="91">
        <v>46111</v>
      </c>
      <c r="M1624" s="11">
        <v>46112</v>
      </c>
      <c r="N1624" s="18" t="s">
        <v>588</v>
      </c>
      <c r="O1624" s="34"/>
      <c r="P1624"/>
      <c r="Q1624" t="str">
        <f>IFERROR(VLOOKUP(Tabela1[[#This Row],[CC]],CC!$A$1:$H$389,5,0),"")</f>
        <v>ADS</v>
      </c>
      <c r="R1624" t="str">
        <f>IFERROR(VLOOKUP(Tabela1[[#This Row],[CC]],CC!$A$1:$H$389,6,0),"")</f>
        <v>FS</v>
      </c>
      <c r="S1624" t="str">
        <f>IFERROR(VLOOKUP(Tabela1[[#This Row],[CC]],CC!$A$1:$H$403,8,0),"")</f>
        <v>OP1</v>
      </c>
      <c r="W1624" s="91"/>
    </row>
    <row r="1625" spans="1:23" x14ac:dyDescent="0.3">
      <c r="A1625" s="25">
        <v>1360</v>
      </c>
      <c r="B1625" s="25" t="str">
        <f>IFERROR(VLOOKUP(Tabela1[[#This Row],[CC]],#REF!,5,0),"")</f>
        <v/>
      </c>
      <c r="C1625" t="str">
        <f>IFERROR(VLOOKUP(Tabela1[[#This Row],[CC]],CC!$A$1:$H$389,7,0),"")</f>
        <v>RITA ANDRADE</v>
      </c>
      <c r="D1625" t="str">
        <f>IFERROR(VLOOKUP(Tabela1[[#This Row],[CC]],CC!$A$1:$I$3869,3,0),"")</f>
        <v>SERASA</v>
      </c>
      <c r="E1625" t="str">
        <f>IFERROR(VLOOKUP(Tabela1[[#This Row],[CC]],CC!$A$1:$H$389,2,0),"")</f>
        <v>SERASA EXPERIAN (1360)</v>
      </c>
      <c r="F1625" t="s">
        <v>586</v>
      </c>
      <c r="G1625" s="107" t="s">
        <v>682</v>
      </c>
      <c r="H1625" s="12">
        <v>46054</v>
      </c>
      <c r="I1625" s="27">
        <v>27792</v>
      </c>
      <c r="J1625" s="27">
        <v>26082.79</v>
      </c>
      <c r="K1625" s="3">
        <v>46080</v>
      </c>
      <c r="L1625" s="91">
        <v>46111</v>
      </c>
      <c r="M1625" s="11">
        <v>46112</v>
      </c>
      <c r="N1625" s="18" t="s">
        <v>588</v>
      </c>
      <c r="O1625" s="34"/>
      <c r="P1625"/>
      <c r="Q1625" t="str">
        <f>IFERROR(VLOOKUP(Tabela1[[#This Row],[CC]],CC!$A$1:$H$389,5,0),"")</f>
        <v>ADS</v>
      </c>
      <c r="R1625" t="str">
        <f>IFERROR(VLOOKUP(Tabela1[[#This Row],[CC]],CC!$A$1:$H$389,6,0),"")</f>
        <v>FS</v>
      </c>
      <c r="S1625" t="str">
        <f>IFERROR(VLOOKUP(Tabela1[[#This Row],[CC]],CC!$A$1:$H$403,8,0),"")</f>
        <v>OP1</v>
      </c>
      <c r="W1625" s="91"/>
    </row>
    <row r="1626" spans="1:23" x14ac:dyDescent="0.3">
      <c r="A1626" s="25">
        <v>1360</v>
      </c>
      <c r="B1626" s="25" t="str">
        <f>IFERROR(VLOOKUP(Tabela1[[#This Row],[CC]],#REF!,5,0),"")</f>
        <v/>
      </c>
      <c r="C1626" t="str">
        <f>IFERROR(VLOOKUP(Tabela1[[#This Row],[CC]],CC!$A$1:$H$389,7,0),"")</f>
        <v>RITA ANDRADE</v>
      </c>
      <c r="D1626" t="str">
        <f>IFERROR(VLOOKUP(Tabela1[[#This Row],[CC]],CC!$A$1:$I$3869,3,0),"")</f>
        <v>SERASA</v>
      </c>
      <c r="E1626" t="str">
        <f>IFERROR(VLOOKUP(Tabela1[[#This Row],[CC]],CC!$A$1:$H$389,2,0),"")</f>
        <v>SERASA EXPERIAN (1360)</v>
      </c>
      <c r="F1626" t="s">
        <v>586</v>
      </c>
      <c r="G1626" s="107">
        <v>4906</v>
      </c>
      <c r="H1626" s="12">
        <v>46054</v>
      </c>
      <c r="I1626" s="27">
        <v>30074.400000000001</v>
      </c>
      <c r="J1626" s="24">
        <v>28224.82</v>
      </c>
      <c r="K1626" s="3">
        <v>46083</v>
      </c>
      <c r="L1626" s="91">
        <v>46139</v>
      </c>
      <c r="M1626" s="11">
        <v>46140</v>
      </c>
      <c r="N1626" s="18" t="s">
        <v>588</v>
      </c>
      <c r="O1626" s="34"/>
      <c r="P1626"/>
      <c r="Q1626" t="str">
        <f>IFERROR(VLOOKUP(Tabela1[[#This Row],[CC]],CC!$A$1:$H$389,5,0),"")</f>
        <v>ADS</v>
      </c>
      <c r="R1626" t="str">
        <f>IFERROR(VLOOKUP(Tabela1[[#This Row],[CC]],CC!$A$1:$H$389,6,0),"")</f>
        <v>FS</v>
      </c>
      <c r="S1626" t="str">
        <f>IFERROR(VLOOKUP(Tabela1[[#This Row],[CC]],CC!$A$1:$H$403,8,0),"")</f>
        <v>OP1</v>
      </c>
      <c r="W1626" s="91"/>
    </row>
    <row r="1627" spans="1:23" x14ac:dyDescent="0.3">
      <c r="A1627" s="25">
        <v>1387</v>
      </c>
      <c r="B1627" s="25" t="str">
        <f>IFERROR(VLOOKUP(Tabela1[[#This Row],[CC]],#REF!,5,0),"")</f>
        <v/>
      </c>
      <c r="C1627" t="str">
        <f>IFERROR(VLOOKUP(Tabela1[[#This Row],[CC]],CC!$A$1:$H$389,7,0),"")</f>
        <v>RITA ANDRADE</v>
      </c>
      <c r="D1627" t="str">
        <f>IFERROR(VLOOKUP(Tabela1[[#This Row],[CC]],CC!$A$1:$I$3869,3,0),"")</f>
        <v>SERASA</v>
      </c>
      <c r="E1627" t="str">
        <f>IFERROR(VLOOKUP(Tabela1[[#This Row],[CC]],CC!$A$1:$H$389,2,0),"")</f>
        <v>SERASA DC (1387)</v>
      </c>
      <c r="F1627" t="s">
        <v>586</v>
      </c>
      <c r="G1627" s="107" t="s">
        <v>683</v>
      </c>
      <c r="H1627" s="12">
        <v>45992</v>
      </c>
      <c r="I1627" s="27">
        <v>30450</v>
      </c>
      <c r="J1627" s="24">
        <v>28577.32</v>
      </c>
      <c r="K1627" s="3">
        <v>46037</v>
      </c>
      <c r="L1627" s="91">
        <v>46076</v>
      </c>
      <c r="M1627" s="11">
        <v>46080</v>
      </c>
      <c r="N1627" s="18" t="s">
        <v>588</v>
      </c>
      <c r="O1627" s="34"/>
      <c r="P1627"/>
      <c r="Q1627" t="str">
        <f>IFERROR(VLOOKUP(Tabela1[[#This Row],[CC]],CC!$A$1:$H$389,5,0),"")</f>
        <v>CSA</v>
      </c>
      <c r="R1627" t="str">
        <f>IFERROR(VLOOKUP(Tabela1[[#This Row],[CC]],CC!$A$1:$H$389,6,0),"")</f>
        <v>FS</v>
      </c>
      <c r="S1627" t="str">
        <f>IFERROR(VLOOKUP(Tabela1[[#This Row],[CC]],CC!$A$1:$H$403,8,0),"")</f>
        <v>OP1</v>
      </c>
      <c r="W1627" s="91"/>
    </row>
    <row r="1628" spans="1:23" x14ac:dyDescent="0.3">
      <c r="A1628" s="25">
        <v>1387</v>
      </c>
      <c r="B1628" s="25" t="str">
        <f>IFERROR(VLOOKUP(Tabela1[[#This Row],[CC]],#REF!,5,0),"")</f>
        <v/>
      </c>
      <c r="C1628" t="str">
        <f>IFERROR(VLOOKUP(Tabela1[[#This Row],[CC]],CC!$A$1:$H$389,7,0),"")</f>
        <v>RITA ANDRADE</v>
      </c>
      <c r="D1628" t="str">
        <f>IFERROR(VLOOKUP(Tabela1[[#This Row],[CC]],CC!$A$1:$I$3869,3,0),"")</f>
        <v>SERASA</v>
      </c>
      <c r="E1628" t="str">
        <f>IFERROR(VLOOKUP(Tabela1[[#This Row],[CC]],CC!$A$1:$H$389,2,0),"")</f>
        <v>SERASA DC (1387)</v>
      </c>
      <c r="F1628" t="s">
        <v>586</v>
      </c>
      <c r="G1628" s="107" t="s">
        <v>684</v>
      </c>
      <c r="H1628" s="12">
        <v>46023</v>
      </c>
      <c r="I1628" s="27">
        <v>29920</v>
      </c>
      <c r="J1628" s="24">
        <v>28079.919999999998</v>
      </c>
      <c r="K1628" s="3">
        <v>46037</v>
      </c>
      <c r="L1628" s="91">
        <v>46076</v>
      </c>
      <c r="M1628" s="11">
        <v>46080</v>
      </c>
      <c r="N1628" s="18" t="s">
        <v>588</v>
      </c>
      <c r="O1628" s="34"/>
      <c r="P1628"/>
      <c r="Q1628" t="str">
        <f>IFERROR(VLOOKUP(Tabela1[[#This Row],[CC]],CC!$A$1:$H$389,5,0),"")</f>
        <v>CSA</v>
      </c>
      <c r="R1628" t="str">
        <f>IFERROR(VLOOKUP(Tabela1[[#This Row],[CC]],CC!$A$1:$H$389,6,0),"")</f>
        <v>FS</v>
      </c>
      <c r="S1628" t="str">
        <f>IFERROR(VLOOKUP(Tabela1[[#This Row],[CC]],CC!$A$1:$H$403,8,0),"")</f>
        <v>OP1</v>
      </c>
      <c r="W1628" s="91"/>
    </row>
    <row r="1629" spans="1:23" x14ac:dyDescent="0.3">
      <c r="A1629" s="25">
        <v>1387</v>
      </c>
      <c r="B1629" s="25" t="str">
        <f>IFERROR(VLOOKUP(Tabela1[[#This Row],[CC]],#REF!,5,0),"")</f>
        <v/>
      </c>
      <c r="C1629" t="str">
        <f>IFERROR(VLOOKUP(Tabela1[[#This Row],[CC]],CC!$A$1:$H$389,7,0),"")</f>
        <v>RITA ANDRADE</v>
      </c>
      <c r="D1629" t="str">
        <f>IFERROR(VLOOKUP(Tabela1[[#This Row],[CC]],CC!$A$1:$I$3869,3,0),"")</f>
        <v>SERASA</v>
      </c>
      <c r="E1629" t="str">
        <f>IFERROR(VLOOKUP(Tabela1[[#This Row],[CC]],CC!$A$1:$H$389,2,0),"")</f>
        <v>SERASA DC (1387)</v>
      </c>
      <c r="F1629" t="s">
        <v>586</v>
      </c>
      <c r="G1629" s="107" t="s">
        <v>685</v>
      </c>
      <c r="H1629" s="12">
        <v>45992</v>
      </c>
      <c r="I1629" s="27">
        <v>48432</v>
      </c>
      <c r="J1629" s="24">
        <v>45453.43</v>
      </c>
      <c r="K1629" s="3">
        <v>46037</v>
      </c>
      <c r="L1629" s="91">
        <v>46076</v>
      </c>
      <c r="M1629" s="11">
        <v>46080</v>
      </c>
      <c r="N1629" s="18" t="s">
        <v>588</v>
      </c>
      <c r="O1629" s="34"/>
      <c r="P1629"/>
      <c r="Q1629" t="str">
        <f>IFERROR(VLOOKUP(Tabela1[[#This Row],[CC]],CC!$A$1:$H$389,5,0),"")</f>
        <v>CSA</v>
      </c>
      <c r="R1629" t="str">
        <f>IFERROR(VLOOKUP(Tabela1[[#This Row],[CC]],CC!$A$1:$H$389,6,0),"")</f>
        <v>FS</v>
      </c>
      <c r="S1629" t="str">
        <f>IFERROR(VLOOKUP(Tabela1[[#This Row],[CC]],CC!$A$1:$H$403,8,0),"")</f>
        <v>OP1</v>
      </c>
      <c r="W1629" s="91"/>
    </row>
    <row r="1630" spans="1:23" x14ac:dyDescent="0.3">
      <c r="A1630" s="25">
        <v>1387</v>
      </c>
      <c r="B1630" s="25" t="str">
        <f>IFERROR(VLOOKUP(Tabela1[[#This Row],[CC]],#REF!,5,0),"")</f>
        <v/>
      </c>
      <c r="C1630" t="str">
        <f>IFERROR(VLOOKUP(Tabela1[[#This Row],[CC]],CC!$A$1:$H$389,7,0),"")</f>
        <v>RITA ANDRADE</v>
      </c>
      <c r="D1630" t="str">
        <f>IFERROR(VLOOKUP(Tabela1[[#This Row],[CC]],CC!$A$1:$I$3869,3,0),"")</f>
        <v>SERASA</v>
      </c>
      <c r="E1630" t="str">
        <f>IFERROR(VLOOKUP(Tabela1[[#This Row],[CC]],CC!$A$1:$H$389,2,0),"")</f>
        <v>SERASA DC (1387)</v>
      </c>
      <c r="F1630" t="s">
        <v>586</v>
      </c>
      <c r="G1630" s="107">
        <v>4754</v>
      </c>
      <c r="H1630" s="12">
        <v>46023</v>
      </c>
      <c r="I1630" s="27">
        <v>57692.800000000003</v>
      </c>
      <c r="J1630" s="24">
        <v>54144.7</v>
      </c>
      <c r="K1630" s="3">
        <v>46043</v>
      </c>
      <c r="L1630" s="91">
        <v>46076</v>
      </c>
      <c r="M1630" s="11">
        <v>46080</v>
      </c>
      <c r="N1630" s="18" t="s">
        <v>588</v>
      </c>
      <c r="O1630" s="34"/>
      <c r="P1630"/>
      <c r="Q1630" t="str">
        <f>IFERROR(VLOOKUP(Tabela1[[#This Row],[CC]],CC!$A$1:$H$389,5,0),"")</f>
        <v>CSA</v>
      </c>
      <c r="R1630" t="str">
        <f>IFERROR(VLOOKUP(Tabela1[[#This Row],[CC]],CC!$A$1:$H$389,6,0),"")</f>
        <v>FS</v>
      </c>
      <c r="S1630" t="str">
        <f>IFERROR(VLOOKUP(Tabela1[[#This Row],[CC]],CC!$A$1:$H$403,8,0),"")</f>
        <v>OP1</v>
      </c>
      <c r="W1630" s="91"/>
    </row>
    <row r="1631" spans="1:23" x14ac:dyDescent="0.3">
      <c r="A1631" s="25">
        <v>1387</v>
      </c>
      <c r="B1631" s="25" t="str">
        <f>IFERROR(VLOOKUP(Tabela1[[#This Row],[CC]],#REF!,5,0),"")</f>
        <v/>
      </c>
      <c r="C1631" t="str">
        <f>IFERROR(VLOOKUP(Tabela1[[#This Row],[CC]],CC!$A$1:$H$389,7,0),"")</f>
        <v>RITA ANDRADE</v>
      </c>
      <c r="D1631" t="str">
        <f>IFERROR(VLOOKUP(Tabela1[[#This Row],[CC]],CC!$A$1:$I$3869,3,0),"")</f>
        <v>SERASA</v>
      </c>
      <c r="E1631" t="str">
        <f>IFERROR(VLOOKUP(Tabela1[[#This Row],[CC]],CC!$A$1:$H$389,2,0),"")</f>
        <v>SERASA DC (1387)</v>
      </c>
      <c r="F1631" t="s">
        <v>586</v>
      </c>
      <c r="G1631" s="107">
        <v>4755</v>
      </c>
      <c r="H1631" s="12">
        <v>46023</v>
      </c>
      <c r="I1631" s="27">
        <v>40600</v>
      </c>
      <c r="J1631" s="24">
        <v>38103.1</v>
      </c>
      <c r="K1631" s="3">
        <v>46043</v>
      </c>
      <c r="L1631" s="91">
        <v>46076</v>
      </c>
      <c r="M1631" s="11">
        <v>46080</v>
      </c>
      <c r="N1631" s="18" t="s">
        <v>588</v>
      </c>
      <c r="O1631" s="34"/>
      <c r="P1631"/>
      <c r="Q1631" t="str">
        <f>IFERROR(VLOOKUP(Tabela1[[#This Row],[CC]],CC!$A$1:$H$389,5,0),"")</f>
        <v>CSA</v>
      </c>
      <c r="R1631" t="str">
        <f>IFERROR(VLOOKUP(Tabela1[[#This Row],[CC]],CC!$A$1:$H$389,6,0),"")</f>
        <v>FS</v>
      </c>
      <c r="S1631" t="str">
        <f>IFERROR(VLOOKUP(Tabela1[[#This Row],[CC]],CC!$A$1:$H$403,8,0),"")</f>
        <v>OP1</v>
      </c>
      <c r="W1631" s="91"/>
    </row>
    <row r="1632" spans="1:23" x14ac:dyDescent="0.3">
      <c r="A1632" s="25">
        <v>1387</v>
      </c>
      <c r="B1632" s="25" t="str">
        <f>IFERROR(VLOOKUP(Tabela1[[#This Row],[CC]],#REF!,5,0),"")</f>
        <v/>
      </c>
      <c r="C1632" t="str">
        <f>IFERROR(VLOOKUP(Tabela1[[#This Row],[CC]],CC!$A$1:$H$389,7,0),"")</f>
        <v>RITA ANDRADE</v>
      </c>
      <c r="D1632" t="str">
        <f>IFERROR(VLOOKUP(Tabela1[[#This Row],[CC]],CC!$A$1:$I$3869,3,0),"")</f>
        <v>SERASA</v>
      </c>
      <c r="E1632" t="str">
        <f>IFERROR(VLOOKUP(Tabela1[[#This Row],[CC]],CC!$A$1:$H$389,2,0),"")</f>
        <v>SERASA DC (1387)</v>
      </c>
      <c r="F1632" t="s">
        <v>586</v>
      </c>
      <c r="G1632" s="107">
        <v>4777</v>
      </c>
      <c r="H1632" s="12">
        <v>45992</v>
      </c>
      <c r="I1632" s="27">
        <v>81200</v>
      </c>
      <c r="J1632" s="27">
        <v>76206.2</v>
      </c>
      <c r="K1632" s="3">
        <v>46045</v>
      </c>
      <c r="L1632" s="91">
        <v>46076</v>
      </c>
      <c r="M1632" s="11">
        <v>46080</v>
      </c>
      <c r="N1632" s="18" t="s">
        <v>588</v>
      </c>
      <c r="O1632" s="34"/>
      <c r="P1632"/>
      <c r="Q1632" t="str">
        <f>IFERROR(VLOOKUP(Tabela1[[#This Row],[CC]],CC!$A$1:$H$389,5,0),"")</f>
        <v>CSA</v>
      </c>
      <c r="R1632" t="str">
        <f>IFERROR(VLOOKUP(Tabela1[[#This Row],[CC]],CC!$A$1:$H$389,6,0),"")</f>
        <v>FS</v>
      </c>
      <c r="S1632" t="str">
        <f>IFERROR(VLOOKUP(Tabela1[[#This Row],[CC]],CC!$A$1:$H$403,8,0),"")</f>
        <v>OP1</v>
      </c>
      <c r="W1632" s="91"/>
    </row>
    <row r="1633" spans="1:23" x14ac:dyDescent="0.3">
      <c r="A1633" s="25">
        <v>1387</v>
      </c>
      <c r="B1633" s="25" t="str">
        <f>IFERROR(VLOOKUP(Tabela1[[#This Row],[CC]],#REF!,5,0),"")</f>
        <v/>
      </c>
      <c r="C1633" t="str">
        <f>IFERROR(VLOOKUP(Tabela1[[#This Row],[CC]],CC!$A$1:$H$389,7,0),"")</f>
        <v>RITA ANDRADE</v>
      </c>
      <c r="D1633" t="str">
        <f>IFERROR(VLOOKUP(Tabela1[[#This Row],[CC]],CC!$A$1:$I$3869,3,0),"")</f>
        <v>SERASA</v>
      </c>
      <c r="E1633" t="str">
        <f>IFERROR(VLOOKUP(Tabela1[[#This Row],[CC]],CC!$A$1:$H$389,2,0),"")</f>
        <v>SERASA DC (1387)</v>
      </c>
      <c r="F1633" t="s">
        <v>586</v>
      </c>
      <c r="G1633" s="107">
        <v>4784</v>
      </c>
      <c r="H1633" s="12">
        <v>46023</v>
      </c>
      <c r="I1633" s="27">
        <v>44660</v>
      </c>
      <c r="J1633" s="24">
        <v>41913.410000000003</v>
      </c>
      <c r="K1633" s="3">
        <v>46049</v>
      </c>
      <c r="L1633" s="91">
        <v>46076</v>
      </c>
      <c r="M1633" s="11">
        <v>46080</v>
      </c>
      <c r="N1633" s="18" t="s">
        <v>588</v>
      </c>
      <c r="O1633" s="34"/>
      <c r="P1633"/>
      <c r="Q1633" t="str">
        <f>IFERROR(VLOOKUP(Tabela1[[#This Row],[CC]],CC!$A$1:$H$389,5,0),"")</f>
        <v>CSA</v>
      </c>
      <c r="R1633" t="str">
        <f>IFERROR(VLOOKUP(Tabela1[[#This Row],[CC]],CC!$A$1:$H$389,6,0),"")</f>
        <v>FS</v>
      </c>
      <c r="S1633" t="str">
        <f>IFERROR(VLOOKUP(Tabela1[[#This Row],[CC]],CC!$A$1:$H$403,8,0),"")</f>
        <v>OP1</v>
      </c>
      <c r="W1633" s="91"/>
    </row>
    <row r="1634" spans="1:23" x14ac:dyDescent="0.3">
      <c r="A1634" s="25">
        <v>1387</v>
      </c>
      <c r="B1634" s="25" t="str">
        <f>IFERROR(VLOOKUP(Tabela1[[#This Row],[CC]],#REF!,5,0),"")</f>
        <v/>
      </c>
      <c r="C1634" t="str">
        <f>IFERROR(VLOOKUP(Tabela1[[#This Row],[CC]],CC!$A$1:$H$389,7,0),"")</f>
        <v>RITA ANDRADE</v>
      </c>
      <c r="D1634" t="str">
        <f>IFERROR(VLOOKUP(Tabela1[[#This Row],[CC]],CC!$A$1:$I$3869,3,0),"")</f>
        <v>SERASA</v>
      </c>
      <c r="E1634" t="str">
        <f>IFERROR(VLOOKUP(Tabela1[[#This Row],[CC]],CC!$A$1:$H$389,2,0),"")</f>
        <v>SERASA DC (1387)</v>
      </c>
      <c r="F1634" t="s">
        <v>586</v>
      </c>
      <c r="G1634" s="107">
        <v>4868</v>
      </c>
      <c r="H1634" s="12">
        <v>46054</v>
      </c>
      <c r="I1634" s="27">
        <v>29920</v>
      </c>
      <c r="J1634" s="27">
        <v>28079.919999999998</v>
      </c>
      <c r="K1634" s="3">
        <v>46072</v>
      </c>
      <c r="L1634" s="91">
        <v>46111</v>
      </c>
      <c r="M1634" s="11">
        <v>46112</v>
      </c>
      <c r="N1634" s="18" t="s">
        <v>588</v>
      </c>
      <c r="O1634" s="34"/>
      <c r="P1634"/>
      <c r="Q1634" t="str">
        <f>IFERROR(VLOOKUP(Tabela1[[#This Row],[CC]],CC!$A$1:$H$389,5,0),"")</f>
        <v>CSA</v>
      </c>
      <c r="R1634" t="str">
        <f>IFERROR(VLOOKUP(Tabela1[[#This Row],[CC]],CC!$A$1:$H$389,6,0),"")</f>
        <v>FS</v>
      </c>
      <c r="S1634" t="str">
        <f>IFERROR(VLOOKUP(Tabela1[[#This Row],[CC]],CC!$A$1:$H$403,8,0),"")</f>
        <v>OP1</v>
      </c>
      <c r="W1634" s="91"/>
    </row>
    <row r="1635" spans="1:23" x14ac:dyDescent="0.3">
      <c r="A1635" s="25">
        <v>1387</v>
      </c>
      <c r="B1635" s="25" t="str">
        <f>IFERROR(VLOOKUP(Tabela1[[#This Row],[CC]],#REF!,5,0),"")</f>
        <v/>
      </c>
      <c r="C1635" t="str">
        <f>IFERROR(VLOOKUP(Tabela1[[#This Row],[CC]],CC!$A$1:$H$389,7,0),"")</f>
        <v>RITA ANDRADE</v>
      </c>
      <c r="D1635" t="str">
        <f>IFERROR(VLOOKUP(Tabela1[[#This Row],[CC]],CC!$A$1:$I$3869,3,0),"")</f>
        <v>SERASA</v>
      </c>
      <c r="E1635" t="str">
        <f>IFERROR(VLOOKUP(Tabela1[[#This Row],[CC]],CC!$A$1:$H$389,2,0),"")</f>
        <v>SERASA DC (1387)</v>
      </c>
      <c r="F1635" t="s">
        <v>586</v>
      </c>
      <c r="G1635" s="107">
        <v>4871</v>
      </c>
      <c r="H1635" s="12">
        <v>46023</v>
      </c>
      <c r="I1635" s="27">
        <v>32288</v>
      </c>
      <c r="J1635" s="27">
        <v>30302.29</v>
      </c>
      <c r="K1635" s="3">
        <v>46076</v>
      </c>
      <c r="L1635" s="91">
        <v>46111</v>
      </c>
      <c r="M1635" s="11">
        <v>46112</v>
      </c>
      <c r="N1635" s="18" t="s">
        <v>588</v>
      </c>
      <c r="O1635" s="34"/>
      <c r="P1635"/>
      <c r="Q1635" t="str">
        <f>IFERROR(VLOOKUP(Tabela1[[#This Row],[CC]],CC!$A$1:$H$389,5,0),"")</f>
        <v>CSA</v>
      </c>
      <c r="R1635" t="str">
        <f>IFERROR(VLOOKUP(Tabela1[[#This Row],[CC]],CC!$A$1:$H$389,6,0),"")</f>
        <v>FS</v>
      </c>
      <c r="S1635" t="str">
        <f>IFERROR(VLOOKUP(Tabela1[[#This Row],[CC]],CC!$A$1:$H$403,8,0),"")</f>
        <v>OP1</v>
      </c>
      <c r="W1635" s="91"/>
    </row>
    <row r="1636" spans="1:23" x14ac:dyDescent="0.3">
      <c r="A1636" s="25">
        <v>1387</v>
      </c>
      <c r="B1636" s="25" t="str">
        <f>IFERROR(VLOOKUP(Tabela1[[#This Row],[CC]],#REF!,5,0),"")</f>
        <v/>
      </c>
      <c r="C1636" t="str">
        <f>IFERROR(VLOOKUP(Tabela1[[#This Row],[CC]],CC!$A$1:$H$389,7,0),"")</f>
        <v>RITA ANDRADE</v>
      </c>
      <c r="D1636" t="str">
        <f>IFERROR(VLOOKUP(Tabela1[[#This Row],[CC]],CC!$A$1:$I$3869,3,0),"")</f>
        <v>SERASA</v>
      </c>
      <c r="E1636" t="str">
        <f>IFERROR(VLOOKUP(Tabela1[[#This Row],[CC]],CC!$A$1:$H$389,2,0),"")</f>
        <v>SERASA DC (1387)</v>
      </c>
      <c r="F1636" t="s">
        <v>586</v>
      </c>
      <c r="G1636" s="107">
        <v>4873</v>
      </c>
      <c r="H1636" s="12">
        <v>46054</v>
      </c>
      <c r="I1636" s="27">
        <v>38745.599999999999</v>
      </c>
      <c r="J1636" s="27">
        <v>36362.74</v>
      </c>
      <c r="K1636" s="3">
        <v>46076</v>
      </c>
      <c r="L1636" s="91">
        <v>46111</v>
      </c>
      <c r="M1636" s="11">
        <v>46112</v>
      </c>
      <c r="N1636" s="18" t="s">
        <v>588</v>
      </c>
      <c r="O1636" s="34"/>
      <c r="P1636"/>
      <c r="Q1636" t="str">
        <f>IFERROR(VLOOKUP(Tabela1[[#This Row],[CC]],CC!$A$1:$H$389,5,0),"")</f>
        <v>CSA</v>
      </c>
      <c r="R1636" t="str">
        <f>IFERROR(VLOOKUP(Tabela1[[#This Row],[CC]],CC!$A$1:$H$389,6,0),"")</f>
        <v>FS</v>
      </c>
      <c r="S1636" t="str">
        <f>IFERROR(VLOOKUP(Tabela1[[#This Row],[CC]],CC!$A$1:$H$403,8,0),"")</f>
        <v>OP1</v>
      </c>
      <c r="W1636" s="91"/>
    </row>
    <row r="1637" spans="1:23" x14ac:dyDescent="0.3">
      <c r="A1637" s="25">
        <v>1387</v>
      </c>
      <c r="B1637" s="25" t="str">
        <f>IFERROR(VLOOKUP(Tabela1[[#This Row],[CC]],#REF!,5,0),"")</f>
        <v/>
      </c>
      <c r="C1637" t="str">
        <f>IFERROR(VLOOKUP(Tabela1[[#This Row],[CC]],CC!$A$1:$H$389,7,0),"")</f>
        <v>RITA ANDRADE</v>
      </c>
      <c r="D1637" t="str">
        <f>IFERROR(VLOOKUP(Tabela1[[#This Row],[CC]],CC!$A$1:$I$3869,3,0),"")</f>
        <v>SERASA</v>
      </c>
      <c r="E1637" t="str">
        <f>IFERROR(VLOOKUP(Tabela1[[#This Row],[CC]],CC!$A$1:$H$389,2,0),"")</f>
        <v>SERASA DC (1387)</v>
      </c>
      <c r="F1637" t="s">
        <v>586</v>
      </c>
      <c r="G1637" s="107">
        <v>4880</v>
      </c>
      <c r="H1637" s="12">
        <v>46054</v>
      </c>
      <c r="I1637" s="27">
        <v>74751.360000000001</v>
      </c>
      <c r="J1637" s="27">
        <v>70154.16</v>
      </c>
      <c r="K1637" s="3">
        <v>46077</v>
      </c>
      <c r="L1637" s="91">
        <v>46111</v>
      </c>
      <c r="M1637" s="11">
        <v>46112</v>
      </c>
      <c r="N1637" s="18" t="s">
        <v>588</v>
      </c>
      <c r="O1637" s="34"/>
      <c r="P1637"/>
      <c r="Q1637" t="str">
        <f>IFERROR(VLOOKUP(Tabela1[[#This Row],[CC]],CC!$A$1:$H$389,5,0),"")</f>
        <v>CSA</v>
      </c>
      <c r="R1637" t="str">
        <f>IFERROR(VLOOKUP(Tabela1[[#This Row],[CC]],CC!$A$1:$H$389,6,0),"")</f>
        <v>FS</v>
      </c>
      <c r="S1637" t="str">
        <f>IFERROR(VLOOKUP(Tabela1[[#This Row],[CC]],CC!$A$1:$H$403,8,0),"")</f>
        <v>OP1</v>
      </c>
      <c r="W1637" s="91"/>
    </row>
    <row r="1638" spans="1:23" x14ac:dyDescent="0.3">
      <c r="A1638" s="25">
        <v>1387</v>
      </c>
      <c r="B1638" s="25" t="str">
        <f>IFERROR(VLOOKUP(Tabela1[[#This Row],[CC]],#REF!,5,0),"")</f>
        <v/>
      </c>
      <c r="C1638" t="str">
        <f>IFERROR(VLOOKUP(Tabela1[[#This Row],[CC]],CC!$A$1:$H$389,7,0),"")</f>
        <v>RITA ANDRADE</v>
      </c>
      <c r="D1638" t="str">
        <f>IFERROR(VLOOKUP(Tabela1[[#This Row],[CC]],CC!$A$1:$I$3869,3,0),"")</f>
        <v>SERASA</v>
      </c>
      <c r="E1638" t="str">
        <f>IFERROR(VLOOKUP(Tabela1[[#This Row],[CC]],CC!$A$1:$H$389,2,0),"")</f>
        <v>SERASA DC (1387)</v>
      </c>
      <c r="F1638" t="s">
        <v>586</v>
      </c>
      <c r="G1638" s="107">
        <v>4883</v>
      </c>
      <c r="H1638" s="12">
        <v>46054</v>
      </c>
      <c r="I1638" s="27">
        <v>73080</v>
      </c>
      <c r="J1638" s="27">
        <v>68585.58</v>
      </c>
      <c r="K1638" s="3">
        <v>46077</v>
      </c>
      <c r="L1638" s="91">
        <v>46111</v>
      </c>
      <c r="M1638" s="11">
        <v>46112</v>
      </c>
      <c r="N1638" s="18" t="s">
        <v>588</v>
      </c>
      <c r="O1638" s="34"/>
      <c r="P1638"/>
      <c r="Q1638" t="str">
        <f>IFERROR(VLOOKUP(Tabela1[[#This Row],[CC]],CC!$A$1:$H$389,5,0),"")</f>
        <v>CSA</v>
      </c>
      <c r="R1638" t="str">
        <f>IFERROR(VLOOKUP(Tabela1[[#This Row],[CC]],CC!$A$1:$H$389,6,0),"")</f>
        <v>FS</v>
      </c>
      <c r="S1638" t="str">
        <f>IFERROR(VLOOKUP(Tabela1[[#This Row],[CC]],CC!$A$1:$H$403,8,0),"")</f>
        <v>OP1</v>
      </c>
      <c r="W1638" s="91"/>
    </row>
    <row r="1639" spans="1:23" x14ac:dyDescent="0.3">
      <c r="A1639" s="25">
        <v>1387</v>
      </c>
      <c r="B1639" s="25" t="str">
        <f>IFERROR(VLOOKUP(Tabela1[[#This Row],[CC]],#REF!,5,0),"")</f>
        <v/>
      </c>
      <c r="C1639" t="str">
        <f>IFERROR(VLOOKUP(Tabela1[[#This Row],[CC]],CC!$A$1:$H$389,7,0),"")</f>
        <v>RITA ANDRADE</v>
      </c>
      <c r="D1639" t="str">
        <f>IFERROR(VLOOKUP(Tabela1[[#This Row],[CC]],CC!$A$1:$I$3869,3,0),"")</f>
        <v>SERASA</v>
      </c>
      <c r="E1639" t="str">
        <f>IFERROR(VLOOKUP(Tabela1[[#This Row],[CC]],CC!$A$1:$H$389,2,0),"")</f>
        <v>SERASA DC (1387)</v>
      </c>
      <c r="F1639" t="s">
        <v>586</v>
      </c>
      <c r="G1639" s="107">
        <v>4890</v>
      </c>
      <c r="H1639" s="12">
        <v>46054</v>
      </c>
      <c r="I1639" s="27">
        <v>39336</v>
      </c>
      <c r="J1639" s="27">
        <v>36916.839999999997</v>
      </c>
      <c r="K1639" s="3">
        <v>46078</v>
      </c>
      <c r="L1639" s="91">
        <v>46111</v>
      </c>
      <c r="M1639" s="11">
        <v>46112</v>
      </c>
      <c r="N1639" s="18" t="s">
        <v>588</v>
      </c>
      <c r="O1639" s="34"/>
      <c r="P1639"/>
      <c r="Q1639" t="str">
        <f>IFERROR(VLOOKUP(Tabela1[[#This Row],[CC]],CC!$A$1:$H$389,5,0),"")</f>
        <v>CSA</v>
      </c>
      <c r="R1639" t="str">
        <f>IFERROR(VLOOKUP(Tabela1[[#This Row],[CC]],CC!$A$1:$H$389,6,0),"")</f>
        <v>FS</v>
      </c>
      <c r="S1639" t="str">
        <f>IFERROR(VLOOKUP(Tabela1[[#This Row],[CC]],CC!$A$1:$H$403,8,0),"")</f>
        <v>OP1</v>
      </c>
      <c r="W1639" s="91"/>
    </row>
    <row r="1640" spans="1:23" x14ac:dyDescent="0.3">
      <c r="A1640" s="25">
        <v>1387</v>
      </c>
      <c r="B1640" s="25" t="str">
        <f>IFERROR(VLOOKUP(Tabela1[[#This Row],[CC]],#REF!,5,0),"")</f>
        <v/>
      </c>
      <c r="C1640" t="str">
        <f>IFERROR(VLOOKUP(Tabela1[[#This Row],[CC]],CC!$A$1:$H$389,7,0),"")</f>
        <v>RITA ANDRADE</v>
      </c>
      <c r="D1640" t="str">
        <f>IFERROR(VLOOKUP(Tabela1[[#This Row],[CC]],CC!$A$1:$I$3869,3,0),"")</f>
        <v>SERASA</v>
      </c>
      <c r="E1640" t="str">
        <f>IFERROR(VLOOKUP(Tabela1[[#This Row],[CC]],CC!$A$1:$H$389,2,0),"")</f>
        <v>SERASA DC (1387)</v>
      </c>
      <c r="F1640" t="s">
        <v>586</v>
      </c>
      <c r="G1640" s="107">
        <v>4897</v>
      </c>
      <c r="H1640" s="12">
        <v>46054</v>
      </c>
      <c r="I1640" s="27">
        <v>23658.6</v>
      </c>
      <c r="J1640" s="27">
        <v>22203.55</v>
      </c>
      <c r="K1640" s="3">
        <v>46080</v>
      </c>
      <c r="L1640" s="91">
        <v>46111</v>
      </c>
      <c r="M1640" s="11">
        <v>46112</v>
      </c>
      <c r="N1640" s="18" t="s">
        <v>588</v>
      </c>
      <c r="O1640" s="34"/>
      <c r="P1640"/>
      <c r="Q1640" t="str">
        <f>IFERROR(VLOOKUP(Tabela1[[#This Row],[CC]],CC!$A$1:$H$389,5,0),"")</f>
        <v>CSA</v>
      </c>
      <c r="R1640" t="str">
        <f>IFERROR(VLOOKUP(Tabela1[[#This Row],[CC]],CC!$A$1:$H$389,6,0),"")</f>
        <v>FS</v>
      </c>
      <c r="S1640" t="str">
        <f>IFERROR(VLOOKUP(Tabela1[[#This Row],[CC]],CC!$A$1:$H$403,8,0),"")</f>
        <v>OP1</v>
      </c>
      <c r="W1640" s="91"/>
    </row>
    <row r="1641" spans="1:23" x14ac:dyDescent="0.3">
      <c r="A1641" s="25">
        <v>1387</v>
      </c>
      <c r="B1641" s="25" t="str">
        <f>IFERROR(VLOOKUP(Tabela1[[#This Row],[CC]],#REF!,5,0),"")</f>
        <v/>
      </c>
      <c r="C1641" t="str">
        <f>IFERROR(VLOOKUP(Tabela1[[#This Row],[CC]],CC!$A$1:$H$389,7,0),"")</f>
        <v>RITA ANDRADE</v>
      </c>
      <c r="D1641" t="str">
        <f>IFERROR(VLOOKUP(Tabela1[[#This Row],[CC]],CC!$A$1:$I$3869,3,0),"")</f>
        <v>SERASA</v>
      </c>
      <c r="E1641" t="str">
        <f>IFERROR(VLOOKUP(Tabela1[[#This Row],[CC]],CC!$A$1:$H$389,2,0),"")</f>
        <v>SERASA DC (1387)</v>
      </c>
      <c r="F1641" t="s">
        <v>586</v>
      </c>
      <c r="G1641" s="107">
        <v>4923</v>
      </c>
      <c r="H1641" s="12">
        <v>46054</v>
      </c>
      <c r="I1641" s="27">
        <v>36540</v>
      </c>
      <c r="J1641" s="24">
        <v>34292.78</v>
      </c>
      <c r="K1641" s="3">
        <v>46091</v>
      </c>
      <c r="L1641" s="91">
        <v>46139</v>
      </c>
      <c r="M1641" s="11">
        <v>46140</v>
      </c>
      <c r="N1641" s="18" t="s">
        <v>588</v>
      </c>
      <c r="O1641" s="34"/>
      <c r="P1641"/>
      <c r="Q1641" t="str">
        <f>IFERROR(VLOOKUP(Tabela1[[#This Row],[CC]],CC!$A$1:$H$389,5,0),"")</f>
        <v>CSA</v>
      </c>
      <c r="R1641" t="str">
        <f>IFERROR(VLOOKUP(Tabela1[[#This Row],[CC]],CC!$A$1:$H$389,6,0),"")</f>
        <v>FS</v>
      </c>
      <c r="S1641" t="str">
        <f>IFERROR(VLOOKUP(Tabela1[[#This Row],[CC]],CC!$A$1:$H$403,8,0),"")</f>
        <v>OP1</v>
      </c>
      <c r="W1641" s="91"/>
    </row>
    <row r="1642" spans="1:23" x14ac:dyDescent="0.3">
      <c r="A1642" s="25">
        <v>1387</v>
      </c>
      <c r="B1642" s="25" t="str">
        <f>IFERROR(VLOOKUP(Tabela1[[#This Row],[CC]],#REF!,5,0),"")</f>
        <v/>
      </c>
      <c r="C1642" t="str">
        <f>IFERROR(VLOOKUP(Tabela1[[#This Row],[CC]],CC!$A$1:$H$389,7,0),"")</f>
        <v>RITA ANDRADE</v>
      </c>
      <c r="D1642" t="str">
        <f>IFERROR(VLOOKUP(Tabela1[[#This Row],[CC]],CC!$A$1:$I$3869,3,0),"")</f>
        <v>SERASA</v>
      </c>
      <c r="E1642" t="str">
        <f>IFERROR(VLOOKUP(Tabela1[[#This Row],[CC]],CC!$A$1:$H$389,2,0),"")</f>
        <v>SERASA DC (1387)</v>
      </c>
      <c r="F1642" t="s">
        <v>586</v>
      </c>
      <c r="G1642" s="107">
        <v>4975</v>
      </c>
      <c r="H1642" s="12">
        <v>46082</v>
      </c>
      <c r="I1642" s="27">
        <v>44660</v>
      </c>
      <c r="J1642" s="24">
        <v>41913.4</v>
      </c>
      <c r="K1642" s="3">
        <v>46100</v>
      </c>
      <c r="L1642" s="91">
        <v>46139</v>
      </c>
      <c r="M1642" s="11">
        <v>46140</v>
      </c>
      <c r="N1642" s="18" t="s">
        <v>588</v>
      </c>
      <c r="O1642" s="34"/>
      <c r="P1642"/>
      <c r="Q1642" t="str">
        <f>IFERROR(VLOOKUP(Tabela1[[#This Row],[CC]],CC!$A$1:$H$389,5,0),"")</f>
        <v>CSA</v>
      </c>
      <c r="R1642" t="str">
        <f>IFERROR(VLOOKUP(Tabela1[[#This Row],[CC]],CC!$A$1:$H$389,6,0),"")</f>
        <v>FS</v>
      </c>
      <c r="S1642" t="str">
        <f>IFERROR(VLOOKUP(Tabela1[[#This Row],[CC]],CC!$A$1:$H$403,8,0),"")</f>
        <v>OP1</v>
      </c>
      <c r="W1642" s="91"/>
    </row>
    <row r="1643" spans="1:23" x14ac:dyDescent="0.3">
      <c r="A1643" s="25">
        <v>1387</v>
      </c>
      <c r="B1643" s="25" t="str">
        <f>IFERROR(VLOOKUP(Tabela1[[#This Row],[CC]],#REF!,5,0),"")</f>
        <v/>
      </c>
      <c r="C1643" t="str">
        <f>IFERROR(VLOOKUP(Tabela1[[#This Row],[CC]],CC!$A$1:$H$389,7,0),"")</f>
        <v>RITA ANDRADE</v>
      </c>
      <c r="D1643" t="str">
        <f>IFERROR(VLOOKUP(Tabela1[[#This Row],[CC]],CC!$A$1:$I$3869,3,0),"")</f>
        <v>SERASA</v>
      </c>
      <c r="E1643" t="str">
        <f>IFERROR(VLOOKUP(Tabela1[[#This Row],[CC]],CC!$A$1:$H$389,2,0),"")</f>
        <v>SERASA DC (1387)</v>
      </c>
      <c r="F1643" t="s">
        <v>586</v>
      </c>
      <c r="G1643" s="107">
        <v>4983</v>
      </c>
      <c r="H1643" s="12">
        <v>46082</v>
      </c>
      <c r="I1643" s="27">
        <v>35516.800000000003</v>
      </c>
      <c r="J1643" s="24">
        <v>33332.519999999997</v>
      </c>
      <c r="K1643" s="3">
        <v>46101</v>
      </c>
      <c r="L1643" s="91">
        <v>46139</v>
      </c>
      <c r="M1643" s="11">
        <v>46140</v>
      </c>
      <c r="N1643" s="18" t="s">
        <v>588</v>
      </c>
      <c r="O1643" s="34"/>
      <c r="P1643"/>
      <c r="Q1643" t="str">
        <f>IFERROR(VLOOKUP(Tabela1[[#This Row],[CC]],CC!$A$1:$H$389,5,0),"")</f>
        <v>CSA</v>
      </c>
      <c r="R1643" t="str">
        <f>IFERROR(VLOOKUP(Tabela1[[#This Row],[CC]],CC!$A$1:$H$389,6,0),"")</f>
        <v>FS</v>
      </c>
      <c r="S1643" t="str">
        <f>IFERROR(VLOOKUP(Tabela1[[#This Row],[CC]],CC!$A$1:$H$403,8,0),"")</f>
        <v>OP1</v>
      </c>
      <c r="W1643" s="91"/>
    </row>
    <row r="1644" spans="1:23" x14ac:dyDescent="0.3">
      <c r="A1644" s="25">
        <v>1387</v>
      </c>
      <c r="B1644" s="25" t="str">
        <f>IFERROR(VLOOKUP(Tabela1[[#This Row],[CC]],#REF!,5,0),"")</f>
        <v/>
      </c>
      <c r="C1644" t="str">
        <f>IFERROR(VLOOKUP(Tabela1[[#This Row],[CC]],CC!$A$1:$H$389,7,0),"")</f>
        <v>RITA ANDRADE</v>
      </c>
      <c r="D1644" t="str">
        <f>IFERROR(VLOOKUP(Tabela1[[#This Row],[CC]],CC!$A$1:$I$3869,3,0),"")</f>
        <v>SERASA</v>
      </c>
      <c r="E1644" t="str">
        <f>IFERROR(VLOOKUP(Tabela1[[#This Row],[CC]],CC!$A$1:$H$389,2,0),"")</f>
        <v>SERASA DC (1387)</v>
      </c>
      <c r="F1644" t="s">
        <v>586</v>
      </c>
      <c r="G1644" s="107">
        <v>4987</v>
      </c>
      <c r="H1644" s="12">
        <v>46082</v>
      </c>
      <c r="I1644" s="27">
        <v>28846.400000000001</v>
      </c>
      <c r="J1644" s="24">
        <v>27072.35</v>
      </c>
      <c r="K1644" s="3">
        <v>46101</v>
      </c>
      <c r="L1644" s="91">
        <v>46139</v>
      </c>
      <c r="M1644" s="11">
        <v>46140</v>
      </c>
      <c r="N1644" s="18" t="s">
        <v>588</v>
      </c>
      <c r="O1644" s="34"/>
      <c r="P1644"/>
      <c r="Q1644" t="str">
        <f>IFERROR(VLOOKUP(Tabela1[[#This Row],[CC]],CC!$A$1:$H$389,5,0),"")</f>
        <v>CSA</v>
      </c>
      <c r="R1644" t="str">
        <f>IFERROR(VLOOKUP(Tabela1[[#This Row],[CC]],CC!$A$1:$H$389,6,0),"")</f>
        <v>FS</v>
      </c>
      <c r="S1644" t="str">
        <f>IFERROR(VLOOKUP(Tabela1[[#This Row],[CC]],CC!$A$1:$H$403,8,0),"")</f>
        <v>OP1</v>
      </c>
      <c r="W1644" s="91"/>
    </row>
    <row r="1645" spans="1:23" x14ac:dyDescent="0.3">
      <c r="A1645" s="25">
        <v>1387</v>
      </c>
      <c r="B1645" s="25" t="str">
        <f>IFERROR(VLOOKUP(Tabela1[[#This Row],[CC]],#REF!,5,0),"")</f>
        <v/>
      </c>
      <c r="C1645" t="str">
        <f>IFERROR(VLOOKUP(Tabela1[[#This Row],[CC]],CC!$A$1:$H$389,7,0),"")</f>
        <v>RITA ANDRADE</v>
      </c>
      <c r="D1645" t="str">
        <f>IFERROR(VLOOKUP(Tabela1[[#This Row],[CC]],CC!$A$1:$I$3869,3,0),"")</f>
        <v>SERASA</v>
      </c>
      <c r="E1645" t="str">
        <f>IFERROR(VLOOKUP(Tabela1[[#This Row],[CC]],CC!$A$1:$H$389,2,0),"")</f>
        <v>SERASA DC (1387)</v>
      </c>
      <c r="F1645" t="s">
        <v>586</v>
      </c>
      <c r="G1645" s="107">
        <v>4988</v>
      </c>
      <c r="H1645" s="12">
        <v>46082</v>
      </c>
      <c r="I1645" s="27">
        <v>89320</v>
      </c>
      <c r="J1645" s="24">
        <v>83826.820000000007</v>
      </c>
      <c r="K1645" s="3">
        <v>46101</v>
      </c>
      <c r="L1645" s="91">
        <v>46139</v>
      </c>
      <c r="M1645" s="11">
        <v>46140</v>
      </c>
      <c r="N1645" s="18" t="s">
        <v>588</v>
      </c>
      <c r="O1645" s="34"/>
      <c r="P1645"/>
      <c r="Q1645" t="str">
        <f>IFERROR(VLOOKUP(Tabela1[[#This Row],[CC]],CC!$A$1:$H$389,5,0),"")</f>
        <v>CSA</v>
      </c>
      <c r="R1645" t="str">
        <f>IFERROR(VLOOKUP(Tabela1[[#This Row],[CC]],CC!$A$1:$H$389,6,0),"")</f>
        <v>FS</v>
      </c>
      <c r="S1645" t="str">
        <f>IFERROR(VLOOKUP(Tabela1[[#This Row],[CC]],CC!$A$1:$H$403,8,0),"")</f>
        <v>OP1</v>
      </c>
      <c r="W1645" s="91"/>
    </row>
    <row r="1646" spans="1:23" x14ac:dyDescent="0.3">
      <c r="A1646" s="25">
        <v>1387</v>
      </c>
      <c r="B1646" s="25" t="str">
        <f>IFERROR(VLOOKUP(Tabela1[[#This Row],[CC]],#REF!,5,0),"")</f>
        <v/>
      </c>
      <c r="C1646" t="str">
        <f>IFERROR(VLOOKUP(Tabela1[[#This Row],[CC]],CC!$A$1:$H$389,7,0),"")</f>
        <v>RITA ANDRADE</v>
      </c>
      <c r="D1646" t="str">
        <f>IFERROR(VLOOKUP(Tabela1[[#This Row],[CC]],CC!$A$1:$I$3869,3,0),"")</f>
        <v>SERASA</v>
      </c>
      <c r="E1646" t="str">
        <f>IFERROR(VLOOKUP(Tabela1[[#This Row],[CC]],CC!$A$1:$H$389,2,0),"")</f>
        <v>SERASA DC (1387)</v>
      </c>
      <c r="F1646" t="s">
        <v>586</v>
      </c>
      <c r="G1646" s="107">
        <v>4998</v>
      </c>
      <c r="H1646" s="12">
        <v>46082</v>
      </c>
      <c r="I1646" s="27">
        <v>29742.240000000002</v>
      </c>
      <c r="J1646" s="24">
        <v>27913.1</v>
      </c>
      <c r="K1646" s="3">
        <v>46104</v>
      </c>
      <c r="L1646" s="91">
        <v>46139</v>
      </c>
      <c r="M1646" s="11">
        <v>46140</v>
      </c>
      <c r="N1646" s="18" t="s">
        <v>588</v>
      </c>
      <c r="O1646" s="34"/>
      <c r="P1646"/>
      <c r="Q1646" t="str">
        <f>IFERROR(VLOOKUP(Tabela1[[#This Row],[CC]],CC!$A$1:$H$389,5,0),"")</f>
        <v>CSA</v>
      </c>
      <c r="R1646" t="str">
        <f>IFERROR(VLOOKUP(Tabela1[[#This Row],[CC]],CC!$A$1:$H$389,6,0),"")</f>
        <v>FS</v>
      </c>
      <c r="S1646" t="str">
        <f>IFERROR(VLOOKUP(Tabela1[[#This Row],[CC]],CC!$A$1:$H$403,8,0),"")</f>
        <v>OP1</v>
      </c>
      <c r="W1646" s="91"/>
    </row>
    <row r="1647" spans="1:23" x14ac:dyDescent="0.3">
      <c r="A1647" s="25">
        <v>1387</v>
      </c>
      <c r="B1647" s="25" t="str">
        <f>IFERROR(VLOOKUP(Tabela1[[#This Row],[CC]],#REF!,5,0),"")</f>
        <v/>
      </c>
      <c r="C1647" t="str">
        <f>IFERROR(VLOOKUP(Tabela1[[#This Row],[CC]],CC!$A$1:$H$389,7,0),"")</f>
        <v>RITA ANDRADE</v>
      </c>
      <c r="D1647" t="str">
        <f>IFERROR(VLOOKUP(Tabela1[[#This Row],[CC]],CC!$A$1:$I$3869,3,0),"")</f>
        <v>SERASA</v>
      </c>
      <c r="E1647" t="str">
        <f>IFERROR(VLOOKUP(Tabela1[[#This Row],[CC]],CC!$A$1:$H$389,2,0),"")</f>
        <v>SERASA DC (1387)</v>
      </c>
      <c r="F1647" t="s">
        <v>586</v>
      </c>
      <c r="G1647" s="107">
        <v>4999</v>
      </c>
      <c r="H1647" s="12">
        <v>46082</v>
      </c>
      <c r="I1647" s="27">
        <v>86615.6</v>
      </c>
      <c r="J1647" s="24">
        <v>81288.740000000005</v>
      </c>
      <c r="K1647" s="3">
        <v>46104</v>
      </c>
      <c r="L1647" s="91">
        <v>46139</v>
      </c>
      <c r="M1647" s="11">
        <v>46140</v>
      </c>
      <c r="N1647" s="18" t="s">
        <v>588</v>
      </c>
      <c r="O1647" s="34"/>
      <c r="P1647"/>
      <c r="Q1647" t="str">
        <f>IFERROR(VLOOKUP(Tabela1[[#This Row],[CC]],CC!$A$1:$H$389,5,0),"")</f>
        <v>CSA</v>
      </c>
      <c r="R1647" t="str">
        <f>IFERROR(VLOOKUP(Tabela1[[#This Row],[CC]],CC!$A$1:$H$389,6,0),"")</f>
        <v>FS</v>
      </c>
      <c r="S1647" t="str">
        <f>IFERROR(VLOOKUP(Tabela1[[#This Row],[CC]],CC!$A$1:$H$403,8,0),"")</f>
        <v>OP1</v>
      </c>
      <c r="W1647" s="91"/>
    </row>
    <row r="1648" spans="1:23" x14ac:dyDescent="0.3">
      <c r="A1648" s="25">
        <v>1360</v>
      </c>
      <c r="B1648" s="25" t="str">
        <f>IFERROR(VLOOKUP(Tabela1[[#This Row],[CC]],#REF!,5,0),"")</f>
        <v/>
      </c>
      <c r="C1648" t="str">
        <f>IFERROR(VLOOKUP(Tabela1[[#This Row],[CC]],CC!$A$1:$H$389,7,0),"")</f>
        <v>RITA ANDRADE</v>
      </c>
      <c r="D1648" t="str">
        <f>IFERROR(VLOOKUP(Tabela1[[#This Row],[CC]],CC!$A$1:$I$3869,3,0),"")</f>
        <v>SERASA</v>
      </c>
      <c r="E1648" t="str">
        <f>IFERROR(VLOOKUP(Tabela1[[#This Row],[CC]],CC!$A$1:$H$389,2,0),"")</f>
        <v>SERASA EXPERIAN (1360)</v>
      </c>
      <c r="F1648" t="s">
        <v>586</v>
      </c>
      <c r="G1648" s="107">
        <v>5095</v>
      </c>
      <c r="H1648" s="12">
        <v>46113</v>
      </c>
      <c r="I1648" s="24">
        <v>42777</v>
      </c>
      <c r="J1648" s="27">
        <v>40146.214203676936</v>
      </c>
      <c r="K1648" s="3">
        <v>46134</v>
      </c>
      <c r="L1648" s="91">
        <v>46167</v>
      </c>
      <c r="M1648" s="11">
        <v>46169</v>
      </c>
      <c r="N1648" s="18" t="s">
        <v>588</v>
      </c>
      <c r="O1648" s="34"/>
      <c r="P1648"/>
      <c r="Q1648" t="str">
        <f>IFERROR(VLOOKUP(Tabela1[[#This Row],[CC]],CC!$A$1:$H$389,5,0),"")</f>
        <v>ADS</v>
      </c>
      <c r="R1648" t="str">
        <f>IFERROR(VLOOKUP(Tabela1[[#This Row],[CC]],CC!$A$1:$H$389,6,0),"")</f>
        <v>FS</v>
      </c>
      <c r="S1648" t="str">
        <f>IFERROR(VLOOKUP(Tabela1[[#This Row],[CC]],CC!$A$1:$H$403,8,0),"")</f>
        <v>OP1</v>
      </c>
      <c r="W1648" s="91"/>
    </row>
    <row r="1649" spans="1:23" x14ac:dyDescent="0.3">
      <c r="A1649" s="25">
        <v>1360</v>
      </c>
      <c r="B1649" s="25" t="str">
        <f>IFERROR(VLOOKUP(Tabela1[[#This Row],[CC]],#REF!,5,0),"")</f>
        <v/>
      </c>
      <c r="C1649" t="str">
        <f>IFERROR(VLOOKUP(Tabela1[[#This Row],[CC]],CC!$A$1:$H$389,7,0),"")</f>
        <v>RITA ANDRADE</v>
      </c>
      <c r="D1649" t="str">
        <f>IFERROR(VLOOKUP(Tabela1[[#This Row],[CC]],CC!$A$1:$I$3869,3,0),"")</f>
        <v>SERASA</v>
      </c>
      <c r="E1649" t="str">
        <f>IFERROR(VLOOKUP(Tabela1[[#This Row],[CC]],CC!$A$1:$H$389,2,0),"")</f>
        <v>SERASA EXPERIAN (1360)</v>
      </c>
      <c r="F1649" t="s">
        <v>586</v>
      </c>
      <c r="G1649" s="107">
        <v>5094</v>
      </c>
      <c r="H1649" s="12">
        <v>46113</v>
      </c>
      <c r="I1649" s="24">
        <v>151504.35</v>
      </c>
      <c r="J1649" s="27">
        <v>142186.83142550534</v>
      </c>
      <c r="K1649" s="3">
        <v>46134</v>
      </c>
      <c r="L1649" s="91">
        <v>46167</v>
      </c>
      <c r="M1649" s="11">
        <v>46169</v>
      </c>
      <c r="N1649" s="18" t="s">
        <v>588</v>
      </c>
      <c r="O1649" s="34"/>
      <c r="P1649"/>
      <c r="Q1649" t="str">
        <f>IFERROR(VLOOKUP(Tabela1[[#This Row],[CC]],CC!$A$1:$H$389,5,0),"")</f>
        <v>ADS</v>
      </c>
      <c r="R1649" t="str">
        <f>IFERROR(VLOOKUP(Tabela1[[#This Row],[CC]],CC!$A$1:$H$389,6,0),"")</f>
        <v>FS</v>
      </c>
      <c r="S1649" t="str">
        <f>IFERROR(VLOOKUP(Tabela1[[#This Row],[CC]],CC!$A$1:$H$403,8,0),"")</f>
        <v>OP1</v>
      </c>
      <c r="W1649" s="91"/>
    </row>
    <row r="1650" spans="1:23" x14ac:dyDescent="0.3">
      <c r="A1650" s="25">
        <v>1387</v>
      </c>
      <c r="B1650" s="25" t="str">
        <f>IFERROR(VLOOKUP(Tabela1[[#This Row],[CC]],#REF!,5,0),"")</f>
        <v/>
      </c>
      <c r="C1650" t="str">
        <f>IFERROR(VLOOKUP(Tabela1[[#This Row],[CC]],CC!$A$1:$H$389,7,0),"")</f>
        <v>RITA ANDRADE</v>
      </c>
      <c r="D1650" t="str">
        <f>IFERROR(VLOOKUP(Tabela1[[#This Row],[CC]],CC!$A$1:$I$3869,3,0),"")</f>
        <v>SERASA</v>
      </c>
      <c r="E1650" t="str">
        <f>IFERROR(VLOOKUP(Tabela1[[#This Row],[CC]],CC!$A$1:$H$389,2,0),"")</f>
        <v>SERASA DC (1387)</v>
      </c>
      <c r="F1650" t="s">
        <v>586</v>
      </c>
      <c r="G1650" s="107">
        <v>5096</v>
      </c>
      <c r="H1650" s="12">
        <v>46113</v>
      </c>
      <c r="I1650" s="24">
        <v>30144.49</v>
      </c>
      <c r="J1650" s="27">
        <v>28290.603656184339</v>
      </c>
      <c r="K1650" s="3">
        <v>46134</v>
      </c>
      <c r="L1650" s="91">
        <v>46167</v>
      </c>
      <c r="M1650" s="11">
        <v>46169</v>
      </c>
      <c r="N1650" s="18" t="s">
        <v>588</v>
      </c>
      <c r="O1650" s="34"/>
      <c r="P1650"/>
      <c r="Q1650" t="str">
        <f>IFERROR(VLOOKUP(Tabela1[[#This Row],[CC]],CC!$A$1:$H$389,5,0),"")</f>
        <v>CSA</v>
      </c>
      <c r="R1650" t="str">
        <f>IFERROR(VLOOKUP(Tabela1[[#This Row],[CC]],CC!$A$1:$H$389,6,0),"")</f>
        <v>FS</v>
      </c>
      <c r="S1650" t="str">
        <f>IFERROR(VLOOKUP(Tabela1[[#This Row],[CC]],CC!$A$1:$H$403,8,0),"")</f>
        <v>OP1</v>
      </c>
      <c r="W1650" s="91"/>
    </row>
    <row r="1651" spans="1:23" x14ac:dyDescent="0.3">
      <c r="A1651" s="25">
        <v>1387</v>
      </c>
      <c r="B1651" s="25" t="str">
        <f>IFERROR(VLOOKUP(Tabela1[[#This Row],[CC]],#REF!,5,0),"")</f>
        <v/>
      </c>
      <c r="C1651" t="str">
        <f>IFERROR(VLOOKUP(Tabela1[[#This Row],[CC]],CC!$A$1:$H$389,7,0),"")</f>
        <v>RITA ANDRADE</v>
      </c>
      <c r="D1651" t="str">
        <f>IFERROR(VLOOKUP(Tabela1[[#This Row],[CC]],CC!$A$1:$I$3869,3,0),"")</f>
        <v>SERASA</v>
      </c>
      <c r="E1651" t="str">
        <f>IFERROR(VLOOKUP(Tabela1[[#This Row],[CC]],CC!$A$1:$H$389,2,0),"")</f>
        <v>SERASA DC (1387)</v>
      </c>
      <c r="F1651" t="s">
        <v>586</v>
      </c>
      <c r="G1651" s="107">
        <v>5099</v>
      </c>
      <c r="H1651" s="12">
        <v>46113</v>
      </c>
      <c r="I1651" s="24">
        <v>18557.439999999999</v>
      </c>
      <c r="J1651" s="27">
        <v>17416.157311449671</v>
      </c>
      <c r="K1651" s="3">
        <v>46134</v>
      </c>
      <c r="L1651" s="91">
        <v>46167</v>
      </c>
      <c r="M1651" s="11">
        <v>46169</v>
      </c>
      <c r="N1651" s="18" t="s">
        <v>588</v>
      </c>
      <c r="O1651" s="34"/>
      <c r="P1651"/>
      <c r="Q1651" t="str">
        <f>IFERROR(VLOOKUP(Tabela1[[#This Row],[CC]],CC!$A$1:$H$389,5,0),"")</f>
        <v>CSA</v>
      </c>
      <c r="R1651" t="str">
        <f>IFERROR(VLOOKUP(Tabela1[[#This Row],[CC]],CC!$A$1:$H$389,6,0),"")</f>
        <v>FS</v>
      </c>
      <c r="S1651" t="str">
        <f>IFERROR(VLOOKUP(Tabela1[[#This Row],[CC]],CC!$A$1:$H$403,8,0),"")</f>
        <v>OP1</v>
      </c>
      <c r="W1651" s="91"/>
    </row>
    <row r="1652" spans="1:23" x14ac:dyDescent="0.3">
      <c r="A1652" s="25">
        <v>1387</v>
      </c>
      <c r="B1652" s="25" t="str">
        <f>IFERROR(VLOOKUP(Tabela1[[#This Row],[CC]],#REF!,5,0),"")</f>
        <v/>
      </c>
      <c r="C1652" t="str">
        <f>IFERROR(VLOOKUP(Tabela1[[#This Row],[CC]],CC!$A$1:$H$389,7,0),"")</f>
        <v>RITA ANDRADE</v>
      </c>
      <c r="D1652" t="str">
        <f>IFERROR(VLOOKUP(Tabela1[[#This Row],[CC]],CC!$A$1:$I$3869,3,0),"")</f>
        <v>SERASA</v>
      </c>
      <c r="E1652" t="str">
        <f>IFERROR(VLOOKUP(Tabela1[[#This Row],[CC]],CC!$A$1:$H$389,2,0),"")</f>
        <v>SERASA DC (1387)</v>
      </c>
      <c r="F1652" t="s">
        <v>586</v>
      </c>
      <c r="G1652" s="107">
        <v>5103</v>
      </c>
      <c r="H1652" s="12">
        <v>46113</v>
      </c>
      <c r="I1652" s="24">
        <v>14976</v>
      </c>
      <c r="J1652" s="27">
        <v>14054.975896258875</v>
      </c>
      <c r="K1652" s="3">
        <v>46139</v>
      </c>
      <c r="L1652" s="91">
        <v>46167</v>
      </c>
      <c r="M1652" s="11">
        <v>46169</v>
      </c>
      <c r="N1652" s="18" t="s">
        <v>588</v>
      </c>
      <c r="O1652" s="34"/>
      <c r="P1652"/>
      <c r="Q1652" t="str">
        <f>IFERROR(VLOOKUP(Tabela1[[#This Row],[CC]],CC!$A$1:$H$389,5,0),"")</f>
        <v>CSA</v>
      </c>
      <c r="R1652" t="str">
        <f>IFERROR(VLOOKUP(Tabela1[[#This Row],[CC]],CC!$A$1:$H$389,6,0),"")</f>
        <v>FS</v>
      </c>
      <c r="S1652" t="str">
        <f>IFERROR(VLOOKUP(Tabela1[[#This Row],[CC]],CC!$A$1:$H$403,8,0),"")</f>
        <v>OP1</v>
      </c>
      <c r="W1652" s="91"/>
    </row>
    <row r="1653" spans="1:23" x14ac:dyDescent="0.3">
      <c r="A1653" s="25">
        <v>1387</v>
      </c>
      <c r="B1653" s="25" t="str">
        <f>IFERROR(VLOOKUP(Tabela1[[#This Row],[CC]],#REF!,5,0),"")</f>
        <v/>
      </c>
      <c r="C1653" t="str">
        <f>IFERROR(VLOOKUP(Tabela1[[#This Row],[CC]],CC!$A$1:$H$389,7,0),"")</f>
        <v>RITA ANDRADE</v>
      </c>
      <c r="D1653" t="str">
        <f>IFERROR(VLOOKUP(Tabela1[[#This Row],[CC]],CC!$A$1:$I$3869,3,0),"")</f>
        <v>SERASA</v>
      </c>
      <c r="E1653" t="str">
        <f>IFERROR(VLOOKUP(Tabela1[[#This Row],[CC]],CC!$A$1:$H$389,2,0),"")</f>
        <v>SERASA DC (1387)</v>
      </c>
      <c r="F1653" t="s">
        <v>586</v>
      </c>
      <c r="G1653" s="107">
        <v>5110</v>
      </c>
      <c r="H1653" s="12">
        <v>46113</v>
      </c>
      <c r="I1653" s="24">
        <v>42427.199999999997</v>
      </c>
      <c r="J1653" s="27">
        <v>39817.93</v>
      </c>
      <c r="K1653" s="3">
        <v>46141</v>
      </c>
      <c r="L1653" s="91">
        <v>46167</v>
      </c>
      <c r="M1653" s="11">
        <v>46171</v>
      </c>
      <c r="N1653" s="18" t="s">
        <v>588</v>
      </c>
      <c r="O1653" s="34"/>
      <c r="P1653"/>
      <c r="Q1653" t="str">
        <f>IFERROR(VLOOKUP(Tabela1[[#This Row],[CC]],CC!$A$1:$H$389,5,0),"")</f>
        <v>CSA</v>
      </c>
      <c r="R1653" t="str">
        <f>IFERROR(VLOOKUP(Tabela1[[#This Row],[CC]],CC!$A$1:$H$389,6,0),"")</f>
        <v>FS</v>
      </c>
      <c r="S1653" t="str">
        <f>IFERROR(VLOOKUP(Tabela1[[#This Row],[CC]],CC!$A$1:$H$403,8,0),"")</f>
        <v>OP1</v>
      </c>
      <c r="W1653" s="91"/>
    </row>
    <row r="1654" spans="1:23" x14ac:dyDescent="0.3">
      <c r="A1654" s="25">
        <v>1387</v>
      </c>
      <c r="B1654" s="25" t="str">
        <f>IFERROR(VLOOKUP(Tabela1[[#This Row],[CC]],#REF!,5,0),"")</f>
        <v/>
      </c>
      <c r="C1654" t="str">
        <f>IFERROR(VLOOKUP(Tabela1[[#This Row],[CC]],CC!$A$1:$H$389,7,0),"")</f>
        <v>RITA ANDRADE</v>
      </c>
      <c r="D1654" t="str">
        <f>IFERROR(VLOOKUP(Tabela1[[#This Row],[CC]],CC!$A$1:$I$3869,3,0),"")</f>
        <v>SERASA</v>
      </c>
      <c r="E1654" t="str">
        <f>IFERROR(VLOOKUP(Tabela1[[#This Row],[CC]],CC!$A$1:$H$389,2,0),"")</f>
        <v>SERASA DC (1387)</v>
      </c>
      <c r="F1654" t="s">
        <v>586</v>
      </c>
      <c r="G1654" s="107">
        <v>5130</v>
      </c>
      <c r="H1654" s="12">
        <v>46113</v>
      </c>
      <c r="I1654" s="27">
        <v>74583.64</v>
      </c>
      <c r="J1654" s="27">
        <v>69996.75</v>
      </c>
      <c r="K1654" s="3">
        <v>46153</v>
      </c>
      <c r="L1654" s="91">
        <v>46195</v>
      </c>
      <c r="M1654" s="11"/>
      <c r="N1654" s="18" t="s">
        <v>587</v>
      </c>
      <c r="O1654" s="34"/>
      <c r="P1654"/>
      <c r="Q1654" t="str">
        <f>IFERROR(VLOOKUP(Tabela1[[#This Row],[CC]],CC!$A$1:$H$389,5,0),"")</f>
        <v>CSA</v>
      </c>
      <c r="R1654" t="str">
        <f>IFERROR(VLOOKUP(Tabela1[[#This Row],[CC]],CC!$A$1:$H$389,6,0),"")</f>
        <v>FS</v>
      </c>
      <c r="S1654" t="str">
        <f>IFERROR(VLOOKUP(Tabela1[[#This Row],[CC]],CC!$A$1:$H$403,8,0),"")</f>
        <v>OP1</v>
      </c>
      <c r="W1654" s="91"/>
    </row>
    <row r="1655" spans="1:23" x14ac:dyDescent="0.3">
      <c r="A1655" s="25">
        <v>1387</v>
      </c>
      <c r="B1655" s="25" t="str">
        <f>IFERROR(VLOOKUP(Tabela1[[#This Row],[CC]],#REF!,5,0),"")</f>
        <v/>
      </c>
      <c r="C1655" t="str">
        <f>IFERROR(VLOOKUP(Tabela1[[#This Row],[CC]],CC!$A$1:$H$389,7,0),"")</f>
        <v>RITA ANDRADE</v>
      </c>
      <c r="D1655" t="str">
        <f>IFERROR(VLOOKUP(Tabela1[[#This Row],[CC]],CC!$A$1:$I$3869,3,0),"")</f>
        <v>SERASA</v>
      </c>
      <c r="E1655" t="str">
        <f>IFERROR(VLOOKUP(Tabela1[[#This Row],[CC]],CC!$A$1:$H$389,2,0),"")</f>
        <v>SERASA DC (1387)</v>
      </c>
      <c r="F1655" t="s">
        <v>586</v>
      </c>
      <c r="G1655" s="107">
        <v>5171</v>
      </c>
      <c r="H1655" s="12">
        <v>46143</v>
      </c>
      <c r="I1655" s="27">
        <v>30145.279999999999</v>
      </c>
      <c r="J1655" s="27">
        <v>28291.35</v>
      </c>
      <c r="K1655" s="3">
        <v>46162</v>
      </c>
      <c r="L1655" s="91">
        <v>46195</v>
      </c>
      <c r="M1655" s="11"/>
      <c r="N1655" s="18" t="s">
        <v>587</v>
      </c>
      <c r="O1655" s="34"/>
      <c r="P1655"/>
      <c r="Q1655" t="str">
        <f>IFERROR(VLOOKUP(Tabela1[[#This Row],[CC]],CC!$A$1:$H$389,5,0),"")</f>
        <v>CSA</v>
      </c>
      <c r="R1655" t="str">
        <f>IFERROR(VLOOKUP(Tabela1[[#This Row],[CC]],CC!$A$1:$H$389,6,0),"")</f>
        <v>FS</v>
      </c>
      <c r="S1655" t="str">
        <f>IFERROR(VLOOKUP(Tabela1[[#This Row],[CC]],CC!$A$1:$H$403,8,0),"")</f>
        <v>OP1</v>
      </c>
      <c r="W1655" s="91"/>
    </row>
    <row r="1656" spans="1:23" x14ac:dyDescent="0.3">
      <c r="A1656" s="25">
        <v>1387</v>
      </c>
      <c r="B1656" s="25" t="str">
        <f>IFERROR(VLOOKUP(Tabela1[[#This Row],[CC]],#REF!,5,0),"")</f>
        <v/>
      </c>
      <c r="C1656" t="str">
        <f>IFERROR(VLOOKUP(Tabela1[[#This Row],[CC]],CC!$A$1:$H$389,7,0),"")</f>
        <v>RITA ANDRADE</v>
      </c>
      <c r="D1656" t="str">
        <f>IFERROR(VLOOKUP(Tabela1[[#This Row],[CC]],CC!$A$1:$I$3869,3,0),"")</f>
        <v>SERASA</v>
      </c>
      <c r="E1656" t="str">
        <f>IFERROR(VLOOKUP(Tabela1[[#This Row],[CC]],CC!$A$1:$H$389,2,0),"")</f>
        <v>SERASA DC (1387)</v>
      </c>
      <c r="F1656" t="s">
        <v>586</v>
      </c>
      <c r="G1656" s="107">
        <v>5170</v>
      </c>
      <c r="H1656" s="12">
        <v>46143</v>
      </c>
      <c r="I1656" s="27">
        <v>31449.599999999999</v>
      </c>
      <c r="J1656" s="27">
        <v>29515.45</v>
      </c>
      <c r="K1656" s="3">
        <v>46162</v>
      </c>
      <c r="L1656" s="91">
        <v>46195</v>
      </c>
      <c r="M1656" s="11"/>
      <c r="N1656" s="18" t="s">
        <v>587</v>
      </c>
      <c r="O1656" s="34"/>
      <c r="P1656"/>
      <c r="Q1656" t="str">
        <f>IFERROR(VLOOKUP(Tabela1[[#This Row],[CC]],CC!$A$1:$H$389,5,0),"")</f>
        <v>CSA</v>
      </c>
      <c r="R1656" t="str">
        <f>IFERROR(VLOOKUP(Tabela1[[#This Row],[CC]],CC!$A$1:$H$389,6,0),"")</f>
        <v>FS</v>
      </c>
      <c r="S1656" t="str">
        <f>IFERROR(VLOOKUP(Tabela1[[#This Row],[CC]],CC!$A$1:$H$403,8,0),"")</f>
        <v>OP1</v>
      </c>
      <c r="W1656" s="91"/>
    </row>
    <row r="1657" spans="1:23" x14ac:dyDescent="0.3">
      <c r="A1657" s="25">
        <v>1387</v>
      </c>
      <c r="B1657" s="25" t="str">
        <f>IFERROR(VLOOKUP(Tabela1[[#This Row],[CC]],#REF!,5,0),"")</f>
        <v/>
      </c>
      <c r="C1657" t="str">
        <f>IFERROR(VLOOKUP(Tabela1[[#This Row],[CC]],CC!$A$1:$H$389,7,0),"")</f>
        <v>RITA ANDRADE</v>
      </c>
      <c r="D1657" t="str">
        <f>IFERROR(VLOOKUP(Tabela1[[#This Row],[CC]],CC!$A$1:$I$3869,3,0),"")</f>
        <v>SERASA</v>
      </c>
      <c r="E1657" t="str">
        <f>IFERROR(VLOOKUP(Tabela1[[#This Row],[CC]],CC!$A$1:$H$389,2,0),"")</f>
        <v>SERASA DC (1387)</v>
      </c>
      <c r="F1657" t="s">
        <v>586</v>
      </c>
      <c r="G1657" s="107">
        <v>5177</v>
      </c>
      <c r="H1657" s="12">
        <v>46143</v>
      </c>
      <c r="I1657" s="27">
        <v>74857.600000000006</v>
      </c>
      <c r="J1657" s="27">
        <v>70253.86</v>
      </c>
      <c r="K1657" s="3">
        <v>46163</v>
      </c>
      <c r="L1657" s="91">
        <v>46195</v>
      </c>
      <c r="M1657" s="11"/>
      <c r="N1657" s="18" t="s">
        <v>587</v>
      </c>
      <c r="O1657" s="34"/>
      <c r="P1657"/>
      <c r="Q1657" t="str">
        <f>IFERROR(VLOOKUP(Tabela1[[#This Row],[CC]],CC!$A$1:$H$389,5,0),"")</f>
        <v>CSA</v>
      </c>
      <c r="R1657" t="str">
        <f>IFERROR(VLOOKUP(Tabela1[[#This Row],[CC]],CC!$A$1:$H$389,6,0),"")</f>
        <v>FS</v>
      </c>
      <c r="S1657" t="str">
        <f>IFERROR(VLOOKUP(Tabela1[[#This Row],[CC]],CC!$A$1:$H$403,8,0),"")</f>
        <v>OP1</v>
      </c>
      <c r="W1657" s="91"/>
    </row>
    <row r="1658" spans="1:23" x14ac:dyDescent="0.3">
      <c r="A1658" s="25">
        <v>1387</v>
      </c>
      <c r="B1658" s="25" t="str">
        <f>IFERROR(VLOOKUP(Tabela1[[#This Row],[CC]],#REF!,5,0),"")</f>
        <v/>
      </c>
      <c r="C1658" t="str">
        <f>IFERROR(VLOOKUP(Tabela1[[#This Row],[CC]],CC!$A$1:$H$389,7,0),"")</f>
        <v>RITA ANDRADE</v>
      </c>
      <c r="D1658" t="str">
        <f>IFERROR(VLOOKUP(Tabela1[[#This Row],[CC]],CC!$A$1:$I$3869,3,0),"")</f>
        <v>SERASA</v>
      </c>
      <c r="E1658" t="str">
        <f>IFERROR(VLOOKUP(Tabela1[[#This Row],[CC]],CC!$A$1:$H$389,2,0),"")</f>
        <v>SERASA DC (1387)</v>
      </c>
      <c r="F1658" t="s">
        <v>586</v>
      </c>
      <c r="G1658" s="107">
        <v>5173</v>
      </c>
      <c r="H1658" s="12">
        <v>46143</v>
      </c>
      <c r="I1658" s="27">
        <v>33740.800000000003</v>
      </c>
      <c r="J1658" s="27">
        <v>31665.74</v>
      </c>
      <c r="K1658" s="3">
        <v>46163</v>
      </c>
      <c r="L1658" s="91">
        <v>46195</v>
      </c>
      <c r="M1658" s="11"/>
      <c r="N1658" s="18" t="s">
        <v>587</v>
      </c>
      <c r="O1658" s="34"/>
      <c r="P1658"/>
      <c r="Q1658" t="str">
        <f>IFERROR(VLOOKUP(Tabela1[[#This Row],[CC]],CC!$A$1:$H$389,5,0),"")</f>
        <v>CSA</v>
      </c>
      <c r="R1658" t="str">
        <f>IFERROR(VLOOKUP(Tabela1[[#This Row],[CC]],CC!$A$1:$H$389,6,0),"")</f>
        <v>FS</v>
      </c>
      <c r="S1658" t="str">
        <f>IFERROR(VLOOKUP(Tabela1[[#This Row],[CC]],CC!$A$1:$H$403,8,0),"")</f>
        <v>OP1</v>
      </c>
      <c r="W1658" s="91"/>
    </row>
    <row r="1659" spans="1:23" x14ac:dyDescent="0.3">
      <c r="A1659" s="25">
        <v>1387</v>
      </c>
      <c r="B1659" s="25" t="str">
        <f>IFERROR(VLOOKUP(Tabela1[[#This Row],[CC]],#REF!,5,0),"")</f>
        <v/>
      </c>
      <c r="C1659" t="str">
        <f>IFERROR(VLOOKUP(Tabela1[[#This Row],[CC]],CC!$A$1:$H$389,7,0),"")</f>
        <v>RITA ANDRADE</v>
      </c>
      <c r="D1659" t="str">
        <f>IFERROR(VLOOKUP(Tabela1[[#This Row],[CC]],CC!$A$1:$I$3869,3,0),"")</f>
        <v>SERASA</v>
      </c>
      <c r="E1659" t="str">
        <f>IFERROR(VLOOKUP(Tabela1[[#This Row],[CC]],CC!$A$1:$H$389,2,0),"")</f>
        <v>SERASA DC (1387)</v>
      </c>
      <c r="F1659" t="s">
        <v>586</v>
      </c>
      <c r="G1659" s="107">
        <v>5185</v>
      </c>
      <c r="H1659" s="12">
        <v>46143</v>
      </c>
      <c r="I1659" s="27">
        <v>30240</v>
      </c>
      <c r="J1659" s="27">
        <v>28380.240000000002</v>
      </c>
      <c r="K1659" s="3">
        <v>46171</v>
      </c>
      <c r="L1659" s="91">
        <v>46202</v>
      </c>
      <c r="M1659" s="11"/>
      <c r="N1659" s="18" t="s">
        <v>587</v>
      </c>
      <c r="O1659" s="34"/>
      <c r="P1659"/>
      <c r="Q1659" t="str">
        <f>IFERROR(VLOOKUP(Tabela1[[#This Row],[CC]],CC!$A$1:$H$389,5,0),"")</f>
        <v>CSA</v>
      </c>
      <c r="R1659" t="str">
        <f>IFERROR(VLOOKUP(Tabela1[[#This Row],[CC]],CC!$A$1:$H$389,6,0),"")</f>
        <v>FS</v>
      </c>
      <c r="S1659" t="str">
        <f>IFERROR(VLOOKUP(Tabela1[[#This Row],[CC]],CC!$A$1:$H$403,8,0),"")</f>
        <v>OP1</v>
      </c>
      <c r="W1659" s="91"/>
    </row>
    <row r="1660" spans="1:23" x14ac:dyDescent="0.3">
      <c r="A1660" s="25">
        <v>1387</v>
      </c>
      <c r="B1660" s="25" t="str">
        <f>IFERROR(VLOOKUP(Tabela1[[#This Row],[CC]],#REF!,5,0),"")</f>
        <v/>
      </c>
      <c r="C1660" t="str">
        <f>IFERROR(VLOOKUP(Tabela1[[#This Row],[CC]],CC!$A$1:$H$389,7,0),"")</f>
        <v>RITA ANDRADE</v>
      </c>
      <c r="D1660" t="str">
        <f>IFERROR(VLOOKUP(Tabela1[[#This Row],[CC]],CC!$A$1:$I$3869,3,0),"")</f>
        <v>SERASA</v>
      </c>
      <c r="E1660" t="str">
        <f>IFERROR(VLOOKUP(Tabela1[[#This Row],[CC]],CC!$A$1:$H$389,2,0),"")</f>
        <v>SERASA DC (1387)</v>
      </c>
      <c r="F1660" t="s">
        <v>586</v>
      </c>
      <c r="G1660" s="107">
        <v>5187</v>
      </c>
      <c r="H1660" s="12">
        <v>46113</v>
      </c>
      <c r="I1660" s="27">
        <v>28728</v>
      </c>
      <c r="J1660" s="27">
        <v>26961.23</v>
      </c>
      <c r="K1660" s="3">
        <v>46171</v>
      </c>
      <c r="L1660" s="91">
        <v>46202</v>
      </c>
      <c r="M1660" s="11"/>
      <c r="N1660" s="18" t="s">
        <v>587</v>
      </c>
      <c r="O1660" s="34"/>
      <c r="P1660"/>
      <c r="Q1660" t="str">
        <f>IFERROR(VLOOKUP(Tabela1[[#This Row],[CC]],CC!$A$1:$H$389,5,0),"")</f>
        <v>CSA</v>
      </c>
      <c r="R1660" t="str">
        <f>IFERROR(VLOOKUP(Tabela1[[#This Row],[CC]],CC!$A$1:$H$389,6,0),"")</f>
        <v>FS</v>
      </c>
      <c r="S1660" t="str">
        <f>IFERROR(VLOOKUP(Tabela1[[#This Row],[CC]],CC!$A$1:$H$403,8,0),"")</f>
        <v>OP1</v>
      </c>
      <c r="W1660" s="91"/>
    </row>
    <row r="1661" spans="1:23" x14ac:dyDescent="0.3">
      <c r="A1661" s="25">
        <v>1388</v>
      </c>
      <c r="B1661" s="25" t="str">
        <f>IFERROR(VLOOKUP(Tabela1[[#This Row],[CC]],#REF!,5,0),"")</f>
        <v/>
      </c>
      <c r="C1661" t="str">
        <f>IFERROR(VLOOKUP(Tabela1[[#This Row],[CC]],CC!$A$1:$H$389,7,0),"")</f>
        <v>CYRO SALVATORE</v>
      </c>
      <c r="D1661" t="str">
        <f>IFERROR(VLOOKUP(Tabela1[[#This Row],[CC]],CC!$A$1:$I$3869,3,0),"")</f>
        <v>SABESP</v>
      </c>
      <c r="E1661" t="str">
        <f>IFERROR(VLOOKUP(Tabela1[[#This Row],[CC]],CC!$A$1:$H$389,2,0),"")</f>
        <v>SABESP - NETCONTROL (1388)</v>
      </c>
      <c r="F1661" t="s">
        <v>586</v>
      </c>
      <c r="G1661" s="107">
        <v>5205</v>
      </c>
      <c r="H1661" s="12">
        <v>46110</v>
      </c>
      <c r="I1661" s="24">
        <v>217767.72</v>
      </c>
      <c r="J1661" s="24">
        <v>196753.13</v>
      </c>
      <c r="K1661" s="3">
        <v>46174</v>
      </c>
      <c r="L1661" s="147">
        <v>46195</v>
      </c>
      <c r="M1661" s="11"/>
      <c r="N1661" s="18" t="s">
        <v>587</v>
      </c>
      <c r="O1661" s="34"/>
      <c r="P1661"/>
      <c r="Q1661" t="str">
        <f>IFERROR(VLOOKUP(Tabela1[[#This Row],[CC]],CC!$A$1:$H$389,5,0),"")</f>
        <v>ADS</v>
      </c>
      <c r="R1661" t="str">
        <f>IFERROR(VLOOKUP(Tabela1[[#This Row],[CC]],CC!$A$1:$H$389,6,0),"")</f>
        <v>UT</v>
      </c>
      <c r="S1661" t="str">
        <f>IFERROR(VLOOKUP(Tabela1[[#This Row],[CC]],CC!$A$1:$H$403,8,0),"")</f>
        <v>OP1</v>
      </c>
      <c r="W1661" s="91"/>
    </row>
    <row r="1662" spans="1:23" x14ac:dyDescent="0.3">
      <c r="A1662" s="25">
        <v>1387</v>
      </c>
      <c r="B1662" s="25" t="str">
        <f>IFERROR(VLOOKUP(Tabela1[[#This Row],[CC]],#REF!,5,0),"")</f>
        <v/>
      </c>
      <c r="C1662" t="str">
        <f>IFERROR(VLOOKUP(Tabela1[[#This Row],[CC]],CC!$A$1:$H$389,7,0),"")</f>
        <v>RITA ANDRADE</v>
      </c>
      <c r="D1662" t="str">
        <f>IFERROR(VLOOKUP(Tabela1[[#This Row],[CC]],CC!$A$1:$I$3869,3,0),"")</f>
        <v>SERASA</v>
      </c>
      <c r="E1662" t="str">
        <f>IFERROR(VLOOKUP(Tabela1[[#This Row],[CC]],CC!$A$1:$H$389,2,0),"")</f>
        <v>SERASA DC (1387)</v>
      </c>
      <c r="F1662" t="s">
        <v>586</v>
      </c>
      <c r="G1662" s="107">
        <v>5225</v>
      </c>
      <c r="H1662" s="12">
        <v>46174</v>
      </c>
      <c r="I1662" s="27">
        <v>32198.400000000001</v>
      </c>
      <c r="J1662" s="27">
        <v>30218.19</v>
      </c>
      <c r="K1662" s="3">
        <v>46181</v>
      </c>
      <c r="L1662" s="91">
        <v>46202</v>
      </c>
      <c r="M1662" s="11"/>
      <c r="N1662" s="18" t="s">
        <v>587</v>
      </c>
      <c r="O1662" s="34"/>
      <c r="P1662"/>
      <c r="Q1662" t="str">
        <f>IFERROR(VLOOKUP(Tabela1[[#This Row],[CC]],CC!$A$1:$H$389,5,0),"")</f>
        <v>CSA</v>
      </c>
      <c r="R1662" t="str">
        <f>IFERROR(VLOOKUP(Tabela1[[#This Row],[CC]],CC!$A$1:$H$389,6,0),"")</f>
        <v>FS</v>
      </c>
      <c r="S1662" t="str">
        <f>IFERROR(VLOOKUP(Tabela1[[#This Row],[CC]],CC!$A$1:$H$403,8,0),"")</f>
        <v>OP1</v>
      </c>
      <c r="W1662" s="91"/>
    </row>
    <row r="1663" spans="1:23" x14ac:dyDescent="0.3">
      <c r="A1663" s="25">
        <v>1387</v>
      </c>
      <c r="B1663" s="25" t="str">
        <f>IFERROR(VLOOKUP(Tabela1[[#This Row],[CC]],#REF!,5,0),"")</f>
        <v/>
      </c>
      <c r="C1663" t="str">
        <f>IFERROR(VLOOKUP(Tabela1[[#This Row],[CC]],CC!$A$1:$H$389,7,0),"")</f>
        <v>RITA ANDRADE</v>
      </c>
      <c r="D1663" t="str">
        <f>IFERROR(VLOOKUP(Tabela1[[#This Row],[CC]],CC!$A$1:$I$3869,3,0),"")</f>
        <v>SERASA</v>
      </c>
      <c r="E1663" t="str">
        <f>IFERROR(VLOOKUP(Tabela1[[#This Row],[CC]],CC!$A$1:$H$389,2,0),"")</f>
        <v>SERASA DC (1387)</v>
      </c>
      <c r="F1663" t="s">
        <v>586</v>
      </c>
      <c r="G1663" s="107">
        <v>5224</v>
      </c>
      <c r="H1663" s="12">
        <v>46113</v>
      </c>
      <c r="I1663" s="27">
        <v>16442.88</v>
      </c>
      <c r="J1663" s="27">
        <v>15431.64</v>
      </c>
      <c r="K1663" s="3">
        <v>46181</v>
      </c>
      <c r="L1663" s="91">
        <v>46202</v>
      </c>
      <c r="M1663" s="11"/>
      <c r="N1663" s="18" t="s">
        <v>587</v>
      </c>
      <c r="O1663" s="34"/>
      <c r="P1663"/>
      <c r="Q1663" t="str">
        <f>IFERROR(VLOOKUP(Tabela1[[#This Row],[CC]],CC!$A$1:$H$389,5,0),"")</f>
        <v>CSA</v>
      </c>
      <c r="R1663" t="str">
        <f>IFERROR(VLOOKUP(Tabela1[[#This Row],[CC]],CC!$A$1:$H$389,6,0),"")</f>
        <v>FS</v>
      </c>
      <c r="S1663" t="str">
        <f>IFERROR(VLOOKUP(Tabela1[[#This Row],[CC]],CC!$A$1:$H$403,8,0),"")</f>
        <v>OP1</v>
      </c>
      <c r="W1663" s="91"/>
    </row>
    <row r="1664" spans="1:23" x14ac:dyDescent="0.3">
      <c r="A1664" s="25">
        <v>1387</v>
      </c>
      <c r="B1664" s="25" t="str">
        <f>IFERROR(VLOOKUP(Tabela1[[#This Row],[CC]],#REF!,5,0),"")</f>
        <v/>
      </c>
      <c r="C1664" t="str">
        <f>IFERROR(VLOOKUP(Tabela1[[#This Row],[CC]],CC!$A$1:$H$389,7,0),"")</f>
        <v>RITA ANDRADE</v>
      </c>
      <c r="D1664" t="str">
        <f>IFERROR(VLOOKUP(Tabela1[[#This Row],[CC]],CC!$A$1:$I$3869,3,0),"")</f>
        <v>SERASA</v>
      </c>
      <c r="E1664" t="str">
        <f>IFERROR(VLOOKUP(Tabela1[[#This Row],[CC]],CC!$A$1:$H$389,2,0),"")</f>
        <v>SERASA DC (1387)</v>
      </c>
      <c r="F1664" t="s">
        <v>586</v>
      </c>
      <c r="G1664" s="107">
        <v>5233</v>
      </c>
      <c r="H1664" s="12">
        <v>46174</v>
      </c>
      <c r="I1664" s="27">
        <v>30240</v>
      </c>
      <c r="J1664" s="27">
        <v>28380.240000000002</v>
      </c>
      <c r="K1664" s="3">
        <v>46181</v>
      </c>
      <c r="L1664" s="91">
        <v>46202</v>
      </c>
      <c r="M1664" s="11"/>
      <c r="N1664" s="18" t="s">
        <v>587</v>
      </c>
      <c r="O1664" s="34"/>
      <c r="P1664"/>
      <c r="Q1664" t="str">
        <f>IFERROR(VLOOKUP(Tabela1[[#This Row],[CC]],CC!$A$1:$H$389,5,0),"")</f>
        <v>CSA</v>
      </c>
      <c r="R1664" t="str">
        <f>IFERROR(VLOOKUP(Tabela1[[#This Row],[CC]],CC!$A$1:$H$389,6,0),"")</f>
        <v>FS</v>
      </c>
      <c r="S1664" t="str">
        <f>IFERROR(VLOOKUP(Tabela1[[#This Row],[CC]],CC!$A$1:$H$403,8,0),"")</f>
        <v>OP1</v>
      </c>
      <c r="W1664" s="91"/>
    </row>
    <row r="1665" spans="1:23" x14ac:dyDescent="0.3">
      <c r="A1665" s="25">
        <v>1387</v>
      </c>
      <c r="B1665" s="25" t="str">
        <f>IFERROR(VLOOKUP(Tabela1[[#This Row],[CC]],#REF!,5,0),"")</f>
        <v/>
      </c>
      <c r="C1665" t="str">
        <f>IFERROR(VLOOKUP(Tabela1[[#This Row],[CC]],CC!$A$1:$H$389,7,0),"")</f>
        <v>RITA ANDRADE</v>
      </c>
      <c r="D1665" t="str">
        <f>IFERROR(VLOOKUP(Tabela1[[#This Row],[CC]],CC!$A$1:$I$3869,3,0),"")</f>
        <v>SERASA</v>
      </c>
      <c r="E1665" t="str">
        <f>IFERROR(VLOOKUP(Tabela1[[#This Row],[CC]],CC!$A$1:$H$389,2,0),"")</f>
        <v>SERASA DC (1387)</v>
      </c>
      <c r="F1665" t="s">
        <v>586</v>
      </c>
      <c r="G1665" s="107">
        <v>5256</v>
      </c>
      <c r="H1665" s="12">
        <v>46174</v>
      </c>
      <c r="I1665" s="27">
        <v>46603.199999999997</v>
      </c>
      <c r="J1665" s="27">
        <v>43737.1</v>
      </c>
      <c r="K1665" s="3">
        <v>46183</v>
      </c>
      <c r="L1665" s="91">
        <v>46202</v>
      </c>
      <c r="M1665" s="11"/>
      <c r="N1665" s="18" t="s">
        <v>587</v>
      </c>
      <c r="O1665" s="34"/>
      <c r="P1665"/>
      <c r="Q1665" t="str">
        <f>IFERROR(VLOOKUP(Tabela1[[#This Row],[CC]],CC!$A$1:$H$389,5,0),"")</f>
        <v>CSA</v>
      </c>
      <c r="R1665" t="str">
        <f>IFERROR(VLOOKUP(Tabela1[[#This Row],[CC]],CC!$A$1:$H$389,6,0),"")</f>
        <v>FS</v>
      </c>
      <c r="S1665" t="str">
        <f>IFERROR(VLOOKUP(Tabela1[[#This Row],[CC]],CC!$A$1:$H$403,8,0),"")</f>
        <v>OP1</v>
      </c>
      <c r="W1665" s="91"/>
    </row>
    <row r="1666" spans="1:23" x14ac:dyDescent="0.3">
      <c r="A1666" s="25">
        <v>1387</v>
      </c>
      <c r="B1666" s="25" t="str">
        <f>IFERROR(VLOOKUP(Tabela1[[#This Row],[CC]],#REF!,5,0),"")</f>
        <v/>
      </c>
      <c r="C1666" t="str">
        <f>IFERROR(VLOOKUP(Tabela1[[#This Row],[CC]],CC!$A$1:$H$389,7,0),"")</f>
        <v>RITA ANDRADE</v>
      </c>
      <c r="D1666" t="str">
        <f>IFERROR(VLOOKUP(Tabela1[[#This Row],[CC]],CC!$A$1:$I$3869,3,0),"")</f>
        <v>SERASA</v>
      </c>
      <c r="E1666" t="str">
        <f>IFERROR(VLOOKUP(Tabela1[[#This Row],[CC]],CC!$A$1:$H$389,2,0),"")</f>
        <v>SERASA DC (1387)</v>
      </c>
      <c r="F1666" t="s">
        <v>586</v>
      </c>
      <c r="G1666" s="107"/>
      <c r="H1666" s="12">
        <v>46143</v>
      </c>
      <c r="I1666" s="24">
        <f>575000-471656.6</f>
        <v>103343.40000000002</v>
      </c>
      <c r="J1666" s="24"/>
      <c r="K1666" s="3">
        <v>46174</v>
      </c>
      <c r="L1666" s="91">
        <v>46195</v>
      </c>
      <c r="M1666" s="11"/>
      <c r="N1666" s="18" t="s">
        <v>572</v>
      </c>
      <c r="O1666" s="34"/>
      <c r="P1666"/>
      <c r="Q1666" t="str">
        <f>IFERROR(VLOOKUP(Tabela1[[#This Row],[CC]],CC!$A$1:$H$389,5,0),"")</f>
        <v>CSA</v>
      </c>
      <c r="R1666" t="str">
        <f>IFERROR(VLOOKUP(Tabela1[[#This Row],[CC]],CC!$A$1:$H$389,6,0),"")</f>
        <v>FS</v>
      </c>
      <c r="S1666" t="str">
        <f>IFERROR(VLOOKUP(Tabela1[[#This Row],[CC]],CC!$A$1:$H$403,8,0),"")</f>
        <v>OP1</v>
      </c>
      <c r="W1666" s="91"/>
    </row>
    <row r="1667" spans="1:23" x14ac:dyDescent="0.3">
      <c r="A1667" s="25">
        <v>1360</v>
      </c>
      <c r="B1667" s="25" t="str">
        <f>IFERROR(VLOOKUP(Tabela1[[#This Row],[CC]],#REF!,5,0),"")</f>
        <v/>
      </c>
      <c r="C1667" t="str">
        <f>IFERROR(VLOOKUP(Tabela1[[#This Row],[CC]],CC!$A$1:$H$389,7,0),"")</f>
        <v>RITA ANDRADE</v>
      </c>
      <c r="D1667" t="str">
        <f>IFERROR(VLOOKUP(Tabela1[[#This Row],[CC]],CC!$A$1:$I$3869,3,0),"")</f>
        <v>SERASA</v>
      </c>
      <c r="E1667" t="str">
        <f>IFERROR(VLOOKUP(Tabela1[[#This Row],[CC]],CC!$A$1:$H$389,2,0),"")</f>
        <v>SERASA EXPERIAN (1360)</v>
      </c>
      <c r="F1667" t="s">
        <v>586</v>
      </c>
      <c r="G1667" s="107">
        <v>4952</v>
      </c>
      <c r="H1667" s="12">
        <v>46054</v>
      </c>
      <c r="I1667" s="27">
        <v>157890.23999999999</v>
      </c>
      <c r="J1667" s="24">
        <v>148179.99</v>
      </c>
      <c r="K1667" s="3">
        <v>46094</v>
      </c>
      <c r="L1667" s="91">
        <v>46139</v>
      </c>
      <c r="M1667" s="11">
        <v>46140</v>
      </c>
      <c r="N1667" s="18" t="s">
        <v>588</v>
      </c>
      <c r="O1667" s="34"/>
      <c r="P1667"/>
      <c r="Q1667" t="str">
        <f>IFERROR(VLOOKUP(Tabela1[[#This Row],[CC]],CC!$A$1:$H$389,5,0),"")</f>
        <v>ADS</v>
      </c>
      <c r="R1667" t="str">
        <f>IFERROR(VLOOKUP(Tabela1[[#This Row],[CC]],CC!$A$1:$H$389,6,0),"")</f>
        <v>FS</v>
      </c>
      <c r="S1667" t="str">
        <f>IFERROR(VLOOKUP(Tabela1[[#This Row],[CC]],CC!$A$1:$H$403,8,0),"")</f>
        <v>OP1</v>
      </c>
      <c r="W1667" s="91"/>
    </row>
    <row r="1668" spans="1:23" x14ac:dyDescent="0.3">
      <c r="A1668" s="25">
        <v>1360</v>
      </c>
      <c r="B1668" s="25" t="str">
        <f>IFERROR(VLOOKUP(Tabela1[[#This Row],[CC]],#REF!,5,0),"")</f>
        <v/>
      </c>
      <c r="C1668" t="str">
        <f>IFERROR(VLOOKUP(Tabela1[[#This Row],[CC]],CC!$A$1:$H$389,7,0),"")</f>
        <v>RITA ANDRADE</v>
      </c>
      <c r="D1668" t="str">
        <f>IFERROR(VLOOKUP(Tabela1[[#This Row],[CC]],CC!$A$1:$I$3869,3,0),"")</f>
        <v>SERASA</v>
      </c>
      <c r="E1668" t="str">
        <f>IFERROR(VLOOKUP(Tabela1[[#This Row],[CC]],CC!$A$1:$H$389,2,0),"")</f>
        <v>SERASA EXPERIAN (1360)</v>
      </c>
      <c r="F1668" t="s">
        <v>586</v>
      </c>
      <c r="G1668" s="107">
        <v>4974</v>
      </c>
      <c r="H1668" s="12">
        <v>46082</v>
      </c>
      <c r="I1668" s="27">
        <v>173605.36</v>
      </c>
      <c r="J1668" s="24">
        <v>162928.64000000001</v>
      </c>
      <c r="K1668" s="3">
        <v>46100</v>
      </c>
      <c r="L1668" s="91">
        <v>46139</v>
      </c>
      <c r="M1668" s="11">
        <v>46140</v>
      </c>
      <c r="N1668" s="18" t="s">
        <v>588</v>
      </c>
      <c r="O1668" s="34"/>
      <c r="P1668"/>
      <c r="Q1668" t="str">
        <f>IFERROR(VLOOKUP(Tabela1[[#This Row],[CC]],CC!$A$1:$H$389,5,0),"")</f>
        <v>ADS</v>
      </c>
      <c r="R1668" t="str">
        <f>IFERROR(VLOOKUP(Tabela1[[#This Row],[CC]],CC!$A$1:$H$389,6,0),"")</f>
        <v>FS</v>
      </c>
      <c r="S1668" t="str">
        <f>IFERROR(VLOOKUP(Tabela1[[#This Row],[CC]],CC!$A$1:$H$403,8,0),"")</f>
        <v>OP1</v>
      </c>
      <c r="W1668" s="91"/>
    </row>
    <row r="1669" spans="1:23" x14ac:dyDescent="0.3">
      <c r="A1669" s="25">
        <v>1360</v>
      </c>
      <c r="B1669" s="25" t="str">
        <f>IFERROR(VLOOKUP(Tabela1[[#This Row],[CC]],#REF!,5,0),"")</f>
        <v/>
      </c>
      <c r="C1669" t="str">
        <f>IFERROR(VLOOKUP(Tabela1[[#This Row],[CC]],CC!$A$1:$H$389,7,0),"")</f>
        <v>RITA ANDRADE</v>
      </c>
      <c r="D1669" t="str">
        <f>IFERROR(VLOOKUP(Tabela1[[#This Row],[CC]],CC!$A$1:$I$3869,3,0),"")</f>
        <v>SERASA</v>
      </c>
      <c r="E1669" t="str">
        <f>IFERROR(VLOOKUP(Tabela1[[#This Row],[CC]],CC!$A$1:$H$389,2,0),"")</f>
        <v>SERASA EXPERIAN (1360)</v>
      </c>
      <c r="F1669" t="s">
        <v>586</v>
      </c>
      <c r="G1669" s="107">
        <v>4976</v>
      </c>
      <c r="H1669" s="12">
        <v>46082</v>
      </c>
      <c r="I1669" s="27">
        <v>101999.03999999999</v>
      </c>
      <c r="J1669" s="24">
        <v>95726.1</v>
      </c>
      <c r="K1669" s="3">
        <v>46100</v>
      </c>
      <c r="L1669" s="91">
        <v>46139</v>
      </c>
      <c r="M1669" s="11">
        <v>46140</v>
      </c>
      <c r="N1669" s="18" t="s">
        <v>588</v>
      </c>
      <c r="O1669" s="34"/>
      <c r="P1669"/>
      <c r="Q1669" t="str">
        <f>IFERROR(VLOOKUP(Tabela1[[#This Row],[CC]],CC!$A$1:$H$389,5,0),"")</f>
        <v>ADS</v>
      </c>
      <c r="R1669" t="str">
        <f>IFERROR(VLOOKUP(Tabela1[[#This Row],[CC]],CC!$A$1:$H$389,6,0),"")</f>
        <v>FS</v>
      </c>
      <c r="S1669" t="str">
        <f>IFERROR(VLOOKUP(Tabela1[[#This Row],[CC]],CC!$A$1:$H$403,8,0),"")</f>
        <v>OP1</v>
      </c>
      <c r="W1669" s="91"/>
    </row>
    <row r="1670" spans="1:23" x14ac:dyDescent="0.3">
      <c r="A1670" s="25">
        <v>1360</v>
      </c>
      <c r="B1670" s="25" t="str">
        <f>IFERROR(VLOOKUP(Tabela1[[#This Row],[CC]],#REF!,5,0),"")</f>
        <v/>
      </c>
      <c r="C1670" t="str">
        <f>IFERROR(VLOOKUP(Tabela1[[#This Row],[CC]],CC!$A$1:$H$389,7,0),"")</f>
        <v>RITA ANDRADE</v>
      </c>
      <c r="D1670" t="str">
        <f>IFERROR(VLOOKUP(Tabela1[[#This Row],[CC]],CC!$A$1:$I$3869,3,0),"")</f>
        <v>SERASA</v>
      </c>
      <c r="E1670" t="str">
        <f>IFERROR(VLOOKUP(Tabela1[[#This Row],[CC]],CC!$A$1:$H$389,2,0),"")</f>
        <v>SERASA EXPERIAN (1360)</v>
      </c>
      <c r="F1670" t="s">
        <v>586</v>
      </c>
      <c r="G1670" s="107">
        <v>4977</v>
      </c>
      <c r="H1670" s="12">
        <v>46082</v>
      </c>
      <c r="I1670" s="27">
        <v>55624</v>
      </c>
      <c r="J1670" s="24">
        <v>52203.12</v>
      </c>
      <c r="K1670" s="3">
        <v>46100</v>
      </c>
      <c r="L1670" s="91">
        <v>46139</v>
      </c>
      <c r="M1670" s="11">
        <v>46140</v>
      </c>
      <c r="N1670" s="18" t="s">
        <v>588</v>
      </c>
      <c r="O1670" s="34"/>
      <c r="P1670"/>
      <c r="Q1670" t="str">
        <f>IFERROR(VLOOKUP(Tabela1[[#This Row],[CC]],CC!$A$1:$H$389,5,0),"")</f>
        <v>ADS</v>
      </c>
      <c r="R1670" t="str">
        <f>IFERROR(VLOOKUP(Tabela1[[#This Row],[CC]],CC!$A$1:$H$389,6,0),"")</f>
        <v>FS</v>
      </c>
      <c r="S1670" t="str">
        <f>IFERROR(VLOOKUP(Tabela1[[#This Row],[CC]],CC!$A$1:$H$403,8,0),"")</f>
        <v>OP1</v>
      </c>
      <c r="W1670" s="91"/>
    </row>
    <row r="1671" spans="1:23" x14ac:dyDescent="0.3">
      <c r="A1671" s="25">
        <v>1360</v>
      </c>
      <c r="B1671" s="25" t="str">
        <f>IFERROR(VLOOKUP(Tabela1[[#This Row],[CC]],#REF!,5,0),"")</f>
        <v/>
      </c>
      <c r="C1671" t="str">
        <f>IFERROR(VLOOKUP(Tabela1[[#This Row],[CC]],CC!$A$1:$H$389,7,0),"")</f>
        <v>RITA ANDRADE</v>
      </c>
      <c r="D1671" t="str">
        <f>IFERROR(VLOOKUP(Tabela1[[#This Row],[CC]],CC!$A$1:$I$3869,3,0),"")</f>
        <v>SERASA</v>
      </c>
      <c r="E1671" t="str">
        <f>IFERROR(VLOOKUP(Tabela1[[#This Row],[CC]],CC!$A$1:$H$389,2,0),"")</f>
        <v>SERASA EXPERIAN (1360)</v>
      </c>
      <c r="F1671" t="s">
        <v>586</v>
      </c>
      <c r="G1671" s="107" t="s">
        <v>686</v>
      </c>
      <c r="H1671" s="12">
        <v>46082</v>
      </c>
      <c r="I1671" s="27">
        <v>57546.93</v>
      </c>
      <c r="J1671" s="24">
        <v>54007.79</v>
      </c>
      <c r="K1671" s="3">
        <v>46101</v>
      </c>
      <c r="L1671" s="91">
        <v>46139</v>
      </c>
      <c r="M1671" s="11">
        <v>46140</v>
      </c>
      <c r="N1671" s="18" t="s">
        <v>588</v>
      </c>
      <c r="O1671" s="34"/>
      <c r="P1671"/>
      <c r="Q1671" t="str">
        <f>IFERROR(VLOOKUP(Tabela1[[#This Row],[CC]],CC!$A$1:$H$389,5,0),"")</f>
        <v>ADS</v>
      </c>
      <c r="R1671" t="str">
        <f>IFERROR(VLOOKUP(Tabela1[[#This Row],[CC]],CC!$A$1:$H$389,6,0),"")</f>
        <v>FS</v>
      </c>
      <c r="S1671" t="str">
        <f>IFERROR(VLOOKUP(Tabela1[[#This Row],[CC]],CC!$A$1:$H$403,8,0),"")</f>
        <v>OP1</v>
      </c>
      <c r="W1671" s="91"/>
    </row>
    <row r="1672" spans="1:23" x14ac:dyDescent="0.3">
      <c r="A1672" s="25">
        <v>1360</v>
      </c>
      <c r="B1672" s="25" t="str">
        <f>IFERROR(VLOOKUP(Tabela1[[#This Row],[CC]],#REF!,5,0),"")</f>
        <v/>
      </c>
      <c r="C1672" t="str">
        <f>IFERROR(VLOOKUP(Tabela1[[#This Row],[CC]],CC!$A$1:$H$389,7,0),"")</f>
        <v>RITA ANDRADE</v>
      </c>
      <c r="D1672" t="str">
        <f>IFERROR(VLOOKUP(Tabela1[[#This Row],[CC]],CC!$A$1:$I$3869,3,0),"")</f>
        <v>SERASA</v>
      </c>
      <c r="E1672" t="str">
        <f>IFERROR(VLOOKUP(Tabela1[[#This Row],[CC]],CC!$A$1:$H$389,2,0),"")</f>
        <v>SERASA EXPERIAN (1360)</v>
      </c>
      <c r="F1672" t="s">
        <v>586</v>
      </c>
      <c r="G1672" s="107" t="s">
        <v>687</v>
      </c>
      <c r="H1672" s="12">
        <v>46082</v>
      </c>
      <c r="I1672" s="27">
        <v>65626.81</v>
      </c>
      <c r="J1672" s="24">
        <v>61590.77</v>
      </c>
      <c r="K1672" s="3">
        <v>46101</v>
      </c>
      <c r="L1672" s="91">
        <v>46139</v>
      </c>
      <c r="M1672" s="11">
        <v>46140</v>
      </c>
      <c r="N1672" s="18" t="s">
        <v>588</v>
      </c>
      <c r="O1672" s="34"/>
      <c r="P1672"/>
      <c r="Q1672" t="str">
        <f>IFERROR(VLOOKUP(Tabela1[[#This Row],[CC]],CC!$A$1:$H$389,5,0),"")</f>
        <v>ADS</v>
      </c>
      <c r="R1672" t="str">
        <f>IFERROR(VLOOKUP(Tabela1[[#This Row],[CC]],CC!$A$1:$H$389,6,0),"")</f>
        <v>FS</v>
      </c>
      <c r="S1672" t="str">
        <f>IFERROR(VLOOKUP(Tabela1[[#This Row],[CC]],CC!$A$1:$H$403,8,0),"")</f>
        <v>OP1</v>
      </c>
      <c r="W1672" s="91"/>
    </row>
    <row r="1673" spans="1:23" x14ac:dyDescent="0.3">
      <c r="A1673" s="25">
        <v>1360</v>
      </c>
      <c r="B1673" s="25" t="str">
        <f>IFERROR(VLOOKUP(Tabela1[[#This Row],[CC]],#REF!,5,0),"")</f>
        <v/>
      </c>
      <c r="C1673" t="str">
        <f>IFERROR(VLOOKUP(Tabela1[[#This Row],[CC]],CC!$A$1:$H$389,7,0),"")</f>
        <v>RITA ANDRADE</v>
      </c>
      <c r="D1673" t="str">
        <f>IFERROR(VLOOKUP(Tabela1[[#This Row],[CC]],CC!$A$1:$I$3869,3,0),"")</f>
        <v>SERASA</v>
      </c>
      <c r="E1673" t="str">
        <f>IFERROR(VLOOKUP(Tabela1[[#This Row],[CC]],CC!$A$1:$H$389,2,0),"")</f>
        <v>SERASA EXPERIAN (1360)</v>
      </c>
      <c r="F1673" t="s">
        <v>586</v>
      </c>
      <c r="G1673" s="107" t="s">
        <v>688</v>
      </c>
      <c r="H1673" s="12">
        <v>46082</v>
      </c>
      <c r="I1673" s="27">
        <v>45557.64</v>
      </c>
      <c r="J1673" s="24">
        <v>42755.85</v>
      </c>
      <c r="K1673" s="3">
        <v>46101</v>
      </c>
      <c r="L1673" s="91">
        <v>46139</v>
      </c>
      <c r="M1673" s="11">
        <v>46140</v>
      </c>
      <c r="N1673" s="18" t="s">
        <v>588</v>
      </c>
      <c r="O1673" s="34"/>
      <c r="P1673"/>
      <c r="Q1673" t="str">
        <f>IFERROR(VLOOKUP(Tabela1[[#This Row],[CC]],CC!$A$1:$H$389,5,0),"")</f>
        <v>ADS</v>
      </c>
      <c r="R1673" t="str">
        <f>IFERROR(VLOOKUP(Tabela1[[#This Row],[CC]],CC!$A$1:$H$389,6,0),"")</f>
        <v>FS</v>
      </c>
      <c r="S1673" t="str">
        <f>IFERROR(VLOOKUP(Tabela1[[#This Row],[CC]],CC!$A$1:$H$403,8,0),"")</f>
        <v>OP1</v>
      </c>
      <c r="W1673" s="91"/>
    </row>
    <row r="1674" spans="1:23" x14ac:dyDescent="0.3">
      <c r="A1674" s="25">
        <v>1360</v>
      </c>
      <c r="B1674" s="25" t="str">
        <f>IFERROR(VLOOKUP(Tabela1[[#This Row],[CC]],#REF!,5,0),"")</f>
        <v/>
      </c>
      <c r="C1674" t="str">
        <f>IFERROR(VLOOKUP(Tabela1[[#This Row],[CC]],CC!$A$1:$H$389,7,0),"")</f>
        <v>RITA ANDRADE</v>
      </c>
      <c r="D1674" t="str">
        <f>IFERROR(VLOOKUP(Tabela1[[#This Row],[CC]],CC!$A$1:$I$3869,3,0),"")</f>
        <v>SERASA</v>
      </c>
      <c r="E1674" t="str">
        <f>IFERROR(VLOOKUP(Tabela1[[#This Row],[CC]],CC!$A$1:$H$389,2,0),"")</f>
        <v>SERASA EXPERIAN (1360)</v>
      </c>
      <c r="F1674" t="s">
        <v>586</v>
      </c>
      <c r="G1674" s="107" t="s">
        <v>689</v>
      </c>
      <c r="H1674" s="12">
        <v>46082</v>
      </c>
      <c r="I1674" s="27">
        <v>58053.599999999999</v>
      </c>
      <c r="J1674" s="24">
        <v>54483.3</v>
      </c>
      <c r="K1674" s="3">
        <v>46101</v>
      </c>
      <c r="L1674" s="91">
        <v>46139</v>
      </c>
      <c r="M1674" s="11">
        <v>46140</v>
      </c>
      <c r="N1674" s="18" t="s">
        <v>588</v>
      </c>
      <c r="O1674" s="34"/>
      <c r="P1674"/>
      <c r="Q1674" t="str">
        <f>IFERROR(VLOOKUP(Tabela1[[#This Row],[CC]],CC!$A$1:$H$389,5,0),"")</f>
        <v>ADS</v>
      </c>
      <c r="R1674" t="str">
        <f>IFERROR(VLOOKUP(Tabela1[[#This Row],[CC]],CC!$A$1:$H$389,6,0),"")</f>
        <v>FS</v>
      </c>
      <c r="S1674" t="str">
        <f>IFERROR(VLOOKUP(Tabela1[[#This Row],[CC]],CC!$A$1:$H$403,8,0),"")</f>
        <v>OP1</v>
      </c>
      <c r="W1674" s="91"/>
    </row>
    <row r="1675" spans="1:23" x14ac:dyDescent="0.3">
      <c r="A1675" s="25">
        <v>1360</v>
      </c>
      <c r="B1675" s="25" t="str">
        <f>IFERROR(VLOOKUP(Tabela1[[#This Row],[CC]],#REF!,5,0),"")</f>
        <v/>
      </c>
      <c r="C1675" t="str">
        <f>IFERROR(VLOOKUP(Tabela1[[#This Row],[CC]],CC!$A$1:$H$389,7,0),"")</f>
        <v>RITA ANDRADE</v>
      </c>
      <c r="D1675" t="str">
        <f>IFERROR(VLOOKUP(Tabela1[[#This Row],[CC]],CC!$A$1:$I$3869,3,0),"")</f>
        <v>SERASA</v>
      </c>
      <c r="E1675" t="str">
        <f>IFERROR(VLOOKUP(Tabela1[[#This Row],[CC]],CC!$A$1:$H$389,2,0),"")</f>
        <v>SERASA EXPERIAN (1360)</v>
      </c>
      <c r="F1675" t="s">
        <v>586</v>
      </c>
      <c r="G1675" s="107" t="s">
        <v>690</v>
      </c>
      <c r="H1675" s="12">
        <v>46082</v>
      </c>
      <c r="I1675" s="27">
        <v>90331.199999999997</v>
      </c>
      <c r="J1675" s="24">
        <v>84775.83</v>
      </c>
      <c r="K1675" s="3">
        <v>46101</v>
      </c>
      <c r="L1675" s="91">
        <v>46139</v>
      </c>
      <c r="M1675" s="11">
        <v>46140</v>
      </c>
      <c r="N1675" s="18" t="s">
        <v>588</v>
      </c>
      <c r="O1675" s="34"/>
      <c r="P1675"/>
      <c r="Q1675" t="str">
        <f>IFERROR(VLOOKUP(Tabela1[[#This Row],[CC]],CC!$A$1:$H$389,5,0),"")</f>
        <v>ADS</v>
      </c>
      <c r="R1675" t="str">
        <f>IFERROR(VLOOKUP(Tabela1[[#This Row],[CC]],CC!$A$1:$H$389,6,0),"")</f>
        <v>FS</v>
      </c>
      <c r="S1675" t="str">
        <f>IFERROR(VLOOKUP(Tabela1[[#This Row],[CC]],CC!$A$1:$H$403,8,0),"")</f>
        <v>OP1</v>
      </c>
      <c r="W1675" s="91"/>
    </row>
    <row r="1676" spans="1:23" x14ac:dyDescent="0.3">
      <c r="A1676" s="25">
        <v>1360</v>
      </c>
      <c r="B1676" s="25" t="str">
        <f>IFERROR(VLOOKUP(Tabela1[[#This Row],[CC]],#REF!,5,0),"")</f>
        <v/>
      </c>
      <c r="C1676" t="str">
        <f>IFERROR(VLOOKUP(Tabela1[[#This Row],[CC]],CC!$A$1:$H$389,7,0),"")</f>
        <v>RITA ANDRADE</v>
      </c>
      <c r="D1676" t="str">
        <f>IFERROR(VLOOKUP(Tabela1[[#This Row],[CC]],CC!$A$1:$I$3869,3,0),"")</f>
        <v>SERASA</v>
      </c>
      <c r="E1676" t="str">
        <f>IFERROR(VLOOKUP(Tabela1[[#This Row],[CC]],CC!$A$1:$H$389,2,0),"")</f>
        <v>SERASA EXPERIAN (1360)</v>
      </c>
      <c r="F1676" t="s">
        <v>586</v>
      </c>
      <c r="G1676" s="107" t="s">
        <v>691</v>
      </c>
      <c r="H1676" s="12">
        <v>46082</v>
      </c>
      <c r="I1676" s="27">
        <v>61989.599999999999</v>
      </c>
      <c r="J1676" s="24">
        <v>58177.24</v>
      </c>
      <c r="K1676" s="3">
        <v>46101</v>
      </c>
      <c r="L1676" s="91">
        <v>46139</v>
      </c>
      <c r="M1676" s="11">
        <v>46140</v>
      </c>
      <c r="N1676" s="18" t="s">
        <v>588</v>
      </c>
      <c r="O1676" s="34"/>
      <c r="P1676"/>
      <c r="Q1676" t="str">
        <f>IFERROR(VLOOKUP(Tabela1[[#This Row],[CC]],CC!$A$1:$H$389,5,0),"")</f>
        <v>ADS</v>
      </c>
      <c r="R1676" t="str">
        <f>IFERROR(VLOOKUP(Tabela1[[#This Row],[CC]],CC!$A$1:$H$389,6,0),"")</f>
        <v>FS</v>
      </c>
      <c r="S1676" t="str">
        <f>IFERROR(VLOOKUP(Tabela1[[#This Row],[CC]],CC!$A$1:$H$403,8,0),"")</f>
        <v>OP1</v>
      </c>
      <c r="W1676" s="91"/>
    </row>
    <row r="1677" spans="1:23" x14ac:dyDescent="0.3">
      <c r="A1677" s="25">
        <v>1360</v>
      </c>
      <c r="B1677" s="25" t="str">
        <f>IFERROR(VLOOKUP(Tabela1[[#This Row],[CC]],#REF!,5,0),"")</f>
        <v/>
      </c>
      <c r="C1677" t="str">
        <f>IFERROR(VLOOKUP(Tabela1[[#This Row],[CC]],CC!$A$1:$H$389,7,0),"")</f>
        <v>RITA ANDRADE</v>
      </c>
      <c r="D1677" t="str">
        <f>IFERROR(VLOOKUP(Tabela1[[#This Row],[CC]],CC!$A$1:$I$3869,3,0),"")</f>
        <v>SERASA</v>
      </c>
      <c r="E1677" t="str">
        <f>IFERROR(VLOOKUP(Tabela1[[#This Row],[CC]],CC!$A$1:$H$389,2,0),"")</f>
        <v>SERASA EXPERIAN (1360)</v>
      </c>
      <c r="F1677" t="s">
        <v>586</v>
      </c>
      <c r="G1677" s="107" t="s">
        <v>692</v>
      </c>
      <c r="H1677" s="12">
        <v>46082</v>
      </c>
      <c r="I1677" s="27">
        <v>51657.599999999999</v>
      </c>
      <c r="J1677" s="24">
        <v>48480.66</v>
      </c>
      <c r="K1677" s="3">
        <v>46101</v>
      </c>
      <c r="L1677" s="91">
        <v>46139</v>
      </c>
      <c r="M1677" s="11">
        <v>46140</v>
      </c>
      <c r="N1677" s="18" t="s">
        <v>588</v>
      </c>
      <c r="O1677" s="34"/>
      <c r="P1677"/>
      <c r="Q1677" t="str">
        <f>IFERROR(VLOOKUP(Tabela1[[#This Row],[CC]],CC!$A$1:$H$389,5,0),"")</f>
        <v>ADS</v>
      </c>
      <c r="R1677" t="str">
        <f>IFERROR(VLOOKUP(Tabela1[[#This Row],[CC]],CC!$A$1:$H$389,6,0),"")</f>
        <v>FS</v>
      </c>
      <c r="S1677" t="str">
        <f>IFERROR(VLOOKUP(Tabela1[[#This Row],[CC]],CC!$A$1:$H$403,8,0),"")</f>
        <v>OP1</v>
      </c>
      <c r="W1677" s="91"/>
    </row>
    <row r="1678" spans="1:23" x14ac:dyDescent="0.3">
      <c r="A1678" s="25">
        <v>1360</v>
      </c>
      <c r="B1678" s="25" t="str">
        <f>IFERROR(VLOOKUP(Tabela1[[#This Row],[CC]],#REF!,5,0),"")</f>
        <v/>
      </c>
      <c r="C1678" t="str">
        <f>IFERROR(VLOOKUP(Tabela1[[#This Row],[CC]],CC!$A$1:$H$389,7,0),"")</f>
        <v>RITA ANDRADE</v>
      </c>
      <c r="D1678" t="str">
        <f>IFERROR(VLOOKUP(Tabela1[[#This Row],[CC]],CC!$A$1:$I$3869,3,0),"")</f>
        <v>SERASA</v>
      </c>
      <c r="E1678" t="str">
        <f>IFERROR(VLOOKUP(Tabela1[[#This Row],[CC]],CC!$A$1:$H$389,2,0),"")</f>
        <v>SERASA EXPERIAN (1360)</v>
      </c>
      <c r="F1678" t="s">
        <v>586</v>
      </c>
      <c r="G1678" s="107" t="s">
        <v>693</v>
      </c>
      <c r="H1678" s="12">
        <v>46082</v>
      </c>
      <c r="I1678" s="27">
        <v>78699.600000000006</v>
      </c>
      <c r="J1678" s="24">
        <v>73859.570000000007</v>
      </c>
      <c r="K1678" s="3">
        <v>46101</v>
      </c>
      <c r="L1678" s="91">
        <v>46139</v>
      </c>
      <c r="M1678" s="11">
        <v>46140</v>
      </c>
      <c r="N1678" s="18" t="s">
        <v>588</v>
      </c>
      <c r="O1678" s="34"/>
      <c r="P1678"/>
      <c r="Q1678" t="str">
        <f>IFERROR(VLOOKUP(Tabela1[[#This Row],[CC]],CC!$A$1:$H$389,5,0),"")</f>
        <v>ADS</v>
      </c>
      <c r="R1678" t="str">
        <f>IFERROR(VLOOKUP(Tabela1[[#This Row],[CC]],CC!$A$1:$H$389,6,0),"")</f>
        <v>FS</v>
      </c>
      <c r="S1678" t="str">
        <f>IFERROR(VLOOKUP(Tabela1[[#This Row],[CC]],CC!$A$1:$H$403,8,0),"")</f>
        <v>OP1</v>
      </c>
      <c r="W1678" s="91"/>
    </row>
    <row r="1679" spans="1:23" x14ac:dyDescent="0.3">
      <c r="A1679" s="25">
        <v>1360</v>
      </c>
      <c r="B1679" s="25" t="str">
        <f>IFERROR(VLOOKUP(Tabela1[[#This Row],[CC]],#REF!,5,0),"")</f>
        <v/>
      </c>
      <c r="C1679" t="str">
        <f>IFERROR(VLOOKUP(Tabela1[[#This Row],[CC]],CC!$A$1:$H$389,7,0),"")</f>
        <v>RITA ANDRADE</v>
      </c>
      <c r="D1679" t="str">
        <f>IFERROR(VLOOKUP(Tabela1[[#This Row],[CC]],CC!$A$1:$I$3869,3,0),"")</f>
        <v>SERASA</v>
      </c>
      <c r="E1679" t="str">
        <f>IFERROR(VLOOKUP(Tabela1[[#This Row],[CC]],CC!$A$1:$H$389,2,0),"")</f>
        <v>SERASA EXPERIAN (1360)</v>
      </c>
      <c r="F1679" t="s">
        <v>586</v>
      </c>
      <c r="G1679" s="107" t="s">
        <v>694</v>
      </c>
      <c r="H1679" s="12">
        <v>46082</v>
      </c>
      <c r="I1679" s="27">
        <v>49786.879999999997</v>
      </c>
      <c r="J1679" s="24">
        <v>46724.99</v>
      </c>
      <c r="K1679" s="3">
        <v>46101</v>
      </c>
      <c r="L1679" s="91">
        <v>46139</v>
      </c>
      <c r="M1679" s="11">
        <v>46140</v>
      </c>
      <c r="N1679" s="18" t="s">
        <v>588</v>
      </c>
      <c r="O1679" s="34"/>
      <c r="P1679"/>
      <c r="Q1679" t="str">
        <f>IFERROR(VLOOKUP(Tabela1[[#This Row],[CC]],CC!$A$1:$H$389,5,0),"")</f>
        <v>ADS</v>
      </c>
      <c r="R1679" t="str">
        <f>IFERROR(VLOOKUP(Tabela1[[#This Row],[CC]],CC!$A$1:$H$389,6,0),"")</f>
        <v>FS</v>
      </c>
      <c r="S1679" t="str">
        <f>IFERROR(VLOOKUP(Tabela1[[#This Row],[CC]],CC!$A$1:$H$403,8,0),"")</f>
        <v>OP1</v>
      </c>
      <c r="W1679" s="91"/>
    </row>
    <row r="1680" spans="1:23" x14ac:dyDescent="0.3">
      <c r="A1680" s="25">
        <v>1360</v>
      </c>
      <c r="B1680" s="25" t="str">
        <f>IFERROR(VLOOKUP(Tabela1[[#This Row],[CC]],#REF!,5,0),"")</f>
        <v/>
      </c>
      <c r="C1680" t="str">
        <f>IFERROR(VLOOKUP(Tabela1[[#This Row],[CC]],CC!$A$1:$H$389,7,0),"")</f>
        <v>RITA ANDRADE</v>
      </c>
      <c r="D1680" t="str">
        <f>IFERROR(VLOOKUP(Tabela1[[#This Row],[CC]],CC!$A$1:$I$3869,3,0),"")</f>
        <v>SERASA</v>
      </c>
      <c r="E1680" t="str">
        <f>IFERROR(VLOOKUP(Tabela1[[#This Row],[CC]],CC!$A$1:$H$389,2,0),"")</f>
        <v>SERASA EXPERIAN (1360)</v>
      </c>
      <c r="F1680" t="s">
        <v>586</v>
      </c>
      <c r="G1680" s="107" t="s">
        <v>695</v>
      </c>
      <c r="H1680" s="12">
        <v>46082</v>
      </c>
      <c r="I1680" s="27">
        <v>36248.959999999999</v>
      </c>
      <c r="J1680" s="24">
        <v>34019.65</v>
      </c>
      <c r="K1680" s="3">
        <v>46104</v>
      </c>
      <c r="L1680" s="91">
        <v>46139</v>
      </c>
      <c r="M1680" s="11">
        <v>46140</v>
      </c>
      <c r="N1680" s="18" t="s">
        <v>588</v>
      </c>
      <c r="O1680" s="34"/>
      <c r="P1680"/>
      <c r="Q1680" t="str">
        <f>IFERROR(VLOOKUP(Tabela1[[#This Row],[CC]],CC!$A$1:$H$389,5,0),"")</f>
        <v>ADS</v>
      </c>
      <c r="R1680" t="str">
        <f>IFERROR(VLOOKUP(Tabela1[[#This Row],[CC]],CC!$A$1:$H$389,6,0),"")</f>
        <v>FS</v>
      </c>
      <c r="S1680" t="str">
        <f>IFERROR(VLOOKUP(Tabela1[[#This Row],[CC]],CC!$A$1:$H$403,8,0),"")</f>
        <v>OP1</v>
      </c>
      <c r="W1680" s="91"/>
    </row>
    <row r="1681" spans="1:23" x14ac:dyDescent="0.3">
      <c r="A1681" s="25">
        <v>1360</v>
      </c>
      <c r="B1681" s="25" t="str">
        <f>IFERROR(VLOOKUP(Tabela1[[#This Row],[CC]],#REF!,5,0),"")</f>
        <v/>
      </c>
      <c r="C1681" t="str">
        <f>IFERROR(VLOOKUP(Tabela1[[#This Row],[CC]],CC!$A$1:$H$389,7,0),"")</f>
        <v>RITA ANDRADE</v>
      </c>
      <c r="D1681" t="str">
        <f>IFERROR(VLOOKUP(Tabela1[[#This Row],[CC]],CC!$A$1:$I$3869,3,0),"")</f>
        <v>SERASA</v>
      </c>
      <c r="E1681" t="str">
        <f>IFERROR(VLOOKUP(Tabela1[[#This Row],[CC]],CC!$A$1:$H$389,2,0),"")</f>
        <v>SERASA EXPERIAN (1360)</v>
      </c>
      <c r="F1681" t="s">
        <v>586</v>
      </c>
      <c r="G1681" s="107" t="s">
        <v>696</v>
      </c>
      <c r="H1681" s="12">
        <v>46082</v>
      </c>
      <c r="I1681" s="27">
        <v>42750.400000000001</v>
      </c>
      <c r="J1681" s="24">
        <v>40121.25</v>
      </c>
      <c r="K1681" s="3">
        <v>46104</v>
      </c>
      <c r="L1681" s="91">
        <v>46139</v>
      </c>
      <c r="M1681" s="11">
        <v>46140</v>
      </c>
      <c r="N1681" s="18" t="s">
        <v>588</v>
      </c>
      <c r="O1681" s="34"/>
      <c r="P1681"/>
      <c r="Q1681" t="str">
        <f>IFERROR(VLOOKUP(Tabela1[[#This Row],[CC]],CC!$A$1:$H$389,5,0),"")</f>
        <v>ADS</v>
      </c>
      <c r="R1681" t="str">
        <f>IFERROR(VLOOKUP(Tabela1[[#This Row],[CC]],CC!$A$1:$H$389,6,0),"")</f>
        <v>FS</v>
      </c>
      <c r="S1681" t="str">
        <f>IFERROR(VLOOKUP(Tabela1[[#This Row],[CC]],CC!$A$1:$H$403,8,0),"")</f>
        <v>OP1</v>
      </c>
      <c r="W1681" s="91"/>
    </row>
    <row r="1682" spans="1:23" x14ac:dyDescent="0.3">
      <c r="A1682" s="25">
        <v>1360</v>
      </c>
      <c r="B1682" s="25" t="str">
        <f>IFERROR(VLOOKUP(Tabela1[[#This Row],[CC]],#REF!,5,0),"")</f>
        <v/>
      </c>
      <c r="C1682" t="str">
        <f>IFERROR(VLOOKUP(Tabela1[[#This Row],[CC]],CC!$A$1:$H$389,7,0),"")</f>
        <v>RITA ANDRADE</v>
      </c>
      <c r="D1682" t="str">
        <f>IFERROR(VLOOKUP(Tabela1[[#This Row],[CC]],CC!$A$1:$I$3869,3,0),"")</f>
        <v>SERASA</v>
      </c>
      <c r="E1682" t="str">
        <f>IFERROR(VLOOKUP(Tabela1[[#This Row],[CC]],CC!$A$1:$H$389,2,0),"")</f>
        <v>SERASA EXPERIAN (1360)</v>
      </c>
      <c r="F1682" t="s">
        <v>586</v>
      </c>
      <c r="G1682" s="107" t="s">
        <v>697</v>
      </c>
      <c r="H1682" s="12">
        <v>46082</v>
      </c>
      <c r="I1682" s="27">
        <v>36757.599999999999</v>
      </c>
      <c r="J1682" s="24">
        <v>34497.01</v>
      </c>
      <c r="K1682" s="3">
        <v>46104</v>
      </c>
      <c r="L1682" s="91">
        <v>46139</v>
      </c>
      <c r="M1682" s="11">
        <v>46140</v>
      </c>
      <c r="N1682" s="18" t="s">
        <v>588</v>
      </c>
      <c r="O1682" s="34"/>
      <c r="P1682"/>
      <c r="Q1682" t="str">
        <f>IFERROR(VLOOKUP(Tabela1[[#This Row],[CC]],CC!$A$1:$H$389,5,0),"")</f>
        <v>ADS</v>
      </c>
      <c r="R1682" t="str">
        <f>IFERROR(VLOOKUP(Tabela1[[#This Row],[CC]],CC!$A$1:$H$389,6,0),"")</f>
        <v>FS</v>
      </c>
      <c r="S1682" t="str">
        <f>IFERROR(VLOOKUP(Tabela1[[#This Row],[CC]],CC!$A$1:$H$403,8,0),"")</f>
        <v>OP1</v>
      </c>
      <c r="W1682" s="91"/>
    </row>
    <row r="1683" spans="1:23" x14ac:dyDescent="0.3">
      <c r="A1683" s="25">
        <v>1360</v>
      </c>
      <c r="B1683" s="25" t="str">
        <f>IFERROR(VLOOKUP(Tabela1[[#This Row],[CC]],#REF!,5,0),"")</f>
        <v/>
      </c>
      <c r="C1683" t="str">
        <f>IFERROR(VLOOKUP(Tabela1[[#This Row],[CC]],CC!$A$1:$H$389,7,0),"")</f>
        <v>RITA ANDRADE</v>
      </c>
      <c r="D1683" t="str">
        <f>IFERROR(VLOOKUP(Tabela1[[#This Row],[CC]],CC!$A$1:$I$3869,3,0),"")</f>
        <v>SERASA</v>
      </c>
      <c r="E1683" t="str">
        <f>IFERROR(VLOOKUP(Tabela1[[#This Row],[CC]],CC!$A$1:$H$389,2,0),"")</f>
        <v>SERASA EXPERIAN (1360)</v>
      </c>
      <c r="F1683" t="s">
        <v>586</v>
      </c>
      <c r="G1683" s="107" t="s">
        <v>698</v>
      </c>
      <c r="H1683" s="12">
        <v>46082</v>
      </c>
      <c r="I1683" s="27">
        <v>20092.16</v>
      </c>
      <c r="J1683" s="24">
        <v>18856.5</v>
      </c>
      <c r="K1683" s="3">
        <v>46104</v>
      </c>
      <c r="L1683" s="91">
        <v>46139</v>
      </c>
      <c r="M1683" s="11">
        <v>46140</v>
      </c>
      <c r="N1683" s="18" t="s">
        <v>588</v>
      </c>
      <c r="O1683" s="34"/>
      <c r="P1683"/>
      <c r="Q1683" t="str">
        <f>IFERROR(VLOOKUP(Tabela1[[#This Row],[CC]],CC!$A$1:$H$389,5,0),"")</f>
        <v>ADS</v>
      </c>
      <c r="R1683" t="str">
        <f>IFERROR(VLOOKUP(Tabela1[[#This Row],[CC]],CC!$A$1:$H$389,6,0),"")</f>
        <v>FS</v>
      </c>
      <c r="S1683" t="str">
        <f>IFERROR(VLOOKUP(Tabela1[[#This Row],[CC]],CC!$A$1:$H$403,8,0),"")</f>
        <v>OP1</v>
      </c>
      <c r="W1683" s="91"/>
    </row>
    <row r="1684" spans="1:23" x14ac:dyDescent="0.3">
      <c r="A1684" s="25">
        <v>1360</v>
      </c>
      <c r="B1684" s="25" t="str">
        <f>IFERROR(VLOOKUP(Tabela1[[#This Row],[CC]],#REF!,5,0),"")</f>
        <v/>
      </c>
      <c r="C1684" t="str">
        <f>IFERROR(VLOOKUP(Tabela1[[#This Row],[CC]],CC!$A$1:$H$389,7,0),"")</f>
        <v>RITA ANDRADE</v>
      </c>
      <c r="D1684" t="str">
        <f>IFERROR(VLOOKUP(Tabela1[[#This Row],[CC]],CC!$A$1:$I$3869,3,0),"")</f>
        <v>SERASA</v>
      </c>
      <c r="E1684" t="str">
        <f>IFERROR(VLOOKUP(Tabela1[[#This Row],[CC]],CC!$A$1:$H$389,2,0),"")</f>
        <v>SERASA EXPERIAN (1360)</v>
      </c>
      <c r="F1684" t="s">
        <v>586</v>
      </c>
      <c r="G1684" s="107" t="s">
        <v>699</v>
      </c>
      <c r="H1684" s="12">
        <v>46082</v>
      </c>
      <c r="I1684" s="27">
        <v>183062.88</v>
      </c>
      <c r="J1684" s="24">
        <v>171804.51</v>
      </c>
      <c r="K1684" s="3">
        <v>46104</v>
      </c>
      <c r="L1684" s="91">
        <v>46139</v>
      </c>
      <c r="M1684" s="11">
        <v>46140</v>
      </c>
      <c r="N1684" s="18" t="s">
        <v>588</v>
      </c>
      <c r="O1684" s="34"/>
      <c r="P1684"/>
      <c r="Q1684" t="str">
        <f>IFERROR(VLOOKUP(Tabela1[[#This Row],[CC]],CC!$A$1:$H$389,5,0),"")</f>
        <v>ADS</v>
      </c>
      <c r="R1684" t="str">
        <f>IFERROR(VLOOKUP(Tabela1[[#This Row],[CC]],CC!$A$1:$H$389,6,0),"")</f>
        <v>FS</v>
      </c>
      <c r="S1684" t="str">
        <f>IFERROR(VLOOKUP(Tabela1[[#This Row],[CC]],CC!$A$1:$H$403,8,0),"")</f>
        <v>OP1</v>
      </c>
      <c r="W1684" s="91"/>
    </row>
    <row r="1685" spans="1:23" x14ac:dyDescent="0.3">
      <c r="A1685" s="25">
        <v>1360</v>
      </c>
      <c r="B1685" s="25" t="str">
        <f>IFERROR(VLOOKUP(Tabela1[[#This Row],[CC]],#REF!,5,0),"")</f>
        <v/>
      </c>
      <c r="C1685" t="str">
        <f>IFERROR(VLOOKUP(Tabela1[[#This Row],[CC]],CC!$A$1:$H$389,7,0),"")</f>
        <v>RITA ANDRADE</v>
      </c>
      <c r="D1685" t="str">
        <f>IFERROR(VLOOKUP(Tabela1[[#This Row],[CC]],CC!$A$1:$I$3869,3,0),"")</f>
        <v>SERASA</v>
      </c>
      <c r="E1685" t="str">
        <f>IFERROR(VLOOKUP(Tabela1[[#This Row],[CC]],CC!$A$1:$H$389,2,0),"")</f>
        <v>SERASA EXPERIAN (1360)</v>
      </c>
      <c r="F1685" t="s">
        <v>586</v>
      </c>
      <c r="G1685" s="107" t="s">
        <v>700</v>
      </c>
      <c r="H1685" s="12">
        <v>46082</v>
      </c>
      <c r="I1685" s="27">
        <v>57710</v>
      </c>
      <c r="J1685" s="24">
        <v>54160.83</v>
      </c>
      <c r="K1685" s="3">
        <v>46104</v>
      </c>
      <c r="L1685" s="91">
        <v>46139</v>
      </c>
      <c r="M1685" s="11">
        <v>46140</v>
      </c>
      <c r="N1685" s="18" t="s">
        <v>588</v>
      </c>
      <c r="O1685" s="34"/>
      <c r="P1685"/>
      <c r="Q1685" t="str">
        <f>IFERROR(VLOOKUP(Tabela1[[#This Row],[CC]],CC!$A$1:$H$389,5,0),"")</f>
        <v>ADS</v>
      </c>
      <c r="R1685" t="str">
        <f>IFERROR(VLOOKUP(Tabela1[[#This Row],[CC]],CC!$A$1:$H$389,6,0),"")</f>
        <v>FS</v>
      </c>
      <c r="S1685" t="str">
        <f>IFERROR(VLOOKUP(Tabela1[[#This Row],[CC]],CC!$A$1:$H$403,8,0),"")</f>
        <v>OP1</v>
      </c>
      <c r="W1685" s="91"/>
    </row>
    <row r="1686" spans="1:23" x14ac:dyDescent="0.3">
      <c r="A1686" s="25">
        <v>1360</v>
      </c>
      <c r="B1686" s="25" t="str">
        <f>IFERROR(VLOOKUP(Tabela1[[#This Row],[CC]],#REF!,5,0),"")</f>
        <v/>
      </c>
      <c r="C1686" t="str">
        <f>IFERROR(VLOOKUP(Tabela1[[#This Row],[CC]],CC!$A$1:$H$389,7,0),"")</f>
        <v>RITA ANDRADE</v>
      </c>
      <c r="D1686" t="str">
        <f>IFERROR(VLOOKUP(Tabela1[[#This Row],[CC]],CC!$A$1:$I$3869,3,0),"")</f>
        <v>SERASA</v>
      </c>
      <c r="E1686" t="str">
        <f>IFERROR(VLOOKUP(Tabela1[[#This Row],[CC]],CC!$A$1:$H$389,2,0),"")</f>
        <v>SERASA EXPERIAN (1360)</v>
      </c>
      <c r="F1686" t="s">
        <v>586</v>
      </c>
      <c r="G1686" s="107" t="s">
        <v>701</v>
      </c>
      <c r="H1686" s="12">
        <v>46082</v>
      </c>
      <c r="I1686" s="27">
        <v>28846.400000000001</v>
      </c>
      <c r="J1686" s="24">
        <v>27072.35</v>
      </c>
      <c r="K1686" s="3">
        <v>46104</v>
      </c>
      <c r="L1686" s="91">
        <v>46139</v>
      </c>
      <c r="M1686" s="11">
        <v>46140</v>
      </c>
      <c r="N1686" s="18" t="s">
        <v>588</v>
      </c>
      <c r="O1686" s="34"/>
      <c r="P1686"/>
      <c r="Q1686" t="str">
        <f>IFERROR(VLOOKUP(Tabela1[[#This Row],[CC]],CC!$A$1:$H$389,5,0),"")</f>
        <v>ADS</v>
      </c>
      <c r="R1686" t="str">
        <f>IFERROR(VLOOKUP(Tabela1[[#This Row],[CC]],CC!$A$1:$H$389,6,0),"")</f>
        <v>FS</v>
      </c>
      <c r="S1686" t="str">
        <f>IFERROR(VLOOKUP(Tabela1[[#This Row],[CC]],CC!$A$1:$H$403,8,0),"")</f>
        <v>OP1</v>
      </c>
      <c r="W1686" s="91"/>
    </row>
    <row r="1687" spans="1:23" x14ac:dyDescent="0.3">
      <c r="A1687" s="25">
        <v>1360</v>
      </c>
      <c r="B1687" s="25" t="str">
        <f>IFERROR(VLOOKUP(Tabela1[[#This Row],[CC]],#REF!,5,0),"")</f>
        <v/>
      </c>
      <c r="C1687" t="str">
        <f>IFERROR(VLOOKUP(Tabela1[[#This Row],[CC]],CC!$A$1:$H$389,7,0),"")</f>
        <v>RITA ANDRADE</v>
      </c>
      <c r="D1687" t="str">
        <f>IFERROR(VLOOKUP(Tabela1[[#This Row],[CC]],CC!$A$1:$I$3869,3,0),"")</f>
        <v>SERASA</v>
      </c>
      <c r="E1687" t="str">
        <f>IFERROR(VLOOKUP(Tabela1[[#This Row],[CC]],CC!$A$1:$H$389,2,0),"")</f>
        <v>SERASA EXPERIAN (1360)</v>
      </c>
      <c r="F1687" t="s">
        <v>586</v>
      </c>
      <c r="G1687" s="107" t="s">
        <v>702</v>
      </c>
      <c r="H1687" s="12">
        <v>46082</v>
      </c>
      <c r="I1687" s="27">
        <v>35576.639999999999</v>
      </c>
      <c r="J1687" s="24">
        <v>33388.67</v>
      </c>
      <c r="K1687" s="3">
        <v>46104</v>
      </c>
      <c r="L1687" s="91">
        <v>46139</v>
      </c>
      <c r="M1687" s="11">
        <v>46140</v>
      </c>
      <c r="N1687" s="18" t="s">
        <v>588</v>
      </c>
      <c r="O1687" s="34"/>
      <c r="P1687"/>
      <c r="Q1687" t="str">
        <f>IFERROR(VLOOKUP(Tabela1[[#This Row],[CC]],CC!$A$1:$H$389,5,0),"")</f>
        <v>ADS</v>
      </c>
      <c r="R1687" t="str">
        <f>IFERROR(VLOOKUP(Tabela1[[#This Row],[CC]],CC!$A$1:$H$389,6,0),"")</f>
        <v>FS</v>
      </c>
      <c r="S1687" t="str">
        <f>IFERROR(VLOOKUP(Tabela1[[#This Row],[CC]],CC!$A$1:$H$403,8,0),"")</f>
        <v>OP1</v>
      </c>
      <c r="W1687" s="91"/>
    </row>
    <row r="1688" spans="1:23" x14ac:dyDescent="0.3">
      <c r="A1688" s="25">
        <v>1360</v>
      </c>
      <c r="B1688" s="25" t="str">
        <f>IFERROR(VLOOKUP(Tabela1[[#This Row],[CC]],#REF!,5,0),"")</f>
        <v/>
      </c>
      <c r="C1688" t="str">
        <f>IFERROR(VLOOKUP(Tabela1[[#This Row],[CC]],CC!$A$1:$H$389,7,0),"")</f>
        <v>RITA ANDRADE</v>
      </c>
      <c r="D1688" t="str">
        <f>IFERROR(VLOOKUP(Tabela1[[#This Row],[CC]],CC!$A$1:$I$3869,3,0),"")</f>
        <v>SERASA</v>
      </c>
      <c r="E1688" t="str">
        <f>IFERROR(VLOOKUP(Tabela1[[#This Row],[CC]],CC!$A$1:$H$389,2,0),"")</f>
        <v>SERASA EXPERIAN (1360)</v>
      </c>
      <c r="F1688" t="s">
        <v>586</v>
      </c>
      <c r="G1688" s="107" t="s">
        <v>703</v>
      </c>
      <c r="H1688" s="12">
        <v>46082</v>
      </c>
      <c r="I1688" s="27">
        <v>19291.12</v>
      </c>
      <c r="J1688" s="24">
        <v>18104.72</v>
      </c>
      <c r="K1688" s="3">
        <v>46104</v>
      </c>
      <c r="L1688" s="91">
        <v>46139</v>
      </c>
      <c r="M1688" s="11">
        <v>46140</v>
      </c>
      <c r="N1688" s="18" t="s">
        <v>588</v>
      </c>
      <c r="O1688" s="34"/>
      <c r="P1688"/>
      <c r="Q1688" t="str">
        <f>IFERROR(VLOOKUP(Tabela1[[#This Row],[CC]],CC!$A$1:$H$389,5,0),"")</f>
        <v>ADS</v>
      </c>
      <c r="R1688" t="str">
        <f>IFERROR(VLOOKUP(Tabela1[[#This Row],[CC]],CC!$A$1:$H$389,6,0),"")</f>
        <v>FS</v>
      </c>
      <c r="S1688" t="str">
        <f>IFERROR(VLOOKUP(Tabela1[[#This Row],[CC]],CC!$A$1:$H$403,8,0),"")</f>
        <v>OP1</v>
      </c>
      <c r="W1688" s="91"/>
    </row>
    <row r="1689" spans="1:23" x14ac:dyDescent="0.3">
      <c r="A1689" s="25">
        <v>1360</v>
      </c>
      <c r="B1689" s="25" t="str">
        <f>IFERROR(VLOOKUP(Tabela1[[#This Row],[CC]],#REF!,5,0),"")</f>
        <v/>
      </c>
      <c r="C1689" t="str">
        <f>IFERROR(VLOOKUP(Tabela1[[#This Row],[CC]],CC!$A$1:$H$389,7,0),"")</f>
        <v>RITA ANDRADE</v>
      </c>
      <c r="D1689" t="str">
        <f>IFERROR(VLOOKUP(Tabela1[[#This Row],[CC]],CC!$A$1:$I$3869,3,0),"")</f>
        <v>SERASA</v>
      </c>
      <c r="E1689" t="str">
        <f>IFERROR(VLOOKUP(Tabela1[[#This Row],[CC]],CC!$A$1:$H$389,2,0),"")</f>
        <v>SERASA EXPERIAN (1360)</v>
      </c>
      <c r="F1689" t="s">
        <v>586</v>
      </c>
      <c r="G1689" s="107" t="s">
        <v>704</v>
      </c>
      <c r="H1689" s="12">
        <v>46082</v>
      </c>
      <c r="I1689" s="27">
        <v>72274.399999999994</v>
      </c>
      <c r="J1689" s="24">
        <v>67829.53</v>
      </c>
      <c r="K1689" s="3">
        <v>46104</v>
      </c>
      <c r="L1689" s="91">
        <v>46139</v>
      </c>
      <c r="M1689" s="11">
        <v>46140</v>
      </c>
      <c r="N1689" s="18" t="s">
        <v>588</v>
      </c>
      <c r="O1689" s="34"/>
      <c r="P1689"/>
      <c r="Q1689" t="str">
        <f>IFERROR(VLOOKUP(Tabela1[[#This Row],[CC]],CC!$A$1:$H$389,5,0),"")</f>
        <v>ADS</v>
      </c>
      <c r="R1689" t="str">
        <f>IFERROR(VLOOKUP(Tabela1[[#This Row],[CC]],CC!$A$1:$H$389,6,0),"")</f>
        <v>FS</v>
      </c>
      <c r="S1689" t="str">
        <f>IFERROR(VLOOKUP(Tabela1[[#This Row],[CC]],CC!$A$1:$H$403,8,0),"")</f>
        <v>OP1</v>
      </c>
      <c r="W1689" s="91"/>
    </row>
    <row r="1690" spans="1:23" x14ac:dyDescent="0.3">
      <c r="A1690" s="25">
        <v>1360</v>
      </c>
      <c r="B1690" s="25" t="str">
        <f>IFERROR(VLOOKUP(Tabela1[[#This Row],[CC]],#REF!,5,0),"")</f>
        <v/>
      </c>
      <c r="C1690" t="str">
        <f>IFERROR(VLOOKUP(Tabela1[[#This Row],[CC]],CC!$A$1:$H$389,7,0),"")</f>
        <v>RITA ANDRADE</v>
      </c>
      <c r="D1690" t="str">
        <f>IFERROR(VLOOKUP(Tabela1[[#This Row],[CC]],CC!$A$1:$I$3869,3,0),"")</f>
        <v>SERASA</v>
      </c>
      <c r="E1690" t="str">
        <f>IFERROR(VLOOKUP(Tabela1[[#This Row],[CC]],CC!$A$1:$H$389,2,0),"")</f>
        <v>SERASA EXPERIAN (1360)</v>
      </c>
      <c r="F1690" t="s">
        <v>586</v>
      </c>
      <c r="G1690" s="107" t="s">
        <v>705</v>
      </c>
      <c r="H1690" s="12">
        <v>46082</v>
      </c>
      <c r="I1690" s="27">
        <v>57692.800000000003</v>
      </c>
      <c r="J1690" s="24">
        <v>54144.7</v>
      </c>
      <c r="K1690" s="3">
        <v>46104</v>
      </c>
      <c r="L1690" s="91">
        <v>46139</v>
      </c>
      <c r="M1690" s="11">
        <v>46140</v>
      </c>
      <c r="N1690" s="18" t="s">
        <v>588</v>
      </c>
      <c r="O1690" s="34"/>
      <c r="P1690"/>
      <c r="Q1690" t="str">
        <f>IFERROR(VLOOKUP(Tabela1[[#This Row],[CC]],CC!$A$1:$H$389,5,0),"")</f>
        <v>ADS</v>
      </c>
      <c r="R1690" t="str">
        <f>IFERROR(VLOOKUP(Tabela1[[#This Row],[CC]],CC!$A$1:$H$389,6,0),"")</f>
        <v>FS</v>
      </c>
      <c r="S1690" t="str">
        <f>IFERROR(VLOOKUP(Tabela1[[#This Row],[CC]],CC!$A$1:$H$403,8,0),"")</f>
        <v>OP1</v>
      </c>
      <c r="W1690" s="91"/>
    </row>
    <row r="1691" spans="1:23" x14ac:dyDescent="0.3">
      <c r="A1691" s="25">
        <v>1360</v>
      </c>
      <c r="B1691" s="25" t="str">
        <f>IFERROR(VLOOKUP(Tabela1[[#This Row],[CC]],#REF!,5,0),"")</f>
        <v/>
      </c>
      <c r="C1691" t="str">
        <f>IFERROR(VLOOKUP(Tabela1[[#This Row],[CC]],CC!$A$1:$H$389,7,0),"")</f>
        <v>RITA ANDRADE</v>
      </c>
      <c r="D1691" t="str">
        <f>IFERROR(VLOOKUP(Tabela1[[#This Row],[CC]],CC!$A$1:$I$3869,3,0),"")</f>
        <v>SERASA</v>
      </c>
      <c r="E1691" t="str">
        <f>IFERROR(VLOOKUP(Tabela1[[#This Row],[CC]],CC!$A$1:$H$389,2,0),"")</f>
        <v>SERASA EXPERIAN (1360)</v>
      </c>
      <c r="F1691" t="s">
        <v>586</v>
      </c>
      <c r="G1691" s="107" t="s">
        <v>706</v>
      </c>
      <c r="H1691" s="12">
        <v>46082</v>
      </c>
      <c r="I1691" s="27">
        <v>28834.400000000001</v>
      </c>
      <c r="J1691" s="24">
        <v>27061.09</v>
      </c>
      <c r="K1691" s="3">
        <v>46104</v>
      </c>
      <c r="L1691" s="91">
        <v>46139</v>
      </c>
      <c r="M1691" s="11">
        <v>46140</v>
      </c>
      <c r="N1691" s="18" t="s">
        <v>588</v>
      </c>
      <c r="O1691" s="34"/>
      <c r="P1691"/>
      <c r="Q1691" t="str">
        <f>IFERROR(VLOOKUP(Tabela1[[#This Row],[CC]],CC!$A$1:$H$389,5,0),"")</f>
        <v>ADS</v>
      </c>
      <c r="R1691" t="str">
        <f>IFERROR(VLOOKUP(Tabela1[[#This Row],[CC]],CC!$A$1:$H$389,6,0),"")</f>
        <v>FS</v>
      </c>
      <c r="S1691" t="str">
        <f>IFERROR(VLOOKUP(Tabela1[[#This Row],[CC]],CC!$A$1:$H$403,8,0),"")</f>
        <v>OP1</v>
      </c>
      <c r="W1691" s="91"/>
    </row>
    <row r="1692" spans="1:23" x14ac:dyDescent="0.3">
      <c r="A1692" s="25">
        <v>1360</v>
      </c>
      <c r="B1692" s="25" t="str">
        <f>IFERROR(VLOOKUP(Tabela1[[#This Row],[CC]],#REF!,5,0),"")</f>
        <v/>
      </c>
      <c r="C1692" t="str">
        <f>IFERROR(VLOOKUP(Tabela1[[#This Row],[CC]],CC!$A$1:$H$389,7,0),"")</f>
        <v>RITA ANDRADE</v>
      </c>
      <c r="D1692" t="str">
        <f>IFERROR(VLOOKUP(Tabela1[[#This Row],[CC]],CC!$A$1:$I$3869,3,0),"")</f>
        <v>SERASA</v>
      </c>
      <c r="E1692" t="str">
        <f>IFERROR(VLOOKUP(Tabela1[[#This Row],[CC]],CC!$A$1:$H$389,2,0),"")</f>
        <v>SERASA EXPERIAN (1360)</v>
      </c>
      <c r="F1692" t="s">
        <v>586</v>
      </c>
      <c r="G1692" s="107" t="s">
        <v>707</v>
      </c>
      <c r="H1692" s="12">
        <v>46054</v>
      </c>
      <c r="I1692" s="27">
        <v>58983.24</v>
      </c>
      <c r="J1692" s="24">
        <v>55355.77</v>
      </c>
      <c r="K1692" s="3">
        <v>46104</v>
      </c>
      <c r="L1692" s="91">
        <v>46139</v>
      </c>
      <c r="M1692" s="11">
        <v>46140</v>
      </c>
      <c r="N1692" s="18" t="s">
        <v>588</v>
      </c>
      <c r="O1692" s="34"/>
      <c r="P1692"/>
      <c r="Q1692" t="str">
        <f>IFERROR(VLOOKUP(Tabela1[[#This Row],[CC]],CC!$A$1:$H$389,5,0),"")</f>
        <v>ADS</v>
      </c>
      <c r="R1692" t="str">
        <f>IFERROR(VLOOKUP(Tabela1[[#This Row],[CC]],CC!$A$1:$H$389,6,0),"")</f>
        <v>FS</v>
      </c>
      <c r="S1692" t="str">
        <f>IFERROR(VLOOKUP(Tabela1[[#This Row],[CC]],CC!$A$1:$H$403,8,0),"")</f>
        <v>OP1</v>
      </c>
      <c r="W1692" s="91"/>
    </row>
    <row r="1693" spans="1:23" x14ac:dyDescent="0.3">
      <c r="A1693" s="25">
        <v>1360</v>
      </c>
      <c r="B1693" s="25" t="str">
        <f>IFERROR(VLOOKUP(Tabela1[[#This Row],[CC]],#REF!,5,0),"")</f>
        <v/>
      </c>
      <c r="C1693" t="str">
        <f>IFERROR(VLOOKUP(Tabela1[[#This Row],[CC]],CC!$A$1:$H$389,7,0),"")</f>
        <v>RITA ANDRADE</v>
      </c>
      <c r="D1693" t="str">
        <f>IFERROR(VLOOKUP(Tabela1[[#This Row],[CC]],CC!$A$1:$I$3869,3,0),"")</f>
        <v>SERASA</v>
      </c>
      <c r="E1693" t="str">
        <f>IFERROR(VLOOKUP(Tabela1[[#This Row],[CC]],CC!$A$1:$H$389,2,0),"")</f>
        <v>SERASA EXPERIAN (1360)</v>
      </c>
      <c r="F1693" t="s">
        <v>586</v>
      </c>
      <c r="G1693" s="107" t="s">
        <v>708</v>
      </c>
      <c r="H1693" s="12">
        <v>46082</v>
      </c>
      <c r="I1693" s="27">
        <v>54019.68</v>
      </c>
      <c r="J1693" s="24">
        <v>50697.46</v>
      </c>
      <c r="K1693" s="3">
        <v>46104</v>
      </c>
      <c r="L1693" s="91">
        <v>46139</v>
      </c>
      <c r="M1693" s="11">
        <v>46140</v>
      </c>
      <c r="N1693" s="18" t="s">
        <v>588</v>
      </c>
      <c r="O1693" s="34"/>
      <c r="P1693"/>
      <c r="Q1693" t="str">
        <f>IFERROR(VLOOKUP(Tabela1[[#This Row],[CC]],CC!$A$1:$H$389,5,0),"")</f>
        <v>ADS</v>
      </c>
      <c r="R1693" t="str">
        <f>IFERROR(VLOOKUP(Tabela1[[#This Row],[CC]],CC!$A$1:$H$389,6,0),"")</f>
        <v>FS</v>
      </c>
      <c r="S1693" t="str">
        <f>IFERROR(VLOOKUP(Tabela1[[#This Row],[CC]],CC!$A$1:$H$403,8,0),"")</f>
        <v>OP1</v>
      </c>
      <c r="W1693" s="91"/>
    </row>
    <row r="1694" spans="1:23" x14ac:dyDescent="0.3">
      <c r="A1694" s="25">
        <v>1360</v>
      </c>
      <c r="B1694" s="25" t="str">
        <f>IFERROR(VLOOKUP(Tabela1[[#This Row],[CC]],#REF!,5,0),"")</f>
        <v/>
      </c>
      <c r="C1694" t="str">
        <f>IFERROR(VLOOKUP(Tabela1[[#This Row],[CC]],CC!$A$1:$H$389,7,0),"")</f>
        <v>RITA ANDRADE</v>
      </c>
      <c r="D1694" t="str">
        <f>IFERROR(VLOOKUP(Tabela1[[#This Row],[CC]],CC!$A$1:$I$3869,3,0),"")</f>
        <v>SERASA</v>
      </c>
      <c r="E1694" t="str">
        <f>IFERROR(VLOOKUP(Tabela1[[#This Row],[CC]],CC!$A$1:$H$389,2,0),"")</f>
        <v>SERASA EXPERIAN (1360)</v>
      </c>
      <c r="F1694" t="s">
        <v>586</v>
      </c>
      <c r="G1694" s="107">
        <v>5006</v>
      </c>
      <c r="H1694" s="12">
        <v>46082</v>
      </c>
      <c r="I1694" s="27">
        <v>18480</v>
      </c>
      <c r="J1694" s="24">
        <v>17343.48</v>
      </c>
      <c r="K1694" s="3">
        <v>46105</v>
      </c>
      <c r="L1694" s="91">
        <v>46139</v>
      </c>
      <c r="M1694" s="11">
        <v>46140</v>
      </c>
      <c r="N1694" s="18" t="s">
        <v>588</v>
      </c>
      <c r="O1694" s="34"/>
      <c r="P1694"/>
      <c r="Q1694" t="str">
        <f>IFERROR(VLOOKUP(Tabela1[[#This Row],[CC]],CC!$A$1:$H$389,5,0),"")</f>
        <v>ADS</v>
      </c>
      <c r="R1694" t="str">
        <f>IFERROR(VLOOKUP(Tabela1[[#This Row],[CC]],CC!$A$1:$H$389,6,0),"")</f>
        <v>FS</v>
      </c>
      <c r="S1694" t="str">
        <f>IFERROR(VLOOKUP(Tabela1[[#This Row],[CC]],CC!$A$1:$H$403,8,0),"")</f>
        <v>OP1</v>
      </c>
      <c r="W1694" s="91"/>
    </row>
    <row r="1695" spans="1:23" x14ac:dyDescent="0.3">
      <c r="A1695" s="25">
        <v>1360</v>
      </c>
      <c r="B1695" s="25" t="str">
        <f>IFERROR(VLOOKUP(Tabela1[[#This Row],[CC]],#REF!,5,0),"")</f>
        <v/>
      </c>
      <c r="C1695" t="str">
        <f>IFERROR(VLOOKUP(Tabela1[[#This Row],[CC]],CC!$A$1:$H$389,7,0),"")</f>
        <v>RITA ANDRADE</v>
      </c>
      <c r="D1695" t="str">
        <f>IFERROR(VLOOKUP(Tabela1[[#This Row],[CC]],CC!$A$1:$I$3869,3,0),"")</f>
        <v>SERASA</v>
      </c>
      <c r="E1695" t="str">
        <f>IFERROR(VLOOKUP(Tabela1[[#This Row],[CC]],CC!$A$1:$H$389,2,0),"")</f>
        <v>SERASA EXPERIAN (1360)</v>
      </c>
      <c r="F1695" t="s">
        <v>586</v>
      </c>
      <c r="G1695" s="107">
        <v>5007</v>
      </c>
      <c r="H1695" s="12">
        <v>46082</v>
      </c>
      <c r="I1695" s="27">
        <v>33968</v>
      </c>
      <c r="J1695" s="24">
        <v>31878.97</v>
      </c>
      <c r="K1695" s="3">
        <v>46105</v>
      </c>
      <c r="L1695" s="91">
        <v>46139</v>
      </c>
      <c r="M1695" s="11">
        <v>46140</v>
      </c>
      <c r="N1695" s="18" t="s">
        <v>588</v>
      </c>
      <c r="O1695" s="34"/>
      <c r="P1695"/>
      <c r="Q1695" t="str">
        <f>IFERROR(VLOOKUP(Tabela1[[#This Row],[CC]],CC!$A$1:$H$389,5,0),"")</f>
        <v>ADS</v>
      </c>
      <c r="R1695" t="str">
        <f>IFERROR(VLOOKUP(Tabela1[[#This Row],[CC]],CC!$A$1:$H$389,6,0),"")</f>
        <v>FS</v>
      </c>
      <c r="S1695" t="str">
        <f>IFERROR(VLOOKUP(Tabela1[[#This Row],[CC]],CC!$A$1:$H$403,8,0),"")</f>
        <v>OP1</v>
      </c>
      <c r="W1695" s="91"/>
    </row>
    <row r="1696" spans="1:23" x14ac:dyDescent="0.3">
      <c r="A1696" s="25">
        <v>1360</v>
      </c>
      <c r="B1696" s="25" t="str">
        <f>IFERROR(VLOOKUP(Tabela1[[#This Row],[CC]],#REF!,5,0),"")</f>
        <v/>
      </c>
      <c r="C1696" t="str">
        <f>IFERROR(VLOOKUP(Tabela1[[#This Row],[CC]],CC!$A$1:$H$389,7,0),"")</f>
        <v>RITA ANDRADE</v>
      </c>
      <c r="D1696" t="str">
        <f>IFERROR(VLOOKUP(Tabela1[[#This Row],[CC]],CC!$A$1:$I$3869,3,0),"")</f>
        <v>SERASA</v>
      </c>
      <c r="E1696" t="str">
        <f>IFERROR(VLOOKUP(Tabela1[[#This Row],[CC]],CC!$A$1:$H$389,2,0),"")</f>
        <v>SERASA EXPERIAN (1360)</v>
      </c>
      <c r="F1696" t="s">
        <v>586</v>
      </c>
      <c r="G1696" s="107">
        <v>5008</v>
      </c>
      <c r="H1696" s="12">
        <v>46082</v>
      </c>
      <c r="I1696" s="27">
        <v>33968</v>
      </c>
      <c r="J1696" s="24">
        <v>31878.97</v>
      </c>
      <c r="K1696" s="3">
        <v>46105</v>
      </c>
      <c r="L1696" s="91">
        <v>46139</v>
      </c>
      <c r="M1696" s="11">
        <v>46140</v>
      </c>
      <c r="N1696" s="18" t="s">
        <v>588</v>
      </c>
      <c r="O1696" s="34"/>
      <c r="P1696"/>
      <c r="Q1696" t="str">
        <f>IFERROR(VLOOKUP(Tabela1[[#This Row],[CC]],CC!$A$1:$H$389,5,0),"")</f>
        <v>ADS</v>
      </c>
      <c r="R1696" t="str">
        <f>IFERROR(VLOOKUP(Tabela1[[#This Row],[CC]],CC!$A$1:$H$389,6,0),"")</f>
        <v>FS</v>
      </c>
      <c r="S1696" t="str">
        <f>IFERROR(VLOOKUP(Tabela1[[#This Row],[CC]],CC!$A$1:$H$403,8,0),"")</f>
        <v>OP1</v>
      </c>
      <c r="W1696" s="91"/>
    </row>
    <row r="1697" spans="1:23" x14ac:dyDescent="0.3">
      <c r="A1697" s="25">
        <v>1360</v>
      </c>
      <c r="B1697" s="25" t="str">
        <f>IFERROR(VLOOKUP(Tabela1[[#This Row],[CC]],#REF!,5,0),"")</f>
        <v/>
      </c>
      <c r="C1697" t="str">
        <f>IFERROR(VLOOKUP(Tabela1[[#This Row],[CC]],CC!$A$1:$H$389,7,0),"")</f>
        <v>RITA ANDRADE</v>
      </c>
      <c r="D1697" t="str">
        <f>IFERROR(VLOOKUP(Tabela1[[#This Row],[CC]],CC!$A$1:$I$3869,3,0),"")</f>
        <v>SERASA</v>
      </c>
      <c r="E1697" t="str">
        <f>IFERROR(VLOOKUP(Tabela1[[#This Row],[CC]],CC!$A$1:$H$389,2,0),"")</f>
        <v>SERASA EXPERIAN (1360)</v>
      </c>
      <c r="F1697" t="s">
        <v>586</v>
      </c>
      <c r="G1697" s="107">
        <v>5009</v>
      </c>
      <c r="H1697" s="12">
        <v>46082</v>
      </c>
      <c r="I1697" s="27">
        <v>197711.2</v>
      </c>
      <c r="J1697" s="24">
        <v>185551.96</v>
      </c>
      <c r="K1697" s="3">
        <v>46105</v>
      </c>
      <c r="L1697" s="91">
        <v>46139</v>
      </c>
      <c r="M1697" s="11">
        <v>46140</v>
      </c>
      <c r="N1697" s="18" t="s">
        <v>588</v>
      </c>
      <c r="O1697" s="34"/>
      <c r="P1697"/>
      <c r="Q1697" t="str">
        <f>IFERROR(VLOOKUP(Tabela1[[#This Row],[CC]],CC!$A$1:$H$389,5,0),"")</f>
        <v>ADS</v>
      </c>
      <c r="R1697" t="str">
        <f>IFERROR(VLOOKUP(Tabela1[[#This Row],[CC]],CC!$A$1:$H$389,6,0),"")</f>
        <v>FS</v>
      </c>
      <c r="S1697" t="str">
        <f>IFERROR(VLOOKUP(Tabela1[[#This Row],[CC]],CC!$A$1:$H$403,8,0),"")</f>
        <v>OP1</v>
      </c>
      <c r="W1697" s="91"/>
    </row>
    <row r="1698" spans="1:23" x14ac:dyDescent="0.3">
      <c r="A1698" s="25">
        <v>1360</v>
      </c>
      <c r="B1698" s="25" t="str">
        <f>IFERROR(VLOOKUP(Tabela1[[#This Row],[CC]],#REF!,5,0),"")</f>
        <v/>
      </c>
      <c r="C1698" t="str">
        <f>IFERROR(VLOOKUP(Tabela1[[#This Row],[CC]],CC!$A$1:$H$389,7,0),"")</f>
        <v>RITA ANDRADE</v>
      </c>
      <c r="D1698" t="str">
        <f>IFERROR(VLOOKUP(Tabela1[[#This Row],[CC]],CC!$A$1:$I$3869,3,0),"")</f>
        <v>SERASA</v>
      </c>
      <c r="E1698" t="str">
        <f>IFERROR(VLOOKUP(Tabela1[[#This Row],[CC]],CC!$A$1:$H$389,2,0),"")</f>
        <v>SERASA EXPERIAN (1360)</v>
      </c>
      <c r="F1698" t="s">
        <v>586</v>
      </c>
      <c r="G1698" s="107">
        <v>5019</v>
      </c>
      <c r="H1698" s="12">
        <v>46082</v>
      </c>
      <c r="I1698" s="24">
        <v>41106.559999999998</v>
      </c>
      <c r="J1698" s="27">
        <v>38578.506559999994</v>
      </c>
      <c r="K1698" s="3">
        <v>46113</v>
      </c>
      <c r="L1698" s="91">
        <v>46167</v>
      </c>
      <c r="M1698" s="11">
        <v>46169</v>
      </c>
      <c r="N1698" s="18" t="s">
        <v>588</v>
      </c>
      <c r="O1698" s="34"/>
      <c r="P1698"/>
      <c r="Q1698" t="str">
        <f>IFERROR(VLOOKUP(Tabela1[[#This Row],[CC]],CC!$A$1:$H$389,5,0),"")</f>
        <v>ADS</v>
      </c>
      <c r="R1698" t="str">
        <f>IFERROR(VLOOKUP(Tabela1[[#This Row],[CC]],CC!$A$1:$H$389,6,0),"")</f>
        <v>FS</v>
      </c>
      <c r="S1698" t="str">
        <f>IFERROR(VLOOKUP(Tabela1[[#This Row],[CC]],CC!$A$1:$H$403,8,0),"")</f>
        <v>OP1</v>
      </c>
      <c r="W1698" s="91"/>
    </row>
    <row r="1699" spans="1:23" x14ac:dyDescent="0.3">
      <c r="A1699" s="25">
        <v>1360</v>
      </c>
      <c r="B1699" s="25" t="str">
        <f>IFERROR(VLOOKUP(Tabela1[[#This Row],[CC]],#REF!,5,0),"")</f>
        <v/>
      </c>
      <c r="C1699" t="str">
        <f>IFERROR(VLOOKUP(Tabela1[[#This Row],[CC]],CC!$A$1:$H$389,7,0),"")</f>
        <v>RITA ANDRADE</v>
      </c>
      <c r="D1699" t="str">
        <f>IFERROR(VLOOKUP(Tabela1[[#This Row],[CC]],CC!$A$1:$I$3869,3,0),"")</f>
        <v>SERASA</v>
      </c>
      <c r="E1699" t="str">
        <f>IFERROR(VLOOKUP(Tabela1[[#This Row],[CC]],CC!$A$1:$H$389,2,0),"")</f>
        <v>SERASA EXPERIAN (1360)</v>
      </c>
      <c r="F1699" t="s">
        <v>586</v>
      </c>
      <c r="G1699" s="107">
        <v>5100</v>
      </c>
      <c r="H1699" s="12">
        <v>46113</v>
      </c>
      <c r="I1699" s="24">
        <v>47297.54</v>
      </c>
      <c r="J1699" s="27">
        <v>44388.740962362441</v>
      </c>
      <c r="K1699" s="3">
        <v>46136</v>
      </c>
      <c r="L1699" s="91">
        <v>46167</v>
      </c>
      <c r="M1699" s="11">
        <v>46169</v>
      </c>
      <c r="N1699" s="18" t="s">
        <v>588</v>
      </c>
      <c r="O1699" s="34"/>
      <c r="P1699"/>
      <c r="Q1699" t="str">
        <f>IFERROR(VLOOKUP(Tabela1[[#This Row],[CC]],CC!$A$1:$H$389,5,0),"")</f>
        <v>ADS</v>
      </c>
      <c r="R1699" t="str">
        <f>IFERROR(VLOOKUP(Tabela1[[#This Row],[CC]],CC!$A$1:$H$389,6,0),"")</f>
        <v>FS</v>
      </c>
      <c r="S1699" t="str">
        <f>IFERROR(VLOOKUP(Tabela1[[#This Row],[CC]],CC!$A$1:$H$403,8,0),"")</f>
        <v>OP1</v>
      </c>
      <c r="W1699" s="91"/>
    </row>
    <row r="1700" spans="1:23" x14ac:dyDescent="0.3">
      <c r="A1700" s="25">
        <v>1360</v>
      </c>
      <c r="B1700" s="25" t="str">
        <f>IFERROR(VLOOKUP(Tabela1[[#This Row],[CC]],#REF!,5,0),"")</f>
        <v/>
      </c>
      <c r="C1700" t="str">
        <f>IFERROR(VLOOKUP(Tabela1[[#This Row],[CC]],CC!$A$1:$H$389,7,0),"")</f>
        <v>RITA ANDRADE</v>
      </c>
      <c r="D1700" t="str">
        <f>IFERROR(VLOOKUP(Tabela1[[#This Row],[CC]],CC!$A$1:$I$3869,3,0),"")</f>
        <v>SERASA</v>
      </c>
      <c r="E1700" t="str">
        <f>IFERROR(VLOOKUP(Tabela1[[#This Row],[CC]],CC!$A$1:$H$389,2,0),"")</f>
        <v>SERASA EXPERIAN (1360)</v>
      </c>
      <c r="F1700" t="s">
        <v>586</v>
      </c>
      <c r="G1700" s="107">
        <v>5101</v>
      </c>
      <c r="H1700" s="12">
        <v>46113</v>
      </c>
      <c r="I1700" s="24">
        <v>27404.080000000002</v>
      </c>
      <c r="J1700" s="27">
        <v>25718.728890167597</v>
      </c>
      <c r="K1700" s="3">
        <v>46136</v>
      </c>
      <c r="L1700" s="91">
        <v>46167</v>
      </c>
      <c r="M1700" s="11">
        <v>46169</v>
      </c>
      <c r="N1700" s="18" t="s">
        <v>588</v>
      </c>
      <c r="O1700" s="34"/>
      <c r="P1700"/>
      <c r="Q1700" t="str">
        <f>IFERROR(VLOOKUP(Tabela1[[#This Row],[CC]],CC!$A$1:$H$389,5,0),"")</f>
        <v>ADS</v>
      </c>
      <c r="R1700" t="str">
        <f>IFERROR(VLOOKUP(Tabela1[[#This Row],[CC]],CC!$A$1:$H$389,6,0),"")</f>
        <v>FS</v>
      </c>
      <c r="S1700" t="str">
        <f>IFERROR(VLOOKUP(Tabela1[[#This Row],[CC]],CC!$A$1:$H$403,8,0),"")</f>
        <v>OP1</v>
      </c>
      <c r="W1700" s="91"/>
    </row>
    <row r="1701" spans="1:23" x14ac:dyDescent="0.3">
      <c r="A1701" s="25">
        <v>1360</v>
      </c>
      <c r="B1701" s="25" t="str">
        <f>IFERROR(VLOOKUP(Tabela1[[#This Row],[CC]],#REF!,5,0),"")</f>
        <v/>
      </c>
      <c r="C1701" t="str">
        <f>IFERROR(VLOOKUP(Tabela1[[#This Row],[CC]],CC!$A$1:$H$389,7,0),"")</f>
        <v>RITA ANDRADE</v>
      </c>
      <c r="D1701" t="str">
        <f>IFERROR(VLOOKUP(Tabela1[[#This Row],[CC]],CC!$A$1:$I$3869,3,0),"")</f>
        <v>SERASA</v>
      </c>
      <c r="E1701" t="str">
        <f>IFERROR(VLOOKUP(Tabela1[[#This Row],[CC]],CC!$A$1:$H$389,2,0),"")</f>
        <v>SERASA EXPERIAN (1360)</v>
      </c>
      <c r="F1701" t="s">
        <v>586</v>
      </c>
      <c r="G1701" s="107">
        <v>5102</v>
      </c>
      <c r="H1701" s="12">
        <v>46113</v>
      </c>
      <c r="I1701" s="24">
        <v>90331.199999999997</v>
      </c>
      <c r="J1701" s="27">
        <v>84775.830574261461</v>
      </c>
      <c r="K1701" s="3">
        <v>46136</v>
      </c>
      <c r="L1701" s="91">
        <v>46167</v>
      </c>
      <c r="M1701" s="11">
        <v>46169</v>
      </c>
      <c r="N1701" s="18" t="s">
        <v>588</v>
      </c>
      <c r="O1701" s="34"/>
      <c r="P1701"/>
      <c r="Q1701" t="str">
        <f>IFERROR(VLOOKUP(Tabela1[[#This Row],[CC]],CC!$A$1:$H$389,5,0),"")</f>
        <v>ADS</v>
      </c>
      <c r="R1701" t="str">
        <f>IFERROR(VLOOKUP(Tabela1[[#This Row],[CC]],CC!$A$1:$H$389,6,0),"")</f>
        <v>FS</v>
      </c>
      <c r="S1701" t="str">
        <f>IFERROR(VLOOKUP(Tabela1[[#This Row],[CC]],CC!$A$1:$H$403,8,0),"")</f>
        <v>OP1</v>
      </c>
      <c r="W1701" s="91"/>
    </row>
    <row r="1702" spans="1:23" x14ac:dyDescent="0.3">
      <c r="A1702" s="25">
        <v>1360</v>
      </c>
      <c r="B1702" s="25" t="str">
        <f>IFERROR(VLOOKUP(Tabela1[[#This Row],[CC]],#REF!,5,0),"")</f>
        <v/>
      </c>
      <c r="C1702" t="str">
        <f>IFERROR(VLOOKUP(Tabela1[[#This Row],[CC]],CC!$A$1:$H$389,7,0),"")</f>
        <v>RITA ANDRADE</v>
      </c>
      <c r="D1702" t="str">
        <f>IFERROR(VLOOKUP(Tabela1[[#This Row],[CC]],CC!$A$1:$I$3869,3,0),"")</f>
        <v>SERASA</v>
      </c>
      <c r="E1702" t="str">
        <f>IFERROR(VLOOKUP(Tabela1[[#This Row],[CC]],CC!$A$1:$H$389,2,0),"")</f>
        <v>SERASA EXPERIAN (1360)</v>
      </c>
      <c r="F1702" t="s">
        <v>586</v>
      </c>
      <c r="G1702" s="107">
        <v>5104</v>
      </c>
      <c r="H1702" s="12">
        <v>46113</v>
      </c>
      <c r="I1702" s="24">
        <v>68660.800000000003</v>
      </c>
      <c r="J1702" s="27">
        <v>64438.17</v>
      </c>
      <c r="K1702" s="3">
        <v>46139</v>
      </c>
      <c r="L1702" s="91">
        <v>46167</v>
      </c>
      <c r="M1702" s="11">
        <v>46169</v>
      </c>
      <c r="N1702" s="18" t="s">
        <v>588</v>
      </c>
      <c r="O1702" s="34"/>
      <c r="P1702"/>
      <c r="Q1702" t="str">
        <f>IFERROR(VLOOKUP(Tabela1[[#This Row],[CC]],CC!$A$1:$H$389,5,0),"")</f>
        <v>ADS</v>
      </c>
      <c r="R1702" t="str">
        <f>IFERROR(VLOOKUP(Tabela1[[#This Row],[CC]],CC!$A$1:$H$389,6,0),"")</f>
        <v>FS</v>
      </c>
      <c r="S1702" t="str">
        <f>IFERROR(VLOOKUP(Tabela1[[#This Row],[CC]],CC!$A$1:$H$403,8,0),"")</f>
        <v>OP1</v>
      </c>
      <c r="W1702" s="91"/>
    </row>
    <row r="1703" spans="1:23" x14ac:dyDescent="0.3">
      <c r="A1703" s="25">
        <v>1360</v>
      </c>
      <c r="B1703" s="25" t="str">
        <f>IFERROR(VLOOKUP(Tabela1[[#This Row],[CC]],#REF!,5,0),"")</f>
        <v/>
      </c>
      <c r="C1703" t="str">
        <f>IFERROR(VLOOKUP(Tabela1[[#This Row],[CC]],CC!$A$1:$H$389,7,0),"")</f>
        <v>RITA ANDRADE</v>
      </c>
      <c r="D1703" t="str">
        <f>IFERROR(VLOOKUP(Tabela1[[#This Row],[CC]],CC!$A$1:$I$3869,3,0),"")</f>
        <v>SERASA</v>
      </c>
      <c r="E1703" t="str">
        <f>IFERROR(VLOOKUP(Tabela1[[#This Row],[CC]],CC!$A$1:$H$389,2,0),"")</f>
        <v>SERASA EXPERIAN (1360)</v>
      </c>
      <c r="F1703" t="s">
        <v>586</v>
      </c>
      <c r="G1703" s="107">
        <v>5106</v>
      </c>
      <c r="H1703" s="12">
        <v>46113</v>
      </c>
      <c r="I1703" s="24">
        <v>65998.399999999994</v>
      </c>
      <c r="J1703" s="27">
        <v>61939.51</v>
      </c>
      <c r="K1703" s="3">
        <v>46139</v>
      </c>
      <c r="L1703" s="91">
        <v>46167</v>
      </c>
      <c r="M1703" s="11">
        <v>46169</v>
      </c>
      <c r="N1703" s="18" t="s">
        <v>588</v>
      </c>
      <c r="O1703" s="34"/>
      <c r="P1703"/>
      <c r="Q1703" t="str">
        <f>IFERROR(VLOOKUP(Tabela1[[#This Row],[CC]],CC!$A$1:$H$389,5,0),"")</f>
        <v>ADS</v>
      </c>
      <c r="R1703" t="str">
        <f>IFERROR(VLOOKUP(Tabela1[[#This Row],[CC]],CC!$A$1:$H$389,6,0),"")</f>
        <v>FS</v>
      </c>
      <c r="S1703" t="str">
        <f>IFERROR(VLOOKUP(Tabela1[[#This Row],[CC]],CC!$A$1:$H$403,8,0),"")</f>
        <v>OP1</v>
      </c>
      <c r="W1703" s="91"/>
    </row>
    <row r="1704" spans="1:23" x14ac:dyDescent="0.3">
      <c r="A1704" s="25">
        <v>1360</v>
      </c>
      <c r="B1704" s="25" t="str">
        <f>IFERROR(VLOOKUP(Tabela1[[#This Row],[CC]],#REF!,5,0),"")</f>
        <v/>
      </c>
      <c r="C1704" t="str">
        <f>IFERROR(VLOOKUP(Tabela1[[#This Row],[CC]],CC!$A$1:$H$389,7,0),"")</f>
        <v>RITA ANDRADE</v>
      </c>
      <c r="D1704" t="str">
        <f>IFERROR(VLOOKUP(Tabela1[[#This Row],[CC]],CC!$A$1:$I$3869,3,0),"")</f>
        <v>SERASA</v>
      </c>
      <c r="E1704" t="str">
        <f>IFERROR(VLOOKUP(Tabela1[[#This Row],[CC]],CC!$A$1:$H$389,2,0),"")</f>
        <v>SERASA EXPERIAN (1360)</v>
      </c>
      <c r="F1704" t="s">
        <v>586</v>
      </c>
      <c r="G1704" s="107">
        <v>5107</v>
      </c>
      <c r="H1704" s="12">
        <v>46113</v>
      </c>
      <c r="I1704" s="24">
        <v>87080</v>
      </c>
      <c r="J1704" s="24">
        <v>81724.58</v>
      </c>
      <c r="K1704" s="3">
        <v>46140</v>
      </c>
      <c r="L1704" s="91">
        <v>46167</v>
      </c>
      <c r="M1704" s="11">
        <v>46170</v>
      </c>
      <c r="N1704" s="18" t="s">
        <v>588</v>
      </c>
      <c r="O1704" s="34"/>
      <c r="P1704"/>
      <c r="Q1704" t="str">
        <f>IFERROR(VLOOKUP(Tabela1[[#This Row],[CC]],CC!$A$1:$H$389,5,0),"")</f>
        <v>ADS</v>
      </c>
      <c r="R1704" t="str">
        <f>IFERROR(VLOOKUP(Tabela1[[#This Row],[CC]],CC!$A$1:$H$389,6,0),"")</f>
        <v>FS</v>
      </c>
      <c r="S1704" t="str">
        <f>IFERROR(VLOOKUP(Tabela1[[#This Row],[CC]],CC!$A$1:$H$403,8,0),"")</f>
        <v>OP1</v>
      </c>
      <c r="W1704" s="91"/>
    </row>
    <row r="1705" spans="1:23" x14ac:dyDescent="0.3">
      <c r="A1705" s="25">
        <v>1360</v>
      </c>
      <c r="B1705" s="25" t="str">
        <f>IFERROR(VLOOKUP(Tabela1[[#This Row],[CC]],#REF!,5,0),"")</f>
        <v/>
      </c>
      <c r="C1705" t="str">
        <f>IFERROR(VLOOKUP(Tabela1[[#This Row],[CC]],CC!$A$1:$H$389,7,0),"")</f>
        <v>RITA ANDRADE</v>
      </c>
      <c r="D1705" t="str">
        <f>IFERROR(VLOOKUP(Tabela1[[#This Row],[CC]],CC!$A$1:$I$3869,3,0),"")</f>
        <v>SERASA</v>
      </c>
      <c r="E1705" t="str">
        <f>IFERROR(VLOOKUP(Tabela1[[#This Row],[CC]],CC!$A$1:$H$389,2,0),"")</f>
        <v>SERASA EXPERIAN (1360)</v>
      </c>
      <c r="F1705" t="s">
        <v>586</v>
      </c>
      <c r="G1705" s="107">
        <v>5111</v>
      </c>
      <c r="H1705" s="12">
        <v>46113</v>
      </c>
      <c r="I1705" s="24">
        <v>61571.199999999997</v>
      </c>
      <c r="J1705" s="24">
        <v>57784.57</v>
      </c>
      <c r="K1705" s="3">
        <v>46141</v>
      </c>
      <c r="L1705" s="91">
        <v>46167</v>
      </c>
      <c r="M1705" s="11">
        <v>46171</v>
      </c>
      <c r="N1705" s="18" t="s">
        <v>588</v>
      </c>
      <c r="O1705" s="34"/>
      <c r="P1705"/>
      <c r="Q1705" t="str">
        <f>IFERROR(VLOOKUP(Tabela1[[#This Row],[CC]],CC!$A$1:$H$389,5,0),"")</f>
        <v>ADS</v>
      </c>
      <c r="R1705" t="str">
        <f>IFERROR(VLOOKUP(Tabela1[[#This Row],[CC]],CC!$A$1:$H$389,6,0),"")</f>
        <v>FS</v>
      </c>
      <c r="S1705" t="str">
        <f>IFERROR(VLOOKUP(Tabela1[[#This Row],[CC]],CC!$A$1:$H$403,8,0),"")</f>
        <v>OP1</v>
      </c>
      <c r="W1705" s="91"/>
    </row>
    <row r="1706" spans="1:23" x14ac:dyDescent="0.3">
      <c r="A1706" s="25">
        <v>1360</v>
      </c>
      <c r="B1706" s="25" t="str">
        <f>IFERROR(VLOOKUP(Tabela1[[#This Row],[CC]],#REF!,5,0),"")</f>
        <v/>
      </c>
      <c r="C1706" t="str">
        <f>IFERROR(VLOOKUP(Tabela1[[#This Row],[CC]],CC!$A$1:$H$389,7,0),"")</f>
        <v>RITA ANDRADE</v>
      </c>
      <c r="D1706" t="str">
        <f>IFERROR(VLOOKUP(Tabela1[[#This Row],[CC]],CC!$A$1:$I$3869,3,0),"")</f>
        <v>SERASA</v>
      </c>
      <c r="E1706" t="str">
        <f>IFERROR(VLOOKUP(Tabela1[[#This Row],[CC]],CC!$A$1:$H$389,2,0),"")</f>
        <v>SERASA EXPERIAN (1360)</v>
      </c>
      <c r="F1706" t="s">
        <v>586</v>
      </c>
      <c r="G1706" s="107">
        <v>5112</v>
      </c>
      <c r="H1706" s="12">
        <v>46113</v>
      </c>
      <c r="I1706" s="24">
        <v>59897.31</v>
      </c>
      <c r="J1706" s="24">
        <v>56213.63</v>
      </c>
      <c r="K1706" s="3">
        <v>46141</v>
      </c>
      <c r="L1706" s="91">
        <v>46167</v>
      </c>
      <c r="M1706" s="11">
        <v>46171</v>
      </c>
      <c r="N1706" s="18" t="s">
        <v>588</v>
      </c>
      <c r="O1706" s="34"/>
      <c r="P1706"/>
      <c r="Q1706" t="str">
        <f>IFERROR(VLOOKUP(Tabela1[[#This Row],[CC]],CC!$A$1:$H$389,5,0),"")</f>
        <v>ADS</v>
      </c>
      <c r="R1706" t="str">
        <f>IFERROR(VLOOKUP(Tabela1[[#This Row],[CC]],CC!$A$1:$H$389,6,0),"")</f>
        <v>FS</v>
      </c>
      <c r="S1706" t="str">
        <f>IFERROR(VLOOKUP(Tabela1[[#This Row],[CC]],CC!$A$1:$H$403,8,0),"")</f>
        <v>OP1</v>
      </c>
      <c r="W1706" s="91"/>
    </row>
    <row r="1707" spans="1:23" x14ac:dyDescent="0.3">
      <c r="A1707" s="25">
        <v>1360</v>
      </c>
      <c r="B1707" s="25" t="str">
        <f>IFERROR(VLOOKUP(Tabela1[[#This Row],[CC]],#REF!,5,0),"")</f>
        <v/>
      </c>
      <c r="C1707" t="str">
        <f>IFERROR(VLOOKUP(Tabela1[[#This Row],[CC]],CC!$A$1:$H$389,7,0),"")</f>
        <v>RITA ANDRADE</v>
      </c>
      <c r="D1707" t="str">
        <f>IFERROR(VLOOKUP(Tabela1[[#This Row],[CC]],CC!$A$1:$I$3869,3,0),"")</f>
        <v>SERASA</v>
      </c>
      <c r="E1707" t="str">
        <f>IFERROR(VLOOKUP(Tabela1[[#This Row],[CC]],CC!$A$1:$H$389,2,0),"")</f>
        <v>SERASA EXPERIAN (1360)</v>
      </c>
      <c r="F1707" t="s">
        <v>586</v>
      </c>
      <c r="G1707" s="107">
        <v>5129</v>
      </c>
      <c r="H1707" s="12">
        <v>46113</v>
      </c>
      <c r="I1707" s="27">
        <v>141773.44</v>
      </c>
      <c r="J1707" s="27">
        <v>133054.38</v>
      </c>
      <c r="K1707" s="3">
        <v>46153</v>
      </c>
      <c r="L1707" s="91">
        <v>46195</v>
      </c>
      <c r="M1707" s="11"/>
      <c r="N1707" s="18" t="s">
        <v>587</v>
      </c>
      <c r="O1707" s="34"/>
      <c r="P1707"/>
      <c r="Q1707" t="str">
        <f>IFERROR(VLOOKUP(Tabela1[[#This Row],[CC]],CC!$A$1:$H$389,5,0),"")</f>
        <v>ADS</v>
      </c>
      <c r="R1707" t="str">
        <f>IFERROR(VLOOKUP(Tabela1[[#This Row],[CC]],CC!$A$1:$H$389,6,0),"")</f>
        <v>FS</v>
      </c>
      <c r="S1707" t="str">
        <f>IFERROR(VLOOKUP(Tabela1[[#This Row],[CC]],CC!$A$1:$H$403,8,0),"")</f>
        <v>OP1</v>
      </c>
      <c r="W1707" s="91"/>
    </row>
    <row r="1708" spans="1:23" x14ac:dyDescent="0.3">
      <c r="A1708" s="25">
        <v>1360</v>
      </c>
      <c r="B1708" s="25" t="str">
        <f>IFERROR(VLOOKUP(Tabela1[[#This Row],[CC]],#REF!,5,0),"")</f>
        <v/>
      </c>
      <c r="C1708" t="str">
        <f>IFERROR(VLOOKUP(Tabela1[[#This Row],[CC]],CC!$A$1:$H$389,7,0),"")</f>
        <v>RITA ANDRADE</v>
      </c>
      <c r="D1708" t="str">
        <f>IFERROR(VLOOKUP(Tabela1[[#This Row],[CC]],CC!$A$1:$I$3869,3,0),"")</f>
        <v>SERASA</v>
      </c>
      <c r="E1708" t="str">
        <f>IFERROR(VLOOKUP(Tabela1[[#This Row],[CC]],CC!$A$1:$H$389,2,0),"")</f>
        <v>SERASA EXPERIAN (1360)</v>
      </c>
      <c r="F1708" t="s">
        <v>586</v>
      </c>
      <c r="G1708" s="107">
        <v>5172</v>
      </c>
      <c r="H1708" s="12">
        <v>46143</v>
      </c>
      <c r="I1708" s="27">
        <v>27540.6</v>
      </c>
      <c r="J1708" s="27">
        <v>25846.85</v>
      </c>
      <c r="K1708" s="3">
        <v>46162</v>
      </c>
      <c r="L1708" s="91">
        <v>46195</v>
      </c>
      <c r="M1708" s="11"/>
      <c r="N1708" s="18" t="s">
        <v>587</v>
      </c>
      <c r="O1708" s="34"/>
      <c r="P1708"/>
      <c r="Q1708" t="str">
        <f>IFERROR(VLOOKUP(Tabela1[[#This Row],[CC]],CC!$A$1:$H$389,5,0),"")</f>
        <v>ADS</v>
      </c>
      <c r="R1708" t="str">
        <f>IFERROR(VLOOKUP(Tabela1[[#This Row],[CC]],CC!$A$1:$H$389,6,0),"")</f>
        <v>FS</v>
      </c>
      <c r="S1708" t="str">
        <f>IFERROR(VLOOKUP(Tabela1[[#This Row],[CC]],CC!$A$1:$H$403,8,0),"")</f>
        <v>OP1</v>
      </c>
      <c r="W1708" s="91"/>
    </row>
    <row r="1709" spans="1:23" x14ac:dyDescent="0.3">
      <c r="A1709" s="25">
        <v>1360</v>
      </c>
      <c r="B1709" s="25" t="str">
        <f>IFERROR(VLOOKUP(Tabela1[[#This Row],[CC]],#REF!,5,0),"")</f>
        <v/>
      </c>
      <c r="C1709" t="str">
        <f>IFERROR(VLOOKUP(Tabela1[[#This Row],[CC]],CC!$A$1:$H$389,7,0),"")</f>
        <v>RITA ANDRADE</v>
      </c>
      <c r="D1709" t="str">
        <f>IFERROR(VLOOKUP(Tabela1[[#This Row],[CC]],CC!$A$1:$I$3869,3,0),"")</f>
        <v>SERASA</v>
      </c>
      <c r="E1709" t="str">
        <f>IFERROR(VLOOKUP(Tabela1[[#This Row],[CC]],CC!$A$1:$H$389,2,0),"")</f>
        <v>SERASA EXPERIAN (1360)</v>
      </c>
      <c r="F1709" t="s">
        <v>586</v>
      </c>
      <c r="G1709" s="107">
        <v>5169</v>
      </c>
      <c r="H1709" s="12">
        <v>46143</v>
      </c>
      <c r="I1709" s="27">
        <v>68107.199999999997</v>
      </c>
      <c r="J1709" s="27">
        <v>63918.61</v>
      </c>
      <c r="K1709" s="3">
        <v>46162</v>
      </c>
      <c r="L1709" s="91">
        <v>46195</v>
      </c>
      <c r="M1709" s="11"/>
      <c r="N1709" s="18" t="s">
        <v>587</v>
      </c>
      <c r="O1709" s="34"/>
      <c r="P1709"/>
      <c r="Q1709" t="str">
        <f>IFERROR(VLOOKUP(Tabela1[[#This Row],[CC]],CC!$A$1:$H$389,5,0),"")</f>
        <v>ADS</v>
      </c>
      <c r="R1709" t="str">
        <f>IFERROR(VLOOKUP(Tabela1[[#This Row],[CC]],CC!$A$1:$H$389,6,0),"")</f>
        <v>FS</v>
      </c>
      <c r="S1709" t="str">
        <f>IFERROR(VLOOKUP(Tabela1[[#This Row],[CC]],CC!$A$1:$H$403,8,0),"")</f>
        <v>OP1</v>
      </c>
      <c r="W1709" s="91"/>
    </row>
    <row r="1710" spans="1:23" x14ac:dyDescent="0.3">
      <c r="A1710" s="25">
        <v>1360</v>
      </c>
      <c r="B1710" s="25" t="str">
        <f>IFERROR(VLOOKUP(Tabela1[[#This Row],[CC]],#REF!,5,0),"")</f>
        <v/>
      </c>
      <c r="C1710" t="str">
        <f>IFERROR(VLOOKUP(Tabela1[[#This Row],[CC]],CC!$A$1:$H$389,7,0),"")</f>
        <v>RITA ANDRADE</v>
      </c>
      <c r="D1710" t="str">
        <f>IFERROR(VLOOKUP(Tabela1[[#This Row],[CC]],CC!$A$1:$I$3869,3,0),"")</f>
        <v>SERASA</v>
      </c>
      <c r="E1710" t="str">
        <f>IFERROR(VLOOKUP(Tabela1[[#This Row],[CC]],CC!$A$1:$H$389,2,0),"")</f>
        <v>SERASA EXPERIAN (1360)</v>
      </c>
      <c r="F1710" t="s">
        <v>586</v>
      </c>
      <c r="G1710" s="107">
        <v>5168</v>
      </c>
      <c r="H1710" s="12">
        <v>46143</v>
      </c>
      <c r="I1710" s="27">
        <v>34920</v>
      </c>
      <c r="J1710" s="27">
        <v>32772.42</v>
      </c>
      <c r="K1710" s="3">
        <v>46162</v>
      </c>
      <c r="L1710" s="91">
        <v>46195</v>
      </c>
      <c r="M1710" s="11"/>
      <c r="N1710" s="18" t="s">
        <v>587</v>
      </c>
      <c r="O1710" s="34"/>
      <c r="P1710"/>
      <c r="Q1710" t="str">
        <f>IFERROR(VLOOKUP(Tabela1[[#This Row],[CC]],CC!$A$1:$H$389,5,0),"")</f>
        <v>ADS</v>
      </c>
      <c r="R1710" t="str">
        <f>IFERROR(VLOOKUP(Tabela1[[#This Row],[CC]],CC!$A$1:$H$389,6,0),"")</f>
        <v>FS</v>
      </c>
      <c r="S1710" t="str">
        <f>IFERROR(VLOOKUP(Tabela1[[#This Row],[CC]],CC!$A$1:$H$403,8,0),"")</f>
        <v>OP1</v>
      </c>
      <c r="W1710" s="91"/>
    </row>
    <row r="1711" spans="1:23" x14ac:dyDescent="0.3">
      <c r="A1711" s="25">
        <v>1360</v>
      </c>
      <c r="B1711" s="25" t="str">
        <f>IFERROR(VLOOKUP(Tabela1[[#This Row],[CC]],#REF!,5,0),"")</f>
        <v/>
      </c>
      <c r="C1711" t="str">
        <f>IFERROR(VLOOKUP(Tabela1[[#This Row],[CC]],CC!$A$1:$H$389,7,0),"")</f>
        <v>RITA ANDRADE</v>
      </c>
      <c r="D1711" t="str">
        <f>IFERROR(VLOOKUP(Tabela1[[#This Row],[CC]],CC!$A$1:$I$3869,3,0),"")</f>
        <v>SERASA</v>
      </c>
      <c r="E1711" t="str">
        <f>IFERROR(VLOOKUP(Tabela1[[#This Row],[CC]],CC!$A$1:$H$389,2,0),"")</f>
        <v>SERASA EXPERIAN (1360)</v>
      </c>
      <c r="F1711" t="s">
        <v>586</v>
      </c>
      <c r="G1711" s="107">
        <v>5167</v>
      </c>
      <c r="H1711" s="12">
        <v>46143</v>
      </c>
      <c r="I1711" s="27">
        <v>113988.6</v>
      </c>
      <c r="J1711" s="27">
        <v>106978.3</v>
      </c>
      <c r="K1711" s="3">
        <v>46162</v>
      </c>
      <c r="L1711" s="91">
        <v>46195</v>
      </c>
      <c r="M1711" s="11"/>
      <c r="N1711" s="18" t="s">
        <v>587</v>
      </c>
      <c r="O1711" s="34"/>
      <c r="P1711"/>
      <c r="Q1711" t="str">
        <f>IFERROR(VLOOKUP(Tabela1[[#This Row],[CC]],CC!$A$1:$H$389,5,0),"")</f>
        <v>ADS</v>
      </c>
      <c r="R1711" t="str">
        <f>IFERROR(VLOOKUP(Tabela1[[#This Row],[CC]],CC!$A$1:$H$389,6,0),"")</f>
        <v>FS</v>
      </c>
      <c r="S1711" t="str">
        <f>IFERROR(VLOOKUP(Tabela1[[#This Row],[CC]],CC!$A$1:$H$403,8,0),"")</f>
        <v>OP1</v>
      </c>
      <c r="W1711" s="91"/>
    </row>
    <row r="1712" spans="1:23" x14ac:dyDescent="0.3">
      <c r="A1712" s="25">
        <v>1360</v>
      </c>
      <c r="B1712" s="25" t="str">
        <f>IFERROR(VLOOKUP(Tabela1[[#This Row],[CC]],#REF!,5,0),"")</f>
        <v/>
      </c>
      <c r="C1712" t="str">
        <f>IFERROR(VLOOKUP(Tabela1[[#This Row],[CC]],CC!$A$1:$H$389,7,0),"")</f>
        <v>RITA ANDRADE</v>
      </c>
      <c r="D1712" t="str">
        <f>IFERROR(VLOOKUP(Tabela1[[#This Row],[CC]],CC!$A$1:$I$3869,3,0),"")</f>
        <v>SERASA</v>
      </c>
      <c r="E1712" t="str">
        <f>IFERROR(VLOOKUP(Tabela1[[#This Row],[CC]],CC!$A$1:$H$389,2,0),"")</f>
        <v>SERASA EXPERIAN (1360)</v>
      </c>
      <c r="F1712" t="s">
        <v>586</v>
      </c>
      <c r="G1712" s="107">
        <v>5176</v>
      </c>
      <c r="H1712" s="12">
        <v>46143</v>
      </c>
      <c r="I1712" s="27">
        <v>119166.39999999999</v>
      </c>
      <c r="J1712" s="27">
        <v>111837.67</v>
      </c>
      <c r="K1712" s="3">
        <v>46163</v>
      </c>
      <c r="L1712" s="91">
        <v>46195</v>
      </c>
      <c r="M1712" s="11"/>
      <c r="N1712" s="18" t="s">
        <v>587</v>
      </c>
      <c r="O1712" s="34"/>
      <c r="P1712"/>
      <c r="Q1712" t="str">
        <f>IFERROR(VLOOKUP(Tabela1[[#This Row],[CC]],CC!$A$1:$H$389,5,0),"")</f>
        <v>ADS</v>
      </c>
      <c r="R1712" t="str">
        <f>IFERROR(VLOOKUP(Tabela1[[#This Row],[CC]],CC!$A$1:$H$389,6,0),"")</f>
        <v>FS</v>
      </c>
      <c r="S1712" t="str">
        <f>IFERROR(VLOOKUP(Tabela1[[#This Row],[CC]],CC!$A$1:$H$403,8,0),"")</f>
        <v>OP1</v>
      </c>
      <c r="W1712" s="91"/>
    </row>
    <row r="1713" spans="1:23" x14ac:dyDescent="0.3">
      <c r="A1713" s="25">
        <v>1360</v>
      </c>
      <c r="B1713" s="25" t="str">
        <f>IFERROR(VLOOKUP(Tabela1[[#This Row],[CC]],#REF!,5,0),"")</f>
        <v/>
      </c>
      <c r="C1713" t="str">
        <f>IFERROR(VLOOKUP(Tabela1[[#This Row],[CC]],CC!$A$1:$H$389,7,0),"")</f>
        <v>RITA ANDRADE</v>
      </c>
      <c r="D1713" t="str">
        <f>IFERROR(VLOOKUP(Tabela1[[#This Row],[CC]],CC!$A$1:$I$3869,3,0),"")</f>
        <v>SERASA</v>
      </c>
      <c r="E1713" t="str">
        <f>IFERROR(VLOOKUP(Tabela1[[#This Row],[CC]],CC!$A$1:$H$389,2,0),"")</f>
        <v>SERASA EXPERIAN (1360)</v>
      </c>
      <c r="F1713" t="s">
        <v>586</v>
      </c>
      <c r="G1713" s="107">
        <v>5175</v>
      </c>
      <c r="H1713" s="12">
        <v>46143</v>
      </c>
      <c r="I1713" s="27">
        <v>27404.080000000002</v>
      </c>
      <c r="J1713" s="27">
        <v>25718.73</v>
      </c>
      <c r="K1713" s="3">
        <v>46163</v>
      </c>
      <c r="L1713" s="91">
        <v>46195</v>
      </c>
      <c r="M1713" s="11"/>
      <c r="N1713" s="18" t="s">
        <v>587</v>
      </c>
      <c r="O1713" s="34"/>
      <c r="P1713"/>
      <c r="Q1713" t="str">
        <f>IFERROR(VLOOKUP(Tabela1[[#This Row],[CC]],CC!$A$1:$H$389,5,0),"")</f>
        <v>ADS</v>
      </c>
      <c r="R1713" t="str">
        <f>IFERROR(VLOOKUP(Tabela1[[#This Row],[CC]],CC!$A$1:$H$389,6,0),"")</f>
        <v>FS</v>
      </c>
      <c r="S1713" t="str">
        <f>IFERROR(VLOOKUP(Tabela1[[#This Row],[CC]],CC!$A$1:$H$403,8,0),"")</f>
        <v>OP1</v>
      </c>
      <c r="W1713" s="91"/>
    </row>
    <row r="1714" spans="1:23" x14ac:dyDescent="0.3">
      <c r="A1714" s="25">
        <v>1360</v>
      </c>
      <c r="B1714" s="25" t="str">
        <f>IFERROR(VLOOKUP(Tabela1[[#This Row],[CC]],#REF!,5,0),"")</f>
        <v/>
      </c>
      <c r="C1714" t="str">
        <f>IFERROR(VLOOKUP(Tabela1[[#This Row],[CC]],CC!$A$1:$H$389,7,0),"")</f>
        <v>RITA ANDRADE</v>
      </c>
      <c r="D1714" t="str">
        <f>IFERROR(VLOOKUP(Tabela1[[#This Row],[CC]],CC!$A$1:$I$3869,3,0),"")</f>
        <v>SERASA</v>
      </c>
      <c r="E1714" t="str">
        <f>IFERROR(VLOOKUP(Tabela1[[#This Row],[CC]],CC!$A$1:$H$389,2,0),"")</f>
        <v>SERASA EXPERIAN (1360)</v>
      </c>
      <c r="F1714" t="s">
        <v>586</v>
      </c>
      <c r="G1714" s="107">
        <v>5174</v>
      </c>
      <c r="H1714" s="12">
        <v>46143</v>
      </c>
      <c r="I1714" s="27">
        <v>59456.73</v>
      </c>
      <c r="J1714" s="27">
        <v>55800.140531237339</v>
      </c>
      <c r="K1714" s="3">
        <v>46163</v>
      </c>
      <c r="L1714" s="91">
        <v>46195</v>
      </c>
      <c r="M1714" s="11"/>
      <c r="N1714" s="18" t="s">
        <v>587</v>
      </c>
      <c r="O1714" s="34"/>
      <c r="P1714"/>
      <c r="Q1714" t="str">
        <f>IFERROR(VLOOKUP(Tabela1[[#This Row],[CC]],CC!$A$1:$H$389,5,0),"")</f>
        <v>ADS</v>
      </c>
      <c r="R1714" t="str">
        <f>IFERROR(VLOOKUP(Tabela1[[#This Row],[CC]],CC!$A$1:$H$389,6,0),"")</f>
        <v>FS</v>
      </c>
      <c r="S1714" t="str">
        <f>IFERROR(VLOOKUP(Tabela1[[#This Row],[CC]],CC!$A$1:$H$403,8,0),"")</f>
        <v>OP1</v>
      </c>
      <c r="W1714" s="91"/>
    </row>
    <row r="1715" spans="1:23" x14ac:dyDescent="0.3">
      <c r="A1715" s="25">
        <v>1360</v>
      </c>
      <c r="B1715" s="25" t="str">
        <f>IFERROR(VLOOKUP(Tabela1[[#This Row],[CC]],#REF!,5,0),"")</f>
        <v/>
      </c>
      <c r="C1715" t="str">
        <f>IFERROR(VLOOKUP(Tabela1[[#This Row],[CC]],CC!$A$1:$H$389,7,0),"")</f>
        <v>RITA ANDRADE</v>
      </c>
      <c r="D1715" t="str">
        <f>IFERROR(VLOOKUP(Tabela1[[#This Row],[CC]],CC!$A$1:$I$3869,3,0),"")</f>
        <v>SERASA</v>
      </c>
      <c r="E1715" t="str">
        <f>IFERROR(VLOOKUP(Tabela1[[#This Row],[CC]],CC!$A$1:$H$389,2,0),"")</f>
        <v>SERASA EXPERIAN (1360)</v>
      </c>
      <c r="F1715" t="s">
        <v>586</v>
      </c>
      <c r="G1715" s="107">
        <v>5178</v>
      </c>
      <c r="H1715" s="12">
        <v>46143</v>
      </c>
      <c r="I1715" s="27">
        <v>68660.800000000003</v>
      </c>
      <c r="J1715" s="27">
        <v>64438.160137417253</v>
      </c>
      <c r="K1715" s="3">
        <v>46164</v>
      </c>
      <c r="L1715" s="91">
        <v>46195</v>
      </c>
      <c r="M1715" s="11"/>
      <c r="N1715" s="18" t="s">
        <v>587</v>
      </c>
      <c r="O1715" s="34"/>
      <c r="P1715"/>
      <c r="Q1715" t="str">
        <f>IFERROR(VLOOKUP(Tabela1[[#This Row],[CC]],CC!$A$1:$H$389,5,0),"")</f>
        <v>ADS</v>
      </c>
      <c r="R1715" t="str">
        <f>IFERROR(VLOOKUP(Tabela1[[#This Row],[CC]],CC!$A$1:$H$389,6,0),"")</f>
        <v>FS</v>
      </c>
      <c r="S1715" t="str">
        <f>IFERROR(VLOOKUP(Tabela1[[#This Row],[CC]],CC!$A$1:$H$403,8,0),"")</f>
        <v>OP1</v>
      </c>
      <c r="W1715" s="91"/>
    </row>
    <row r="1716" spans="1:23" x14ac:dyDescent="0.3">
      <c r="A1716" s="25">
        <v>1360</v>
      </c>
      <c r="B1716" s="25" t="str">
        <f>IFERROR(VLOOKUP(Tabela1[[#This Row],[CC]],#REF!,5,0),"")</f>
        <v/>
      </c>
      <c r="C1716" t="str">
        <f>IFERROR(VLOOKUP(Tabela1[[#This Row],[CC]],CC!$A$1:$H$389,7,0),"")</f>
        <v>RITA ANDRADE</v>
      </c>
      <c r="D1716" t="str">
        <f>IFERROR(VLOOKUP(Tabela1[[#This Row],[CC]],CC!$A$1:$I$3869,3,0),"")</f>
        <v>SERASA</v>
      </c>
      <c r="E1716" t="str">
        <f>IFERROR(VLOOKUP(Tabela1[[#This Row],[CC]],CC!$A$1:$H$389,2,0),"")</f>
        <v>SERASA EXPERIAN (1360)</v>
      </c>
      <c r="F1716" t="s">
        <v>586</v>
      </c>
      <c r="G1716" s="107">
        <v>5179</v>
      </c>
      <c r="H1716" s="12">
        <v>46143</v>
      </c>
      <c r="I1716" s="27">
        <v>87080</v>
      </c>
      <c r="J1716" s="27">
        <v>81724.58</v>
      </c>
      <c r="K1716" s="3">
        <v>46167</v>
      </c>
      <c r="L1716" s="91">
        <v>46195</v>
      </c>
      <c r="M1716" s="11"/>
      <c r="N1716" s="18" t="s">
        <v>587</v>
      </c>
      <c r="O1716" s="34"/>
      <c r="P1716"/>
      <c r="Q1716" t="str">
        <f>IFERROR(VLOOKUP(Tabela1[[#This Row],[CC]],CC!$A$1:$H$389,5,0),"")</f>
        <v>ADS</v>
      </c>
      <c r="R1716" t="str">
        <f>IFERROR(VLOOKUP(Tabela1[[#This Row],[CC]],CC!$A$1:$H$389,6,0),"")</f>
        <v>FS</v>
      </c>
      <c r="S1716" t="str">
        <f>IFERROR(VLOOKUP(Tabela1[[#This Row],[CC]],CC!$A$1:$H$403,8,0),"")</f>
        <v>OP1</v>
      </c>
      <c r="W1716" s="91"/>
    </row>
    <row r="1717" spans="1:23" x14ac:dyDescent="0.3">
      <c r="A1717" s="25">
        <v>1360</v>
      </c>
      <c r="B1717" s="25" t="str">
        <f>IFERROR(VLOOKUP(Tabela1[[#This Row],[CC]],#REF!,5,0),"")</f>
        <v/>
      </c>
      <c r="C1717" t="str">
        <f>IFERROR(VLOOKUP(Tabela1[[#This Row],[CC]],CC!$A$1:$H$389,7,0),"")</f>
        <v>RITA ANDRADE</v>
      </c>
      <c r="D1717" t="str">
        <f>IFERROR(VLOOKUP(Tabela1[[#This Row],[CC]],CC!$A$1:$I$3869,3,0),"")</f>
        <v>SERASA</v>
      </c>
      <c r="E1717" t="str">
        <f>IFERROR(VLOOKUP(Tabela1[[#This Row],[CC]],CC!$A$1:$H$389,2,0),"")</f>
        <v>SERASA EXPERIAN (1360)</v>
      </c>
      <c r="F1717" t="s">
        <v>586</v>
      </c>
      <c r="G1717" s="107">
        <v>5182</v>
      </c>
      <c r="H1717" s="12">
        <v>46143</v>
      </c>
      <c r="I1717" s="27">
        <v>26990.400000000001</v>
      </c>
      <c r="J1717" s="27">
        <v>25330.49</v>
      </c>
      <c r="K1717" s="3">
        <v>46167</v>
      </c>
      <c r="L1717" s="91">
        <v>46195</v>
      </c>
      <c r="M1717" s="11"/>
      <c r="N1717" s="18" t="s">
        <v>587</v>
      </c>
      <c r="O1717" s="34"/>
      <c r="P1717"/>
      <c r="Q1717" t="str">
        <f>IFERROR(VLOOKUP(Tabela1[[#This Row],[CC]],CC!$A$1:$H$389,5,0),"")</f>
        <v>ADS</v>
      </c>
      <c r="R1717" t="str">
        <f>IFERROR(VLOOKUP(Tabela1[[#This Row],[CC]],CC!$A$1:$H$389,6,0),"")</f>
        <v>FS</v>
      </c>
      <c r="S1717" t="str">
        <f>IFERROR(VLOOKUP(Tabela1[[#This Row],[CC]],CC!$A$1:$H$403,8,0),"")</f>
        <v>OP1</v>
      </c>
      <c r="W1717" s="91"/>
    </row>
    <row r="1718" spans="1:23" x14ac:dyDescent="0.3">
      <c r="A1718" s="25">
        <v>1360</v>
      </c>
      <c r="B1718" s="25" t="str">
        <f>IFERROR(VLOOKUP(Tabela1[[#This Row],[CC]],#REF!,5,0),"")</f>
        <v/>
      </c>
      <c r="C1718" t="str">
        <f>IFERROR(VLOOKUP(Tabela1[[#This Row],[CC]],CC!$A$1:$H$389,7,0),"")</f>
        <v>RITA ANDRADE</v>
      </c>
      <c r="D1718" t="str">
        <f>IFERROR(VLOOKUP(Tabela1[[#This Row],[CC]],CC!$A$1:$I$3869,3,0),"")</f>
        <v>SERASA</v>
      </c>
      <c r="E1718" t="str">
        <f>IFERROR(VLOOKUP(Tabela1[[#This Row],[CC]],CC!$A$1:$H$389,2,0),"")</f>
        <v>SERASA EXPERIAN (1360)</v>
      </c>
      <c r="F1718" t="s">
        <v>586</v>
      </c>
      <c r="G1718" s="107">
        <v>5183</v>
      </c>
      <c r="H1718" s="12">
        <v>46143</v>
      </c>
      <c r="I1718" s="27">
        <v>17543.759999999998</v>
      </c>
      <c r="J1718" s="27">
        <v>16464.82</v>
      </c>
      <c r="K1718" s="3">
        <v>46167</v>
      </c>
      <c r="L1718" s="91">
        <v>46195</v>
      </c>
      <c r="M1718" s="11"/>
      <c r="N1718" s="18" t="s">
        <v>587</v>
      </c>
      <c r="O1718" s="34"/>
      <c r="P1718"/>
      <c r="Q1718" t="str">
        <f>IFERROR(VLOOKUP(Tabela1[[#This Row],[CC]],CC!$A$1:$H$389,5,0),"")</f>
        <v>ADS</v>
      </c>
      <c r="R1718" t="str">
        <f>IFERROR(VLOOKUP(Tabela1[[#This Row],[CC]],CC!$A$1:$H$389,6,0),"")</f>
        <v>FS</v>
      </c>
      <c r="S1718" t="str">
        <f>IFERROR(VLOOKUP(Tabela1[[#This Row],[CC]],CC!$A$1:$H$403,8,0),"")</f>
        <v>OP1</v>
      </c>
      <c r="W1718" s="91"/>
    </row>
    <row r="1719" spans="1:23" x14ac:dyDescent="0.3">
      <c r="A1719" s="25">
        <v>1360</v>
      </c>
      <c r="B1719" s="25" t="str">
        <f>IFERROR(VLOOKUP(Tabela1[[#This Row],[CC]],#REF!,5,0),"")</f>
        <v/>
      </c>
      <c r="C1719" t="str">
        <f>IFERROR(VLOOKUP(Tabela1[[#This Row],[CC]],CC!$A$1:$H$389,7,0),"")</f>
        <v>RITA ANDRADE</v>
      </c>
      <c r="D1719" t="str">
        <f>IFERROR(VLOOKUP(Tabela1[[#This Row],[CC]],CC!$A$1:$I$3869,3,0),"")</f>
        <v>SERASA</v>
      </c>
      <c r="E1719" t="str">
        <f>IFERROR(VLOOKUP(Tabela1[[#This Row],[CC]],CC!$A$1:$H$389,2,0),"")</f>
        <v>SERASA EXPERIAN (1360)</v>
      </c>
      <c r="F1719" t="s">
        <v>586</v>
      </c>
      <c r="G1719" s="107" t="s">
        <v>749</v>
      </c>
      <c r="H1719" s="12">
        <v>46113</v>
      </c>
      <c r="I1719" s="27">
        <v>180986.32</v>
      </c>
      <c r="J1719" s="27">
        <v>169855.67</v>
      </c>
      <c r="K1719" s="3">
        <v>46171</v>
      </c>
      <c r="L1719" s="91">
        <v>46202</v>
      </c>
      <c r="M1719" s="11"/>
      <c r="N1719" s="18" t="s">
        <v>587</v>
      </c>
      <c r="O1719" s="34"/>
      <c r="P1719"/>
      <c r="Q1719" t="str">
        <f>IFERROR(VLOOKUP(Tabela1[[#This Row],[CC]],CC!$A$1:$H$389,5,0),"")</f>
        <v>ADS</v>
      </c>
      <c r="R1719" t="str">
        <f>IFERROR(VLOOKUP(Tabela1[[#This Row],[CC]],CC!$A$1:$H$389,6,0),"")</f>
        <v>FS</v>
      </c>
      <c r="S1719" t="str">
        <f>IFERROR(VLOOKUP(Tabela1[[#This Row],[CC]],CC!$A$1:$H$403,8,0),"")</f>
        <v>OP1</v>
      </c>
      <c r="W1719" s="91"/>
    </row>
    <row r="1720" spans="1:23" x14ac:dyDescent="0.3">
      <c r="A1720" s="25">
        <v>1360</v>
      </c>
      <c r="B1720" s="25" t="str">
        <f>IFERROR(VLOOKUP(Tabela1[[#This Row],[CC]],#REF!,5,0),"")</f>
        <v/>
      </c>
      <c r="C1720" t="str">
        <f>IFERROR(VLOOKUP(Tabela1[[#This Row],[CC]],CC!$A$1:$H$389,7,0),"")</f>
        <v>RITA ANDRADE</v>
      </c>
      <c r="D1720" t="str">
        <f>IFERROR(VLOOKUP(Tabela1[[#This Row],[CC]],CC!$A$1:$I$3869,3,0),"")</f>
        <v>SERASA</v>
      </c>
      <c r="E1720" t="str">
        <f>IFERROR(VLOOKUP(Tabela1[[#This Row],[CC]],CC!$A$1:$H$389,2,0),"")</f>
        <v>SERASA EXPERIAN (1360)</v>
      </c>
      <c r="F1720" t="s">
        <v>586</v>
      </c>
      <c r="G1720" s="107" t="s">
        <v>750</v>
      </c>
      <c r="H1720" s="12">
        <v>46143</v>
      </c>
      <c r="I1720" s="27">
        <v>803507.04</v>
      </c>
      <c r="J1720" s="27">
        <v>754091.35</v>
      </c>
      <c r="K1720" s="3">
        <v>46171</v>
      </c>
      <c r="L1720" s="91">
        <v>46202</v>
      </c>
      <c r="M1720" s="11"/>
      <c r="N1720" s="18" t="s">
        <v>587</v>
      </c>
      <c r="O1720" s="34"/>
      <c r="P1720"/>
      <c r="Q1720" t="str">
        <f>IFERROR(VLOOKUP(Tabela1[[#This Row],[CC]],CC!$A$1:$H$389,5,0),"")</f>
        <v>ADS</v>
      </c>
      <c r="R1720" t="str">
        <f>IFERROR(VLOOKUP(Tabela1[[#This Row],[CC]],CC!$A$1:$H$389,6,0),"")</f>
        <v>FS</v>
      </c>
      <c r="S1720" t="str">
        <f>IFERROR(VLOOKUP(Tabela1[[#This Row],[CC]],CC!$A$1:$H$403,8,0),"")</f>
        <v>OP1</v>
      </c>
      <c r="W1720" s="91"/>
    </row>
    <row r="1721" spans="1:23" x14ac:dyDescent="0.3">
      <c r="A1721" s="25">
        <v>1360</v>
      </c>
      <c r="B1721" s="25" t="str">
        <f>IFERROR(VLOOKUP(Tabela1[[#This Row],[CC]],#REF!,5,0),"")</f>
        <v/>
      </c>
      <c r="C1721" t="str">
        <f>IFERROR(VLOOKUP(Tabela1[[#This Row],[CC]],CC!$A$1:$H$389,7,0),"")</f>
        <v>RITA ANDRADE</v>
      </c>
      <c r="D1721" t="str">
        <f>IFERROR(VLOOKUP(Tabela1[[#This Row],[CC]],CC!$A$1:$I$3869,3,0),"")</f>
        <v>SERASA</v>
      </c>
      <c r="E1721" t="str">
        <f>IFERROR(VLOOKUP(Tabela1[[#This Row],[CC]],CC!$A$1:$H$389,2,0),"")</f>
        <v>SERASA EXPERIAN (1360)</v>
      </c>
      <c r="F1721" t="s">
        <v>586</v>
      </c>
      <c r="G1721" s="107" t="s">
        <v>751</v>
      </c>
      <c r="H1721" s="12">
        <v>46143</v>
      </c>
      <c r="I1721" s="27">
        <v>18265.599999999999</v>
      </c>
      <c r="J1721" s="27">
        <v>17142.259999999998</v>
      </c>
      <c r="K1721" s="3">
        <v>46171</v>
      </c>
      <c r="L1721" s="91">
        <v>46202</v>
      </c>
      <c r="M1721" s="11"/>
      <c r="N1721" s="18" t="s">
        <v>587</v>
      </c>
      <c r="O1721" s="34"/>
      <c r="P1721"/>
      <c r="Q1721" t="str">
        <f>IFERROR(VLOOKUP(Tabela1[[#This Row],[CC]],CC!$A$1:$H$389,5,0),"")</f>
        <v>ADS</v>
      </c>
      <c r="R1721" t="str">
        <f>IFERROR(VLOOKUP(Tabela1[[#This Row],[CC]],CC!$A$1:$H$389,6,0),"")</f>
        <v>FS</v>
      </c>
      <c r="S1721" t="str">
        <f>IFERROR(VLOOKUP(Tabela1[[#This Row],[CC]],CC!$A$1:$H$403,8,0),"")</f>
        <v>OP1</v>
      </c>
      <c r="W1721" s="91"/>
    </row>
    <row r="1722" spans="1:23" x14ac:dyDescent="0.3">
      <c r="A1722" s="25">
        <v>1360</v>
      </c>
      <c r="B1722" s="25" t="str">
        <f>IFERROR(VLOOKUP(Tabela1[[#This Row],[CC]],#REF!,5,0),"")</f>
        <v/>
      </c>
      <c r="C1722" t="str">
        <f>IFERROR(VLOOKUP(Tabela1[[#This Row],[CC]],CC!$A$1:$H$389,7,0),"")</f>
        <v>RITA ANDRADE</v>
      </c>
      <c r="D1722" t="str">
        <f>IFERROR(VLOOKUP(Tabela1[[#This Row],[CC]],CC!$A$1:$I$3869,3,0),"")</f>
        <v>SERASA</v>
      </c>
      <c r="E1722" t="str">
        <f>IFERROR(VLOOKUP(Tabela1[[#This Row],[CC]],CC!$A$1:$H$389,2,0),"")</f>
        <v>SERASA EXPERIAN (1360)</v>
      </c>
      <c r="F1722" t="s">
        <v>586</v>
      </c>
      <c r="G1722" s="107" t="s">
        <v>752</v>
      </c>
      <c r="H1722" s="12">
        <v>46143</v>
      </c>
      <c r="I1722" s="27">
        <v>160636.79999999999</v>
      </c>
      <c r="J1722" s="27">
        <v>150757.64000000001</v>
      </c>
      <c r="K1722" s="3">
        <v>46171</v>
      </c>
      <c r="L1722" s="91">
        <v>46202</v>
      </c>
      <c r="M1722" s="11"/>
      <c r="N1722" s="18" t="s">
        <v>587</v>
      </c>
      <c r="O1722" s="34"/>
      <c r="P1722"/>
      <c r="Q1722" t="str">
        <f>IFERROR(VLOOKUP(Tabela1[[#This Row],[CC]],CC!$A$1:$H$389,5,0),"")</f>
        <v>ADS</v>
      </c>
      <c r="R1722" t="str">
        <f>IFERROR(VLOOKUP(Tabela1[[#This Row],[CC]],CC!$A$1:$H$389,6,0),"")</f>
        <v>FS</v>
      </c>
      <c r="S1722" t="str">
        <f>IFERROR(VLOOKUP(Tabela1[[#This Row],[CC]],CC!$A$1:$H$403,8,0),"")</f>
        <v>OP1</v>
      </c>
      <c r="W1722" s="91"/>
    </row>
    <row r="1723" spans="1:23" x14ac:dyDescent="0.3">
      <c r="A1723" s="25">
        <v>1360</v>
      </c>
      <c r="B1723" s="25" t="str">
        <f>IFERROR(VLOOKUP(Tabela1[[#This Row],[CC]],#REF!,5,0),"")</f>
        <v/>
      </c>
      <c r="C1723" t="str">
        <f>IFERROR(VLOOKUP(Tabela1[[#This Row],[CC]],CC!$A$1:$H$389,7,0),"")</f>
        <v>RITA ANDRADE</v>
      </c>
      <c r="D1723" t="str">
        <f>IFERROR(VLOOKUP(Tabela1[[#This Row],[CC]],CC!$A$1:$I$3869,3,0),"")</f>
        <v>SERASA</v>
      </c>
      <c r="E1723" t="str">
        <f>IFERROR(VLOOKUP(Tabela1[[#This Row],[CC]],CC!$A$1:$H$389,2,0),"")</f>
        <v>SERASA EXPERIAN (1360)</v>
      </c>
      <c r="F1723" t="s">
        <v>586</v>
      </c>
      <c r="G1723" s="107" t="s">
        <v>753</v>
      </c>
      <c r="H1723" s="12">
        <v>46113</v>
      </c>
      <c r="I1723" s="27">
        <v>18133.599999999999</v>
      </c>
      <c r="J1723" s="27">
        <v>17018.38</v>
      </c>
      <c r="K1723" s="3">
        <v>46171</v>
      </c>
      <c r="L1723" s="91">
        <v>46202</v>
      </c>
      <c r="M1723" s="11"/>
      <c r="N1723" s="18" t="s">
        <v>587</v>
      </c>
      <c r="O1723" s="34"/>
      <c r="P1723"/>
      <c r="Q1723" t="str">
        <f>IFERROR(VLOOKUP(Tabela1[[#This Row],[CC]],CC!$A$1:$H$389,5,0),"")</f>
        <v>ADS</v>
      </c>
      <c r="R1723" t="str">
        <f>IFERROR(VLOOKUP(Tabela1[[#This Row],[CC]],CC!$A$1:$H$389,6,0),"")</f>
        <v>FS</v>
      </c>
      <c r="S1723" t="str">
        <f>IFERROR(VLOOKUP(Tabela1[[#This Row],[CC]],CC!$A$1:$H$403,8,0),"")</f>
        <v>OP1</v>
      </c>
      <c r="W1723" s="91"/>
    </row>
    <row r="1724" spans="1:23" x14ac:dyDescent="0.3">
      <c r="A1724" s="25">
        <v>1360</v>
      </c>
      <c r="B1724" s="25" t="str">
        <f>IFERROR(VLOOKUP(Tabela1[[#This Row],[CC]],#REF!,5,0),"")</f>
        <v/>
      </c>
      <c r="C1724" t="str">
        <f>IFERROR(VLOOKUP(Tabela1[[#This Row],[CC]],CC!$A$1:$H$389,7,0),"")</f>
        <v>RITA ANDRADE</v>
      </c>
      <c r="D1724" t="str">
        <f>IFERROR(VLOOKUP(Tabela1[[#This Row],[CC]],CC!$A$1:$I$3869,3,0),"")</f>
        <v>SERASA</v>
      </c>
      <c r="E1724" t="str">
        <f>IFERROR(VLOOKUP(Tabela1[[#This Row],[CC]],CC!$A$1:$H$389,2,0),"")</f>
        <v>SERASA EXPERIAN (1360)</v>
      </c>
      <c r="F1724" t="s">
        <v>586</v>
      </c>
      <c r="G1724" s="107" t="s">
        <v>754</v>
      </c>
      <c r="H1724" s="12">
        <v>46143</v>
      </c>
      <c r="I1724" s="27">
        <v>60921.599999999999</v>
      </c>
      <c r="J1724" s="27">
        <v>57174.92</v>
      </c>
      <c r="K1724" s="3">
        <v>46171</v>
      </c>
      <c r="L1724" s="91">
        <v>46202</v>
      </c>
      <c r="M1724" s="11"/>
      <c r="N1724" s="18" t="s">
        <v>587</v>
      </c>
      <c r="O1724" s="34"/>
      <c r="P1724"/>
      <c r="Q1724" t="str">
        <f>IFERROR(VLOOKUP(Tabela1[[#This Row],[CC]],CC!$A$1:$H$389,5,0),"")</f>
        <v>ADS</v>
      </c>
      <c r="R1724" t="str">
        <f>IFERROR(VLOOKUP(Tabela1[[#This Row],[CC]],CC!$A$1:$H$389,6,0),"")</f>
        <v>FS</v>
      </c>
      <c r="S1724" t="str">
        <f>IFERROR(VLOOKUP(Tabela1[[#This Row],[CC]],CC!$A$1:$H$403,8,0),"")</f>
        <v>OP1</v>
      </c>
      <c r="W1724" s="91"/>
    </row>
    <row r="1725" spans="1:23" x14ac:dyDescent="0.3">
      <c r="A1725" s="25">
        <v>1388</v>
      </c>
      <c r="B1725" s="25" t="str">
        <f>IFERROR(VLOOKUP(Tabela1[[#This Row],[CC]],#REF!,5,0),"")</f>
        <v/>
      </c>
      <c r="C1725" t="str">
        <f>IFERROR(VLOOKUP(Tabela1[[#This Row],[CC]],CC!$A$1:$H$389,7,0),"")</f>
        <v>CYRO SALVATORE</v>
      </c>
      <c r="D1725" t="str">
        <f>IFERROR(VLOOKUP(Tabela1[[#This Row],[CC]],CC!$A$1:$I$3869,3,0),"")</f>
        <v>SABESP</v>
      </c>
      <c r="E1725" t="str">
        <f>IFERROR(VLOOKUP(Tabela1[[#This Row],[CC]],CC!$A$1:$H$389,2,0),"")</f>
        <v>SABESP - NETCONTROL (1388)</v>
      </c>
      <c r="F1725" t="s">
        <v>586</v>
      </c>
      <c r="G1725" s="107">
        <v>5207</v>
      </c>
      <c r="H1725" s="12">
        <v>46141</v>
      </c>
      <c r="I1725" s="24">
        <v>235726.87</v>
      </c>
      <c r="J1725" s="24">
        <v>212979.22</v>
      </c>
      <c r="K1725" s="3">
        <v>46174</v>
      </c>
      <c r="L1725" s="147">
        <v>46195</v>
      </c>
      <c r="M1725" s="11"/>
      <c r="N1725" s="18" t="s">
        <v>587</v>
      </c>
      <c r="O1725" s="34"/>
      <c r="P1725"/>
      <c r="Q1725" t="str">
        <f>IFERROR(VLOOKUP(Tabela1[[#This Row],[CC]],CC!$A$1:$H$389,5,0),"")</f>
        <v>ADS</v>
      </c>
      <c r="R1725" t="str">
        <f>IFERROR(VLOOKUP(Tabela1[[#This Row],[CC]],CC!$A$1:$H$389,6,0),"")</f>
        <v>UT</v>
      </c>
      <c r="S1725" t="str">
        <f>IFERROR(VLOOKUP(Tabela1[[#This Row],[CC]],CC!$A$1:$H$403,8,0),"")</f>
        <v>OP1</v>
      </c>
      <c r="W1725" s="91"/>
    </row>
    <row r="1726" spans="1:23" x14ac:dyDescent="0.3">
      <c r="A1726" s="25">
        <v>1388</v>
      </c>
      <c r="B1726" s="25" t="str">
        <f>IFERROR(VLOOKUP(Tabela1[[#This Row],[CC]],#REF!,5,0),"")</f>
        <v/>
      </c>
      <c r="C1726" t="str">
        <f>IFERROR(VLOOKUP(Tabela1[[#This Row],[CC]],CC!$A$1:$H$389,7,0),"")</f>
        <v>CYRO SALVATORE</v>
      </c>
      <c r="D1726" t="str">
        <f>IFERROR(VLOOKUP(Tabela1[[#This Row],[CC]],CC!$A$1:$I$3869,3,0),"")</f>
        <v>SABESP</v>
      </c>
      <c r="E1726" t="str">
        <f>IFERROR(VLOOKUP(Tabela1[[#This Row],[CC]],CC!$A$1:$H$389,2,0),"")</f>
        <v>SABESP - NETCONTROL (1388)</v>
      </c>
      <c r="F1726" t="s">
        <v>586</v>
      </c>
      <c r="G1726" s="107"/>
      <c r="H1726" s="12">
        <v>46171</v>
      </c>
      <c r="I1726" s="24">
        <v>200000</v>
      </c>
      <c r="J1726" s="24">
        <v>212979.22</v>
      </c>
      <c r="K1726" s="3">
        <v>46174</v>
      </c>
      <c r="L1726" s="91">
        <v>46195</v>
      </c>
      <c r="M1726" s="11"/>
      <c r="N1726" s="18" t="s">
        <v>572</v>
      </c>
      <c r="O1726" s="34">
        <v>220000</v>
      </c>
      <c r="P1726" t="s">
        <v>758</v>
      </c>
      <c r="Q1726" t="str">
        <f>IFERROR(VLOOKUP(Tabela1[[#This Row],[CC]],CC!$A$1:$H$389,5,0),"")</f>
        <v>ADS</v>
      </c>
      <c r="R1726" t="str">
        <f>IFERROR(VLOOKUP(Tabela1[[#This Row],[CC]],CC!$A$1:$H$389,6,0),"")</f>
        <v>UT</v>
      </c>
      <c r="S1726" t="str">
        <f>IFERROR(VLOOKUP(Tabela1[[#This Row],[CC]],CC!$A$1:$H$403,8,0),"")</f>
        <v>OP1</v>
      </c>
      <c r="W1726" s="91"/>
    </row>
    <row r="1727" spans="1:23" x14ac:dyDescent="0.3">
      <c r="A1727" s="25">
        <v>1360</v>
      </c>
      <c r="B1727" s="25" t="str">
        <f>IFERROR(VLOOKUP(Tabela1[[#This Row],[CC]],#REF!,5,0),"")</f>
        <v/>
      </c>
      <c r="C1727" t="str">
        <f>IFERROR(VLOOKUP(Tabela1[[#This Row],[CC]],CC!$A$1:$H$389,7,0),"")</f>
        <v>RITA ANDRADE</v>
      </c>
      <c r="D1727" t="str">
        <f>IFERROR(VLOOKUP(Tabela1[[#This Row],[CC]],CC!$A$1:$I$3869,3,0),"")</f>
        <v>SERASA</v>
      </c>
      <c r="E1727" t="str">
        <f>IFERROR(VLOOKUP(Tabela1[[#This Row],[CC]],CC!$A$1:$H$389,2,0),"")</f>
        <v>SERASA EXPERIAN (1360)</v>
      </c>
      <c r="F1727" t="s">
        <v>586</v>
      </c>
      <c r="G1727" s="107">
        <v>5211</v>
      </c>
      <c r="H1727" s="12">
        <v>46174</v>
      </c>
      <c r="I1727" s="27">
        <v>91434</v>
      </c>
      <c r="J1727" s="27">
        <v>85810.79</v>
      </c>
      <c r="K1727" s="3">
        <v>46176</v>
      </c>
      <c r="L1727" s="91">
        <v>46202</v>
      </c>
      <c r="M1727" s="11"/>
      <c r="N1727" s="18" t="s">
        <v>587</v>
      </c>
      <c r="O1727" s="34"/>
      <c r="P1727"/>
      <c r="Q1727" t="str">
        <f>IFERROR(VLOOKUP(Tabela1[[#This Row],[CC]],CC!$A$1:$H$389,5,0),"")</f>
        <v>ADS</v>
      </c>
      <c r="R1727" t="str">
        <f>IFERROR(VLOOKUP(Tabela1[[#This Row],[CC]],CC!$A$1:$H$389,6,0),"")</f>
        <v>FS</v>
      </c>
      <c r="S1727" t="str">
        <f>IFERROR(VLOOKUP(Tabela1[[#This Row],[CC]],CC!$A$1:$H$403,8,0),"")</f>
        <v>OP1</v>
      </c>
      <c r="W1727" s="91">
        <v>46202</v>
      </c>
    </row>
    <row r="1728" spans="1:23" x14ac:dyDescent="0.3">
      <c r="A1728" s="25">
        <v>1360</v>
      </c>
      <c r="B1728" s="25" t="str">
        <f>IFERROR(VLOOKUP(Tabela1[[#This Row],[CC]],#REF!,5,0),"")</f>
        <v/>
      </c>
      <c r="C1728" t="str">
        <f>IFERROR(VLOOKUP(Tabela1[[#This Row],[CC]],CC!$A$1:$H$389,7,0),"")</f>
        <v>RITA ANDRADE</v>
      </c>
      <c r="D1728" t="str">
        <f>IFERROR(VLOOKUP(Tabela1[[#This Row],[CC]],CC!$A$1:$I$3869,3,0),"")</f>
        <v>SERASA</v>
      </c>
      <c r="E1728" t="str">
        <f>IFERROR(VLOOKUP(Tabela1[[#This Row],[CC]],CC!$A$1:$H$389,2,0),"")</f>
        <v>SERASA EXPERIAN (1360)</v>
      </c>
      <c r="F1728" t="s">
        <v>586</v>
      </c>
      <c r="G1728" s="107">
        <v>5212</v>
      </c>
      <c r="H1728" s="12">
        <v>46174</v>
      </c>
      <c r="I1728" s="27">
        <v>57909.599999999999</v>
      </c>
      <c r="J1728" s="27">
        <v>54348.15</v>
      </c>
      <c r="K1728" s="3">
        <v>46176</v>
      </c>
      <c r="L1728" s="91">
        <v>46202</v>
      </c>
      <c r="M1728" s="11"/>
      <c r="N1728" s="18" t="s">
        <v>587</v>
      </c>
      <c r="O1728" s="34"/>
      <c r="P1728"/>
      <c r="Q1728" t="str">
        <f>IFERROR(VLOOKUP(Tabela1[[#This Row],[CC]],CC!$A$1:$H$389,5,0),"")</f>
        <v>ADS</v>
      </c>
      <c r="R1728" t="str">
        <f>IFERROR(VLOOKUP(Tabela1[[#This Row],[CC]],CC!$A$1:$H$389,6,0),"")</f>
        <v>FS</v>
      </c>
      <c r="S1728" t="str">
        <f>IFERROR(VLOOKUP(Tabela1[[#This Row],[CC]],CC!$A$1:$H$403,8,0),"")</f>
        <v>OP1</v>
      </c>
      <c r="W1728" s="91">
        <v>46202</v>
      </c>
    </row>
    <row r="1729" spans="1:23" x14ac:dyDescent="0.3">
      <c r="A1729" s="25">
        <v>1360</v>
      </c>
      <c r="B1729" s="25" t="str">
        <f>IFERROR(VLOOKUP(Tabela1[[#This Row],[CC]],#REF!,5,0),"")</f>
        <v/>
      </c>
      <c r="C1729" t="str">
        <f>IFERROR(VLOOKUP(Tabela1[[#This Row],[CC]],CC!$A$1:$H$389,7,0),"")</f>
        <v>RITA ANDRADE</v>
      </c>
      <c r="D1729" t="str">
        <f>IFERROR(VLOOKUP(Tabela1[[#This Row],[CC]],CC!$A$1:$I$3869,3,0),"")</f>
        <v>SERASA</v>
      </c>
      <c r="E1729" t="str">
        <f>IFERROR(VLOOKUP(Tabela1[[#This Row],[CC]],CC!$A$1:$H$389,2,0),"")</f>
        <v>SERASA EXPERIAN (1360)</v>
      </c>
      <c r="F1729" t="s">
        <v>586</v>
      </c>
      <c r="G1729" s="107">
        <v>5214</v>
      </c>
      <c r="H1729" s="12">
        <v>46174</v>
      </c>
      <c r="I1729" s="27">
        <v>28339.919999999998</v>
      </c>
      <c r="J1729" s="27">
        <v>26597.01</v>
      </c>
      <c r="K1729" s="3">
        <v>46176</v>
      </c>
      <c r="L1729" s="91">
        <v>46202</v>
      </c>
      <c r="M1729" s="11"/>
      <c r="N1729" s="18" t="s">
        <v>587</v>
      </c>
      <c r="O1729" s="34"/>
      <c r="P1729"/>
      <c r="Q1729" t="str">
        <f>IFERROR(VLOOKUP(Tabela1[[#This Row],[CC]],CC!$A$1:$H$389,5,0),"")</f>
        <v>ADS</v>
      </c>
      <c r="R1729" t="str">
        <f>IFERROR(VLOOKUP(Tabela1[[#This Row],[CC]],CC!$A$1:$H$389,6,0),"")</f>
        <v>FS</v>
      </c>
      <c r="S1729" t="str">
        <f>IFERROR(VLOOKUP(Tabela1[[#This Row],[CC]],CC!$A$1:$H$403,8,0),"")</f>
        <v>OP1</v>
      </c>
      <c r="W1729" s="91">
        <v>46202</v>
      </c>
    </row>
    <row r="1730" spans="1:23" x14ac:dyDescent="0.3">
      <c r="A1730" s="25">
        <v>1360</v>
      </c>
      <c r="B1730" s="25" t="str">
        <f>IFERROR(VLOOKUP(Tabela1[[#This Row],[CC]],#REF!,5,0),"")</f>
        <v/>
      </c>
      <c r="C1730" t="str">
        <f>IFERROR(VLOOKUP(Tabela1[[#This Row],[CC]],CC!$A$1:$H$389,7,0),"")</f>
        <v>RITA ANDRADE</v>
      </c>
      <c r="D1730" t="str">
        <f>IFERROR(VLOOKUP(Tabela1[[#This Row],[CC]],CC!$A$1:$I$3869,3,0),"")</f>
        <v>SERASA</v>
      </c>
      <c r="E1730" t="str">
        <f>IFERROR(VLOOKUP(Tabela1[[#This Row],[CC]],CC!$A$1:$H$389,2,0),"")</f>
        <v>SERASA EXPERIAN (1360)</v>
      </c>
      <c r="F1730" t="s">
        <v>586</v>
      </c>
      <c r="G1730" s="107">
        <v>5216</v>
      </c>
      <c r="H1730" s="12">
        <v>46143</v>
      </c>
      <c r="I1730" s="27">
        <v>41449.599999999999</v>
      </c>
      <c r="J1730" s="27">
        <v>38900.44</v>
      </c>
      <c r="K1730" s="3">
        <v>46176</v>
      </c>
      <c r="L1730" s="91">
        <v>46202</v>
      </c>
      <c r="M1730" s="11"/>
      <c r="N1730" s="18" t="s">
        <v>587</v>
      </c>
      <c r="O1730" s="34"/>
      <c r="P1730"/>
      <c r="Q1730" t="str">
        <f>IFERROR(VLOOKUP(Tabela1[[#This Row],[CC]],CC!$A$1:$H$389,5,0),"")</f>
        <v>ADS</v>
      </c>
      <c r="R1730" t="str">
        <f>IFERROR(VLOOKUP(Tabela1[[#This Row],[CC]],CC!$A$1:$H$389,6,0),"")</f>
        <v>FS</v>
      </c>
      <c r="S1730" t="str">
        <f>IFERROR(VLOOKUP(Tabela1[[#This Row],[CC]],CC!$A$1:$H$403,8,0),"")</f>
        <v>OP1</v>
      </c>
      <c r="W1730" s="91">
        <v>46202</v>
      </c>
    </row>
    <row r="1731" spans="1:23" x14ac:dyDescent="0.3">
      <c r="A1731" s="25">
        <v>1360</v>
      </c>
      <c r="B1731" s="25" t="str">
        <f>IFERROR(VLOOKUP(Tabela1[[#This Row],[CC]],#REF!,5,0),"")</f>
        <v/>
      </c>
      <c r="C1731" t="str">
        <f>IFERROR(VLOOKUP(Tabela1[[#This Row],[CC]],CC!$A$1:$H$389,7,0),"")</f>
        <v>RITA ANDRADE</v>
      </c>
      <c r="D1731" t="str">
        <f>IFERROR(VLOOKUP(Tabela1[[#This Row],[CC]],CC!$A$1:$I$3869,3,0),"")</f>
        <v>SERASA</v>
      </c>
      <c r="E1731" t="str">
        <f>IFERROR(VLOOKUP(Tabela1[[#This Row],[CC]],CC!$A$1:$H$389,2,0),"")</f>
        <v>SERASA EXPERIAN (1360)</v>
      </c>
      <c r="F1731" t="s">
        <v>586</v>
      </c>
      <c r="G1731" s="107">
        <v>5217</v>
      </c>
      <c r="H1731" s="12">
        <v>46113</v>
      </c>
      <c r="I1731" s="27">
        <v>49671.040000000001</v>
      </c>
      <c r="J1731" s="27">
        <v>46616.26</v>
      </c>
      <c r="K1731" s="3">
        <v>46176</v>
      </c>
      <c r="L1731" s="91">
        <v>46202</v>
      </c>
      <c r="M1731" s="11"/>
      <c r="N1731" s="18" t="s">
        <v>587</v>
      </c>
      <c r="O1731" s="34"/>
      <c r="P1731"/>
      <c r="Q1731" t="str">
        <f>IFERROR(VLOOKUP(Tabela1[[#This Row],[CC]],CC!$A$1:$H$389,5,0),"")</f>
        <v>ADS</v>
      </c>
      <c r="R1731" t="str">
        <f>IFERROR(VLOOKUP(Tabela1[[#This Row],[CC]],CC!$A$1:$H$389,6,0),"")</f>
        <v>FS</v>
      </c>
      <c r="S1731" t="str">
        <f>IFERROR(VLOOKUP(Tabela1[[#This Row],[CC]],CC!$A$1:$H$403,8,0),"")</f>
        <v>OP1</v>
      </c>
      <c r="W1731" s="91">
        <v>46202</v>
      </c>
    </row>
    <row r="1732" spans="1:23" x14ac:dyDescent="0.3">
      <c r="A1732" s="25">
        <v>1360</v>
      </c>
      <c r="B1732" s="25" t="str">
        <f>IFERROR(VLOOKUP(Tabela1[[#This Row],[CC]],#REF!,5,0),"")</f>
        <v/>
      </c>
      <c r="C1732" t="str">
        <f>IFERROR(VLOOKUP(Tabela1[[#This Row],[CC]],CC!$A$1:$H$389,7,0),"")</f>
        <v>RITA ANDRADE</v>
      </c>
      <c r="D1732" t="str">
        <f>IFERROR(VLOOKUP(Tabela1[[#This Row],[CC]],CC!$A$1:$I$3869,3,0),"")</f>
        <v>SERASA</v>
      </c>
      <c r="E1732" t="str">
        <f>IFERROR(VLOOKUP(Tabela1[[#This Row],[CC]],CC!$A$1:$H$389,2,0),"")</f>
        <v>SERASA EXPERIAN (1360)</v>
      </c>
      <c r="F1732" t="s">
        <v>586</v>
      </c>
      <c r="G1732" s="107">
        <v>5213</v>
      </c>
      <c r="H1732" s="12">
        <v>46174</v>
      </c>
      <c r="I1732" s="27">
        <v>36666</v>
      </c>
      <c r="J1732" s="27">
        <v>34411.040000000001</v>
      </c>
      <c r="K1732" s="3">
        <v>46176</v>
      </c>
      <c r="L1732" s="91">
        <v>46202</v>
      </c>
      <c r="M1732" s="11"/>
      <c r="N1732" s="18" t="s">
        <v>587</v>
      </c>
      <c r="O1732" s="34"/>
      <c r="P1732"/>
      <c r="Q1732" t="str">
        <f>IFERROR(VLOOKUP(Tabela1[[#This Row],[CC]],CC!$A$1:$H$389,5,0),"")</f>
        <v>ADS</v>
      </c>
      <c r="R1732" t="str">
        <f>IFERROR(VLOOKUP(Tabela1[[#This Row],[CC]],CC!$A$1:$H$389,6,0),"")</f>
        <v>FS</v>
      </c>
      <c r="S1732" t="str">
        <f>IFERROR(VLOOKUP(Tabela1[[#This Row],[CC]],CC!$A$1:$H$403,8,0),"")</f>
        <v>OP1</v>
      </c>
      <c r="W1732" s="91">
        <v>46202</v>
      </c>
    </row>
    <row r="1733" spans="1:23" x14ac:dyDescent="0.3">
      <c r="A1733" s="25">
        <v>1360</v>
      </c>
      <c r="B1733" s="25" t="str">
        <f>IFERROR(VLOOKUP(Tabela1[[#This Row],[CC]],#REF!,5,0),"")</f>
        <v/>
      </c>
      <c r="C1733" t="str">
        <f>IFERROR(VLOOKUP(Tabela1[[#This Row],[CC]],CC!$A$1:$H$389,7,0),"")</f>
        <v>RITA ANDRADE</v>
      </c>
      <c r="D1733" t="str">
        <f>IFERROR(VLOOKUP(Tabela1[[#This Row],[CC]],CC!$A$1:$I$3869,3,0),"")</f>
        <v>SERASA</v>
      </c>
      <c r="E1733" t="str">
        <f>IFERROR(VLOOKUP(Tabela1[[#This Row],[CC]],CC!$A$1:$H$389,2,0),"")</f>
        <v>SERASA EXPERIAN (1360)</v>
      </c>
      <c r="F1733" t="s">
        <v>586</v>
      </c>
      <c r="G1733" s="107">
        <v>5220</v>
      </c>
      <c r="H1733" s="12">
        <v>46174</v>
      </c>
      <c r="I1733" s="27">
        <v>28774.28</v>
      </c>
      <c r="J1733" s="27">
        <v>27004.66</v>
      </c>
      <c r="K1733" s="3">
        <v>46181</v>
      </c>
      <c r="L1733" s="91">
        <v>46202</v>
      </c>
      <c r="M1733" s="11"/>
      <c r="N1733" s="18" t="s">
        <v>587</v>
      </c>
      <c r="O1733" s="34"/>
      <c r="P1733"/>
      <c r="Q1733" t="str">
        <f>IFERROR(VLOOKUP(Tabela1[[#This Row],[CC]],CC!$A$1:$H$389,5,0),"")</f>
        <v>ADS</v>
      </c>
      <c r="R1733" t="str">
        <f>IFERROR(VLOOKUP(Tabela1[[#This Row],[CC]],CC!$A$1:$H$389,6,0),"")</f>
        <v>FS</v>
      </c>
      <c r="S1733" t="str">
        <f>IFERROR(VLOOKUP(Tabela1[[#This Row],[CC]],CC!$A$1:$H$403,8,0),"")</f>
        <v>OP1</v>
      </c>
      <c r="W1733" s="91">
        <v>46202</v>
      </c>
    </row>
    <row r="1734" spans="1:23" x14ac:dyDescent="0.3">
      <c r="A1734" s="25">
        <v>1360</v>
      </c>
      <c r="B1734" s="25" t="str">
        <f>IFERROR(VLOOKUP(Tabela1[[#This Row],[CC]],#REF!,5,0),"")</f>
        <v/>
      </c>
      <c r="C1734" t="str">
        <f>IFERROR(VLOOKUP(Tabela1[[#This Row],[CC]],CC!$A$1:$H$389,7,0),"")</f>
        <v>RITA ANDRADE</v>
      </c>
      <c r="D1734" t="str">
        <f>IFERROR(VLOOKUP(Tabela1[[#This Row],[CC]],CC!$A$1:$I$3869,3,0),"")</f>
        <v>SERASA</v>
      </c>
      <c r="E1734" t="str">
        <f>IFERROR(VLOOKUP(Tabela1[[#This Row],[CC]],CC!$A$1:$H$389,2,0),"")</f>
        <v>SERASA EXPERIAN (1360)</v>
      </c>
      <c r="F1734" t="s">
        <v>586</v>
      </c>
      <c r="G1734" s="107">
        <v>5227</v>
      </c>
      <c r="H1734" s="12">
        <v>46174</v>
      </c>
      <c r="I1734" s="27">
        <v>54809.599999999999</v>
      </c>
      <c r="J1734" s="27">
        <v>51438.8</v>
      </c>
      <c r="K1734" s="3">
        <v>46181</v>
      </c>
      <c r="L1734" s="91">
        <v>46202</v>
      </c>
      <c r="M1734" s="11"/>
      <c r="N1734" s="18" t="s">
        <v>587</v>
      </c>
      <c r="O1734" s="34"/>
      <c r="P1734"/>
      <c r="Q1734" t="str">
        <f>IFERROR(VLOOKUP(Tabela1[[#This Row],[CC]],CC!$A$1:$H$389,5,0),"")</f>
        <v>ADS</v>
      </c>
      <c r="R1734" t="str">
        <f>IFERROR(VLOOKUP(Tabela1[[#This Row],[CC]],CC!$A$1:$H$389,6,0),"")</f>
        <v>FS</v>
      </c>
      <c r="S1734" t="str">
        <f>IFERROR(VLOOKUP(Tabela1[[#This Row],[CC]],CC!$A$1:$H$403,8,0),"")</f>
        <v>OP1</v>
      </c>
      <c r="W1734" s="91">
        <v>46202</v>
      </c>
    </row>
    <row r="1735" spans="1:23" x14ac:dyDescent="0.3">
      <c r="A1735" s="25">
        <v>1360</v>
      </c>
      <c r="B1735" s="25" t="str">
        <f>IFERROR(VLOOKUP(Tabela1[[#This Row],[CC]],#REF!,5,0),"")</f>
        <v/>
      </c>
      <c r="C1735" t="str">
        <f>IFERROR(VLOOKUP(Tabela1[[#This Row],[CC]],CC!$A$1:$H$389,7,0),"")</f>
        <v>RITA ANDRADE</v>
      </c>
      <c r="D1735" t="str">
        <f>IFERROR(VLOOKUP(Tabela1[[#This Row],[CC]],CC!$A$1:$I$3869,3,0),"")</f>
        <v>SERASA</v>
      </c>
      <c r="E1735" t="str">
        <f>IFERROR(VLOOKUP(Tabela1[[#This Row],[CC]],CC!$A$1:$H$389,2,0),"")</f>
        <v>SERASA EXPERIAN (1360)</v>
      </c>
      <c r="F1735" t="s">
        <v>586</v>
      </c>
      <c r="G1735" s="107">
        <v>5219</v>
      </c>
      <c r="H1735" s="12">
        <v>46143</v>
      </c>
      <c r="I1735" s="27">
        <v>54809.599999999999</v>
      </c>
      <c r="J1735" s="27">
        <v>51438.8</v>
      </c>
      <c r="K1735" s="3">
        <v>46181</v>
      </c>
      <c r="L1735" s="91">
        <v>46202</v>
      </c>
      <c r="M1735" s="11"/>
      <c r="N1735" s="18" t="s">
        <v>587</v>
      </c>
      <c r="O1735" s="34"/>
      <c r="P1735"/>
      <c r="Q1735" t="str">
        <f>IFERROR(VLOOKUP(Tabela1[[#This Row],[CC]],CC!$A$1:$H$389,5,0),"")</f>
        <v>ADS</v>
      </c>
      <c r="R1735" t="str">
        <f>IFERROR(VLOOKUP(Tabela1[[#This Row],[CC]],CC!$A$1:$H$389,6,0),"")</f>
        <v>FS</v>
      </c>
      <c r="S1735" t="str">
        <f>IFERROR(VLOOKUP(Tabela1[[#This Row],[CC]],CC!$A$1:$H$403,8,0),"")</f>
        <v>OP1</v>
      </c>
      <c r="W1735" s="91">
        <v>46202</v>
      </c>
    </row>
    <row r="1736" spans="1:23" x14ac:dyDescent="0.3">
      <c r="A1736" s="25">
        <v>1360</v>
      </c>
      <c r="B1736" s="25" t="str">
        <f>IFERROR(VLOOKUP(Tabela1[[#This Row],[CC]],#REF!,5,0),"")</f>
        <v/>
      </c>
      <c r="C1736" t="str">
        <f>IFERROR(VLOOKUP(Tabela1[[#This Row],[CC]],CC!$A$1:$H$389,7,0),"")</f>
        <v>RITA ANDRADE</v>
      </c>
      <c r="D1736" t="str">
        <f>IFERROR(VLOOKUP(Tabela1[[#This Row],[CC]],CC!$A$1:$I$3869,3,0),"")</f>
        <v>SERASA</v>
      </c>
      <c r="E1736" t="str">
        <f>IFERROR(VLOOKUP(Tabela1[[#This Row],[CC]],CC!$A$1:$H$389,2,0),"")</f>
        <v>SERASA EXPERIAN (1360)</v>
      </c>
      <c r="F1736" t="s">
        <v>586</v>
      </c>
      <c r="G1736" s="107">
        <v>5226</v>
      </c>
      <c r="H1736" s="12">
        <v>46113</v>
      </c>
      <c r="I1736" s="27">
        <v>54809.599999999999</v>
      </c>
      <c r="J1736" s="27">
        <v>51438.8</v>
      </c>
      <c r="K1736" s="3">
        <v>46181</v>
      </c>
      <c r="L1736" s="91">
        <v>46202</v>
      </c>
      <c r="M1736" s="11"/>
      <c r="N1736" s="18" t="s">
        <v>587</v>
      </c>
      <c r="O1736" s="34"/>
      <c r="P1736"/>
      <c r="Q1736" t="str">
        <f>IFERROR(VLOOKUP(Tabela1[[#This Row],[CC]],CC!$A$1:$H$389,5,0),"")</f>
        <v>ADS</v>
      </c>
      <c r="R1736" t="str">
        <f>IFERROR(VLOOKUP(Tabela1[[#This Row],[CC]],CC!$A$1:$H$389,6,0),"")</f>
        <v>FS</v>
      </c>
      <c r="S1736" t="str">
        <f>IFERROR(VLOOKUP(Tabela1[[#This Row],[CC]],CC!$A$1:$H$403,8,0),"")</f>
        <v>OP1</v>
      </c>
      <c r="W1736" s="91">
        <v>46202</v>
      </c>
    </row>
    <row r="1737" spans="1:23" x14ac:dyDescent="0.3">
      <c r="A1737" s="25">
        <v>1360</v>
      </c>
      <c r="B1737" s="25" t="str">
        <f>IFERROR(VLOOKUP(Tabela1[[#This Row],[CC]],#REF!,5,0),"")</f>
        <v/>
      </c>
      <c r="C1737" t="str">
        <f>IFERROR(VLOOKUP(Tabela1[[#This Row],[CC]],CC!$A$1:$H$389,7,0),"")</f>
        <v>RITA ANDRADE</v>
      </c>
      <c r="D1737" t="str">
        <f>IFERROR(VLOOKUP(Tabela1[[#This Row],[CC]],CC!$A$1:$I$3869,3,0),"")</f>
        <v>SERASA</v>
      </c>
      <c r="E1737" t="str">
        <f>IFERROR(VLOOKUP(Tabela1[[#This Row],[CC]],CC!$A$1:$H$389,2,0),"")</f>
        <v>SERASA EXPERIAN (1360)</v>
      </c>
      <c r="F1737" t="s">
        <v>586</v>
      </c>
      <c r="G1737" s="107">
        <v>5232</v>
      </c>
      <c r="H1737" s="12">
        <v>46113</v>
      </c>
      <c r="I1737" s="27">
        <v>83818.86</v>
      </c>
      <c r="J1737" s="27">
        <v>78663.990000000005</v>
      </c>
      <c r="K1737" s="3">
        <v>46181</v>
      </c>
      <c r="L1737" s="91">
        <v>46202</v>
      </c>
      <c r="M1737" s="11"/>
      <c r="N1737" s="18" t="s">
        <v>587</v>
      </c>
      <c r="O1737" s="34"/>
      <c r="P1737"/>
      <c r="Q1737" t="str">
        <f>IFERROR(VLOOKUP(Tabela1[[#This Row],[CC]],CC!$A$1:$H$389,5,0),"")</f>
        <v>ADS</v>
      </c>
      <c r="R1737" t="str">
        <f>IFERROR(VLOOKUP(Tabela1[[#This Row],[CC]],CC!$A$1:$H$389,6,0),"")</f>
        <v>FS</v>
      </c>
      <c r="S1737" t="str">
        <f>IFERROR(VLOOKUP(Tabela1[[#This Row],[CC]],CC!$A$1:$H$403,8,0),"")</f>
        <v>OP1</v>
      </c>
      <c r="W1737" s="91">
        <v>46202</v>
      </c>
    </row>
    <row r="1738" spans="1:23" x14ac:dyDescent="0.3">
      <c r="A1738" s="25">
        <v>1360</v>
      </c>
      <c r="B1738" s="25" t="str">
        <f>IFERROR(VLOOKUP(Tabela1[[#This Row],[CC]],#REF!,5,0),"")</f>
        <v/>
      </c>
      <c r="C1738" t="str">
        <f>IFERROR(VLOOKUP(Tabela1[[#This Row],[CC]],CC!$A$1:$H$389,7,0),"")</f>
        <v>RITA ANDRADE</v>
      </c>
      <c r="D1738" t="str">
        <f>IFERROR(VLOOKUP(Tabela1[[#This Row],[CC]],CC!$A$1:$I$3869,3,0),"")</f>
        <v>SERASA</v>
      </c>
      <c r="E1738" t="str">
        <f>IFERROR(VLOOKUP(Tabela1[[#This Row],[CC]],CC!$A$1:$H$389,2,0),"")</f>
        <v>SERASA EXPERIAN (1360)</v>
      </c>
      <c r="F1738" t="s">
        <v>586</v>
      </c>
      <c r="G1738" s="107">
        <v>5230</v>
      </c>
      <c r="H1738" s="12">
        <v>46174</v>
      </c>
      <c r="I1738" s="27">
        <v>58669.440000000002</v>
      </c>
      <c r="J1738" s="27">
        <v>55061.26</v>
      </c>
      <c r="K1738" s="3">
        <v>46181</v>
      </c>
      <c r="L1738" s="91">
        <v>46202</v>
      </c>
      <c r="M1738" s="11"/>
      <c r="N1738" s="18" t="s">
        <v>587</v>
      </c>
      <c r="O1738" s="34"/>
      <c r="P1738"/>
      <c r="Q1738" t="str">
        <f>IFERROR(VLOOKUP(Tabela1[[#This Row],[CC]],CC!$A$1:$H$389,5,0),"")</f>
        <v>ADS</v>
      </c>
      <c r="R1738" t="str">
        <f>IFERROR(VLOOKUP(Tabela1[[#This Row],[CC]],CC!$A$1:$H$389,6,0),"")</f>
        <v>FS</v>
      </c>
      <c r="S1738" t="str">
        <f>IFERROR(VLOOKUP(Tabela1[[#This Row],[CC]],CC!$A$1:$H$403,8,0),"")</f>
        <v>OP1</v>
      </c>
      <c r="W1738" s="91">
        <v>46202</v>
      </c>
    </row>
    <row r="1739" spans="1:23" x14ac:dyDescent="0.3">
      <c r="A1739" s="25">
        <v>1360</v>
      </c>
      <c r="B1739" s="25" t="str">
        <f>IFERROR(VLOOKUP(Tabela1[[#This Row],[CC]],#REF!,5,0),"")</f>
        <v/>
      </c>
      <c r="C1739" t="str">
        <f>IFERROR(VLOOKUP(Tabela1[[#This Row],[CC]],CC!$A$1:$H$389,7,0),"")</f>
        <v>RITA ANDRADE</v>
      </c>
      <c r="D1739" t="str">
        <f>IFERROR(VLOOKUP(Tabela1[[#This Row],[CC]],CC!$A$1:$I$3869,3,0),"")</f>
        <v>SERASA</v>
      </c>
      <c r="E1739" t="str">
        <f>IFERROR(VLOOKUP(Tabela1[[#This Row],[CC]],CC!$A$1:$H$389,2,0),"")</f>
        <v>SERASA EXPERIAN (1360)</v>
      </c>
      <c r="F1739" t="s">
        <v>586</v>
      </c>
      <c r="G1739" s="107">
        <v>5231</v>
      </c>
      <c r="H1739" s="12">
        <v>46143</v>
      </c>
      <c r="I1739" s="27">
        <v>86665.600000000006</v>
      </c>
      <c r="J1739" s="27">
        <v>81335.649999999994</v>
      </c>
      <c r="K1739" s="3">
        <v>46181</v>
      </c>
      <c r="L1739" s="91">
        <v>46202</v>
      </c>
      <c r="M1739" s="11"/>
      <c r="N1739" s="18" t="s">
        <v>587</v>
      </c>
      <c r="O1739" s="34"/>
      <c r="P1739"/>
      <c r="Q1739" t="str">
        <f>IFERROR(VLOOKUP(Tabela1[[#This Row],[CC]],CC!$A$1:$H$389,5,0),"")</f>
        <v>ADS</v>
      </c>
      <c r="R1739" t="str">
        <f>IFERROR(VLOOKUP(Tabela1[[#This Row],[CC]],CC!$A$1:$H$389,6,0),"")</f>
        <v>FS</v>
      </c>
      <c r="S1739" t="str">
        <f>IFERROR(VLOOKUP(Tabela1[[#This Row],[CC]],CC!$A$1:$H$403,8,0),"")</f>
        <v>OP1</v>
      </c>
      <c r="W1739" s="91">
        <v>46202</v>
      </c>
    </row>
    <row r="1740" spans="1:23" x14ac:dyDescent="0.3">
      <c r="A1740" s="25">
        <v>1360</v>
      </c>
      <c r="B1740" s="25" t="str">
        <f>IFERROR(VLOOKUP(Tabela1[[#This Row],[CC]],#REF!,5,0),"")</f>
        <v/>
      </c>
      <c r="C1740" t="str">
        <f>IFERROR(VLOOKUP(Tabela1[[#This Row],[CC]],CC!$A$1:$H$389,7,0),"")</f>
        <v>RITA ANDRADE</v>
      </c>
      <c r="D1740" t="str">
        <f>IFERROR(VLOOKUP(Tabela1[[#This Row],[CC]],CC!$A$1:$I$3869,3,0),"")</f>
        <v>SERASA</v>
      </c>
      <c r="E1740" t="str">
        <f>IFERROR(VLOOKUP(Tabela1[[#This Row],[CC]],CC!$A$1:$H$389,2,0),"")</f>
        <v>SERASA EXPERIAN (1360)</v>
      </c>
      <c r="F1740" t="s">
        <v>586</v>
      </c>
      <c r="G1740" s="107">
        <v>5235</v>
      </c>
      <c r="H1740" s="12">
        <v>46174</v>
      </c>
      <c r="I1740" s="27">
        <v>18265.599999999999</v>
      </c>
      <c r="J1740" s="27">
        <v>17142.259999999998</v>
      </c>
      <c r="K1740" s="3">
        <v>46181</v>
      </c>
      <c r="L1740" s="91">
        <v>46202</v>
      </c>
      <c r="M1740" s="11"/>
      <c r="N1740" s="18" t="s">
        <v>587</v>
      </c>
      <c r="O1740" s="34"/>
      <c r="P1740"/>
      <c r="Q1740" t="str">
        <f>IFERROR(VLOOKUP(Tabela1[[#This Row],[CC]],CC!$A$1:$H$389,5,0),"")</f>
        <v>ADS</v>
      </c>
      <c r="R1740" t="str">
        <f>IFERROR(VLOOKUP(Tabela1[[#This Row],[CC]],CC!$A$1:$H$389,6,0),"")</f>
        <v>FS</v>
      </c>
      <c r="S1740" t="str">
        <f>IFERROR(VLOOKUP(Tabela1[[#This Row],[CC]],CC!$A$1:$H$403,8,0),"")</f>
        <v>OP1</v>
      </c>
      <c r="W1740" s="91">
        <v>46202</v>
      </c>
    </row>
    <row r="1741" spans="1:23" x14ac:dyDescent="0.3">
      <c r="A1741" s="25">
        <v>1360</v>
      </c>
      <c r="B1741" s="25" t="str">
        <f>IFERROR(VLOOKUP(Tabela1[[#This Row],[CC]],#REF!,5,0),"")</f>
        <v/>
      </c>
      <c r="C1741" t="str">
        <f>IFERROR(VLOOKUP(Tabela1[[#This Row],[CC]],CC!$A$1:$H$389,7,0),"")</f>
        <v>RITA ANDRADE</v>
      </c>
      <c r="D1741" t="str">
        <f>IFERROR(VLOOKUP(Tabela1[[#This Row],[CC]],CC!$A$1:$I$3869,3,0),"")</f>
        <v>SERASA</v>
      </c>
      <c r="E1741" t="str">
        <f>IFERROR(VLOOKUP(Tabela1[[#This Row],[CC]],CC!$A$1:$H$389,2,0),"")</f>
        <v>SERASA EXPERIAN (1360)</v>
      </c>
      <c r="F1741" t="s">
        <v>586</v>
      </c>
      <c r="G1741" s="107">
        <v>5236</v>
      </c>
      <c r="H1741" s="12">
        <v>46174</v>
      </c>
      <c r="I1741" s="27">
        <v>53535.6</v>
      </c>
      <c r="J1741" s="27">
        <v>50243.15</v>
      </c>
      <c r="K1741" s="3">
        <v>46181</v>
      </c>
      <c r="L1741" s="91">
        <v>46202</v>
      </c>
      <c r="M1741" s="11"/>
      <c r="N1741" s="18" t="s">
        <v>587</v>
      </c>
      <c r="O1741" s="34"/>
      <c r="P1741"/>
      <c r="Q1741" t="str">
        <f>IFERROR(VLOOKUP(Tabela1[[#This Row],[CC]],CC!$A$1:$H$389,5,0),"")</f>
        <v>ADS</v>
      </c>
      <c r="R1741" t="str">
        <f>IFERROR(VLOOKUP(Tabela1[[#This Row],[CC]],CC!$A$1:$H$389,6,0),"")</f>
        <v>FS</v>
      </c>
      <c r="S1741" t="str">
        <f>IFERROR(VLOOKUP(Tabela1[[#This Row],[CC]],CC!$A$1:$H$403,8,0),"")</f>
        <v>OP1</v>
      </c>
      <c r="W1741" s="91">
        <v>46202</v>
      </c>
    </row>
    <row r="1742" spans="1:23" x14ac:dyDescent="0.3">
      <c r="A1742" s="25">
        <v>1360</v>
      </c>
      <c r="B1742" s="25" t="str">
        <f>IFERROR(VLOOKUP(Tabela1[[#This Row],[CC]],#REF!,5,0),"")</f>
        <v/>
      </c>
      <c r="C1742" t="str">
        <f>IFERROR(VLOOKUP(Tabela1[[#This Row],[CC]],CC!$A$1:$H$389,7,0),"")</f>
        <v>RITA ANDRADE</v>
      </c>
      <c r="D1742" t="str">
        <f>IFERROR(VLOOKUP(Tabela1[[#This Row],[CC]],CC!$A$1:$I$3869,3,0),"")</f>
        <v>SERASA</v>
      </c>
      <c r="E1742" t="str">
        <f>IFERROR(VLOOKUP(Tabela1[[#This Row],[CC]],CC!$A$1:$H$389,2,0),"")</f>
        <v>SERASA EXPERIAN (1360)</v>
      </c>
      <c r="F1742" t="s">
        <v>586</v>
      </c>
      <c r="G1742" s="107">
        <v>5234</v>
      </c>
      <c r="H1742" s="12">
        <v>46174</v>
      </c>
      <c r="I1742" s="27">
        <v>149680.79999999999</v>
      </c>
      <c r="J1742" s="27">
        <v>140475.41</v>
      </c>
      <c r="K1742" s="3">
        <v>46181</v>
      </c>
      <c r="L1742" s="91">
        <v>46202</v>
      </c>
      <c r="M1742" s="11"/>
      <c r="N1742" s="18" t="s">
        <v>587</v>
      </c>
      <c r="O1742" s="34"/>
      <c r="P1742"/>
      <c r="Q1742" t="str">
        <f>IFERROR(VLOOKUP(Tabela1[[#This Row],[CC]],CC!$A$1:$H$389,5,0),"")</f>
        <v>ADS</v>
      </c>
      <c r="R1742" t="str">
        <f>IFERROR(VLOOKUP(Tabela1[[#This Row],[CC]],CC!$A$1:$H$389,6,0),"")</f>
        <v>FS</v>
      </c>
      <c r="S1742" t="str">
        <f>IFERROR(VLOOKUP(Tabela1[[#This Row],[CC]],CC!$A$1:$H$403,8,0),"")</f>
        <v>OP1</v>
      </c>
      <c r="W1742" s="91">
        <v>46202</v>
      </c>
    </row>
    <row r="1743" spans="1:23" x14ac:dyDescent="0.3">
      <c r="A1743" s="25">
        <v>1360</v>
      </c>
      <c r="B1743" s="25" t="str">
        <f>IFERROR(VLOOKUP(Tabela1[[#This Row],[CC]],#REF!,5,0),"")</f>
        <v/>
      </c>
      <c r="C1743" t="str">
        <f>IFERROR(VLOOKUP(Tabela1[[#This Row],[CC]],CC!$A$1:$H$389,7,0),"")</f>
        <v>RITA ANDRADE</v>
      </c>
      <c r="D1743" t="str">
        <f>IFERROR(VLOOKUP(Tabela1[[#This Row],[CC]],CC!$A$1:$I$3869,3,0),"")</f>
        <v>SERASA</v>
      </c>
      <c r="E1743" t="str">
        <f>IFERROR(VLOOKUP(Tabela1[[#This Row],[CC]],CC!$A$1:$H$389,2,0),"")</f>
        <v>SERASA EXPERIAN (1360)</v>
      </c>
      <c r="F1743" t="s">
        <v>586</v>
      </c>
      <c r="G1743" s="107">
        <v>5238</v>
      </c>
      <c r="H1743" s="12">
        <v>46174</v>
      </c>
      <c r="I1743" s="27">
        <v>64649.760000000002</v>
      </c>
      <c r="J1743" s="27">
        <v>60673.79</v>
      </c>
      <c r="K1743" s="3">
        <v>46181</v>
      </c>
      <c r="L1743" s="91">
        <v>46202</v>
      </c>
      <c r="M1743" s="11"/>
      <c r="N1743" s="18" t="s">
        <v>587</v>
      </c>
      <c r="O1743" s="34"/>
      <c r="P1743"/>
      <c r="Q1743" t="str">
        <f>IFERROR(VLOOKUP(Tabela1[[#This Row],[CC]],CC!$A$1:$H$389,5,0),"")</f>
        <v>ADS</v>
      </c>
      <c r="R1743" t="str">
        <f>IFERROR(VLOOKUP(Tabela1[[#This Row],[CC]],CC!$A$1:$H$389,6,0),"")</f>
        <v>FS</v>
      </c>
      <c r="S1743" t="str">
        <f>IFERROR(VLOOKUP(Tabela1[[#This Row],[CC]],CC!$A$1:$H$403,8,0),"")</f>
        <v>OP1</v>
      </c>
      <c r="W1743" s="91">
        <v>46202</v>
      </c>
    </row>
    <row r="1744" spans="1:23" x14ac:dyDescent="0.3">
      <c r="A1744" s="25">
        <v>1360</v>
      </c>
      <c r="B1744" s="25" t="str">
        <f>IFERROR(VLOOKUP(Tabela1[[#This Row],[CC]],#REF!,5,0),"")</f>
        <v/>
      </c>
      <c r="C1744" t="str">
        <f>IFERROR(VLOOKUP(Tabela1[[#This Row],[CC]],CC!$A$1:$H$389,7,0),"")</f>
        <v>RITA ANDRADE</v>
      </c>
      <c r="D1744" t="str">
        <f>IFERROR(VLOOKUP(Tabela1[[#This Row],[CC]],CC!$A$1:$I$3869,3,0),"")</f>
        <v>SERASA</v>
      </c>
      <c r="E1744" t="str">
        <f>IFERROR(VLOOKUP(Tabela1[[#This Row],[CC]],CC!$A$1:$H$389,2,0),"")</f>
        <v>SERASA EXPERIAN (1360)</v>
      </c>
      <c r="F1744" t="s">
        <v>586</v>
      </c>
      <c r="G1744" s="107">
        <v>5247</v>
      </c>
      <c r="H1744" s="12">
        <v>46174</v>
      </c>
      <c r="I1744" s="27">
        <v>55765.440000000002</v>
      </c>
      <c r="J1744" s="27">
        <v>60673.79</v>
      </c>
      <c r="K1744" s="3">
        <v>46182</v>
      </c>
      <c r="L1744" s="91">
        <v>46202</v>
      </c>
      <c r="M1744" s="11"/>
      <c r="N1744" s="18" t="s">
        <v>587</v>
      </c>
      <c r="O1744" s="34"/>
      <c r="P1744"/>
      <c r="Q1744" t="str">
        <f>IFERROR(VLOOKUP(Tabela1[[#This Row],[CC]],CC!$A$1:$H$389,5,0),"")</f>
        <v>ADS</v>
      </c>
      <c r="R1744" t="str">
        <f>IFERROR(VLOOKUP(Tabela1[[#This Row],[CC]],CC!$A$1:$H$389,6,0),"")</f>
        <v>FS</v>
      </c>
      <c r="S1744" t="str">
        <f>IFERROR(VLOOKUP(Tabela1[[#This Row],[CC]],CC!$A$1:$H$403,8,0),"")</f>
        <v>OP1</v>
      </c>
      <c r="W1744" s="91">
        <v>46202</v>
      </c>
    </row>
    <row r="1745" spans="1:23" x14ac:dyDescent="0.3">
      <c r="A1745" s="25">
        <v>1360</v>
      </c>
      <c r="B1745" s="25" t="str">
        <f>IFERROR(VLOOKUP(Tabela1[[#This Row],[CC]],#REF!,5,0),"")</f>
        <v/>
      </c>
      <c r="C1745" t="str">
        <f>IFERROR(VLOOKUP(Tabela1[[#This Row],[CC]],CC!$A$1:$H$389,7,0),"")</f>
        <v>RITA ANDRADE</v>
      </c>
      <c r="D1745" t="str">
        <f>IFERROR(VLOOKUP(Tabela1[[#This Row],[CC]],CC!$A$1:$I$3869,3,0),"")</f>
        <v>SERASA</v>
      </c>
      <c r="E1745" t="str">
        <f>IFERROR(VLOOKUP(Tabela1[[#This Row],[CC]],CC!$A$1:$H$389,2,0),"")</f>
        <v>SERASA EXPERIAN (1360)</v>
      </c>
      <c r="F1745" t="s">
        <v>586</v>
      </c>
      <c r="G1745" s="107">
        <v>5248</v>
      </c>
      <c r="H1745" s="12">
        <v>46174</v>
      </c>
      <c r="I1745" s="27">
        <v>72093.84</v>
      </c>
      <c r="J1745" s="27">
        <v>60673.79</v>
      </c>
      <c r="K1745" s="3">
        <v>46182</v>
      </c>
      <c r="L1745" s="91">
        <v>46202</v>
      </c>
      <c r="M1745" s="11"/>
      <c r="N1745" s="18" t="s">
        <v>587</v>
      </c>
      <c r="O1745" s="34"/>
      <c r="P1745"/>
      <c r="Q1745" t="str">
        <f>IFERROR(VLOOKUP(Tabela1[[#This Row],[CC]],CC!$A$1:$H$389,5,0),"")</f>
        <v>ADS</v>
      </c>
      <c r="R1745" t="str">
        <f>IFERROR(VLOOKUP(Tabela1[[#This Row],[CC]],CC!$A$1:$H$389,6,0),"")</f>
        <v>FS</v>
      </c>
      <c r="S1745" t="str">
        <f>IFERROR(VLOOKUP(Tabela1[[#This Row],[CC]],CC!$A$1:$H$403,8,0),"")</f>
        <v>OP1</v>
      </c>
      <c r="W1745" s="91">
        <v>46202</v>
      </c>
    </row>
    <row r="1746" spans="1:23" x14ac:dyDescent="0.3">
      <c r="A1746" s="25">
        <v>1360</v>
      </c>
      <c r="B1746" s="25" t="str">
        <f>IFERROR(VLOOKUP(Tabela1[[#This Row],[CC]],#REF!,5,0),"")</f>
        <v/>
      </c>
      <c r="C1746" t="str">
        <f>IFERROR(VLOOKUP(Tabela1[[#This Row],[CC]],CC!$A$1:$H$389,7,0),"")</f>
        <v>RITA ANDRADE</v>
      </c>
      <c r="D1746" t="str">
        <f>IFERROR(VLOOKUP(Tabela1[[#This Row],[CC]],CC!$A$1:$I$3869,3,0),"")</f>
        <v>SERASA</v>
      </c>
      <c r="E1746" t="str">
        <f>IFERROR(VLOOKUP(Tabela1[[#This Row],[CC]],CC!$A$1:$H$389,2,0),"")</f>
        <v>SERASA EXPERIAN (1360)</v>
      </c>
      <c r="F1746" t="s">
        <v>586</v>
      </c>
      <c r="G1746" s="107">
        <v>5255</v>
      </c>
      <c r="H1746" s="12">
        <v>46174</v>
      </c>
      <c r="I1746" s="27">
        <v>102421.2</v>
      </c>
      <c r="J1746" s="27">
        <v>96122.28</v>
      </c>
      <c r="K1746" s="3">
        <v>46183</v>
      </c>
      <c r="L1746" s="91">
        <v>46202</v>
      </c>
      <c r="M1746" s="11"/>
      <c r="N1746" s="18" t="s">
        <v>587</v>
      </c>
      <c r="O1746" s="34"/>
      <c r="P1746"/>
      <c r="Q1746" t="str">
        <f>IFERROR(VLOOKUP(Tabela1[[#This Row],[CC]],CC!$A$1:$H$389,5,0),"")</f>
        <v>ADS</v>
      </c>
      <c r="R1746" t="str">
        <f>IFERROR(VLOOKUP(Tabela1[[#This Row],[CC]],CC!$A$1:$H$389,6,0),"")</f>
        <v>FS</v>
      </c>
      <c r="S1746" t="str">
        <f>IFERROR(VLOOKUP(Tabela1[[#This Row],[CC]],CC!$A$1:$H$403,8,0),"")</f>
        <v>OP1</v>
      </c>
      <c r="W1746" s="91">
        <v>46202</v>
      </c>
    </row>
    <row r="1747" spans="1:23" x14ac:dyDescent="0.3">
      <c r="A1747" s="25">
        <v>1360</v>
      </c>
      <c r="B1747" s="25" t="str">
        <f>IFERROR(VLOOKUP(Tabela1[[#This Row],[CC]],#REF!,5,0),"")</f>
        <v/>
      </c>
      <c r="C1747" t="str">
        <f>IFERROR(VLOOKUP(Tabela1[[#This Row],[CC]],CC!$A$1:$H$389,7,0),"")</f>
        <v>RITA ANDRADE</v>
      </c>
      <c r="D1747" t="str">
        <f>IFERROR(VLOOKUP(Tabela1[[#This Row],[CC]],CC!$A$1:$I$3869,3,0),"")</f>
        <v>SERASA</v>
      </c>
      <c r="E1747" t="str">
        <f>IFERROR(VLOOKUP(Tabela1[[#This Row],[CC]],CC!$A$1:$H$389,2,0),"")</f>
        <v>SERASA EXPERIAN (1360)</v>
      </c>
      <c r="F1747" t="s">
        <v>586</v>
      </c>
      <c r="G1747" s="107">
        <v>5257</v>
      </c>
      <c r="H1747" s="12">
        <v>46174</v>
      </c>
      <c r="I1747" s="27">
        <v>108386.88</v>
      </c>
      <c r="J1747" s="27">
        <v>101721.07</v>
      </c>
      <c r="K1747" s="3">
        <v>46183</v>
      </c>
      <c r="L1747" s="91">
        <v>46202</v>
      </c>
      <c r="M1747" s="11"/>
      <c r="N1747" s="18" t="s">
        <v>587</v>
      </c>
      <c r="O1747" s="34"/>
      <c r="P1747"/>
      <c r="Q1747" t="str">
        <f>IFERROR(VLOOKUP(Tabela1[[#This Row],[CC]],CC!$A$1:$H$389,5,0),"")</f>
        <v>ADS</v>
      </c>
      <c r="R1747" t="str">
        <f>IFERROR(VLOOKUP(Tabela1[[#This Row],[CC]],CC!$A$1:$H$389,6,0),"")</f>
        <v>FS</v>
      </c>
      <c r="S1747" t="str">
        <f>IFERROR(VLOOKUP(Tabela1[[#This Row],[CC]],CC!$A$1:$H$403,8,0),"")</f>
        <v>OP1</v>
      </c>
      <c r="W1747" s="91">
        <v>46202</v>
      </c>
    </row>
    <row r="1748" spans="1:23" x14ac:dyDescent="0.3">
      <c r="A1748" s="25">
        <v>1360</v>
      </c>
      <c r="B1748" s="25" t="str">
        <f>IFERROR(VLOOKUP(Tabela1[[#This Row],[CC]],#REF!,5,0),"")</f>
        <v/>
      </c>
      <c r="C1748" t="str">
        <f>IFERROR(VLOOKUP(Tabela1[[#This Row],[CC]],CC!$A$1:$H$389,7,0),"")</f>
        <v>RITA ANDRADE</v>
      </c>
      <c r="D1748" t="str">
        <f>IFERROR(VLOOKUP(Tabela1[[#This Row],[CC]],CC!$A$1:$I$3869,3,0),"")</f>
        <v>SERASA</v>
      </c>
      <c r="E1748" t="str">
        <f>IFERROR(VLOOKUP(Tabela1[[#This Row],[CC]],CC!$A$1:$H$389,2,0),"")</f>
        <v>SERASA EXPERIAN (1360)</v>
      </c>
      <c r="F1748" t="s">
        <v>586</v>
      </c>
      <c r="G1748" s="107">
        <v>5258</v>
      </c>
      <c r="H1748" s="12">
        <v>46174</v>
      </c>
      <c r="I1748" s="27">
        <v>28860.6</v>
      </c>
      <c r="J1748" s="27">
        <v>27085.67</v>
      </c>
      <c r="K1748" s="3">
        <v>46183</v>
      </c>
      <c r="L1748" s="91">
        <v>46202</v>
      </c>
      <c r="M1748" s="11"/>
      <c r="N1748" s="18" t="s">
        <v>587</v>
      </c>
      <c r="O1748" s="34"/>
      <c r="P1748"/>
      <c r="Q1748" t="str">
        <f>IFERROR(VLOOKUP(Tabela1[[#This Row],[CC]],CC!$A$1:$H$389,5,0),"")</f>
        <v>ADS</v>
      </c>
      <c r="R1748" t="str">
        <f>IFERROR(VLOOKUP(Tabela1[[#This Row],[CC]],CC!$A$1:$H$389,6,0),"")</f>
        <v>FS</v>
      </c>
      <c r="S1748" t="str">
        <f>IFERROR(VLOOKUP(Tabela1[[#This Row],[CC]],CC!$A$1:$H$403,8,0),"")</f>
        <v>OP1</v>
      </c>
      <c r="W1748" s="91">
        <v>46202</v>
      </c>
    </row>
    <row r="1749" spans="1:23" x14ac:dyDescent="0.3">
      <c r="A1749" s="25">
        <v>1360</v>
      </c>
      <c r="B1749" s="25" t="str">
        <f>IFERROR(VLOOKUP(Tabela1[[#This Row],[CC]],#REF!,5,0),"")</f>
        <v/>
      </c>
      <c r="C1749" t="str">
        <f>IFERROR(VLOOKUP(Tabela1[[#This Row],[CC]],CC!$A$1:$H$389,7,0),"")</f>
        <v>RITA ANDRADE</v>
      </c>
      <c r="D1749" t="str">
        <f>IFERROR(VLOOKUP(Tabela1[[#This Row],[CC]],CC!$A$1:$I$3869,3,0),"")</f>
        <v>SERASA</v>
      </c>
      <c r="E1749" t="str">
        <f>IFERROR(VLOOKUP(Tabela1[[#This Row],[CC]],CC!$A$1:$H$389,2,0),"")</f>
        <v>SERASA EXPERIAN (1360)</v>
      </c>
      <c r="F1749" t="s">
        <v>586</v>
      </c>
      <c r="G1749" s="107">
        <v>5259</v>
      </c>
      <c r="H1749" s="12">
        <v>46174</v>
      </c>
      <c r="I1749" s="27">
        <v>75136.639999999999</v>
      </c>
      <c r="J1749" s="27">
        <v>70515.72</v>
      </c>
      <c r="K1749" s="3">
        <v>46183</v>
      </c>
      <c r="L1749" s="91">
        <v>46202</v>
      </c>
      <c r="M1749" s="11"/>
      <c r="N1749" s="18" t="s">
        <v>587</v>
      </c>
      <c r="O1749" s="34"/>
      <c r="P1749"/>
      <c r="Q1749" t="str">
        <f>IFERROR(VLOOKUP(Tabela1[[#This Row],[CC]],CC!$A$1:$H$389,5,0),"")</f>
        <v>ADS</v>
      </c>
      <c r="R1749" t="str">
        <f>IFERROR(VLOOKUP(Tabela1[[#This Row],[CC]],CC!$A$1:$H$389,6,0),"")</f>
        <v>FS</v>
      </c>
      <c r="S1749" t="str">
        <f>IFERROR(VLOOKUP(Tabela1[[#This Row],[CC]],CC!$A$1:$H$403,8,0),"")</f>
        <v>OP1</v>
      </c>
      <c r="W1749" s="91">
        <v>46202</v>
      </c>
    </row>
    <row r="1750" spans="1:23" x14ac:dyDescent="0.3">
      <c r="A1750" s="25">
        <v>1360</v>
      </c>
      <c r="B1750" s="25" t="str">
        <f>IFERROR(VLOOKUP(Tabela1[[#This Row],[CC]],#REF!,5,0),"")</f>
        <v/>
      </c>
      <c r="C1750" t="str">
        <f>IFERROR(VLOOKUP(Tabela1[[#This Row],[CC]],CC!$A$1:$H$389,7,0),"")</f>
        <v>RITA ANDRADE</v>
      </c>
      <c r="D1750" t="str">
        <f>IFERROR(VLOOKUP(Tabela1[[#This Row],[CC]],CC!$A$1:$I$3869,3,0),"")</f>
        <v>SERASA</v>
      </c>
      <c r="E1750" t="str">
        <f>IFERROR(VLOOKUP(Tabela1[[#This Row],[CC]],CC!$A$1:$H$389,2,0),"")</f>
        <v>SERASA EXPERIAN (1360)</v>
      </c>
      <c r="F1750" t="s">
        <v>586</v>
      </c>
      <c r="G1750" s="107"/>
      <c r="H1750" s="12">
        <v>46143</v>
      </c>
      <c r="I1750" s="24">
        <f>4065000-3544508.23</f>
        <v>520491.77</v>
      </c>
      <c r="J1750" s="24"/>
      <c r="K1750" s="3">
        <v>46113</v>
      </c>
      <c r="L1750" s="91">
        <v>46202</v>
      </c>
      <c r="M1750" s="11"/>
      <c r="N1750" s="18" t="s">
        <v>572</v>
      </c>
      <c r="O1750" s="34"/>
      <c r="P1750"/>
      <c r="Q1750" t="str">
        <f>IFERROR(VLOOKUP(Tabela1[[#This Row],[CC]],CC!$A$1:$H$389,5,0),"")</f>
        <v>ADS</v>
      </c>
      <c r="R1750" t="str">
        <f>IFERROR(VLOOKUP(Tabela1[[#This Row],[CC]],CC!$A$1:$H$389,6,0),"")</f>
        <v>FS</v>
      </c>
      <c r="S1750" t="str">
        <f>IFERROR(VLOOKUP(Tabela1[[#This Row],[CC]],CC!$A$1:$H$403,8,0),"")</f>
        <v>OP1</v>
      </c>
      <c r="W1750" s="91"/>
    </row>
    <row r="1751" spans="1:23" x14ac:dyDescent="0.3">
      <c r="A1751" s="25">
        <v>1360</v>
      </c>
      <c r="B1751" s="25" t="str">
        <f>IFERROR(VLOOKUP(Tabela1[[#This Row],[CC]],#REF!,5,0),"")</f>
        <v/>
      </c>
      <c r="C1751" t="str">
        <f>IFERROR(VLOOKUP(Tabela1[[#This Row],[CC]],CC!$A$1:$H$389,7,0),"")</f>
        <v>RITA ANDRADE</v>
      </c>
      <c r="D1751" t="str">
        <f>IFERROR(VLOOKUP(Tabela1[[#This Row],[CC]],CC!$A$1:$I$3869,3,0),"")</f>
        <v>SERASA</v>
      </c>
      <c r="E1751" t="str">
        <f>IFERROR(VLOOKUP(Tabela1[[#This Row],[CC]],CC!$A$1:$H$389,2,0),"")</f>
        <v>SERASA EXPERIAN (1360)</v>
      </c>
      <c r="F1751" t="s">
        <v>586</v>
      </c>
      <c r="G1751" s="107">
        <v>4691</v>
      </c>
      <c r="H1751" s="12">
        <v>45992</v>
      </c>
      <c r="I1751" s="24">
        <v>27535.200000000001</v>
      </c>
      <c r="J1751" s="27">
        <v>25841.78</v>
      </c>
      <c r="K1751" s="3">
        <v>46003</v>
      </c>
      <c r="L1751" s="91">
        <v>46006</v>
      </c>
      <c r="M1751" s="11">
        <v>46010</v>
      </c>
      <c r="N1751" s="18" t="s">
        <v>588</v>
      </c>
      <c r="O1751" s="34"/>
      <c r="P1751"/>
      <c r="Q1751" t="str">
        <f>IFERROR(VLOOKUP(Tabela1[[#This Row],[CC]],CC!$A$1:$H$389,5,0),"")</f>
        <v>ADS</v>
      </c>
      <c r="R1751" t="str">
        <f>IFERROR(VLOOKUP(Tabela1[[#This Row],[CC]],CC!$A$1:$H$389,6,0),"")</f>
        <v>FS</v>
      </c>
      <c r="S1751" t="str">
        <f>IFERROR(VLOOKUP(Tabela1[[#This Row],[CC]],CC!$A$1:$H$403,8,0),"")</f>
        <v>OP1</v>
      </c>
      <c r="W1751" s="91"/>
    </row>
    <row r="1752" spans="1:23" x14ac:dyDescent="0.3">
      <c r="A1752" s="25">
        <v>1387</v>
      </c>
      <c r="B1752" s="25" t="str">
        <f>IFERROR(VLOOKUP(Tabela1[[#This Row],[CC]],#REF!,5,0),"")</f>
        <v/>
      </c>
      <c r="C1752" t="str">
        <f>IFERROR(VLOOKUP(Tabela1[[#This Row],[CC]],CC!$A$1:$H$389,7,0),"")</f>
        <v>RITA ANDRADE</v>
      </c>
      <c r="D1752" t="str">
        <f>IFERROR(VLOOKUP(Tabela1[[#This Row],[CC]],CC!$A$1:$I$3869,3,0),"")</f>
        <v>SERASA</v>
      </c>
      <c r="E1752" t="str">
        <f>IFERROR(VLOOKUP(Tabela1[[#This Row],[CC]],CC!$A$1:$H$389,2,0),"")</f>
        <v>SERASA DC (1387)</v>
      </c>
      <c r="F1752" t="s">
        <v>586</v>
      </c>
      <c r="G1752" s="107">
        <v>4398</v>
      </c>
      <c r="H1752" s="12">
        <v>45931</v>
      </c>
      <c r="I1752" s="24">
        <v>29920</v>
      </c>
      <c r="J1752" s="24">
        <v>28079.919999999998</v>
      </c>
      <c r="K1752" s="3">
        <v>45936</v>
      </c>
      <c r="L1752" s="91">
        <v>45985</v>
      </c>
      <c r="M1752" s="11">
        <v>45987</v>
      </c>
      <c r="N1752" s="18" t="s">
        <v>588</v>
      </c>
      <c r="O1752" s="34"/>
      <c r="P1752"/>
      <c r="Q1752" t="str">
        <f>IFERROR(VLOOKUP(Tabela1[[#This Row],[CC]],CC!$A$1:$H$389,5,0),"")</f>
        <v>CSA</v>
      </c>
      <c r="R1752" t="str">
        <f>IFERROR(VLOOKUP(Tabela1[[#This Row],[CC]],CC!$A$1:$H$389,6,0),"")</f>
        <v>FS</v>
      </c>
      <c r="S1752" t="str">
        <f>IFERROR(VLOOKUP(Tabela1[[#This Row],[CC]],CC!$A$1:$H$403,8,0),"")</f>
        <v>OP1</v>
      </c>
    </row>
    <row r="1753" spans="1:23" x14ac:dyDescent="0.3">
      <c r="A1753" s="25">
        <v>1387</v>
      </c>
      <c r="B1753" s="25" t="str">
        <f>IFERROR(VLOOKUP(Tabela1[[#This Row],[CC]],#REF!,5,0),"")</f>
        <v/>
      </c>
      <c r="C1753" t="str">
        <f>IFERROR(VLOOKUP(Tabela1[[#This Row],[CC]],CC!$A$1:$H$389,7,0),"")</f>
        <v>RITA ANDRADE</v>
      </c>
      <c r="D1753" t="str">
        <f>IFERROR(VLOOKUP(Tabela1[[#This Row],[CC]],CC!$A$1:$I$3869,3,0),"")</f>
        <v>SERASA</v>
      </c>
      <c r="E1753" t="str">
        <f>IFERROR(VLOOKUP(Tabela1[[#This Row],[CC]],CC!$A$1:$H$389,2,0),"")</f>
        <v>SERASA DC (1387)</v>
      </c>
      <c r="F1753" t="s">
        <v>586</v>
      </c>
      <c r="G1753" s="107">
        <v>4458</v>
      </c>
      <c r="H1753" s="12">
        <v>45931</v>
      </c>
      <c r="I1753" s="24">
        <v>31094.16</v>
      </c>
      <c r="J1753" s="24">
        <v>29181.88</v>
      </c>
      <c r="K1753" s="3">
        <v>45952</v>
      </c>
      <c r="L1753" s="91">
        <v>45985</v>
      </c>
      <c r="M1753" s="11">
        <v>45987</v>
      </c>
      <c r="N1753" s="18" t="s">
        <v>588</v>
      </c>
      <c r="O1753" s="34"/>
      <c r="P1753"/>
      <c r="Q1753" t="str">
        <f>IFERROR(VLOOKUP(Tabela1[[#This Row],[CC]],CC!$A$1:$H$389,5,0),"")</f>
        <v>CSA</v>
      </c>
      <c r="R1753" t="str">
        <f>IFERROR(VLOOKUP(Tabela1[[#This Row],[CC]],CC!$A$1:$H$389,6,0),"")</f>
        <v>FS</v>
      </c>
      <c r="S1753" t="str">
        <f>IFERROR(VLOOKUP(Tabela1[[#This Row],[CC]],CC!$A$1:$H$403,8,0),"")</f>
        <v>OP1</v>
      </c>
    </row>
    <row r="1754" spans="1:23" x14ac:dyDescent="0.3">
      <c r="A1754" s="25">
        <v>1387</v>
      </c>
      <c r="B1754" s="25" t="str">
        <f>IFERROR(VLOOKUP(Tabela1[[#This Row],[CC]],#REF!,5,0),"")</f>
        <v/>
      </c>
      <c r="C1754" t="str">
        <f>IFERROR(VLOOKUP(Tabela1[[#This Row],[CC]],CC!$A$1:$H$389,7,0),"")</f>
        <v>RITA ANDRADE</v>
      </c>
      <c r="D1754" t="str">
        <f>IFERROR(VLOOKUP(Tabela1[[#This Row],[CC]],CC!$A$1:$I$3869,3,0),"")</f>
        <v>SERASA</v>
      </c>
      <c r="E1754" t="str">
        <f>IFERROR(VLOOKUP(Tabela1[[#This Row],[CC]],CC!$A$1:$H$389,2,0),"")</f>
        <v>SERASA DC (1387)</v>
      </c>
      <c r="F1754" t="s">
        <v>586</v>
      </c>
      <c r="G1754" s="107">
        <v>4467</v>
      </c>
      <c r="H1754" s="12">
        <v>45931</v>
      </c>
      <c r="I1754" s="24">
        <v>74262.399999999994</v>
      </c>
      <c r="J1754" s="24">
        <v>69695.27</v>
      </c>
      <c r="K1754" s="3">
        <v>45954</v>
      </c>
      <c r="L1754" s="91">
        <v>45985</v>
      </c>
      <c r="M1754" s="11">
        <v>45987</v>
      </c>
      <c r="N1754" s="18" t="s">
        <v>588</v>
      </c>
      <c r="O1754" s="34"/>
      <c r="P1754"/>
      <c r="Q1754" t="str">
        <f>IFERROR(VLOOKUP(Tabela1[[#This Row],[CC]],CC!$A$1:$H$389,5,0),"")</f>
        <v>CSA</v>
      </c>
      <c r="R1754" t="str">
        <f>IFERROR(VLOOKUP(Tabela1[[#This Row],[CC]],CC!$A$1:$H$389,6,0),"")</f>
        <v>FS</v>
      </c>
      <c r="S1754" t="str">
        <f>IFERROR(VLOOKUP(Tabela1[[#This Row],[CC]],CC!$A$1:$H$403,8,0),"")</f>
        <v>OP1</v>
      </c>
    </row>
    <row r="1755" spans="1:23" x14ac:dyDescent="0.3">
      <c r="A1755" s="25">
        <v>1387</v>
      </c>
      <c r="B1755" s="25" t="str">
        <f>IFERROR(VLOOKUP(Tabela1[[#This Row],[CC]],#REF!,5,0),"")</f>
        <v/>
      </c>
      <c r="C1755" t="str">
        <f>IFERROR(VLOOKUP(Tabela1[[#This Row],[CC]],CC!$A$1:$H$389,7,0),"")</f>
        <v>RITA ANDRADE</v>
      </c>
      <c r="D1755" t="str">
        <f>IFERROR(VLOOKUP(Tabela1[[#This Row],[CC]],CC!$A$1:$I$3869,3,0),"")</f>
        <v>SERASA</v>
      </c>
      <c r="E1755" t="str">
        <f>IFERROR(VLOOKUP(Tabela1[[#This Row],[CC]],CC!$A$1:$H$389,2,0),"")</f>
        <v>SERASA DC (1387)</v>
      </c>
      <c r="F1755" t="s">
        <v>586</v>
      </c>
      <c r="G1755" s="107">
        <v>4472</v>
      </c>
      <c r="H1755" s="12">
        <v>45931</v>
      </c>
      <c r="I1755" s="24">
        <v>86312.56</v>
      </c>
      <c r="J1755" s="24">
        <v>81004.33</v>
      </c>
      <c r="K1755" s="3">
        <v>45958</v>
      </c>
      <c r="L1755" s="91">
        <v>45985</v>
      </c>
      <c r="M1755" s="11">
        <v>45988</v>
      </c>
      <c r="N1755" s="18" t="s">
        <v>588</v>
      </c>
      <c r="O1755" s="34"/>
      <c r="P1755"/>
      <c r="Q1755" t="str">
        <f>IFERROR(VLOOKUP(Tabela1[[#This Row],[CC]],CC!$A$1:$H$389,5,0),"")</f>
        <v>CSA</v>
      </c>
      <c r="R1755" t="str">
        <f>IFERROR(VLOOKUP(Tabela1[[#This Row],[CC]],CC!$A$1:$H$389,6,0),"")</f>
        <v>FS</v>
      </c>
      <c r="S1755" t="str">
        <f>IFERROR(VLOOKUP(Tabela1[[#This Row],[CC]],CC!$A$1:$H$403,8,0),"")</f>
        <v>OP1</v>
      </c>
    </row>
    <row r="1756" spans="1:23" x14ac:dyDescent="0.3">
      <c r="A1756" s="25">
        <v>1389</v>
      </c>
      <c r="B1756" s="25" t="str">
        <f>IFERROR(VLOOKUP(Tabela1[[#This Row],[CC]],#REF!,5,0),"")</f>
        <v/>
      </c>
      <c r="C1756" t="str">
        <f>IFERROR(VLOOKUP(Tabela1[[#This Row],[CC]],CC!$A$1:$H$389,7,0),"")</f>
        <v>EVANDRO BRAGA</v>
      </c>
      <c r="D1756" t="str">
        <f>IFERROR(VLOOKUP(Tabela1[[#This Row],[CC]],CC!$A$1:$I$3869,3,0),"")</f>
        <v>CUSTO_INDIRETO</v>
      </c>
      <c r="E1756" t="str">
        <f>IFERROR(VLOOKUP(Tabela1[[#This Row],[CC]],CC!$A$1:$H$389,2,0),"")</f>
        <v>CLOUD SERVICES (1389)</v>
      </c>
      <c r="F1756" t="s">
        <v>586</v>
      </c>
      <c r="G1756" s="107">
        <v>4435</v>
      </c>
      <c r="H1756" s="12">
        <v>45931</v>
      </c>
      <c r="I1756" s="24">
        <v>2757.37</v>
      </c>
      <c r="J1756" s="24">
        <v>2587.8000000000002</v>
      </c>
      <c r="K1756" s="3">
        <v>45944</v>
      </c>
      <c r="L1756" s="91">
        <v>45950</v>
      </c>
      <c r="M1756" s="11">
        <v>45951</v>
      </c>
      <c r="N1756" s="18" t="s">
        <v>588</v>
      </c>
      <c r="O1756" s="34">
        <v>0</v>
      </c>
      <c r="P1756" s="26"/>
      <c r="Q1756" t="str">
        <f>IFERROR(VLOOKUP(Tabela1[[#This Row],[CC]],CC!$A$1:$H$389,5,0),"")</f>
        <v>CSA</v>
      </c>
      <c r="R1756" t="str">
        <f>IFERROR(VLOOKUP(Tabela1[[#This Row],[CC]],CC!$A$1:$H$389,6,0),"")</f>
        <v>ALL</v>
      </c>
      <c r="S1756" t="str">
        <f>IFERROR(VLOOKUP(Tabela1[[#This Row],[CC]],CC!$A$1:$H$403,8,0),"")</f>
        <v>OP</v>
      </c>
    </row>
    <row r="1757" spans="1:23" x14ac:dyDescent="0.3">
      <c r="A1757" s="25">
        <v>1389</v>
      </c>
      <c r="B1757" s="25" t="str">
        <f>IFERROR(VLOOKUP(Tabela1[[#This Row],[CC]],#REF!,5,0),"")</f>
        <v/>
      </c>
      <c r="C1757" t="str">
        <f>IFERROR(VLOOKUP(Tabela1[[#This Row],[CC]],CC!$A$1:$H$389,7,0),"")</f>
        <v>EVANDRO BRAGA</v>
      </c>
      <c r="D1757" t="s">
        <v>69</v>
      </c>
      <c r="E1757" t="str">
        <f>IFERROR(VLOOKUP(Tabela1[[#This Row],[CC]],CC!$A$1:$H$389,2,0),"")</f>
        <v>CLOUD SERVICES (1389)</v>
      </c>
      <c r="F1757" t="s">
        <v>586</v>
      </c>
      <c r="G1757" s="107">
        <v>4785</v>
      </c>
      <c r="H1757" s="12">
        <v>45992</v>
      </c>
      <c r="I1757" s="27">
        <v>11157.81</v>
      </c>
      <c r="J1757" s="24">
        <v>10471.6</v>
      </c>
      <c r="K1757" s="3">
        <v>46049</v>
      </c>
      <c r="L1757" s="91">
        <v>46048</v>
      </c>
      <c r="M1757" s="11">
        <v>46049</v>
      </c>
      <c r="N1757" s="18" t="s">
        <v>588</v>
      </c>
      <c r="O1757" s="34">
        <v>0</v>
      </c>
      <c r="P1757" s="26"/>
      <c r="Q1757" t="str">
        <f>IFERROR(VLOOKUP(Tabela1[[#This Row],[CC]],CC!$A$1:$H$389,5,0),"")</f>
        <v>CSA</v>
      </c>
      <c r="R1757" t="str">
        <f>IFERROR(VLOOKUP(Tabela1[[#This Row],[CC]],CC!$A$1:$H$389,6,0),"")</f>
        <v>ALL</v>
      </c>
      <c r="S1757"/>
    </row>
    <row r="1758" spans="1:23" x14ac:dyDescent="0.3">
      <c r="A1758" s="25">
        <v>1470</v>
      </c>
      <c r="B1758" s="25" t="str">
        <f>IFERROR(VLOOKUP(Tabela1[[#This Row],[CC]],#REF!,5,0),"")</f>
        <v/>
      </c>
      <c r="C1758" t="str">
        <f>IFERROR(VLOOKUP(Tabela1[[#This Row],[CC]],CC!$A$1:$H$389,7,0),"")</f>
        <v>ROGERIO GORDILHO</v>
      </c>
      <c r="D1758" t="str">
        <f>IFERROR(VLOOKUP(Tabela1[[#This Row],[CC]],CC!$A$1:$I$3869,3,0),"")</f>
        <v>GNC</v>
      </c>
      <c r="E1758" t="str">
        <f>IFERROR(VLOOKUP(Tabela1[[#This Row],[CC]],CC!$A$1:$H$389,2,0),"")</f>
        <v>GNC (1470)</v>
      </c>
      <c r="F1758" t="s">
        <v>586</v>
      </c>
      <c r="G1758" s="107">
        <v>8578</v>
      </c>
      <c r="H1758" s="12">
        <v>45931</v>
      </c>
      <c r="I1758" s="24">
        <v>36700</v>
      </c>
      <c r="J1758" s="24">
        <v>33708.949999999997</v>
      </c>
      <c r="K1758" s="3">
        <v>45964</v>
      </c>
      <c r="L1758" s="91">
        <v>45978</v>
      </c>
      <c r="M1758" s="11">
        <v>45978</v>
      </c>
      <c r="N1758" s="18" t="s">
        <v>588</v>
      </c>
      <c r="O1758" s="34">
        <v>0</v>
      </c>
      <c r="P1758" s="26"/>
      <c r="Q1758" t="str">
        <f>IFERROR(VLOOKUP(Tabela1[[#This Row],[CC]],CC!$A$1:$H$389,5,0),"")</f>
        <v>CSA</v>
      </c>
      <c r="R1758" t="str">
        <f>IFERROR(VLOOKUP(Tabela1[[#This Row],[CC]],CC!$A$1:$H$389,6,0),"")</f>
        <v>MS</v>
      </c>
      <c r="S1758" t="str">
        <f>IFERROR(VLOOKUP(Tabela1[[#This Row],[CC]],CC!$A$1:$H$403,8,0),"")</f>
        <v>OP4</v>
      </c>
    </row>
    <row r="1759" spans="1:23" x14ac:dyDescent="0.3">
      <c r="A1759" s="25">
        <v>1273</v>
      </c>
      <c r="B1759" s="25" t="str">
        <f>IFERROR(VLOOKUP(Tabela1[[#This Row],[CC]],#REF!,5,0),"")</f>
        <v/>
      </c>
      <c r="C1759" t="str">
        <f>IFERROR(VLOOKUP(Tabela1[[#This Row],[CC]],CC!$A$1:$H$389,7,0),"")</f>
        <v>LIZANDRA PIMENTA</v>
      </c>
      <c r="D1759" t="str">
        <f>IFERROR(VLOOKUP(Tabela1[[#This Row],[CC]],CC!$A$1:$I$3869,3,0),"")</f>
        <v>TJ_BA</v>
      </c>
      <c r="E1759" t="str">
        <f>IFERROR(VLOOKUP(Tabela1[[#This Row],[CC]],CC!$A$1:$H$389,2,0),"")</f>
        <v>TJ - BA DIGITAL SUPPORT (1273)</v>
      </c>
      <c r="F1759" t="s">
        <v>586</v>
      </c>
      <c r="G1759" s="107">
        <v>1312</v>
      </c>
      <c r="H1759" s="12">
        <v>45931</v>
      </c>
      <c r="I1759" s="24">
        <v>604355.81999999995</v>
      </c>
      <c r="J1759" s="24">
        <v>542107.17000000004</v>
      </c>
      <c r="K1759" s="3">
        <v>45975</v>
      </c>
      <c r="L1759" s="91">
        <v>45992</v>
      </c>
      <c r="M1759" s="11">
        <v>45995</v>
      </c>
      <c r="N1759" s="18" t="s">
        <v>588</v>
      </c>
      <c r="O1759" s="34">
        <v>0</v>
      </c>
      <c r="P1759"/>
      <c r="Q1759" t="str">
        <f>IFERROR(VLOOKUP(Tabela1[[#This Row],[CC]],CC!$A$1:$H$389,5,0),"")</f>
        <v>CSA</v>
      </c>
      <c r="R1759" t="str">
        <f>IFERROR(VLOOKUP(Tabela1[[#This Row],[CC]],CC!$A$1:$H$389,6,0),"")</f>
        <v>PS</v>
      </c>
      <c r="S1759" t="str">
        <f>IFERROR(VLOOKUP(Tabela1[[#This Row],[CC]],CC!$A$1:$H$403,8,0),"")</f>
        <v>OP3</v>
      </c>
    </row>
    <row r="1760" spans="1:23" x14ac:dyDescent="0.3">
      <c r="A1760" s="8">
        <v>1277</v>
      </c>
      <c r="B1760" s="8" t="str">
        <f>IFERROR(VLOOKUP(Tabela1[[#This Row],[CC]],#REF!,5,0),"")</f>
        <v/>
      </c>
      <c r="C1760" t="str">
        <f>IFERROR(VLOOKUP(Tabela1[[#This Row],[CC]],CC!$A$1:$H$389,7,0),"")</f>
        <v>LIZANDRA PIMENTA</v>
      </c>
      <c r="D1760" t="str">
        <f>IFERROR(VLOOKUP(Tabela1[[#This Row],[CC]],CC!$A$1:$I$3869,3,0),"")</f>
        <v>TJ_BA</v>
      </c>
      <c r="E1760" t="str">
        <f>IFERROR(VLOOKUP(Tabela1[[#This Row],[CC]],CC!$A$1:$H$389,2,0),"")</f>
        <v>TJ - BA CPROD (1277)</v>
      </c>
      <c r="F1760" t="s">
        <v>586</v>
      </c>
      <c r="G1760" s="107">
        <v>8652</v>
      </c>
      <c r="H1760" s="12">
        <v>45931</v>
      </c>
      <c r="I1760" s="24">
        <v>162394.43</v>
      </c>
      <c r="J1760" s="24">
        <v>145667.79999999999</v>
      </c>
      <c r="K1760" s="3">
        <v>45994</v>
      </c>
      <c r="L1760" s="91">
        <v>46006</v>
      </c>
      <c r="M1760" s="11">
        <v>46009</v>
      </c>
      <c r="N1760" s="18" t="s">
        <v>588</v>
      </c>
      <c r="O1760" s="34"/>
      <c r="P1760"/>
      <c r="Q1760" t="str">
        <f>IFERROR(VLOOKUP(Tabela1[[#This Row],[CC]],CC!$A$1:$H$389,5,0),"")</f>
        <v>CSA</v>
      </c>
      <c r="R1760" t="str">
        <f>IFERROR(VLOOKUP(Tabela1[[#This Row],[CC]],CC!$A$1:$H$389,6,0),"")</f>
        <v>PS</v>
      </c>
      <c r="S1760" t="str">
        <f>IFERROR(VLOOKUP(Tabela1[[#This Row],[CC]],CC!$A$1:$H$403,8,0),"")</f>
        <v>OP3</v>
      </c>
    </row>
    <row r="1761" spans="1:19" x14ac:dyDescent="0.3">
      <c r="A1761" s="8">
        <v>1277</v>
      </c>
      <c r="B1761" s="8" t="str">
        <f>IFERROR(VLOOKUP(Tabela1[[#This Row],[CC]],#REF!,5,0),"")</f>
        <v/>
      </c>
      <c r="C1761" t="str">
        <f>IFERROR(VLOOKUP(Tabela1[[#This Row],[CC]],CC!$A$1:$H$389,7,0),"")</f>
        <v>LIZANDRA PIMENTA</v>
      </c>
      <c r="D1761" t="str">
        <f>IFERROR(VLOOKUP(Tabela1[[#This Row],[CC]],CC!$A$1:$I$3869,3,0),"")</f>
        <v>TJ_BA</v>
      </c>
      <c r="E1761" t="str">
        <f>IFERROR(VLOOKUP(Tabela1[[#This Row],[CC]],CC!$A$1:$H$389,2,0),"")</f>
        <v>TJ - BA CPROD (1277)</v>
      </c>
      <c r="F1761" t="s">
        <v>586</v>
      </c>
      <c r="G1761" s="107">
        <v>8654</v>
      </c>
      <c r="H1761" s="12">
        <v>45962</v>
      </c>
      <c r="I1761" s="24">
        <v>162394.43</v>
      </c>
      <c r="J1761" s="24">
        <v>145667.79999999999</v>
      </c>
      <c r="K1761" s="3">
        <v>45995</v>
      </c>
      <c r="L1761" s="91">
        <v>46006</v>
      </c>
      <c r="M1761" s="11">
        <v>46007</v>
      </c>
      <c r="N1761" s="18" t="s">
        <v>588</v>
      </c>
      <c r="O1761" s="34"/>
      <c r="P1761"/>
      <c r="Q1761" t="str">
        <f>IFERROR(VLOOKUP(Tabela1[[#This Row],[CC]],CC!$A$1:$H$389,5,0),"")</f>
        <v>CSA</v>
      </c>
      <c r="R1761" t="str">
        <f>IFERROR(VLOOKUP(Tabela1[[#This Row],[CC]],CC!$A$1:$H$389,6,0),"")</f>
        <v>PS</v>
      </c>
      <c r="S1761" t="str">
        <f>IFERROR(VLOOKUP(Tabela1[[#This Row],[CC]],CC!$A$1:$H$403,8,0),"")</f>
        <v>OP3</v>
      </c>
    </row>
    <row r="1762" spans="1:19" x14ac:dyDescent="0.3">
      <c r="A1762" s="8">
        <v>1277</v>
      </c>
      <c r="B1762" s="8" t="str">
        <f>IFERROR(VLOOKUP(Tabela1[[#This Row],[CC]],#REF!,5,0),"")</f>
        <v/>
      </c>
      <c r="C1762" t="str">
        <f>IFERROR(VLOOKUP(Tabela1[[#This Row],[CC]],CC!$A$1:$H$389,7,0),"")</f>
        <v>LIZANDRA PIMENTA</v>
      </c>
      <c r="D1762" t="str">
        <f>IFERROR(VLOOKUP(Tabela1[[#This Row],[CC]],CC!$A$1:$I$3869,3,0),"")</f>
        <v>TJ_BA</v>
      </c>
      <c r="E1762" t="str">
        <f>IFERROR(VLOOKUP(Tabela1[[#This Row],[CC]],CC!$A$1:$H$389,2,0),"")</f>
        <v>TJ - BA CPROD (1277)</v>
      </c>
      <c r="F1762" t="s">
        <v>586</v>
      </c>
      <c r="G1762" s="107">
        <v>8780</v>
      </c>
      <c r="H1762" s="12">
        <v>45992</v>
      </c>
      <c r="I1762" s="24">
        <v>162394.43</v>
      </c>
      <c r="J1762" s="27">
        <v>145667.79999999999</v>
      </c>
      <c r="K1762" s="3">
        <v>46083</v>
      </c>
      <c r="L1762" s="91">
        <v>46090</v>
      </c>
      <c r="M1762" s="11">
        <v>46094</v>
      </c>
      <c r="N1762" s="18" t="s">
        <v>588</v>
      </c>
      <c r="O1762" s="34"/>
      <c r="P1762"/>
      <c r="Q1762" t="str">
        <f>IFERROR(VLOOKUP(Tabela1[[#This Row],[CC]],CC!$A$1:$H$389,5,0),"")</f>
        <v>CSA</v>
      </c>
      <c r="R1762" t="str">
        <f>IFERROR(VLOOKUP(Tabela1[[#This Row],[CC]],CC!$A$1:$H$389,6,0),"")</f>
        <v>PS</v>
      </c>
      <c r="S1762" t="str">
        <f>IFERROR(VLOOKUP(Tabela1[[#This Row],[CC]],CC!$A$1:$H$403,8,0),"")</f>
        <v>OP3</v>
      </c>
    </row>
    <row r="1763" spans="1:19" x14ac:dyDescent="0.3">
      <c r="A1763" s="8">
        <v>1277</v>
      </c>
      <c r="B1763" s="8" t="str">
        <f>IFERROR(VLOOKUP(Tabela1[[#This Row],[CC]],#REF!,5,0),"")</f>
        <v/>
      </c>
      <c r="C1763" t="str">
        <f>IFERROR(VLOOKUP(Tabela1[[#This Row],[CC]],CC!$A$1:$H$389,7,0),"")</f>
        <v>LIZANDRA PIMENTA</v>
      </c>
      <c r="D1763" t="str">
        <f>IFERROR(VLOOKUP(Tabela1[[#This Row],[CC]],CC!$A$1:$I$3869,3,0),"")</f>
        <v>TJ_BA</v>
      </c>
      <c r="E1763" t="str">
        <f>IFERROR(VLOOKUP(Tabela1[[#This Row],[CC]],CC!$A$1:$H$389,2,0),"")</f>
        <v>TJ - BA CPROD (1277)</v>
      </c>
      <c r="F1763" t="s">
        <v>586</v>
      </c>
      <c r="G1763" s="107"/>
      <c r="H1763" s="12">
        <v>45992</v>
      </c>
      <c r="I1763" s="24">
        <v>33762</v>
      </c>
      <c r="J1763" s="24"/>
      <c r="K1763" s="3">
        <v>46082</v>
      </c>
      <c r="L1763" s="91"/>
      <c r="M1763" s="11"/>
      <c r="N1763" s="18" t="s">
        <v>572</v>
      </c>
      <c r="O1763" s="34"/>
      <c r="P1763"/>
      <c r="Q1763" t="str">
        <f>IFERROR(VLOOKUP(Tabela1[[#This Row],[CC]],CC!$A$1:$H$389,5,0),"")</f>
        <v>CSA</v>
      </c>
      <c r="R1763" t="str">
        <f>IFERROR(VLOOKUP(Tabela1[[#This Row],[CC]],CC!$A$1:$H$389,6,0),"")</f>
        <v>PS</v>
      </c>
      <c r="S1763" t="str">
        <f>IFERROR(VLOOKUP(Tabela1[[#This Row],[CC]],CC!$A$1:$H$403,8,0),"")</f>
        <v>OP3</v>
      </c>
    </row>
    <row r="1764" spans="1:19" x14ac:dyDescent="0.3">
      <c r="A1764" s="8">
        <v>1277</v>
      </c>
      <c r="B1764" s="8" t="str">
        <f>IFERROR(VLOOKUP(Tabela1[[#This Row],[CC]],#REF!,5,0),"")</f>
        <v/>
      </c>
      <c r="C1764" t="str">
        <f>IFERROR(VLOOKUP(Tabela1[[#This Row],[CC]],CC!$A$1:$H$389,7,0),"")</f>
        <v>LIZANDRA PIMENTA</v>
      </c>
      <c r="D1764" t="str">
        <f>IFERROR(VLOOKUP(Tabela1[[#This Row],[CC]],CC!$A$1:$I$3869,3,0),"")</f>
        <v>TJ_BA</v>
      </c>
      <c r="E1764" t="str">
        <f>IFERROR(VLOOKUP(Tabela1[[#This Row],[CC]],CC!$A$1:$H$389,2,0),"")</f>
        <v>TJ - BA CPROD (1277)</v>
      </c>
      <c r="F1764" t="s">
        <v>586</v>
      </c>
      <c r="G1764" s="107">
        <v>8783</v>
      </c>
      <c r="H1764" s="12">
        <v>46023</v>
      </c>
      <c r="I1764" s="24">
        <v>162394.43</v>
      </c>
      <c r="J1764" s="27">
        <v>145667.79999999999</v>
      </c>
      <c r="K1764" s="3">
        <v>46083</v>
      </c>
      <c r="L1764" s="91">
        <v>46090</v>
      </c>
      <c r="M1764" s="11">
        <v>46094</v>
      </c>
      <c r="N1764" s="18" t="s">
        <v>588</v>
      </c>
      <c r="O1764" s="34"/>
      <c r="P1764"/>
      <c r="Q1764" t="str">
        <f>IFERROR(VLOOKUP(Tabela1[[#This Row],[CC]],CC!$A$1:$H$389,5,0),"")</f>
        <v>CSA</v>
      </c>
      <c r="R1764" t="str">
        <f>IFERROR(VLOOKUP(Tabela1[[#This Row],[CC]],CC!$A$1:$H$389,6,0),"")</f>
        <v>PS</v>
      </c>
      <c r="S1764" t="str">
        <f>IFERROR(VLOOKUP(Tabela1[[#This Row],[CC]],CC!$A$1:$H$403,8,0),"")</f>
        <v>OP3</v>
      </c>
    </row>
    <row r="1765" spans="1:19" x14ac:dyDescent="0.3">
      <c r="A1765" s="8">
        <v>1277</v>
      </c>
      <c r="B1765" s="8" t="str">
        <f>IFERROR(VLOOKUP(Tabela1[[#This Row],[CC]],#REF!,5,0),"")</f>
        <v/>
      </c>
      <c r="C1765" t="str">
        <f>IFERROR(VLOOKUP(Tabela1[[#This Row],[CC]],CC!$A$1:$H$389,7,0),"")</f>
        <v>LIZANDRA PIMENTA</v>
      </c>
      <c r="D1765" t="str">
        <f>IFERROR(VLOOKUP(Tabela1[[#This Row],[CC]],CC!$A$1:$I$3869,3,0),"")</f>
        <v>TJ_BA</v>
      </c>
      <c r="E1765" t="str">
        <f>IFERROR(VLOOKUP(Tabela1[[#This Row],[CC]],CC!$A$1:$H$389,2,0),"")</f>
        <v>TJ - BA CPROD (1277)</v>
      </c>
      <c r="F1765" t="s">
        <v>586</v>
      </c>
      <c r="G1765" s="107">
        <v>8816</v>
      </c>
      <c r="H1765" s="12">
        <v>46054</v>
      </c>
      <c r="I1765" s="27">
        <v>160737.79</v>
      </c>
      <c r="J1765" s="27">
        <v>144181.79999999999</v>
      </c>
      <c r="K1765" s="3">
        <v>46097</v>
      </c>
      <c r="L1765" s="91">
        <v>46113</v>
      </c>
      <c r="M1765" s="11">
        <v>46113</v>
      </c>
      <c r="N1765" s="18" t="s">
        <v>588</v>
      </c>
      <c r="O1765" s="34"/>
      <c r="P1765"/>
      <c r="Q1765" t="str">
        <f>IFERROR(VLOOKUP(Tabela1[[#This Row],[CC]],CC!$A$1:$H$389,5,0),"")</f>
        <v>CSA</v>
      </c>
      <c r="R1765" t="str">
        <f>IFERROR(VLOOKUP(Tabela1[[#This Row],[CC]],CC!$A$1:$H$389,6,0),"")</f>
        <v>PS</v>
      </c>
      <c r="S1765" t="str">
        <f>IFERROR(VLOOKUP(Tabela1[[#This Row],[CC]],CC!$A$1:$H$403,8,0),"")</f>
        <v>OP3</v>
      </c>
    </row>
    <row r="1766" spans="1:19" x14ac:dyDescent="0.3">
      <c r="A1766" s="25">
        <v>1490</v>
      </c>
      <c r="B1766" s="25" t="str">
        <f>IFERROR(VLOOKUP(Tabela1[[#This Row],[CC]],#REF!,5,0),"")</f>
        <v/>
      </c>
      <c r="C1766" t="str">
        <f>IFERROR(VLOOKUP(Tabela1[[#This Row],[CC]],CC!$A$1:$H$389,7,0),"")</f>
        <v>ROGERIO GORDILHO</v>
      </c>
      <c r="D1766" t="str">
        <f>IFERROR(VLOOKUP(Tabela1[[#This Row],[CC]],CC!$A$1:$I$3869,3,0),"")</f>
        <v>EMBASA</v>
      </c>
      <c r="E1766" t="str">
        <f>IFERROR(VLOOKUP(Tabela1[[#This Row],[CC]],CC!$A$1:$H$389,2,0),"")</f>
        <v>EMBASA - Sustentação ITSM (1490)</v>
      </c>
      <c r="F1766" t="s">
        <v>586</v>
      </c>
      <c r="G1766" s="107">
        <v>8931</v>
      </c>
      <c r="H1766" s="12">
        <v>46113</v>
      </c>
      <c r="I1766" s="24">
        <v>2396.09</v>
      </c>
      <c r="J1766" s="24">
        <v>2116.9499999999998</v>
      </c>
      <c r="K1766" s="3">
        <v>46153</v>
      </c>
      <c r="L1766" s="91">
        <v>46181</v>
      </c>
      <c r="M1766" s="11">
        <v>46183</v>
      </c>
      <c r="N1766" s="21" t="s">
        <v>588</v>
      </c>
      <c r="O1766" s="34">
        <v>0</v>
      </c>
      <c r="P1766" s="26"/>
      <c r="Q1766" t="str">
        <f>IFERROR(VLOOKUP(Tabela1[[#This Row],[CC]],CC!$A$1:$H$389,5,0),"")</f>
        <v>CSA</v>
      </c>
      <c r="R1766" t="str">
        <f>IFERROR(VLOOKUP(Tabela1[[#This Row],[CC]],CC!$A$1:$H$389,6,0),"")</f>
        <v>UT</v>
      </c>
      <c r="S1766" t="str">
        <f>IFERROR(VLOOKUP(Tabela1[[#This Row],[CC]],CC!$A$1:$H$403,8,0),"")</f>
        <v>OP4</v>
      </c>
    </row>
    <row r="1767" spans="1:19" x14ac:dyDescent="0.3">
      <c r="A1767" s="25">
        <v>1290</v>
      </c>
      <c r="B1767" s="25" t="str">
        <f>IFERROR(VLOOKUP(Tabela1[[#This Row],[CC]],#REF!,5,0),"")</f>
        <v/>
      </c>
      <c r="C1767" t="str">
        <f>IFERROR(VLOOKUP(Tabela1[[#This Row],[CC]],CC!$A$1:$H$389,7,0),"")</f>
        <v>ROGERIO GORDILHO</v>
      </c>
      <c r="D1767" t="str">
        <f>IFERROR(VLOOKUP(Tabela1[[#This Row],[CC]],CC!$A$1:$I$3869,3,0),"")</f>
        <v>EMBASA</v>
      </c>
      <c r="E1767" t="str">
        <f>IFERROR(VLOOKUP(Tabela1[[#This Row],[CC]],CC!$A$1:$H$389,2,0),"")</f>
        <v>EMBASA - NOVO (1290)</v>
      </c>
      <c r="F1767" t="s">
        <v>586</v>
      </c>
      <c r="G1767" s="107">
        <v>8843</v>
      </c>
      <c r="H1767" s="12">
        <v>46082</v>
      </c>
      <c r="I1767" s="24">
        <v>55929.99</v>
      </c>
      <c r="J1767" s="24">
        <v>49414.15</v>
      </c>
      <c r="K1767" s="3">
        <v>46119</v>
      </c>
      <c r="L1767" s="91">
        <v>46146</v>
      </c>
      <c r="M1767" s="11">
        <v>46149</v>
      </c>
      <c r="N1767" s="21" t="s">
        <v>588</v>
      </c>
      <c r="O1767" s="34">
        <v>0</v>
      </c>
      <c r="P1767" s="26"/>
      <c r="Q1767" t="str">
        <f>IFERROR(VLOOKUP(Tabela1[[#This Row],[CC]],CC!$A$1:$H$389,5,0),"")</f>
        <v>CSA</v>
      </c>
      <c r="R1767" t="str">
        <f>IFERROR(VLOOKUP(Tabela1[[#This Row],[CC]],CC!$A$1:$H$389,6,0),"")</f>
        <v>UT</v>
      </c>
      <c r="S1767" t="str">
        <f>IFERROR(VLOOKUP(Tabela1[[#This Row],[CC]],CC!$A$1:$H$403,8,0),"")</f>
        <v>OP4</v>
      </c>
    </row>
    <row r="1768" spans="1:19" x14ac:dyDescent="0.3">
      <c r="A1768" s="25">
        <v>1268</v>
      </c>
      <c r="B1768" s="25" t="str">
        <f>IFERROR(VLOOKUP(Tabela1[[#This Row],[CC]],#REF!,5,0),"")</f>
        <v/>
      </c>
      <c r="C1768" t="str">
        <f>IFERROR(VLOOKUP(Tabela1[[#This Row],[CC]],CC!$A$1:$H$389,7,0),"")</f>
        <v>RODRIGO CORUMBA</v>
      </c>
      <c r="D1768" t="str">
        <f>IFERROR(VLOOKUP(Tabela1[[#This Row],[CC]],CC!$A$1:$I$3869,3,0),"")</f>
        <v>SANTANDER</v>
      </c>
      <c r="E1768" t="str">
        <f>IFERROR(VLOOKUP(Tabela1[[#This Row],[CC]],CC!$A$1:$H$389,2,0),"")</f>
        <v>BANCO SANTANDER Agile Studio (1268)</v>
      </c>
      <c r="F1768" t="s">
        <v>586</v>
      </c>
      <c r="G1768" s="107">
        <v>4388</v>
      </c>
      <c r="H1768" s="12">
        <v>45931</v>
      </c>
      <c r="I1768" s="24">
        <v>41368</v>
      </c>
      <c r="J1768" s="24">
        <v>38823.870000000003</v>
      </c>
      <c r="K1768" s="3">
        <v>45932</v>
      </c>
      <c r="L1768" s="91">
        <v>45957</v>
      </c>
      <c r="M1768" s="11">
        <v>45957</v>
      </c>
      <c r="N1768" s="18" t="s">
        <v>588</v>
      </c>
      <c r="O1768" s="34">
        <v>0</v>
      </c>
      <c r="P1768"/>
      <c r="Q1768" t="str">
        <f>IFERROR(VLOOKUP(Tabela1[[#This Row],[CC]],CC!$A$1:$H$389,5,0),"")</f>
        <v>ADS</v>
      </c>
      <c r="R1768" t="str">
        <f>IFERROR(VLOOKUP(Tabela1[[#This Row],[CC]],CC!$A$1:$H$389,6,0),"")</f>
        <v>FS</v>
      </c>
      <c r="S1768" t="str">
        <f>IFERROR(VLOOKUP(Tabela1[[#This Row],[CC]],CC!$A$1:$H$403,8,0),"")</f>
        <v>OP2</v>
      </c>
    </row>
    <row r="1769" spans="1:19" x14ac:dyDescent="0.3">
      <c r="A1769" s="25">
        <v>1268</v>
      </c>
      <c r="B1769" s="25" t="str">
        <f>IFERROR(VLOOKUP(Tabela1[[#This Row],[CC]],#REF!,5,0),"")</f>
        <v/>
      </c>
      <c r="C1769" t="str">
        <f>IFERROR(VLOOKUP(Tabela1[[#This Row],[CC]],CC!$A$1:$H$389,7,0),"")</f>
        <v>RODRIGO CORUMBA</v>
      </c>
      <c r="D1769" t="str">
        <f>IFERROR(VLOOKUP(Tabela1[[#This Row],[CC]],CC!$A$1:$I$3869,3,0),"")</f>
        <v>SANTANDER</v>
      </c>
      <c r="E1769" t="str">
        <f>IFERROR(VLOOKUP(Tabela1[[#This Row],[CC]],CC!$A$1:$H$389,2,0),"")</f>
        <v>BANCO SANTANDER Agile Studio (1268)</v>
      </c>
      <c r="F1769" t="s">
        <v>586</v>
      </c>
      <c r="G1769" s="107">
        <v>4494</v>
      </c>
      <c r="H1769" s="12">
        <v>45931</v>
      </c>
      <c r="I1769" s="24">
        <v>41368</v>
      </c>
      <c r="J1769" s="24">
        <v>38823.870000000003</v>
      </c>
      <c r="K1769" s="3">
        <v>45965</v>
      </c>
      <c r="L1769" s="91">
        <v>45985</v>
      </c>
      <c r="M1769" s="11">
        <v>45989</v>
      </c>
      <c r="N1769" s="18" t="s">
        <v>588</v>
      </c>
      <c r="O1769" s="34">
        <v>0</v>
      </c>
      <c r="P1769"/>
      <c r="Q1769" t="str">
        <f>IFERROR(VLOOKUP(Tabela1[[#This Row],[CC]],CC!$A$1:$H$389,5,0),"")</f>
        <v>ADS</v>
      </c>
      <c r="R1769" t="str">
        <f>IFERROR(VLOOKUP(Tabela1[[#This Row],[CC]],CC!$A$1:$H$389,6,0),"")</f>
        <v>FS</v>
      </c>
      <c r="S1769" t="str">
        <f>IFERROR(VLOOKUP(Tabela1[[#This Row],[CC]],CC!$A$1:$H$403,8,0),"")</f>
        <v>OP2</v>
      </c>
    </row>
    <row r="1770" spans="1:19" x14ac:dyDescent="0.3">
      <c r="A1770" s="25">
        <v>1268</v>
      </c>
      <c r="B1770" s="25" t="str">
        <f>IFERROR(VLOOKUP(Tabela1[[#This Row],[CC]],#REF!,5,0),"")</f>
        <v/>
      </c>
      <c r="C1770" t="str">
        <f>IFERROR(VLOOKUP(Tabela1[[#This Row],[CC]],CC!$A$1:$H$389,7,0),"")</f>
        <v>RODRIGO CORUMBA</v>
      </c>
      <c r="D1770" t="str">
        <f>IFERROR(VLOOKUP(Tabela1[[#This Row],[CC]],CC!$A$1:$I$3869,3,0),"")</f>
        <v>SANTANDER</v>
      </c>
      <c r="E1770" t="str">
        <f>IFERROR(VLOOKUP(Tabela1[[#This Row],[CC]],CC!$A$1:$H$389,2,0),"")</f>
        <v>BANCO SANTANDER Agile Studio (1268)</v>
      </c>
      <c r="F1770" t="s">
        <v>586</v>
      </c>
      <c r="G1770" s="107">
        <v>4496</v>
      </c>
      <c r="H1770" s="12">
        <v>45931</v>
      </c>
      <c r="I1770" s="24">
        <v>165717.72</v>
      </c>
      <c r="J1770" s="24">
        <v>155526.07999999999</v>
      </c>
      <c r="K1770" s="3">
        <v>45966</v>
      </c>
      <c r="L1770" s="91">
        <v>45992</v>
      </c>
      <c r="M1770" s="11">
        <v>45992</v>
      </c>
      <c r="N1770" s="18" t="s">
        <v>588</v>
      </c>
      <c r="O1770" s="34">
        <v>0</v>
      </c>
      <c r="P1770"/>
      <c r="Q1770" t="str">
        <f>IFERROR(VLOOKUP(Tabela1[[#This Row],[CC]],CC!$A$1:$H$389,5,0),"")</f>
        <v>ADS</v>
      </c>
      <c r="R1770" t="str">
        <f>IFERROR(VLOOKUP(Tabela1[[#This Row],[CC]],CC!$A$1:$H$389,6,0),"")</f>
        <v>FS</v>
      </c>
      <c r="S1770" t="str">
        <f>IFERROR(VLOOKUP(Tabela1[[#This Row],[CC]],CC!$A$1:$H$403,8,0),"")</f>
        <v>OP2</v>
      </c>
    </row>
    <row r="1771" spans="1:19" x14ac:dyDescent="0.3">
      <c r="A1771" s="25">
        <v>1268</v>
      </c>
      <c r="B1771" s="25" t="str">
        <f>IFERROR(VLOOKUP(Tabela1[[#This Row],[CC]],#REF!,5,0),"")</f>
        <v/>
      </c>
      <c r="C1771" t="str">
        <f>IFERROR(VLOOKUP(Tabela1[[#This Row],[CC]],CC!$A$1:$H$389,7,0),"")</f>
        <v>RODRIGO CORUMBA</v>
      </c>
      <c r="D1771" t="str">
        <f>IFERROR(VLOOKUP(Tabela1[[#This Row],[CC]],CC!$A$1:$I$3869,3,0),"")</f>
        <v>SANTANDER</v>
      </c>
      <c r="E1771" t="str">
        <f>IFERROR(VLOOKUP(Tabela1[[#This Row],[CC]],CC!$A$1:$H$389,2,0),"")</f>
        <v>BANCO SANTANDER Agile Studio (1268)</v>
      </c>
      <c r="F1771" t="s">
        <v>586</v>
      </c>
      <c r="G1771" s="107">
        <v>4503</v>
      </c>
      <c r="H1771" s="12">
        <v>45931</v>
      </c>
      <c r="I1771" s="24">
        <v>784755.72</v>
      </c>
      <c r="J1771" s="24">
        <v>736493.25</v>
      </c>
      <c r="K1771" s="3">
        <v>45967</v>
      </c>
      <c r="L1771" s="91">
        <v>45992</v>
      </c>
      <c r="M1771" s="11">
        <v>45992</v>
      </c>
      <c r="N1771" s="18" t="s">
        <v>588</v>
      </c>
      <c r="O1771" s="34">
        <v>0</v>
      </c>
      <c r="P1771"/>
      <c r="Q1771" t="str">
        <f>IFERROR(VLOOKUP(Tabela1[[#This Row],[CC]],CC!$A$1:$H$389,5,0),"")</f>
        <v>ADS</v>
      </c>
      <c r="R1771" t="str">
        <f>IFERROR(VLOOKUP(Tabela1[[#This Row],[CC]],CC!$A$1:$H$389,6,0),"")</f>
        <v>FS</v>
      </c>
      <c r="S1771" t="str">
        <f>IFERROR(VLOOKUP(Tabela1[[#This Row],[CC]],CC!$A$1:$H$403,8,0),"")</f>
        <v>OP2</v>
      </c>
    </row>
    <row r="1772" spans="1:19" x14ac:dyDescent="0.3">
      <c r="A1772" s="25">
        <v>1268</v>
      </c>
      <c r="B1772" s="25" t="str">
        <f>IFERROR(VLOOKUP(Tabela1[[#This Row],[CC]],#REF!,5,0),"")</f>
        <v/>
      </c>
      <c r="C1772" t="str">
        <f>IFERROR(VLOOKUP(Tabela1[[#This Row],[CC]],CC!$A$1:$H$389,7,0),"")</f>
        <v>RODRIGO CORUMBA</v>
      </c>
      <c r="D1772" t="str">
        <f>IFERROR(VLOOKUP(Tabela1[[#This Row],[CC]],CC!$A$1:$I$3869,3,0),"")</f>
        <v>SANTANDER</v>
      </c>
      <c r="E1772" t="str">
        <f>IFERROR(VLOOKUP(Tabela1[[#This Row],[CC]],CC!$A$1:$H$389,2,0),"")</f>
        <v>BANCO SANTANDER Agile Studio (1268)</v>
      </c>
      <c r="F1772" t="s">
        <v>586</v>
      </c>
      <c r="G1772" s="107">
        <v>4524</v>
      </c>
      <c r="H1772" s="12">
        <v>45931</v>
      </c>
      <c r="I1772" s="24">
        <v>36951.599999999999</v>
      </c>
      <c r="J1772" s="24">
        <v>34679.089999999997</v>
      </c>
      <c r="K1772" s="3">
        <v>45974</v>
      </c>
      <c r="L1772" s="91">
        <v>45992</v>
      </c>
      <c r="M1772" s="11">
        <v>45993</v>
      </c>
      <c r="N1772" s="18" t="s">
        <v>588</v>
      </c>
      <c r="O1772" s="34">
        <v>0</v>
      </c>
      <c r="P1772"/>
      <c r="Q1772" t="str">
        <f>IFERROR(VLOOKUP(Tabela1[[#This Row],[CC]],CC!$A$1:$H$389,5,0),"")</f>
        <v>ADS</v>
      </c>
      <c r="R1772" t="str">
        <f>IFERROR(VLOOKUP(Tabela1[[#This Row],[CC]],CC!$A$1:$H$389,6,0),"")</f>
        <v>FS</v>
      </c>
      <c r="S1772" t="str">
        <f>IFERROR(VLOOKUP(Tabela1[[#This Row],[CC]],CC!$A$1:$H$403,8,0),"")</f>
        <v>OP2</v>
      </c>
    </row>
    <row r="1773" spans="1:19" x14ac:dyDescent="0.3">
      <c r="A1773" s="25">
        <v>1268</v>
      </c>
      <c r="B1773" s="25" t="str">
        <f>IFERROR(VLOOKUP(Tabela1[[#This Row],[CC]],#REF!,5,0),"")</f>
        <v/>
      </c>
      <c r="C1773" t="str">
        <f>IFERROR(VLOOKUP(Tabela1[[#This Row],[CC]],CC!$A$1:$H$389,7,0),"")</f>
        <v>RODRIGO CORUMBA</v>
      </c>
      <c r="D1773" t="str">
        <f>IFERROR(VLOOKUP(Tabela1[[#This Row],[CC]],CC!$A$1:$I$3869,3,0),"")</f>
        <v>SANTANDER</v>
      </c>
      <c r="E1773" t="str">
        <f>IFERROR(VLOOKUP(Tabela1[[#This Row],[CC]],CC!$A$1:$H$389,2,0),"")</f>
        <v>BANCO SANTANDER Agile Studio (1268)</v>
      </c>
      <c r="F1773" t="s">
        <v>586</v>
      </c>
      <c r="G1773" s="107">
        <v>4525</v>
      </c>
      <c r="H1773" s="12">
        <v>45931</v>
      </c>
      <c r="I1773" s="24">
        <v>24364.51</v>
      </c>
      <c r="J1773" s="24">
        <v>22866.11</v>
      </c>
      <c r="K1773" s="3">
        <v>45974</v>
      </c>
      <c r="L1773" s="91">
        <v>45992</v>
      </c>
      <c r="M1773" s="11">
        <v>45993</v>
      </c>
      <c r="N1773" s="18" t="s">
        <v>588</v>
      </c>
      <c r="O1773" s="34">
        <v>0</v>
      </c>
      <c r="P1773"/>
      <c r="Q1773" t="str">
        <f>IFERROR(VLOOKUP(Tabela1[[#This Row],[CC]],CC!$A$1:$H$389,5,0),"")</f>
        <v>ADS</v>
      </c>
      <c r="R1773" t="str">
        <f>IFERROR(VLOOKUP(Tabela1[[#This Row],[CC]],CC!$A$1:$H$389,6,0),"")</f>
        <v>FS</v>
      </c>
      <c r="S1773" t="str">
        <f>IFERROR(VLOOKUP(Tabela1[[#This Row],[CC]],CC!$A$1:$H$403,8,0),"")</f>
        <v>OP2</v>
      </c>
    </row>
    <row r="1774" spans="1:19" x14ac:dyDescent="0.3">
      <c r="A1774" s="25">
        <v>1268</v>
      </c>
      <c r="B1774" s="25" t="str">
        <f>IFERROR(VLOOKUP(Tabela1[[#This Row],[CC]],#REF!,5,0),"")</f>
        <v/>
      </c>
      <c r="C1774" t="str">
        <f>IFERROR(VLOOKUP(Tabela1[[#This Row],[CC]],CC!$A$1:$H$389,7,0),"")</f>
        <v>RODRIGO CORUMBA</v>
      </c>
      <c r="D1774" t="str">
        <f>IFERROR(VLOOKUP(Tabela1[[#This Row],[CC]],CC!$A$1:$I$3869,3,0),"")</f>
        <v>SANTANDER</v>
      </c>
      <c r="E1774" t="str">
        <f>IFERROR(VLOOKUP(Tabela1[[#This Row],[CC]],CC!$A$1:$H$389,2,0),"")</f>
        <v>BANCO SANTANDER Agile Studio (1268)</v>
      </c>
      <c r="F1774" t="s">
        <v>586</v>
      </c>
      <c r="G1774" s="107">
        <v>4526</v>
      </c>
      <c r="H1774" s="12">
        <v>45931</v>
      </c>
      <c r="I1774" s="24">
        <v>123342.16</v>
      </c>
      <c r="J1774" s="24">
        <v>115756.62</v>
      </c>
      <c r="K1774" s="3">
        <v>45974</v>
      </c>
      <c r="L1774" s="91">
        <v>45992</v>
      </c>
      <c r="M1774" s="11">
        <v>45995</v>
      </c>
      <c r="N1774" s="18" t="s">
        <v>588</v>
      </c>
      <c r="O1774" s="34">
        <v>0</v>
      </c>
      <c r="P1774"/>
      <c r="Q1774" t="str">
        <f>IFERROR(VLOOKUP(Tabela1[[#This Row],[CC]],CC!$A$1:$H$389,5,0),"")</f>
        <v>ADS</v>
      </c>
      <c r="R1774" t="str">
        <f>IFERROR(VLOOKUP(Tabela1[[#This Row],[CC]],CC!$A$1:$H$389,6,0),"")</f>
        <v>FS</v>
      </c>
      <c r="S1774" t="str">
        <f>IFERROR(VLOOKUP(Tabela1[[#This Row],[CC]],CC!$A$1:$H$403,8,0),"")</f>
        <v>OP2</v>
      </c>
    </row>
    <row r="1775" spans="1:19" x14ac:dyDescent="0.3">
      <c r="A1775" s="25">
        <v>1268</v>
      </c>
      <c r="B1775" s="25" t="str">
        <f>IFERROR(VLOOKUP(Tabela1[[#This Row],[CC]],#REF!,5,0),"")</f>
        <v/>
      </c>
      <c r="C1775" t="str">
        <f>IFERROR(VLOOKUP(Tabela1[[#This Row],[CC]],CC!$A$1:$H$389,7,0),"")</f>
        <v>RODRIGO CORUMBA</v>
      </c>
      <c r="D1775" t="str">
        <f>IFERROR(VLOOKUP(Tabela1[[#This Row],[CC]],CC!$A$1:$I$3869,3,0),"")</f>
        <v>SANTANDER</v>
      </c>
      <c r="E1775" t="str">
        <f>IFERROR(VLOOKUP(Tabela1[[#This Row],[CC]],CC!$A$1:$H$389,2,0),"")</f>
        <v>BANCO SANTANDER Agile Studio (1268)</v>
      </c>
      <c r="F1775" t="s">
        <v>586</v>
      </c>
      <c r="G1775" s="107">
        <v>4527</v>
      </c>
      <c r="H1775" s="12">
        <v>45931</v>
      </c>
      <c r="I1775" s="24">
        <v>978220.74</v>
      </c>
      <c r="J1775" s="24">
        <v>918060.17</v>
      </c>
      <c r="K1775" s="3">
        <v>45974</v>
      </c>
      <c r="L1775" s="91">
        <v>45985</v>
      </c>
      <c r="M1775" s="11">
        <v>45989</v>
      </c>
      <c r="N1775" s="18" t="s">
        <v>588</v>
      </c>
      <c r="O1775" s="34">
        <v>0</v>
      </c>
      <c r="P1775"/>
      <c r="Q1775" t="str">
        <f>IFERROR(VLOOKUP(Tabela1[[#This Row],[CC]],CC!$A$1:$H$389,5,0),"")</f>
        <v>ADS</v>
      </c>
      <c r="R1775" t="str">
        <f>IFERROR(VLOOKUP(Tabela1[[#This Row],[CC]],CC!$A$1:$H$389,6,0),"")</f>
        <v>FS</v>
      </c>
      <c r="S1775" t="str">
        <f>IFERROR(VLOOKUP(Tabela1[[#This Row],[CC]],CC!$A$1:$H$403,8,0),"")</f>
        <v>OP2</v>
      </c>
    </row>
    <row r="1776" spans="1:19" ht="13.95" customHeight="1" x14ac:dyDescent="0.3">
      <c r="A1776" s="25">
        <v>1268</v>
      </c>
      <c r="B1776" s="25" t="str">
        <f>IFERROR(VLOOKUP(Tabela1[[#This Row],[CC]],#REF!,5,0),"")</f>
        <v/>
      </c>
      <c r="C1776" t="str">
        <f>IFERROR(VLOOKUP(Tabela1[[#This Row],[CC]],CC!$A$1:$H$389,7,0),"")</f>
        <v>RODRIGO CORUMBA</v>
      </c>
      <c r="D1776" t="str">
        <f>IFERROR(VLOOKUP(Tabela1[[#This Row],[CC]],CC!$A$1:$I$3869,3,0),"")</f>
        <v>SANTANDER</v>
      </c>
      <c r="E1776" t="str">
        <f>IFERROR(VLOOKUP(Tabela1[[#This Row],[CC]],CC!$A$1:$H$389,2,0),"")</f>
        <v>BANCO SANTANDER Agile Studio (1268)</v>
      </c>
      <c r="F1776" t="s">
        <v>586</v>
      </c>
      <c r="G1776" s="107">
        <v>4528</v>
      </c>
      <c r="H1776" s="12">
        <v>45931</v>
      </c>
      <c r="I1776" s="24">
        <v>850795.6</v>
      </c>
      <c r="J1776" s="24">
        <v>798471.68000000005</v>
      </c>
      <c r="K1776" s="3">
        <v>45974</v>
      </c>
      <c r="L1776" s="91">
        <v>45992</v>
      </c>
      <c r="M1776" s="11">
        <v>45992</v>
      </c>
      <c r="N1776" s="18" t="s">
        <v>588</v>
      </c>
      <c r="O1776" s="34">
        <v>0</v>
      </c>
      <c r="P1776"/>
      <c r="Q1776" t="str">
        <f>IFERROR(VLOOKUP(Tabela1[[#This Row],[CC]],CC!$A$1:$H$389,5,0),"")</f>
        <v>ADS</v>
      </c>
      <c r="R1776" t="str">
        <f>IFERROR(VLOOKUP(Tabela1[[#This Row],[CC]],CC!$A$1:$H$389,6,0),"")</f>
        <v>FS</v>
      </c>
      <c r="S1776" t="str">
        <f>IFERROR(VLOOKUP(Tabela1[[#This Row],[CC]],CC!$A$1:$H$403,8,0),"")</f>
        <v>OP2</v>
      </c>
    </row>
    <row r="1777" spans="1:19" x14ac:dyDescent="0.3">
      <c r="A1777" s="25">
        <v>1483</v>
      </c>
      <c r="B1777" s="25" t="str">
        <f>IFERROR(VLOOKUP(Tabela1[[#This Row],[CC]],#REF!,5,0),"")</f>
        <v/>
      </c>
      <c r="C1777" t="str">
        <f>IFERROR(VLOOKUP(Tabela1[[#This Row],[CC]],CC!$A$1:$H$389,7,0),"")</f>
        <v>RODRIGO CORUMBA</v>
      </c>
      <c r="D1777" t="str">
        <f>IFERROR(VLOOKUP(Tabela1[[#This Row],[CC]],CC!$A$1:$I$3869,3,0),"")</f>
        <v>UNIPAR</v>
      </c>
      <c r="E1777" t="str">
        <f>IFERROR(VLOOKUP(Tabela1[[#This Row],[CC]],CC!$A$1:$H$389,2,0),"")</f>
        <v>UNIPAR (1483)</v>
      </c>
      <c r="F1777" t="s">
        <v>586</v>
      </c>
      <c r="G1777" s="107">
        <v>8580</v>
      </c>
      <c r="H1777" s="12">
        <v>45931</v>
      </c>
      <c r="I1777" s="24">
        <v>53591.199999999997</v>
      </c>
      <c r="J1777" s="24">
        <v>50295.34</v>
      </c>
      <c r="K1777" s="3">
        <v>45964</v>
      </c>
      <c r="L1777" s="91">
        <v>45992</v>
      </c>
      <c r="M1777" s="11">
        <v>45994</v>
      </c>
      <c r="N1777" s="18" t="s">
        <v>588</v>
      </c>
      <c r="O1777" s="34">
        <v>0</v>
      </c>
      <c r="P1777" s="26"/>
      <c r="Q1777" t="str">
        <f>IFERROR(VLOOKUP(Tabela1[[#This Row],[CC]],CC!$A$1:$H$389,5,0),"")</f>
        <v>CSA</v>
      </c>
      <c r="R1777" t="str">
        <f>IFERROR(VLOOKUP(Tabela1[[#This Row],[CC]],CC!$A$1:$H$389,6,0),"")</f>
        <v>MS</v>
      </c>
      <c r="S1777" t="str">
        <f>IFERROR(VLOOKUP(Tabela1[[#This Row],[CC]],CC!$A$1:$H$403,8,0),"")</f>
        <v>OP2</v>
      </c>
    </row>
    <row r="1778" spans="1:19" x14ac:dyDescent="0.3">
      <c r="A1778" s="25">
        <v>1483</v>
      </c>
      <c r="B1778" s="25" t="str">
        <f>IFERROR(VLOOKUP(Tabela1[[#This Row],[CC]],#REF!,5,0),"")</f>
        <v/>
      </c>
      <c r="C1778" t="str">
        <f>IFERROR(VLOOKUP(Tabela1[[#This Row],[CC]],CC!$A$1:$H$389,7,0),"")</f>
        <v>RODRIGO CORUMBA</v>
      </c>
      <c r="D1778" t="str">
        <f>IFERROR(VLOOKUP(Tabela1[[#This Row],[CC]],CC!$A$1:$I$3869,3,0),"")</f>
        <v>UNIPAR</v>
      </c>
      <c r="E1778" t="str">
        <f>IFERROR(VLOOKUP(Tabela1[[#This Row],[CC]],CC!$A$1:$H$389,2,0),"")</f>
        <v>UNIPAR (1483)</v>
      </c>
      <c r="F1778" t="s">
        <v>586</v>
      </c>
      <c r="G1778" s="107">
        <v>8581</v>
      </c>
      <c r="H1778" s="12">
        <v>45931</v>
      </c>
      <c r="I1778" s="24">
        <v>28856.799999999999</v>
      </c>
      <c r="J1778" s="24">
        <v>25042.11</v>
      </c>
      <c r="K1778" s="3">
        <v>45964</v>
      </c>
      <c r="L1778" s="91">
        <v>45992</v>
      </c>
      <c r="M1778" s="11">
        <v>45994</v>
      </c>
      <c r="N1778" s="18" t="s">
        <v>588</v>
      </c>
      <c r="O1778" s="34">
        <v>0</v>
      </c>
      <c r="P1778" s="26"/>
      <c r="Q1778" t="str">
        <f>IFERROR(VLOOKUP(Tabela1[[#This Row],[CC]],CC!$A$1:$H$389,5,0),"")</f>
        <v>CSA</v>
      </c>
      <c r="R1778" t="str">
        <f>IFERROR(VLOOKUP(Tabela1[[#This Row],[CC]],CC!$A$1:$H$389,6,0),"")</f>
        <v>MS</v>
      </c>
      <c r="S1778" t="str">
        <f>IFERROR(VLOOKUP(Tabela1[[#This Row],[CC]],CC!$A$1:$H$403,8,0),"")</f>
        <v>OP2</v>
      </c>
    </row>
    <row r="1779" spans="1:19" x14ac:dyDescent="0.3">
      <c r="A1779" s="25">
        <v>1483</v>
      </c>
      <c r="B1779" s="25" t="str">
        <f>IFERROR(VLOOKUP(Tabela1[[#This Row],[CC]],#REF!,5,0),"")</f>
        <v/>
      </c>
      <c r="C1779" t="str">
        <f>IFERROR(VLOOKUP(Tabela1[[#This Row],[CC]],CC!$A$1:$H$389,7,0),"")</f>
        <v>RODRIGO CORUMBA</v>
      </c>
      <c r="D1779" t="str">
        <f>IFERROR(VLOOKUP(Tabela1[[#This Row],[CC]],CC!$A$1:$I$3869,3,0),"")</f>
        <v>UNIPAR</v>
      </c>
      <c r="E1779" t="str">
        <f>IFERROR(VLOOKUP(Tabela1[[#This Row],[CC]],CC!$A$1:$H$389,2,0),"")</f>
        <v>UNIPAR (1483)</v>
      </c>
      <c r="F1779" t="s">
        <v>586</v>
      </c>
      <c r="G1779" s="107">
        <v>8648</v>
      </c>
      <c r="H1779" s="12">
        <v>45962</v>
      </c>
      <c r="I1779" s="24">
        <v>53591.199999999997</v>
      </c>
      <c r="J1779" s="24">
        <v>48758.82</v>
      </c>
      <c r="K1779" s="3">
        <v>45994</v>
      </c>
      <c r="L1779" s="91">
        <v>46027</v>
      </c>
      <c r="M1779" s="11">
        <v>46029</v>
      </c>
      <c r="N1779" s="18" t="s">
        <v>588</v>
      </c>
      <c r="O1779" s="34">
        <v>0</v>
      </c>
      <c r="P1779" s="26"/>
      <c r="Q1779" t="str">
        <f>IFERROR(VLOOKUP(Tabela1[[#This Row],[CC]],CC!$A$1:$H$389,5,0),"")</f>
        <v>CSA</v>
      </c>
      <c r="R1779" t="str">
        <f>IFERROR(VLOOKUP(Tabela1[[#This Row],[CC]],CC!$A$1:$H$389,6,0),"")</f>
        <v>MS</v>
      </c>
      <c r="S1779" t="str">
        <f>IFERROR(VLOOKUP(Tabela1[[#This Row],[CC]],CC!$A$1:$H$403,8,0),"")</f>
        <v>OP2</v>
      </c>
    </row>
    <row r="1780" spans="1:19" x14ac:dyDescent="0.3">
      <c r="A1780" s="25">
        <v>1483</v>
      </c>
      <c r="B1780" s="25" t="str">
        <f>IFERROR(VLOOKUP(Tabela1[[#This Row],[CC]],#REF!,5,0),"")</f>
        <v/>
      </c>
      <c r="C1780" t="str">
        <f>IFERROR(VLOOKUP(Tabela1[[#This Row],[CC]],CC!$A$1:$H$389,7,0),"")</f>
        <v>RODRIGO CORUMBA</v>
      </c>
      <c r="D1780" t="str">
        <f>IFERROR(VLOOKUP(Tabela1[[#This Row],[CC]],CC!$A$1:$I$3869,3,0),"")</f>
        <v>UNIPAR</v>
      </c>
      <c r="E1780" t="str">
        <f>IFERROR(VLOOKUP(Tabela1[[#This Row],[CC]],CC!$A$1:$H$389,2,0),"")</f>
        <v>UNIPAR (1483)</v>
      </c>
      <c r="F1780" t="s">
        <v>586</v>
      </c>
      <c r="G1780" s="107">
        <v>8649</v>
      </c>
      <c r="H1780" s="12">
        <v>45962</v>
      </c>
      <c r="I1780" s="24">
        <v>28856.799999999999</v>
      </c>
      <c r="J1780" s="24">
        <v>26062.11</v>
      </c>
      <c r="K1780" s="3">
        <v>45994</v>
      </c>
      <c r="L1780" s="91">
        <v>46034</v>
      </c>
      <c r="M1780" s="11">
        <v>46036</v>
      </c>
      <c r="N1780" s="18" t="s">
        <v>588</v>
      </c>
      <c r="O1780" s="34">
        <v>0</v>
      </c>
      <c r="P1780" s="26"/>
      <c r="Q1780" t="str">
        <f>IFERROR(VLOOKUP(Tabela1[[#This Row],[CC]],CC!$A$1:$H$389,5,0),"")</f>
        <v>CSA</v>
      </c>
      <c r="R1780" t="str">
        <f>IFERROR(VLOOKUP(Tabela1[[#This Row],[CC]],CC!$A$1:$H$389,6,0),"")</f>
        <v>MS</v>
      </c>
      <c r="S1780" t="str">
        <f>IFERROR(VLOOKUP(Tabela1[[#This Row],[CC]],CC!$A$1:$H$403,8,0),"")</f>
        <v>OP2</v>
      </c>
    </row>
    <row r="1781" spans="1:19" x14ac:dyDescent="0.3">
      <c r="A1781" s="25">
        <v>1483</v>
      </c>
      <c r="B1781" s="25" t="str">
        <f>IFERROR(VLOOKUP(Tabela1[[#This Row],[CC]],#REF!,5,0),"")</f>
        <v/>
      </c>
      <c r="C1781" t="str">
        <f>IFERROR(VLOOKUP(Tabela1[[#This Row],[CC]],CC!$A$1:$H$389,7,0),"")</f>
        <v>RODRIGO CORUMBA</v>
      </c>
      <c r="D1781" t="str">
        <f>IFERROR(VLOOKUP(Tabela1[[#This Row],[CC]],CC!$A$1:$I$3869,3,0),"")</f>
        <v>UNIPAR</v>
      </c>
      <c r="E1781" t="str">
        <f>IFERROR(VLOOKUP(Tabela1[[#This Row],[CC]],CC!$A$1:$H$389,2,0),"")</f>
        <v>UNIPAR (1483)</v>
      </c>
      <c r="F1781" t="s">
        <v>586</v>
      </c>
      <c r="G1781" s="107">
        <v>8712</v>
      </c>
      <c r="H1781" s="12">
        <v>45992</v>
      </c>
      <c r="I1781" s="24">
        <v>28856.799999999999</v>
      </c>
      <c r="J1781" s="24">
        <v>26062.11</v>
      </c>
      <c r="K1781" s="3">
        <v>46034</v>
      </c>
      <c r="L1781" s="91">
        <v>46062</v>
      </c>
      <c r="M1781" s="11">
        <v>46064</v>
      </c>
      <c r="N1781" s="18" t="s">
        <v>588</v>
      </c>
      <c r="O1781" s="34">
        <v>0</v>
      </c>
      <c r="P1781" s="26"/>
      <c r="Q1781" t="str">
        <f>IFERROR(VLOOKUP(Tabela1[[#This Row],[CC]],CC!$A$1:$H$389,5,0),"")</f>
        <v>CSA</v>
      </c>
      <c r="R1781" t="str">
        <f>IFERROR(VLOOKUP(Tabela1[[#This Row],[CC]],CC!$A$1:$H$389,6,0),"")</f>
        <v>MS</v>
      </c>
      <c r="S1781" t="str">
        <f>IFERROR(VLOOKUP(Tabela1[[#This Row],[CC]],CC!$A$1:$H$403,8,0),"")</f>
        <v>OP2</v>
      </c>
    </row>
    <row r="1782" spans="1:19" x14ac:dyDescent="0.3">
      <c r="A1782" s="25">
        <v>1483</v>
      </c>
      <c r="B1782" s="25" t="str">
        <f>IFERROR(VLOOKUP(Tabela1[[#This Row],[CC]],#REF!,5,0),"")</f>
        <v/>
      </c>
      <c r="C1782" t="str">
        <f>IFERROR(VLOOKUP(Tabela1[[#This Row],[CC]],CC!$A$1:$H$389,7,0),"")</f>
        <v>RODRIGO CORUMBA</v>
      </c>
      <c r="D1782" t="str">
        <f>IFERROR(VLOOKUP(Tabela1[[#This Row],[CC]],CC!$A$1:$I$3869,3,0),"")</f>
        <v>UNIPAR</v>
      </c>
      <c r="E1782" t="str">
        <f>IFERROR(VLOOKUP(Tabela1[[#This Row],[CC]],CC!$A$1:$H$389,2,0),"")</f>
        <v>UNIPAR (1483)</v>
      </c>
      <c r="F1782" t="s">
        <v>586</v>
      </c>
      <c r="G1782" s="107">
        <v>8713</v>
      </c>
      <c r="H1782" s="12">
        <v>45992</v>
      </c>
      <c r="I1782" s="24">
        <v>53591.199999999997</v>
      </c>
      <c r="J1782" s="24">
        <v>49527.08</v>
      </c>
      <c r="K1782" s="3">
        <v>46034</v>
      </c>
      <c r="L1782" s="91">
        <v>46062</v>
      </c>
      <c r="M1782" s="11">
        <v>46064</v>
      </c>
      <c r="N1782" s="18" t="s">
        <v>588</v>
      </c>
      <c r="O1782" s="34">
        <v>0</v>
      </c>
      <c r="P1782" s="26"/>
      <c r="Q1782" t="str">
        <f>IFERROR(VLOOKUP(Tabela1[[#This Row],[CC]],CC!$A$1:$H$389,5,0),"")</f>
        <v>CSA</v>
      </c>
      <c r="R1782" t="str">
        <f>IFERROR(VLOOKUP(Tabela1[[#This Row],[CC]],CC!$A$1:$H$389,6,0),"")</f>
        <v>MS</v>
      </c>
      <c r="S1782" t="str">
        <f>IFERROR(VLOOKUP(Tabela1[[#This Row],[CC]],CC!$A$1:$H$403,8,0),"")</f>
        <v>OP2</v>
      </c>
    </row>
    <row r="1783" spans="1:19" x14ac:dyDescent="0.3">
      <c r="A1783" s="25">
        <v>1483</v>
      </c>
      <c r="B1783" s="25" t="str">
        <f>IFERROR(VLOOKUP(Tabela1[[#This Row],[CC]],#REF!,5,0),"")</f>
        <v/>
      </c>
      <c r="C1783" t="str">
        <f>IFERROR(VLOOKUP(Tabela1[[#This Row],[CC]],CC!$A$1:$H$389,7,0),"")</f>
        <v>RODRIGO CORUMBA</v>
      </c>
      <c r="D1783" t="str">
        <f>IFERROR(VLOOKUP(Tabela1[[#This Row],[CC]],CC!$A$1:$I$3869,3,0),"")</f>
        <v>UNIPAR</v>
      </c>
      <c r="E1783" t="str">
        <f>IFERROR(VLOOKUP(Tabela1[[#This Row],[CC]],CC!$A$1:$H$389,2,0),"")</f>
        <v>UNIPAR (1483)</v>
      </c>
      <c r="F1783" t="s">
        <v>586</v>
      </c>
      <c r="G1783" s="107">
        <v>8767</v>
      </c>
      <c r="H1783" s="12">
        <v>46023</v>
      </c>
      <c r="I1783" s="24">
        <v>53591.199999999997</v>
      </c>
      <c r="J1783" s="24">
        <v>49527.08</v>
      </c>
      <c r="K1783" s="3">
        <v>46073</v>
      </c>
      <c r="L1783" s="91">
        <v>46090</v>
      </c>
      <c r="M1783" s="11">
        <v>46092</v>
      </c>
      <c r="N1783" s="18" t="s">
        <v>588</v>
      </c>
      <c r="O1783" s="34">
        <v>0</v>
      </c>
      <c r="P1783" s="26"/>
      <c r="Q1783" t="str">
        <f>IFERROR(VLOOKUP(Tabela1[[#This Row],[CC]],CC!$A$1:$H$389,5,0),"")</f>
        <v>CSA</v>
      </c>
      <c r="R1783" t="str">
        <f>IFERROR(VLOOKUP(Tabela1[[#This Row],[CC]],CC!$A$1:$H$389,6,0),"")</f>
        <v>MS</v>
      </c>
      <c r="S1783" t="str">
        <f>IFERROR(VLOOKUP(Tabela1[[#This Row],[CC]],CC!$A$1:$H$403,8,0),"")</f>
        <v>OP2</v>
      </c>
    </row>
    <row r="1784" spans="1:19" x14ac:dyDescent="0.3">
      <c r="A1784" s="25">
        <v>1483</v>
      </c>
      <c r="B1784" s="25" t="str">
        <f>IFERROR(VLOOKUP(Tabela1[[#This Row],[CC]],#REF!,5,0),"")</f>
        <v/>
      </c>
      <c r="C1784" t="str">
        <f>IFERROR(VLOOKUP(Tabela1[[#This Row],[CC]],CC!$A$1:$H$389,7,0),"")</f>
        <v>RODRIGO CORUMBA</v>
      </c>
      <c r="D1784" t="str">
        <f>IFERROR(VLOOKUP(Tabela1[[#This Row],[CC]],CC!$A$1:$I$3869,3,0),"")</f>
        <v>UNIPAR</v>
      </c>
      <c r="E1784" t="str">
        <f>IFERROR(VLOOKUP(Tabela1[[#This Row],[CC]],CC!$A$1:$H$389,2,0),"")</f>
        <v>UNIPAR (1483)</v>
      </c>
      <c r="F1784" t="s">
        <v>586</v>
      </c>
      <c r="G1784" s="107">
        <v>8768</v>
      </c>
      <c r="H1784" s="12">
        <v>46023</v>
      </c>
      <c r="I1784" s="27">
        <v>28856.799999999999</v>
      </c>
      <c r="J1784" s="24">
        <v>26062.11</v>
      </c>
      <c r="K1784" s="3">
        <v>46073</v>
      </c>
      <c r="L1784" s="91">
        <v>46139</v>
      </c>
      <c r="M1784" s="11">
        <v>46141</v>
      </c>
      <c r="N1784" s="18" t="s">
        <v>588</v>
      </c>
      <c r="O1784" s="34">
        <v>0</v>
      </c>
      <c r="P1784" s="26"/>
      <c r="Q1784" t="str">
        <f>IFERROR(VLOOKUP(Tabela1[[#This Row],[CC]],CC!$A$1:$H$389,5,0),"")</f>
        <v>CSA</v>
      </c>
      <c r="R1784" t="str">
        <f>IFERROR(VLOOKUP(Tabela1[[#This Row],[CC]],CC!$A$1:$H$389,6,0),"")</f>
        <v>MS</v>
      </c>
      <c r="S1784" t="str">
        <f>IFERROR(VLOOKUP(Tabela1[[#This Row],[CC]],CC!$A$1:$H$403,8,0),"")</f>
        <v>OP2</v>
      </c>
    </row>
    <row r="1785" spans="1:19" x14ac:dyDescent="0.3">
      <c r="A1785" s="25">
        <v>1483</v>
      </c>
      <c r="B1785" s="25" t="str">
        <f>IFERROR(VLOOKUP(Tabela1[[#This Row],[CC]],#REF!,5,0),"")</f>
        <v/>
      </c>
      <c r="C1785" t="str">
        <f>IFERROR(VLOOKUP(Tabela1[[#This Row],[CC]],CC!$A$1:$H$389,7,0),"")</f>
        <v>RODRIGO CORUMBA</v>
      </c>
      <c r="D1785" t="str">
        <f>IFERROR(VLOOKUP(Tabela1[[#This Row],[CC]],CC!$A$1:$I$3869,3,0),"")</f>
        <v>UNIPAR</v>
      </c>
      <c r="E1785" t="str">
        <f>IFERROR(VLOOKUP(Tabela1[[#This Row],[CC]],CC!$A$1:$H$389,2,0),"")</f>
        <v>UNIPAR (1483)</v>
      </c>
      <c r="F1785" t="s">
        <v>586</v>
      </c>
      <c r="G1785" s="107">
        <v>8822</v>
      </c>
      <c r="H1785" s="12">
        <v>46054</v>
      </c>
      <c r="I1785" s="27">
        <v>53591.199999999997</v>
      </c>
      <c r="J1785" s="24">
        <v>49527.08</v>
      </c>
      <c r="K1785" s="3">
        <v>46101</v>
      </c>
      <c r="L1785" s="91">
        <v>46125</v>
      </c>
      <c r="M1785" s="11">
        <v>46127</v>
      </c>
      <c r="N1785" s="18" t="s">
        <v>588</v>
      </c>
      <c r="O1785" s="34">
        <v>0</v>
      </c>
      <c r="P1785" s="26"/>
      <c r="Q1785" t="str">
        <f>IFERROR(VLOOKUP(Tabela1[[#This Row],[CC]],CC!$A$1:$H$389,5,0),"")</f>
        <v>CSA</v>
      </c>
      <c r="R1785" t="str">
        <f>IFERROR(VLOOKUP(Tabela1[[#This Row],[CC]],CC!$A$1:$H$389,6,0),"")</f>
        <v>MS</v>
      </c>
      <c r="S1785" t="str">
        <f>IFERROR(VLOOKUP(Tabela1[[#This Row],[CC]],CC!$A$1:$H$403,8,0),"")</f>
        <v>OP2</v>
      </c>
    </row>
    <row r="1786" spans="1:19" x14ac:dyDescent="0.3">
      <c r="A1786" s="25">
        <v>1483</v>
      </c>
      <c r="B1786" s="25" t="str">
        <f>IFERROR(VLOOKUP(Tabela1[[#This Row],[CC]],#REF!,5,0),"")</f>
        <v/>
      </c>
      <c r="C1786" t="str">
        <f>IFERROR(VLOOKUP(Tabela1[[#This Row],[CC]],CC!$A$1:$H$389,7,0),"")</f>
        <v>RODRIGO CORUMBA</v>
      </c>
      <c r="D1786" t="str">
        <f>IFERROR(VLOOKUP(Tabela1[[#This Row],[CC]],CC!$A$1:$I$3869,3,0),"")</f>
        <v>UNIPAR</v>
      </c>
      <c r="E1786" t="str">
        <f>IFERROR(VLOOKUP(Tabela1[[#This Row],[CC]],CC!$A$1:$H$389,2,0),"")</f>
        <v>UNIPAR (1483)</v>
      </c>
      <c r="F1786" t="s">
        <v>586</v>
      </c>
      <c r="G1786" s="107">
        <v>8823</v>
      </c>
      <c r="H1786" s="12">
        <v>46054</v>
      </c>
      <c r="I1786" s="27">
        <v>28856.799999999999</v>
      </c>
      <c r="J1786" s="24">
        <v>27082.11</v>
      </c>
      <c r="K1786" s="3">
        <v>46101</v>
      </c>
      <c r="L1786" s="91">
        <v>46139</v>
      </c>
      <c r="M1786" s="11">
        <v>46141</v>
      </c>
      <c r="N1786" s="18" t="s">
        <v>588</v>
      </c>
      <c r="O1786" s="34">
        <v>0</v>
      </c>
      <c r="P1786" s="26"/>
      <c r="Q1786" t="str">
        <f>IFERROR(VLOOKUP(Tabela1[[#This Row],[CC]],CC!$A$1:$H$389,5,0),"")</f>
        <v>CSA</v>
      </c>
      <c r="R1786" t="str">
        <f>IFERROR(VLOOKUP(Tabela1[[#This Row],[CC]],CC!$A$1:$H$389,6,0),"")</f>
        <v>MS</v>
      </c>
      <c r="S1786" t="str">
        <f>IFERROR(VLOOKUP(Tabela1[[#This Row],[CC]],CC!$A$1:$H$403,8,0),"")</f>
        <v>OP2</v>
      </c>
    </row>
    <row r="1787" spans="1:19" x14ac:dyDescent="0.3">
      <c r="A1787" s="25">
        <v>1483</v>
      </c>
      <c r="B1787" s="25" t="str">
        <f>IFERROR(VLOOKUP(Tabela1[[#This Row],[CC]],#REF!,5,0),"")</f>
        <v/>
      </c>
      <c r="C1787" t="str">
        <f>IFERROR(VLOOKUP(Tabela1[[#This Row],[CC]],CC!$A$1:$H$389,7,0),"")</f>
        <v>RODRIGO CORUMBA</v>
      </c>
      <c r="D1787" t="str">
        <f>IFERROR(VLOOKUP(Tabela1[[#This Row],[CC]],CC!$A$1:$I$3869,3,0),"")</f>
        <v>UNIPAR</v>
      </c>
      <c r="E1787" t="str">
        <f>IFERROR(VLOOKUP(Tabela1[[#This Row],[CC]],CC!$A$1:$H$389,2,0),"")</f>
        <v>UNIPAR (1483)</v>
      </c>
      <c r="F1787" t="s">
        <v>586</v>
      </c>
      <c r="G1787" s="107">
        <v>8884</v>
      </c>
      <c r="H1787" s="12">
        <v>46082</v>
      </c>
      <c r="I1787" s="24">
        <v>4148</v>
      </c>
      <c r="J1787" s="27">
        <v>3892.9</v>
      </c>
      <c r="K1787" s="3">
        <v>46136</v>
      </c>
      <c r="L1787" s="147">
        <v>46160</v>
      </c>
      <c r="M1787" s="11">
        <v>46162</v>
      </c>
      <c r="N1787" s="18" t="s">
        <v>588</v>
      </c>
      <c r="O1787" s="34">
        <v>0</v>
      </c>
      <c r="P1787" s="26"/>
      <c r="Q1787" t="str">
        <f>IFERROR(VLOOKUP(Tabela1[[#This Row],[CC]],CC!$A$1:$H$389,5,0),"")</f>
        <v>CSA</v>
      </c>
      <c r="R1787" t="str">
        <f>IFERROR(VLOOKUP(Tabela1[[#This Row],[CC]],CC!$A$1:$H$389,6,0),"")</f>
        <v>MS</v>
      </c>
      <c r="S1787" t="str">
        <f>IFERROR(VLOOKUP(Tabela1[[#This Row],[CC]],CC!$A$1:$H$403,8,0),"")</f>
        <v>OP2</v>
      </c>
    </row>
    <row r="1788" spans="1:19" x14ac:dyDescent="0.3">
      <c r="A1788" s="25">
        <v>1483</v>
      </c>
      <c r="B1788" s="25" t="str">
        <f>IFERROR(VLOOKUP(Tabela1[[#This Row],[CC]],#REF!,5,0),"")</f>
        <v/>
      </c>
      <c r="C1788" t="str">
        <f>IFERROR(VLOOKUP(Tabela1[[#This Row],[CC]],CC!$A$1:$H$389,7,0),"")</f>
        <v>RODRIGO CORUMBA</v>
      </c>
      <c r="D1788" t="str">
        <f>IFERROR(VLOOKUP(Tabela1[[#This Row],[CC]],CC!$A$1:$I$3869,3,0),"")</f>
        <v>UNIPAR</v>
      </c>
      <c r="E1788" t="str">
        <f>IFERROR(VLOOKUP(Tabela1[[#This Row],[CC]],CC!$A$1:$H$389,2,0),"")</f>
        <v>UNIPAR (1483)</v>
      </c>
      <c r="F1788" t="s">
        <v>586</v>
      </c>
      <c r="G1788" s="107">
        <v>8885</v>
      </c>
      <c r="H1788" s="12">
        <v>46082</v>
      </c>
      <c r="I1788" s="24">
        <v>55065.96</v>
      </c>
      <c r="J1788" s="24">
        <v>50911.14</v>
      </c>
      <c r="K1788" s="3">
        <v>46136</v>
      </c>
      <c r="L1788" s="91">
        <v>46160</v>
      </c>
      <c r="M1788" s="11">
        <v>46162</v>
      </c>
      <c r="N1788" s="18" t="s">
        <v>588</v>
      </c>
      <c r="O1788" s="34">
        <v>0</v>
      </c>
      <c r="P1788" s="26"/>
      <c r="Q1788" t="str">
        <f>IFERROR(VLOOKUP(Tabela1[[#This Row],[CC]],CC!$A$1:$H$389,5,0),"")</f>
        <v>CSA</v>
      </c>
      <c r="R1788" t="str">
        <f>IFERROR(VLOOKUP(Tabela1[[#This Row],[CC]],CC!$A$1:$H$389,6,0),"")</f>
        <v>MS</v>
      </c>
      <c r="S1788" t="str">
        <f>IFERROR(VLOOKUP(Tabela1[[#This Row],[CC]],CC!$A$1:$H$403,8,0),"")</f>
        <v>OP2</v>
      </c>
    </row>
    <row r="1789" spans="1:19" x14ac:dyDescent="0.3">
      <c r="A1789" s="25">
        <v>1483</v>
      </c>
      <c r="B1789" s="25" t="str">
        <f>IFERROR(VLOOKUP(Tabela1[[#This Row],[CC]],#REF!,5,0),"")</f>
        <v/>
      </c>
      <c r="C1789" t="str">
        <f>IFERROR(VLOOKUP(Tabela1[[#This Row],[CC]],CC!$A$1:$H$389,7,0),"")</f>
        <v>RODRIGO CORUMBA</v>
      </c>
      <c r="D1789" t="str">
        <f>IFERROR(VLOOKUP(Tabela1[[#This Row],[CC]],CC!$A$1:$I$3869,3,0),"")</f>
        <v>UNIPAR</v>
      </c>
      <c r="E1789" t="str">
        <f>IFERROR(VLOOKUP(Tabela1[[#This Row],[CC]],CC!$A$1:$H$389,2,0),"")</f>
        <v>UNIPAR (1483)</v>
      </c>
      <c r="F1789" t="s">
        <v>586</v>
      </c>
      <c r="G1789" s="107">
        <v>8890</v>
      </c>
      <c r="H1789" s="12">
        <v>46082</v>
      </c>
      <c r="I1789" s="43">
        <v>14189.48</v>
      </c>
      <c r="J1789" s="24">
        <v>14189.48</v>
      </c>
      <c r="K1789" s="3">
        <v>46140</v>
      </c>
      <c r="L1789" s="147">
        <v>46174</v>
      </c>
      <c r="M1789" s="11">
        <v>46176</v>
      </c>
      <c r="N1789" s="18" t="s">
        <v>588</v>
      </c>
      <c r="O1789" s="34">
        <v>0</v>
      </c>
      <c r="P1789" s="26"/>
      <c r="Q1789" t="str">
        <f>IFERROR(VLOOKUP(Tabela1[[#This Row],[CC]],CC!$A$1:$H$389,5,0),"")</f>
        <v>CSA</v>
      </c>
      <c r="R1789" t="str">
        <f>IFERROR(VLOOKUP(Tabela1[[#This Row],[CC]],CC!$A$1:$H$389,6,0),"")</f>
        <v>MS</v>
      </c>
      <c r="S1789" t="str">
        <f>IFERROR(VLOOKUP(Tabela1[[#This Row],[CC]],CC!$A$1:$H$403,8,0),"")</f>
        <v>OP2</v>
      </c>
    </row>
    <row r="1790" spans="1:19" x14ac:dyDescent="0.3">
      <c r="A1790" s="25">
        <v>1483</v>
      </c>
      <c r="B1790" s="25" t="str">
        <f>IFERROR(VLOOKUP(Tabela1[[#This Row],[CC]],#REF!,5,0),"")</f>
        <v/>
      </c>
      <c r="C1790" t="str">
        <f>IFERROR(VLOOKUP(Tabela1[[#This Row],[CC]],CC!$A$1:$H$389,7,0),"")</f>
        <v>RODRIGO CORUMBA</v>
      </c>
      <c r="D1790" t="str">
        <f>IFERROR(VLOOKUP(Tabela1[[#This Row],[CC]],CC!$A$1:$I$3869,3,0),"")</f>
        <v>UNIPAR</v>
      </c>
      <c r="E1790" t="str">
        <f>IFERROR(VLOOKUP(Tabela1[[#This Row],[CC]],CC!$A$1:$H$389,2,0),"")</f>
        <v>UNIPAR (1483)</v>
      </c>
      <c r="F1790" t="s">
        <v>586</v>
      </c>
      <c r="G1790" s="107">
        <v>8887</v>
      </c>
      <c r="H1790" s="12">
        <v>46082</v>
      </c>
      <c r="I1790" s="24">
        <v>37291.39</v>
      </c>
      <c r="J1790" s="27">
        <v>34997.980000000003</v>
      </c>
      <c r="K1790" s="3">
        <v>46136</v>
      </c>
      <c r="L1790" s="91">
        <v>46160</v>
      </c>
      <c r="M1790" s="11">
        <v>46162</v>
      </c>
      <c r="N1790" s="18" t="s">
        <v>588</v>
      </c>
      <c r="O1790" s="34">
        <v>0</v>
      </c>
      <c r="P1790" s="26"/>
      <c r="Q1790" t="str">
        <f>IFERROR(VLOOKUP(Tabela1[[#This Row],[CC]],CC!$A$1:$H$389,5,0),"")</f>
        <v>CSA</v>
      </c>
      <c r="R1790" t="str">
        <f>IFERROR(VLOOKUP(Tabela1[[#This Row],[CC]],CC!$A$1:$H$389,6,0),"")</f>
        <v>MS</v>
      </c>
      <c r="S1790" t="str">
        <f>IFERROR(VLOOKUP(Tabela1[[#This Row],[CC]],CC!$A$1:$H$403,8,0),"")</f>
        <v>OP2</v>
      </c>
    </row>
    <row r="1791" spans="1:19" x14ac:dyDescent="0.3">
      <c r="A1791" s="25">
        <v>1533</v>
      </c>
      <c r="B1791" s="25" t="str">
        <f>IFERROR(VLOOKUP(Tabela1[[#This Row],[CC]],#REF!,5,0),"")</f>
        <v/>
      </c>
      <c r="C1791" t="str">
        <f>IFERROR(VLOOKUP(Tabela1[[#This Row],[CC]],CC!$A$1:$H$389,7,0),"")</f>
        <v>RODRIGO CORUMBA</v>
      </c>
      <c r="D1791" t="str">
        <f>IFERROR(VLOOKUP(Tabela1[[#This Row],[CC]],CC!$A$1:$I$3869,3,0),"")</f>
        <v>UNIPAR</v>
      </c>
      <c r="E1791" t="str">
        <f>IFERROR(VLOOKUP(Tabela1[[#This Row],[CC]],CC!$A$1:$H$389,2,0),"")</f>
        <v>UNIPAR_SD-OPS (1533)</v>
      </c>
      <c r="F1791" t="s">
        <v>586</v>
      </c>
      <c r="G1791" s="107">
        <v>8916</v>
      </c>
      <c r="H1791" s="12">
        <v>46113</v>
      </c>
      <c r="I1791" s="43">
        <v>36028.83</v>
      </c>
      <c r="J1791" s="24">
        <v>33813.06</v>
      </c>
      <c r="K1791" s="3">
        <v>46147</v>
      </c>
      <c r="L1791" s="147">
        <v>46174</v>
      </c>
      <c r="M1791" s="11">
        <v>46176</v>
      </c>
      <c r="N1791" s="18" t="s">
        <v>588</v>
      </c>
      <c r="O1791" s="34">
        <v>0</v>
      </c>
      <c r="P1791" s="26"/>
      <c r="Q1791" t="str">
        <f>IFERROR(VLOOKUP(Tabela1[[#This Row],[CC]],CC!$A$1:$H$389,5,0),"")</f>
        <v>CSA</v>
      </c>
      <c r="R1791" t="str">
        <f>IFERROR(VLOOKUP(Tabela1[[#This Row],[CC]],CC!$A$1:$H$389,6,0),"")</f>
        <v>MS</v>
      </c>
      <c r="S1791" t="str">
        <f>IFERROR(VLOOKUP(Tabela1[[#This Row],[CC]],CC!$A$1:$H$403,8,0),"")</f>
        <v>OP2</v>
      </c>
    </row>
    <row r="1792" spans="1:19" x14ac:dyDescent="0.3">
      <c r="A1792" s="25">
        <v>1533</v>
      </c>
      <c r="B1792" s="25" t="str">
        <f>IFERROR(VLOOKUP(Tabela1[[#This Row],[CC]],#REF!,5,0),"")</f>
        <v/>
      </c>
      <c r="C1792" t="str">
        <f>IFERROR(VLOOKUP(Tabela1[[#This Row],[CC]],CC!$A$1:$H$389,7,0),"")</f>
        <v>RODRIGO CORUMBA</v>
      </c>
      <c r="D1792" t="str">
        <f>IFERROR(VLOOKUP(Tabela1[[#This Row],[CC]],CC!$A$1:$I$3869,3,0),"")</f>
        <v>UNIPAR</v>
      </c>
      <c r="E1792" t="str">
        <f>IFERROR(VLOOKUP(Tabela1[[#This Row],[CC]],CC!$A$1:$H$389,2,0),"")</f>
        <v>UNIPAR_SD-OPS (1533)</v>
      </c>
      <c r="F1792" t="s">
        <v>586</v>
      </c>
      <c r="G1792" s="107">
        <v>8917</v>
      </c>
      <c r="H1792" s="12">
        <v>46113</v>
      </c>
      <c r="I1792" s="24">
        <v>69910.69</v>
      </c>
      <c r="J1792" s="24">
        <v>65611.179999999993</v>
      </c>
      <c r="K1792" s="3">
        <v>46147</v>
      </c>
      <c r="L1792" s="147">
        <v>46174</v>
      </c>
      <c r="M1792" s="11">
        <v>46176</v>
      </c>
      <c r="N1792" s="18" t="s">
        <v>588</v>
      </c>
      <c r="O1792" s="34">
        <v>0</v>
      </c>
      <c r="P1792" s="26"/>
      <c r="Q1792" t="str">
        <f>IFERROR(VLOOKUP(Tabela1[[#This Row],[CC]],CC!$A$1:$H$389,5,0),"")</f>
        <v>CSA</v>
      </c>
      <c r="R1792" t="str">
        <f>IFERROR(VLOOKUP(Tabela1[[#This Row],[CC]],CC!$A$1:$H$389,6,0),"")</f>
        <v>MS</v>
      </c>
      <c r="S1792" t="str">
        <f>IFERROR(VLOOKUP(Tabela1[[#This Row],[CC]],CC!$A$1:$H$403,8,0),"")</f>
        <v>OP2</v>
      </c>
    </row>
    <row r="1793" spans="1:19" x14ac:dyDescent="0.3">
      <c r="A1793" s="25">
        <v>1533</v>
      </c>
      <c r="B1793" s="25" t="str">
        <f>IFERROR(VLOOKUP(Tabela1[[#This Row],[CC]],#REF!,5,0),"")</f>
        <v/>
      </c>
      <c r="C1793" t="str">
        <f>IFERROR(VLOOKUP(Tabela1[[#This Row],[CC]],CC!$A$1:$H$389,7,0),"")</f>
        <v>RODRIGO CORUMBA</v>
      </c>
      <c r="D1793" t="str">
        <f>IFERROR(VLOOKUP(Tabela1[[#This Row],[CC]],CC!$A$1:$I$3869,3,0),"")</f>
        <v>UNIPAR</v>
      </c>
      <c r="E1793" t="str">
        <f>IFERROR(VLOOKUP(Tabela1[[#This Row],[CC]],CC!$A$1:$H$389,2,0),"")</f>
        <v>UNIPAR_SD-OPS (1533)</v>
      </c>
      <c r="F1793" t="s">
        <v>586</v>
      </c>
      <c r="G1793" s="107">
        <v>8939</v>
      </c>
      <c r="H1793" s="12">
        <v>46113</v>
      </c>
      <c r="I1793" s="24">
        <v>8847.7999999999993</v>
      </c>
      <c r="J1793" s="24">
        <v>8847.7999999999993</v>
      </c>
      <c r="K1793" s="3">
        <v>46155</v>
      </c>
      <c r="L1793" s="147">
        <v>46181</v>
      </c>
      <c r="M1793" s="11">
        <v>46183</v>
      </c>
      <c r="N1793" s="18" t="s">
        <v>588</v>
      </c>
      <c r="O1793" s="34">
        <v>0</v>
      </c>
      <c r="P1793" s="26"/>
      <c r="Q1793" t="str">
        <f>IFERROR(VLOOKUP(Tabela1[[#This Row],[CC]],CC!$A$1:$H$389,5,0),"")</f>
        <v>CSA</v>
      </c>
      <c r="R1793" t="str">
        <f>IFERROR(VLOOKUP(Tabela1[[#This Row],[CC]],CC!$A$1:$H$389,6,0),"")</f>
        <v>MS</v>
      </c>
      <c r="S1793" t="str">
        <f>IFERROR(VLOOKUP(Tabela1[[#This Row],[CC]],CC!$A$1:$H$403,8,0),"")</f>
        <v>OP2</v>
      </c>
    </row>
    <row r="1794" spans="1:19" x14ac:dyDescent="0.3">
      <c r="A1794" s="25">
        <v>1533</v>
      </c>
      <c r="B1794" s="25" t="str">
        <f>IFERROR(VLOOKUP(Tabela1[[#This Row],[CC]],#REF!,5,0),"")</f>
        <v/>
      </c>
      <c r="C1794" t="str">
        <f>IFERROR(VLOOKUP(Tabela1[[#This Row],[CC]],CC!$A$1:$H$389,7,0),"")</f>
        <v>RODRIGO CORUMBA</v>
      </c>
      <c r="D1794" t="str">
        <f>IFERROR(VLOOKUP(Tabela1[[#This Row],[CC]],CC!$A$1:$I$3869,3,0),"")</f>
        <v>UNIPAR</v>
      </c>
      <c r="E1794" t="str">
        <f>IFERROR(VLOOKUP(Tabela1[[#This Row],[CC]],CC!$A$1:$H$389,2,0),"")</f>
        <v>UNIPAR_SD-OPS (1533)</v>
      </c>
      <c r="F1794" t="s">
        <v>586</v>
      </c>
      <c r="G1794" s="107">
        <v>8941</v>
      </c>
      <c r="H1794" s="12">
        <v>46113</v>
      </c>
      <c r="I1794" s="24">
        <v>4764.2</v>
      </c>
      <c r="J1794" s="24">
        <v>4764.2</v>
      </c>
      <c r="K1794" s="3">
        <v>46155</v>
      </c>
      <c r="L1794" s="147">
        <v>46181</v>
      </c>
      <c r="M1794" s="11">
        <v>46183</v>
      </c>
      <c r="N1794" s="18" t="s">
        <v>588</v>
      </c>
      <c r="O1794" s="34">
        <v>0</v>
      </c>
      <c r="P1794" s="26"/>
      <c r="Q1794" t="str">
        <f>IFERROR(VLOOKUP(Tabela1[[#This Row],[CC]],CC!$A$1:$H$389,5,0),"")</f>
        <v>CSA</v>
      </c>
      <c r="R1794" t="str">
        <f>IFERROR(VLOOKUP(Tabela1[[#This Row],[CC]],CC!$A$1:$H$389,6,0),"")</f>
        <v>MS</v>
      </c>
      <c r="S1794" t="str">
        <f>IFERROR(VLOOKUP(Tabela1[[#This Row],[CC]],CC!$A$1:$H$403,8,0),"")</f>
        <v>OP2</v>
      </c>
    </row>
    <row r="1795" spans="1:19" x14ac:dyDescent="0.3">
      <c r="A1795" s="25">
        <v>1400</v>
      </c>
      <c r="B1795" s="25" t="str">
        <f>IFERROR(VLOOKUP(Tabela1[[#This Row],[CC]],#REF!,5,0),"")</f>
        <v/>
      </c>
      <c r="C1795" t="str">
        <f>IFERROR(VLOOKUP(Tabela1[[#This Row],[CC]],CC!$A$1:$H$389,7,0),"")</f>
        <v>CYRO SALVATORE</v>
      </c>
      <c r="D1795" t="str">
        <f>IFERROR(VLOOKUP(Tabela1[[#This Row],[CC]],CC!$A$1:$I$3869,3,0),"")</f>
        <v>SABESP</v>
      </c>
      <c r="E1795" t="str">
        <f>IFERROR(VLOOKUP(Tabela1[[#This Row],[CC]],CC!$A$1:$H$389,2,0),"")</f>
        <v>SABESP - MICROSOFT NOVO (1400)</v>
      </c>
      <c r="F1795" t="s">
        <v>586</v>
      </c>
      <c r="G1795" s="107">
        <v>8989</v>
      </c>
      <c r="H1795" s="12">
        <v>46110</v>
      </c>
      <c r="I1795" s="43">
        <v>677917.33</v>
      </c>
      <c r="J1795" s="27">
        <v>612498.31000000006</v>
      </c>
      <c r="K1795" s="3">
        <v>46174</v>
      </c>
      <c r="L1795" s="91">
        <v>46195</v>
      </c>
      <c r="M1795" s="11"/>
      <c r="N1795" s="18" t="s">
        <v>587</v>
      </c>
      <c r="O1795" s="34"/>
      <c r="P1795"/>
      <c r="Q1795" t="str">
        <f>IFERROR(VLOOKUP(Tabela1[[#This Row],[CC]],CC!$A$1:$H$389,5,0),"")</f>
        <v>ADS</v>
      </c>
      <c r="R1795" t="str">
        <f>IFERROR(VLOOKUP(Tabela1[[#This Row],[CC]],CC!$A$1:$H$389,6,0),"")</f>
        <v>UT</v>
      </c>
      <c r="S1795" t="str">
        <f>IFERROR(VLOOKUP(Tabela1[[#This Row],[CC]],CC!$A$1:$H$403,8,0),"")</f>
        <v>OP1</v>
      </c>
    </row>
    <row r="1796" spans="1:19" x14ac:dyDescent="0.3">
      <c r="A1796" s="25">
        <v>1400</v>
      </c>
      <c r="B1796" s="25" t="str">
        <f>IFERROR(VLOOKUP(Tabela1[[#This Row],[CC]],#REF!,5,0),"")</f>
        <v/>
      </c>
      <c r="C1796" t="str">
        <f>IFERROR(VLOOKUP(Tabela1[[#This Row],[CC]],CC!$A$1:$H$389,7,0),"")</f>
        <v>CYRO SALVATORE</v>
      </c>
      <c r="D1796" t="str">
        <f>IFERROR(VLOOKUP(Tabela1[[#This Row],[CC]],CC!$A$1:$I$3869,3,0),"")</f>
        <v>SABESP</v>
      </c>
      <c r="E1796" t="str">
        <f>IFERROR(VLOOKUP(Tabela1[[#This Row],[CC]],CC!$A$1:$H$389,2,0),"")</f>
        <v>SABESP - MICROSOFT NOVO (1400)</v>
      </c>
      <c r="F1796" t="s">
        <v>586</v>
      </c>
      <c r="G1796" s="107">
        <v>8990</v>
      </c>
      <c r="H1796" s="12">
        <v>46141</v>
      </c>
      <c r="I1796" s="24">
        <v>471011.55</v>
      </c>
      <c r="J1796" s="27">
        <v>425558.93</v>
      </c>
      <c r="K1796" s="3">
        <v>46174</v>
      </c>
      <c r="L1796" s="91">
        <v>46195</v>
      </c>
      <c r="M1796" s="11"/>
      <c r="N1796" s="18" t="s">
        <v>587</v>
      </c>
      <c r="O1796" s="35"/>
      <c r="P1796"/>
      <c r="Q1796" t="str">
        <f>IFERROR(VLOOKUP(Tabela1[[#This Row],[CC]],CC!$A$1:$H$389,5,0),"")</f>
        <v>ADS</v>
      </c>
      <c r="R1796" t="str">
        <f>IFERROR(VLOOKUP(Tabela1[[#This Row],[CC]],CC!$A$1:$H$389,6,0),"")</f>
        <v>UT</v>
      </c>
      <c r="S1796" t="str">
        <f>IFERROR(VLOOKUP(Tabela1[[#This Row],[CC]],CC!$A$1:$H$403,8,0),"")</f>
        <v>OP1</v>
      </c>
    </row>
    <row r="1797" spans="1:19" x14ac:dyDescent="0.3">
      <c r="A1797" s="25">
        <v>1275</v>
      </c>
      <c r="B1797" s="25" t="str">
        <f>IFERROR(VLOOKUP(Tabela1[[#This Row],[CC]],#REF!,5,0),"")</f>
        <v/>
      </c>
      <c r="C1797" t="str">
        <f>IFERROR(VLOOKUP(Tabela1[[#This Row],[CC]],CC!$A$1:$H$389,7,0),"")</f>
        <v>RODRIGO CORUMBA</v>
      </c>
      <c r="D1797" t="str">
        <f>IFERROR(VLOOKUP(Tabela1[[#This Row],[CC]],CC!$A$1:$I$3869,3,0),"")</f>
        <v>VR</v>
      </c>
      <c r="E1797" t="str">
        <f>IFERROR(VLOOKUP(Tabela1[[#This Row],[CC]],CC!$A$1:$H$389,2,0),"")</f>
        <v>VR (1275)</v>
      </c>
      <c r="F1797" t="s">
        <v>586</v>
      </c>
      <c r="G1797" s="107">
        <v>4491</v>
      </c>
      <c r="H1797" s="12">
        <v>45931</v>
      </c>
      <c r="I1797" s="24">
        <v>16767.240000000002</v>
      </c>
      <c r="J1797" s="24">
        <v>15736.05</v>
      </c>
      <c r="K1797" s="3">
        <v>45964</v>
      </c>
      <c r="L1797" s="147">
        <v>45985</v>
      </c>
      <c r="M1797" s="11">
        <v>45989</v>
      </c>
      <c r="N1797" s="18" t="s">
        <v>588</v>
      </c>
      <c r="O1797" s="34">
        <v>0</v>
      </c>
      <c r="P1797" s="26"/>
      <c r="Q1797" t="str">
        <f>IFERROR(VLOOKUP(Tabela1[[#This Row],[CC]],CC!$A$1:$H$389,5,0),"")</f>
        <v>ADS</v>
      </c>
      <c r="R1797" t="str">
        <f>IFERROR(VLOOKUP(Tabela1[[#This Row],[CC]],CC!$A$1:$H$389,6,0),"")</f>
        <v>FS</v>
      </c>
      <c r="S1797" t="str">
        <f>IFERROR(VLOOKUP(Tabela1[[#This Row],[CC]],CC!$A$1:$H$403,8,0),"")</f>
        <v>OP2</v>
      </c>
    </row>
    <row r="1798" spans="1:19" x14ac:dyDescent="0.3">
      <c r="A1798" s="25">
        <v>1479</v>
      </c>
      <c r="B1798" s="25" t="str">
        <f>IFERROR(VLOOKUP(Tabela1[[#This Row],[CC]],#REF!,5,0),"")</f>
        <v/>
      </c>
      <c r="C1798" t="str">
        <f>IFERROR(VLOOKUP(Tabela1[[#This Row],[CC]],CC!$A$1:$H$389,7,0),"")</f>
        <v>RODRIGO CORUMBA</v>
      </c>
      <c r="D1798" t="str">
        <f>IFERROR(VLOOKUP(Tabela1[[#This Row],[CC]],CC!$A$1:$I$3869,3,0),"")</f>
        <v>VR</v>
      </c>
      <c r="E1798" t="str">
        <f>IFERROR(VLOOKUP(Tabela1[[#This Row],[CC]],CC!$A$1:$H$389,2,0),"")</f>
        <v>VR - Salesforce (1479)</v>
      </c>
      <c r="F1798" t="s">
        <v>586</v>
      </c>
      <c r="G1798" s="107">
        <v>4493</v>
      </c>
      <c r="H1798" s="12">
        <v>45931</v>
      </c>
      <c r="I1798" s="24">
        <v>26040</v>
      </c>
      <c r="J1798" s="24">
        <v>24438.54</v>
      </c>
      <c r="K1798" s="3">
        <v>45965</v>
      </c>
      <c r="L1798" s="147">
        <v>45985</v>
      </c>
      <c r="M1798" s="11">
        <v>45989</v>
      </c>
      <c r="N1798" s="18" t="s">
        <v>588</v>
      </c>
      <c r="O1798" s="34">
        <v>0</v>
      </c>
      <c r="P1798" s="26"/>
      <c r="Q1798" t="str">
        <f>IFERROR(VLOOKUP(Tabela1[[#This Row],[CC]],CC!$A$1:$H$389,5,0),"")</f>
        <v>BPS</v>
      </c>
      <c r="R1798" t="str">
        <f>IFERROR(VLOOKUP(Tabela1[[#This Row],[CC]],CC!$A$1:$H$389,6,0),"")</f>
        <v>FS</v>
      </c>
      <c r="S1798" t="str">
        <f>IFERROR(VLOOKUP(Tabela1[[#This Row],[CC]],CC!$A$1:$H$403,8,0),"")</f>
        <v>OP2</v>
      </c>
    </row>
    <row r="1799" spans="1:19" x14ac:dyDescent="0.3">
      <c r="A1799" s="25">
        <v>1455</v>
      </c>
      <c r="B1799" s="25" t="str">
        <f>IFERROR(VLOOKUP(Tabela1[[#This Row],[CC]],#REF!,5,0),"")</f>
        <v/>
      </c>
      <c r="C1799" t="str">
        <f>IFERROR(VLOOKUP(Tabela1[[#This Row],[CC]],CC!$A$1:$H$389,7,0),"")</f>
        <v>ROGERIO GORDILHO</v>
      </c>
      <c r="D1799" t="str">
        <f>IFERROR(VLOOKUP(Tabela1[[#This Row],[CC]],CC!$A$1:$I$3869,3,0),"")</f>
        <v>ATAKAREJO</v>
      </c>
      <c r="E1799" t="str">
        <f>IFERROR(VLOOKUP(Tabela1[[#This Row],[CC]],CC!$A$1:$H$389,2,0),"")</f>
        <v>ATAKAREJO N3 (1455)</v>
      </c>
      <c r="F1799" t="s">
        <v>586</v>
      </c>
      <c r="G1799" s="107">
        <v>8642</v>
      </c>
      <c r="H1799" s="12">
        <v>45962</v>
      </c>
      <c r="I1799" s="24">
        <v>56875.77</v>
      </c>
      <c r="J1799" s="24">
        <v>50249.74</v>
      </c>
      <c r="K1799" s="3">
        <v>45992</v>
      </c>
      <c r="L1799" s="147">
        <v>46020</v>
      </c>
      <c r="M1799" s="11">
        <v>46021</v>
      </c>
      <c r="N1799" s="21" t="s">
        <v>588</v>
      </c>
      <c r="O1799" s="34"/>
      <c r="P1799" s="26"/>
      <c r="Q1799" t="str">
        <f>IFERROR(VLOOKUP(Tabela1[[#This Row],[CC]],CC!$A$1:$H$389,5,0),"")</f>
        <v>CSA</v>
      </c>
      <c r="R1799" t="str">
        <f>IFERROR(VLOOKUP(Tabela1[[#This Row],[CC]],CC!$A$1:$H$389,6,0),"")</f>
        <v>MS</v>
      </c>
      <c r="S1799" t="str">
        <f>IFERROR(VLOOKUP(Tabela1[[#This Row],[CC]],CC!$A$1:$H$403,8,0),"")</f>
        <v>OP4</v>
      </c>
    </row>
    <row r="1800" spans="1:19" ht="13.95" customHeight="1" x14ac:dyDescent="0.3">
      <c r="A1800" s="25">
        <v>1455</v>
      </c>
      <c r="B1800" s="25" t="str">
        <f>IFERROR(VLOOKUP(Tabela1[[#This Row],[CC]],#REF!,5,0),"")</f>
        <v/>
      </c>
      <c r="C1800" t="str">
        <f>IFERROR(VLOOKUP(Tabela1[[#This Row],[CC]],CC!$A$1:$H$389,7,0),"")</f>
        <v>ROGERIO GORDILHO</v>
      </c>
      <c r="D1800" t="str">
        <f>IFERROR(VLOOKUP(Tabela1[[#This Row],[CC]],CC!$A$1:$I$3869,3,0),"")</f>
        <v>ATAKAREJO</v>
      </c>
      <c r="E1800" t="str">
        <f>IFERROR(VLOOKUP(Tabela1[[#This Row],[CC]],CC!$A$1:$H$389,2,0),"")</f>
        <v>ATAKAREJO N3 (1455)</v>
      </c>
      <c r="F1800" t="s">
        <v>586</v>
      </c>
      <c r="G1800" s="107">
        <v>8699</v>
      </c>
      <c r="H1800" s="12">
        <v>45992</v>
      </c>
      <c r="I1800" s="24">
        <v>56875.77</v>
      </c>
      <c r="J1800" s="24">
        <v>50249.74</v>
      </c>
      <c r="K1800" s="3">
        <v>46024</v>
      </c>
      <c r="L1800" s="147">
        <v>46048</v>
      </c>
      <c r="M1800" s="11">
        <v>46052</v>
      </c>
      <c r="N1800" s="21" t="s">
        <v>588</v>
      </c>
      <c r="O1800" s="34"/>
      <c r="P1800" s="26"/>
      <c r="Q1800" t="str">
        <f>IFERROR(VLOOKUP(Tabela1[[#This Row],[CC]],CC!$A$1:$H$389,5,0),"")</f>
        <v>CSA</v>
      </c>
      <c r="R1800" t="str">
        <f>IFERROR(VLOOKUP(Tabela1[[#This Row],[CC]],CC!$A$1:$H$389,6,0),"")</f>
        <v>MS</v>
      </c>
      <c r="S1800" t="str">
        <f>IFERROR(VLOOKUP(Tabela1[[#This Row],[CC]],CC!$A$1:$H$403,8,0),"")</f>
        <v>OP4</v>
      </c>
    </row>
    <row r="1801" spans="1:19" ht="13.95" customHeight="1" x14ac:dyDescent="0.3">
      <c r="A1801" s="25">
        <v>1455</v>
      </c>
      <c r="B1801" s="25" t="str">
        <f>IFERROR(VLOOKUP(Tabela1[[#This Row],[CC]],#REF!,5,0),"")</f>
        <v/>
      </c>
      <c r="C1801" t="str">
        <f>IFERROR(VLOOKUP(Tabela1[[#This Row],[CC]],CC!$A$1:$H$389,7,0),"")</f>
        <v>ROGERIO GORDILHO</v>
      </c>
      <c r="D1801" t="str">
        <f>IFERROR(VLOOKUP(Tabela1[[#This Row],[CC]],CC!$A$1:$I$3869,3,0),"")</f>
        <v>ATAKAREJO</v>
      </c>
      <c r="E1801" t="str">
        <f>IFERROR(VLOOKUP(Tabela1[[#This Row],[CC]],CC!$A$1:$H$389,2,0),"")</f>
        <v>ATAKAREJO N3 (1455)</v>
      </c>
      <c r="F1801" t="s">
        <v>586</v>
      </c>
      <c r="G1801" s="107">
        <v>8730</v>
      </c>
      <c r="H1801" s="12">
        <v>46023</v>
      </c>
      <c r="I1801" s="24">
        <v>56875.77</v>
      </c>
      <c r="J1801" s="24">
        <v>50704.74</v>
      </c>
      <c r="K1801" s="3">
        <v>46055</v>
      </c>
      <c r="L1801" s="147">
        <v>46083</v>
      </c>
      <c r="M1801" s="11">
        <v>46083</v>
      </c>
      <c r="N1801" s="21" t="s">
        <v>588</v>
      </c>
      <c r="O1801" s="34"/>
      <c r="P1801" s="26"/>
      <c r="Q1801" t="str">
        <f>IFERROR(VLOOKUP(Tabela1[[#This Row],[CC]],CC!$A$1:$H$389,5,0),"")</f>
        <v>CSA</v>
      </c>
      <c r="R1801" t="str">
        <f>IFERROR(VLOOKUP(Tabela1[[#This Row],[CC]],CC!$A$1:$H$389,6,0),"")</f>
        <v>MS</v>
      </c>
      <c r="S1801" t="str">
        <f>IFERROR(VLOOKUP(Tabela1[[#This Row],[CC]],CC!$A$1:$H$403,8,0),"")</f>
        <v>OP4</v>
      </c>
    </row>
    <row r="1802" spans="1:19" ht="13.95" customHeight="1" x14ac:dyDescent="0.3">
      <c r="A1802" s="25">
        <v>1455</v>
      </c>
      <c r="B1802" s="25" t="str">
        <f>IFERROR(VLOOKUP(Tabela1[[#This Row],[CC]],#REF!,5,0),"")</f>
        <v/>
      </c>
      <c r="C1802" t="str">
        <f>IFERROR(VLOOKUP(Tabela1[[#This Row],[CC]],CC!$A$1:$H$389,7,0),"")</f>
        <v>ROGERIO GORDILHO</v>
      </c>
      <c r="D1802" t="str">
        <f>IFERROR(VLOOKUP(Tabela1[[#This Row],[CC]],CC!$A$1:$I$3869,3,0),"")</f>
        <v>ATAKAREJO</v>
      </c>
      <c r="E1802" t="str">
        <f>IFERROR(VLOOKUP(Tabela1[[#This Row],[CC]],CC!$A$1:$H$389,2,0),"")</f>
        <v>ATAKAREJO N3 (1455)</v>
      </c>
      <c r="F1802" t="s">
        <v>586</v>
      </c>
      <c r="G1802" s="107">
        <v>8785</v>
      </c>
      <c r="H1802" s="12">
        <v>46054</v>
      </c>
      <c r="I1802" s="24">
        <v>56875.77</v>
      </c>
      <c r="J1802" s="24">
        <v>50249.74</v>
      </c>
      <c r="K1802" s="3">
        <v>46083</v>
      </c>
      <c r="L1802" s="147">
        <v>46111</v>
      </c>
      <c r="M1802" s="11">
        <v>46111</v>
      </c>
      <c r="N1802" s="21" t="s">
        <v>588</v>
      </c>
      <c r="O1802" s="34"/>
      <c r="P1802" s="26"/>
      <c r="Q1802" t="str">
        <f>IFERROR(VLOOKUP(Tabela1[[#This Row],[CC]],CC!$A$1:$H$389,5,0),"")</f>
        <v>CSA</v>
      </c>
      <c r="R1802" t="str">
        <f>IFERROR(VLOOKUP(Tabela1[[#This Row],[CC]],CC!$A$1:$H$389,6,0),"")</f>
        <v>MS</v>
      </c>
      <c r="S1802" t="str">
        <f>IFERROR(VLOOKUP(Tabela1[[#This Row],[CC]],CC!$A$1:$H$403,8,0),"")</f>
        <v>OP4</v>
      </c>
    </row>
    <row r="1803" spans="1:19" ht="13.95" customHeight="1" x14ac:dyDescent="0.3">
      <c r="A1803" s="25">
        <v>1455</v>
      </c>
      <c r="B1803" s="25" t="str">
        <f>IFERROR(VLOOKUP(Tabela1[[#This Row],[CC]],#REF!,5,0),"")</f>
        <v/>
      </c>
      <c r="C1803" t="str">
        <f>IFERROR(VLOOKUP(Tabela1[[#This Row],[CC]],CC!$A$1:$H$389,7,0),"")</f>
        <v>ROGERIO GORDILHO</v>
      </c>
      <c r="D1803" t="str">
        <f>IFERROR(VLOOKUP(Tabela1[[#This Row],[CC]],CC!$A$1:$I$3869,3,0),"")</f>
        <v>ATAKAREJO</v>
      </c>
      <c r="E1803" t="str">
        <f>IFERROR(VLOOKUP(Tabela1[[#This Row],[CC]],CC!$A$1:$H$389,2,0),"")</f>
        <v>ATAKAREJO N3 (1455)</v>
      </c>
      <c r="F1803" t="s">
        <v>586</v>
      </c>
      <c r="G1803" s="107">
        <v>8838</v>
      </c>
      <c r="H1803" s="12">
        <v>46082</v>
      </c>
      <c r="I1803" s="24">
        <v>56875.77</v>
      </c>
      <c r="J1803" s="24">
        <v>50249.74</v>
      </c>
      <c r="K1803" s="3">
        <v>46113</v>
      </c>
      <c r="L1803" s="147">
        <v>46139</v>
      </c>
      <c r="M1803" s="11">
        <v>46142</v>
      </c>
      <c r="N1803" s="21" t="s">
        <v>588</v>
      </c>
      <c r="O1803" s="34"/>
      <c r="P1803" s="26"/>
      <c r="Q1803" t="str">
        <f>IFERROR(VLOOKUP(Tabela1[[#This Row],[CC]],CC!$A$1:$H$389,5,0),"")</f>
        <v>CSA</v>
      </c>
      <c r="R1803" t="str">
        <f>IFERROR(VLOOKUP(Tabela1[[#This Row],[CC]],CC!$A$1:$H$389,6,0),"")</f>
        <v>MS</v>
      </c>
      <c r="S1803" t="str">
        <f>IFERROR(VLOOKUP(Tabela1[[#This Row],[CC]],CC!$A$1:$H$403,8,0),"")</f>
        <v>OP4</v>
      </c>
    </row>
    <row r="1804" spans="1:19" ht="13.95" customHeight="1" x14ac:dyDescent="0.3">
      <c r="A1804" s="8">
        <v>1476</v>
      </c>
      <c r="B1804" s="8" t="str">
        <f>IFERROR(VLOOKUP(Tabela1[[#This Row],[CC]],#REF!,5,0),"")</f>
        <v/>
      </c>
      <c r="C1804" t="str">
        <f>IFERROR(VLOOKUP(Tabela1[[#This Row],[CC]],CC!$A$1:$H$389,7,0),"")</f>
        <v>ROGERIO GORDILHO</v>
      </c>
      <c r="D1804" t="str">
        <f>IFERROR(VLOOKUP(Tabela1[[#This Row],[CC]],CC!$A$1:$I$3869,3,0),"")</f>
        <v>DPE</v>
      </c>
      <c r="E1804" t="str">
        <f>IFERROR(VLOOKUP(Tabela1[[#This Row],[CC]],CC!$A$1:$H$389,2,0),"")</f>
        <v>DPE - BA Digital Center (1476)</v>
      </c>
      <c r="F1804" t="s">
        <v>586</v>
      </c>
      <c r="G1804" s="107">
        <v>8945</v>
      </c>
      <c r="H1804" s="12">
        <v>46082</v>
      </c>
      <c r="I1804" s="155">
        <v>5442.31</v>
      </c>
      <c r="J1804" s="27">
        <v>4881.75</v>
      </c>
      <c r="K1804" s="3">
        <v>46157</v>
      </c>
      <c r="L1804" s="147">
        <v>46174</v>
      </c>
      <c r="M1804" s="5">
        <v>46174</v>
      </c>
      <c r="N1804" s="21" t="s">
        <v>588</v>
      </c>
      <c r="O1804" s="34"/>
      <c r="P1804" s="14"/>
      <c r="Q1804" t="str">
        <f>IFERROR(VLOOKUP(Tabela1[[#This Row],[CC]],CC!$A$1:$H$389,5,0),"")</f>
        <v>CSA</v>
      </c>
      <c r="R1804" t="str">
        <f>IFERROR(VLOOKUP(Tabela1[[#This Row],[CC]],CC!$A$1:$H$389,6,0),"")</f>
        <v>PS</v>
      </c>
      <c r="S1804" t="str">
        <f>IFERROR(VLOOKUP(Tabela1[[#This Row],[CC]],CC!$A$1:$H$403,8,0),"")</f>
        <v>OP4</v>
      </c>
    </row>
    <row r="1805" spans="1:19" ht="13.95" customHeight="1" x14ac:dyDescent="0.3">
      <c r="A1805" s="8">
        <v>1358</v>
      </c>
      <c r="B1805" s="8" t="str">
        <f>IFERROR(VLOOKUP(Tabela1[[#This Row],[CC]],#REF!,5,0),"")</f>
        <v/>
      </c>
      <c r="C1805" t="str">
        <f>IFERROR(VLOOKUP(Tabela1[[#This Row],[CC]],CC!$A$1:$H$389,7,0),"")</f>
        <v>ROGERIO GORDILHO</v>
      </c>
      <c r="D1805" t="str">
        <f>IFERROR(VLOOKUP(Tabela1[[#This Row],[CC]],CC!$A$1:$I$3869,3,0),"")</f>
        <v>INEMA</v>
      </c>
      <c r="E1805" t="str">
        <f>IFERROR(VLOOKUP(Tabela1[[#This Row],[CC]],CC!$A$1:$H$389,2,0),"")</f>
        <v>INEMA N3 (1358)</v>
      </c>
      <c r="F1805" t="s">
        <v>586</v>
      </c>
      <c r="G1805" s="107">
        <v>8971</v>
      </c>
      <c r="H1805" s="12">
        <v>46113</v>
      </c>
      <c r="I1805" s="24">
        <v>7649.4</v>
      </c>
      <c r="J1805" s="24">
        <v>6861.51</v>
      </c>
      <c r="K1805" s="3">
        <v>46164</v>
      </c>
      <c r="L1805" s="147">
        <v>46209</v>
      </c>
      <c r="M1805" s="11"/>
      <c r="N1805" s="18" t="s">
        <v>587</v>
      </c>
      <c r="O1805" s="34"/>
      <c r="P1805"/>
      <c r="Q1805" t="str">
        <f>IFERROR(VLOOKUP(Tabela1[[#This Row],[CC]],CC!$A$1:$H$389,5,0),"")</f>
        <v>CSA</v>
      </c>
      <c r="R1805" t="str">
        <f>IFERROR(VLOOKUP(Tabela1[[#This Row],[CC]],CC!$A$1:$H$389,6,0),"")</f>
        <v>PS</v>
      </c>
      <c r="S1805" t="str">
        <f>IFERROR(VLOOKUP(Tabela1[[#This Row],[CC]],CC!$A$1:$H$403,8,0),"")</f>
        <v>OP4</v>
      </c>
    </row>
    <row r="1806" spans="1:19" ht="13.95" customHeight="1" x14ac:dyDescent="0.3">
      <c r="A1806" s="25">
        <v>1455</v>
      </c>
      <c r="B1806" s="25" t="str">
        <f>IFERROR(VLOOKUP(Tabela1[[#This Row],[CC]],#REF!,5,0),"")</f>
        <v/>
      </c>
      <c r="C1806" t="str">
        <f>IFERROR(VLOOKUP(Tabela1[[#This Row],[CC]],CC!$A$1:$H$389,7,0),"")</f>
        <v>ROGERIO GORDILHO</v>
      </c>
      <c r="D1806" t="str">
        <f>IFERROR(VLOOKUP(Tabela1[[#This Row],[CC]],CC!$A$1:$I$3869,3,0),"")</f>
        <v>ATAKAREJO</v>
      </c>
      <c r="E1806" t="str">
        <f>IFERROR(VLOOKUP(Tabela1[[#This Row],[CC]],CC!$A$1:$H$389,2,0),"")</f>
        <v>ATAKAREJO N3 (1455)</v>
      </c>
      <c r="F1806" t="s">
        <v>586</v>
      </c>
      <c r="G1806" s="107">
        <v>9002</v>
      </c>
      <c r="H1806" s="12">
        <v>46143</v>
      </c>
      <c r="I1806" s="24">
        <v>56875.77</v>
      </c>
      <c r="J1806" s="24">
        <v>50249.760000000002</v>
      </c>
      <c r="K1806" s="3">
        <v>46181</v>
      </c>
      <c r="L1806" s="147">
        <v>46202</v>
      </c>
      <c r="M1806" s="11"/>
      <c r="N1806" s="21" t="s">
        <v>587</v>
      </c>
      <c r="O1806" s="34"/>
      <c r="P1806" s="26"/>
      <c r="Q1806" t="str">
        <f>IFERROR(VLOOKUP(Tabela1[[#This Row],[CC]],CC!$A$1:$H$389,5,0),"")</f>
        <v>CSA</v>
      </c>
      <c r="R1806" t="str">
        <f>IFERROR(VLOOKUP(Tabela1[[#This Row],[CC]],CC!$A$1:$H$389,6,0),"")</f>
        <v>MS</v>
      </c>
      <c r="S1806" t="str">
        <f>IFERROR(VLOOKUP(Tabela1[[#This Row],[CC]],CC!$A$1:$H$403,8,0),"")</f>
        <v>OP4</v>
      </c>
    </row>
    <row r="1807" spans="1:19" x14ac:dyDescent="0.3">
      <c r="A1807" s="25">
        <v>1478</v>
      </c>
      <c r="B1807" s="25" t="str">
        <f>IFERROR(VLOOKUP(Tabela1[[#This Row],[CC]],#REF!,5,0),"")</f>
        <v/>
      </c>
      <c r="C1807" t="str">
        <f>IFERROR(VLOOKUP(Tabela1[[#This Row],[CC]],CC!$A$1:$H$389,7,0),"")</f>
        <v>RITA ANDRADE</v>
      </c>
      <c r="D1807" t="str">
        <f>IFERROR(VLOOKUP(Tabela1[[#This Row],[CC]],CC!$A$1:$I$3869,3,0),"")</f>
        <v>VOTORANTIM</v>
      </c>
      <c r="E1807" t="str">
        <f>IFERROR(VLOOKUP(Tabela1[[#This Row],[CC]],CC!$A$1:$H$389,2,0),"")</f>
        <v>BANKLY (ADS) (1478)</v>
      </c>
      <c r="F1807" t="s">
        <v>586</v>
      </c>
      <c r="G1807" s="107">
        <v>8643</v>
      </c>
      <c r="H1807" s="12">
        <v>45962</v>
      </c>
      <c r="I1807" s="24">
        <v>13993.56</v>
      </c>
      <c r="J1807" s="27">
        <v>13132.95</v>
      </c>
      <c r="K1807" s="3">
        <v>45994</v>
      </c>
      <c r="L1807" s="147">
        <v>46006</v>
      </c>
      <c r="M1807" s="11">
        <v>46010</v>
      </c>
      <c r="N1807" s="18" t="s">
        <v>588</v>
      </c>
      <c r="O1807" s="34"/>
      <c r="P1807"/>
      <c r="Q1807" t="str">
        <f>IFERROR(VLOOKUP(Tabela1[[#This Row],[CC]],CC!$A$1:$H$389,5,0),"")</f>
        <v>ADS</v>
      </c>
      <c r="R1807" t="str">
        <f>IFERROR(VLOOKUP(Tabela1[[#This Row],[CC]],CC!$A$1:$H$389,6,0),"")</f>
        <v>FS</v>
      </c>
      <c r="S1807" t="str">
        <f>IFERROR(VLOOKUP(Tabela1[[#This Row],[CC]],CC!$A$1:$H$403,8,0),"")</f>
        <v>OP1</v>
      </c>
    </row>
    <row r="1808" spans="1:19" x14ac:dyDescent="0.3">
      <c r="A1808" s="25">
        <v>1478</v>
      </c>
      <c r="B1808" s="25" t="str">
        <f>IFERROR(VLOOKUP(Tabela1[[#This Row],[CC]],#REF!,5,0),"")</f>
        <v/>
      </c>
      <c r="C1808" t="str">
        <f>IFERROR(VLOOKUP(Tabela1[[#This Row],[CC]],CC!$A$1:$H$389,7,0),"")</f>
        <v>RITA ANDRADE</v>
      </c>
      <c r="D1808" t="str">
        <f>IFERROR(VLOOKUP(Tabela1[[#This Row],[CC]],CC!$A$1:$I$3869,3,0),"")</f>
        <v>VOTORANTIM</v>
      </c>
      <c r="E1808" t="str">
        <f>IFERROR(VLOOKUP(Tabela1[[#This Row],[CC]],CC!$A$1:$H$389,2,0),"")</f>
        <v>BANKLY (ADS) (1478)</v>
      </c>
      <c r="F1808" t="s">
        <v>586</v>
      </c>
      <c r="G1808" s="107">
        <v>8644</v>
      </c>
      <c r="H1808" s="12">
        <v>45962</v>
      </c>
      <c r="I1808" s="24">
        <v>29087.69</v>
      </c>
      <c r="J1808" s="24">
        <v>27298.79</v>
      </c>
      <c r="K1808" s="3">
        <v>45994</v>
      </c>
      <c r="L1808" s="147">
        <v>46013</v>
      </c>
      <c r="M1808" s="11">
        <v>46015</v>
      </c>
      <c r="N1808" s="18" t="s">
        <v>588</v>
      </c>
      <c r="O1808" s="34"/>
      <c r="P1808"/>
      <c r="Q1808" t="str">
        <f>IFERROR(VLOOKUP(Tabela1[[#This Row],[CC]],CC!$A$1:$H$389,5,0),"")</f>
        <v>ADS</v>
      </c>
      <c r="R1808" t="str">
        <f>IFERROR(VLOOKUP(Tabela1[[#This Row],[CC]],CC!$A$1:$H$389,6,0),"")</f>
        <v>FS</v>
      </c>
      <c r="S1808" t="str">
        <f>IFERROR(VLOOKUP(Tabela1[[#This Row],[CC]],CC!$A$1:$H$403,8,0),"")</f>
        <v>OP1</v>
      </c>
    </row>
    <row r="1809" spans="1:19" x14ac:dyDescent="0.3">
      <c r="A1809" s="25">
        <v>1478</v>
      </c>
      <c r="B1809" s="25" t="str">
        <f>IFERROR(VLOOKUP(Tabela1[[#This Row],[CC]],#REF!,5,0),"")</f>
        <v/>
      </c>
      <c r="C1809" t="str">
        <f>IFERROR(VLOOKUP(Tabela1[[#This Row],[CC]],CC!$A$1:$H$389,7,0),"")</f>
        <v>RITA ANDRADE</v>
      </c>
      <c r="D1809" t="str">
        <f>IFERROR(VLOOKUP(Tabela1[[#This Row],[CC]],CC!$A$1:$I$3869,3,0),"")</f>
        <v>VOTORANTIM</v>
      </c>
      <c r="E1809" t="str">
        <f>IFERROR(VLOOKUP(Tabela1[[#This Row],[CC]],CC!$A$1:$H$389,2,0),"")</f>
        <v>BANKLY (ADS) (1478)</v>
      </c>
      <c r="F1809" t="s">
        <v>586</v>
      </c>
      <c r="G1809" s="107">
        <v>8645</v>
      </c>
      <c r="H1809" s="12">
        <v>45962</v>
      </c>
      <c r="I1809" s="24">
        <v>25155.96</v>
      </c>
      <c r="J1809" s="24">
        <v>23608.87</v>
      </c>
      <c r="K1809" s="3">
        <v>45994</v>
      </c>
      <c r="L1809" s="147">
        <v>46013</v>
      </c>
      <c r="M1809" s="11">
        <v>46014</v>
      </c>
      <c r="N1809" s="18" t="s">
        <v>588</v>
      </c>
      <c r="O1809" s="34"/>
      <c r="P1809"/>
      <c r="Q1809" t="str">
        <f>IFERROR(VLOOKUP(Tabela1[[#This Row],[CC]],CC!$A$1:$H$389,5,0),"")</f>
        <v>ADS</v>
      </c>
      <c r="R1809" t="str">
        <f>IFERROR(VLOOKUP(Tabela1[[#This Row],[CC]],CC!$A$1:$H$389,6,0),"")</f>
        <v>FS</v>
      </c>
      <c r="S1809" t="str">
        <f>IFERROR(VLOOKUP(Tabela1[[#This Row],[CC]],CC!$A$1:$H$403,8,0),"")</f>
        <v>OP1</v>
      </c>
    </row>
    <row r="1810" spans="1:19" x14ac:dyDescent="0.3">
      <c r="A1810" s="25">
        <v>1478</v>
      </c>
      <c r="B1810" s="25" t="str">
        <f>IFERROR(VLOOKUP(Tabela1[[#This Row],[CC]],#REF!,5,0),"")</f>
        <v/>
      </c>
      <c r="C1810" t="str">
        <f>IFERROR(VLOOKUP(Tabela1[[#This Row],[CC]],CC!$A$1:$H$389,7,0),"")</f>
        <v>RITA ANDRADE</v>
      </c>
      <c r="D1810" t="str">
        <f>IFERROR(VLOOKUP(Tabela1[[#This Row],[CC]],CC!$A$1:$I$3869,3,0),"")</f>
        <v>VOTORANTIM</v>
      </c>
      <c r="E1810" t="str">
        <f>IFERROR(VLOOKUP(Tabela1[[#This Row],[CC]],CC!$A$1:$H$389,2,0),"")</f>
        <v>BANKLY (ADS) (1478)</v>
      </c>
      <c r="F1810" t="s">
        <v>586</v>
      </c>
      <c r="G1810" s="107">
        <v>8646</v>
      </c>
      <c r="H1810" s="12">
        <v>45962</v>
      </c>
      <c r="I1810" s="24">
        <v>20754.55</v>
      </c>
      <c r="J1810" s="27">
        <v>19478.14</v>
      </c>
      <c r="K1810" s="3">
        <v>45994</v>
      </c>
      <c r="L1810" s="147">
        <v>46006</v>
      </c>
      <c r="M1810" s="11">
        <v>46010</v>
      </c>
      <c r="N1810" s="18" t="s">
        <v>588</v>
      </c>
      <c r="O1810" s="34"/>
      <c r="P1810"/>
      <c r="Q1810" t="str">
        <f>IFERROR(VLOOKUP(Tabela1[[#This Row],[CC]],CC!$A$1:$H$389,5,0),"")</f>
        <v>ADS</v>
      </c>
      <c r="R1810" t="str">
        <f>IFERROR(VLOOKUP(Tabela1[[#This Row],[CC]],CC!$A$1:$H$389,6,0),"")</f>
        <v>FS</v>
      </c>
      <c r="S1810" t="str">
        <f>IFERROR(VLOOKUP(Tabela1[[#This Row],[CC]],CC!$A$1:$H$403,8,0),"")</f>
        <v>OP1</v>
      </c>
    </row>
    <row r="1811" spans="1:19" x14ac:dyDescent="0.3">
      <c r="A1811" s="25">
        <v>1478</v>
      </c>
      <c r="B1811" s="25" t="str">
        <f>IFERROR(VLOOKUP(Tabela1[[#This Row],[CC]],#REF!,5,0),"")</f>
        <v/>
      </c>
      <c r="C1811" t="str">
        <f>IFERROR(VLOOKUP(Tabela1[[#This Row],[CC]],CC!$A$1:$H$389,7,0),"")</f>
        <v>RITA ANDRADE</v>
      </c>
      <c r="D1811" t="str">
        <f>IFERROR(VLOOKUP(Tabela1[[#This Row],[CC]],CC!$A$1:$I$3869,3,0),"")</f>
        <v>VOTORANTIM</v>
      </c>
      <c r="E1811" t="str">
        <f>IFERROR(VLOOKUP(Tabela1[[#This Row],[CC]],CC!$A$1:$H$389,2,0),"")</f>
        <v>BANKLY (ADS) (1478)</v>
      </c>
      <c r="F1811" t="s">
        <v>586</v>
      </c>
      <c r="G1811" s="107">
        <v>8700</v>
      </c>
      <c r="H1811" s="12">
        <v>45992</v>
      </c>
      <c r="I1811" s="27">
        <v>13993.56</v>
      </c>
      <c r="J1811" s="27">
        <v>13132.95</v>
      </c>
      <c r="K1811" s="3">
        <v>46024</v>
      </c>
      <c r="L1811" s="147">
        <v>46041</v>
      </c>
      <c r="M1811" s="11">
        <v>46042</v>
      </c>
      <c r="N1811" s="18" t="s">
        <v>588</v>
      </c>
      <c r="O1811" s="34"/>
      <c r="P1811"/>
      <c r="Q1811" t="str">
        <f>IFERROR(VLOOKUP(Tabela1[[#This Row],[CC]],CC!$A$1:$H$389,5,0),"")</f>
        <v>ADS</v>
      </c>
      <c r="R1811" t="str">
        <f>IFERROR(VLOOKUP(Tabela1[[#This Row],[CC]],CC!$A$1:$H$389,6,0),"")</f>
        <v>FS</v>
      </c>
      <c r="S1811" t="str">
        <f>IFERROR(VLOOKUP(Tabela1[[#This Row],[CC]],CC!$A$1:$H$403,8,0),"")</f>
        <v>OP1</v>
      </c>
    </row>
    <row r="1812" spans="1:19" x14ac:dyDescent="0.3">
      <c r="A1812" s="25">
        <v>1478</v>
      </c>
      <c r="B1812" s="25" t="str">
        <f>IFERROR(VLOOKUP(Tabela1[[#This Row],[CC]],#REF!,5,0),"")</f>
        <v/>
      </c>
      <c r="C1812" t="str">
        <f>IFERROR(VLOOKUP(Tabela1[[#This Row],[CC]],CC!$A$1:$H$389,7,0),"")</f>
        <v>RITA ANDRADE</v>
      </c>
      <c r="D1812" t="str">
        <f>IFERROR(VLOOKUP(Tabela1[[#This Row],[CC]],CC!$A$1:$I$3869,3,0),"")</f>
        <v>VOTORANTIM</v>
      </c>
      <c r="E1812" t="str">
        <f>IFERROR(VLOOKUP(Tabela1[[#This Row],[CC]],CC!$A$1:$H$389,2,0),"")</f>
        <v>BANKLY (ADS) (1478)</v>
      </c>
      <c r="F1812" t="s">
        <v>586</v>
      </c>
      <c r="G1812" s="107">
        <v>8701</v>
      </c>
      <c r="H1812" s="12">
        <v>45992</v>
      </c>
      <c r="I1812" s="27">
        <v>26413.8</v>
      </c>
      <c r="J1812" s="27">
        <v>24789.35</v>
      </c>
      <c r="K1812" s="3">
        <v>46024</v>
      </c>
      <c r="L1812" s="147">
        <v>46041</v>
      </c>
      <c r="M1812" s="11">
        <v>46042</v>
      </c>
      <c r="N1812" s="18" t="s">
        <v>588</v>
      </c>
      <c r="O1812" s="34"/>
      <c r="P1812"/>
      <c r="Q1812" t="str">
        <f>IFERROR(VLOOKUP(Tabela1[[#This Row],[CC]],CC!$A$1:$H$389,5,0),"")</f>
        <v>ADS</v>
      </c>
      <c r="R1812" t="str">
        <f>IFERROR(VLOOKUP(Tabela1[[#This Row],[CC]],CC!$A$1:$H$389,6,0),"")</f>
        <v>FS</v>
      </c>
      <c r="S1812" t="str">
        <f>IFERROR(VLOOKUP(Tabela1[[#This Row],[CC]],CC!$A$1:$H$403,8,0),"")</f>
        <v>OP1</v>
      </c>
    </row>
    <row r="1813" spans="1:19" x14ac:dyDescent="0.3">
      <c r="A1813" s="25">
        <v>1478</v>
      </c>
      <c r="B1813" s="25" t="str">
        <f>IFERROR(VLOOKUP(Tabela1[[#This Row],[CC]],#REF!,5,0),"")</f>
        <v/>
      </c>
      <c r="C1813" t="str">
        <f>IFERROR(VLOOKUP(Tabela1[[#This Row],[CC]],CC!$A$1:$H$389,7,0),"")</f>
        <v>RITA ANDRADE</v>
      </c>
      <c r="D1813" t="str">
        <f>IFERROR(VLOOKUP(Tabela1[[#This Row],[CC]],CC!$A$1:$I$3869,3,0),"")</f>
        <v>VOTORANTIM</v>
      </c>
      <c r="E1813" t="str">
        <f>IFERROR(VLOOKUP(Tabela1[[#This Row],[CC]],CC!$A$1:$H$389,2,0),"")</f>
        <v>BANKLY (ADS) (1478)</v>
      </c>
      <c r="F1813" t="s">
        <v>586</v>
      </c>
      <c r="G1813" s="107">
        <v>8702</v>
      </c>
      <c r="H1813" s="12">
        <v>45992</v>
      </c>
      <c r="I1813" s="27">
        <v>29087.69</v>
      </c>
      <c r="J1813" s="27">
        <v>27298.79</v>
      </c>
      <c r="K1813" s="3">
        <v>46024</v>
      </c>
      <c r="L1813" s="147">
        <v>46041</v>
      </c>
      <c r="M1813" s="11">
        <v>46042</v>
      </c>
      <c r="N1813" s="18" t="s">
        <v>588</v>
      </c>
      <c r="O1813" s="34"/>
      <c r="P1813"/>
      <c r="Q1813" t="str">
        <f>IFERROR(VLOOKUP(Tabela1[[#This Row],[CC]],CC!$A$1:$H$389,5,0),"")</f>
        <v>ADS</v>
      </c>
      <c r="R1813" t="str">
        <f>IFERROR(VLOOKUP(Tabela1[[#This Row],[CC]],CC!$A$1:$H$389,6,0),"")</f>
        <v>FS</v>
      </c>
      <c r="S1813" t="str">
        <f>IFERROR(VLOOKUP(Tabela1[[#This Row],[CC]],CC!$A$1:$H$403,8,0),"")</f>
        <v>OP1</v>
      </c>
    </row>
    <row r="1814" spans="1:19" x14ac:dyDescent="0.3">
      <c r="A1814" s="25">
        <v>1478</v>
      </c>
      <c r="B1814" s="25" t="str">
        <f>IFERROR(VLOOKUP(Tabela1[[#This Row],[CC]],#REF!,5,0),"")</f>
        <v/>
      </c>
      <c r="C1814" t="str">
        <f>IFERROR(VLOOKUP(Tabela1[[#This Row],[CC]],CC!$A$1:$H$389,7,0),"")</f>
        <v>RITA ANDRADE</v>
      </c>
      <c r="D1814" t="str">
        <f>IFERROR(VLOOKUP(Tabela1[[#This Row],[CC]],CC!$A$1:$I$3869,3,0),"")</f>
        <v>VOTORANTIM</v>
      </c>
      <c r="E1814" t="str">
        <f>IFERROR(VLOOKUP(Tabela1[[#This Row],[CC]],CC!$A$1:$H$389,2,0),"")</f>
        <v>BANKLY (ADS) (1478)</v>
      </c>
      <c r="F1814" t="s">
        <v>586</v>
      </c>
      <c r="G1814" s="107">
        <v>8703</v>
      </c>
      <c r="H1814" s="12">
        <v>45992</v>
      </c>
      <c r="I1814" s="27">
        <v>20754.55</v>
      </c>
      <c r="J1814" s="27">
        <v>19478.14</v>
      </c>
      <c r="K1814" s="3">
        <v>46024</v>
      </c>
      <c r="L1814" s="147">
        <v>46041</v>
      </c>
      <c r="M1814" s="11">
        <v>46042</v>
      </c>
      <c r="N1814" s="18" t="s">
        <v>588</v>
      </c>
      <c r="O1814" s="34"/>
      <c r="P1814"/>
      <c r="Q1814" t="str">
        <f>IFERROR(VLOOKUP(Tabela1[[#This Row],[CC]],CC!$A$1:$H$389,5,0),"")</f>
        <v>ADS</v>
      </c>
      <c r="R1814" t="str">
        <f>IFERROR(VLOOKUP(Tabela1[[#This Row],[CC]],CC!$A$1:$H$389,6,0),"")</f>
        <v>FS</v>
      </c>
      <c r="S1814" t="str">
        <f>IFERROR(VLOOKUP(Tabela1[[#This Row],[CC]],CC!$A$1:$H$403,8,0),"")</f>
        <v>OP1</v>
      </c>
    </row>
    <row r="1815" spans="1:19" x14ac:dyDescent="0.3">
      <c r="A1815" s="8">
        <v>1499</v>
      </c>
      <c r="B1815" s="8" t="str">
        <f>IFERROR(VLOOKUP(Tabela1[[#This Row],[CC]],#REF!,5,0),"")</f>
        <v/>
      </c>
      <c r="C1815" t="str">
        <f>IFERROR(VLOOKUP(Tabela1[[#This Row],[CC]],CC!$A$1:$H$389,7,0),"")</f>
        <v>RITA ANDRADE</v>
      </c>
      <c r="D1815" t="str">
        <f>IFERROR(VLOOKUP(Tabela1[[#This Row],[CC]],CC!$A$1:$I$3869,3,0),"")</f>
        <v>BRACELL</v>
      </c>
      <c r="E1815" t="str">
        <f>IFERROR(VLOOKUP(Tabela1[[#This Row],[CC]],CC!$A$1:$H$389,2,0),"")</f>
        <v>BRACELL (1499)</v>
      </c>
      <c r="F1815" t="s">
        <v>586</v>
      </c>
      <c r="G1815" s="107">
        <v>8671</v>
      </c>
      <c r="H1815" s="12">
        <v>45962</v>
      </c>
      <c r="I1815" s="24">
        <v>52900</v>
      </c>
      <c r="J1815" s="24">
        <v>49646.65</v>
      </c>
      <c r="K1815" s="3">
        <v>46001</v>
      </c>
      <c r="L1815" s="91">
        <v>46020</v>
      </c>
      <c r="M1815" s="11">
        <v>46021</v>
      </c>
      <c r="N1815" s="18" t="s">
        <v>588</v>
      </c>
      <c r="O1815" s="34">
        <v>0</v>
      </c>
      <c r="P1815"/>
      <c r="Q1815" t="str">
        <f>IFERROR(VLOOKUP(Tabela1[[#This Row],[CC]],CC!$A$1:$H$389,5,0),"")</f>
        <v>ADS</v>
      </c>
      <c r="R1815" t="str">
        <f>IFERROR(VLOOKUP(Tabela1[[#This Row],[CC]],CC!$A$1:$H$389,6,0),"")</f>
        <v>MS</v>
      </c>
      <c r="S1815" t="str">
        <f>IFERROR(VLOOKUP(Tabela1[[#This Row],[CC]],CC!$A$1:$H$403,8,0),"")</f>
        <v>OP1</v>
      </c>
    </row>
    <row r="1816" spans="1:19" x14ac:dyDescent="0.3">
      <c r="A1816" s="8">
        <v>1499</v>
      </c>
      <c r="B1816" s="8" t="str">
        <f>IFERROR(VLOOKUP(Tabela1[[#This Row],[CC]],#REF!,5,0),"")</f>
        <v/>
      </c>
      <c r="C1816" t="str">
        <f>IFERROR(VLOOKUP(Tabela1[[#This Row],[CC]],CC!$A$1:$H$389,7,0),"")</f>
        <v>RITA ANDRADE</v>
      </c>
      <c r="D1816" t="str">
        <f>IFERROR(VLOOKUP(Tabela1[[#This Row],[CC]],CC!$A$1:$I$3869,3,0),"")</f>
        <v>BRACELL</v>
      </c>
      <c r="E1816" t="str">
        <f>IFERROR(VLOOKUP(Tabela1[[#This Row],[CC]],CC!$A$1:$H$389,2,0),"")</f>
        <v>BRACELL (1499)</v>
      </c>
      <c r="F1816" t="s">
        <v>586</v>
      </c>
      <c r="G1816" s="107">
        <v>8760</v>
      </c>
      <c r="H1816" s="12">
        <v>45992</v>
      </c>
      <c r="I1816" s="24">
        <v>52900</v>
      </c>
      <c r="J1816" s="24">
        <v>49646.65</v>
      </c>
      <c r="K1816" s="3">
        <v>46071</v>
      </c>
      <c r="L1816" s="91">
        <v>46090</v>
      </c>
      <c r="M1816" s="11">
        <v>46091</v>
      </c>
      <c r="N1816" s="18" t="s">
        <v>588</v>
      </c>
      <c r="O1816" s="34">
        <v>0</v>
      </c>
      <c r="P1816"/>
      <c r="Q1816" t="str">
        <f>IFERROR(VLOOKUP(Tabela1[[#This Row],[CC]],CC!$A$1:$H$389,5,0),"")</f>
        <v>ADS</v>
      </c>
      <c r="R1816" t="str">
        <f>IFERROR(VLOOKUP(Tabela1[[#This Row],[CC]],CC!$A$1:$H$389,6,0),"")</f>
        <v>MS</v>
      </c>
      <c r="S1816" t="str">
        <f>IFERROR(VLOOKUP(Tabela1[[#This Row],[CC]],CC!$A$1:$H$403,8,0),"")</f>
        <v>OP1</v>
      </c>
    </row>
    <row r="1817" spans="1:19" x14ac:dyDescent="0.3">
      <c r="A1817" s="8">
        <v>1499</v>
      </c>
      <c r="B1817" s="8" t="str">
        <f>IFERROR(VLOOKUP(Tabela1[[#This Row],[CC]],#REF!,5,0),"")</f>
        <v/>
      </c>
      <c r="C1817" t="str">
        <f>IFERROR(VLOOKUP(Tabela1[[#This Row],[CC]],CC!$A$1:$H$389,7,0),"")</f>
        <v>RITA ANDRADE</v>
      </c>
      <c r="D1817" t="str">
        <f>IFERROR(VLOOKUP(Tabela1[[#This Row],[CC]],CC!$A$1:$I$3869,3,0),"")</f>
        <v>BRACELL</v>
      </c>
      <c r="E1817" t="str">
        <f>IFERROR(VLOOKUP(Tabela1[[#This Row],[CC]],CC!$A$1:$H$389,2,0),"")</f>
        <v>BRACELL (1499)</v>
      </c>
      <c r="F1817" t="s">
        <v>586</v>
      </c>
      <c r="G1817" s="107">
        <v>8761</v>
      </c>
      <c r="H1817" s="12">
        <v>46023</v>
      </c>
      <c r="I1817" s="24">
        <v>52900</v>
      </c>
      <c r="J1817" s="24">
        <v>49646.65</v>
      </c>
      <c r="K1817" s="3">
        <v>46071</v>
      </c>
      <c r="L1817" s="91">
        <v>46090</v>
      </c>
      <c r="M1817" s="11">
        <v>46091</v>
      </c>
      <c r="N1817" s="18" t="s">
        <v>588</v>
      </c>
      <c r="O1817" s="34">
        <v>0</v>
      </c>
      <c r="P1817"/>
      <c r="Q1817" t="str">
        <f>IFERROR(VLOOKUP(Tabela1[[#This Row],[CC]],CC!$A$1:$H$389,5,0),"")</f>
        <v>ADS</v>
      </c>
      <c r="R1817" t="str">
        <f>IFERROR(VLOOKUP(Tabela1[[#This Row],[CC]],CC!$A$1:$H$389,6,0),"")</f>
        <v>MS</v>
      </c>
      <c r="S1817" t="str">
        <f>IFERROR(VLOOKUP(Tabela1[[#This Row],[CC]],CC!$A$1:$H$403,8,0),"")</f>
        <v>OP1</v>
      </c>
    </row>
    <row r="1818" spans="1:19" x14ac:dyDescent="0.3">
      <c r="A1818" s="8">
        <v>1499</v>
      </c>
      <c r="B1818" s="8" t="str">
        <f>IFERROR(VLOOKUP(Tabela1[[#This Row],[CC]],#REF!,5,0),"")</f>
        <v/>
      </c>
      <c r="C1818" t="str">
        <f>IFERROR(VLOOKUP(Tabela1[[#This Row],[CC]],CC!$A$1:$H$389,7,0),"")</f>
        <v>RITA ANDRADE</v>
      </c>
      <c r="D1818" t="str">
        <f>IFERROR(VLOOKUP(Tabela1[[#This Row],[CC]],CC!$A$1:$I$3869,3,0),"")</f>
        <v>BRACELL</v>
      </c>
      <c r="E1818" t="str">
        <f>IFERROR(VLOOKUP(Tabela1[[#This Row],[CC]],CC!$A$1:$H$389,2,0),"")</f>
        <v>BRACELL (1499)</v>
      </c>
      <c r="F1818" t="s">
        <v>586</v>
      </c>
      <c r="G1818" s="107">
        <v>8721</v>
      </c>
      <c r="H1818" s="12">
        <v>45931</v>
      </c>
      <c r="I1818" s="24">
        <v>35144.81</v>
      </c>
      <c r="J1818" s="24">
        <v>32983.410000000003</v>
      </c>
      <c r="K1818" s="3">
        <v>46041</v>
      </c>
      <c r="L1818" s="91">
        <v>46097</v>
      </c>
      <c r="M1818" s="11">
        <v>46101</v>
      </c>
      <c r="N1818" s="18" t="s">
        <v>588</v>
      </c>
      <c r="O1818" s="34">
        <v>0</v>
      </c>
      <c r="P1818"/>
      <c r="Q1818" t="str">
        <f>IFERROR(VLOOKUP(Tabela1[[#This Row],[CC]],CC!$A$1:$H$389,5,0),"")</f>
        <v>ADS</v>
      </c>
      <c r="R1818" t="str">
        <f>IFERROR(VLOOKUP(Tabela1[[#This Row],[CC]],CC!$A$1:$H$389,6,0),"")</f>
        <v>MS</v>
      </c>
      <c r="S1818" t="str">
        <f>IFERROR(VLOOKUP(Tabela1[[#This Row],[CC]],CC!$A$1:$H$403,8,0),"")</f>
        <v>OP1</v>
      </c>
    </row>
    <row r="1819" spans="1:19" x14ac:dyDescent="0.3">
      <c r="A1819" s="8">
        <v>1499</v>
      </c>
      <c r="B1819" s="8" t="str">
        <f>IFERROR(VLOOKUP(Tabela1[[#This Row],[CC]],#REF!,5,0),"")</f>
        <v/>
      </c>
      <c r="C1819" t="str">
        <f>IFERROR(VLOOKUP(Tabela1[[#This Row],[CC]],CC!$A$1:$H$389,7,0),"")</f>
        <v>RITA ANDRADE</v>
      </c>
      <c r="D1819" t="str">
        <f>IFERROR(VLOOKUP(Tabela1[[#This Row],[CC]],CC!$A$1:$I$3869,3,0),"")</f>
        <v>BRACELL</v>
      </c>
      <c r="E1819" t="str">
        <f>IFERROR(VLOOKUP(Tabela1[[#This Row],[CC]],CC!$A$1:$H$389,2,0),"")</f>
        <v>BRACELL (1499)</v>
      </c>
      <c r="F1819" t="s">
        <v>586</v>
      </c>
      <c r="G1819" s="107">
        <v>8722</v>
      </c>
      <c r="H1819" s="12">
        <v>45962</v>
      </c>
      <c r="I1819" s="24">
        <v>35144.81</v>
      </c>
      <c r="J1819" s="24">
        <v>32983.410000000003</v>
      </c>
      <c r="K1819" s="3">
        <v>46041</v>
      </c>
      <c r="L1819" s="91">
        <v>46097</v>
      </c>
      <c r="M1819" s="11">
        <v>46101</v>
      </c>
      <c r="N1819" s="18" t="s">
        <v>588</v>
      </c>
      <c r="O1819" s="34">
        <v>0</v>
      </c>
      <c r="P1819"/>
      <c r="Q1819" t="str">
        <f>IFERROR(VLOOKUP(Tabela1[[#This Row],[CC]],CC!$A$1:$H$389,5,0),"")</f>
        <v>ADS</v>
      </c>
      <c r="R1819" t="str">
        <f>IFERROR(VLOOKUP(Tabela1[[#This Row],[CC]],CC!$A$1:$H$389,6,0),"")</f>
        <v>MS</v>
      </c>
      <c r="S1819" t="str">
        <f>IFERROR(VLOOKUP(Tabela1[[#This Row],[CC]],CC!$A$1:$H$403,8,0),"")</f>
        <v>OP1</v>
      </c>
    </row>
    <row r="1820" spans="1:19" x14ac:dyDescent="0.3">
      <c r="A1820" s="8">
        <v>1499</v>
      </c>
      <c r="B1820" s="8" t="str">
        <f>IFERROR(VLOOKUP(Tabela1[[#This Row],[CC]],#REF!,5,0),"")</f>
        <v/>
      </c>
      <c r="C1820" t="str">
        <f>IFERROR(VLOOKUP(Tabela1[[#This Row],[CC]],CC!$A$1:$H$389,7,0),"")</f>
        <v>RITA ANDRADE</v>
      </c>
      <c r="D1820" t="str">
        <f>IFERROR(VLOOKUP(Tabela1[[#This Row],[CC]],CC!$A$1:$I$3869,3,0),"")</f>
        <v>BRACELL</v>
      </c>
      <c r="E1820" t="str">
        <f>IFERROR(VLOOKUP(Tabela1[[#This Row],[CC]],CC!$A$1:$H$389,2,0),"")</f>
        <v>BRACELL (1499)</v>
      </c>
      <c r="F1820" t="s">
        <v>586</v>
      </c>
      <c r="G1820" s="107">
        <v>8723</v>
      </c>
      <c r="H1820" s="12">
        <v>45992</v>
      </c>
      <c r="I1820" s="24">
        <v>49042.76</v>
      </c>
      <c r="J1820" s="24">
        <v>46026.63</v>
      </c>
      <c r="K1820" s="3">
        <v>46041</v>
      </c>
      <c r="L1820" s="91">
        <v>46097</v>
      </c>
      <c r="M1820" s="11">
        <v>46101</v>
      </c>
      <c r="N1820" s="18" t="s">
        <v>588</v>
      </c>
      <c r="O1820" s="34">
        <v>0</v>
      </c>
      <c r="P1820"/>
      <c r="Q1820" t="str">
        <f>IFERROR(VLOOKUP(Tabela1[[#This Row],[CC]],CC!$A$1:$H$389,5,0),"")</f>
        <v>ADS</v>
      </c>
      <c r="R1820" t="str">
        <f>IFERROR(VLOOKUP(Tabela1[[#This Row],[CC]],CC!$A$1:$H$389,6,0),"")</f>
        <v>MS</v>
      </c>
      <c r="S1820" t="str">
        <f>IFERROR(VLOOKUP(Tabela1[[#This Row],[CC]],CC!$A$1:$H$403,8,0),"")</f>
        <v>OP1</v>
      </c>
    </row>
    <row r="1821" spans="1:19" x14ac:dyDescent="0.3">
      <c r="A1821" s="8">
        <v>1499</v>
      </c>
      <c r="B1821" s="8" t="str">
        <f>IFERROR(VLOOKUP(Tabela1[[#This Row],[CC]],#REF!,5,0),"")</f>
        <v/>
      </c>
      <c r="C1821" t="str">
        <f>IFERROR(VLOOKUP(Tabela1[[#This Row],[CC]],CC!$A$1:$H$389,7,0),"")</f>
        <v>RITA ANDRADE</v>
      </c>
      <c r="D1821" t="str">
        <f>IFERROR(VLOOKUP(Tabela1[[#This Row],[CC]],CC!$A$1:$I$3869,3,0),"")</f>
        <v>BRACELL</v>
      </c>
      <c r="E1821" t="str">
        <f>IFERROR(VLOOKUP(Tabela1[[#This Row],[CC]],CC!$A$1:$H$389,2,0),"")</f>
        <v>BRACELL (1499)</v>
      </c>
      <c r="F1821" t="s">
        <v>586</v>
      </c>
      <c r="G1821" s="107">
        <v>8807</v>
      </c>
      <c r="H1821" s="12">
        <v>46054</v>
      </c>
      <c r="I1821" s="27">
        <v>49992.1</v>
      </c>
      <c r="J1821" s="27">
        <v>46917.59</v>
      </c>
      <c r="K1821" s="3">
        <v>46092</v>
      </c>
      <c r="L1821" s="91">
        <v>46153</v>
      </c>
      <c r="M1821" s="11">
        <v>46153</v>
      </c>
      <c r="N1821" s="18" t="s">
        <v>588</v>
      </c>
      <c r="O1821" s="34">
        <v>0</v>
      </c>
      <c r="P1821"/>
      <c r="Q1821" t="str">
        <f>IFERROR(VLOOKUP(Tabela1[[#This Row],[CC]],CC!$A$1:$H$389,5,0),"")</f>
        <v>ADS</v>
      </c>
      <c r="R1821" t="str">
        <f>IFERROR(VLOOKUP(Tabela1[[#This Row],[CC]],CC!$A$1:$H$389,6,0),"")</f>
        <v>MS</v>
      </c>
      <c r="S1821" t="str">
        <f>IFERROR(VLOOKUP(Tabela1[[#This Row],[CC]],CC!$A$1:$H$403,8,0),"")</f>
        <v>OP1</v>
      </c>
    </row>
    <row r="1822" spans="1:19" x14ac:dyDescent="0.3">
      <c r="A1822" s="8">
        <v>1499</v>
      </c>
      <c r="B1822" s="8" t="str">
        <f>IFERROR(VLOOKUP(Tabela1[[#This Row],[CC]],#REF!,5,0),"")</f>
        <v/>
      </c>
      <c r="C1822" t="str">
        <f>IFERROR(VLOOKUP(Tabela1[[#This Row],[CC]],CC!$A$1:$H$389,7,0),"")</f>
        <v>RITA ANDRADE</v>
      </c>
      <c r="D1822" t="str">
        <f>IFERROR(VLOOKUP(Tabela1[[#This Row],[CC]],CC!$A$1:$I$3869,3,0),"")</f>
        <v>BRACELL</v>
      </c>
      <c r="E1822" t="str">
        <f>IFERROR(VLOOKUP(Tabela1[[#This Row],[CC]],CC!$A$1:$H$389,2,0),"")</f>
        <v>BRACELL (1499)</v>
      </c>
      <c r="F1822" t="s">
        <v>586</v>
      </c>
      <c r="G1822" s="107">
        <v>8756</v>
      </c>
      <c r="H1822" s="12">
        <v>46023</v>
      </c>
      <c r="I1822" s="27">
        <v>49992.1</v>
      </c>
      <c r="J1822" s="24">
        <v>46917.59</v>
      </c>
      <c r="K1822" s="3">
        <v>46065</v>
      </c>
      <c r="L1822" s="91">
        <v>46125</v>
      </c>
      <c r="M1822" s="11">
        <v>46125</v>
      </c>
      <c r="N1822" s="18" t="s">
        <v>588</v>
      </c>
      <c r="O1822" s="34">
        <v>0</v>
      </c>
      <c r="P1822"/>
      <c r="Q1822" t="str">
        <f>IFERROR(VLOOKUP(Tabela1[[#This Row],[CC]],CC!$A$1:$H$389,5,0),"")</f>
        <v>ADS</v>
      </c>
      <c r="R1822" t="str">
        <f>IFERROR(VLOOKUP(Tabela1[[#This Row],[CC]],CC!$A$1:$H$389,6,0),"")</f>
        <v>MS</v>
      </c>
      <c r="S1822" t="str">
        <f>IFERROR(VLOOKUP(Tabela1[[#This Row],[CC]],CC!$A$1:$H$403,8,0),"")</f>
        <v>OP1</v>
      </c>
    </row>
    <row r="1823" spans="1:19" x14ac:dyDescent="0.3">
      <c r="A1823" s="25">
        <v>1499</v>
      </c>
      <c r="B1823" s="25" t="str">
        <f>IFERROR(VLOOKUP(Tabela1[[#This Row],[CC]],#REF!,5,0),"")</f>
        <v/>
      </c>
      <c r="C1823" t="str">
        <f>IFERROR(VLOOKUP(Tabela1[[#This Row],[CC]],CC!$A$1:$H$389,7,0),"")</f>
        <v>RITA ANDRADE</v>
      </c>
      <c r="D1823" t="str">
        <f>IFERROR(VLOOKUP(Tabela1[[#This Row],[CC]],CC!$A$1:$I$3869,3,0),"")</f>
        <v>BRACELL</v>
      </c>
      <c r="E1823" t="str">
        <f>IFERROR(VLOOKUP(Tabela1[[#This Row],[CC]],CC!$A$1:$H$389,2,0),"")</f>
        <v>BRACELL (1499)</v>
      </c>
      <c r="F1823" t="s">
        <v>586</v>
      </c>
      <c r="G1823" s="107">
        <v>8773</v>
      </c>
      <c r="H1823" s="12">
        <v>46054</v>
      </c>
      <c r="I1823" s="24">
        <v>66625.119999999995</v>
      </c>
      <c r="J1823" s="27">
        <v>62527.67</v>
      </c>
      <c r="K1823" s="3">
        <v>46078</v>
      </c>
      <c r="L1823" s="91">
        <v>46104</v>
      </c>
      <c r="M1823" s="11">
        <v>46108</v>
      </c>
      <c r="N1823" s="18" t="s">
        <v>588</v>
      </c>
      <c r="O1823" s="34">
        <v>0</v>
      </c>
      <c r="P1823"/>
      <c r="Q1823" t="str">
        <f>IFERROR(VLOOKUP(Tabela1[[#This Row],[CC]],CC!$A$1:$H$389,5,0),"")</f>
        <v>ADS</v>
      </c>
      <c r="R1823" t="str">
        <f>IFERROR(VLOOKUP(Tabela1[[#This Row],[CC]],CC!$A$1:$H$389,6,0),"")</f>
        <v>MS</v>
      </c>
      <c r="S1823" t="str">
        <f>IFERROR(VLOOKUP(Tabela1[[#This Row],[CC]],CC!$A$1:$H$403,8,0),"")</f>
        <v>OP1</v>
      </c>
    </row>
    <row r="1824" spans="1:19" x14ac:dyDescent="0.3">
      <c r="A1824" s="8">
        <v>1499</v>
      </c>
      <c r="B1824" s="8" t="str">
        <f>IFERROR(VLOOKUP(Tabela1[[#This Row],[CC]],#REF!,5,0),"")</f>
        <v/>
      </c>
      <c r="C1824" t="str">
        <f>IFERROR(VLOOKUP(Tabela1[[#This Row],[CC]],CC!$A$1:$H$389,7,0),"")</f>
        <v>RITA ANDRADE</v>
      </c>
      <c r="D1824" t="str">
        <f>IFERROR(VLOOKUP(Tabela1[[#This Row],[CC]],CC!$A$1:$I$3869,3,0),"")</f>
        <v>BRACELL</v>
      </c>
      <c r="E1824" t="str">
        <f>IFERROR(VLOOKUP(Tabela1[[#This Row],[CC]],CC!$A$1:$H$389,2,0),"")</f>
        <v>BRACELL (1499)</v>
      </c>
      <c r="F1824" t="s">
        <v>586</v>
      </c>
      <c r="G1824" s="107">
        <v>8819</v>
      </c>
      <c r="H1824" s="12">
        <v>46082</v>
      </c>
      <c r="I1824" s="24">
        <v>107024.08</v>
      </c>
      <c r="J1824" s="24">
        <v>100442.1</v>
      </c>
      <c r="K1824" s="3">
        <v>46098</v>
      </c>
      <c r="L1824" s="91">
        <v>46167</v>
      </c>
      <c r="M1824" s="11">
        <v>46169</v>
      </c>
      <c r="N1824" s="18" t="s">
        <v>588</v>
      </c>
      <c r="O1824" s="34">
        <v>0</v>
      </c>
      <c r="P1824"/>
      <c r="Q1824" t="str">
        <f>IFERROR(VLOOKUP(Tabela1[[#This Row],[CC]],CC!$A$1:$H$389,5,0),"")</f>
        <v>ADS</v>
      </c>
      <c r="R1824" t="str">
        <f>IFERROR(VLOOKUP(Tabela1[[#This Row],[CC]],CC!$A$1:$H$389,6,0),"")</f>
        <v>MS</v>
      </c>
      <c r="S1824" t="str">
        <f>IFERROR(VLOOKUP(Tabela1[[#This Row],[CC]],CC!$A$1:$H$403,8,0),"")</f>
        <v>OP1</v>
      </c>
    </row>
    <row r="1825" spans="1:19" x14ac:dyDescent="0.3">
      <c r="A1825" s="8">
        <v>1499</v>
      </c>
      <c r="B1825" s="8" t="str">
        <f>IFERROR(VLOOKUP(Tabela1[[#This Row],[CC]],#REF!,5,0),"")</f>
        <v/>
      </c>
      <c r="C1825" t="str">
        <f>IFERROR(VLOOKUP(Tabela1[[#This Row],[CC]],CC!$A$1:$H$389,7,0),"")</f>
        <v>RITA ANDRADE</v>
      </c>
      <c r="D1825" t="str">
        <f>IFERROR(VLOOKUP(Tabela1[[#This Row],[CC]],CC!$A$1:$I$3869,3,0),"")</f>
        <v>BRACELL</v>
      </c>
      <c r="E1825" t="str">
        <f>IFERROR(VLOOKUP(Tabela1[[#This Row],[CC]],CC!$A$1:$H$389,2,0),"")</f>
        <v>BRACELL (1499)</v>
      </c>
      <c r="F1825" t="s">
        <v>586</v>
      </c>
      <c r="G1825" s="107">
        <v>8853</v>
      </c>
      <c r="H1825" s="12">
        <v>46082</v>
      </c>
      <c r="I1825" s="24">
        <v>52900</v>
      </c>
      <c r="J1825" s="24">
        <v>49646.65</v>
      </c>
      <c r="K1825" s="3">
        <v>46125</v>
      </c>
      <c r="L1825" s="91">
        <v>46146</v>
      </c>
      <c r="M1825" s="11">
        <v>46146</v>
      </c>
      <c r="N1825" s="18" t="s">
        <v>588</v>
      </c>
      <c r="O1825" s="34">
        <v>0</v>
      </c>
      <c r="P1825"/>
      <c r="Q1825" t="str">
        <f>IFERROR(VLOOKUP(Tabela1[[#This Row],[CC]],CC!$A$1:$H$389,5,0),"")</f>
        <v>ADS</v>
      </c>
      <c r="R1825" t="str">
        <f>IFERROR(VLOOKUP(Tabela1[[#This Row],[CC]],CC!$A$1:$H$389,6,0),"")</f>
        <v>MS</v>
      </c>
      <c r="S1825" t="str">
        <f>IFERROR(VLOOKUP(Tabela1[[#This Row],[CC]],CC!$A$1:$H$403,8,0),"")</f>
        <v>OP1</v>
      </c>
    </row>
    <row r="1826" spans="1:19" x14ac:dyDescent="0.3">
      <c r="A1826" s="8">
        <v>1499</v>
      </c>
      <c r="B1826" s="8" t="str">
        <f>IFERROR(VLOOKUP(Tabela1[[#This Row],[CC]],#REF!,5,0),"")</f>
        <v/>
      </c>
      <c r="C1826" t="str">
        <f>IFERROR(VLOOKUP(Tabela1[[#This Row],[CC]],CC!$A$1:$H$389,7,0),"")</f>
        <v>RITA ANDRADE</v>
      </c>
      <c r="D1826" t="str">
        <f>IFERROR(VLOOKUP(Tabela1[[#This Row],[CC]],CC!$A$1:$I$3869,3,0),"")</f>
        <v>BRACELL</v>
      </c>
      <c r="E1826" t="str">
        <f>IFERROR(VLOOKUP(Tabela1[[#This Row],[CC]],CC!$A$1:$H$389,2,0),"")</f>
        <v>BRACELL (1499)</v>
      </c>
      <c r="F1826" t="s">
        <v>586</v>
      </c>
      <c r="G1826" s="107">
        <v>8861</v>
      </c>
      <c r="H1826" s="12">
        <v>46082</v>
      </c>
      <c r="I1826" s="24">
        <v>49992.1</v>
      </c>
      <c r="J1826" s="24">
        <v>46917.59</v>
      </c>
      <c r="K1826" s="3">
        <v>46126</v>
      </c>
      <c r="L1826" s="147">
        <v>46181</v>
      </c>
      <c r="M1826" s="11"/>
      <c r="N1826" s="18" t="s">
        <v>587</v>
      </c>
      <c r="O1826" s="34">
        <v>0</v>
      </c>
      <c r="P1826"/>
      <c r="Q1826" t="str">
        <f>IFERROR(VLOOKUP(Tabela1[[#This Row],[CC]],CC!$A$1:$H$389,5,0),"")</f>
        <v>ADS</v>
      </c>
      <c r="R1826" t="str">
        <f>IFERROR(VLOOKUP(Tabela1[[#This Row],[CC]],CC!$A$1:$H$389,6,0),"")</f>
        <v>MS</v>
      </c>
      <c r="S1826" t="str">
        <f>IFERROR(VLOOKUP(Tabela1[[#This Row],[CC]],CC!$A$1:$H$403,8,0),"")</f>
        <v>OP1</v>
      </c>
    </row>
    <row r="1827" spans="1:19" x14ac:dyDescent="0.3">
      <c r="A1827" s="8">
        <v>1499</v>
      </c>
      <c r="B1827" s="8" t="str">
        <f>IFERROR(VLOOKUP(Tabela1[[#This Row],[CC]],#REF!,5,0),"")</f>
        <v/>
      </c>
      <c r="C1827" t="str">
        <f>IFERROR(VLOOKUP(Tabela1[[#This Row],[CC]],CC!$A$1:$H$389,7,0),"")</f>
        <v>RITA ANDRADE</v>
      </c>
      <c r="D1827" t="str">
        <f>IFERROR(VLOOKUP(Tabela1[[#This Row],[CC]],CC!$A$1:$I$3869,3,0),"")</f>
        <v>BRACELL</v>
      </c>
      <c r="E1827" t="str">
        <f>IFERROR(VLOOKUP(Tabela1[[#This Row],[CC]],CC!$A$1:$H$389,2,0),"")</f>
        <v>BRACELL (1499)</v>
      </c>
      <c r="F1827" t="s">
        <v>586</v>
      </c>
      <c r="G1827" s="107">
        <v>8863</v>
      </c>
      <c r="H1827" s="12">
        <v>46082</v>
      </c>
      <c r="I1827" s="24">
        <v>85657.26</v>
      </c>
      <c r="J1827" s="24">
        <v>80389.34</v>
      </c>
      <c r="K1827" s="3">
        <v>46128</v>
      </c>
      <c r="L1827" s="91">
        <v>46160</v>
      </c>
      <c r="M1827" s="11">
        <v>46160</v>
      </c>
      <c r="N1827" s="18" t="s">
        <v>588</v>
      </c>
      <c r="O1827" s="34">
        <v>0</v>
      </c>
      <c r="P1827"/>
      <c r="Q1827" t="str">
        <f>IFERROR(VLOOKUP(Tabela1[[#This Row],[CC]],CC!$A$1:$H$389,5,0),"")</f>
        <v>ADS</v>
      </c>
      <c r="R1827" t="str">
        <f>IFERROR(VLOOKUP(Tabela1[[#This Row],[CC]],CC!$A$1:$H$389,6,0),"")</f>
        <v>MS</v>
      </c>
      <c r="S1827" t="str">
        <f>IFERROR(VLOOKUP(Tabela1[[#This Row],[CC]],CC!$A$1:$H$403,8,0),"")</f>
        <v>OP1</v>
      </c>
    </row>
    <row r="1828" spans="1:19" x14ac:dyDescent="0.3">
      <c r="A1828" s="8">
        <v>1499</v>
      </c>
      <c r="B1828" s="8" t="str">
        <f>IFERROR(VLOOKUP(Tabela1[[#This Row],[CC]],#REF!,5,0),"")</f>
        <v/>
      </c>
      <c r="C1828" t="str">
        <f>IFERROR(VLOOKUP(Tabela1[[#This Row],[CC]],CC!$A$1:$H$389,7,0),"")</f>
        <v>RITA ANDRADE</v>
      </c>
      <c r="D1828" t="str">
        <f>IFERROR(VLOOKUP(Tabela1[[#This Row],[CC]],CC!$A$1:$I$3869,3,0),"")</f>
        <v>BRACELL</v>
      </c>
      <c r="E1828" t="str">
        <f>IFERROR(VLOOKUP(Tabela1[[#This Row],[CC]],CC!$A$1:$H$389,2,0),"")</f>
        <v>BRACELL (1499)</v>
      </c>
      <c r="F1828" t="s">
        <v>586</v>
      </c>
      <c r="G1828" s="107">
        <v>8932</v>
      </c>
      <c r="H1828" s="12">
        <v>46113</v>
      </c>
      <c r="I1828" s="24">
        <v>52900</v>
      </c>
      <c r="J1828" s="24">
        <v>49646.65</v>
      </c>
      <c r="K1828" s="3">
        <v>46153</v>
      </c>
      <c r="L1828" s="147">
        <v>46174</v>
      </c>
      <c r="M1828" s="11">
        <v>46174</v>
      </c>
      <c r="N1828" s="18" t="s">
        <v>588</v>
      </c>
      <c r="O1828" s="34">
        <v>0</v>
      </c>
      <c r="P1828"/>
      <c r="Q1828" t="str">
        <f>IFERROR(VLOOKUP(Tabela1[[#This Row],[CC]],CC!$A$1:$H$389,5,0),"")</f>
        <v>ADS</v>
      </c>
      <c r="R1828" t="str">
        <f>IFERROR(VLOOKUP(Tabela1[[#This Row],[CC]],CC!$A$1:$H$389,6,0),"")</f>
        <v>MS</v>
      </c>
      <c r="S1828" t="str">
        <f>IFERROR(VLOOKUP(Tabela1[[#This Row],[CC]],CC!$A$1:$H$403,8,0),"")</f>
        <v>OP1</v>
      </c>
    </row>
    <row r="1829" spans="1:19" x14ac:dyDescent="0.3">
      <c r="A1829" s="8">
        <v>1499</v>
      </c>
      <c r="B1829" s="8" t="str">
        <f>IFERROR(VLOOKUP(Tabela1[[#This Row],[CC]],#REF!,5,0),"")</f>
        <v/>
      </c>
      <c r="C1829" t="str">
        <f>IFERROR(VLOOKUP(Tabela1[[#This Row],[CC]],CC!$A$1:$H$389,7,0),"")</f>
        <v>RITA ANDRADE</v>
      </c>
      <c r="D1829" t="str">
        <f>IFERROR(VLOOKUP(Tabela1[[#This Row],[CC]],CC!$A$1:$I$3869,3,0),"")</f>
        <v>BRACELL</v>
      </c>
      <c r="E1829" t="str">
        <f>IFERROR(VLOOKUP(Tabela1[[#This Row],[CC]],CC!$A$1:$H$389,2,0),"")</f>
        <v>BRACELL (1499)</v>
      </c>
      <c r="F1829" t="s">
        <v>586</v>
      </c>
      <c r="G1829" s="107">
        <v>8951</v>
      </c>
      <c r="H1829" s="12">
        <v>46113</v>
      </c>
      <c r="I1829" s="24">
        <v>49992.1</v>
      </c>
      <c r="J1829" s="24">
        <v>46917.59</v>
      </c>
      <c r="K1829" s="3">
        <v>46161</v>
      </c>
      <c r="L1829" s="147">
        <v>46195</v>
      </c>
      <c r="M1829" s="11"/>
      <c r="N1829" s="18" t="s">
        <v>587</v>
      </c>
      <c r="O1829" s="34">
        <v>0</v>
      </c>
      <c r="P1829"/>
      <c r="Q1829" t="str">
        <f>IFERROR(VLOOKUP(Tabela1[[#This Row],[CC]],CC!$A$1:$H$389,5,0),"")</f>
        <v>ADS</v>
      </c>
      <c r="R1829" t="str">
        <f>IFERROR(VLOOKUP(Tabela1[[#This Row],[CC]],CC!$A$1:$H$389,6,0),"")</f>
        <v>MS</v>
      </c>
      <c r="S1829" t="str">
        <f>IFERROR(VLOOKUP(Tabela1[[#This Row],[CC]],CC!$A$1:$H$403,8,0),"")</f>
        <v>OP1</v>
      </c>
    </row>
    <row r="1830" spans="1:19" x14ac:dyDescent="0.3">
      <c r="A1830" s="8">
        <v>1499</v>
      </c>
      <c r="B1830" s="8" t="str">
        <f>IFERROR(VLOOKUP(Tabela1[[#This Row],[CC]],#REF!,5,0),"")</f>
        <v/>
      </c>
      <c r="C1830" t="str">
        <f>IFERROR(VLOOKUP(Tabela1[[#This Row],[CC]],CC!$A$1:$H$389,7,0),"")</f>
        <v>RITA ANDRADE</v>
      </c>
      <c r="D1830" t="str">
        <f>IFERROR(VLOOKUP(Tabela1[[#This Row],[CC]],CC!$A$1:$I$3869,3,0),"")</f>
        <v>BRACELL</v>
      </c>
      <c r="E1830" t="str">
        <f>IFERROR(VLOOKUP(Tabela1[[#This Row],[CC]],CC!$A$1:$H$389,2,0),"")</f>
        <v>BRACELL (1499)</v>
      </c>
      <c r="F1830" t="s">
        <v>586</v>
      </c>
      <c r="G1830" s="107">
        <v>8994</v>
      </c>
      <c r="H1830" s="12">
        <v>46143</v>
      </c>
      <c r="I1830" s="24">
        <v>30645.48</v>
      </c>
      <c r="J1830" s="24">
        <v>28760.799999999999</v>
      </c>
      <c r="K1830" s="3">
        <v>46178</v>
      </c>
      <c r="L1830" s="91">
        <v>46202</v>
      </c>
      <c r="M1830" s="11"/>
      <c r="N1830" s="18" t="s">
        <v>587</v>
      </c>
      <c r="O1830" s="34">
        <v>0</v>
      </c>
      <c r="P1830"/>
      <c r="Q1830" t="str">
        <f>IFERROR(VLOOKUP(Tabela1[[#This Row],[CC]],CC!$A$1:$H$389,5,0),"")</f>
        <v>ADS</v>
      </c>
      <c r="R1830" t="str">
        <f>IFERROR(VLOOKUP(Tabela1[[#This Row],[CC]],CC!$A$1:$H$389,6,0),"")</f>
        <v>MS</v>
      </c>
      <c r="S1830" t="str">
        <f>IFERROR(VLOOKUP(Tabela1[[#This Row],[CC]],CC!$A$1:$H$403,8,0),"")</f>
        <v>OP1</v>
      </c>
    </row>
    <row r="1831" spans="1:19" x14ac:dyDescent="0.3">
      <c r="A1831" s="8">
        <v>1499</v>
      </c>
      <c r="B1831" s="8" t="str">
        <f>IFERROR(VLOOKUP(Tabela1[[#This Row],[CC]],#REF!,5,0),"")</f>
        <v/>
      </c>
      <c r="C1831" t="str">
        <f>IFERROR(VLOOKUP(Tabela1[[#This Row],[CC]],CC!$A$1:$H$389,7,0),"")</f>
        <v>RITA ANDRADE</v>
      </c>
      <c r="D1831" t="str">
        <f>IFERROR(VLOOKUP(Tabela1[[#This Row],[CC]],CC!$A$1:$I$3869,3,0),"")</f>
        <v>BRACELL</v>
      </c>
      <c r="E1831" t="str">
        <f>IFERROR(VLOOKUP(Tabela1[[#This Row],[CC]],CC!$A$1:$H$389,2,0),"")</f>
        <v>BRACELL (1499)</v>
      </c>
      <c r="F1831" t="s">
        <v>586</v>
      </c>
      <c r="G1831" s="107">
        <v>9000</v>
      </c>
      <c r="H1831" s="12">
        <v>46143</v>
      </c>
      <c r="I1831" s="24">
        <v>105800</v>
      </c>
      <c r="J1831" s="24">
        <v>100721.60000000001</v>
      </c>
      <c r="K1831" s="3">
        <v>46181</v>
      </c>
      <c r="L1831" s="91">
        <v>46209</v>
      </c>
      <c r="M1831" s="11"/>
      <c r="N1831" s="18" t="s">
        <v>587</v>
      </c>
      <c r="O1831" s="34">
        <v>0</v>
      </c>
      <c r="P1831"/>
      <c r="Q1831" t="str">
        <f>IFERROR(VLOOKUP(Tabela1[[#This Row],[CC]],CC!$A$1:$H$389,5,0),"")</f>
        <v>ADS</v>
      </c>
      <c r="R1831" t="str">
        <f>IFERROR(VLOOKUP(Tabela1[[#This Row],[CC]],CC!$A$1:$H$389,6,0),"")</f>
        <v>MS</v>
      </c>
      <c r="S1831" t="str">
        <f>IFERROR(VLOOKUP(Tabela1[[#This Row],[CC]],CC!$A$1:$H$403,8,0),"")</f>
        <v>OP1</v>
      </c>
    </row>
    <row r="1832" spans="1:19" x14ac:dyDescent="0.3">
      <c r="A1832" s="8">
        <v>1499</v>
      </c>
      <c r="B1832" s="8" t="str">
        <f>IFERROR(VLOOKUP(Tabela1[[#This Row],[CC]],#REF!,5,0),"")</f>
        <v/>
      </c>
      <c r="C1832" t="str">
        <f>IFERROR(VLOOKUP(Tabela1[[#This Row],[CC]],CC!$A$1:$H$389,7,0),"")</f>
        <v>RITA ANDRADE</v>
      </c>
      <c r="D1832" t="str">
        <f>IFERROR(VLOOKUP(Tabela1[[#This Row],[CC]],CC!$A$1:$I$3869,3,0),"")</f>
        <v>BRACELL</v>
      </c>
      <c r="E1832" t="str">
        <f>IFERROR(VLOOKUP(Tabela1[[#This Row],[CC]],CC!$A$1:$H$389,2,0),"")</f>
        <v>BRACELL (1499)</v>
      </c>
      <c r="F1832" t="s">
        <v>586</v>
      </c>
      <c r="G1832" s="107">
        <v>8830</v>
      </c>
      <c r="H1832" s="12">
        <v>46054</v>
      </c>
      <c r="I1832" s="24">
        <v>52900</v>
      </c>
      <c r="J1832" s="24">
        <v>49646.65</v>
      </c>
      <c r="K1832" s="3">
        <v>46104</v>
      </c>
      <c r="L1832" s="91">
        <v>46125</v>
      </c>
      <c r="M1832" s="11">
        <v>46125</v>
      </c>
      <c r="N1832" s="18" t="s">
        <v>588</v>
      </c>
      <c r="O1832" s="34">
        <v>0</v>
      </c>
      <c r="P1832"/>
      <c r="Q1832" t="str">
        <f>IFERROR(VLOOKUP(Tabela1[[#This Row],[CC]],CC!$A$1:$H$389,5,0),"")</f>
        <v>ADS</v>
      </c>
      <c r="R1832" t="str">
        <f>IFERROR(VLOOKUP(Tabela1[[#This Row],[CC]],CC!$A$1:$H$389,6,0),"")</f>
        <v>MS</v>
      </c>
      <c r="S1832" t="str">
        <f>IFERROR(VLOOKUP(Tabela1[[#This Row],[CC]],CC!$A$1:$H$403,8,0),"")</f>
        <v>OP1</v>
      </c>
    </row>
    <row r="1833" spans="1:19" x14ac:dyDescent="0.3">
      <c r="A1833" s="25">
        <v>1483</v>
      </c>
      <c r="B1833" s="25" t="str">
        <f>IFERROR(VLOOKUP(Tabela1[[#This Row],[CC]],#REF!,5,0),"")</f>
        <v/>
      </c>
      <c r="C1833" t="s">
        <v>67</v>
      </c>
      <c r="D1833" t="s">
        <v>45</v>
      </c>
      <c r="E1833" t="s">
        <v>488</v>
      </c>
      <c r="F1833" t="s">
        <v>586</v>
      </c>
      <c r="G1833" s="107">
        <v>8199</v>
      </c>
      <c r="H1833" s="12">
        <v>45658</v>
      </c>
      <c r="I1833" s="24">
        <v>28856.799999999999</v>
      </c>
      <c r="J1833" s="24">
        <v>26572.11</v>
      </c>
      <c r="K1833" s="3">
        <v>45691</v>
      </c>
      <c r="L1833" s="147">
        <v>45733</v>
      </c>
      <c r="M1833" s="11">
        <v>45735</v>
      </c>
      <c r="N1833" s="18" t="s">
        <v>588</v>
      </c>
      <c r="O1833" s="34">
        <v>0</v>
      </c>
      <c r="P1833" s="26"/>
      <c r="Q1833" t="s">
        <v>58</v>
      </c>
      <c r="R1833" t="s">
        <v>183</v>
      </c>
      <c r="S1833" t="str">
        <f>IFERROR(VLOOKUP(Tabela1[[#This Row],[CC]],CC!$A$1:$H$403,8,0),"")</f>
        <v>OP2</v>
      </c>
    </row>
    <row r="1834" spans="1:19" x14ac:dyDescent="0.3">
      <c r="A1834" s="8">
        <v>1391</v>
      </c>
      <c r="B1834" s="8" t="str">
        <f>IFERROR(VLOOKUP(Tabela1[[#This Row],[CC]],#REF!,5,0),"")</f>
        <v/>
      </c>
      <c r="C1834" t="str">
        <f>IFERROR(VLOOKUP(Tabela1[[#This Row],[CC]],CC!$A$1:$H$389,7,0),"")</f>
        <v>RITA ANDRADE</v>
      </c>
      <c r="D1834" t="str">
        <f>IFERROR(VLOOKUP(Tabela1[[#This Row],[CC]],CC!$A$1:$I$3869,3,0),"")</f>
        <v>BRADESCO</v>
      </c>
      <c r="E1834" t="str">
        <f>IFERROR(VLOOKUP(Tabela1[[#This Row],[CC]],CC!$A$1:$H$389,2,0),"")</f>
        <v>BRADESCO - DS (1391)</v>
      </c>
      <c r="F1834" t="s">
        <v>586</v>
      </c>
      <c r="G1834" s="107">
        <v>4619</v>
      </c>
      <c r="H1834" s="12">
        <v>45962</v>
      </c>
      <c r="I1834" s="24">
        <v>132577.06</v>
      </c>
      <c r="J1834" s="27">
        <v>124423.57</v>
      </c>
      <c r="K1834" s="3">
        <v>45995</v>
      </c>
      <c r="L1834" s="147">
        <v>46006</v>
      </c>
      <c r="M1834" s="11">
        <v>46010</v>
      </c>
      <c r="N1834" s="1" t="s">
        <v>588</v>
      </c>
      <c r="O1834" s="34">
        <v>0</v>
      </c>
      <c r="P1834"/>
      <c r="Q1834" t="str">
        <f>IFERROR(VLOOKUP(Tabela1[[#This Row],[CC]],CC!$A$1:$H$389,5,0),"")</f>
        <v>ADS</v>
      </c>
      <c r="R1834" t="str">
        <f>IFERROR(VLOOKUP(Tabela1[[#This Row],[CC]],CC!$A$1:$H$389,6,0),"")</f>
        <v>FS</v>
      </c>
      <c r="S1834" t="str">
        <f>IFERROR(VLOOKUP(Tabela1[[#This Row],[CC]],CC!$A$1:$H$403,8,0),"")</f>
        <v>OP1</v>
      </c>
    </row>
    <row r="1835" spans="1:19" x14ac:dyDescent="0.3">
      <c r="A1835" s="8">
        <v>1391</v>
      </c>
      <c r="B1835" s="8" t="str">
        <f>IFERROR(VLOOKUP(Tabela1[[#This Row],[CC]],#REF!,5,0),"")</f>
        <v/>
      </c>
      <c r="C1835" t="str">
        <f>IFERROR(VLOOKUP(Tabela1[[#This Row],[CC]],CC!$A$1:$H$389,7,0),"")</f>
        <v>RITA ANDRADE</v>
      </c>
      <c r="D1835" t="str">
        <f>IFERROR(VLOOKUP(Tabela1[[#This Row],[CC]],CC!$A$1:$I$3869,3,0),"")</f>
        <v>BRADESCO</v>
      </c>
      <c r="E1835" t="str">
        <f>IFERROR(VLOOKUP(Tabela1[[#This Row],[CC]],CC!$A$1:$H$389,2,0),"")</f>
        <v>BRADESCO - DS (1391)</v>
      </c>
      <c r="F1835" t="s">
        <v>586</v>
      </c>
      <c r="G1835" s="107">
        <v>4620</v>
      </c>
      <c r="H1835" s="12">
        <v>45962</v>
      </c>
      <c r="I1835" s="24">
        <v>76428.240000000005</v>
      </c>
      <c r="J1835" s="27">
        <v>71727.91</v>
      </c>
      <c r="K1835" s="3">
        <v>45995</v>
      </c>
      <c r="L1835" s="147">
        <v>46006</v>
      </c>
      <c r="M1835" s="11">
        <v>46010</v>
      </c>
      <c r="N1835" s="1" t="s">
        <v>588</v>
      </c>
      <c r="O1835" s="34">
        <v>0</v>
      </c>
      <c r="P1835"/>
      <c r="Q1835" t="str">
        <f>IFERROR(VLOOKUP(Tabela1[[#This Row],[CC]],CC!$A$1:$H$389,5,0),"")</f>
        <v>ADS</v>
      </c>
      <c r="R1835" t="str">
        <f>IFERROR(VLOOKUP(Tabela1[[#This Row],[CC]],CC!$A$1:$H$389,6,0),"")</f>
        <v>FS</v>
      </c>
      <c r="S1835" t="str">
        <f>IFERROR(VLOOKUP(Tabela1[[#This Row],[CC]],CC!$A$1:$H$403,8,0),"")</f>
        <v>OP1</v>
      </c>
    </row>
    <row r="1836" spans="1:19" x14ac:dyDescent="0.3">
      <c r="A1836" s="8">
        <v>1391</v>
      </c>
      <c r="B1836" s="8" t="str">
        <f>IFERROR(VLOOKUP(Tabela1[[#This Row],[CC]],#REF!,5,0),"")</f>
        <v/>
      </c>
      <c r="C1836" t="str">
        <f>IFERROR(VLOOKUP(Tabela1[[#This Row],[CC]],CC!$A$1:$H$389,7,0),"")</f>
        <v>RITA ANDRADE</v>
      </c>
      <c r="D1836" t="str">
        <f>IFERROR(VLOOKUP(Tabela1[[#This Row],[CC]],CC!$A$1:$I$3869,3,0),"")</f>
        <v>BRADESCO</v>
      </c>
      <c r="E1836" t="str">
        <f>IFERROR(VLOOKUP(Tabela1[[#This Row],[CC]],CC!$A$1:$H$389,2,0),"")</f>
        <v>BRADESCO - DS (1391)</v>
      </c>
      <c r="F1836" t="s">
        <v>586</v>
      </c>
      <c r="G1836" s="107">
        <v>4621</v>
      </c>
      <c r="H1836" s="12">
        <v>45962</v>
      </c>
      <c r="I1836" s="24">
        <v>55883.1</v>
      </c>
      <c r="J1836" s="27">
        <v>52446.29</v>
      </c>
      <c r="K1836" s="3">
        <v>45995</v>
      </c>
      <c r="L1836" s="147">
        <v>46006</v>
      </c>
      <c r="M1836" s="11">
        <v>46010</v>
      </c>
      <c r="N1836" s="1" t="s">
        <v>588</v>
      </c>
      <c r="O1836" s="34">
        <v>0</v>
      </c>
      <c r="P1836"/>
      <c r="Q1836" t="str">
        <f>IFERROR(VLOOKUP(Tabela1[[#This Row],[CC]],CC!$A$1:$H$389,5,0),"")</f>
        <v>ADS</v>
      </c>
      <c r="R1836" t="str">
        <f>IFERROR(VLOOKUP(Tabela1[[#This Row],[CC]],CC!$A$1:$H$389,6,0),"")</f>
        <v>FS</v>
      </c>
      <c r="S1836" t="str">
        <f>IFERROR(VLOOKUP(Tabela1[[#This Row],[CC]],CC!$A$1:$H$403,8,0),"")</f>
        <v>OP1</v>
      </c>
    </row>
    <row r="1837" spans="1:19" x14ac:dyDescent="0.3">
      <c r="A1837" s="8">
        <v>1391</v>
      </c>
      <c r="B1837" s="8" t="str">
        <f>IFERROR(VLOOKUP(Tabela1[[#This Row],[CC]],#REF!,5,0),"")</f>
        <v/>
      </c>
      <c r="C1837" t="str">
        <f>IFERROR(VLOOKUP(Tabela1[[#This Row],[CC]],CC!$A$1:$H$389,7,0),"")</f>
        <v>RITA ANDRADE</v>
      </c>
      <c r="D1837" t="str">
        <f>IFERROR(VLOOKUP(Tabela1[[#This Row],[CC]],CC!$A$1:$I$3869,3,0),"")</f>
        <v>BRADESCO</v>
      </c>
      <c r="E1837" t="str">
        <f>IFERROR(VLOOKUP(Tabela1[[#This Row],[CC]],CC!$A$1:$H$389,2,0),"")</f>
        <v>BRADESCO - DS (1391)</v>
      </c>
      <c r="F1837" t="s">
        <v>586</v>
      </c>
      <c r="G1837" s="107">
        <v>4626</v>
      </c>
      <c r="H1837" s="12">
        <v>45962</v>
      </c>
      <c r="I1837" s="24">
        <v>740789.29</v>
      </c>
      <c r="J1837" s="27">
        <v>695230.75</v>
      </c>
      <c r="K1837" s="3">
        <v>45995</v>
      </c>
      <c r="L1837" s="147">
        <v>46006</v>
      </c>
      <c r="M1837" s="11">
        <v>46010</v>
      </c>
      <c r="N1837" s="1" t="s">
        <v>588</v>
      </c>
      <c r="O1837" s="34">
        <v>0</v>
      </c>
      <c r="P1837"/>
      <c r="Q1837" t="str">
        <f>IFERROR(VLOOKUP(Tabela1[[#This Row],[CC]],CC!$A$1:$H$389,5,0),"")</f>
        <v>ADS</v>
      </c>
      <c r="R1837" t="str">
        <f>IFERROR(VLOOKUP(Tabela1[[#This Row],[CC]],CC!$A$1:$H$389,6,0),"")</f>
        <v>FS</v>
      </c>
      <c r="S1837" t="str">
        <f>IFERROR(VLOOKUP(Tabela1[[#This Row],[CC]],CC!$A$1:$H$403,8,0),"")</f>
        <v>OP1</v>
      </c>
    </row>
    <row r="1838" spans="1:19" x14ac:dyDescent="0.3">
      <c r="A1838" s="8">
        <v>1391</v>
      </c>
      <c r="B1838" s="8" t="str">
        <f>IFERROR(VLOOKUP(Tabela1[[#This Row],[CC]],#REF!,5,0),"")</f>
        <v/>
      </c>
      <c r="C1838" t="str">
        <f>IFERROR(VLOOKUP(Tabela1[[#This Row],[CC]],CC!$A$1:$H$389,7,0),"")</f>
        <v>RITA ANDRADE</v>
      </c>
      <c r="D1838" t="str">
        <f>IFERROR(VLOOKUP(Tabela1[[#This Row],[CC]],CC!$A$1:$I$3869,3,0),"")</f>
        <v>BRADESCO</v>
      </c>
      <c r="E1838" t="str">
        <f>IFERROR(VLOOKUP(Tabela1[[#This Row],[CC]],CC!$A$1:$H$389,2,0),"")</f>
        <v>BRADESCO - DS (1391)</v>
      </c>
      <c r="F1838" t="s">
        <v>586</v>
      </c>
      <c r="G1838" s="107">
        <v>4638</v>
      </c>
      <c r="H1838" s="12">
        <v>45962</v>
      </c>
      <c r="I1838" s="24">
        <v>160699.5</v>
      </c>
      <c r="J1838" s="24">
        <v>150816.48000000001</v>
      </c>
      <c r="K1838" s="3">
        <v>45996</v>
      </c>
      <c r="L1838" s="147">
        <v>46013</v>
      </c>
      <c r="M1838" s="11">
        <v>46013</v>
      </c>
      <c r="N1838" s="1" t="s">
        <v>588</v>
      </c>
      <c r="O1838" s="34">
        <v>0</v>
      </c>
      <c r="P1838"/>
      <c r="Q1838" t="str">
        <f>IFERROR(VLOOKUP(Tabela1[[#This Row],[CC]],CC!$A$1:$H$389,5,0),"")</f>
        <v>ADS</v>
      </c>
      <c r="R1838" t="str">
        <f>IFERROR(VLOOKUP(Tabela1[[#This Row],[CC]],CC!$A$1:$H$389,6,0),"")</f>
        <v>FS</v>
      </c>
      <c r="S1838" t="str">
        <f>IFERROR(VLOOKUP(Tabela1[[#This Row],[CC]],CC!$A$1:$H$403,8,0),"")</f>
        <v>OP1</v>
      </c>
    </row>
    <row r="1839" spans="1:19" x14ac:dyDescent="0.3">
      <c r="A1839" s="8">
        <v>1391</v>
      </c>
      <c r="B1839" s="8" t="str">
        <f>IFERROR(VLOOKUP(Tabela1[[#This Row],[CC]],#REF!,5,0),"")</f>
        <v/>
      </c>
      <c r="C1839" t="str">
        <f>IFERROR(VLOOKUP(Tabela1[[#This Row],[CC]],CC!$A$1:$H$389,7,0),"")</f>
        <v>RITA ANDRADE</v>
      </c>
      <c r="D1839" t="str">
        <f>IFERROR(VLOOKUP(Tabela1[[#This Row],[CC]],CC!$A$1:$I$3869,3,0),"")</f>
        <v>BRADESCO</v>
      </c>
      <c r="E1839" t="str">
        <f>IFERROR(VLOOKUP(Tabela1[[#This Row],[CC]],CC!$A$1:$H$389,2,0),"")</f>
        <v>BRADESCO - DS (1391)</v>
      </c>
      <c r="F1839" t="s">
        <v>586</v>
      </c>
      <c r="G1839" s="107">
        <v>4640</v>
      </c>
      <c r="H1839" s="12">
        <v>45962</v>
      </c>
      <c r="I1839" s="24">
        <v>105276.27</v>
      </c>
      <c r="J1839" s="24">
        <v>98801.78</v>
      </c>
      <c r="K1839" s="3">
        <v>45996</v>
      </c>
      <c r="L1839" s="147">
        <v>46013</v>
      </c>
      <c r="M1839" s="11">
        <v>46013</v>
      </c>
      <c r="N1839" s="1" t="s">
        <v>588</v>
      </c>
      <c r="O1839" s="34">
        <v>0</v>
      </c>
      <c r="P1839"/>
      <c r="Q1839" t="str">
        <f>IFERROR(VLOOKUP(Tabela1[[#This Row],[CC]],CC!$A$1:$H$389,5,0),"")</f>
        <v>ADS</v>
      </c>
      <c r="R1839" t="str">
        <f>IFERROR(VLOOKUP(Tabela1[[#This Row],[CC]],CC!$A$1:$H$389,6,0),"")</f>
        <v>FS</v>
      </c>
      <c r="S1839" t="str">
        <f>IFERROR(VLOOKUP(Tabela1[[#This Row],[CC]],CC!$A$1:$H$403,8,0),"")</f>
        <v>OP1</v>
      </c>
    </row>
    <row r="1840" spans="1:19" x14ac:dyDescent="0.3">
      <c r="A1840" s="8">
        <v>1391</v>
      </c>
      <c r="B1840" s="8" t="str">
        <f>IFERROR(VLOOKUP(Tabela1[[#This Row],[CC]],#REF!,5,0),"")</f>
        <v/>
      </c>
      <c r="C1840" t="str">
        <f>IFERROR(VLOOKUP(Tabela1[[#This Row],[CC]],CC!$A$1:$H$389,7,0),"")</f>
        <v>RITA ANDRADE</v>
      </c>
      <c r="D1840" t="str">
        <f>IFERROR(VLOOKUP(Tabela1[[#This Row],[CC]],CC!$A$1:$I$3869,3,0),"")</f>
        <v>BRADESCO</v>
      </c>
      <c r="E1840" t="str">
        <f>IFERROR(VLOOKUP(Tabela1[[#This Row],[CC]],CC!$A$1:$H$389,2,0),"")</f>
        <v>BRADESCO - DS (1391)</v>
      </c>
      <c r="F1840" t="s">
        <v>586</v>
      </c>
      <c r="G1840" s="107">
        <v>4646</v>
      </c>
      <c r="H1840" s="12">
        <v>45962</v>
      </c>
      <c r="I1840" s="24">
        <v>117708.05</v>
      </c>
      <c r="J1840" s="24">
        <v>110469.01</v>
      </c>
      <c r="K1840" s="3">
        <v>45996</v>
      </c>
      <c r="L1840" s="147">
        <v>46013</v>
      </c>
      <c r="M1840" s="11">
        <v>46013</v>
      </c>
      <c r="N1840" s="1" t="s">
        <v>588</v>
      </c>
      <c r="O1840" s="34">
        <v>0</v>
      </c>
      <c r="P1840"/>
      <c r="Q1840" t="str">
        <f>IFERROR(VLOOKUP(Tabela1[[#This Row],[CC]],CC!$A$1:$H$389,5,0),"")</f>
        <v>ADS</v>
      </c>
      <c r="R1840" t="str">
        <f>IFERROR(VLOOKUP(Tabela1[[#This Row],[CC]],CC!$A$1:$H$389,6,0),"")</f>
        <v>FS</v>
      </c>
      <c r="S1840" t="str">
        <f>IFERROR(VLOOKUP(Tabela1[[#This Row],[CC]],CC!$A$1:$H$403,8,0),"")</f>
        <v>OP1</v>
      </c>
    </row>
    <row r="1841" spans="1:19" x14ac:dyDescent="0.3">
      <c r="A1841" s="8">
        <v>1391</v>
      </c>
      <c r="B1841" s="8" t="str">
        <f>IFERROR(VLOOKUP(Tabela1[[#This Row],[CC]],#REF!,5,0),"")</f>
        <v/>
      </c>
      <c r="C1841" t="str">
        <f>IFERROR(VLOOKUP(Tabela1[[#This Row],[CC]],CC!$A$1:$H$389,7,0),"")</f>
        <v>RITA ANDRADE</v>
      </c>
      <c r="D1841" t="str">
        <f>IFERROR(VLOOKUP(Tabela1[[#This Row],[CC]],CC!$A$1:$I$3869,3,0),"")</f>
        <v>BRADESCO</v>
      </c>
      <c r="E1841" t="str">
        <f>IFERROR(VLOOKUP(Tabela1[[#This Row],[CC]],CC!$A$1:$H$389,2,0),"")</f>
        <v>BRADESCO - DS (1391)</v>
      </c>
      <c r="F1841" t="s">
        <v>586</v>
      </c>
      <c r="G1841" s="107">
        <v>4647</v>
      </c>
      <c r="H1841" s="12">
        <v>45962</v>
      </c>
      <c r="I1841" s="24">
        <v>126870.48</v>
      </c>
      <c r="J1841" s="24">
        <v>119067.94</v>
      </c>
      <c r="K1841" s="3">
        <v>45996</v>
      </c>
      <c r="L1841" s="147">
        <v>46013</v>
      </c>
      <c r="M1841" s="11">
        <v>46013</v>
      </c>
      <c r="N1841" s="1" t="s">
        <v>588</v>
      </c>
      <c r="O1841" s="34">
        <v>0</v>
      </c>
      <c r="P1841"/>
      <c r="Q1841" t="str">
        <f>IFERROR(VLOOKUP(Tabela1[[#This Row],[CC]],CC!$A$1:$H$389,5,0),"")</f>
        <v>ADS</v>
      </c>
      <c r="R1841" t="str">
        <f>IFERROR(VLOOKUP(Tabela1[[#This Row],[CC]],CC!$A$1:$H$389,6,0),"")</f>
        <v>FS</v>
      </c>
      <c r="S1841" t="str">
        <f>IFERROR(VLOOKUP(Tabela1[[#This Row],[CC]],CC!$A$1:$H$403,8,0),"")</f>
        <v>OP1</v>
      </c>
    </row>
    <row r="1842" spans="1:19" x14ac:dyDescent="0.3">
      <c r="A1842" s="8">
        <v>1391</v>
      </c>
      <c r="B1842" s="8" t="str">
        <f>IFERROR(VLOOKUP(Tabela1[[#This Row],[CC]],#REF!,5,0),"")</f>
        <v/>
      </c>
      <c r="C1842" t="str">
        <f>IFERROR(VLOOKUP(Tabela1[[#This Row],[CC]],CC!$A$1:$H$389,7,0),"")</f>
        <v>RITA ANDRADE</v>
      </c>
      <c r="D1842" t="str">
        <f>IFERROR(VLOOKUP(Tabela1[[#This Row],[CC]],CC!$A$1:$I$3869,3,0),"")</f>
        <v>BRADESCO</v>
      </c>
      <c r="E1842" t="str">
        <f>IFERROR(VLOOKUP(Tabela1[[#This Row],[CC]],CC!$A$1:$H$389,2,0),"")</f>
        <v>BRADESCO - DS (1391)</v>
      </c>
      <c r="F1842" t="s">
        <v>586</v>
      </c>
      <c r="G1842" s="107">
        <v>4662</v>
      </c>
      <c r="H1842" s="12">
        <v>45962</v>
      </c>
      <c r="I1842" s="24">
        <v>27847.919999999998</v>
      </c>
      <c r="J1842" s="24">
        <v>26135.27</v>
      </c>
      <c r="K1842" s="3">
        <v>46000</v>
      </c>
      <c r="L1842" s="147">
        <v>46013</v>
      </c>
      <c r="M1842" s="11">
        <v>46015</v>
      </c>
      <c r="N1842" s="1" t="s">
        <v>588</v>
      </c>
      <c r="O1842" s="34">
        <v>0</v>
      </c>
      <c r="P1842"/>
      <c r="Q1842" t="str">
        <f>IFERROR(VLOOKUP(Tabela1[[#This Row],[CC]],CC!$A$1:$H$389,5,0),"")</f>
        <v>ADS</v>
      </c>
      <c r="R1842" t="str">
        <f>IFERROR(VLOOKUP(Tabela1[[#This Row],[CC]],CC!$A$1:$H$389,6,0),"")</f>
        <v>FS</v>
      </c>
      <c r="S1842" t="str">
        <f>IFERROR(VLOOKUP(Tabela1[[#This Row],[CC]],CC!$A$1:$H$403,8,0),"")</f>
        <v>OP1</v>
      </c>
    </row>
    <row r="1843" spans="1:19" x14ac:dyDescent="0.3">
      <c r="A1843" s="8">
        <v>1391</v>
      </c>
      <c r="B1843" s="8" t="str">
        <f>IFERROR(VLOOKUP(Tabela1[[#This Row],[CC]],#REF!,5,0),"")</f>
        <v/>
      </c>
      <c r="C1843" t="str">
        <f>IFERROR(VLOOKUP(Tabela1[[#This Row],[CC]],CC!$A$1:$H$389,7,0),"")</f>
        <v>RITA ANDRADE</v>
      </c>
      <c r="D1843" t="str">
        <f>IFERROR(VLOOKUP(Tabela1[[#This Row],[CC]],CC!$A$1:$I$3869,3,0),"")</f>
        <v>BRADESCO</v>
      </c>
      <c r="E1843" t="str">
        <f>IFERROR(VLOOKUP(Tabela1[[#This Row],[CC]],CC!$A$1:$H$389,2,0),"")</f>
        <v>BRADESCO - DS (1391)</v>
      </c>
      <c r="F1843" t="s">
        <v>586</v>
      </c>
      <c r="G1843" s="107">
        <v>4682</v>
      </c>
      <c r="H1843" s="12">
        <v>45962</v>
      </c>
      <c r="I1843" s="24">
        <v>90752.1</v>
      </c>
      <c r="J1843" s="24">
        <v>85170.85</v>
      </c>
      <c r="K1843" s="3">
        <v>46002</v>
      </c>
      <c r="L1843" s="147">
        <v>46013</v>
      </c>
      <c r="M1843" s="11">
        <v>46017</v>
      </c>
      <c r="N1843" s="1" t="s">
        <v>588</v>
      </c>
      <c r="O1843" s="34">
        <v>0</v>
      </c>
      <c r="P1843"/>
      <c r="Q1843" t="str">
        <f>IFERROR(VLOOKUP(Tabela1[[#This Row],[CC]],CC!$A$1:$H$389,5,0),"")</f>
        <v>ADS</v>
      </c>
      <c r="R1843" t="str">
        <f>IFERROR(VLOOKUP(Tabela1[[#This Row],[CC]],CC!$A$1:$H$389,6,0),"")</f>
        <v>FS</v>
      </c>
      <c r="S1843" t="str">
        <f>IFERROR(VLOOKUP(Tabela1[[#This Row],[CC]],CC!$A$1:$H$403,8,0),"")</f>
        <v>OP1</v>
      </c>
    </row>
    <row r="1844" spans="1:19" x14ac:dyDescent="0.3">
      <c r="A1844" s="8">
        <v>1391</v>
      </c>
      <c r="B1844" s="8" t="str">
        <f>IFERROR(VLOOKUP(Tabela1[[#This Row],[CC]],#REF!,5,0),"")</f>
        <v/>
      </c>
      <c r="C1844" t="str">
        <f>IFERROR(VLOOKUP(Tabela1[[#This Row],[CC]],CC!$A$1:$H$389,7,0),"")</f>
        <v>RITA ANDRADE</v>
      </c>
      <c r="D1844" t="str">
        <f>IFERROR(VLOOKUP(Tabela1[[#This Row],[CC]],CC!$A$1:$I$3869,3,0),"")</f>
        <v>BRADESCO</v>
      </c>
      <c r="E1844" t="str">
        <f>IFERROR(VLOOKUP(Tabela1[[#This Row],[CC]],CC!$A$1:$H$389,2,0),"")</f>
        <v>BRADESCO - DS (1391)</v>
      </c>
      <c r="F1844" t="s">
        <v>586</v>
      </c>
      <c r="G1844" s="107">
        <v>4696</v>
      </c>
      <c r="H1844" s="12">
        <v>45992</v>
      </c>
      <c r="I1844" s="24">
        <v>44326.85</v>
      </c>
      <c r="J1844" s="24">
        <v>41600.75</v>
      </c>
      <c r="K1844" s="3">
        <v>46003</v>
      </c>
      <c r="L1844" s="147">
        <v>46020</v>
      </c>
      <c r="M1844" s="11">
        <v>46020</v>
      </c>
      <c r="N1844" s="1" t="s">
        <v>588</v>
      </c>
      <c r="O1844" s="34">
        <v>0</v>
      </c>
      <c r="P1844"/>
      <c r="Q1844" t="str">
        <f>IFERROR(VLOOKUP(Tabela1[[#This Row],[CC]],CC!$A$1:$H$389,5,0),"")</f>
        <v>ADS</v>
      </c>
      <c r="R1844" t="str">
        <f>IFERROR(VLOOKUP(Tabela1[[#This Row],[CC]],CC!$A$1:$H$389,6,0),"")</f>
        <v>FS</v>
      </c>
      <c r="S1844" t="str">
        <f>IFERROR(VLOOKUP(Tabela1[[#This Row],[CC]],CC!$A$1:$H$403,8,0),"")</f>
        <v>OP1</v>
      </c>
    </row>
    <row r="1845" spans="1:19" x14ac:dyDescent="0.3">
      <c r="A1845" s="8">
        <v>1391</v>
      </c>
      <c r="B1845" s="8" t="str">
        <f>IFERROR(VLOOKUP(Tabela1[[#This Row],[CC]],#REF!,5,0),"")</f>
        <v/>
      </c>
      <c r="C1845" t="str">
        <f>IFERROR(VLOOKUP(Tabela1[[#This Row],[CC]],CC!$A$1:$H$389,7,0),"")</f>
        <v>RITA ANDRADE</v>
      </c>
      <c r="D1845" t="str">
        <f>IFERROR(VLOOKUP(Tabela1[[#This Row],[CC]],CC!$A$1:$I$3869,3,0),"")</f>
        <v>BRADESCO</v>
      </c>
      <c r="E1845" t="str">
        <f>IFERROR(VLOOKUP(Tabela1[[#This Row],[CC]],CC!$A$1:$H$389,2,0),"")</f>
        <v>BRADESCO - DS (1391)</v>
      </c>
      <c r="F1845" t="s">
        <v>586</v>
      </c>
      <c r="G1845" s="107">
        <v>4693</v>
      </c>
      <c r="H1845" s="12">
        <v>45992</v>
      </c>
      <c r="I1845" s="24">
        <v>38563.199999999997</v>
      </c>
      <c r="J1845" s="24">
        <v>36191.56</v>
      </c>
      <c r="K1845" s="3">
        <v>46003</v>
      </c>
      <c r="L1845" s="147">
        <v>46020</v>
      </c>
      <c r="M1845" s="11">
        <v>46020</v>
      </c>
      <c r="N1845" s="1" t="s">
        <v>588</v>
      </c>
      <c r="O1845" s="34">
        <v>0</v>
      </c>
      <c r="P1845"/>
      <c r="Q1845" t="str">
        <f>IFERROR(VLOOKUP(Tabela1[[#This Row],[CC]],CC!$A$1:$H$389,5,0),"")</f>
        <v>ADS</v>
      </c>
      <c r="R1845" t="str">
        <f>IFERROR(VLOOKUP(Tabela1[[#This Row],[CC]],CC!$A$1:$H$389,6,0),"")</f>
        <v>FS</v>
      </c>
      <c r="S1845" t="str">
        <f>IFERROR(VLOOKUP(Tabela1[[#This Row],[CC]],CC!$A$1:$H$403,8,0),"")</f>
        <v>OP1</v>
      </c>
    </row>
    <row r="1846" spans="1:19" x14ac:dyDescent="0.3">
      <c r="A1846" s="8">
        <v>1391</v>
      </c>
      <c r="B1846" s="8" t="str">
        <f>IFERROR(VLOOKUP(Tabela1[[#This Row],[CC]],#REF!,5,0),"")</f>
        <v/>
      </c>
      <c r="C1846" t="str">
        <f>IFERROR(VLOOKUP(Tabela1[[#This Row],[CC]],CC!$A$1:$H$389,7,0),"")</f>
        <v>RITA ANDRADE</v>
      </c>
      <c r="D1846" t="str">
        <f>IFERROR(VLOOKUP(Tabela1[[#This Row],[CC]],CC!$A$1:$I$3869,3,0),"")</f>
        <v>BRADESCO</v>
      </c>
      <c r="E1846" t="str">
        <f>IFERROR(VLOOKUP(Tabela1[[#This Row],[CC]],CC!$A$1:$H$389,2,0),"")</f>
        <v>BRADESCO - DS (1391)</v>
      </c>
      <c r="F1846" t="s">
        <v>586</v>
      </c>
      <c r="G1846" s="107">
        <v>4695</v>
      </c>
      <c r="H1846" s="12">
        <v>45992</v>
      </c>
      <c r="I1846" s="24">
        <v>31516.799999999999</v>
      </c>
      <c r="J1846" s="24">
        <v>29578.52</v>
      </c>
      <c r="K1846" s="3">
        <v>46003</v>
      </c>
      <c r="L1846" s="147">
        <v>46020</v>
      </c>
      <c r="M1846" s="11">
        <v>46020</v>
      </c>
      <c r="N1846" s="1" t="s">
        <v>588</v>
      </c>
      <c r="O1846" s="34">
        <v>0</v>
      </c>
      <c r="P1846"/>
      <c r="Q1846" t="str">
        <f>IFERROR(VLOOKUP(Tabela1[[#This Row],[CC]],CC!$A$1:$H$389,5,0),"")</f>
        <v>ADS</v>
      </c>
      <c r="R1846" t="str">
        <f>IFERROR(VLOOKUP(Tabela1[[#This Row],[CC]],CC!$A$1:$H$389,6,0),"")</f>
        <v>FS</v>
      </c>
      <c r="S1846" t="str">
        <f>IFERROR(VLOOKUP(Tabela1[[#This Row],[CC]],CC!$A$1:$H$403,8,0),"")</f>
        <v>OP1</v>
      </c>
    </row>
    <row r="1847" spans="1:19" x14ac:dyDescent="0.3">
      <c r="A1847" s="8">
        <v>1391</v>
      </c>
      <c r="B1847" s="8" t="str">
        <f>IFERROR(VLOOKUP(Tabela1[[#This Row],[CC]],#REF!,5,0),"")</f>
        <v/>
      </c>
      <c r="C1847" t="str">
        <f>IFERROR(VLOOKUP(Tabela1[[#This Row],[CC]],CC!$A$1:$H$389,7,0),"")</f>
        <v>RITA ANDRADE</v>
      </c>
      <c r="D1847" t="str">
        <f>IFERROR(VLOOKUP(Tabela1[[#This Row],[CC]],CC!$A$1:$I$3869,3,0),"")</f>
        <v>BRADESCO</v>
      </c>
      <c r="E1847" t="str">
        <f>IFERROR(VLOOKUP(Tabela1[[#This Row],[CC]],CC!$A$1:$H$389,2,0),"")</f>
        <v>BRADESCO - DS (1391)</v>
      </c>
      <c r="F1847" t="s">
        <v>586</v>
      </c>
      <c r="G1847" s="107">
        <v>4692</v>
      </c>
      <c r="H1847" s="12">
        <v>45992</v>
      </c>
      <c r="I1847" s="24">
        <v>62712</v>
      </c>
      <c r="J1847" s="24">
        <v>58855.21</v>
      </c>
      <c r="K1847" s="3">
        <v>46003</v>
      </c>
      <c r="L1847" s="147">
        <v>46020</v>
      </c>
      <c r="M1847" s="11">
        <v>46020</v>
      </c>
      <c r="N1847" s="1" t="s">
        <v>588</v>
      </c>
      <c r="O1847" s="34">
        <v>0</v>
      </c>
      <c r="P1847"/>
      <c r="Q1847" t="str">
        <f>IFERROR(VLOOKUP(Tabela1[[#This Row],[CC]],CC!$A$1:$H$389,5,0),"")</f>
        <v>ADS</v>
      </c>
      <c r="R1847" t="str">
        <f>IFERROR(VLOOKUP(Tabela1[[#This Row],[CC]],CC!$A$1:$H$389,6,0),"")</f>
        <v>FS</v>
      </c>
      <c r="S1847" t="str">
        <f>IFERROR(VLOOKUP(Tabela1[[#This Row],[CC]],CC!$A$1:$H$403,8,0),"")</f>
        <v>OP1</v>
      </c>
    </row>
    <row r="1848" spans="1:19" x14ac:dyDescent="0.3">
      <c r="A1848" s="8">
        <v>1391</v>
      </c>
      <c r="B1848" s="8" t="str">
        <f>IFERROR(VLOOKUP(Tabela1[[#This Row],[CC]],#REF!,5,0),"")</f>
        <v/>
      </c>
      <c r="C1848" t="str">
        <f>IFERROR(VLOOKUP(Tabela1[[#This Row],[CC]],CC!$A$1:$H$389,7,0),"")</f>
        <v>RITA ANDRADE</v>
      </c>
      <c r="D1848" t="str">
        <f>IFERROR(VLOOKUP(Tabela1[[#This Row],[CC]],CC!$A$1:$I$3869,3,0),"")</f>
        <v>BRADESCO</v>
      </c>
      <c r="E1848" t="str">
        <f>IFERROR(VLOOKUP(Tabela1[[#This Row],[CC]],CC!$A$1:$H$389,2,0),"")</f>
        <v>BRADESCO - DS (1391)</v>
      </c>
      <c r="F1848" t="s">
        <v>586</v>
      </c>
      <c r="G1848" s="107">
        <v>4698</v>
      </c>
      <c r="H1848" s="12">
        <v>45992</v>
      </c>
      <c r="I1848" s="24">
        <v>39557.699999999997</v>
      </c>
      <c r="J1848" s="24">
        <v>37124.9</v>
      </c>
      <c r="K1848" s="3">
        <v>46006</v>
      </c>
      <c r="L1848" s="147">
        <v>46020</v>
      </c>
      <c r="M1848" s="11">
        <v>46021</v>
      </c>
      <c r="N1848" s="1" t="s">
        <v>588</v>
      </c>
      <c r="O1848" s="34">
        <v>0</v>
      </c>
      <c r="P1848"/>
      <c r="Q1848" t="str">
        <f>IFERROR(VLOOKUP(Tabela1[[#This Row],[CC]],CC!$A$1:$H$389,5,0),"")</f>
        <v>ADS</v>
      </c>
      <c r="R1848" t="str">
        <f>IFERROR(VLOOKUP(Tabela1[[#This Row],[CC]],CC!$A$1:$H$389,6,0),"")</f>
        <v>FS</v>
      </c>
      <c r="S1848" t="str">
        <f>IFERROR(VLOOKUP(Tabela1[[#This Row],[CC]],CC!$A$1:$H$403,8,0),"")</f>
        <v>OP1</v>
      </c>
    </row>
    <row r="1849" spans="1:19" x14ac:dyDescent="0.3">
      <c r="A1849" s="8">
        <v>1391</v>
      </c>
      <c r="B1849" s="8" t="str">
        <f>IFERROR(VLOOKUP(Tabela1[[#This Row],[CC]],#REF!,5,0),"")</f>
        <v/>
      </c>
      <c r="C1849" t="str">
        <f>IFERROR(VLOOKUP(Tabela1[[#This Row],[CC]],CC!$A$1:$H$389,7,0),"")</f>
        <v>RITA ANDRADE</v>
      </c>
      <c r="D1849" t="str">
        <f>IFERROR(VLOOKUP(Tabela1[[#This Row],[CC]],CC!$A$1:$I$3869,3,0),"")</f>
        <v>BRADESCO</v>
      </c>
      <c r="E1849" t="str">
        <f>IFERROR(VLOOKUP(Tabela1[[#This Row],[CC]],CC!$A$1:$H$389,2,0),"")</f>
        <v>BRADESCO - DS (1391)</v>
      </c>
      <c r="F1849" t="s">
        <v>586</v>
      </c>
      <c r="G1849" s="107">
        <v>4699</v>
      </c>
      <c r="H1849" s="12">
        <v>45992</v>
      </c>
      <c r="I1849" s="24">
        <v>11725.44</v>
      </c>
      <c r="J1849" s="24">
        <v>11004.33</v>
      </c>
      <c r="K1849" s="3">
        <v>46006</v>
      </c>
      <c r="L1849" s="147">
        <v>46020</v>
      </c>
      <c r="M1849" s="11">
        <v>46021</v>
      </c>
      <c r="N1849" s="1" t="s">
        <v>588</v>
      </c>
      <c r="O1849" s="34">
        <v>0</v>
      </c>
      <c r="P1849"/>
      <c r="Q1849" t="str">
        <f>IFERROR(VLOOKUP(Tabela1[[#This Row],[CC]],CC!$A$1:$H$389,5,0),"")</f>
        <v>ADS</v>
      </c>
      <c r="R1849" t="str">
        <f>IFERROR(VLOOKUP(Tabela1[[#This Row],[CC]],CC!$A$1:$H$389,6,0),"")</f>
        <v>FS</v>
      </c>
      <c r="S1849" t="str">
        <f>IFERROR(VLOOKUP(Tabela1[[#This Row],[CC]],CC!$A$1:$H$403,8,0),"")</f>
        <v>OP1</v>
      </c>
    </row>
    <row r="1850" spans="1:19" x14ac:dyDescent="0.3">
      <c r="A1850" s="8">
        <v>1391</v>
      </c>
      <c r="B1850" s="8" t="str">
        <f>IFERROR(VLOOKUP(Tabela1[[#This Row],[CC]],#REF!,5,0),"")</f>
        <v/>
      </c>
      <c r="C1850" t="str">
        <f>IFERROR(VLOOKUP(Tabela1[[#This Row],[CC]],CC!$A$1:$H$389,7,0),"")</f>
        <v>RITA ANDRADE</v>
      </c>
      <c r="D1850" t="str">
        <f>IFERROR(VLOOKUP(Tabela1[[#This Row],[CC]],CC!$A$1:$I$3869,3,0),"")</f>
        <v>BRADESCO</v>
      </c>
      <c r="E1850" t="str">
        <f>IFERROR(VLOOKUP(Tabela1[[#This Row],[CC]],CC!$A$1:$H$389,2,0),"")</f>
        <v>BRADESCO - DS (1391)</v>
      </c>
      <c r="F1850" t="s">
        <v>586</v>
      </c>
      <c r="G1850" s="107">
        <v>4702</v>
      </c>
      <c r="H1850" s="12">
        <v>45992</v>
      </c>
      <c r="I1850" s="24">
        <v>22315.81</v>
      </c>
      <c r="J1850" s="24">
        <v>20943.38</v>
      </c>
      <c r="K1850" s="3">
        <v>46006</v>
      </c>
      <c r="L1850" s="147">
        <v>46020</v>
      </c>
      <c r="M1850" s="11">
        <v>46021</v>
      </c>
      <c r="N1850" s="1" t="s">
        <v>588</v>
      </c>
      <c r="O1850" s="34">
        <v>0</v>
      </c>
      <c r="P1850"/>
      <c r="Q1850" t="str">
        <f>IFERROR(VLOOKUP(Tabela1[[#This Row],[CC]],CC!$A$1:$H$389,5,0),"")</f>
        <v>ADS</v>
      </c>
      <c r="R1850" t="str">
        <f>IFERROR(VLOOKUP(Tabela1[[#This Row],[CC]],CC!$A$1:$H$389,6,0),"")</f>
        <v>FS</v>
      </c>
      <c r="S1850" t="str">
        <f>IFERROR(VLOOKUP(Tabela1[[#This Row],[CC]],CC!$A$1:$H$403,8,0),"")</f>
        <v>OP1</v>
      </c>
    </row>
    <row r="1851" spans="1:19" x14ac:dyDescent="0.3">
      <c r="A1851" s="8">
        <v>1391</v>
      </c>
      <c r="B1851" s="8" t="str">
        <f>IFERROR(VLOOKUP(Tabela1[[#This Row],[CC]],#REF!,5,0),"")</f>
        <v/>
      </c>
      <c r="C1851" t="str">
        <f>IFERROR(VLOOKUP(Tabela1[[#This Row],[CC]],CC!$A$1:$H$389,7,0),"")</f>
        <v>RITA ANDRADE</v>
      </c>
      <c r="D1851" t="str">
        <f>IFERROR(VLOOKUP(Tabela1[[#This Row],[CC]],CC!$A$1:$I$3869,3,0),"")</f>
        <v>BRADESCO</v>
      </c>
      <c r="E1851" t="str">
        <f>IFERROR(VLOOKUP(Tabela1[[#This Row],[CC]],CC!$A$1:$H$389,2,0),"")</f>
        <v>BRADESCO - DS (1391)</v>
      </c>
      <c r="F1851" t="s">
        <v>586</v>
      </c>
      <c r="G1851" s="107">
        <v>4722</v>
      </c>
      <c r="H1851" s="12">
        <v>45992</v>
      </c>
      <c r="I1851" s="27">
        <v>4763.46</v>
      </c>
      <c r="J1851" s="24">
        <v>4470.51</v>
      </c>
      <c r="K1851" s="3">
        <v>46030</v>
      </c>
      <c r="L1851" s="147">
        <v>46041</v>
      </c>
      <c r="M1851" s="11">
        <v>46045</v>
      </c>
      <c r="N1851" s="1" t="s">
        <v>588</v>
      </c>
      <c r="O1851" s="34">
        <v>0</v>
      </c>
      <c r="P1851"/>
      <c r="Q1851" t="str">
        <f>IFERROR(VLOOKUP(Tabela1[[#This Row],[CC]],CC!$A$1:$H$389,5,0),"")</f>
        <v>ADS</v>
      </c>
      <c r="R1851" t="str">
        <f>IFERROR(VLOOKUP(Tabela1[[#This Row],[CC]],CC!$A$1:$H$389,6,0),"")</f>
        <v>FS</v>
      </c>
      <c r="S1851" t="str">
        <f>IFERROR(VLOOKUP(Tabela1[[#This Row],[CC]],CC!$A$1:$H$403,8,0),"")</f>
        <v>OP1</v>
      </c>
    </row>
    <row r="1852" spans="1:19" x14ac:dyDescent="0.3">
      <c r="A1852" s="8">
        <v>1391</v>
      </c>
      <c r="B1852" s="8" t="str">
        <f>IFERROR(VLOOKUP(Tabela1[[#This Row],[CC]],#REF!,5,0),"")</f>
        <v/>
      </c>
      <c r="C1852" t="str">
        <f>IFERROR(VLOOKUP(Tabela1[[#This Row],[CC]],CC!$A$1:$H$389,7,0),"")</f>
        <v>RITA ANDRADE</v>
      </c>
      <c r="D1852" t="str">
        <f>IFERROR(VLOOKUP(Tabela1[[#This Row],[CC]],CC!$A$1:$I$3869,3,0),"")</f>
        <v>BRADESCO</v>
      </c>
      <c r="E1852" t="str">
        <f>IFERROR(VLOOKUP(Tabela1[[#This Row],[CC]],CC!$A$1:$H$389,2,0),"")</f>
        <v>BRADESCO - DS (1391)</v>
      </c>
      <c r="F1852" t="s">
        <v>586</v>
      </c>
      <c r="G1852" s="107">
        <v>4725</v>
      </c>
      <c r="H1852" s="12">
        <v>45992</v>
      </c>
      <c r="I1852" s="27">
        <v>70843.8</v>
      </c>
      <c r="J1852" s="27">
        <v>66486.899999999994</v>
      </c>
      <c r="K1852" s="3">
        <v>46031</v>
      </c>
      <c r="L1852" s="147">
        <v>46048</v>
      </c>
      <c r="M1852" s="11">
        <v>46048</v>
      </c>
      <c r="N1852" s="1" t="s">
        <v>588</v>
      </c>
      <c r="O1852" s="34">
        <v>0</v>
      </c>
      <c r="P1852"/>
      <c r="Q1852" t="str">
        <f>IFERROR(VLOOKUP(Tabela1[[#This Row],[CC]],CC!$A$1:$H$389,5,0),"")</f>
        <v>ADS</v>
      </c>
      <c r="R1852" t="str">
        <f>IFERROR(VLOOKUP(Tabela1[[#This Row],[CC]],CC!$A$1:$H$389,6,0),"")</f>
        <v>FS</v>
      </c>
      <c r="S1852" t="str">
        <f>IFERROR(VLOOKUP(Tabela1[[#This Row],[CC]],CC!$A$1:$H$403,8,0),"")</f>
        <v>OP1</v>
      </c>
    </row>
    <row r="1853" spans="1:19" x14ac:dyDescent="0.3">
      <c r="A1853" s="8">
        <v>1391</v>
      </c>
      <c r="B1853" s="8" t="str">
        <f>IFERROR(VLOOKUP(Tabela1[[#This Row],[CC]],#REF!,5,0),"")</f>
        <v/>
      </c>
      <c r="C1853" t="str">
        <f>IFERROR(VLOOKUP(Tabela1[[#This Row],[CC]],CC!$A$1:$H$389,7,0),"")</f>
        <v>RITA ANDRADE</v>
      </c>
      <c r="D1853" t="str">
        <f>IFERROR(VLOOKUP(Tabela1[[#This Row],[CC]],CC!$A$1:$I$3869,3,0),"")</f>
        <v>BRADESCO</v>
      </c>
      <c r="E1853" t="str">
        <f>IFERROR(VLOOKUP(Tabela1[[#This Row],[CC]],CC!$A$1:$H$389,2,0),"")</f>
        <v>BRADESCO - DS (1391)</v>
      </c>
      <c r="F1853" t="s">
        <v>586</v>
      </c>
      <c r="G1853" s="107">
        <v>4726</v>
      </c>
      <c r="H1853" s="12">
        <v>45992</v>
      </c>
      <c r="I1853" s="27">
        <v>52002.720000000001</v>
      </c>
      <c r="J1853" s="27">
        <v>48804.55</v>
      </c>
      <c r="K1853" s="3">
        <v>46031</v>
      </c>
      <c r="L1853" s="147">
        <v>46048</v>
      </c>
      <c r="M1853" s="11">
        <v>46048</v>
      </c>
      <c r="N1853" s="1" t="s">
        <v>588</v>
      </c>
      <c r="O1853" s="34">
        <v>0</v>
      </c>
      <c r="P1853"/>
      <c r="Q1853" t="str">
        <f>IFERROR(VLOOKUP(Tabela1[[#This Row],[CC]],CC!$A$1:$H$389,5,0),"")</f>
        <v>ADS</v>
      </c>
      <c r="R1853" t="str">
        <f>IFERROR(VLOOKUP(Tabela1[[#This Row],[CC]],CC!$A$1:$H$389,6,0),"")</f>
        <v>FS</v>
      </c>
      <c r="S1853" t="str">
        <f>IFERROR(VLOOKUP(Tabela1[[#This Row],[CC]],CC!$A$1:$H$403,8,0),"")</f>
        <v>OP1</v>
      </c>
    </row>
    <row r="1854" spans="1:19" x14ac:dyDescent="0.3">
      <c r="A1854" s="8">
        <v>1391</v>
      </c>
      <c r="B1854" s="8" t="str">
        <f>IFERROR(VLOOKUP(Tabela1[[#This Row],[CC]],#REF!,5,0),"")</f>
        <v/>
      </c>
      <c r="C1854" t="str">
        <f>IFERROR(VLOOKUP(Tabela1[[#This Row],[CC]],CC!$A$1:$H$389,7,0),"")</f>
        <v>RITA ANDRADE</v>
      </c>
      <c r="D1854" t="str">
        <f>IFERROR(VLOOKUP(Tabela1[[#This Row],[CC]],CC!$A$1:$I$3869,3,0),"")</f>
        <v>BRADESCO</v>
      </c>
      <c r="E1854" t="str">
        <f>IFERROR(VLOOKUP(Tabela1[[#This Row],[CC]],CC!$A$1:$H$389,2,0),"")</f>
        <v>BRADESCO - DS (1391)</v>
      </c>
      <c r="F1854" t="s">
        <v>586</v>
      </c>
      <c r="G1854" s="107">
        <v>4727</v>
      </c>
      <c r="H1854" s="12">
        <v>45992</v>
      </c>
      <c r="I1854" s="27">
        <v>62665.2</v>
      </c>
      <c r="J1854" s="27">
        <v>58811.29</v>
      </c>
      <c r="K1854" s="3">
        <v>46031</v>
      </c>
      <c r="L1854" s="147">
        <v>46048</v>
      </c>
      <c r="M1854" s="11">
        <v>46048</v>
      </c>
      <c r="N1854" s="1" t="s">
        <v>588</v>
      </c>
      <c r="O1854" s="34">
        <v>0</v>
      </c>
      <c r="P1854"/>
      <c r="Q1854" t="str">
        <f>IFERROR(VLOOKUP(Tabela1[[#This Row],[CC]],CC!$A$1:$H$389,5,0),"")</f>
        <v>ADS</v>
      </c>
      <c r="R1854" t="str">
        <f>IFERROR(VLOOKUP(Tabela1[[#This Row],[CC]],CC!$A$1:$H$389,6,0),"")</f>
        <v>FS</v>
      </c>
      <c r="S1854" t="str">
        <f>IFERROR(VLOOKUP(Tabela1[[#This Row],[CC]],CC!$A$1:$H$403,8,0),"")</f>
        <v>OP1</v>
      </c>
    </row>
    <row r="1855" spans="1:19" x14ac:dyDescent="0.3">
      <c r="A1855" s="8">
        <v>1391</v>
      </c>
      <c r="B1855" s="8" t="str">
        <f>IFERROR(VLOOKUP(Tabela1[[#This Row],[CC]],#REF!,5,0),"")</f>
        <v/>
      </c>
      <c r="C1855" t="str">
        <f>IFERROR(VLOOKUP(Tabela1[[#This Row],[CC]],CC!$A$1:$H$389,7,0),"")</f>
        <v>RITA ANDRADE</v>
      </c>
      <c r="D1855" t="str">
        <f>IFERROR(VLOOKUP(Tabela1[[#This Row],[CC]],CC!$A$1:$I$3869,3,0),"")</f>
        <v>BRADESCO</v>
      </c>
      <c r="E1855" t="str">
        <f>IFERROR(VLOOKUP(Tabela1[[#This Row],[CC]],CC!$A$1:$H$389,2,0),"")</f>
        <v>BRADESCO - DS (1391)</v>
      </c>
      <c r="F1855" t="s">
        <v>586</v>
      </c>
      <c r="G1855" s="107">
        <v>4728</v>
      </c>
      <c r="H1855" s="12">
        <v>45992</v>
      </c>
      <c r="I1855" s="27">
        <v>94068</v>
      </c>
      <c r="J1855" s="27">
        <v>88282.82</v>
      </c>
      <c r="K1855" s="3">
        <v>46031</v>
      </c>
      <c r="L1855" s="147">
        <v>46048</v>
      </c>
      <c r="M1855" s="11">
        <v>46048</v>
      </c>
      <c r="N1855" s="1" t="s">
        <v>588</v>
      </c>
      <c r="O1855" s="34">
        <v>0</v>
      </c>
      <c r="P1855"/>
      <c r="Q1855" t="str">
        <f>IFERROR(VLOOKUP(Tabela1[[#This Row],[CC]],CC!$A$1:$H$389,5,0),"")</f>
        <v>ADS</v>
      </c>
      <c r="R1855" t="str">
        <f>IFERROR(VLOOKUP(Tabela1[[#This Row],[CC]],CC!$A$1:$H$389,6,0),"")</f>
        <v>FS</v>
      </c>
      <c r="S1855" t="str">
        <f>IFERROR(VLOOKUP(Tabela1[[#This Row],[CC]],CC!$A$1:$H$403,8,0),"")</f>
        <v>OP1</v>
      </c>
    </row>
    <row r="1856" spans="1:19" x14ac:dyDescent="0.3">
      <c r="A1856" s="8">
        <v>1391</v>
      </c>
      <c r="B1856" s="8" t="str">
        <f>IFERROR(VLOOKUP(Tabela1[[#This Row],[CC]],#REF!,5,0),"")</f>
        <v/>
      </c>
      <c r="C1856" t="str">
        <f>IFERROR(VLOOKUP(Tabela1[[#This Row],[CC]],CC!$A$1:$H$389,7,0),"")</f>
        <v>RITA ANDRADE</v>
      </c>
      <c r="D1856" t="str">
        <f>IFERROR(VLOOKUP(Tabela1[[#This Row],[CC]],CC!$A$1:$I$3869,3,0),"")</f>
        <v>BRADESCO</v>
      </c>
      <c r="E1856" t="str">
        <f>IFERROR(VLOOKUP(Tabela1[[#This Row],[CC]],CC!$A$1:$H$389,2,0),"")</f>
        <v>BRADESCO - DS (1391)</v>
      </c>
      <c r="F1856" t="s">
        <v>586</v>
      </c>
      <c r="G1856" s="107">
        <v>4729</v>
      </c>
      <c r="H1856" s="12">
        <v>45992</v>
      </c>
      <c r="I1856" s="27">
        <v>66714.38</v>
      </c>
      <c r="J1856" s="27">
        <v>62611.44</v>
      </c>
      <c r="K1856" s="3">
        <v>46031</v>
      </c>
      <c r="L1856" s="147">
        <v>46048</v>
      </c>
      <c r="M1856" s="11">
        <v>46048</v>
      </c>
      <c r="N1856" s="1" t="s">
        <v>588</v>
      </c>
      <c r="O1856" s="34">
        <v>0</v>
      </c>
      <c r="P1856"/>
      <c r="Q1856" t="str">
        <f>IFERROR(VLOOKUP(Tabela1[[#This Row],[CC]],CC!$A$1:$H$389,5,0),"")</f>
        <v>ADS</v>
      </c>
      <c r="R1856" t="str">
        <f>IFERROR(VLOOKUP(Tabela1[[#This Row],[CC]],CC!$A$1:$H$389,6,0),"")</f>
        <v>FS</v>
      </c>
      <c r="S1856" t="str">
        <f>IFERROR(VLOOKUP(Tabela1[[#This Row],[CC]],CC!$A$1:$H$403,8,0),"")</f>
        <v>OP1</v>
      </c>
    </row>
    <row r="1857" spans="1:19" x14ac:dyDescent="0.3">
      <c r="A1857" s="8">
        <v>1391</v>
      </c>
      <c r="B1857" s="8" t="str">
        <f>IFERROR(VLOOKUP(Tabela1[[#This Row],[CC]],#REF!,5,0),"")</f>
        <v/>
      </c>
      <c r="C1857" t="str">
        <f>IFERROR(VLOOKUP(Tabela1[[#This Row],[CC]],CC!$A$1:$H$389,7,0),"")</f>
        <v>RITA ANDRADE</v>
      </c>
      <c r="D1857" t="str">
        <f>IFERROR(VLOOKUP(Tabela1[[#This Row],[CC]],CC!$A$1:$I$3869,3,0),"")</f>
        <v>BRADESCO</v>
      </c>
      <c r="E1857" t="str">
        <f>IFERROR(VLOOKUP(Tabela1[[#This Row],[CC]],CC!$A$1:$H$389,2,0),"")</f>
        <v>BRADESCO - DS (1391)</v>
      </c>
      <c r="F1857" t="s">
        <v>586</v>
      </c>
      <c r="G1857" s="107">
        <v>4730</v>
      </c>
      <c r="H1857" s="12">
        <v>45992</v>
      </c>
      <c r="I1857" s="27">
        <v>147085.57999999999</v>
      </c>
      <c r="J1857" s="27">
        <v>138039.82</v>
      </c>
      <c r="K1857" s="3">
        <v>46031</v>
      </c>
      <c r="L1857" s="147">
        <v>46048</v>
      </c>
      <c r="M1857" s="11">
        <v>46048</v>
      </c>
      <c r="N1857" s="1" t="s">
        <v>588</v>
      </c>
      <c r="O1857" s="34">
        <v>0</v>
      </c>
      <c r="P1857"/>
      <c r="Q1857" t="str">
        <f>IFERROR(VLOOKUP(Tabela1[[#This Row],[CC]],CC!$A$1:$H$389,5,0),"")</f>
        <v>ADS</v>
      </c>
      <c r="R1857" t="str">
        <f>IFERROR(VLOOKUP(Tabela1[[#This Row],[CC]],CC!$A$1:$H$389,6,0),"")</f>
        <v>FS</v>
      </c>
      <c r="S1857" t="str">
        <f>IFERROR(VLOOKUP(Tabela1[[#This Row],[CC]],CC!$A$1:$H$403,8,0),"")</f>
        <v>OP1</v>
      </c>
    </row>
    <row r="1858" spans="1:19" x14ac:dyDescent="0.3">
      <c r="A1858" s="8">
        <v>1391</v>
      </c>
      <c r="B1858" s="8" t="str">
        <f>IFERROR(VLOOKUP(Tabela1[[#This Row],[CC]],#REF!,5,0),"")</f>
        <v/>
      </c>
      <c r="C1858" t="str">
        <f>IFERROR(VLOOKUP(Tabela1[[#This Row],[CC]],CC!$A$1:$H$389,7,0),"")</f>
        <v>RITA ANDRADE</v>
      </c>
      <c r="D1858" t="str">
        <f>IFERROR(VLOOKUP(Tabela1[[#This Row],[CC]],CC!$A$1:$I$3869,3,0),"")</f>
        <v>BRADESCO</v>
      </c>
      <c r="E1858" t="str">
        <f>IFERROR(VLOOKUP(Tabela1[[#This Row],[CC]],CC!$A$1:$H$389,2,0),"")</f>
        <v>BRADESCO - DS (1391)</v>
      </c>
      <c r="F1858" t="s">
        <v>586</v>
      </c>
      <c r="G1858" s="107">
        <v>4731</v>
      </c>
      <c r="H1858" s="12">
        <v>45992</v>
      </c>
      <c r="I1858" s="27">
        <v>13419.9</v>
      </c>
      <c r="J1858" s="24">
        <v>12594.57</v>
      </c>
      <c r="K1858" s="3">
        <v>46034</v>
      </c>
      <c r="L1858" s="147">
        <v>46048</v>
      </c>
      <c r="M1858" s="11">
        <v>46049</v>
      </c>
      <c r="N1858" s="1" t="s">
        <v>588</v>
      </c>
      <c r="O1858" s="34">
        <v>0</v>
      </c>
      <c r="P1858"/>
      <c r="Q1858" t="str">
        <f>IFERROR(VLOOKUP(Tabela1[[#This Row],[CC]],CC!$A$1:$H$389,5,0),"")</f>
        <v>ADS</v>
      </c>
      <c r="R1858" t="str">
        <f>IFERROR(VLOOKUP(Tabela1[[#This Row],[CC]],CC!$A$1:$H$389,6,0),"")</f>
        <v>FS</v>
      </c>
      <c r="S1858" t="str">
        <f>IFERROR(VLOOKUP(Tabela1[[#This Row],[CC]],CC!$A$1:$H$403,8,0),"")</f>
        <v>OP1</v>
      </c>
    </row>
    <row r="1859" spans="1:19" x14ac:dyDescent="0.3">
      <c r="A1859" s="25">
        <v>1391</v>
      </c>
      <c r="B1859" s="25" t="str">
        <f>IFERROR(VLOOKUP(Tabela1[[#This Row],[CC]],#REF!,5,0),"")</f>
        <v/>
      </c>
      <c r="C1859" t="str">
        <f>IFERROR(VLOOKUP(Tabela1[[#This Row],[CC]],CC!$A$1:$H$389,7,0),"")</f>
        <v>RITA ANDRADE</v>
      </c>
      <c r="D1859" t="str">
        <f>IFERROR(VLOOKUP(Tabela1[[#This Row],[CC]],CC!$A$1:$I$3869,3,0),"")</f>
        <v>BRADESCO</v>
      </c>
      <c r="E1859" t="str">
        <f>IFERROR(VLOOKUP(Tabela1[[#This Row],[CC]],CC!$A$1:$H$389,2,0),"")</f>
        <v>BRADESCO - DS (1391)</v>
      </c>
      <c r="F1859" t="s">
        <v>586</v>
      </c>
      <c r="G1859" s="107">
        <v>4735</v>
      </c>
      <c r="H1859" s="12">
        <v>45992</v>
      </c>
      <c r="I1859" s="27">
        <v>737764.07</v>
      </c>
      <c r="J1859" s="27">
        <v>692391.58</v>
      </c>
      <c r="K1859" s="3">
        <v>46035</v>
      </c>
      <c r="L1859" s="147">
        <v>46048</v>
      </c>
      <c r="M1859" s="11">
        <v>46050</v>
      </c>
      <c r="N1859" s="1" t="s">
        <v>588</v>
      </c>
      <c r="O1859" s="34">
        <v>0</v>
      </c>
      <c r="P1859"/>
      <c r="Q1859" t="str">
        <f>IFERROR(VLOOKUP(Tabela1[[#This Row],[CC]],CC!$A$1:$H$389,5,0),"")</f>
        <v>ADS</v>
      </c>
      <c r="R1859" t="str">
        <f>IFERROR(VLOOKUP(Tabela1[[#This Row],[CC]],CC!$A$1:$H$389,6,0),"")</f>
        <v>FS</v>
      </c>
      <c r="S1859" t="str">
        <f>IFERROR(VLOOKUP(Tabela1[[#This Row],[CC]],CC!$A$1:$H$403,8,0),"")</f>
        <v>OP1</v>
      </c>
    </row>
    <row r="1860" spans="1:19" x14ac:dyDescent="0.3">
      <c r="A1860" s="25">
        <v>1391</v>
      </c>
      <c r="B1860" s="25" t="str">
        <f>IFERROR(VLOOKUP(Tabela1[[#This Row],[CC]],#REF!,5,0),"")</f>
        <v/>
      </c>
      <c r="C1860" t="str">
        <f>IFERROR(VLOOKUP(Tabela1[[#This Row],[CC]],CC!$A$1:$H$389,7,0),"")</f>
        <v>RITA ANDRADE</v>
      </c>
      <c r="D1860" t="str">
        <f>IFERROR(VLOOKUP(Tabela1[[#This Row],[CC]],CC!$A$1:$I$3869,3,0),"")</f>
        <v>BRADESCO</v>
      </c>
      <c r="E1860" t="str">
        <f>IFERROR(VLOOKUP(Tabela1[[#This Row],[CC]],CC!$A$1:$H$389,2,0),"")</f>
        <v>BRADESCO - DS (1391)</v>
      </c>
      <c r="F1860" t="s">
        <v>586</v>
      </c>
      <c r="G1860" s="107">
        <v>4742</v>
      </c>
      <c r="H1860" s="12">
        <v>45992</v>
      </c>
      <c r="I1860" s="27">
        <v>54637.83</v>
      </c>
      <c r="J1860" s="27">
        <v>51277.599999999999</v>
      </c>
      <c r="K1860" s="3">
        <v>46037</v>
      </c>
      <c r="L1860" s="147">
        <v>46048</v>
      </c>
      <c r="M1860" s="11">
        <v>46052</v>
      </c>
      <c r="N1860" s="1" t="s">
        <v>588</v>
      </c>
      <c r="O1860" s="34">
        <v>0</v>
      </c>
      <c r="P1860"/>
      <c r="Q1860" t="str">
        <f>IFERROR(VLOOKUP(Tabela1[[#This Row],[CC]],CC!$A$1:$H$389,5,0),"")</f>
        <v>ADS</v>
      </c>
      <c r="R1860" t="str">
        <f>IFERROR(VLOOKUP(Tabela1[[#This Row],[CC]],CC!$A$1:$H$389,6,0),"")</f>
        <v>FS</v>
      </c>
      <c r="S1860" t="str">
        <f>IFERROR(VLOOKUP(Tabela1[[#This Row],[CC]],CC!$A$1:$H$403,8,0),"")</f>
        <v>OP1</v>
      </c>
    </row>
    <row r="1861" spans="1:19" x14ac:dyDescent="0.3">
      <c r="A1861" s="8">
        <v>1391</v>
      </c>
      <c r="B1861" s="8" t="str">
        <f>IFERROR(VLOOKUP(Tabela1[[#This Row],[CC]],#REF!,5,0),"")</f>
        <v/>
      </c>
      <c r="C1861" t="str">
        <f>IFERROR(VLOOKUP(Tabela1[[#This Row],[CC]],CC!$A$1:$H$389,7,0),"")</f>
        <v>RITA ANDRADE</v>
      </c>
      <c r="D1861" t="str">
        <f>IFERROR(VLOOKUP(Tabela1[[#This Row],[CC]],CC!$A$1:$I$3869,3,0),"")</f>
        <v>BRADESCO</v>
      </c>
      <c r="E1861" t="str">
        <f>IFERROR(VLOOKUP(Tabela1[[#This Row],[CC]],CC!$A$1:$H$389,2,0),"")</f>
        <v>BRADESCO - DS (1391)</v>
      </c>
      <c r="F1861" t="s">
        <v>586</v>
      </c>
      <c r="G1861" s="107">
        <v>4821</v>
      </c>
      <c r="H1861" s="12">
        <v>46023</v>
      </c>
      <c r="I1861" s="27">
        <v>111608.67</v>
      </c>
      <c r="J1861" s="24">
        <v>104744.74</v>
      </c>
      <c r="K1861" s="3">
        <v>46059</v>
      </c>
      <c r="L1861" s="147">
        <v>46076</v>
      </c>
      <c r="M1861" s="11">
        <v>46076</v>
      </c>
      <c r="N1861" s="1" t="s">
        <v>588</v>
      </c>
      <c r="O1861" s="34">
        <v>0</v>
      </c>
      <c r="P1861"/>
      <c r="Q1861" t="str">
        <f>IFERROR(VLOOKUP(Tabela1[[#This Row],[CC]],CC!$A$1:$H$389,5,0),"")</f>
        <v>ADS</v>
      </c>
      <c r="R1861" t="str">
        <f>IFERROR(VLOOKUP(Tabela1[[#This Row],[CC]],CC!$A$1:$H$389,6,0),"")</f>
        <v>FS</v>
      </c>
      <c r="S1861" t="str">
        <f>IFERROR(VLOOKUP(Tabela1[[#This Row],[CC]],CC!$A$1:$H$403,8,0),"")</f>
        <v>OP1</v>
      </c>
    </row>
    <row r="1862" spans="1:19" x14ac:dyDescent="0.3">
      <c r="A1862" s="8">
        <v>1391</v>
      </c>
      <c r="B1862" s="8" t="str">
        <f>IFERROR(VLOOKUP(Tabela1[[#This Row],[CC]],#REF!,5,0),"")</f>
        <v/>
      </c>
      <c r="C1862" t="str">
        <f>IFERROR(VLOOKUP(Tabela1[[#This Row],[CC]],CC!$A$1:$H$389,7,0),"")</f>
        <v>RITA ANDRADE</v>
      </c>
      <c r="D1862" t="str">
        <f>IFERROR(VLOOKUP(Tabela1[[#This Row],[CC]],CC!$A$1:$I$3869,3,0),"")</f>
        <v>BRADESCO</v>
      </c>
      <c r="E1862" t="str">
        <f>IFERROR(VLOOKUP(Tabela1[[#This Row],[CC]],CC!$A$1:$H$389,2,0),"")</f>
        <v>BRADESCO - DS (1391)</v>
      </c>
      <c r="F1862" t="s">
        <v>586</v>
      </c>
      <c r="G1862" s="107">
        <v>4822</v>
      </c>
      <c r="H1862" s="12">
        <v>46023</v>
      </c>
      <c r="I1862" s="27">
        <v>104824.68</v>
      </c>
      <c r="J1862" s="24">
        <v>98377.96</v>
      </c>
      <c r="K1862" s="3">
        <v>46059</v>
      </c>
      <c r="L1862" s="147">
        <v>46076</v>
      </c>
      <c r="M1862" s="11">
        <v>46076</v>
      </c>
      <c r="N1862" s="1" t="s">
        <v>588</v>
      </c>
      <c r="O1862" s="34">
        <v>0</v>
      </c>
      <c r="P1862"/>
      <c r="Q1862" t="str">
        <f>IFERROR(VLOOKUP(Tabela1[[#This Row],[CC]],CC!$A$1:$H$389,5,0),"")</f>
        <v>ADS</v>
      </c>
      <c r="R1862" t="str">
        <f>IFERROR(VLOOKUP(Tabela1[[#This Row],[CC]],CC!$A$1:$H$389,6,0),"")</f>
        <v>FS</v>
      </c>
      <c r="S1862" t="str">
        <f>IFERROR(VLOOKUP(Tabela1[[#This Row],[CC]],CC!$A$1:$H$403,8,0),"")</f>
        <v>OP1</v>
      </c>
    </row>
    <row r="1863" spans="1:19" x14ac:dyDescent="0.3">
      <c r="A1863" s="8">
        <v>1391</v>
      </c>
      <c r="B1863" s="8" t="str">
        <f>IFERROR(VLOOKUP(Tabela1[[#This Row],[CC]],#REF!,5,0),"")</f>
        <v/>
      </c>
      <c r="C1863" t="str">
        <f>IFERROR(VLOOKUP(Tabela1[[#This Row],[CC]],CC!$A$1:$H$389,7,0),"")</f>
        <v>RITA ANDRADE</v>
      </c>
      <c r="D1863" t="str">
        <f>IFERROR(VLOOKUP(Tabela1[[#This Row],[CC]],CC!$A$1:$I$3869,3,0),"")</f>
        <v>BRADESCO</v>
      </c>
      <c r="E1863" t="str">
        <f>IFERROR(VLOOKUP(Tabela1[[#This Row],[CC]],CC!$A$1:$H$389,2,0),"")</f>
        <v>BRADESCO - DS (1391)</v>
      </c>
      <c r="F1863" t="s">
        <v>586</v>
      </c>
      <c r="G1863" s="107">
        <v>4824</v>
      </c>
      <c r="H1863" s="12">
        <v>46023</v>
      </c>
      <c r="I1863" s="27">
        <v>103446.52</v>
      </c>
      <c r="J1863" s="27">
        <v>97084.56</v>
      </c>
      <c r="K1863" s="3">
        <v>46062</v>
      </c>
      <c r="L1863" s="147">
        <v>46076</v>
      </c>
      <c r="M1863" s="11">
        <v>46077</v>
      </c>
      <c r="N1863" s="1" t="s">
        <v>588</v>
      </c>
      <c r="O1863" s="34">
        <v>0</v>
      </c>
      <c r="P1863"/>
      <c r="Q1863" t="str">
        <f>IFERROR(VLOOKUP(Tabela1[[#This Row],[CC]],CC!$A$1:$H$389,5,0),"")</f>
        <v>ADS</v>
      </c>
      <c r="R1863" t="str">
        <f>IFERROR(VLOOKUP(Tabela1[[#This Row],[CC]],CC!$A$1:$H$389,6,0),"")</f>
        <v>FS</v>
      </c>
      <c r="S1863" t="str">
        <f>IFERROR(VLOOKUP(Tabela1[[#This Row],[CC]],CC!$A$1:$H$403,8,0),"")</f>
        <v>OP1</v>
      </c>
    </row>
    <row r="1864" spans="1:19" x14ac:dyDescent="0.3">
      <c r="A1864" s="8">
        <v>1391</v>
      </c>
      <c r="B1864" s="8" t="str">
        <f>IFERROR(VLOOKUP(Tabela1[[#This Row],[CC]],#REF!,5,0),"")</f>
        <v/>
      </c>
      <c r="C1864" t="str">
        <f>IFERROR(VLOOKUP(Tabela1[[#This Row],[CC]],CC!$A$1:$H$389,7,0),"")</f>
        <v>RITA ANDRADE</v>
      </c>
      <c r="D1864" t="str">
        <f>IFERROR(VLOOKUP(Tabela1[[#This Row],[CC]],CC!$A$1:$I$3869,3,0),"")</f>
        <v>BRADESCO</v>
      </c>
      <c r="E1864" t="str">
        <f>IFERROR(VLOOKUP(Tabela1[[#This Row],[CC]],CC!$A$1:$H$389,2,0),"")</f>
        <v>BRADESCO - DS (1391)</v>
      </c>
      <c r="F1864" t="s">
        <v>586</v>
      </c>
      <c r="G1864" s="107">
        <v>4825</v>
      </c>
      <c r="H1864" s="12">
        <v>46023</v>
      </c>
      <c r="I1864" s="27">
        <v>127775.7</v>
      </c>
      <c r="J1864" s="27">
        <v>119917.49</v>
      </c>
      <c r="K1864" s="3">
        <v>46062</v>
      </c>
      <c r="L1864" s="147">
        <v>46076</v>
      </c>
      <c r="M1864" s="11">
        <v>46077</v>
      </c>
      <c r="N1864" s="1" t="s">
        <v>588</v>
      </c>
      <c r="O1864" s="34">
        <v>0</v>
      </c>
      <c r="P1864"/>
      <c r="Q1864" t="str">
        <f>IFERROR(VLOOKUP(Tabela1[[#This Row],[CC]],CC!$A$1:$H$389,5,0),"")</f>
        <v>ADS</v>
      </c>
      <c r="R1864" t="str">
        <f>IFERROR(VLOOKUP(Tabela1[[#This Row],[CC]],CC!$A$1:$H$389,6,0),"")</f>
        <v>FS</v>
      </c>
      <c r="S1864" t="str">
        <f>IFERROR(VLOOKUP(Tabela1[[#This Row],[CC]],CC!$A$1:$H$403,8,0),"")</f>
        <v>OP1</v>
      </c>
    </row>
    <row r="1865" spans="1:19" x14ac:dyDescent="0.3">
      <c r="A1865" s="8">
        <v>1391</v>
      </c>
      <c r="B1865" s="8" t="str">
        <f>IFERROR(VLOOKUP(Tabela1[[#This Row],[CC]],#REF!,5,0),"")</f>
        <v/>
      </c>
      <c r="C1865" t="str">
        <f>IFERROR(VLOOKUP(Tabela1[[#This Row],[CC]],CC!$A$1:$H$389,7,0),"")</f>
        <v>RITA ANDRADE</v>
      </c>
      <c r="D1865" t="str">
        <f>IFERROR(VLOOKUP(Tabela1[[#This Row],[CC]],CC!$A$1:$I$3869,3,0),"")</f>
        <v>BRADESCO</v>
      </c>
      <c r="E1865" t="str">
        <f>IFERROR(VLOOKUP(Tabela1[[#This Row],[CC]],CC!$A$1:$H$389,2,0),"")</f>
        <v>BRADESCO - DS (1391)</v>
      </c>
      <c r="F1865" t="s">
        <v>586</v>
      </c>
      <c r="G1865" s="107">
        <v>4838</v>
      </c>
      <c r="H1865" s="12">
        <v>46023</v>
      </c>
      <c r="I1865" s="24">
        <v>88641</v>
      </c>
      <c r="J1865" s="27">
        <v>83189.570000000007</v>
      </c>
      <c r="K1865" s="3">
        <v>46064</v>
      </c>
      <c r="L1865" s="147">
        <v>46076</v>
      </c>
      <c r="M1865" s="11">
        <v>46079</v>
      </c>
      <c r="N1865" s="1" t="s">
        <v>588</v>
      </c>
      <c r="O1865" s="34">
        <v>0</v>
      </c>
      <c r="P1865"/>
      <c r="Q1865" t="str">
        <f>IFERROR(VLOOKUP(Tabela1[[#This Row],[CC]],CC!$A$1:$H$389,5,0),"")</f>
        <v>ADS</v>
      </c>
      <c r="R1865" t="str">
        <f>IFERROR(VLOOKUP(Tabela1[[#This Row],[CC]],CC!$A$1:$H$389,6,0),"")</f>
        <v>FS</v>
      </c>
      <c r="S1865" t="str">
        <f>IFERROR(VLOOKUP(Tabela1[[#This Row],[CC]],CC!$A$1:$H$403,8,0),"")</f>
        <v>OP1</v>
      </c>
    </row>
    <row r="1866" spans="1:19" x14ac:dyDescent="0.3">
      <c r="A1866" s="8">
        <v>1391</v>
      </c>
      <c r="B1866" s="8" t="str">
        <f>IFERROR(VLOOKUP(Tabela1[[#This Row],[CC]],#REF!,5,0),"")</f>
        <v/>
      </c>
      <c r="C1866" t="str">
        <f>IFERROR(VLOOKUP(Tabela1[[#This Row],[CC]],CC!$A$1:$H$389,7,0),"")</f>
        <v>RITA ANDRADE</v>
      </c>
      <c r="D1866" t="str">
        <f>IFERROR(VLOOKUP(Tabela1[[#This Row],[CC]],CC!$A$1:$I$3869,3,0),"")</f>
        <v>BRADESCO</v>
      </c>
      <c r="E1866" t="str">
        <f>IFERROR(VLOOKUP(Tabela1[[#This Row],[CC]],CC!$A$1:$H$389,2,0),"")</f>
        <v>BRADESCO - DS (1391)</v>
      </c>
      <c r="F1866" t="s">
        <v>586</v>
      </c>
      <c r="G1866" s="107">
        <v>4839</v>
      </c>
      <c r="H1866" s="12">
        <v>46023</v>
      </c>
      <c r="I1866" s="24">
        <v>30466.799999999999</v>
      </c>
      <c r="J1866" s="27">
        <v>28593.09</v>
      </c>
      <c r="K1866" s="3">
        <v>46064</v>
      </c>
      <c r="L1866" s="147">
        <v>46076</v>
      </c>
      <c r="M1866" s="11">
        <v>46079</v>
      </c>
      <c r="N1866" s="1" t="s">
        <v>588</v>
      </c>
      <c r="O1866" s="34">
        <v>0</v>
      </c>
      <c r="P1866"/>
      <c r="Q1866" t="str">
        <f>IFERROR(VLOOKUP(Tabela1[[#This Row],[CC]],CC!$A$1:$H$389,5,0),"")</f>
        <v>ADS</v>
      </c>
      <c r="R1866" t="str">
        <f>IFERROR(VLOOKUP(Tabela1[[#This Row],[CC]],CC!$A$1:$H$389,6,0),"")</f>
        <v>FS</v>
      </c>
      <c r="S1866" t="str">
        <f>IFERROR(VLOOKUP(Tabela1[[#This Row],[CC]],CC!$A$1:$H$403,8,0),"")</f>
        <v>OP1</v>
      </c>
    </row>
    <row r="1867" spans="1:19" x14ac:dyDescent="0.3">
      <c r="A1867" s="8">
        <v>1391</v>
      </c>
      <c r="B1867" s="8" t="str">
        <f>IFERROR(VLOOKUP(Tabela1[[#This Row],[CC]],#REF!,5,0),"")</f>
        <v/>
      </c>
      <c r="C1867" t="str">
        <f>IFERROR(VLOOKUP(Tabela1[[#This Row],[CC]],CC!$A$1:$H$389,7,0),"")</f>
        <v>RITA ANDRADE</v>
      </c>
      <c r="D1867" t="str">
        <f>IFERROR(VLOOKUP(Tabela1[[#This Row],[CC]],CC!$A$1:$I$3869,3,0),"")</f>
        <v>BRADESCO</v>
      </c>
      <c r="E1867" t="str">
        <f>IFERROR(VLOOKUP(Tabela1[[#This Row],[CC]],CC!$A$1:$H$389,2,0),"")</f>
        <v>BRADESCO - DS (1391)</v>
      </c>
      <c r="F1867" t="s">
        <v>586</v>
      </c>
      <c r="G1867" s="107">
        <v>4840</v>
      </c>
      <c r="H1867" s="12">
        <v>46023</v>
      </c>
      <c r="I1867" s="24">
        <v>99941.4</v>
      </c>
      <c r="J1867" s="27">
        <v>93795</v>
      </c>
      <c r="K1867" s="3">
        <v>46064</v>
      </c>
      <c r="L1867" s="147">
        <v>46076</v>
      </c>
      <c r="M1867" s="11">
        <v>46079</v>
      </c>
      <c r="N1867" s="1" t="s">
        <v>588</v>
      </c>
      <c r="O1867" s="34">
        <v>0</v>
      </c>
      <c r="P1867"/>
      <c r="Q1867" t="str">
        <f>IFERROR(VLOOKUP(Tabela1[[#This Row],[CC]],CC!$A$1:$H$389,5,0),"")</f>
        <v>ADS</v>
      </c>
      <c r="R1867" t="str">
        <f>IFERROR(VLOOKUP(Tabela1[[#This Row],[CC]],CC!$A$1:$H$389,6,0),"")</f>
        <v>FS</v>
      </c>
      <c r="S1867" t="str">
        <f>IFERROR(VLOOKUP(Tabela1[[#This Row],[CC]],CC!$A$1:$H$403,8,0),"")</f>
        <v>OP1</v>
      </c>
    </row>
    <row r="1868" spans="1:19" x14ac:dyDescent="0.3">
      <c r="A1868" s="8">
        <v>1391</v>
      </c>
      <c r="B1868" s="8" t="str">
        <f>IFERROR(VLOOKUP(Tabela1[[#This Row],[CC]],#REF!,5,0),"")</f>
        <v/>
      </c>
      <c r="C1868" t="str">
        <f>IFERROR(VLOOKUP(Tabela1[[#This Row],[CC]],CC!$A$1:$H$389,7,0),"")</f>
        <v>RITA ANDRADE</v>
      </c>
      <c r="D1868" t="str">
        <f>IFERROR(VLOOKUP(Tabela1[[#This Row],[CC]],CC!$A$1:$I$3869,3,0),"")</f>
        <v>BRADESCO</v>
      </c>
      <c r="E1868" t="str">
        <f>IFERROR(VLOOKUP(Tabela1[[#This Row],[CC]],CC!$A$1:$H$389,2,0),"")</f>
        <v>BRADESCO - DS (1391)</v>
      </c>
      <c r="F1868" t="s">
        <v>586</v>
      </c>
      <c r="G1868" s="107">
        <v>4847</v>
      </c>
      <c r="H1868" s="12">
        <v>46023</v>
      </c>
      <c r="I1868" s="24">
        <v>127039.23</v>
      </c>
      <c r="J1868" s="24">
        <v>119226.32</v>
      </c>
      <c r="K1868" s="3">
        <v>46065</v>
      </c>
      <c r="L1868" s="147">
        <v>46076</v>
      </c>
      <c r="M1868" s="11">
        <v>46080</v>
      </c>
      <c r="N1868" s="1" t="s">
        <v>588</v>
      </c>
      <c r="O1868" s="34">
        <v>0</v>
      </c>
      <c r="P1868"/>
      <c r="Q1868" t="str">
        <f>IFERROR(VLOOKUP(Tabela1[[#This Row],[CC]],CC!$A$1:$H$389,5,0),"")</f>
        <v>ADS</v>
      </c>
      <c r="R1868" t="str">
        <f>IFERROR(VLOOKUP(Tabela1[[#This Row],[CC]],CC!$A$1:$H$389,6,0),"")</f>
        <v>FS</v>
      </c>
      <c r="S1868" t="str">
        <f>IFERROR(VLOOKUP(Tabela1[[#This Row],[CC]],CC!$A$1:$H$403,8,0),"")</f>
        <v>OP1</v>
      </c>
    </row>
    <row r="1869" spans="1:19" x14ac:dyDescent="0.3">
      <c r="A1869" s="8">
        <v>1391</v>
      </c>
      <c r="B1869" s="8" t="str">
        <f>IFERROR(VLOOKUP(Tabela1[[#This Row],[CC]],#REF!,5,0),"")</f>
        <v/>
      </c>
      <c r="C1869" t="str">
        <f>IFERROR(VLOOKUP(Tabela1[[#This Row],[CC]],CC!$A$1:$H$389,7,0),"")</f>
        <v>RITA ANDRADE</v>
      </c>
      <c r="D1869" t="str">
        <f>IFERROR(VLOOKUP(Tabela1[[#This Row],[CC]],CC!$A$1:$I$3869,3,0),"")</f>
        <v>BRADESCO</v>
      </c>
      <c r="E1869" t="str">
        <f>IFERROR(VLOOKUP(Tabela1[[#This Row],[CC]],CC!$A$1:$H$389,2,0),"")</f>
        <v>BRADESCO - DS (1391)</v>
      </c>
      <c r="F1869" t="s">
        <v>586</v>
      </c>
      <c r="G1869" s="107">
        <v>4848</v>
      </c>
      <c r="H1869" s="12">
        <v>46023</v>
      </c>
      <c r="I1869" s="24">
        <v>117708.05</v>
      </c>
      <c r="J1869" s="24">
        <v>110469.01</v>
      </c>
      <c r="K1869" s="3">
        <v>46065</v>
      </c>
      <c r="L1869" s="147">
        <v>46076</v>
      </c>
      <c r="M1869" s="11">
        <v>46080</v>
      </c>
      <c r="N1869" s="1" t="s">
        <v>588</v>
      </c>
      <c r="O1869" s="34">
        <v>0</v>
      </c>
      <c r="P1869"/>
      <c r="Q1869" t="str">
        <f>IFERROR(VLOOKUP(Tabela1[[#This Row],[CC]],CC!$A$1:$H$389,5,0),"")</f>
        <v>ADS</v>
      </c>
      <c r="R1869" t="str">
        <f>IFERROR(VLOOKUP(Tabela1[[#This Row],[CC]],CC!$A$1:$H$389,6,0),"")</f>
        <v>FS</v>
      </c>
      <c r="S1869" t="str">
        <f>IFERROR(VLOOKUP(Tabela1[[#This Row],[CC]],CC!$A$1:$H$403,8,0),"")</f>
        <v>OP1</v>
      </c>
    </row>
    <row r="1870" spans="1:19" x14ac:dyDescent="0.3">
      <c r="A1870" s="8">
        <v>1391</v>
      </c>
      <c r="B1870" s="8" t="str">
        <f>IFERROR(VLOOKUP(Tabela1[[#This Row],[CC]],#REF!,5,0),"")</f>
        <v/>
      </c>
      <c r="C1870" t="str">
        <f>IFERROR(VLOOKUP(Tabela1[[#This Row],[CC]],CC!$A$1:$H$389,7,0),"")</f>
        <v>RITA ANDRADE</v>
      </c>
      <c r="D1870" t="str">
        <f>IFERROR(VLOOKUP(Tabela1[[#This Row],[CC]],CC!$A$1:$I$3869,3,0),"")</f>
        <v>BRADESCO</v>
      </c>
      <c r="E1870" t="str">
        <f>IFERROR(VLOOKUP(Tabela1[[#This Row],[CC]],CC!$A$1:$H$389,2,0),"")</f>
        <v>BRADESCO - DS (1391)</v>
      </c>
      <c r="F1870" t="s">
        <v>586</v>
      </c>
      <c r="G1870" s="107">
        <v>4913</v>
      </c>
      <c r="H1870" s="12">
        <v>46054</v>
      </c>
      <c r="I1870" s="27">
        <v>70352.100000000006</v>
      </c>
      <c r="J1870" s="27">
        <v>66025.45</v>
      </c>
      <c r="K1870" s="3">
        <v>46090</v>
      </c>
      <c r="L1870" s="147">
        <v>46104</v>
      </c>
      <c r="M1870" s="11">
        <v>46105</v>
      </c>
      <c r="N1870" s="1" t="s">
        <v>588</v>
      </c>
      <c r="O1870" s="34">
        <v>0</v>
      </c>
      <c r="P1870"/>
      <c r="Q1870" t="str">
        <f>IFERROR(VLOOKUP(Tabela1[[#This Row],[CC]],CC!$A$1:$H$389,5,0),"")</f>
        <v>ADS</v>
      </c>
      <c r="R1870" t="str">
        <f>IFERROR(VLOOKUP(Tabela1[[#This Row],[CC]],CC!$A$1:$H$389,6,0),"")</f>
        <v>FS</v>
      </c>
      <c r="S1870" t="str">
        <f>IFERROR(VLOOKUP(Tabela1[[#This Row],[CC]],CC!$A$1:$H$403,8,0),"")</f>
        <v>OP1</v>
      </c>
    </row>
    <row r="1871" spans="1:19" x14ac:dyDescent="0.3">
      <c r="A1871" s="8">
        <v>1391</v>
      </c>
      <c r="B1871" s="8" t="str">
        <f>IFERROR(VLOOKUP(Tabela1[[#This Row],[CC]],#REF!,5,0),"")</f>
        <v/>
      </c>
      <c r="C1871" t="str">
        <f>IFERROR(VLOOKUP(Tabela1[[#This Row],[CC]],CC!$A$1:$H$389,7,0),"")</f>
        <v>RITA ANDRADE</v>
      </c>
      <c r="D1871" t="str">
        <f>IFERROR(VLOOKUP(Tabela1[[#This Row],[CC]],CC!$A$1:$I$3869,3,0),"")</f>
        <v>BRADESCO</v>
      </c>
      <c r="E1871" t="str">
        <f>IFERROR(VLOOKUP(Tabela1[[#This Row],[CC]],CC!$A$1:$H$389,2,0),"")</f>
        <v>BRADESCO - DS (1391)</v>
      </c>
      <c r="F1871" t="s">
        <v>586</v>
      </c>
      <c r="G1871" s="107">
        <v>4914</v>
      </c>
      <c r="H1871" s="12">
        <v>46054</v>
      </c>
      <c r="I1871" s="27">
        <v>121700.48</v>
      </c>
      <c r="J1871" s="27">
        <v>114215.9</v>
      </c>
      <c r="K1871" s="3">
        <v>46090</v>
      </c>
      <c r="L1871" s="147">
        <v>46104</v>
      </c>
      <c r="M1871" s="11">
        <v>46105</v>
      </c>
      <c r="N1871" s="1" t="s">
        <v>588</v>
      </c>
      <c r="O1871" s="34">
        <v>0</v>
      </c>
      <c r="P1871"/>
      <c r="Q1871" t="str">
        <f>IFERROR(VLOOKUP(Tabela1[[#This Row],[CC]],CC!$A$1:$H$389,5,0),"")</f>
        <v>ADS</v>
      </c>
      <c r="R1871" t="str">
        <f>IFERROR(VLOOKUP(Tabela1[[#This Row],[CC]],CC!$A$1:$H$389,6,0),"")</f>
        <v>FS</v>
      </c>
      <c r="S1871" t="str">
        <f>IFERROR(VLOOKUP(Tabela1[[#This Row],[CC]],CC!$A$1:$H$403,8,0),"")</f>
        <v>OP1</v>
      </c>
    </row>
    <row r="1872" spans="1:19" x14ac:dyDescent="0.3">
      <c r="A1872" s="8">
        <v>1391</v>
      </c>
      <c r="B1872" s="8" t="str">
        <f>IFERROR(VLOOKUP(Tabela1[[#This Row],[CC]],#REF!,5,0),"")</f>
        <v/>
      </c>
      <c r="C1872" t="str">
        <f>IFERROR(VLOOKUP(Tabela1[[#This Row],[CC]],CC!$A$1:$H$389,7,0),"")</f>
        <v>RITA ANDRADE</v>
      </c>
      <c r="D1872" t="str">
        <f>IFERROR(VLOOKUP(Tabela1[[#This Row],[CC]],CC!$A$1:$I$3869,3,0),"")</f>
        <v>BRADESCO</v>
      </c>
      <c r="E1872" t="str">
        <f>IFERROR(VLOOKUP(Tabela1[[#This Row],[CC]],CC!$A$1:$H$389,2,0),"")</f>
        <v>BRADESCO - DS (1391)</v>
      </c>
      <c r="F1872" t="s">
        <v>586</v>
      </c>
      <c r="G1872" s="107">
        <v>4915</v>
      </c>
      <c r="H1872" s="12">
        <v>46054</v>
      </c>
      <c r="I1872" s="27">
        <v>25751.7</v>
      </c>
      <c r="J1872" s="27">
        <v>24167.97</v>
      </c>
      <c r="K1872" s="3">
        <v>46090</v>
      </c>
      <c r="L1872" s="147">
        <v>46104</v>
      </c>
      <c r="M1872" s="11">
        <v>46105</v>
      </c>
      <c r="N1872" s="1" t="s">
        <v>588</v>
      </c>
      <c r="O1872" s="34">
        <v>0</v>
      </c>
      <c r="P1872"/>
      <c r="Q1872" t="str">
        <f>IFERROR(VLOOKUP(Tabela1[[#This Row],[CC]],CC!$A$1:$H$389,5,0),"")</f>
        <v>ADS</v>
      </c>
      <c r="R1872" t="str">
        <f>IFERROR(VLOOKUP(Tabela1[[#This Row],[CC]],CC!$A$1:$H$389,6,0),"")</f>
        <v>FS</v>
      </c>
      <c r="S1872" t="str">
        <f>IFERROR(VLOOKUP(Tabela1[[#This Row],[CC]],CC!$A$1:$H$403,8,0),"")</f>
        <v>OP1</v>
      </c>
    </row>
    <row r="1873" spans="1:19" x14ac:dyDescent="0.3">
      <c r="A1873" s="8">
        <v>1391</v>
      </c>
      <c r="B1873" s="8" t="str">
        <f>IFERROR(VLOOKUP(Tabela1[[#This Row],[CC]],#REF!,5,0),"")</f>
        <v/>
      </c>
      <c r="C1873" t="str">
        <f>IFERROR(VLOOKUP(Tabela1[[#This Row],[CC]],CC!$A$1:$H$389,7,0),"")</f>
        <v>RITA ANDRADE</v>
      </c>
      <c r="D1873" t="str">
        <f>IFERROR(VLOOKUP(Tabela1[[#This Row],[CC]],CC!$A$1:$I$3869,3,0),"")</f>
        <v>BRADESCO</v>
      </c>
      <c r="E1873" t="str">
        <f>IFERROR(VLOOKUP(Tabela1[[#This Row],[CC]],CC!$A$1:$H$389,2,0),"")</f>
        <v>BRADESCO - DS (1391)</v>
      </c>
      <c r="F1873" t="s">
        <v>586</v>
      </c>
      <c r="G1873" s="107">
        <v>4916</v>
      </c>
      <c r="H1873" s="12">
        <v>46054</v>
      </c>
      <c r="I1873" s="27">
        <v>104702.32</v>
      </c>
      <c r="J1873" s="27">
        <v>98263.13</v>
      </c>
      <c r="K1873" s="3">
        <v>46090</v>
      </c>
      <c r="L1873" s="147">
        <v>46104</v>
      </c>
      <c r="M1873" s="11">
        <v>46105</v>
      </c>
      <c r="N1873" s="1" t="s">
        <v>588</v>
      </c>
      <c r="O1873" s="34">
        <v>0</v>
      </c>
      <c r="P1873"/>
      <c r="Q1873" t="str">
        <f>IFERROR(VLOOKUP(Tabela1[[#This Row],[CC]],CC!$A$1:$H$389,5,0),"")</f>
        <v>ADS</v>
      </c>
      <c r="R1873" t="str">
        <f>IFERROR(VLOOKUP(Tabela1[[#This Row],[CC]],CC!$A$1:$H$389,6,0),"")</f>
        <v>FS</v>
      </c>
      <c r="S1873" t="str">
        <f>IFERROR(VLOOKUP(Tabela1[[#This Row],[CC]],CC!$A$1:$H$403,8,0),"")</f>
        <v>OP1</v>
      </c>
    </row>
    <row r="1874" spans="1:19" x14ac:dyDescent="0.3">
      <c r="A1874" s="8">
        <v>1391</v>
      </c>
      <c r="B1874" s="8" t="str">
        <f>IFERROR(VLOOKUP(Tabela1[[#This Row],[CC]],#REF!,5,0),"")</f>
        <v/>
      </c>
      <c r="C1874" t="str">
        <f>IFERROR(VLOOKUP(Tabela1[[#This Row],[CC]],CC!$A$1:$H$389,7,0),"")</f>
        <v>RITA ANDRADE</v>
      </c>
      <c r="D1874" t="str">
        <f>IFERROR(VLOOKUP(Tabela1[[#This Row],[CC]],CC!$A$1:$I$3869,3,0),"")</f>
        <v>BRADESCO</v>
      </c>
      <c r="E1874" t="str">
        <f>IFERROR(VLOOKUP(Tabela1[[#This Row],[CC]],CC!$A$1:$H$389,2,0),"")</f>
        <v>BRADESCO - DS (1391)</v>
      </c>
      <c r="F1874" t="s">
        <v>586</v>
      </c>
      <c r="G1874" s="107">
        <v>4917</v>
      </c>
      <c r="H1874" s="12">
        <v>46054</v>
      </c>
      <c r="I1874" s="27">
        <v>86277.24</v>
      </c>
      <c r="J1874" s="27">
        <v>80971.19</v>
      </c>
      <c r="K1874" s="3">
        <v>46090</v>
      </c>
      <c r="L1874" s="147">
        <v>46104</v>
      </c>
      <c r="M1874" s="11">
        <v>46105</v>
      </c>
      <c r="N1874" s="1" t="s">
        <v>588</v>
      </c>
      <c r="O1874" s="34">
        <v>0</v>
      </c>
      <c r="P1874"/>
      <c r="Q1874" t="str">
        <f>IFERROR(VLOOKUP(Tabela1[[#This Row],[CC]],CC!$A$1:$H$389,5,0),"")</f>
        <v>ADS</v>
      </c>
      <c r="R1874" t="str">
        <f>IFERROR(VLOOKUP(Tabela1[[#This Row],[CC]],CC!$A$1:$H$389,6,0),"")</f>
        <v>FS</v>
      </c>
      <c r="S1874" t="str">
        <f>IFERROR(VLOOKUP(Tabela1[[#This Row],[CC]],CC!$A$1:$H$403,8,0),"")</f>
        <v>OP1</v>
      </c>
    </row>
    <row r="1875" spans="1:19" x14ac:dyDescent="0.3">
      <c r="A1875" s="8">
        <v>1391</v>
      </c>
      <c r="B1875" s="8" t="str">
        <f>IFERROR(VLOOKUP(Tabela1[[#This Row],[CC]],#REF!,5,0),"")</f>
        <v/>
      </c>
      <c r="C1875" t="str">
        <f>IFERROR(VLOOKUP(Tabela1[[#This Row],[CC]],CC!$A$1:$H$389,7,0),"")</f>
        <v>RITA ANDRADE</v>
      </c>
      <c r="D1875" t="str">
        <f>IFERROR(VLOOKUP(Tabela1[[#This Row],[CC]],CC!$A$1:$I$3869,3,0),"")</f>
        <v>BRADESCO</v>
      </c>
      <c r="E1875" t="str">
        <f>IFERROR(VLOOKUP(Tabela1[[#This Row],[CC]],CC!$A$1:$H$389,2,0),"")</f>
        <v>BRADESCO - DS (1391)</v>
      </c>
      <c r="F1875" t="s">
        <v>586</v>
      </c>
      <c r="G1875" s="107">
        <v>4918</v>
      </c>
      <c r="H1875" s="12">
        <v>46054</v>
      </c>
      <c r="I1875" s="27">
        <v>95777.66</v>
      </c>
      <c r="J1875" s="27">
        <v>89887.34</v>
      </c>
      <c r="K1875" s="3">
        <v>46090</v>
      </c>
      <c r="L1875" s="147">
        <v>46104</v>
      </c>
      <c r="M1875" s="11">
        <v>46105</v>
      </c>
      <c r="N1875" s="1" t="s">
        <v>588</v>
      </c>
      <c r="O1875" s="34">
        <v>0</v>
      </c>
      <c r="P1875"/>
      <c r="Q1875" t="str">
        <f>IFERROR(VLOOKUP(Tabela1[[#This Row],[CC]],CC!$A$1:$H$389,5,0),"")</f>
        <v>ADS</v>
      </c>
      <c r="R1875" t="str">
        <f>IFERROR(VLOOKUP(Tabela1[[#This Row],[CC]],CC!$A$1:$H$389,6,0),"")</f>
        <v>FS</v>
      </c>
      <c r="S1875" t="str">
        <f>IFERROR(VLOOKUP(Tabela1[[#This Row],[CC]],CC!$A$1:$H$403,8,0),"")</f>
        <v>OP1</v>
      </c>
    </row>
    <row r="1876" spans="1:19" x14ac:dyDescent="0.3">
      <c r="A1876" s="8">
        <v>1391</v>
      </c>
      <c r="B1876" s="8" t="str">
        <f>IFERROR(VLOOKUP(Tabela1[[#This Row],[CC]],#REF!,5,0),"")</f>
        <v/>
      </c>
      <c r="C1876" t="str">
        <f>IFERROR(VLOOKUP(Tabela1[[#This Row],[CC]],CC!$A$1:$H$389,7,0),"")</f>
        <v>RITA ANDRADE</v>
      </c>
      <c r="D1876" t="str">
        <f>IFERROR(VLOOKUP(Tabela1[[#This Row],[CC]],CC!$A$1:$I$3869,3,0),"")</f>
        <v>BRADESCO</v>
      </c>
      <c r="E1876" t="str">
        <f>IFERROR(VLOOKUP(Tabela1[[#This Row],[CC]],CC!$A$1:$H$389,2,0),"")</f>
        <v>BRADESCO - DS (1391)</v>
      </c>
      <c r="F1876" t="s">
        <v>586</v>
      </c>
      <c r="G1876" s="107">
        <v>4919</v>
      </c>
      <c r="H1876" s="12">
        <v>46054</v>
      </c>
      <c r="I1876" s="27">
        <v>72631.929999999993</v>
      </c>
      <c r="J1876" s="27">
        <v>68165.070000000007</v>
      </c>
      <c r="K1876" s="3">
        <v>46090</v>
      </c>
      <c r="L1876" s="147">
        <v>46104</v>
      </c>
      <c r="M1876" s="11">
        <v>46105</v>
      </c>
      <c r="N1876" s="1" t="s">
        <v>588</v>
      </c>
      <c r="O1876" s="34">
        <v>0</v>
      </c>
      <c r="P1876"/>
      <c r="Q1876" t="str">
        <f>IFERROR(VLOOKUP(Tabela1[[#This Row],[CC]],CC!$A$1:$H$389,5,0),"")</f>
        <v>ADS</v>
      </c>
      <c r="R1876" t="str">
        <f>IFERROR(VLOOKUP(Tabela1[[#This Row],[CC]],CC!$A$1:$H$389,6,0),"")</f>
        <v>FS</v>
      </c>
      <c r="S1876" t="str">
        <f>IFERROR(VLOOKUP(Tabela1[[#This Row],[CC]],CC!$A$1:$H$403,8,0),"")</f>
        <v>OP1</v>
      </c>
    </row>
    <row r="1877" spans="1:19" x14ac:dyDescent="0.3">
      <c r="A1877" s="8">
        <v>1391</v>
      </c>
      <c r="B1877" s="8" t="str">
        <f>IFERROR(VLOOKUP(Tabela1[[#This Row],[CC]],#REF!,5,0),"")</f>
        <v/>
      </c>
      <c r="C1877" t="str">
        <f>IFERROR(VLOOKUP(Tabela1[[#This Row],[CC]],CC!$A$1:$H$389,7,0),"")</f>
        <v>RITA ANDRADE</v>
      </c>
      <c r="D1877" t="str">
        <f>IFERROR(VLOOKUP(Tabela1[[#This Row],[CC]],CC!$A$1:$I$3869,3,0),"")</f>
        <v>BRADESCO</v>
      </c>
      <c r="E1877" t="str">
        <f>IFERROR(VLOOKUP(Tabela1[[#This Row],[CC]],CC!$A$1:$H$389,2,0),"")</f>
        <v>BRADESCO - DS (1391)</v>
      </c>
      <c r="F1877" t="s">
        <v>586</v>
      </c>
      <c r="G1877" s="107">
        <v>4943</v>
      </c>
      <c r="H1877" s="115">
        <v>45992</v>
      </c>
      <c r="I1877" s="24">
        <v>737764.07</v>
      </c>
      <c r="J1877" s="27">
        <v>692391.58</v>
      </c>
      <c r="K1877" s="3">
        <v>46093</v>
      </c>
      <c r="L1877" s="147">
        <v>46104</v>
      </c>
      <c r="M1877" s="11">
        <v>46108</v>
      </c>
      <c r="N1877" s="1" t="s">
        <v>588</v>
      </c>
      <c r="O1877" s="34">
        <v>0</v>
      </c>
      <c r="P1877"/>
      <c r="Q1877" t="str">
        <f>IFERROR(VLOOKUP(Tabela1[[#This Row],[CC]],CC!$A$1:$H$389,5,0),"")</f>
        <v>ADS</v>
      </c>
      <c r="R1877" t="str">
        <f>IFERROR(VLOOKUP(Tabela1[[#This Row],[CC]],CC!$A$1:$H$389,6,0),"")</f>
        <v>FS</v>
      </c>
      <c r="S1877" t="str">
        <f>IFERROR(VLOOKUP(Tabela1[[#This Row],[CC]],CC!$A$1:$H$403,8,0),"")</f>
        <v>OP1</v>
      </c>
    </row>
    <row r="1878" spans="1:19" x14ac:dyDescent="0.3">
      <c r="A1878" s="8">
        <v>1391</v>
      </c>
      <c r="B1878" s="8" t="str">
        <f>IFERROR(VLOOKUP(Tabela1[[#This Row],[CC]],#REF!,5,0),"")</f>
        <v/>
      </c>
      <c r="C1878" t="str">
        <f>IFERROR(VLOOKUP(Tabela1[[#This Row],[CC]],CC!$A$1:$H$389,7,0),"")</f>
        <v>RITA ANDRADE</v>
      </c>
      <c r="D1878" t="str">
        <f>IFERROR(VLOOKUP(Tabela1[[#This Row],[CC]],CC!$A$1:$I$3869,3,0),"")</f>
        <v>BRADESCO</v>
      </c>
      <c r="E1878" t="str">
        <f>IFERROR(VLOOKUP(Tabela1[[#This Row],[CC]],CC!$A$1:$H$389,2,0),"")</f>
        <v>BRADESCO - DS (1391)</v>
      </c>
      <c r="F1878" t="s">
        <v>586</v>
      </c>
      <c r="G1878" s="107">
        <v>5027</v>
      </c>
      <c r="H1878" s="115">
        <v>45992</v>
      </c>
      <c r="I1878" s="27">
        <v>1175.02</v>
      </c>
      <c r="J1878" s="27">
        <v>1102.75</v>
      </c>
      <c r="K1878" s="3">
        <v>46119</v>
      </c>
      <c r="L1878" s="147">
        <v>46139</v>
      </c>
      <c r="M1878" s="11">
        <v>46141</v>
      </c>
      <c r="N1878" s="1" t="s">
        <v>588</v>
      </c>
      <c r="O1878" s="34">
        <v>0</v>
      </c>
      <c r="P1878"/>
      <c r="Q1878" t="str">
        <f>IFERROR(VLOOKUP(Tabela1[[#This Row],[CC]],CC!$A$1:$H$389,5,0),"")</f>
        <v>ADS</v>
      </c>
      <c r="R1878" t="str">
        <f>IFERROR(VLOOKUP(Tabela1[[#This Row],[CC]],CC!$A$1:$H$389,6,0),"")</f>
        <v>FS</v>
      </c>
      <c r="S1878" t="str">
        <f>IFERROR(VLOOKUP(Tabela1[[#This Row],[CC]],CC!$A$1:$H$403,8,0),"")</f>
        <v>OP1</v>
      </c>
    </row>
    <row r="1879" spans="1:19" x14ac:dyDescent="0.3">
      <c r="A1879" s="8">
        <v>1391</v>
      </c>
      <c r="B1879" s="8" t="str">
        <f>IFERROR(VLOOKUP(Tabela1[[#This Row],[CC]],#REF!,5,0),"")</f>
        <v/>
      </c>
      <c r="C1879" t="str">
        <f>IFERROR(VLOOKUP(Tabela1[[#This Row],[CC]],CC!$A$1:$H$389,7,0),"")</f>
        <v>RITA ANDRADE</v>
      </c>
      <c r="D1879" t="str">
        <f>IFERROR(VLOOKUP(Tabela1[[#This Row],[CC]],CC!$A$1:$I$3869,3,0),"")</f>
        <v>BRADESCO</v>
      </c>
      <c r="E1879" t="str">
        <f>IFERROR(VLOOKUP(Tabela1[[#This Row],[CC]],CC!$A$1:$H$389,2,0),"")</f>
        <v>BRADESCO - DS (1391)</v>
      </c>
      <c r="F1879" t="s">
        <v>586</v>
      </c>
      <c r="G1879" s="107">
        <v>5066</v>
      </c>
      <c r="H1879" s="12">
        <v>46082</v>
      </c>
      <c r="I1879" s="27">
        <v>31917.599999999999</v>
      </c>
      <c r="J1879" s="24">
        <v>29954.67</v>
      </c>
      <c r="K1879" s="3">
        <v>46122</v>
      </c>
      <c r="L1879" s="147">
        <v>46139</v>
      </c>
      <c r="M1879" s="11">
        <v>46139</v>
      </c>
      <c r="N1879" s="1" t="s">
        <v>588</v>
      </c>
      <c r="O1879" s="34">
        <v>0</v>
      </c>
      <c r="P1879"/>
      <c r="Q1879" t="str">
        <f>IFERROR(VLOOKUP(Tabela1[[#This Row],[CC]],CC!$A$1:$H$389,5,0),"")</f>
        <v>ADS</v>
      </c>
      <c r="R1879" t="str">
        <f>IFERROR(VLOOKUP(Tabela1[[#This Row],[CC]],CC!$A$1:$H$389,6,0),"")</f>
        <v>FS</v>
      </c>
      <c r="S1879" t="str">
        <f>IFERROR(VLOOKUP(Tabela1[[#This Row],[CC]],CC!$A$1:$H$403,8,0),"")</f>
        <v>OP1</v>
      </c>
    </row>
    <row r="1880" spans="1:19" x14ac:dyDescent="0.3">
      <c r="A1880" s="8">
        <v>1391</v>
      </c>
      <c r="B1880" s="8" t="str">
        <f>IFERROR(VLOOKUP(Tabela1[[#This Row],[CC]],#REF!,5,0),"")</f>
        <v/>
      </c>
      <c r="C1880" t="str">
        <f>IFERROR(VLOOKUP(Tabela1[[#This Row],[CC]],CC!$A$1:$H$389,7,0),"")</f>
        <v>RITA ANDRADE</v>
      </c>
      <c r="D1880" t="str">
        <f>IFERROR(VLOOKUP(Tabela1[[#This Row],[CC]],CC!$A$1:$I$3869,3,0),"")</f>
        <v>BRADESCO</v>
      </c>
      <c r="E1880" t="str">
        <f>IFERROR(VLOOKUP(Tabela1[[#This Row],[CC]],CC!$A$1:$H$389,2,0),"")</f>
        <v>BRADESCO - DS (1391)</v>
      </c>
      <c r="F1880" t="s">
        <v>586</v>
      </c>
      <c r="G1880" s="107">
        <v>5074</v>
      </c>
      <c r="H1880" s="12">
        <v>46082</v>
      </c>
      <c r="I1880" s="27">
        <v>81195.520000000004</v>
      </c>
      <c r="J1880" s="24">
        <v>76202</v>
      </c>
      <c r="K1880" s="3">
        <v>46125</v>
      </c>
      <c r="L1880" s="147">
        <v>46139</v>
      </c>
      <c r="M1880" s="11">
        <v>46139</v>
      </c>
      <c r="N1880" s="1" t="s">
        <v>588</v>
      </c>
      <c r="O1880" s="34">
        <v>0</v>
      </c>
      <c r="P1880"/>
      <c r="Q1880" t="str">
        <f>IFERROR(VLOOKUP(Tabela1[[#This Row],[CC]],CC!$A$1:$H$389,5,0),"")</f>
        <v>ADS</v>
      </c>
      <c r="R1880" t="str">
        <f>IFERROR(VLOOKUP(Tabela1[[#This Row],[CC]],CC!$A$1:$H$389,6,0),"")</f>
        <v>FS</v>
      </c>
      <c r="S1880" t="str">
        <f>IFERROR(VLOOKUP(Tabela1[[#This Row],[CC]],CC!$A$1:$H$403,8,0),"")</f>
        <v>OP1</v>
      </c>
    </row>
    <row r="1881" spans="1:19" x14ac:dyDescent="0.3">
      <c r="A1881" s="8">
        <v>1391</v>
      </c>
      <c r="B1881" s="8" t="str">
        <f>IFERROR(VLOOKUP(Tabela1[[#This Row],[CC]],#REF!,5,0),"")</f>
        <v/>
      </c>
      <c r="C1881" t="str">
        <f>IFERROR(VLOOKUP(Tabela1[[#This Row],[CC]],CC!$A$1:$H$389,7,0),"")</f>
        <v>RITA ANDRADE</v>
      </c>
      <c r="D1881" t="str">
        <f>IFERROR(VLOOKUP(Tabela1[[#This Row],[CC]],CC!$A$1:$I$3869,3,0),"")</f>
        <v>BRADESCO</v>
      </c>
      <c r="E1881" t="str">
        <f>IFERROR(VLOOKUP(Tabela1[[#This Row],[CC]],CC!$A$1:$H$389,2,0),"")</f>
        <v>BRADESCO - DS (1391)</v>
      </c>
      <c r="F1881" t="s">
        <v>586</v>
      </c>
      <c r="G1881" s="107">
        <v>5079</v>
      </c>
      <c r="H1881" s="12">
        <v>46082</v>
      </c>
      <c r="I1881" s="27">
        <v>82882.8</v>
      </c>
      <c r="J1881" s="24">
        <v>77785.509999999995</v>
      </c>
      <c r="K1881" s="3">
        <v>46125</v>
      </c>
      <c r="L1881" s="147">
        <v>46139</v>
      </c>
      <c r="M1881" s="11">
        <v>46139</v>
      </c>
      <c r="N1881" s="1" t="s">
        <v>588</v>
      </c>
      <c r="O1881" s="34">
        <v>0</v>
      </c>
      <c r="P1881"/>
      <c r="Q1881" t="str">
        <f>IFERROR(VLOOKUP(Tabela1[[#This Row],[CC]],CC!$A$1:$H$389,5,0),"")</f>
        <v>ADS</v>
      </c>
      <c r="R1881" t="str">
        <f>IFERROR(VLOOKUP(Tabela1[[#This Row],[CC]],CC!$A$1:$H$389,6,0),"")</f>
        <v>FS</v>
      </c>
      <c r="S1881" t="str">
        <f>IFERROR(VLOOKUP(Tabela1[[#This Row],[CC]],CC!$A$1:$H$403,8,0),"")</f>
        <v>OP1</v>
      </c>
    </row>
    <row r="1882" spans="1:19" x14ac:dyDescent="0.3">
      <c r="A1882" s="8">
        <v>1391</v>
      </c>
      <c r="B1882" s="8" t="str">
        <f>IFERROR(VLOOKUP(Tabela1[[#This Row],[CC]],#REF!,5,0),"")</f>
        <v/>
      </c>
      <c r="C1882" t="str">
        <f>IFERROR(VLOOKUP(Tabela1[[#This Row],[CC]],CC!$A$1:$H$389,7,0),"")</f>
        <v>RITA ANDRADE</v>
      </c>
      <c r="D1882" t="str">
        <f>IFERROR(VLOOKUP(Tabela1[[#This Row],[CC]],CC!$A$1:$I$3869,3,0),"")</f>
        <v>BRADESCO</v>
      </c>
      <c r="E1882" t="str">
        <f>IFERROR(VLOOKUP(Tabela1[[#This Row],[CC]],CC!$A$1:$H$389,2,0),"")</f>
        <v>BRADESCO - DS (1391)</v>
      </c>
      <c r="F1882" t="s">
        <v>586</v>
      </c>
      <c r="G1882" s="107">
        <v>5078</v>
      </c>
      <c r="H1882" s="12">
        <v>46082</v>
      </c>
      <c r="I1882" s="27">
        <v>76362</v>
      </c>
      <c r="J1882" s="24">
        <v>71665.740000000005</v>
      </c>
      <c r="K1882" s="3">
        <v>46125</v>
      </c>
      <c r="L1882" s="147">
        <v>46139</v>
      </c>
      <c r="M1882" s="11">
        <v>46139</v>
      </c>
      <c r="N1882" s="1" t="s">
        <v>588</v>
      </c>
      <c r="O1882" s="34">
        <v>0</v>
      </c>
      <c r="P1882"/>
      <c r="Q1882" t="str">
        <f>IFERROR(VLOOKUP(Tabela1[[#This Row],[CC]],CC!$A$1:$H$389,5,0),"")</f>
        <v>ADS</v>
      </c>
      <c r="R1882" t="str">
        <f>IFERROR(VLOOKUP(Tabela1[[#This Row],[CC]],CC!$A$1:$H$389,6,0),"")</f>
        <v>FS</v>
      </c>
      <c r="S1882" t="str">
        <f>IFERROR(VLOOKUP(Tabela1[[#This Row],[CC]],CC!$A$1:$H$403,8,0),"")</f>
        <v>OP1</v>
      </c>
    </row>
    <row r="1883" spans="1:19" x14ac:dyDescent="0.3">
      <c r="A1883" s="8">
        <v>1391</v>
      </c>
      <c r="B1883" s="8" t="str">
        <f>IFERROR(VLOOKUP(Tabela1[[#This Row],[CC]],#REF!,5,0),"")</f>
        <v/>
      </c>
      <c r="C1883" t="str">
        <f>IFERROR(VLOOKUP(Tabela1[[#This Row],[CC]],CC!$A$1:$H$389,7,0),"")</f>
        <v>RITA ANDRADE</v>
      </c>
      <c r="D1883" t="str">
        <f>IFERROR(VLOOKUP(Tabela1[[#This Row],[CC]],CC!$A$1:$I$3869,3,0),"")</f>
        <v>BRADESCO</v>
      </c>
      <c r="E1883" t="str">
        <f>IFERROR(VLOOKUP(Tabela1[[#This Row],[CC]],CC!$A$1:$H$389,2,0),"")</f>
        <v>BRADESCO - DS (1391)</v>
      </c>
      <c r="F1883" t="s">
        <v>586</v>
      </c>
      <c r="G1883" s="107">
        <v>5070</v>
      </c>
      <c r="H1883" s="12">
        <v>46082</v>
      </c>
      <c r="I1883" s="27">
        <v>108535.98</v>
      </c>
      <c r="J1883" s="24">
        <v>101861.02</v>
      </c>
      <c r="K1883" s="3">
        <v>46125</v>
      </c>
      <c r="L1883" s="147">
        <v>46139</v>
      </c>
      <c r="M1883" s="11">
        <v>46139</v>
      </c>
      <c r="N1883" s="1" t="s">
        <v>588</v>
      </c>
      <c r="O1883" s="34">
        <v>0</v>
      </c>
      <c r="P1883"/>
      <c r="Q1883" t="str">
        <f>IFERROR(VLOOKUP(Tabela1[[#This Row],[CC]],CC!$A$1:$H$389,5,0),"")</f>
        <v>ADS</v>
      </c>
      <c r="R1883" t="str">
        <f>IFERROR(VLOOKUP(Tabela1[[#This Row],[CC]],CC!$A$1:$H$389,6,0),"")</f>
        <v>FS</v>
      </c>
      <c r="S1883" t="str">
        <f>IFERROR(VLOOKUP(Tabela1[[#This Row],[CC]],CC!$A$1:$H$403,8,0),"")</f>
        <v>OP1</v>
      </c>
    </row>
    <row r="1884" spans="1:19" x14ac:dyDescent="0.3">
      <c r="A1884" s="8">
        <v>1391</v>
      </c>
      <c r="B1884" s="8" t="str">
        <f>IFERROR(VLOOKUP(Tabela1[[#This Row],[CC]],#REF!,5,0),"")</f>
        <v/>
      </c>
      <c r="C1884" t="str">
        <f>IFERROR(VLOOKUP(Tabela1[[#This Row],[CC]],CC!$A$1:$H$389,7,0),"")</f>
        <v>RITA ANDRADE</v>
      </c>
      <c r="D1884" t="str">
        <f>IFERROR(VLOOKUP(Tabela1[[#This Row],[CC]],CC!$A$1:$I$3869,3,0),"")</f>
        <v>BRADESCO</v>
      </c>
      <c r="E1884" t="str">
        <f>IFERROR(VLOOKUP(Tabela1[[#This Row],[CC]],CC!$A$1:$H$389,2,0),"")</f>
        <v>BRADESCO - DS (1391)</v>
      </c>
      <c r="F1884" t="s">
        <v>586</v>
      </c>
      <c r="G1884" s="107">
        <v>5082</v>
      </c>
      <c r="H1884" s="12">
        <v>46082</v>
      </c>
      <c r="I1884" s="27">
        <v>135026.76999999999</v>
      </c>
      <c r="J1884" s="24">
        <v>126722.63</v>
      </c>
      <c r="K1884" s="3">
        <v>46127</v>
      </c>
      <c r="L1884" s="147">
        <v>46139</v>
      </c>
      <c r="M1884" s="11">
        <v>46142</v>
      </c>
      <c r="N1884" s="1" t="s">
        <v>588</v>
      </c>
      <c r="O1884" s="34">
        <v>0</v>
      </c>
      <c r="P1884"/>
      <c r="Q1884" t="str">
        <f>IFERROR(VLOOKUP(Tabela1[[#This Row],[CC]],CC!$A$1:$H$389,5,0),"")</f>
        <v>ADS</v>
      </c>
      <c r="R1884" t="str">
        <f>IFERROR(VLOOKUP(Tabela1[[#This Row],[CC]],CC!$A$1:$H$389,6,0),"")</f>
        <v>FS</v>
      </c>
      <c r="S1884" t="str">
        <f>IFERROR(VLOOKUP(Tabela1[[#This Row],[CC]],CC!$A$1:$H$403,8,0),"")</f>
        <v>OP1</v>
      </c>
    </row>
    <row r="1885" spans="1:19" x14ac:dyDescent="0.3">
      <c r="A1885" s="8">
        <v>1391</v>
      </c>
      <c r="B1885" s="8" t="str">
        <f>IFERROR(VLOOKUP(Tabela1[[#This Row],[CC]],#REF!,5,0),"")</f>
        <v/>
      </c>
      <c r="C1885" t="str">
        <f>IFERROR(VLOOKUP(Tabela1[[#This Row],[CC]],CC!$A$1:$H$389,7,0),"")</f>
        <v>RITA ANDRADE</v>
      </c>
      <c r="D1885" t="str">
        <f>IFERROR(VLOOKUP(Tabela1[[#This Row],[CC]],CC!$A$1:$I$3869,3,0),"")</f>
        <v>BRADESCO</v>
      </c>
      <c r="E1885" t="str">
        <f>IFERROR(VLOOKUP(Tabela1[[#This Row],[CC]],CC!$A$1:$H$389,2,0),"")</f>
        <v>BRADESCO - DS (1391)</v>
      </c>
      <c r="F1885" t="s">
        <v>586</v>
      </c>
      <c r="G1885" s="107">
        <v>5084</v>
      </c>
      <c r="H1885" s="12">
        <v>46082</v>
      </c>
      <c r="I1885" s="27">
        <v>117708.05</v>
      </c>
      <c r="J1885" s="24">
        <v>110469.01</v>
      </c>
      <c r="K1885" s="3">
        <v>46127</v>
      </c>
      <c r="L1885" s="147">
        <v>46139</v>
      </c>
      <c r="M1885" s="11">
        <v>46142</v>
      </c>
      <c r="N1885" s="1" t="s">
        <v>588</v>
      </c>
      <c r="O1885" s="34">
        <v>0</v>
      </c>
      <c r="P1885"/>
      <c r="Q1885" t="str">
        <f>IFERROR(VLOOKUP(Tabela1[[#This Row],[CC]],CC!$A$1:$H$389,5,0),"")</f>
        <v>ADS</v>
      </c>
      <c r="R1885" t="str">
        <f>IFERROR(VLOOKUP(Tabela1[[#This Row],[CC]],CC!$A$1:$H$389,6,0),"")</f>
        <v>FS</v>
      </c>
      <c r="S1885" t="str">
        <f>IFERROR(VLOOKUP(Tabela1[[#This Row],[CC]],CC!$A$1:$H$403,8,0),"")</f>
        <v>OP1</v>
      </c>
    </row>
    <row r="1886" spans="1:19" x14ac:dyDescent="0.3">
      <c r="A1886" s="8">
        <v>1391</v>
      </c>
      <c r="B1886" s="8" t="str">
        <f>IFERROR(VLOOKUP(Tabela1[[#This Row],[CC]],#REF!,5,0),"")</f>
        <v/>
      </c>
      <c r="C1886" t="str">
        <f>IFERROR(VLOOKUP(Tabela1[[#This Row],[CC]],CC!$A$1:$H$389,7,0),"")</f>
        <v>RITA ANDRADE</v>
      </c>
      <c r="D1886" t="str">
        <f>IFERROR(VLOOKUP(Tabela1[[#This Row],[CC]],CC!$A$1:$I$3869,3,0),"")</f>
        <v>BRADESCO</v>
      </c>
      <c r="E1886" t="str">
        <f>IFERROR(VLOOKUP(Tabela1[[#This Row],[CC]],CC!$A$1:$H$389,2,0),"")</f>
        <v>BRADESCO - DS (1391)</v>
      </c>
      <c r="F1886" t="s">
        <v>586</v>
      </c>
      <c r="G1886" s="107">
        <v>5109</v>
      </c>
      <c r="H1886" s="12">
        <v>46082</v>
      </c>
      <c r="I1886" s="24">
        <v>126215.56</v>
      </c>
      <c r="J1886" s="24">
        <v>118453.31</v>
      </c>
      <c r="K1886" s="3">
        <v>46140</v>
      </c>
      <c r="L1886" s="91">
        <v>46153</v>
      </c>
      <c r="M1886" s="11">
        <v>46155</v>
      </c>
      <c r="N1886" s="1" t="s">
        <v>588</v>
      </c>
      <c r="O1886" s="34">
        <v>0</v>
      </c>
      <c r="P1886"/>
      <c r="Q1886" t="str">
        <f>IFERROR(VLOOKUP(Tabela1[[#This Row],[CC]],CC!$A$1:$H$389,5,0),"")</f>
        <v>ADS</v>
      </c>
      <c r="R1886" t="str">
        <f>IFERROR(VLOOKUP(Tabela1[[#This Row],[CC]],CC!$A$1:$H$389,6,0),"")</f>
        <v>FS</v>
      </c>
      <c r="S1886" t="str">
        <f>IFERROR(VLOOKUP(Tabela1[[#This Row],[CC]],CC!$A$1:$H$403,8,0),"")</f>
        <v>OP1</v>
      </c>
    </row>
    <row r="1887" spans="1:19" x14ac:dyDescent="0.3">
      <c r="A1887" s="8">
        <v>1391</v>
      </c>
      <c r="B1887" s="8" t="str">
        <f>IFERROR(VLOOKUP(Tabela1[[#This Row],[CC]],#REF!,5,0),"")</f>
        <v/>
      </c>
      <c r="C1887" t="str">
        <f>IFERROR(VLOOKUP(Tabela1[[#This Row],[CC]],CC!$A$1:$H$389,7,0),"")</f>
        <v>RITA ANDRADE</v>
      </c>
      <c r="D1887" t="str">
        <f>IFERROR(VLOOKUP(Tabela1[[#This Row],[CC]],CC!$A$1:$I$3869,3,0),"")</f>
        <v>BRADESCO</v>
      </c>
      <c r="E1887" t="str">
        <f>IFERROR(VLOOKUP(Tabela1[[#This Row],[CC]],CC!$A$1:$H$389,2,0),"")</f>
        <v>BRADESCO - DS (1391)</v>
      </c>
      <c r="F1887" t="s">
        <v>586</v>
      </c>
      <c r="G1887" s="107">
        <v>5098</v>
      </c>
      <c r="H1887" s="12">
        <v>46082</v>
      </c>
      <c r="I1887" s="24">
        <v>28562.1</v>
      </c>
      <c r="J1887" s="24">
        <v>26805.53</v>
      </c>
      <c r="K1887" s="3">
        <v>46136</v>
      </c>
      <c r="L1887" s="91">
        <v>46146</v>
      </c>
      <c r="M1887" s="11">
        <v>46150</v>
      </c>
      <c r="N1887" s="1" t="s">
        <v>588</v>
      </c>
      <c r="O1887" s="34">
        <v>0</v>
      </c>
      <c r="P1887"/>
      <c r="Q1887" t="str">
        <f>IFERROR(VLOOKUP(Tabela1[[#This Row],[CC]],CC!$A$1:$H$389,5,0),"")</f>
        <v>ADS</v>
      </c>
      <c r="R1887" t="str">
        <f>IFERROR(VLOOKUP(Tabela1[[#This Row],[CC]],CC!$A$1:$H$389,6,0),"")</f>
        <v>FS</v>
      </c>
      <c r="S1887" t="str">
        <f>IFERROR(VLOOKUP(Tabela1[[#This Row],[CC]],CC!$A$1:$H$403,8,0),"")</f>
        <v>OP1</v>
      </c>
    </row>
    <row r="1888" spans="1:19" x14ac:dyDescent="0.3">
      <c r="A1888" s="8">
        <v>1391</v>
      </c>
      <c r="B1888" s="8" t="str">
        <f>IFERROR(VLOOKUP(Tabela1[[#This Row],[CC]],#REF!,5,0),"")</f>
        <v/>
      </c>
      <c r="C1888" t="str">
        <f>IFERROR(VLOOKUP(Tabela1[[#This Row],[CC]],CC!$A$1:$H$389,7,0),"")</f>
        <v>RITA ANDRADE</v>
      </c>
      <c r="D1888" t="str">
        <f>IFERROR(VLOOKUP(Tabela1[[#This Row],[CC]],CC!$A$1:$I$3869,3,0),"")</f>
        <v>BRADESCO</v>
      </c>
      <c r="E1888" t="str">
        <f>IFERROR(VLOOKUP(Tabela1[[#This Row],[CC]],CC!$A$1:$H$389,2,0),"")</f>
        <v>BRADESCO - DS (1391)</v>
      </c>
      <c r="F1888" t="s">
        <v>586</v>
      </c>
      <c r="G1888" s="107">
        <v>5123</v>
      </c>
      <c r="H1888" s="12">
        <v>46113</v>
      </c>
      <c r="I1888" s="24">
        <v>65052</v>
      </c>
      <c r="J1888" s="24">
        <v>61051.3</v>
      </c>
      <c r="K1888" s="3">
        <v>46153</v>
      </c>
      <c r="L1888" s="91">
        <v>46167</v>
      </c>
      <c r="M1888" s="11">
        <v>46168</v>
      </c>
      <c r="N1888" s="1" t="s">
        <v>588</v>
      </c>
      <c r="O1888" s="34">
        <v>0</v>
      </c>
      <c r="P1888"/>
      <c r="Q1888" t="str">
        <f>IFERROR(VLOOKUP(Tabela1[[#This Row],[CC]],CC!$A$1:$H$389,5,0),"")</f>
        <v>ADS</v>
      </c>
      <c r="R1888" t="str">
        <f>IFERROR(VLOOKUP(Tabela1[[#This Row],[CC]],CC!$A$1:$H$389,6,0),"")</f>
        <v>FS</v>
      </c>
      <c r="S1888" t="str">
        <f>IFERROR(VLOOKUP(Tabela1[[#This Row],[CC]],CC!$A$1:$H$403,8,0),"")</f>
        <v>OP1</v>
      </c>
    </row>
    <row r="1889" spans="1:19" x14ac:dyDescent="0.3">
      <c r="A1889" s="8">
        <v>1391</v>
      </c>
      <c r="B1889" s="8" t="str">
        <f>IFERROR(VLOOKUP(Tabela1[[#This Row],[CC]],#REF!,5,0),"")</f>
        <v/>
      </c>
      <c r="C1889" t="str">
        <f>IFERROR(VLOOKUP(Tabela1[[#This Row],[CC]],CC!$A$1:$H$389,7,0),"")</f>
        <v>RITA ANDRADE</v>
      </c>
      <c r="D1889" t="str">
        <f>IFERROR(VLOOKUP(Tabela1[[#This Row],[CC]],CC!$A$1:$I$3869,3,0),"")</f>
        <v>BRADESCO</v>
      </c>
      <c r="E1889" t="str">
        <f>IFERROR(VLOOKUP(Tabela1[[#This Row],[CC]],CC!$A$1:$H$389,2,0),"")</f>
        <v>BRADESCO - DS (1391)</v>
      </c>
      <c r="F1889" t="s">
        <v>586</v>
      </c>
      <c r="G1889" s="107">
        <v>5139</v>
      </c>
      <c r="H1889" s="12">
        <v>46113</v>
      </c>
      <c r="I1889" s="24">
        <v>346091.85</v>
      </c>
      <c r="J1889" s="27">
        <v>324807.2</v>
      </c>
      <c r="K1889" s="3">
        <v>46155</v>
      </c>
      <c r="L1889" s="91">
        <v>46167</v>
      </c>
      <c r="M1889" s="11">
        <v>46170</v>
      </c>
      <c r="N1889" s="1" t="s">
        <v>588</v>
      </c>
      <c r="O1889" s="34">
        <v>0</v>
      </c>
      <c r="P1889"/>
      <c r="Q1889" t="str">
        <f>IFERROR(VLOOKUP(Tabela1[[#This Row],[CC]],CC!$A$1:$H$389,5,0),"")</f>
        <v>ADS</v>
      </c>
      <c r="R1889" t="str">
        <f>IFERROR(VLOOKUP(Tabela1[[#This Row],[CC]],CC!$A$1:$H$389,6,0),"")</f>
        <v>FS</v>
      </c>
      <c r="S1889" t="str">
        <f>IFERROR(VLOOKUP(Tabela1[[#This Row],[CC]],CC!$A$1:$H$403,8,0),"")</f>
        <v>OP1</v>
      </c>
    </row>
    <row r="1890" spans="1:19" x14ac:dyDescent="0.3">
      <c r="A1890" s="8">
        <v>1391</v>
      </c>
      <c r="B1890" s="8" t="str">
        <f>IFERROR(VLOOKUP(Tabela1[[#This Row],[CC]],#REF!,5,0),"")</f>
        <v/>
      </c>
      <c r="C1890" t="str">
        <f>IFERROR(VLOOKUP(Tabela1[[#This Row],[CC]],CC!$A$1:$H$389,7,0),"")</f>
        <v>RITA ANDRADE</v>
      </c>
      <c r="D1890" t="str">
        <f>IFERROR(VLOOKUP(Tabela1[[#This Row],[CC]],CC!$A$1:$I$3869,3,0),"")</f>
        <v>BRADESCO</v>
      </c>
      <c r="E1890" t="str">
        <f>IFERROR(VLOOKUP(Tabela1[[#This Row],[CC]],CC!$A$1:$H$389,2,0),"")</f>
        <v>BRADESCO - DS (1391)</v>
      </c>
      <c r="F1890" t="s">
        <v>586</v>
      </c>
      <c r="G1890" s="107">
        <v>5145</v>
      </c>
      <c r="H1890" s="12">
        <v>46113</v>
      </c>
      <c r="I1890" s="24">
        <v>21762</v>
      </c>
      <c r="J1890" s="24">
        <v>20423.64</v>
      </c>
      <c r="K1890" s="3">
        <v>46156</v>
      </c>
      <c r="L1890" s="91">
        <v>46167</v>
      </c>
      <c r="M1890" s="11">
        <v>46171</v>
      </c>
      <c r="N1890" s="1" t="s">
        <v>588</v>
      </c>
      <c r="O1890" s="34">
        <v>0</v>
      </c>
      <c r="P1890"/>
      <c r="Q1890" t="str">
        <f>IFERROR(VLOOKUP(Tabela1[[#This Row],[CC]],CC!$A$1:$H$389,5,0),"")</f>
        <v>ADS</v>
      </c>
      <c r="R1890" t="str">
        <f>IFERROR(VLOOKUP(Tabela1[[#This Row],[CC]],CC!$A$1:$H$389,6,0),"")</f>
        <v>FS</v>
      </c>
      <c r="S1890" t="str">
        <f>IFERROR(VLOOKUP(Tabela1[[#This Row],[CC]],CC!$A$1:$H$403,8,0),"")</f>
        <v>OP1</v>
      </c>
    </row>
    <row r="1891" spans="1:19" x14ac:dyDescent="0.3">
      <c r="A1891" s="8">
        <v>1391</v>
      </c>
      <c r="B1891" s="8" t="str">
        <f>IFERROR(VLOOKUP(Tabela1[[#This Row],[CC]],#REF!,5,0),"")</f>
        <v/>
      </c>
      <c r="C1891" t="str">
        <f>IFERROR(VLOOKUP(Tabela1[[#This Row],[CC]],CC!$A$1:$H$389,7,0),"")</f>
        <v>RITA ANDRADE</v>
      </c>
      <c r="D1891" t="str">
        <f>IFERROR(VLOOKUP(Tabela1[[#This Row],[CC]],CC!$A$1:$I$3869,3,0),"")</f>
        <v>BRADESCO</v>
      </c>
      <c r="E1891" t="str">
        <f>IFERROR(VLOOKUP(Tabela1[[#This Row],[CC]],CC!$A$1:$H$389,2,0),"")</f>
        <v>BRADESCO - DS (1391)</v>
      </c>
      <c r="F1891" t="s">
        <v>586</v>
      </c>
      <c r="G1891" s="107">
        <v>5147</v>
      </c>
      <c r="H1891" s="12">
        <v>46113</v>
      </c>
      <c r="I1891" s="24">
        <v>68508.72</v>
      </c>
      <c r="J1891" s="24">
        <v>64295.43</v>
      </c>
      <c r="K1891" s="3">
        <v>46156</v>
      </c>
      <c r="L1891" s="91">
        <v>46167</v>
      </c>
      <c r="M1891" s="11">
        <v>46171</v>
      </c>
      <c r="N1891" s="1" t="s">
        <v>588</v>
      </c>
      <c r="O1891" s="34">
        <v>0</v>
      </c>
      <c r="P1891"/>
      <c r="Q1891" t="str">
        <f>IFERROR(VLOOKUP(Tabela1[[#This Row],[CC]],CC!$A$1:$H$389,5,0),"")</f>
        <v>ADS</v>
      </c>
      <c r="R1891" t="str">
        <f>IFERROR(VLOOKUP(Tabela1[[#This Row],[CC]],CC!$A$1:$H$389,6,0),"")</f>
        <v>FS</v>
      </c>
      <c r="S1891" t="str">
        <f>IFERROR(VLOOKUP(Tabela1[[#This Row],[CC]],CC!$A$1:$H$403,8,0),"")</f>
        <v>OP1</v>
      </c>
    </row>
    <row r="1892" spans="1:19" x14ac:dyDescent="0.3">
      <c r="A1892" s="8">
        <v>1391</v>
      </c>
      <c r="B1892" s="8" t="str">
        <f>IFERROR(VLOOKUP(Tabela1[[#This Row],[CC]],#REF!,5,0),"")</f>
        <v/>
      </c>
      <c r="C1892" t="str">
        <f>IFERROR(VLOOKUP(Tabela1[[#This Row],[CC]],CC!$A$1:$H$389,7,0),"")</f>
        <v>RITA ANDRADE</v>
      </c>
      <c r="D1892" t="str">
        <f>IFERROR(VLOOKUP(Tabela1[[#This Row],[CC]],CC!$A$1:$I$3869,3,0),"")</f>
        <v>BRADESCO</v>
      </c>
      <c r="E1892" t="str">
        <f>IFERROR(VLOOKUP(Tabela1[[#This Row],[CC]],CC!$A$1:$H$389,2,0),"")</f>
        <v>BRADESCO - DS (1391)</v>
      </c>
      <c r="F1892" t="s">
        <v>586</v>
      </c>
      <c r="G1892" s="107">
        <v>5148</v>
      </c>
      <c r="H1892" s="12">
        <v>46113</v>
      </c>
      <c r="I1892" s="24">
        <v>67116.91</v>
      </c>
      <c r="J1892" s="24">
        <v>62989.22</v>
      </c>
      <c r="K1892" s="3">
        <v>46156</v>
      </c>
      <c r="L1892" s="91">
        <v>46167</v>
      </c>
      <c r="M1892" s="11">
        <v>46171</v>
      </c>
      <c r="N1892" s="1" t="s">
        <v>588</v>
      </c>
      <c r="O1892" s="34">
        <v>0</v>
      </c>
      <c r="P1892"/>
      <c r="Q1892" t="str">
        <f>IFERROR(VLOOKUP(Tabela1[[#This Row],[CC]],CC!$A$1:$H$389,5,0),"")</f>
        <v>ADS</v>
      </c>
      <c r="R1892" t="str">
        <f>IFERROR(VLOOKUP(Tabela1[[#This Row],[CC]],CC!$A$1:$H$389,6,0),"")</f>
        <v>FS</v>
      </c>
      <c r="S1892" t="str">
        <f>IFERROR(VLOOKUP(Tabela1[[#This Row],[CC]],CC!$A$1:$H$403,8,0),"")</f>
        <v>OP1</v>
      </c>
    </row>
    <row r="1893" spans="1:19" x14ac:dyDescent="0.3">
      <c r="A1893" s="8">
        <v>1391</v>
      </c>
      <c r="B1893" s="8" t="str">
        <f>IFERROR(VLOOKUP(Tabela1[[#This Row],[CC]],#REF!,5,0),"")</f>
        <v/>
      </c>
      <c r="C1893" t="str">
        <f>IFERROR(VLOOKUP(Tabela1[[#This Row],[CC]],CC!$A$1:$H$389,7,0),"")</f>
        <v>RITA ANDRADE</v>
      </c>
      <c r="D1893" t="str">
        <f>IFERROR(VLOOKUP(Tabela1[[#This Row],[CC]],CC!$A$1:$I$3869,3,0),"")</f>
        <v>BRADESCO</v>
      </c>
      <c r="E1893" t="str">
        <f>IFERROR(VLOOKUP(Tabela1[[#This Row],[CC]],CC!$A$1:$H$389,2,0),"")</f>
        <v>BRADESCO - DS (1391)</v>
      </c>
      <c r="F1893" t="s">
        <v>586</v>
      </c>
      <c r="G1893" s="107"/>
      <c r="H1893" s="12">
        <v>46143</v>
      </c>
      <c r="I1893" s="24">
        <v>1345000</v>
      </c>
      <c r="J1893" s="24"/>
      <c r="K1893" s="3">
        <v>46174</v>
      </c>
      <c r="L1893" s="91">
        <v>46202</v>
      </c>
      <c r="M1893" s="11"/>
      <c r="N1893" s="1" t="s">
        <v>572</v>
      </c>
      <c r="O1893" s="34">
        <v>0</v>
      </c>
      <c r="P1893"/>
      <c r="Q1893" t="str">
        <f>IFERROR(VLOOKUP(Tabela1[[#This Row],[CC]],CC!$A$1:$H$389,5,0),"")</f>
        <v>ADS</v>
      </c>
      <c r="R1893" t="str">
        <f>IFERROR(VLOOKUP(Tabela1[[#This Row],[CC]],CC!$A$1:$H$389,6,0),"")</f>
        <v>FS</v>
      </c>
      <c r="S1893" t="str">
        <f>IFERROR(VLOOKUP(Tabela1[[#This Row],[CC]],CC!$A$1:$H$403,8,0),"")</f>
        <v>OP1</v>
      </c>
    </row>
    <row r="1894" spans="1:19" x14ac:dyDescent="0.3">
      <c r="A1894" s="25">
        <v>1294</v>
      </c>
      <c r="B1894" s="25" t="str">
        <f>IFERROR(VLOOKUP(Tabela1[[#This Row],[CC]],#REF!,5,0),"")</f>
        <v/>
      </c>
      <c r="C1894" t="str">
        <f>IFERROR(VLOOKUP(Tabela1[[#This Row],[CC]],CC!$A$1:$H$389,7,0),"")</f>
        <v>RITA ANDRADE</v>
      </c>
      <c r="D1894" t="str">
        <f>IFERROR(VLOOKUP(Tabela1[[#This Row],[CC]],CC!$A$1:$I$3869,3,0),"")</f>
        <v>BRADESCO</v>
      </c>
      <c r="E1894" t="str">
        <f>IFERROR(VLOOKUP(Tabela1[[#This Row],[CC]],CC!$A$1:$H$389,2,0),"")</f>
        <v>BRADESCO - DS 2 (1294)</v>
      </c>
      <c r="F1894" t="s">
        <v>586</v>
      </c>
      <c r="G1894" s="107">
        <v>4550</v>
      </c>
      <c r="H1894" s="12">
        <v>45931</v>
      </c>
      <c r="I1894" s="24">
        <v>86759.91</v>
      </c>
      <c r="J1894" s="24">
        <v>81424.17</v>
      </c>
      <c r="K1894" s="3">
        <v>45980</v>
      </c>
      <c r="L1894" s="147">
        <v>45992</v>
      </c>
      <c r="M1894" s="11">
        <v>45995</v>
      </c>
      <c r="N1894" s="1" t="s">
        <v>588</v>
      </c>
      <c r="O1894" s="34">
        <v>0</v>
      </c>
      <c r="P1894"/>
      <c r="Q1894" t="str">
        <f>IFERROR(VLOOKUP(Tabela1[[#This Row],[CC]],CC!$A$1:$H$389,5,0),"")</f>
        <v>ADS</v>
      </c>
      <c r="R1894" t="str">
        <f>IFERROR(VLOOKUP(Tabela1[[#This Row],[CC]],CC!$A$1:$H$389,6,0),"")</f>
        <v>FS</v>
      </c>
      <c r="S1894" t="str">
        <f>IFERROR(VLOOKUP(Tabela1[[#This Row],[CC]],CC!$A$1:$H$403,8,0),"")</f>
        <v>OP1</v>
      </c>
    </row>
    <row r="1895" spans="1:19" x14ac:dyDescent="0.3">
      <c r="A1895" s="25">
        <v>1294</v>
      </c>
      <c r="B1895" s="25" t="str">
        <f>IFERROR(VLOOKUP(Tabela1[[#This Row],[CC]],#REF!,5,0),"")</f>
        <v/>
      </c>
      <c r="C1895" t="str">
        <f>IFERROR(VLOOKUP(Tabela1[[#This Row],[CC]],CC!$A$1:$H$389,7,0),"")</f>
        <v>RITA ANDRADE</v>
      </c>
      <c r="D1895" t="str">
        <f>IFERROR(VLOOKUP(Tabela1[[#This Row],[CC]],CC!$A$1:$I$3869,3,0),"")</f>
        <v>BRADESCO</v>
      </c>
      <c r="E1895" t="str">
        <f>IFERROR(VLOOKUP(Tabela1[[#This Row],[CC]],CC!$A$1:$H$389,2,0),"")</f>
        <v>BRADESCO - DS 2 (1294)</v>
      </c>
      <c r="F1895" t="s">
        <v>586</v>
      </c>
      <c r="G1895" s="107">
        <v>4551</v>
      </c>
      <c r="H1895" s="12">
        <v>45931</v>
      </c>
      <c r="I1895" s="24">
        <v>221904</v>
      </c>
      <c r="J1895" s="24">
        <v>208256.9</v>
      </c>
      <c r="K1895" s="3">
        <v>45980</v>
      </c>
      <c r="L1895" s="147">
        <v>45992</v>
      </c>
      <c r="M1895" s="11">
        <v>45995</v>
      </c>
      <c r="N1895" s="1" t="s">
        <v>588</v>
      </c>
      <c r="O1895" s="34">
        <v>0</v>
      </c>
      <c r="P1895"/>
      <c r="Q1895" t="str">
        <f>IFERROR(VLOOKUP(Tabela1[[#This Row],[CC]],CC!$A$1:$H$389,5,0),"")</f>
        <v>ADS</v>
      </c>
      <c r="R1895" t="str">
        <f>IFERROR(VLOOKUP(Tabela1[[#This Row],[CC]],CC!$A$1:$H$389,6,0),"")</f>
        <v>FS</v>
      </c>
      <c r="S1895" t="str">
        <f>IFERROR(VLOOKUP(Tabela1[[#This Row],[CC]],CC!$A$1:$H$403,8,0),"")</f>
        <v>OP1</v>
      </c>
    </row>
    <row r="1896" spans="1:19" x14ac:dyDescent="0.3">
      <c r="A1896" s="25">
        <v>1294</v>
      </c>
      <c r="B1896" s="25" t="str">
        <f>IFERROR(VLOOKUP(Tabela1[[#This Row],[CC]],#REF!,5,0),"")</f>
        <v/>
      </c>
      <c r="C1896" t="str">
        <f>IFERROR(VLOOKUP(Tabela1[[#This Row],[CC]],CC!$A$1:$H$389,7,0),"")</f>
        <v>RITA ANDRADE</v>
      </c>
      <c r="D1896" t="str">
        <f>IFERROR(VLOOKUP(Tabela1[[#This Row],[CC]],CC!$A$1:$I$3869,3,0),"")</f>
        <v>BRADESCO</v>
      </c>
      <c r="E1896" t="str">
        <f>IFERROR(VLOOKUP(Tabela1[[#This Row],[CC]],CC!$A$1:$H$389,2,0),"")</f>
        <v>BRADESCO - DS 2 (1294)</v>
      </c>
      <c r="F1896" t="s">
        <v>586</v>
      </c>
      <c r="G1896" s="107">
        <v>4584</v>
      </c>
      <c r="H1896" s="12">
        <v>45931</v>
      </c>
      <c r="I1896" s="24">
        <v>13192.46</v>
      </c>
      <c r="J1896" s="24">
        <v>12381.12</v>
      </c>
      <c r="K1896" s="3">
        <v>45992</v>
      </c>
      <c r="L1896" s="147">
        <v>46006</v>
      </c>
      <c r="M1896" s="11">
        <v>46007</v>
      </c>
      <c r="N1896" s="1" t="s">
        <v>588</v>
      </c>
      <c r="O1896" s="34">
        <v>0</v>
      </c>
      <c r="P1896"/>
      <c r="Q1896" t="str">
        <f>IFERROR(VLOOKUP(Tabela1[[#This Row],[CC]],CC!$A$1:$H$389,5,0),"")</f>
        <v>ADS</v>
      </c>
      <c r="R1896" t="str">
        <f>IFERROR(VLOOKUP(Tabela1[[#This Row],[CC]],CC!$A$1:$H$389,6,0),"")</f>
        <v>FS</v>
      </c>
      <c r="S1896" t="str">
        <f>IFERROR(VLOOKUP(Tabela1[[#This Row],[CC]],CC!$A$1:$H$403,8,0),"")</f>
        <v>OP1</v>
      </c>
    </row>
    <row r="1897" spans="1:19" x14ac:dyDescent="0.3">
      <c r="A1897" s="25">
        <v>1294</v>
      </c>
      <c r="B1897" s="25" t="str">
        <f>IFERROR(VLOOKUP(Tabela1[[#This Row],[CC]],#REF!,5,0),"")</f>
        <v/>
      </c>
      <c r="C1897" t="str">
        <f>IFERROR(VLOOKUP(Tabela1[[#This Row],[CC]],CC!$A$1:$H$389,7,0),"")</f>
        <v>RITA ANDRADE</v>
      </c>
      <c r="D1897" t="str">
        <f>IFERROR(VLOOKUP(Tabela1[[#This Row],[CC]],CC!$A$1:$I$3869,3,0),"")</f>
        <v>BRADESCO</v>
      </c>
      <c r="E1897" t="str">
        <f>IFERROR(VLOOKUP(Tabela1[[#This Row],[CC]],CC!$A$1:$H$389,2,0),"")</f>
        <v>BRADESCO - DS 2 (1294)</v>
      </c>
      <c r="F1897" t="s">
        <v>586</v>
      </c>
      <c r="G1897" s="107">
        <v>4609</v>
      </c>
      <c r="H1897" s="12">
        <v>45931</v>
      </c>
      <c r="I1897" s="24">
        <v>172751.46</v>
      </c>
      <c r="J1897" s="24">
        <v>162127.25</v>
      </c>
      <c r="K1897" s="3">
        <v>45994</v>
      </c>
      <c r="L1897" s="147">
        <v>46006</v>
      </c>
      <c r="M1897" s="11">
        <v>46009</v>
      </c>
      <c r="N1897" s="1" t="s">
        <v>588</v>
      </c>
      <c r="O1897" s="34">
        <v>0</v>
      </c>
      <c r="P1897"/>
      <c r="Q1897" t="str">
        <f>IFERROR(VLOOKUP(Tabela1[[#This Row],[CC]],CC!$A$1:$H$389,5,0),"")</f>
        <v>ADS</v>
      </c>
      <c r="R1897" t="str">
        <f>IFERROR(VLOOKUP(Tabela1[[#This Row],[CC]],CC!$A$1:$H$389,6,0),"")</f>
        <v>FS</v>
      </c>
      <c r="S1897" t="str">
        <f>IFERROR(VLOOKUP(Tabela1[[#This Row],[CC]],CC!$A$1:$H$403,8,0),"")</f>
        <v>OP1</v>
      </c>
    </row>
    <row r="1898" spans="1:19" x14ac:dyDescent="0.3">
      <c r="A1898" s="25">
        <v>1294</v>
      </c>
      <c r="B1898" s="25" t="str">
        <f>IFERROR(VLOOKUP(Tabela1[[#This Row],[CC]],#REF!,5,0),"")</f>
        <v/>
      </c>
      <c r="C1898" t="str">
        <f>IFERROR(VLOOKUP(Tabela1[[#This Row],[CC]],CC!$A$1:$H$389,7,0),"")</f>
        <v>RITA ANDRADE</v>
      </c>
      <c r="D1898" t="str">
        <f>IFERROR(VLOOKUP(Tabela1[[#This Row],[CC]],CC!$A$1:$I$3869,3,0),"")</f>
        <v>BRADESCO</v>
      </c>
      <c r="E1898" t="str">
        <f>IFERROR(VLOOKUP(Tabela1[[#This Row],[CC]],CC!$A$1:$H$389,2,0),"")</f>
        <v>BRADESCO - DS 2 (1294)</v>
      </c>
      <c r="F1898" t="s">
        <v>586</v>
      </c>
      <c r="G1898" s="107">
        <v>4618</v>
      </c>
      <c r="H1898" s="12">
        <v>45962</v>
      </c>
      <c r="I1898" s="116">
        <v>183312</v>
      </c>
      <c r="J1898" s="27">
        <v>172038.31</v>
      </c>
      <c r="K1898" s="3">
        <v>45995</v>
      </c>
      <c r="L1898" s="147">
        <v>46006</v>
      </c>
      <c r="M1898" s="11">
        <v>46010</v>
      </c>
      <c r="N1898" s="1" t="s">
        <v>588</v>
      </c>
      <c r="O1898" s="34">
        <v>0</v>
      </c>
      <c r="P1898"/>
      <c r="Q1898" t="str">
        <f>IFERROR(VLOOKUP(Tabela1[[#This Row],[CC]],CC!$A$1:$H$389,5,0),"")</f>
        <v>ADS</v>
      </c>
      <c r="R1898" t="str">
        <f>IFERROR(VLOOKUP(Tabela1[[#This Row],[CC]],CC!$A$1:$H$389,6,0),"")</f>
        <v>FS</v>
      </c>
      <c r="S1898" t="str">
        <f>IFERROR(VLOOKUP(Tabela1[[#This Row],[CC]],CC!$A$1:$H$403,8,0),"")</f>
        <v>OP1</v>
      </c>
    </row>
    <row r="1899" spans="1:19" x14ac:dyDescent="0.3">
      <c r="A1899" s="25">
        <v>1294</v>
      </c>
      <c r="B1899" s="25" t="str">
        <f>IFERROR(VLOOKUP(Tabela1[[#This Row],[CC]],#REF!,5,0),"")</f>
        <v/>
      </c>
      <c r="C1899" t="str">
        <f>IFERROR(VLOOKUP(Tabela1[[#This Row],[CC]],CC!$A$1:$H$389,7,0),"")</f>
        <v>RITA ANDRADE</v>
      </c>
      <c r="D1899" t="str">
        <f>IFERROR(VLOOKUP(Tabela1[[#This Row],[CC]],CC!$A$1:$I$3869,3,0),"")</f>
        <v>BRADESCO</v>
      </c>
      <c r="E1899" t="str">
        <f>IFERROR(VLOOKUP(Tabela1[[#This Row],[CC]],CC!$A$1:$H$389,2,0),"")</f>
        <v>BRADESCO - DS 2 (1294)</v>
      </c>
      <c r="F1899" t="s">
        <v>586</v>
      </c>
      <c r="G1899" s="107">
        <v>4639</v>
      </c>
      <c r="H1899" s="12">
        <v>45962</v>
      </c>
      <c r="I1899" s="24">
        <v>47720.4</v>
      </c>
      <c r="J1899" s="24">
        <v>44785.59</v>
      </c>
      <c r="K1899" s="3">
        <v>45996</v>
      </c>
      <c r="L1899" s="147">
        <v>46013</v>
      </c>
      <c r="M1899" s="11">
        <v>46013</v>
      </c>
      <c r="N1899" s="1" t="s">
        <v>588</v>
      </c>
      <c r="O1899" s="34">
        <v>0</v>
      </c>
      <c r="P1899"/>
      <c r="Q1899" t="str">
        <f>IFERROR(VLOOKUP(Tabela1[[#This Row],[CC]],CC!$A$1:$H$389,5,0),"")</f>
        <v>ADS</v>
      </c>
      <c r="R1899" t="str">
        <f>IFERROR(VLOOKUP(Tabela1[[#This Row],[CC]],CC!$A$1:$H$389,6,0),"")</f>
        <v>FS</v>
      </c>
      <c r="S1899" t="str">
        <f>IFERROR(VLOOKUP(Tabela1[[#This Row],[CC]],CC!$A$1:$H$403,8,0),"")</f>
        <v>OP1</v>
      </c>
    </row>
    <row r="1900" spans="1:19" x14ac:dyDescent="0.3">
      <c r="A1900" s="25">
        <v>1294</v>
      </c>
      <c r="B1900" s="25" t="str">
        <f>IFERROR(VLOOKUP(Tabela1[[#This Row],[CC]],#REF!,5,0),"")</f>
        <v/>
      </c>
      <c r="C1900" t="str">
        <f>IFERROR(VLOOKUP(Tabela1[[#This Row],[CC]],CC!$A$1:$H$389,7,0),"")</f>
        <v>RITA ANDRADE</v>
      </c>
      <c r="D1900" t="str">
        <f>IFERROR(VLOOKUP(Tabela1[[#This Row],[CC]],CC!$A$1:$I$3869,3,0),"")</f>
        <v>BRADESCO</v>
      </c>
      <c r="E1900" t="str">
        <f>IFERROR(VLOOKUP(Tabela1[[#This Row],[CC]],CC!$A$1:$H$389,2,0),"")</f>
        <v>BRADESCO - DS 2 (1294)</v>
      </c>
      <c r="F1900" t="s">
        <v>586</v>
      </c>
      <c r="G1900" s="107">
        <v>4661</v>
      </c>
      <c r="H1900" s="12">
        <v>45962</v>
      </c>
      <c r="I1900" s="24">
        <v>247341.23</v>
      </c>
      <c r="J1900" s="24">
        <v>232129.74</v>
      </c>
      <c r="K1900" s="3">
        <v>46000</v>
      </c>
      <c r="L1900" s="147">
        <v>46013</v>
      </c>
      <c r="M1900" s="11">
        <v>46015</v>
      </c>
      <c r="N1900" s="1" t="s">
        <v>588</v>
      </c>
      <c r="O1900" s="34">
        <v>0</v>
      </c>
      <c r="P1900"/>
      <c r="Q1900" t="str">
        <f>IFERROR(VLOOKUP(Tabela1[[#This Row],[CC]],CC!$A$1:$H$389,5,0),"")</f>
        <v>ADS</v>
      </c>
      <c r="R1900" t="str">
        <f>IFERROR(VLOOKUP(Tabela1[[#This Row],[CC]],CC!$A$1:$H$389,6,0),"")</f>
        <v>FS</v>
      </c>
      <c r="S1900" t="str">
        <f>IFERROR(VLOOKUP(Tabela1[[#This Row],[CC]],CC!$A$1:$H$403,8,0),"")</f>
        <v>OP1</v>
      </c>
    </row>
    <row r="1901" spans="1:19" x14ac:dyDescent="0.3">
      <c r="A1901" s="25">
        <v>1294</v>
      </c>
      <c r="B1901" s="25" t="str">
        <f>IFERROR(VLOOKUP(Tabela1[[#This Row],[CC]],#REF!,5,0),"")</f>
        <v/>
      </c>
      <c r="C1901" t="str">
        <f>IFERROR(VLOOKUP(Tabela1[[#This Row],[CC]],CC!$A$1:$H$389,7,0),"")</f>
        <v>RITA ANDRADE</v>
      </c>
      <c r="D1901" t="str">
        <f>IFERROR(VLOOKUP(Tabela1[[#This Row],[CC]],CC!$A$1:$I$3869,3,0),"")</f>
        <v>BRADESCO</v>
      </c>
      <c r="E1901" t="str">
        <f>IFERROR(VLOOKUP(Tabela1[[#This Row],[CC]],CC!$A$1:$H$389,2,0),"")</f>
        <v>BRADESCO - DS 2 (1294)</v>
      </c>
      <c r="F1901" t="s">
        <v>586</v>
      </c>
      <c r="G1901" s="107">
        <v>4671</v>
      </c>
      <c r="H1901" s="12">
        <v>45962</v>
      </c>
      <c r="I1901" s="24">
        <v>53988.63</v>
      </c>
      <c r="J1901" s="24">
        <v>50668.33</v>
      </c>
      <c r="K1901" s="3">
        <v>46000</v>
      </c>
      <c r="L1901" s="147">
        <v>46013</v>
      </c>
      <c r="M1901" s="11">
        <v>46015</v>
      </c>
      <c r="N1901" s="1" t="s">
        <v>588</v>
      </c>
      <c r="O1901" s="34">
        <v>0</v>
      </c>
      <c r="P1901"/>
      <c r="Q1901" t="str">
        <f>IFERROR(VLOOKUP(Tabela1[[#This Row],[CC]],CC!$A$1:$H$389,5,0),"")</f>
        <v>ADS</v>
      </c>
      <c r="R1901" t="str">
        <f>IFERROR(VLOOKUP(Tabela1[[#This Row],[CC]],CC!$A$1:$H$389,6,0),"")</f>
        <v>FS</v>
      </c>
      <c r="S1901" t="str">
        <f>IFERROR(VLOOKUP(Tabela1[[#This Row],[CC]],CC!$A$1:$H$403,8,0),"")</f>
        <v>OP1</v>
      </c>
    </row>
    <row r="1902" spans="1:19" x14ac:dyDescent="0.3">
      <c r="A1902" s="25">
        <v>1294</v>
      </c>
      <c r="B1902" s="25" t="str">
        <f>IFERROR(VLOOKUP(Tabela1[[#This Row],[CC]],#REF!,5,0),"")</f>
        <v/>
      </c>
      <c r="C1902" t="str">
        <f>IFERROR(VLOOKUP(Tabela1[[#This Row],[CC]],CC!$A$1:$H$389,7,0),"")</f>
        <v>RITA ANDRADE</v>
      </c>
      <c r="D1902" t="str">
        <f>IFERROR(VLOOKUP(Tabela1[[#This Row],[CC]],CC!$A$1:$I$3869,3,0),"")</f>
        <v>BRADESCO</v>
      </c>
      <c r="E1902" t="str">
        <f>IFERROR(VLOOKUP(Tabela1[[#This Row],[CC]],CC!$A$1:$H$389,2,0),"")</f>
        <v>BRADESCO - DS 2 (1294)</v>
      </c>
      <c r="F1902" t="s">
        <v>586</v>
      </c>
      <c r="G1902" s="107">
        <v>4672</v>
      </c>
      <c r="H1902" s="12">
        <v>45962</v>
      </c>
      <c r="I1902" s="24">
        <v>146659.41</v>
      </c>
      <c r="J1902" s="24">
        <v>137639.85999999999</v>
      </c>
      <c r="K1902" s="3">
        <v>46000</v>
      </c>
      <c r="L1902" s="147">
        <v>46013</v>
      </c>
      <c r="M1902" s="11">
        <v>46015</v>
      </c>
      <c r="N1902" s="1" t="s">
        <v>588</v>
      </c>
      <c r="O1902" s="34">
        <v>0</v>
      </c>
      <c r="P1902"/>
      <c r="Q1902" t="str">
        <f>IFERROR(VLOOKUP(Tabela1[[#This Row],[CC]],CC!$A$1:$H$389,5,0),"")</f>
        <v>ADS</v>
      </c>
      <c r="R1902" t="str">
        <f>IFERROR(VLOOKUP(Tabela1[[#This Row],[CC]],CC!$A$1:$H$389,6,0),"")</f>
        <v>FS</v>
      </c>
      <c r="S1902" t="str">
        <f>IFERROR(VLOOKUP(Tabela1[[#This Row],[CC]],CC!$A$1:$H$403,8,0),"")</f>
        <v>OP1</v>
      </c>
    </row>
    <row r="1903" spans="1:19" x14ac:dyDescent="0.3">
      <c r="A1903" s="25">
        <v>1294</v>
      </c>
      <c r="B1903" s="25" t="str">
        <f>IFERROR(VLOOKUP(Tabela1[[#This Row],[CC]],#REF!,5,0),"")</f>
        <v/>
      </c>
      <c r="C1903" t="str">
        <f>IFERROR(VLOOKUP(Tabela1[[#This Row],[CC]],CC!$A$1:$H$389,7,0),"")</f>
        <v>RITA ANDRADE</v>
      </c>
      <c r="D1903" t="str">
        <f>IFERROR(VLOOKUP(Tabela1[[#This Row],[CC]],CC!$A$1:$I$3869,3,0),"")</f>
        <v>BRADESCO</v>
      </c>
      <c r="E1903" t="str">
        <f>IFERROR(VLOOKUP(Tabela1[[#This Row],[CC]],CC!$A$1:$H$389,2,0),"")</f>
        <v>BRADESCO - DS 2 (1294)</v>
      </c>
      <c r="F1903" t="s">
        <v>586</v>
      </c>
      <c r="G1903" s="107">
        <v>4685</v>
      </c>
      <c r="H1903" s="12">
        <v>45992</v>
      </c>
      <c r="I1903" s="24">
        <v>77184</v>
      </c>
      <c r="J1903" s="24">
        <v>72437.179999999993</v>
      </c>
      <c r="K1903" s="3">
        <v>46003</v>
      </c>
      <c r="L1903" s="147">
        <v>46020</v>
      </c>
      <c r="M1903" s="11">
        <v>46020</v>
      </c>
      <c r="N1903" s="1" t="s">
        <v>588</v>
      </c>
      <c r="O1903" s="34">
        <v>0</v>
      </c>
      <c r="P1903"/>
      <c r="Q1903" t="str">
        <f>IFERROR(VLOOKUP(Tabela1[[#This Row],[CC]],CC!$A$1:$H$389,5,0),"")</f>
        <v>ADS</v>
      </c>
      <c r="R1903" t="str">
        <f>IFERROR(VLOOKUP(Tabela1[[#This Row],[CC]],CC!$A$1:$H$389,6,0),"")</f>
        <v>FS</v>
      </c>
      <c r="S1903" t="str">
        <f>IFERROR(VLOOKUP(Tabela1[[#This Row],[CC]],CC!$A$1:$H$403,8,0),"")</f>
        <v>OP1</v>
      </c>
    </row>
    <row r="1904" spans="1:19" x14ac:dyDescent="0.3">
      <c r="A1904" s="25">
        <v>1294</v>
      </c>
      <c r="B1904" s="25" t="str">
        <f>IFERROR(VLOOKUP(Tabela1[[#This Row],[CC]],#REF!,5,0),"")</f>
        <v/>
      </c>
      <c r="C1904" t="str">
        <f>IFERROR(VLOOKUP(Tabela1[[#This Row],[CC]],CC!$A$1:$H$389,7,0),"")</f>
        <v>RITA ANDRADE</v>
      </c>
      <c r="D1904" t="str">
        <f>IFERROR(VLOOKUP(Tabela1[[#This Row],[CC]],CC!$A$1:$I$3869,3,0),"")</f>
        <v>BRADESCO</v>
      </c>
      <c r="E1904" t="str">
        <f>IFERROR(VLOOKUP(Tabela1[[#This Row],[CC]],CC!$A$1:$H$389,2,0),"")</f>
        <v>BRADESCO - DS 2 (1294)</v>
      </c>
      <c r="F1904" t="s">
        <v>586</v>
      </c>
      <c r="G1904" s="107">
        <v>4694</v>
      </c>
      <c r="H1904" s="12">
        <v>45992</v>
      </c>
      <c r="I1904" s="24">
        <v>66973.2</v>
      </c>
      <c r="J1904" s="24">
        <v>62854.35</v>
      </c>
      <c r="K1904" s="3">
        <v>46003</v>
      </c>
      <c r="L1904" s="147">
        <v>46020</v>
      </c>
      <c r="M1904" s="11">
        <v>46020</v>
      </c>
      <c r="N1904" s="1" t="s">
        <v>588</v>
      </c>
      <c r="O1904" s="34">
        <v>0</v>
      </c>
      <c r="P1904"/>
      <c r="Q1904" t="str">
        <f>IFERROR(VLOOKUP(Tabela1[[#This Row],[CC]],CC!$A$1:$H$389,5,0),"")</f>
        <v>ADS</v>
      </c>
      <c r="R1904" t="str">
        <f>IFERROR(VLOOKUP(Tabela1[[#This Row],[CC]],CC!$A$1:$H$389,6,0),"")</f>
        <v>FS</v>
      </c>
      <c r="S1904" t="str">
        <f>IFERROR(VLOOKUP(Tabela1[[#This Row],[CC]],CC!$A$1:$H$403,8,0),"")</f>
        <v>OP1</v>
      </c>
    </row>
    <row r="1905" spans="1:19" x14ac:dyDescent="0.3">
      <c r="A1905" s="25">
        <v>1294</v>
      </c>
      <c r="B1905" s="25" t="str">
        <f>IFERROR(VLOOKUP(Tabela1[[#This Row],[CC]],#REF!,5,0),"")</f>
        <v/>
      </c>
      <c r="C1905" t="str">
        <f>IFERROR(VLOOKUP(Tabela1[[#This Row],[CC]],CC!$A$1:$H$389,7,0),"")</f>
        <v>RITA ANDRADE</v>
      </c>
      <c r="D1905" t="str">
        <f>IFERROR(VLOOKUP(Tabela1[[#This Row],[CC]],CC!$A$1:$I$3869,3,0),"")</f>
        <v>BRADESCO</v>
      </c>
      <c r="E1905" t="str">
        <f>IFERROR(VLOOKUP(Tabela1[[#This Row],[CC]],CC!$A$1:$H$389,2,0),"")</f>
        <v>BRADESCO - DS 2 (1294)</v>
      </c>
      <c r="F1905" t="s">
        <v>586</v>
      </c>
      <c r="G1905" s="107">
        <v>4704</v>
      </c>
      <c r="H1905" s="12">
        <v>45992</v>
      </c>
      <c r="I1905" s="24">
        <v>10046.4</v>
      </c>
      <c r="J1905" s="24">
        <v>9428.5400000000009</v>
      </c>
      <c r="K1905" s="3">
        <v>46007</v>
      </c>
      <c r="L1905" s="147">
        <v>46020</v>
      </c>
      <c r="M1905" s="11">
        <v>46021</v>
      </c>
      <c r="N1905" s="1" t="s">
        <v>588</v>
      </c>
      <c r="O1905" s="34">
        <v>0</v>
      </c>
      <c r="P1905"/>
      <c r="Q1905" t="str">
        <f>IFERROR(VLOOKUP(Tabela1[[#This Row],[CC]],CC!$A$1:$H$389,5,0),"")</f>
        <v>ADS</v>
      </c>
      <c r="R1905" t="str">
        <f>IFERROR(VLOOKUP(Tabela1[[#This Row],[CC]],CC!$A$1:$H$389,6,0),"")</f>
        <v>FS</v>
      </c>
      <c r="S1905" t="str">
        <f>IFERROR(VLOOKUP(Tabela1[[#This Row],[CC]],CC!$A$1:$H$403,8,0),"")</f>
        <v>OP1</v>
      </c>
    </row>
    <row r="1906" spans="1:19" x14ac:dyDescent="0.3">
      <c r="A1906" s="25">
        <v>1294</v>
      </c>
      <c r="B1906" s="25" t="str">
        <f>IFERROR(VLOOKUP(Tabela1[[#This Row],[CC]],#REF!,5,0),"")</f>
        <v/>
      </c>
      <c r="C1906" t="str">
        <f>IFERROR(VLOOKUP(Tabela1[[#This Row],[CC]],CC!$A$1:$H$389,7,0),"")</f>
        <v>RITA ANDRADE</v>
      </c>
      <c r="D1906" t="str">
        <f>IFERROR(VLOOKUP(Tabela1[[#This Row],[CC]],CC!$A$1:$I$3869,3,0),"")</f>
        <v>BRADESCO</v>
      </c>
      <c r="E1906" t="str">
        <f>IFERROR(VLOOKUP(Tabela1[[#This Row],[CC]],CC!$A$1:$H$389,2,0),"")</f>
        <v>BRADESCO - DS 2 (1294)</v>
      </c>
      <c r="F1906" t="s">
        <v>586</v>
      </c>
      <c r="G1906" s="107">
        <v>4703</v>
      </c>
      <c r="H1906" s="12">
        <v>45992</v>
      </c>
      <c r="I1906" s="24">
        <v>69016.19</v>
      </c>
      <c r="J1906" s="24">
        <v>64771.7</v>
      </c>
      <c r="K1906" s="3">
        <v>46007</v>
      </c>
      <c r="L1906" s="147">
        <v>46020</v>
      </c>
      <c r="M1906" s="11">
        <v>46021</v>
      </c>
      <c r="N1906" s="1" t="s">
        <v>588</v>
      </c>
      <c r="O1906" s="34">
        <v>0</v>
      </c>
      <c r="P1906"/>
      <c r="Q1906" t="str">
        <f>IFERROR(VLOOKUP(Tabela1[[#This Row],[CC]],CC!$A$1:$H$389,5,0),"")</f>
        <v>ADS</v>
      </c>
      <c r="R1906" t="str">
        <f>IFERROR(VLOOKUP(Tabela1[[#This Row],[CC]],CC!$A$1:$H$389,6,0),"")</f>
        <v>FS</v>
      </c>
      <c r="S1906" t="str">
        <f>IFERROR(VLOOKUP(Tabela1[[#This Row],[CC]],CC!$A$1:$H$403,8,0),"")</f>
        <v>OP1</v>
      </c>
    </row>
    <row r="1907" spans="1:19" x14ac:dyDescent="0.3">
      <c r="A1907" s="25">
        <v>1294</v>
      </c>
      <c r="B1907" s="25" t="str">
        <f>IFERROR(VLOOKUP(Tabela1[[#This Row],[CC]],#REF!,5,0),"")</f>
        <v/>
      </c>
      <c r="C1907" t="str">
        <f>IFERROR(VLOOKUP(Tabela1[[#This Row],[CC]],CC!$A$1:$H$389,7,0),"")</f>
        <v>RITA ANDRADE</v>
      </c>
      <c r="D1907" t="str">
        <f>IFERROR(VLOOKUP(Tabela1[[#This Row],[CC]],CC!$A$1:$I$3869,3,0),"")</f>
        <v>BRADESCO</v>
      </c>
      <c r="E1907" t="str">
        <f>IFERROR(VLOOKUP(Tabela1[[#This Row],[CC]],CC!$A$1:$H$389,2,0),"")</f>
        <v>BRADESCO - DS 2 (1294)</v>
      </c>
      <c r="F1907" t="s">
        <v>586</v>
      </c>
      <c r="G1907" s="107">
        <v>4721</v>
      </c>
      <c r="H1907" s="12">
        <v>45992</v>
      </c>
      <c r="I1907" s="27">
        <v>122915.52</v>
      </c>
      <c r="J1907" s="24">
        <v>115356.22</v>
      </c>
      <c r="K1907" s="3">
        <v>46029</v>
      </c>
      <c r="L1907" s="147">
        <v>46041</v>
      </c>
      <c r="M1907" s="11">
        <v>46044</v>
      </c>
      <c r="N1907" s="1" t="s">
        <v>588</v>
      </c>
      <c r="O1907" s="34">
        <v>0</v>
      </c>
      <c r="P1907"/>
      <c r="Q1907" t="str">
        <f>IFERROR(VLOOKUP(Tabela1[[#This Row],[CC]],CC!$A$1:$H$389,5,0),"")</f>
        <v>ADS</v>
      </c>
      <c r="R1907" t="str">
        <f>IFERROR(VLOOKUP(Tabela1[[#This Row],[CC]],CC!$A$1:$H$389,6,0),"")</f>
        <v>FS</v>
      </c>
      <c r="S1907" t="str">
        <f>IFERROR(VLOOKUP(Tabela1[[#This Row],[CC]],CC!$A$1:$H$403,8,0),"")</f>
        <v>OP1</v>
      </c>
    </row>
    <row r="1908" spans="1:19" x14ac:dyDescent="0.3">
      <c r="A1908" s="25">
        <v>1294</v>
      </c>
      <c r="B1908" s="25" t="str">
        <f>IFERROR(VLOOKUP(Tabela1[[#This Row],[CC]],#REF!,5,0),"")</f>
        <v/>
      </c>
      <c r="C1908" t="str">
        <f>IFERROR(VLOOKUP(Tabela1[[#This Row],[CC]],CC!$A$1:$H$389,7,0),"")</f>
        <v>RITA ANDRADE</v>
      </c>
      <c r="D1908" t="str">
        <f>IFERROR(VLOOKUP(Tabela1[[#This Row],[CC]],CC!$A$1:$I$3869,3,0),"")</f>
        <v>BRADESCO</v>
      </c>
      <c r="E1908" t="str">
        <f>IFERROR(VLOOKUP(Tabela1[[#This Row],[CC]],CC!$A$1:$H$389,2,0),"")</f>
        <v>BRADESCO - DS 2 (1294)</v>
      </c>
      <c r="F1908" t="s">
        <v>586</v>
      </c>
      <c r="G1908" s="107">
        <v>4723</v>
      </c>
      <c r="H1908" s="12">
        <v>45992</v>
      </c>
      <c r="I1908" s="27">
        <v>16325.4</v>
      </c>
      <c r="J1908" s="24">
        <v>15321.39</v>
      </c>
      <c r="K1908" s="3">
        <v>46030</v>
      </c>
      <c r="L1908" s="147">
        <v>46041</v>
      </c>
      <c r="M1908" s="11">
        <v>46045</v>
      </c>
      <c r="N1908" s="1" t="s">
        <v>588</v>
      </c>
      <c r="O1908" s="34">
        <v>0</v>
      </c>
      <c r="P1908"/>
      <c r="Q1908" t="str">
        <f>IFERROR(VLOOKUP(Tabela1[[#This Row],[CC]],CC!$A$1:$H$389,5,0),"")</f>
        <v>ADS</v>
      </c>
      <c r="R1908" t="str">
        <f>IFERROR(VLOOKUP(Tabela1[[#This Row],[CC]],CC!$A$1:$H$389,6,0),"")</f>
        <v>FS</v>
      </c>
      <c r="S1908" t="str">
        <f>IFERROR(VLOOKUP(Tabela1[[#This Row],[CC]],CC!$A$1:$H$403,8,0),"")</f>
        <v>OP1</v>
      </c>
    </row>
    <row r="1909" spans="1:19" x14ac:dyDescent="0.3">
      <c r="A1909" s="25">
        <v>1294</v>
      </c>
      <c r="B1909" s="25" t="str">
        <f>IFERROR(VLOOKUP(Tabela1[[#This Row],[CC]],#REF!,5,0),"")</f>
        <v/>
      </c>
      <c r="C1909" t="str">
        <f>IFERROR(VLOOKUP(Tabela1[[#This Row],[CC]],CC!$A$1:$H$389,7,0),"")</f>
        <v>RITA ANDRADE</v>
      </c>
      <c r="D1909" t="str">
        <f>IFERROR(VLOOKUP(Tabela1[[#This Row],[CC]],CC!$A$1:$I$3869,3,0),"")</f>
        <v>BRADESCO</v>
      </c>
      <c r="E1909" t="str">
        <f>IFERROR(VLOOKUP(Tabela1[[#This Row],[CC]],CC!$A$1:$H$389,2,0),"")</f>
        <v>BRADESCO - DS 2 (1294)</v>
      </c>
      <c r="F1909" t="s">
        <v>586</v>
      </c>
      <c r="G1909" s="107">
        <v>4734</v>
      </c>
      <c r="H1909" s="12">
        <v>45992</v>
      </c>
      <c r="I1909" s="27">
        <v>13192.46</v>
      </c>
      <c r="J1909" s="27">
        <v>12381.12</v>
      </c>
      <c r="K1909" s="3">
        <v>46035</v>
      </c>
      <c r="L1909" s="147">
        <v>46048</v>
      </c>
      <c r="M1909" s="11">
        <v>46050</v>
      </c>
      <c r="N1909" s="1" t="s">
        <v>588</v>
      </c>
      <c r="O1909" s="34">
        <v>0</v>
      </c>
      <c r="P1909"/>
      <c r="Q1909" t="str">
        <f>IFERROR(VLOOKUP(Tabela1[[#This Row],[CC]],CC!$A$1:$H$389,5,0),"")</f>
        <v>ADS</v>
      </c>
      <c r="R1909" t="str">
        <f>IFERROR(VLOOKUP(Tabela1[[#This Row],[CC]],CC!$A$1:$H$389,6,0),"")</f>
        <v>FS</v>
      </c>
      <c r="S1909" t="str">
        <f>IFERROR(VLOOKUP(Tabela1[[#This Row],[CC]],CC!$A$1:$H$403,8,0),"")</f>
        <v>OP1</v>
      </c>
    </row>
    <row r="1910" spans="1:19" x14ac:dyDescent="0.3">
      <c r="A1910" s="25">
        <v>1294</v>
      </c>
      <c r="B1910" s="25" t="str">
        <f>IFERROR(VLOOKUP(Tabela1[[#This Row],[CC]],#REF!,5,0),"")</f>
        <v/>
      </c>
      <c r="C1910" t="str">
        <f>IFERROR(VLOOKUP(Tabela1[[#This Row],[CC]],CC!$A$1:$H$389,7,0),"")</f>
        <v>RITA ANDRADE</v>
      </c>
      <c r="D1910" t="str">
        <f>IFERROR(VLOOKUP(Tabela1[[#This Row],[CC]],CC!$A$1:$I$3869,3,0),"")</f>
        <v>BRADESCO</v>
      </c>
      <c r="E1910" t="str">
        <f>IFERROR(VLOOKUP(Tabela1[[#This Row],[CC]],CC!$A$1:$H$389,2,0),"")</f>
        <v>BRADESCO - DS 2 (1294)</v>
      </c>
      <c r="F1910" t="s">
        <v>586</v>
      </c>
      <c r="G1910" s="107">
        <v>4736</v>
      </c>
      <c r="H1910" s="12">
        <v>45992</v>
      </c>
      <c r="I1910" s="27">
        <v>123816</v>
      </c>
      <c r="J1910" s="24">
        <v>116201.32</v>
      </c>
      <c r="K1910" s="3">
        <v>46036</v>
      </c>
      <c r="L1910" s="147">
        <v>46048</v>
      </c>
      <c r="M1910" s="11">
        <v>46051</v>
      </c>
      <c r="N1910" s="1" t="s">
        <v>588</v>
      </c>
      <c r="O1910" s="34">
        <v>0</v>
      </c>
      <c r="P1910"/>
      <c r="Q1910" t="str">
        <f>IFERROR(VLOOKUP(Tabela1[[#This Row],[CC]],CC!$A$1:$H$389,5,0),"")</f>
        <v>ADS</v>
      </c>
      <c r="R1910" t="str">
        <f>IFERROR(VLOOKUP(Tabela1[[#This Row],[CC]],CC!$A$1:$H$389,6,0),"")</f>
        <v>FS</v>
      </c>
      <c r="S1910" t="str">
        <f>IFERROR(VLOOKUP(Tabela1[[#This Row],[CC]],CC!$A$1:$H$403,8,0),"")</f>
        <v>OP1</v>
      </c>
    </row>
    <row r="1911" spans="1:19" x14ac:dyDescent="0.3">
      <c r="A1911" s="25">
        <v>1294</v>
      </c>
      <c r="B1911" s="25" t="str">
        <f>IFERROR(VLOOKUP(Tabela1[[#This Row],[CC]],#REF!,5,0),"")</f>
        <v/>
      </c>
      <c r="C1911" t="str">
        <f>IFERROR(VLOOKUP(Tabela1[[#This Row],[CC]],CC!$A$1:$H$389,7,0),"")</f>
        <v>RITA ANDRADE</v>
      </c>
      <c r="D1911" t="str">
        <f>IFERROR(VLOOKUP(Tabela1[[#This Row],[CC]],CC!$A$1:$I$3869,3,0),"")</f>
        <v>BRADESCO</v>
      </c>
      <c r="E1911" t="str">
        <f>IFERROR(VLOOKUP(Tabela1[[#This Row],[CC]],CC!$A$1:$H$389,2,0),"")</f>
        <v>BRADESCO - DS 2 (1294)</v>
      </c>
      <c r="F1911" t="s">
        <v>586</v>
      </c>
      <c r="G1911" s="107">
        <v>4737</v>
      </c>
      <c r="H1911" s="12">
        <v>45992</v>
      </c>
      <c r="I1911" s="116">
        <v>181182.06</v>
      </c>
      <c r="J1911" s="24">
        <v>170039.36</v>
      </c>
      <c r="K1911" s="3">
        <v>46036</v>
      </c>
      <c r="L1911" s="147">
        <v>46048</v>
      </c>
      <c r="M1911" s="11">
        <v>46051</v>
      </c>
      <c r="N1911" s="1" t="s">
        <v>588</v>
      </c>
      <c r="O1911" s="34">
        <v>0</v>
      </c>
      <c r="P1911"/>
      <c r="Q1911" t="str">
        <f>IFERROR(VLOOKUP(Tabela1[[#This Row],[CC]],CC!$A$1:$H$389,5,0),"")</f>
        <v>ADS</v>
      </c>
      <c r="R1911" t="str">
        <f>IFERROR(VLOOKUP(Tabela1[[#This Row],[CC]],CC!$A$1:$H$389,6,0),"")</f>
        <v>FS</v>
      </c>
      <c r="S1911" t="str">
        <f>IFERROR(VLOOKUP(Tabela1[[#This Row],[CC]],CC!$A$1:$H$403,8,0),"")</f>
        <v>OP1</v>
      </c>
    </row>
    <row r="1912" spans="1:19" x14ac:dyDescent="0.3">
      <c r="A1912" s="25">
        <v>1294</v>
      </c>
      <c r="B1912" s="25" t="str">
        <f>IFERROR(VLOOKUP(Tabela1[[#This Row],[CC]],#REF!,5,0),"")</f>
        <v/>
      </c>
      <c r="C1912" t="str">
        <f>IFERROR(VLOOKUP(Tabela1[[#This Row],[CC]],CC!$A$1:$H$389,7,0),"")</f>
        <v>RITA ANDRADE</v>
      </c>
      <c r="D1912" t="str">
        <f>IFERROR(VLOOKUP(Tabela1[[#This Row],[CC]],CC!$A$1:$I$3869,3,0),"")</f>
        <v>BRADESCO</v>
      </c>
      <c r="E1912" t="str">
        <f>IFERROR(VLOOKUP(Tabela1[[#This Row],[CC]],CC!$A$1:$H$389,2,0),"")</f>
        <v>BRADESCO - DS 2 (1294)</v>
      </c>
      <c r="F1912" t="s">
        <v>586</v>
      </c>
      <c r="G1912" s="107">
        <v>4738</v>
      </c>
      <c r="H1912" s="12">
        <v>45992</v>
      </c>
      <c r="I1912" s="27">
        <v>247341.23</v>
      </c>
      <c r="J1912" s="24">
        <v>232129.74</v>
      </c>
      <c r="K1912" s="3">
        <v>46036</v>
      </c>
      <c r="L1912" s="147">
        <v>46048</v>
      </c>
      <c r="M1912" s="11">
        <v>46051</v>
      </c>
      <c r="N1912" s="1" t="s">
        <v>588</v>
      </c>
      <c r="O1912" s="34">
        <v>0</v>
      </c>
      <c r="P1912"/>
      <c r="Q1912" t="str">
        <f>IFERROR(VLOOKUP(Tabela1[[#This Row],[CC]],CC!$A$1:$H$389,5,0),"")</f>
        <v>ADS</v>
      </c>
      <c r="R1912" t="str">
        <f>IFERROR(VLOOKUP(Tabela1[[#This Row],[CC]],CC!$A$1:$H$389,6,0),"")</f>
        <v>FS</v>
      </c>
      <c r="S1912" t="str">
        <f>IFERROR(VLOOKUP(Tabela1[[#This Row],[CC]],CC!$A$1:$H$403,8,0),"")</f>
        <v>OP1</v>
      </c>
    </row>
    <row r="1913" spans="1:19" x14ac:dyDescent="0.3">
      <c r="A1913" s="25">
        <v>1294</v>
      </c>
      <c r="B1913" s="25" t="str">
        <f>IFERROR(VLOOKUP(Tabela1[[#This Row],[CC]],#REF!,5,0),"")</f>
        <v/>
      </c>
      <c r="C1913" t="str">
        <f>IFERROR(VLOOKUP(Tabela1[[#This Row],[CC]],CC!$A$1:$H$389,7,0),"")</f>
        <v>RITA ANDRADE</v>
      </c>
      <c r="D1913" t="str">
        <f>IFERROR(VLOOKUP(Tabela1[[#This Row],[CC]],CC!$A$1:$I$3869,3,0),"")</f>
        <v>BRADESCO</v>
      </c>
      <c r="E1913" t="str">
        <f>IFERROR(VLOOKUP(Tabela1[[#This Row],[CC]],CC!$A$1:$H$389,2,0),"")</f>
        <v>BRADESCO - DS 2 (1294)</v>
      </c>
      <c r="F1913" t="s">
        <v>586</v>
      </c>
      <c r="G1913" s="107">
        <v>4741</v>
      </c>
      <c r="H1913" s="12">
        <v>45992</v>
      </c>
      <c r="I1913" s="27">
        <v>86759.91</v>
      </c>
      <c r="J1913" s="27">
        <v>81424.17</v>
      </c>
      <c r="K1913" s="3">
        <v>46037</v>
      </c>
      <c r="L1913" s="147">
        <v>46048</v>
      </c>
      <c r="M1913" s="11">
        <v>46052</v>
      </c>
      <c r="N1913" s="1" t="s">
        <v>588</v>
      </c>
      <c r="O1913" s="34">
        <v>0</v>
      </c>
      <c r="P1913"/>
      <c r="Q1913" t="str">
        <f>IFERROR(VLOOKUP(Tabela1[[#This Row],[CC]],CC!$A$1:$H$389,5,0),"")</f>
        <v>ADS</v>
      </c>
      <c r="R1913" t="str">
        <f>IFERROR(VLOOKUP(Tabela1[[#This Row],[CC]],CC!$A$1:$H$389,6,0),"")</f>
        <v>FS</v>
      </c>
      <c r="S1913" t="str">
        <f>IFERROR(VLOOKUP(Tabela1[[#This Row],[CC]],CC!$A$1:$H$403,8,0),"")</f>
        <v>OP1</v>
      </c>
    </row>
    <row r="1914" spans="1:19" x14ac:dyDescent="0.3">
      <c r="A1914" s="25">
        <v>1294</v>
      </c>
      <c r="B1914" s="25" t="str">
        <f>IFERROR(VLOOKUP(Tabela1[[#This Row],[CC]],#REF!,5,0),"")</f>
        <v/>
      </c>
      <c r="C1914" t="str">
        <f>IFERROR(VLOOKUP(Tabela1[[#This Row],[CC]],CC!$A$1:$H$389,7,0),"")</f>
        <v>RITA ANDRADE</v>
      </c>
      <c r="D1914" t="str">
        <f>IFERROR(VLOOKUP(Tabela1[[#This Row],[CC]],CC!$A$1:$I$3869,3,0),"")</f>
        <v>BRADESCO</v>
      </c>
      <c r="E1914" t="str">
        <f>IFERROR(VLOOKUP(Tabela1[[#This Row],[CC]],CC!$A$1:$H$389,2,0),"")</f>
        <v>BRADESCO - DS 2 (1294)</v>
      </c>
      <c r="F1914" t="s">
        <v>586</v>
      </c>
      <c r="G1914" s="107">
        <v>4792</v>
      </c>
      <c r="H1914" s="12">
        <v>46023</v>
      </c>
      <c r="I1914" s="27">
        <v>86759.91</v>
      </c>
      <c r="J1914" s="27">
        <v>81424.17</v>
      </c>
      <c r="K1914" s="3">
        <v>46055</v>
      </c>
      <c r="L1914" s="147">
        <v>46069</v>
      </c>
      <c r="M1914" s="11">
        <v>46071</v>
      </c>
      <c r="N1914" s="1" t="s">
        <v>588</v>
      </c>
      <c r="O1914" s="34">
        <v>0</v>
      </c>
      <c r="P1914"/>
      <c r="Q1914" t="str">
        <f>IFERROR(VLOOKUP(Tabela1[[#This Row],[CC]],CC!$A$1:$H$389,5,0),"")</f>
        <v>ADS</v>
      </c>
      <c r="R1914" t="str">
        <f>IFERROR(VLOOKUP(Tabela1[[#This Row],[CC]],CC!$A$1:$H$389,6,0),"")</f>
        <v>FS</v>
      </c>
      <c r="S1914" t="str">
        <f>IFERROR(VLOOKUP(Tabela1[[#This Row],[CC]],CC!$A$1:$H$403,8,0),"")</f>
        <v>OP1</v>
      </c>
    </row>
    <row r="1915" spans="1:19" x14ac:dyDescent="0.3">
      <c r="A1915" s="25">
        <v>1294</v>
      </c>
      <c r="B1915" s="25" t="str">
        <f>IFERROR(VLOOKUP(Tabela1[[#This Row],[CC]],#REF!,5,0),"")</f>
        <v/>
      </c>
      <c r="C1915" t="str">
        <f>IFERROR(VLOOKUP(Tabela1[[#This Row],[CC]],CC!$A$1:$H$389,7,0),"")</f>
        <v>RITA ANDRADE</v>
      </c>
      <c r="D1915" t="str">
        <f>IFERROR(VLOOKUP(Tabela1[[#This Row],[CC]],CC!$A$1:$I$3869,3,0),"")</f>
        <v>BRADESCO</v>
      </c>
      <c r="E1915" t="str">
        <f>IFERROR(VLOOKUP(Tabela1[[#This Row],[CC]],CC!$A$1:$H$389,2,0),"")</f>
        <v>BRADESCO - DS 2 (1294)</v>
      </c>
      <c r="F1915" t="s">
        <v>586</v>
      </c>
      <c r="G1915" s="107">
        <v>4791</v>
      </c>
      <c r="H1915" s="12">
        <v>45992</v>
      </c>
      <c r="I1915" s="27">
        <v>53988.63</v>
      </c>
      <c r="J1915" s="27">
        <v>50668.33</v>
      </c>
      <c r="K1915" s="3">
        <v>46055</v>
      </c>
      <c r="L1915" s="147">
        <v>46069</v>
      </c>
      <c r="M1915" s="11">
        <v>46071</v>
      </c>
      <c r="N1915" s="1" t="s">
        <v>588</v>
      </c>
      <c r="O1915" s="34">
        <v>0</v>
      </c>
      <c r="P1915"/>
      <c r="Q1915" t="str">
        <f>IFERROR(VLOOKUP(Tabela1[[#This Row],[CC]],CC!$A$1:$H$389,5,0),"")</f>
        <v>ADS</v>
      </c>
      <c r="R1915" t="str">
        <f>IFERROR(VLOOKUP(Tabela1[[#This Row],[CC]],CC!$A$1:$H$389,6,0),"")</f>
        <v>FS</v>
      </c>
      <c r="S1915" t="str">
        <f>IFERROR(VLOOKUP(Tabela1[[#This Row],[CC]],CC!$A$1:$H$403,8,0),"")</f>
        <v>OP1</v>
      </c>
    </row>
    <row r="1916" spans="1:19" x14ac:dyDescent="0.3">
      <c r="A1916" s="25">
        <v>1294</v>
      </c>
      <c r="B1916" s="25" t="str">
        <f>IFERROR(VLOOKUP(Tabela1[[#This Row],[CC]],#REF!,5,0),"")</f>
        <v/>
      </c>
      <c r="C1916" t="str">
        <f>IFERROR(VLOOKUP(Tabela1[[#This Row],[CC]],CC!$A$1:$H$389,7,0),"")</f>
        <v>RITA ANDRADE</v>
      </c>
      <c r="D1916" t="str">
        <f>IFERROR(VLOOKUP(Tabela1[[#This Row],[CC]],CC!$A$1:$I$3869,3,0),"")</f>
        <v>BRADESCO</v>
      </c>
      <c r="E1916" t="str">
        <f>IFERROR(VLOOKUP(Tabela1[[#This Row],[CC]],CC!$A$1:$H$389,2,0),"")</f>
        <v>BRADESCO - DS 2 (1294)</v>
      </c>
      <c r="F1916" t="s">
        <v>586</v>
      </c>
      <c r="G1916" s="107">
        <v>4819</v>
      </c>
      <c r="H1916" s="12">
        <v>46023</v>
      </c>
      <c r="I1916" s="27">
        <v>1569.75</v>
      </c>
      <c r="J1916" s="24">
        <v>1473.21</v>
      </c>
      <c r="K1916" s="3">
        <v>46059</v>
      </c>
      <c r="L1916" s="147">
        <v>46076</v>
      </c>
      <c r="M1916" s="11">
        <v>46076</v>
      </c>
      <c r="N1916" s="1" t="s">
        <v>588</v>
      </c>
      <c r="O1916" s="34">
        <v>0</v>
      </c>
      <c r="P1916"/>
      <c r="Q1916" t="str">
        <f>IFERROR(VLOOKUP(Tabela1[[#This Row],[CC]],CC!$A$1:$H$389,5,0),"")</f>
        <v>ADS</v>
      </c>
      <c r="R1916" t="str">
        <f>IFERROR(VLOOKUP(Tabela1[[#This Row],[CC]],CC!$A$1:$H$389,6,0),"")</f>
        <v>FS</v>
      </c>
      <c r="S1916" t="str">
        <f>IFERROR(VLOOKUP(Tabela1[[#This Row],[CC]],CC!$A$1:$H$403,8,0),"")</f>
        <v>OP1</v>
      </c>
    </row>
    <row r="1917" spans="1:19" x14ac:dyDescent="0.3">
      <c r="A1917" s="25">
        <v>1294</v>
      </c>
      <c r="B1917" s="25" t="str">
        <f>IFERROR(VLOOKUP(Tabela1[[#This Row],[CC]],#REF!,5,0),"")</f>
        <v/>
      </c>
      <c r="C1917" t="str">
        <f>IFERROR(VLOOKUP(Tabela1[[#This Row],[CC]],CC!$A$1:$H$389,7,0),"")</f>
        <v>RITA ANDRADE</v>
      </c>
      <c r="D1917" t="str">
        <f>IFERROR(VLOOKUP(Tabela1[[#This Row],[CC]],CC!$A$1:$I$3869,3,0),"")</f>
        <v>BRADESCO</v>
      </c>
      <c r="E1917" t="str">
        <f>IFERROR(VLOOKUP(Tabela1[[#This Row],[CC]],CC!$A$1:$H$389,2,0),"")</f>
        <v>BRADESCO - DS 2 (1294)</v>
      </c>
      <c r="F1917" t="s">
        <v>586</v>
      </c>
      <c r="G1917" s="107">
        <v>4826</v>
      </c>
      <c r="H1917" s="12">
        <v>46023</v>
      </c>
      <c r="I1917" s="27">
        <v>23517</v>
      </c>
      <c r="J1917" s="27">
        <v>22070.7</v>
      </c>
      <c r="K1917" s="3">
        <v>46062</v>
      </c>
      <c r="L1917" s="147">
        <v>46076</v>
      </c>
      <c r="M1917" s="11">
        <v>46077</v>
      </c>
      <c r="N1917" s="1" t="s">
        <v>588</v>
      </c>
      <c r="O1917" s="34">
        <v>0</v>
      </c>
      <c r="P1917"/>
      <c r="Q1917" t="str">
        <f>IFERROR(VLOOKUP(Tabela1[[#This Row],[CC]],CC!$A$1:$H$389,5,0),"")</f>
        <v>ADS</v>
      </c>
      <c r="R1917" t="str">
        <f>IFERROR(VLOOKUP(Tabela1[[#This Row],[CC]],CC!$A$1:$H$389,6,0),"")</f>
        <v>FS</v>
      </c>
      <c r="S1917" t="str">
        <f>IFERROR(VLOOKUP(Tabela1[[#This Row],[CC]],CC!$A$1:$H$403,8,0),"")</f>
        <v>OP1</v>
      </c>
    </row>
    <row r="1918" spans="1:19" x14ac:dyDescent="0.3">
      <c r="A1918" s="25">
        <v>1294</v>
      </c>
      <c r="B1918" s="25" t="str">
        <f>IFERROR(VLOOKUP(Tabela1[[#This Row],[CC]],#REF!,5,0),"")</f>
        <v/>
      </c>
      <c r="C1918" t="str">
        <f>IFERROR(VLOOKUP(Tabela1[[#This Row],[CC]],CC!$A$1:$H$389,7,0),"")</f>
        <v>RITA ANDRADE</v>
      </c>
      <c r="D1918" t="str">
        <f>IFERROR(VLOOKUP(Tabela1[[#This Row],[CC]],CC!$A$1:$I$3869,3,0),"")</f>
        <v>BRADESCO</v>
      </c>
      <c r="E1918" t="str">
        <f>IFERROR(VLOOKUP(Tabela1[[#This Row],[CC]],CC!$A$1:$H$389,2,0),"")</f>
        <v>BRADESCO - DS 2 (1294)</v>
      </c>
      <c r="F1918" t="s">
        <v>586</v>
      </c>
      <c r="G1918" s="107">
        <v>4827</v>
      </c>
      <c r="H1918" s="12">
        <v>46023</v>
      </c>
      <c r="I1918" s="27">
        <v>131695.20000000001</v>
      </c>
      <c r="J1918" s="27">
        <v>123595.94</v>
      </c>
      <c r="K1918" s="3">
        <v>46062</v>
      </c>
      <c r="L1918" s="147">
        <v>46076</v>
      </c>
      <c r="M1918" s="11">
        <v>46077</v>
      </c>
      <c r="N1918" s="1" t="s">
        <v>588</v>
      </c>
      <c r="O1918" s="34">
        <v>0</v>
      </c>
      <c r="P1918"/>
      <c r="Q1918" t="str">
        <f>IFERROR(VLOOKUP(Tabela1[[#This Row],[CC]],CC!$A$1:$H$389,5,0),"")</f>
        <v>ADS</v>
      </c>
      <c r="R1918" t="str">
        <f>IFERROR(VLOOKUP(Tabela1[[#This Row],[CC]],CC!$A$1:$H$389,6,0),"")</f>
        <v>FS</v>
      </c>
      <c r="S1918" t="str">
        <f>IFERROR(VLOOKUP(Tabela1[[#This Row],[CC]],CC!$A$1:$H$403,8,0),"")</f>
        <v>OP1</v>
      </c>
    </row>
    <row r="1919" spans="1:19" x14ac:dyDescent="0.3">
      <c r="A1919" s="25">
        <v>1294</v>
      </c>
      <c r="B1919" s="25" t="str">
        <f>IFERROR(VLOOKUP(Tabela1[[#This Row],[CC]],#REF!,5,0),"")</f>
        <v/>
      </c>
      <c r="C1919" t="str">
        <f>IFERROR(VLOOKUP(Tabela1[[#This Row],[CC]],CC!$A$1:$H$389,7,0),"")</f>
        <v>RITA ANDRADE</v>
      </c>
      <c r="D1919" t="str">
        <f>IFERROR(VLOOKUP(Tabela1[[#This Row],[CC]],CC!$A$1:$I$3869,3,0),"")</f>
        <v>BRADESCO</v>
      </c>
      <c r="E1919" t="str">
        <f>IFERROR(VLOOKUP(Tabela1[[#This Row],[CC]],CC!$A$1:$H$389,2,0),"")</f>
        <v>BRADESCO - DS 2 (1294)</v>
      </c>
      <c r="F1919" t="s">
        <v>586</v>
      </c>
      <c r="G1919" s="107">
        <v>4829</v>
      </c>
      <c r="H1919" s="12">
        <v>46023</v>
      </c>
      <c r="I1919" s="24">
        <v>110965.1</v>
      </c>
      <c r="J1919" s="24">
        <v>104140.74</v>
      </c>
      <c r="K1919" s="3">
        <v>46063</v>
      </c>
      <c r="L1919" s="147">
        <v>46076</v>
      </c>
      <c r="M1919" s="11">
        <v>46078</v>
      </c>
      <c r="N1919" s="1" t="s">
        <v>588</v>
      </c>
      <c r="O1919" s="34">
        <v>0</v>
      </c>
      <c r="P1919"/>
      <c r="Q1919" t="str">
        <f>IFERROR(VLOOKUP(Tabela1[[#This Row],[CC]],CC!$A$1:$H$389,5,0),"")</f>
        <v>ADS</v>
      </c>
      <c r="R1919" t="str">
        <f>IFERROR(VLOOKUP(Tabela1[[#This Row],[CC]],CC!$A$1:$H$389,6,0),"")</f>
        <v>FS</v>
      </c>
      <c r="S1919" t="str">
        <f>IFERROR(VLOOKUP(Tabela1[[#This Row],[CC]],CC!$A$1:$H$403,8,0),"")</f>
        <v>OP1</v>
      </c>
    </row>
    <row r="1920" spans="1:19" x14ac:dyDescent="0.3">
      <c r="A1920" s="25">
        <v>1294</v>
      </c>
      <c r="B1920" s="25" t="str">
        <f>IFERROR(VLOOKUP(Tabela1[[#This Row],[CC]],#REF!,5,0),"")</f>
        <v/>
      </c>
      <c r="C1920" t="str">
        <f>IFERROR(VLOOKUP(Tabela1[[#This Row],[CC]],CC!$A$1:$H$389,7,0),"")</f>
        <v>RITA ANDRADE</v>
      </c>
      <c r="D1920" t="str">
        <f>IFERROR(VLOOKUP(Tabela1[[#This Row],[CC]],CC!$A$1:$I$3869,3,0),"")</f>
        <v>BRADESCO</v>
      </c>
      <c r="E1920" t="str">
        <f>IFERROR(VLOOKUP(Tabela1[[#This Row],[CC]],CC!$A$1:$H$389,2,0),"")</f>
        <v>BRADESCO - DS 2 (1294)</v>
      </c>
      <c r="F1920" t="s">
        <v>586</v>
      </c>
      <c r="G1920" s="107">
        <v>4844</v>
      </c>
      <c r="H1920" s="12">
        <v>46023</v>
      </c>
      <c r="I1920" s="27">
        <v>247341.23</v>
      </c>
      <c r="J1920" s="27">
        <v>232129.74</v>
      </c>
      <c r="K1920" s="3">
        <v>46065</v>
      </c>
      <c r="L1920" s="147">
        <v>46076</v>
      </c>
      <c r="M1920" s="11">
        <v>46080</v>
      </c>
      <c r="N1920" s="1" t="s">
        <v>588</v>
      </c>
      <c r="O1920" s="34">
        <v>0</v>
      </c>
      <c r="P1920"/>
      <c r="Q1920" t="str">
        <f>IFERROR(VLOOKUP(Tabela1[[#This Row],[CC]],CC!$A$1:$H$389,5,0),"")</f>
        <v>ADS</v>
      </c>
      <c r="R1920" t="str">
        <f>IFERROR(VLOOKUP(Tabela1[[#This Row],[CC]],CC!$A$1:$H$389,6,0),"")</f>
        <v>FS</v>
      </c>
      <c r="S1920" t="str">
        <f>IFERROR(VLOOKUP(Tabela1[[#This Row],[CC]],CC!$A$1:$H$403,8,0),"")</f>
        <v>OP1</v>
      </c>
    </row>
    <row r="1921" spans="1:19" x14ac:dyDescent="0.3">
      <c r="A1921" s="25">
        <v>1294</v>
      </c>
      <c r="B1921" s="25" t="str">
        <f>IFERROR(VLOOKUP(Tabela1[[#This Row],[CC]],#REF!,5,0),"")</f>
        <v/>
      </c>
      <c r="C1921" t="str">
        <f>IFERROR(VLOOKUP(Tabela1[[#This Row],[CC]],CC!$A$1:$H$389,7,0),"")</f>
        <v>RITA ANDRADE</v>
      </c>
      <c r="D1921" t="str">
        <f>IFERROR(VLOOKUP(Tabela1[[#This Row],[CC]],CC!$A$1:$I$3869,3,0),"")</f>
        <v>BRADESCO</v>
      </c>
      <c r="E1921" t="str">
        <f>IFERROR(VLOOKUP(Tabela1[[#This Row],[CC]],CC!$A$1:$H$389,2,0),"")</f>
        <v>BRADESCO - DS 2 (1294)</v>
      </c>
      <c r="F1921" t="s">
        <v>586</v>
      </c>
      <c r="G1921" s="107">
        <v>4845</v>
      </c>
      <c r="H1921" s="12">
        <v>46023</v>
      </c>
      <c r="I1921" s="116">
        <v>180997.18</v>
      </c>
      <c r="J1921" s="24">
        <v>169865.85</v>
      </c>
      <c r="K1921" s="3">
        <v>46065</v>
      </c>
      <c r="L1921" s="147">
        <v>46076</v>
      </c>
      <c r="M1921" s="11">
        <v>46080</v>
      </c>
      <c r="N1921" s="1" t="s">
        <v>588</v>
      </c>
      <c r="O1921" s="34">
        <v>0</v>
      </c>
      <c r="P1921"/>
      <c r="Q1921" t="str">
        <f>IFERROR(VLOOKUP(Tabela1[[#This Row],[CC]],CC!$A$1:$H$389,5,0),"")</f>
        <v>ADS</v>
      </c>
      <c r="R1921" t="str">
        <f>IFERROR(VLOOKUP(Tabela1[[#This Row],[CC]],CC!$A$1:$H$389,6,0),"")</f>
        <v>FS</v>
      </c>
      <c r="S1921" t="str">
        <f>IFERROR(VLOOKUP(Tabela1[[#This Row],[CC]],CC!$A$1:$H$403,8,0),"")</f>
        <v>OP1</v>
      </c>
    </row>
    <row r="1922" spans="1:19" x14ac:dyDescent="0.3">
      <c r="A1922" s="25">
        <v>1294</v>
      </c>
      <c r="B1922" s="25" t="str">
        <f>IFERROR(VLOOKUP(Tabela1[[#This Row],[CC]],#REF!,5,0),"")</f>
        <v/>
      </c>
      <c r="C1922" t="str">
        <f>IFERROR(VLOOKUP(Tabela1[[#This Row],[CC]],CC!$A$1:$H$389,7,0),"")</f>
        <v>RITA ANDRADE</v>
      </c>
      <c r="D1922" t="str">
        <f>IFERROR(VLOOKUP(Tabela1[[#This Row],[CC]],CC!$A$1:$I$3869,3,0),"")</f>
        <v>BRADESCO</v>
      </c>
      <c r="E1922" t="str">
        <f>IFERROR(VLOOKUP(Tabela1[[#This Row],[CC]],CC!$A$1:$H$389,2,0),"")</f>
        <v>BRADESCO - DS 2 (1294)</v>
      </c>
      <c r="F1922" t="s">
        <v>586</v>
      </c>
      <c r="G1922" s="107">
        <v>4849</v>
      </c>
      <c r="H1922" s="12">
        <v>46023</v>
      </c>
      <c r="I1922" s="24">
        <v>53988.63</v>
      </c>
      <c r="J1922" s="24">
        <v>50668.33</v>
      </c>
      <c r="K1922" s="3">
        <v>46066</v>
      </c>
      <c r="L1922" s="147">
        <v>46083</v>
      </c>
      <c r="M1922" s="11">
        <v>46083</v>
      </c>
      <c r="N1922" s="1" t="s">
        <v>588</v>
      </c>
      <c r="O1922" s="34">
        <v>0</v>
      </c>
      <c r="P1922"/>
      <c r="Q1922" t="str">
        <f>IFERROR(VLOOKUP(Tabela1[[#This Row],[CC]],CC!$A$1:$H$389,5,0),"")</f>
        <v>ADS</v>
      </c>
      <c r="R1922" t="str">
        <f>IFERROR(VLOOKUP(Tabela1[[#This Row],[CC]],CC!$A$1:$H$389,6,0),"")</f>
        <v>FS</v>
      </c>
      <c r="S1922" t="str">
        <f>IFERROR(VLOOKUP(Tabela1[[#This Row],[CC]],CC!$A$1:$H$403,8,0),"")</f>
        <v>OP1</v>
      </c>
    </row>
    <row r="1923" spans="1:19" x14ac:dyDescent="0.3">
      <c r="A1923" s="25">
        <v>1294</v>
      </c>
      <c r="B1923" s="25" t="str">
        <f>IFERROR(VLOOKUP(Tabela1[[#This Row],[CC]],#REF!,5,0),"")</f>
        <v/>
      </c>
      <c r="C1923" t="str">
        <f>IFERROR(VLOOKUP(Tabela1[[#This Row],[CC]],CC!$A$1:$H$389,7,0),"")</f>
        <v>RITA ANDRADE</v>
      </c>
      <c r="D1923" t="str">
        <f>IFERROR(VLOOKUP(Tabela1[[#This Row],[CC]],CC!$A$1:$I$3869,3,0),"")</f>
        <v>BRADESCO</v>
      </c>
      <c r="E1923" t="str">
        <f>IFERROR(VLOOKUP(Tabela1[[#This Row],[CC]],CC!$A$1:$H$389,2,0),"")</f>
        <v>BRADESCO - DS 2 (1294)</v>
      </c>
      <c r="F1923" t="s">
        <v>586</v>
      </c>
      <c r="G1923" s="107">
        <v>4865</v>
      </c>
      <c r="H1923" s="12">
        <v>46023</v>
      </c>
      <c r="I1923" s="24">
        <v>19968.05</v>
      </c>
      <c r="J1923" s="27">
        <v>18740.02</v>
      </c>
      <c r="K1923" s="3">
        <v>46072</v>
      </c>
      <c r="L1923" s="147">
        <v>46083</v>
      </c>
      <c r="M1923" s="11">
        <v>46087</v>
      </c>
      <c r="N1923" s="1" t="s">
        <v>588</v>
      </c>
      <c r="O1923" s="34">
        <v>0</v>
      </c>
      <c r="P1923"/>
      <c r="Q1923" t="str">
        <f>IFERROR(VLOOKUP(Tabela1[[#This Row],[CC]],CC!$A$1:$H$389,5,0),"")</f>
        <v>ADS</v>
      </c>
      <c r="R1923" t="str">
        <f>IFERROR(VLOOKUP(Tabela1[[#This Row],[CC]],CC!$A$1:$H$389,6,0),"")</f>
        <v>FS</v>
      </c>
      <c r="S1923" t="str">
        <f>IFERROR(VLOOKUP(Tabela1[[#This Row],[CC]],CC!$A$1:$H$403,8,0),"")</f>
        <v>OP1</v>
      </c>
    </row>
    <row r="1924" spans="1:19" x14ac:dyDescent="0.3">
      <c r="A1924" s="25">
        <v>1294</v>
      </c>
      <c r="B1924" s="25" t="str">
        <f>IFERROR(VLOOKUP(Tabela1[[#This Row],[CC]],#REF!,5,0),"")</f>
        <v/>
      </c>
      <c r="C1924" t="str">
        <f>IFERROR(VLOOKUP(Tabela1[[#This Row],[CC]],CC!$A$1:$H$389,7,0),"")</f>
        <v>RITA ANDRADE</v>
      </c>
      <c r="D1924" t="str">
        <f>IFERROR(VLOOKUP(Tabela1[[#This Row],[CC]],CC!$A$1:$I$3869,3,0),"")</f>
        <v>BRADESCO</v>
      </c>
      <c r="E1924" t="str">
        <f>IFERROR(VLOOKUP(Tabela1[[#This Row],[CC]],CC!$A$1:$H$389,2,0),"")</f>
        <v>BRADESCO - DS 2 (1294)</v>
      </c>
      <c r="F1924" t="s">
        <v>586</v>
      </c>
      <c r="G1924" s="107">
        <v>4866</v>
      </c>
      <c r="H1924" s="12">
        <v>46023</v>
      </c>
      <c r="I1924" s="24">
        <v>19968.05</v>
      </c>
      <c r="J1924" s="27">
        <v>18740.02</v>
      </c>
      <c r="K1924" s="3">
        <v>46072</v>
      </c>
      <c r="L1924" s="147">
        <v>46083</v>
      </c>
      <c r="M1924" s="11">
        <v>46087</v>
      </c>
      <c r="N1924" s="1" t="s">
        <v>588</v>
      </c>
      <c r="O1924" s="34">
        <v>0</v>
      </c>
      <c r="P1924"/>
      <c r="Q1924" t="str">
        <f>IFERROR(VLOOKUP(Tabela1[[#This Row],[CC]],CC!$A$1:$H$389,5,0),"")</f>
        <v>ADS</v>
      </c>
      <c r="R1924" t="str">
        <f>IFERROR(VLOOKUP(Tabela1[[#This Row],[CC]],CC!$A$1:$H$389,6,0),"")</f>
        <v>FS</v>
      </c>
      <c r="S1924" t="str">
        <f>IFERROR(VLOOKUP(Tabela1[[#This Row],[CC]],CC!$A$1:$H$403,8,0),"")</f>
        <v>OP1</v>
      </c>
    </row>
    <row r="1925" spans="1:19" x14ac:dyDescent="0.3">
      <c r="A1925" s="25">
        <v>1294</v>
      </c>
      <c r="B1925" s="25" t="str">
        <f>IFERROR(VLOOKUP(Tabela1[[#This Row],[CC]],#REF!,5,0),"")</f>
        <v/>
      </c>
      <c r="C1925" t="str">
        <f>IFERROR(VLOOKUP(Tabela1[[#This Row],[CC]],CC!$A$1:$H$389,7,0),"")</f>
        <v>RITA ANDRADE</v>
      </c>
      <c r="D1925" t="str">
        <f>IFERROR(VLOOKUP(Tabela1[[#This Row],[CC]],CC!$A$1:$I$3869,3,0),"")</f>
        <v>BRADESCO</v>
      </c>
      <c r="E1925" t="str">
        <f>IFERROR(VLOOKUP(Tabela1[[#This Row],[CC]],CC!$A$1:$H$389,2,0),"")</f>
        <v>BRADESCO - DS 2 (1294)</v>
      </c>
      <c r="F1925" t="s">
        <v>586</v>
      </c>
      <c r="G1925" s="107">
        <v>4867</v>
      </c>
      <c r="H1925" s="12">
        <v>46023</v>
      </c>
      <c r="I1925" s="24">
        <v>19968.05</v>
      </c>
      <c r="J1925" s="27">
        <v>18740.02</v>
      </c>
      <c r="K1925" s="3">
        <v>46072</v>
      </c>
      <c r="L1925" s="147">
        <v>46083</v>
      </c>
      <c r="M1925" s="11">
        <v>46087</v>
      </c>
      <c r="N1925" s="1" t="s">
        <v>588</v>
      </c>
      <c r="O1925" s="34">
        <v>0</v>
      </c>
      <c r="P1925"/>
      <c r="Q1925" t="str">
        <f>IFERROR(VLOOKUP(Tabela1[[#This Row],[CC]],CC!$A$1:$H$389,5,0),"")</f>
        <v>ADS</v>
      </c>
      <c r="R1925" t="str">
        <f>IFERROR(VLOOKUP(Tabela1[[#This Row],[CC]],CC!$A$1:$H$389,6,0),"")</f>
        <v>FS</v>
      </c>
      <c r="S1925" t="str">
        <f>IFERROR(VLOOKUP(Tabela1[[#This Row],[CC]],CC!$A$1:$H$403,8,0),"")</f>
        <v>OP1</v>
      </c>
    </row>
    <row r="1926" spans="1:19" x14ac:dyDescent="0.3">
      <c r="A1926" s="25">
        <v>1294</v>
      </c>
      <c r="B1926" s="25" t="str">
        <f>IFERROR(VLOOKUP(Tabela1[[#This Row],[CC]],#REF!,5,0),"")</f>
        <v/>
      </c>
      <c r="C1926" t="str">
        <f>IFERROR(VLOOKUP(Tabela1[[#This Row],[CC]],CC!$A$1:$H$389,7,0),"")</f>
        <v>RITA ANDRADE</v>
      </c>
      <c r="D1926" t="str">
        <f>IFERROR(VLOOKUP(Tabela1[[#This Row],[CC]],CC!$A$1:$I$3869,3,0),"")</f>
        <v>BRADESCO</v>
      </c>
      <c r="E1926" t="str">
        <f>IFERROR(VLOOKUP(Tabela1[[#This Row],[CC]],CC!$A$1:$H$389,2,0),"")</f>
        <v>BRADESCO - DS 2 (1294)</v>
      </c>
      <c r="F1926" t="s">
        <v>586</v>
      </c>
      <c r="G1926" s="107">
        <v>4903</v>
      </c>
      <c r="H1926" s="12">
        <v>46054</v>
      </c>
      <c r="I1926" s="27">
        <v>86871.51</v>
      </c>
      <c r="J1926" s="24">
        <v>81528.91</v>
      </c>
      <c r="K1926" s="3">
        <v>46083</v>
      </c>
      <c r="L1926" s="147">
        <v>46097</v>
      </c>
      <c r="M1926" s="11">
        <v>46098</v>
      </c>
      <c r="N1926" s="1" t="s">
        <v>588</v>
      </c>
      <c r="O1926" s="34">
        <v>0</v>
      </c>
      <c r="P1926"/>
      <c r="Q1926" t="str">
        <f>IFERROR(VLOOKUP(Tabela1[[#This Row],[CC]],CC!$A$1:$H$389,5,0),"")</f>
        <v>ADS</v>
      </c>
      <c r="R1926" t="str">
        <f>IFERROR(VLOOKUP(Tabela1[[#This Row],[CC]],CC!$A$1:$H$389,6,0),"")</f>
        <v>FS</v>
      </c>
      <c r="S1926" t="str">
        <f>IFERROR(VLOOKUP(Tabela1[[#This Row],[CC]],CC!$A$1:$H$403,8,0),"")</f>
        <v>OP1</v>
      </c>
    </row>
    <row r="1927" spans="1:19" x14ac:dyDescent="0.3">
      <c r="A1927" s="25">
        <v>1294</v>
      </c>
      <c r="B1927" s="25" t="str">
        <f>IFERROR(VLOOKUP(Tabela1[[#This Row],[CC]],#REF!,5,0),"")</f>
        <v/>
      </c>
      <c r="C1927" t="str">
        <f>IFERROR(VLOOKUP(Tabela1[[#This Row],[CC]],CC!$A$1:$H$389,7,0),"")</f>
        <v>RITA ANDRADE</v>
      </c>
      <c r="D1927" t="str">
        <f>IFERROR(VLOOKUP(Tabela1[[#This Row],[CC]],CC!$A$1:$I$3869,3,0),"")</f>
        <v>BRADESCO</v>
      </c>
      <c r="E1927" t="str">
        <f>IFERROR(VLOOKUP(Tabela1[[#This Row],[CC]],CC!$A$1:$H$389,2,0),"")</f>
        <v>BRADESCO - DS 2 (1294)</v>
      </c>
      <c r="F1927" t="s">
        <v>586</v>
      </c>
      <c r="G1927" s="107">
        <v>4925</v>
      </c>
      <c r="H1927" s="115">
        <v>45992</v>
      </c>
      <c r="I1927" s="27">
        <v>247660.38</v>
      </c>
      <c r="J1927" s="24">
        <v>232429.26</v>
      </c>
      <c r="K1927" s="3">
        <v>46091</v>
      </c>
      <c r="L1927" s="147">
        <v>46104</v>
      </c>
      <c r="M1927" s="11">
        <v>46106</v>
      </c>
      <c r="N1927" s="1" t="s">
        <v>588</v>
      </c>
      <c r="O1927" s="34">
        <v>0</v>
      </c>
      <c r="P1927"/>
      <c r="Q1927" t="str">
        <f>IFERROR(VLOOKUP(Tabela1[[#This Row],[CC]],CC!$A$1:$H$389,5,0),"")</f>
        <v>ADS</v>
      </c>
      <c r="R1927" t="str">
        <f>IFERROR(VLOOKUP(Tabela1[[#This Row],[CC]],CC!$A$1:$H$389,6,0),"")</f>
        <v>FS</v>
      </c>
      <c r="S1927" t="str">
        <f>IFERROR(VLOOKUP(Tabela1[[#This Row],[CC]],CC!$A$1:$H$403,8,0),"")</f>
        <v>OP1</v>
      </c>
    </row>
    <row r="1928" spans="1:19" x14ac:dyDescent="0.3">
      <c r="A1928" s="25">
        <v>1294</v>
      </c>
      <c r="B1928" s="25" t="str">
        <f>IFERROR(VLOOKUP(Tabela1[[#This Row],[CC]],#REF!,5,0),"")</f>
        <v/>
      </c>
      <c r="C1928" t="str">
        <f>IFERROR(VLOOKUP(Tabela1[[#This Row],[CC]],CC!$A$1:$H$389,7,0),"")</f>
        <v>RITA ANDRADE</v>
      </c>
      <c r="D1928" t="str">
        <f>IFERROR(VLOOKUP(Tabela1[[#This Row],[CC]],CC!$A$1:$I$3869,3,0),"")</f>
        <v>BRADESCO</v>
      </c>
      <c r="E1928" t="str">
        <f>IFERROR(VLOOKUP(Tabela1[[#This Row],[CC]],CC!$A$1:$H$389,2,0),"")</f>
        <v>BRADESCO - DS 2 (1294)</v>
      </c>
      <c r="F1928" t="s">
        <v>586</v>
      </c>
      <c r="G1928" s="107">
        <v>4926</v>
      </c>
      <c r="H1928" s="12">
        <v>46054</v>
      </c>
      <c r="I1928" s="27">
        <v>124017</v>
      </c>
      <c r="J1928" s="27">
        <v>116389.95</v>
      </c>
      <c r="K1928" s="3">
        <v>46092</v>
      </c>
      <c r="L1928" s="147">
        <v>46104</v>
      </c>
      <c r="M1928" s="11">
        <v>46107</v>
      </c>
      <c r="N1928" s="1" t="s">
        <v>588</v>
      </c>
      <c r="O1928" s="34">
        <v>0</v>
      </c>
      <c r="P1928"/>
      <c r="Q1928" t="str">
        <f>IFERROR(VLOOKUP(Tabela1[[#This Row],[CC]],CC!$A$1:$H$389,5,0),"")</f>
        <v>ADS</v>
      </c>
      <c r="R1928" t="str">
        <f>IFERROR(VLOOKUP(Tabela1[[#This Row],[CC]],CC!$A$1:$H$389,6,0),"")</f>
        <v>FS</v>
      </c>
      <c r="S1928" t="str">
        <f>IFERROR(VLOOKUP(Tabela1[[#This Row],[CC]],CC!$A$1:$H$403,8,0),"")</f>
        <v>OP1</v>
      </c>
    </row>
    <row r="1929" spans="1:19" x14ac:dyDescent="0.3">
      <c r="A1929" s="25">
        <v>1294</v>
      </c>
      <c r="B1929" s="25" t="str">
        <f>IFERROR(VLOOKUP(Tabela1[[#This Row],[CC]],#REF!,5,0),"")</f>
        <v/>
      </c>
      <c r="C1929" t="str">
        <f>IFERROR(VLOOKUP(Tabela1[[#This Row],[CC]],CC!$A$1:$H$389,7,0),"")</f>
        <v>RITA ANDRADE</v>
      </c>
      <c r="D1929" t="str">
        <f>IFERROR(VLOOKUP(Tabela1[[#This Row],[CC]],CC!$A$1:$I$3869,3,0),"")</f>
        <v>BRADESCO</v>
      </c>
      <c r="E1929" t="str">
        <f>IFERROR(VLOOKUP(Tabela1[[#This Row],[CC]],CC!$A$1:$H$389,2,0),"")</f>
        <v>BRADESCO - DS 2 (1294)</v>
      </c>
      <c r="F1929" t="s">
        <v>586</v>
      </c>
      <c r="G1929" s="107">
        <v>4927</v>
      </c>
      <c r="H1929" s="12">
        <v>46054</v>
      </c>
      <c r="I1929" s="27">
        <v>27828.45</v>
      </c>
      <c r="J1929" s="27">
        <v>26117</v>
      </c>
      <c r="K1929" s="3">
        <v>46092</v>
      </c>
      <c r="L1929" s="147">
        <v>46104</v>
      </c>
      <c r="M1929" s="11">
        <v>46107</v>
      </c>
      <c r="N1929" s="1" t="s">
        <v>588</v>
      </c>
      <c r="O1929" s="34">
        <v>0</v>
      </c>
      <c r="P1929"/>
      <c r="Q1929" t="str">
        <f>IFERROR(VLOOKUP(Tabela1[[#This Row],[CC]],CC!$A$1:$H$389,5,0),"")</f>
        <v>ADS</v>
      </c>
      <c r="R1929" t="str">
        <f>IFERROR(VLOOKUP(Tabela1[[#This Row],[CC]],CC!$A$1:$H$389,6,0),"")</f>
        <v>FS</v>
      </c>
      <c r="S1929" t="str">
        <f>IFERROR(VLOOKUP(Tabela1[[#This Row],[CC]],CC!$A$1:$H$403,8,0),"")</f>
        <v>OP1</v>
      </c>
    </row>
    <row r="1930" spans="1:19" x14ac:dyDescent="0.3">
      <c r="A1930" s="25">
        <v>1294</v>
      </c>
      <c r="B1930" s="25" t="str">
        <f>IFERROR(VLOOKUP(Tabela1[[#This Row],[CC]],#REF!,5,0),"")</f>
        <v/>
      </c>
      <c r="C1930" t="str">
        <f>IFERROR(VLOOKUP(Tabela1[[#This Row],[CC]],CC!$A$1:$H$389,7,0),"")</f>
        <v>RITA ANDRADE</v>
      </c>
      <c r="D1930" t="str">
        <f>IFERROR(VLOOKUP(Tabela1[[#This Row],[CC]],CC!$A$1:$I$3869,3,0),"")</f>
        <v>BRADESCO</v>
      </c>
      <c r="E1930" t="str">
        <f>IFERROR(VLOOKUP(Tabela1[[#This Row],[CC]],CC!$A$1:$H$389,2,0),"")</f>
        <v>BRADESCO - DS 2 (1294)</v>
      </c>
      <c r="F1930" t="s">
        <v>586</v>
      </c>
      <c r="G1930" s="107">
        <v>4928</v>
      </c>
      <c r="H1930" s="12">
        <v>46054</v>
      </c>
      <c r="I1930" s="27">
        <v>111313.8</v>
      </c>
      <c r="J1930" s="27">
        <v>104468</v>
      </c>
      <c r="K1930" s="3">
        <v>46092</v>
      </c>
      <c r="L1930" s="147">
        <v>46104</v>
      </c>
      <c r="M1930" s="11">
        <v>46107</v>
      </c>
      <c r="N1930" s="1" t="s">
        <v>588</v>
      </c>
      <c r="O1930" s="34">
        <v>0</v>
      </c>
      <c r="P1930"/>
      <c r="Q1930" t="str">
        <f>IFERROR(VLOOKUP(Tabela1[[#This Row],[CC]],CC!$A$1:$H$389,5,0),"")</f>
        <v>ADS</v>
      </c>
      <c r="R1930" t="str">
        <f>IFERROR(VLOOKUP(Tabela1[[#This Row],[CC]],CC!$A$1:$H$389,6,0),"")</f>
        <v>FS</v>
      </c>
      <c r="S1930" t="str">
        <f>IFERROR(VLOOKUP(Tabela1[[#This Row],[CC]],CC!$A$1:$H$403,8,0),"")</f>
        <v>OP1</v>
      </c>
    </row>
    <row r="1931" spans="1:19" x14ac:dyDescent="0.3">
      <c r="A1931" s="25">
        <v>1294</v>
      </c>
      <c r="B1931" s="25" t="str">
        <f>IFERROR(VLOOKUP(Tabela1[[#This Row],[CC]],#REF!,5,0),"")</f>
        <v/>
      </c>
      <c r="C1931" t="str">
        <f>IFERROR(VLOOKUP(Tabela1[[#This Row],[CC]],CC!$A$1:$H$389,7,0),"")</f>
        <v>RITA ANDRADE</v>
      </c>
      <c r="D1931" t="str">
        <f>IFERROR(VLOOKUP(Tabela1[[#This Row],[CC]],CC!$A$1:$I$3869,3,0),"")</f>
        <v>BRADESCO</v>
      </c>
      <c r="E1931" t="str">
        <f>IFERROR(VLOOKUP(Tabela1[[#This Row],[CC]],CC!$A$1:$H$389,2,0),"")</f>
        <v>BRADESCO - DS 2 (1294)</v>
      </c>
      <c r="F1931" t="s">
        <v>586</v>
      </c>
      <c r="G1931" s="107">
        <v>4935</v>
      </c>
      <c r="H1931" s="12">
        <v>46054</v>
      </c>
      <c r="I1931" s="24">
        <v>167314.19</v>
      </c>
      <c r="J1931" s="27">
        <v>157024.37</v>
      </c>
      <c r="K1931" s="3">
        <v>46093</v>
      </c>
      <c r="L1931" s="147">
        <v>46104</v>
      </c>
      <c r="M1931" s="11">
        <v>46108</v>
      </c>
      <c r="N1931" s="1" t="s">
        <v>588</v>
      </c>
      <c r="O1931" s="34">
        <v>0</v>
      </c>
      <c r="P1931"/>
      <c r="Q1931" t="str">
        <f>IFERROR(VLOOKUP(Tabela1[[#This Row],[CC]],CC!$A$1:$H$389,5,0),"")</f>
        <v>ADS</v>
      </c>
      <c r="R1931" t="str">
        <f>IFERROR(VLOOKUP(Tabela1[[#This Row],[CC]],CC!$A$1:$H$389,6,0),"")</f>
        <v>FS</v>
      </c>
      <c r="S1931" t="str">
        <f>IFERROR(VLOOKUP(Tabela1[[#This Row],[CC]],CC!$A$1:$H$403,8,0),"")</f>
        <v>OP1</v>
      </c>
    </row>
    <row r="1932" spans="1:19" x14ac:dyDescent="0.3">
      <c r="A1932" s="25">
        <v>1294</v>
      </c>
      <c r="B1932" s="25" t="str">
        <f>IFERROR(VLOOKUP(Tabela1[[#This Row],[CC]],#REF!,5,0),"")</f>
        <v/>
      </c>
      <c r="C1932" t="str">
        <f>IFERROR(VLOOKUP(Tabela1[[#This Row],[CC]],CC!$A$1:$H$389,7,0),"")</f>
        <v>RITA ANDRADE</v>
      </c>
      <c r="D1932" t="str">
        <f>IFERROR(VLOOKUP(Tabela1[[#This Row],[CC]],CC!$A$1:$I$3869,3,0),"")</f>
        <v>BRADESCO</v>
      </c>
      <c r="E1932" t="str">
        <f>IFERROR(VLOOKUP(Tabela1[[#This Row],[CC]],CC!$A$1:$H$389,2,0),"")</f>
        <v>BRADESCO - DS 2 (1294)</v>
      </c>
      <c r="F1932" t="s">
        <v>586</v>
      </c>
      <c r="G1932" s="107">
        <v>4936</v>
      </c>
      <c r="H1932" s="12">
        <v>46054</v>
      </c>
      <c r="I1932" s="24">
        <v>3471.69</v>
      </c>
      <c r="J1932" s="27">
        <v>3258.18</v>
      </c>
      <c r="K1932" s="3">
        <v>46093</v>
      </c>
      <c r="L1932" s="147">
        <v>46104</v>
      </c>
      <c r="M1932" s="11">
        <v>46108</v>
      </c>
      <c r="N1932" s="1" t="s">
        <v>588</v>
      </c>
      <c r="O1932" s="34">
        <v>0</v>
      </c>
      <c r="P1932"/>
      <c r="Q1932" t="str">
        <f>IFERROR(VLOOKUP(Tabela1[[#This Row],[CC]],CC!$A$1:$H$389,5,0),"")</f>
        <v>ADS</v>
      </c>
      <c r="R1932" t="str">
        <f>IFERROR(VLOOKUP(Tabela1[[#This Row],[CC]],CC!$A$1:$H$389,6,0),"")</f>
        <v>FS</v>
      </c>
      <c r="S1932" t="str">
        <f>IFERROR(VLOOKUP(Tabela1[[#This Row],[CC]],CC!$A$1:$H$403,8,0),"")</f>
        <v>OP1</v>
      </c>
    </row>
    <row r="1933" spans="1:19" x14ac:dyDescent="0.3">
      <c r="A1933" s="25">
        <v>1294</v>
      </c>
      <c r="B1933" s="25" t="str">
        <f>IFERROR(VLOOKUP(Tabela1[[#This Row],[CC]],#REF!,5,0),"")</f>
        <v/>
      </c>
      <c r="C1933" t="str">
        <f>IFERROR(VLOOKUP(Tabela1[[#This Row],[CC]],CC!$A$1:$H$389,7,0),"")</f>
        <v>RITA ANDRADE</v>
      </c>
      <c r="D1933" t="str">
        <f>IFERROR(VLOOKUP(Tabela1[[#This Row],[CC]],CC!$A$1:$I$3869,3,0),"")</f>
        <v>BRADESCO</v>
      </c>
      <c r="E1933" t="str">
        <f>IFERROR(VLOOKUP(Tabela1[[#This Row],[CC]],CC!$A$1:$H$389,2,0),"")</f>
        <v>BRADESCO - DS 2 (1294)</v>
      </c>
      <c r="F1933" t="s">
        <v>586</v>
      </c>
      <c r="G1933" s="107">
        <v>4966</v>
      </c>
      <c r="H1933" s="12">
        <v>46054</v>
      </c>
      <c r="I1933" s="24">
        <v>131270.63</v>
      </c>
      <c r="J1933" s="27">
        <v>123197.49</v>
      </c>
      <c r="K1933" s="3">
        <v>46097</v>
      </c>
      <c r="L1933" s="147">
        <v>46111</v>
      </c>
      <c r="M1933" s="11">
        <v>46112</v>
      </c>
      <c r="N1933" s="1" t="s">
        <v>588</v>
      </c>
      <c r="O1933" s="34">
        <v>0</v>
      </c>
      <c r="P1933"/>
      <c r="Q1933" t="str">
        <f>IFERROR(VLOOKUP(Tabela1[[#This Row],[CC]],CC!$A$1:$H$389,5,0),"")</f>
        <v>ADS</v>
      </c>
      <c r="R1933" t="str">
        <f>IFERROR(VLOOKUP(Tabela1[[#This Row],[CC]],CC!$A$1:$H$389,6,0),"")</f>
        <v>FS</v>
      </c>
      <c r="S1933" t="str">
        <f>IFERROR(VLOOKUP(Tabela1[[#This Row],[CC]],CC!$A$1:$H$403,8,0),"")</f>
        <v>OP1</v>
      </c>
    </row>
    <row r="1934" spans="1:19" x14ac:dyDescent="0.3">
      <c r="A1934" s="25">
        <v>1294</v>
      </c>
      <c r="B1934" s="25" t="str">
        <f>IFERROR(VLOOKUP(Tabela1[[#This Row],[CC]],#REF!,5,0),"")</f>
        <v/>
      </c>
      <c r="C1934" t="str">
        <f>IFERROR(VLOOKUP(Tabela1[[#This Row],[CC]],CC!$A$1:$H$389,7,0),"")</f>
        <v>RITA ANDRADE</v>
      </c>
      <c r="D1934" t="str">
        <f>IFERROR(VLOOKUP(Tabela1[[#This Row],[CC]],CC!$A$1:$I$3869,3,0),"")</f>
        <v>BRADESCO</v>
      </c>
      <c r="E1934" t="str">
        <f>IFERROR(VLOOKUP(Tabela1[[#This Row],[CC]],CC!$A$1:$H$389,2,0),"")</f>
        <v>BRADESCO - DS 2 (1294)</v>
      </c>
      <c r="F1934" t="s">
        <v>586</v>
      </c>
      <c r="G1934" s="107">
        <v>4957</v>
      </c>
      <c r="H1934" s="115">
        <v>45992</v>
      </c>
      <c r="I1934" s="27">
        <v>185528.51</v>
      </c>
      <c r="J1934" s="27">
        <v>174118.5</v>
      </c>
      <c r="K1934" s="3">
        <v>46094</v>
      </c>
      <c r="L1934" s="147">
        <v>46111</v>
      </c>
      <c r="M1934" s="11">
        <v>46111</v>
      </c>
      <c r="N1934" s="1" t="s">
        <v>588</v>
      </c>
      <c r="O1934" s="34">
        <v>0</v>
      </c>
      <c r="P1934"/>
      <c r="Q1934" t="str">
        <f>IFERROR(VLOOKUP(Tabela1[[#This Row],[CC]],CC!$A$1:$H$389,5,0),"")</f>
        <v>ADS</v>
      </c>
      <c r="R1934" t="str">
        <f>IFERROR(VLOOKUP(Tabela1[[#This Row],[CC]],CC!$A$1:$H$389,6,0),"")</f>
        <v>FS</v>
      </c>
      <c r="S1934" t="str">
        <f>IFERROR(VLOOKUP(Tabela1[[#This Row],[CC]],CC!$A$1:$H$403,8,0),"")</f>
        <v>OP1</v>
      </c>
    </row>
    <row r="1935" spans="1:19" x14ac:dyDescent="0.3">
      <c r="A1935" s="25">
        <v>1294</v>
      </c>
      <c r="B1935" s="25" t="str">
        <f>IFERROR(VLOOKUP(Tabela1[[#This Row],[CC]],#REF!,5,0),"")</f>
        <v/>
      </c>
      <c r="C1935" t="str">
        <f>IFERROR(VLOOKUP(Tabela1[[#This Row],[CC]],CC!$A$1:$H$389,7,0),"")</f>
        <v>RITA ANDRADE</v>
      </c>
      <c r="D1935" t="str">
        <f>IFERROR(VLOOKUP(Tabela1[[#This Row],[CC]],CC!$A$1:$I$3869,3,0),"")</f>
        <v>BRADESCO</v>
      </c>
      <c r="E1935" t="str">
        <f>IFERROR(VLOOKUP(Tabela1[[#This Row],[CC]],CC!$A$1:$H$389,2,0),"")</f>
        <v>BRADESCO - DS 2 (1294)</v>
      </c>
      <c r="F1935" t="s">
        <v>586</v>
      </c>
      <c r="G1935" s="107">
        <v>4942</v>
      </c>
      <c r="H1935" s="115">
        <v>45992</v>
      </c>
      <c r="I1935" s="24">
        <v>166765.92000000001</v>
      </c>
      <c r="J1935" s="27">
        <v>156509.81</v>
      </c>
      <c r="K1935" s="3">
        <v>46093</v>
      </c>
      <c r="L1935" s="147">
        <v>46104</v>
      </c>
      <c r="M1935" s="11">
        <v>46108</v>
      </c>
      <c r="N1935" s="1" t="s">
        <v>588</v>
      </c>
      <c r="O1935" s="34">
        <v>0</v>
      </c>
      <c r="P1935"/>
      <c r="Q1935" t="str">
        <f>IFERROR(VLOOKUP(Tabela1[[#This Row],[CC]],CC!$A$1:$H$389,5,0),"")</f>
        <v>ADS</v>
      </c>
      <c r="R1935" t="str">
        <f>IFERROR(VLOOKUP(Tabela1[[#This Row],[CC]],CC!$A$1:$H$389,6,0),"")</f>
        <v>FS</v>
      </c>
      <c r="S1935" t="str">
        <f>IFERROR(VLOOKUP(Tabela1[[#This Row],[CC]],CC!$A$1:$H$403,8,0),"")</f>
        <v>OP1</v>
      </c>
    </row>
    <row r="1936" spans="1:19" x14ac:dyDescent="0.3">
      <c r="A1936" s="25">
        <v>1294</v>
      </c>
      <c r="B1936" s="25" t="str">
        <f>IFERROR(VLOOKUP(Tabela1[[#This Row],[CC]],#REF!,5,0),"")</f>
        <v/>
      </c>
      <c r="C1936" t="str">
        <f>IFERROR(VLOOKUP(Tabela1[[#This Row],[CC]],CC!$A$1:$H$389,7,0),"")</f>
        <v>RITA ANDRADE</v>
      </c>
      <c r="D1936" t="str">
        <f>IFERROR(VLOOKUP(Tabela1[[#This Row],[CC]],CC!$A$1:$I$3869,3,0),"")</f>
        <v>BRADESCO</v>
      </c>
      <c r="E1936" t="str">
        <f>IFERROR(VLOOKUP(Tabela1[[#This Row],[CC]],CC!$A$1:$H$389,2,0),"")</f>
        <v>BRADESCO - DS 2 (1294)</v>
      </c>
      <c r="F1936" t="s">
        <v>586</v>
      </c>
      <c r="G1936" s="107">
        <v>5054</v>
      </c>
      <c r="H1936" s="115">
        <v>45992</v>
      </c>
      <c r="I1936" s="27">
        <v>131270.63</v>
      </c>
      <c r="J1936" s="27">
        <v>123197.49</v>
      </c>
      <c r="K1936" s="3">
        <v>46120</v>
      </c>
      <c r="L1936" s="147">
        <v>46139</v>
      </c>
      <c r="M1936" s="11">
        <v>46141</v>
      </c>
      <c r="N1936" s="1" t="s">
        <v>588</v>
      </c>
      <c r="O1936" s="34">
        <v>0</v>
      </c>
      <c r="P1936"/>
      <c r="Q1936" t="str">
        <f>IFERROR(VLOOKUP(Tabela1[[#This Row],[CC]],CC!$A$1:$H$389,5,0),"")</f>
        <v>ADS</v>
      </c>
      <c r="R1936" t="str">
        <f>IFERROR(VLOOKUP(Tabela1[[#This Row],[CC]],CC!$A$1:$H$389,6,0),"")</f>
        <v>FS</v>
      </c>
      <c r="S1936" t="str">
        <f>IFERROR(VLOOKUP(Tabela1[[#This Row],[CC]],CC!$A$1:$H$403,8,0),"")</f>
        <v>OP1</v>
      </c>
    </row>
    <row r="1937" spans="1:19" x14ac:dyDescent="0.3">
      <c r="A1937" s="25">
        <v>1294</v>
      </c>
      <c r="B1937" s="25" t="str">
        <f>IFERROR(VLOOKUP(Tabela1[[#This Row],[CC]],#REF!,5,0),"")</f>
        <v/>
      </c>
      <c r="C1937" t="str">
        <f>IFERROR(VLOOKUP(Tabela1[[#This Row],[CC]],CC!$A$1:$H$389,7,0),"")</f>
        <v>RITA ANDRADE</v>
      </c>
      <c r="D1937" t="str">
        <f>IFERROR(VLOOKUP(Tabela1[[#This Row],[CC]],CC!$A$1:$I$3869,3,0),"")</f>
        <v>BRADESCO</v>
      </c>
      <c r="E1937" t="str">
        <f>IFERROR(VLOOKUP(Tabela1[[#This Row],[CC]],CC!$A$1:$H$389,2,0),"")</f>
        <v>BRADESCO - DS 2 (1294)</v>
      </c>
      <c r="F1937" t="s">
        <v>586</v>
      </c>
      <c r="G1937" s="107">
        <v>5061</v>
      </c>
      <c r="H1937" s="115">
        <v>45992</v>
      </c>
      <c r="I1937" s="27">
        <v>166765.92000000001</v>
      </c>
      <c r="J1937" s="27">
        <v>156509.81</v>
      </c>
      <c r="K1937" s="3">
        <v>46122</v>
      </c>
      <c r="L1937" s="147">
        <v>46139</v>
      </c>
      <c r="M1937" s="11">
        <v>46141</v>
      </c>
      <c r="N1937" s="1" t="s">
        <v>588</v>
      </c>
      <c r="O1937" s="34">
        <v>0</v>
      </c>
      <c r="P1937"/>
      <c r="Q1937" t="str">
        <f>IFERROR(VLOOKUP(Tabela1[[#This Row],[CC]],CC!$A$1:$H$389,5,0),"")</f>
        <v>ADS</v>
      </c>
      <c r="R1937" t="str">
        <f>IFERROR(VLOOKUP(Tabela1[[#This Row],[CC]],CC!$A$1:$H$389,6,0),"")</f>
        <v>FS</v>
      </c>
      <c r="S1937" t="str">
        <f>IFERROR(VLOOKUP(Tabela1[[#This Row],[CC]],CC!$A$1:$H$403,8,0),"")</f>
        <v>OP1</v>
      </c>
    </row>
    <row r="1938" spans="1:19" x14ac:dyDescent="0.3">
      <c r="A1938" s="25">
        <v>1294</v>
      </c>
      <c r="B1938" s="25" t="str">
        <f>IFERROR(VLOOKUP(Tabela1[[#This Row],[CC]],#REF!,5,0),"")</f>
        <v/>
      </c>
      <c r="C1938" t="str">
        <f>IFERROR(VLOOKUP(Tabela1[[#This Row],[CC]],CC!$A$1:$H$389,7,0),"")</f>
        <v>RITA ANDRADE</v>
      </c>
      <c r="D1938" t="str">
        <f>IFERROR(VLOOKUP(Tabela1[[#This Row],[CC]],CC!$A$1:$I$3869,3,0),"")</f>
        <v>BRADESCO</v>
      </c>
      <c r="E1938" t="str">
        <f>IFERROR(VLOOKUP(Tabela1[[#This Row],[CC]],CC!$A$1:$H$389,2,0),"")</f>
        <v>BRADESCO - DS 2 (1294)</v>
      </c>
      <c r="F1938" t="s">
        <v>586</v>
      </c>
      <c r="G1938" s="107">
        <v>5067</v>
      </c>
      <c r="H1938" s="12">
        <v>46082</v>
      </c>
      <c r="I1938" s="27">
        <v>135522.23999999999</v>
      </c>
      <c r="J1938" s="24">
        <v>127187.63</v>
      </c>
      <c r="K1938" s="3">
        <v>46122</v>
      </c>
      <c r="L1938" s="147">
        <v>46139</v>
      </c>
      <c r="M1938" s="11">
        <v>46139</v>
      </c>
      <c r="N1938" s="1" t="s">
        <v>588</v>
      </c>
      <c r="O1938" s="34">
        <v>0</v>
      </c>
      <c r="P1938"/>
      <c r="Q1938" t="str">
        <f>IFERROR(VLOOKUP(Tabela1[[#This Row],[CC]],CC!$A$1:$H$389,5,0),"")</f>
        <v>ADS</v>
      </c>
      <c r="R1938" t="str">
        <f>IFERROR(VLOOKUP(Tabela1[[#This Row],[CC]],CC!$A$1:$H$389,6,0),"")</f>
        <v>FS</v>
      </c>
      <c r="S1938" t="str">
        <f>IFERROR(VLOOKUP(Tabela1[[#This Row],[CC]],CC!$A$1:$H$403,8,0),"")</f>
        <v>OP1</v>
      </c>
    </row>
    <row r="1939" spans="1:19" x14ac:dyDescent="0.3">
      <c r="A1939" s="25">
        <v>1294</v>
      </c>
      <c r="B1939" s="25" t="str">
        <f>IFERROR(VLOOKUP(Tabela1[[#This Row],[CC]],#REF!,5,0),"")</f>
        <v/>
      </c>
      <c r="C1939" t="str">
        <f>IFERROR(VLOOKUP(Tabela1[[#This Row],[CC]],CC!$A$1:$H$389,7,0),"")</f>
        <v>RITA ANDRADE</v>
      </c>
      <c r="D1939" t="str">
        <f>IFERROR(VLOOKUP(Tabela1[[#This Row],[CC]],CC!$A$1:$I$3869,3,0),"")</f>
        <v>BRADESCO</v>
      </c>
      <c r="E1939" t="str">
        <f>IFERROR(VLOOKUP(Tabela1[[#This Row],[CC]],CC!$A$1:$H$389,2,0),"")</f>
        <v>BRADESCO - DS 2 (1294)</v>
      </c>
      <c r="F1939" t="s">
        <v>586</v>
      </c>
      <c r="G1939" s="107">
        <v>5068</v>
      </c>
      <c r="H1939" s="115">
        <v>45992</v>
      </c>
      <c r="I1939" s="27">
        <v>53988.63</v>
      </c>
      <c r="J1939" s="24">
        <v>50668.33</v>
      </c>
      <c r="K1939" s="3">
        <v>46122</v>
      </c>
      <c r="L1939" s="147">
        <v>46139</v>
      </c>
      <c r="M1939" s="11">
        <v>46141</v>
      </c>
      <c r="N1939" s="1" t="s">
        <v>588</v>
      </c>
      <c r="O1939" s="34">
        <v>0</v>
      </c>
      <c r="P1939"/>
      <c r="Q1939" t="str">
        <f>IFERROR(VLOOKUP(Tabela1[[#This Row],[CC]],CC!$A$1:$H$389,5,0),"")</f>
        <v>ADS</v>
      </c>
      <c r="R1939" t="str">
        <f>IFERROR(VLOOKUP(Tabela1[[#This Row],[CC]],CC!$A$1:$H$389,6,0),"")</f>
        <v>FS</v>
      </c>
      <c r="S1939" t="str">
        <f>IFERROR(VLOOKUP(Tabela1[[#This Row],[CC]],CC!$A$1:$H$403,8,0),"")</f>
        <v>OP1</v>
      </c>
    </row>
    <row r="1940" spans="1:19" x14ac:dyDescent="0.3">
      <c r="A1940" s="25">
        <v>1294</v>
      </c>
      <c r="B1940" s="25" t="str">
        <f>IFERROR(VLOOKUP(Tabela1[[#This Row],[CC]],#REF!,5,0),"")</f>
        <v/>
      </c>
      <c r="C1940" t="str">
        <f>IFERROR(VLOOKUP(Tabela1[[#This Row],[CC]],CC!$A$1:$H$389,7,0),"")</f>
        <v>RITA ANDRADE</v>
      </c>
      <c r="D1940" t="str">
        <f>IFERROR(VLOOKUP(Tabela1[[#This Row],[CC]],CC!$A$1:$I$3869,3,0),"")</f>
        <v>BRADESCO</v>
      </c>
      <c r="E1940" t="str">
        <f>IFERROR(VLOOKUP(Tabela1[[#This Row],[CC]],CC!$A$1:$H$389,2,0),"")</f>
        <v>BRADESCO - DS 2 (1294)</v>
      </c>
      <c r="F1940" t="s">
        <v>586</v>
      </c>
      <c r="G1940" s="107">
        <v>5085</v>
      </c>
      <c r="H1940" s="12">
        <v>46082</v>
      </c>
      <c r="I1940" s="27">
        <v>1959.75</v>
      </c>
      <c r="J1940" s="24">
        <v>1839.22</v>
      </c>
      <c r="K1940" s="3">
        <v>46128</v>
      </c>
      <c r="L1940" s="147">
        <v>46139</v>
      </c>
      <c r="M1940" s="11">
        <v>46142</v>
      </c>
      <c r="N1940" s="1" t="s">
        <v>588</v>
      </c>
      <c r="O1940" s="34">
        <v>0</v>
      </c>
      <c r="P1940"/>
      <c r="Q1940" t="str">
        <f>IFERROR(VLOOKUP(Tabela1[[#This Row],[CC]],CC!$A$1:$H$389,5,0),"")</f>
        <v>ADS</v>
      </c>
      <c r="R1940" t="str">
        <f>IFERROR(VLOOKUP(Tabela1[[#This Row],[CC]],CC!$A$1:$H$389,6,0),"")</f>
        <v>FS</v>
      </c>
      <c r="S1940" t="str">
        <f>IFERROR(VLOOKUP(Tabela1[[#This Row],[CC]],CC!$A$1:$H$403,8,0),"")</f>
        <v>OP1</v>
      </c>
    </row>
    <row r="1941" spans="1:19" x14ac:dyDescent="0.3">
      <c r="A1941" s="25">
        <v>1294</v>
      </c>
      <c r="B1941" s="25" t="str">
        <f>IFERROR(VLOOKUP(Tabela1[[#This Row],[CC]],#REF!,5,0),"")</f>
        <v/>
      </c>
      <c r="C1941" t="str">
        <f>IFERROR(VLOOKUP(Tabela1[[#This Row],[CC]],CC!$A$1:$H$389,7,0),"")</f>
        <v>RITA ANDRADE</v>
      </c>
      <c r="D1941" t="str">
        <f>IFERROR(VLOOKUP(Tabela1[[#This Row],[CC]],CC!$A$1:$I$3869,3,0),"")</f>
        <v>BRADESCO</v>
      </c>
      <c r="E1941" t="str">
        <f>IFERROR(VLOOKUP(Tabela1[[#This Row],[CC]],CC!$A$1:$H$389,2,0),"")</f>
        <v>BRADESCO - DS 2 (1294)</v>
      </c>
      <c r="F1941" t="s">
        <v>586</v>
      </c>
      <c r="G1941" s="107">
        <v>5140</v>
      </c>
      <c r="H1941" s="12">
        <v>46113</v>
      </c>
      <c r="I1941" s="24">
        <v>126067.2</v>
      </c>
      <c r="J1941" s="27">
        <v>118314.07</v>
      </c>
      <c r="K1941" s="3">
        <v>46155</v>
      </c>
      <c r="L1941" s="91">
        <v>46167</v>
      </c>
      <c r="M1941" s="11">
        <v>46170</v>
      </c>
      <c r="N1941" s="1" t="s">
        <v>588</v>
      </c>
      <c r="O1941" s="34">
        <v>0</v>
      </c>
      <c r="P1941"/>
      <c r="Q1941" t="str">
        <f>IFERROR(VLOOKUP(Tabela1[[#This Row],[CC]],CC!$A$1:$H$389,5,0),"")</f>
        <v>ADS</v>
      </c>
      <c r="R1941" t="str">
        <f>IFERROR(VLOOKUP(Tabela1[[#This Row],[CC]],CC!$A$1:$H$389,6,0),"")</f>
        <v>FS</v>
      </c>
      <c r="S1941" t="str">
        <f>IFERROR(VLOOKUP(Tabela1[[#This Row],[CC]],CC!$A$1:$H$403,8,0),"")</f>
        <v>OP1</v>
      </c>
    </row>
    <row r="1942" spans="1:19" x14ac:dyDescent="0.3">
      <c r="A1942" s="25">
        <v>1294</v>
      </c>
      <c r="B1942" s="25" t="str">
        <f>IFERROR(VLOOKUP(Tabela1[[#This Row],[CC]],#REF!,5,0),"")</f>
        <v/>
      </c>
      <c r="C1942" t="str">
        <f>IFERROR(VLOOKUP(Tabela1[[#This Row],[CC]],CC!$A$1:$H$389,7,0),"")</f>
        <v>RITA ANDRADE</v>
      </c>
      <c r="D1942" t="str">
        <f>IFERROR(VLOOKUP(Tabela1[[#This Row],[CC]],CC!$A$1:$I$3869,3,0),"")</f>
        <v>BRADESCO</v>
      </c>
      <c r="E1942" t="str">
        <f>IFERROR(VLOOKUP(Tabela1[[#This Row],[CC]],CC!$A$1:$H$389,2,0),"")</f>
        <v>BRADESCO - DS 2 (1294)</v>
      </c>
      <c r="F1942" t="s">
        <v>586</v>
      </c>
      <c r="G1942" s="107">
        <v>5158</v>
      </c>
      <c r="H1942" s="12">
        <v>46113</v>
      </c>
      <c r="I1942" s="43">
        <v>131270.63</v>
      </c>
      <c r="J1942" s="24">
        <v>123197.48</v>
      </c>
      <c r="K1942" s="3">
        <v>46157</v>
      </c>
      <c r="L1942" s="147">
        <v>46181</v>
      </c>
      <c r="M1942" s="11"/>
      <c r="N1942" s="1" t="s">
        <v>587</v>
      </c>
      <c r="O1942" s="34">
        <v>0</v>
      </c>
      <c r="P1942"/>
      <c r="Q1942" t="str">
        <f>IFERROR(VLOOKUP(Tabela1[[#This Row],[CC]],CC!$A$1:$H$389,5,0),"")</f>
        <v>ADS</v>
      </c>
      <c r="R1942" t="str">
        <f>IFERROR(VLOOKUP(Tabela1[[#This Row],[CC]],CC!$A$1:$H$389,6,0),"")</f>
        <v>FS</v>
      </c>
      <c r="S1942" t="str">
        <f>IFERROR(VLOOKUP(Tabela1[[#This Row],[CC]],CC!$A$1:$H$403,8,0),"")</f>
        <v>OP1</v>
      </c>
    </row>
    <row r="1943" spans="1:19" x14ac:dyDescent="0.3">
      <c r="A1943" s="25">
        <v>1294</v>
      </c>
      <c r="B1943" s="25" t="str">
        <f>IFERROR(VLOOKUP(Tabela1[[#This Row],[CC]],#REF!,5,0),"")</f>
        <v/>
      </c>
      <c r="C1943" t="str">
        <f>IFERROR(VLOOKUP(Tabela1[[#This Row],[CC]],CC!$A$1:$H$389,7,0),"")</f>
        <v>RITA ANDRADE</v>
      </c>
      <c r="D1943" t="str">
        <f>IFERROR(VLOOKUP(Tabela1[[#This Row],[CC]],CC!$A$1:$I$3869,3,0),"")</f>
        <v>BRADESCO</v>
      </c>
      <c r="E1943" t="str">
        <f>IFERROR(VLOOKUP(Tabela1[[#This Row],[CC]],CC!$A$1:$H$389,2,0),"")</f>
        <v>BRADESCO - DS 2 (1294)</v>
      </c>
      <c r="F1943" t="s">
        <v>586</v>
      </c>
      <c r="G1943" s="107">
        <v>5254</v>
      </c>
      <c r="H1943" s="12">
        <v>46143</v>
      </c>
      <c r="I1943" s="24">
        <v>166966.10999999999</v>
      </c>
      <c r="J1943" s="24">
        <v>177907.45</v>
      </c>
      <c r="K1943" s="3">
        <v>46183</v>
      </c>
      <c r="L1943" s="91">
        <v>46195</v>
      </c>
      <c r="M1943" s="11"/>
      <c r="N1943" s="1" t="s">
        <v>587</v>
      </c>
      <c r="O1943" s="34">
        <v>0</v>
      </c>
      <c r="P1943"/>
      <c r="Q1943" t="str">
        <f>IFERROR(VLOOKUP(Tabela1[[#This Row],[CC]],CC!$A$1:$H$389,5,0),"")</f>
        <v>ADS</v>
      </c>
      <c r="R1943" t="str">
        <f>IFERROR(VLOOKUP(Tabela1[[#This Row],[CC]],CC!$A$1:$H$389,6,0),"")</f>
        <v>FS</v>
      </c>
      <c r="S1943" t="str">
        <f>IFERROR(VLOOKUP(Tabela1[[#This Row],[CC]],CC!$A$1:$H$403,8,0),"")</f>
        <v>OP1</v>
      </c>
    </row>
    <row r="1944" spans="1:19" x14ac:dyDescent="0.3">
      <c r="A1944" s="25">
        <v>1294</v>
      </c>
      <c r="B1944" s="25" t="str">
        <f>IFERROR(VLOOKUP(Tabela1[[#This Row],[CC]],#REF!,5,0),"")</f>
        <v/>
      </c>
      <c r="C1944" t="str">
        <f>IFERROR(VLOOKUP(Tabela1[[#This Row],[CC]],CC!$A$1:$H$389,7,0),"")</f>
        <v>RITA ANDRADE</v>
      </c>
      <c r="D1944" t="str">
        <f>IFERROR(VLOOKUP(Tabela1[[#This Row],[CC]],CC!$A$1:$I$3869,3,0),"")</f>
        <v>BRADESCO</v>
      </c>
      <c r="E1944" t="str">
        <f>IFERROR(VLOOKUP(Tabela1[[#This Row],[CC]],CC!$A$1:$H$389,2,0),"")</f>
        <v>BRADESCO - DS 2 (1294)</v>
      </c>
      <c r="F1944" t="s">
        <v>586</v>
      </c>
      <c r="G1944" s="107"/>
      <c r="H1944" s="12">
        <v>46143</v>
      </c>
      <c r="I1944" s="24">
        <f>550000-$I$1943-$I$1942</f>
        <v>251763.26</v>
      </c>
      <c r="J1944" s="24"/>
      <c r="K1944" s="3">
        <v>46174</v>
      </c>
      <c r="L1944" s="91">
        <v>46202</v>
      </c>
      <c r="M1944" s="11"/>
      <c r="N1944" s="1" t="s">
        <v>572</v>
      </c>
      <c r="O1944" s="34">
        <v>0</v>
      </c>
      <c r="P1944"/>
      <c r="Q1944" t="str">
        <f>IFERROR(VLOOKUP(Tabela1[[#This Row],[CC]],CC!$A$1:$H$389,5,0),"")</f>
        <v>ADS</v>
      </c>
      <c r="R1944" t="str">
        <f>IFERROR(VLOOKUP(Tabela1[[#This Row],[CC]],CC!$A$1:$H$389,6,0),"")</f>
        <v>FS</v>
      </c>
      <c r="S1944" t="str">
        <f>IFERROR(VLOOKUP(Tabela1[[#This Row],[CC]],CC!$A$1:$H$403,8,0),"")</f>
        <v>OP1</v>
      </c>
    </row>
    <row r="1945" spans="1:19" x14ac:dyDescent="0.3">
      <c r="A1945" s="25">
        <v>1285</v>
      </c>
      <c r="B1945" s="25" t="str">
        <f>IFERROR(VLOOKUP(Tabela1[[#This Row],[CC]],#REF!,5,0),"")</f>
        <v/>
      </c>
      <c r="C1945" t="str">
        <f>IFERROR(VLOOKUP(Tabela1[[#This Row],[CC]],CC!$A$1:$H$389,7,0),"")</f>
        <v>RITA ANDRADE</v>
      </c>
      <c r="D1945" t="str">
        <f>IFERROR(VLOOKUP(Tabela1[[#This Row],[CC]],CC!$A$1:$I$3869,3,0),"")</f>
        <v>BRADESCO</v>
      </c>
      <c r="E1945" t="str">
        <f>IFERROR(VLOOKUP(Tabela1[[#This Row],[CC]],CC!$A$1:$H$389,2,0),"")</f>
        <v>BRADESCO - EXPERIENCE (1285)</v>
      </c>
      <c r="F1945" t="s">
        <v>586</v>
      </c>
      <c r="G1945" s="107">
        <v>4574</v>
      </c>
      <c r="H1945" s="12">
        <v>45962</v>
      </c>
      <c r="I1945" s="24">
        <v>25534.32</v>
      </c>
      <c r="J1945" s="24">
        <v>23963.96</v>
      </c>
      <c r="K1945" s="3">
        <v>45988</v>
      </c>
      <c r="L1945" s="91">
        <v>46020</v>
      </c>
      <c r="M1945" s="11">
        <v>46020</v>
      </c>
      <c r="N1945" s="1" t="s">
        <v>588</v>
      </c>
      <c r="O1945" s="34">
        <v>0</v>
      </c>
      <c r="P1945" s="26"/>
      <c r="Q1945" t="str">
        <f>IFERROR(VLOOKUP(Tabela1[[#This Row],[CC]],CC!$A$1:$H$389,5,0),"")</f>
        <v>ADS</v>
      </c>
      <c r="R1945" t="str">
        <f>IFERROR(VLOOKUP(Tabela1[[#This Row],[CC]],CC!$A$1:$H$389,6,0),"")</f>
        <v>FS</v>
      </c>
      <c r="S1945" t="str">
        <f>IFERROR(VLOOKUP(Tabela1[[#This Row],[CC]],CC!$A$1:$H$403,8,0),"")</f>
        <v>OP1</v>
      </c>
    </row>
    <row r="1946" spans="1:19" x14ac:dyDescent="0.3">
      <c r="A1946" s="25">
        <v>1285</v>
      </c>
      <c r="B1946" s="25" t="str">
        <f>IFERROR(VLOOKUP(Tabela1[[#This Row],[CC]],#REF!,5,0),"")</f>
        <v/>
      </c>
      <c r="C1946" t="str">
        <f>IFERROR(VLOOKUP(Tabela1[[#This Row],[CC]],CC!$A$1:$H$389,7,0),"")</f>
        <v>RITA ANDRADE</v>
      </c>
      <c r="D1946" t="str">
        <f>IFERROR(VLOOKUP(Tabela1[[#This Row],[CC]],CC!$A$1:$I$3869,3,0),"")</f>
        <v>BRADESCO</v>
      </c>
      <c r="E1946" t="str">
        <f>IFERROR(VLOOKUP(Tabela1[[#This Row],[CC]],CC!$A$1:$H$389,2,0),"")</f>
        <v>BRADESCO - EXPERIENCE (1285)</v>
      </c>
      <c r="F1946" t="s">
        <v>586</v>
      </c>
      <c r="G1946" s="107">
        <v>4733</v>
      </c>
      <c r="H1946" s="12">
        <v>45992</v>
      </c>
      <c r="I1946" s="27">
        <v>15806.96</v>
      </c>
      <c r="J1946" s="24">
        <v>14834.84</v>
      </c>
      <c r="K1946" s="3">
        <v>46035</v>
      </c>
      <c r="L1946" s="91">
        <v>46062</v>
      </c>
      <c r="M1946" s="11">
        <v>46065</v>
      </c>
      <c r="N1946" s="1" t="s">
        <v>588</v>
      </c>
      <c r="O1946" s="34">
        <v>0</v>
      </c>
      <c r="P1946" s="26"/>
      <c r="Q1946" t="str">
        <f>IFERROR(VLOOKUP(Tabela1[[#This Row],[CC]],CC!$A$1:$H$389,5,0),"")</f>
        <v>ADS</v>
      </c>
      <c r="R1946" t="str">
        <f>IFERROR(VLOOKUP(Tabela1[[#This Row],[CC]],CC!$A$1:$H$389,6,0),"")</f>
        <v>FS</v>
      </c>
      <c r="S1946" t="str">
        <f>IFERROR(VLOOKUP(Tabela1[[#This Row],[CC]],CC!$A$1:$H$403,8,0),"")</f>
        <v>OP1</v>
      </c>
    </row>
    <row r="1947" spans="1:19" x14ac:dyDescent="0.3">
      <c r="A1947" s="25">
        <v>1292</v>
      </c>
      <c r="B1947" s="25" t="str">
        <f>IFERROR(VLOOKUP(Tabela1[[#This Row],[CC]],#REF!,5,0),"")</f>
        <v/>
      </c>
      <c r="C1947" t="str">
        <f>IFERROR(VLOOKUP(Tabela1[[#This Row],[CC]],CC!$A$1:$H$389,7,0),"")</f>
        <v>RITA ANDRADE</v>
      </c>
      <c r="D1947" t="str">
        <f>IFERROR(VLOOKUP(Tabela1[[#This Row],[CC]],CC!$A$1:$I$3869,3,0),"")</f>
        <v>BRADESCO_SEGUROS</v>
      </c>
      <c r="E1947" t="str">
        <f>IFERROR(VLOOKUP(Tabela1[[#This Row],[CC]],CC!$A$1:$H$389,2,0),"")</f>
        <v>BRADESCO - SEGUROS (1292)</v>
      </c>
      <c r="F1947" t="s">
        <v>586</v>
      </c>
      <c r="G1947" s="107">
        <v>4589</v>
      </c>
      <c r="H1947" s="12">
        <v>45962</v>
      </c>
      <c r="I1947" s="24">
        <v>31008</v>
      </c>
      <c r="J1947" s="24">
        <v>29101.01</v>
      </c>
      <c r="K1947" s="3">
        <v>45992</v>
      </c>
      <c r="L1947" s="91">
        <v>46006</v>
      </c>
      <c r="M1947" s="11">
        <v>46007</v>
      </c>
      <c r="N1947" s="1" t="s">
        <v>588</v>
      </c>
      <c r="O1947" s="34">
        <v>0</v>
      </c>
      <c r="P1947"/>
      <c r="Q1947" t="str">
        <f>IFERROR(VLOOKUP(Tabela1[[#This Row],[CC]],CC!$A$1:$H$389,5,0),"")</f>
        <v>ADS</v>
      </c>
      <c r="R1947" t="str">
        <f>IFERROR(VLOOKUP(Tabela1[[#This Row],[CC]],CC!$A$1:$H$389,6,0),"")</f>
        <v>FS</v>
      </c>
      <c r="S1947" t="str">
        <f>IFERROR(VLOOKUP(Tabela1[[#This Row],[CC]],CC!$A$1:$H$403,8,0),"")</f>
        <v>OP1</v>
      </c>
    </row>
    <row r="1948" spans="1:19" x14ac:dyDescent="0.3">
      <c r="A1948" s="25">
        <v>1292</v>
      </c>
      <c r="B1948" s="25" t="str">
        <f>IFERROR(VLOOKUP(Tabela1[[#This Row],[CC]],#REF!,5,0),"")</f>
        <v/>
      </c>
      <c r="C1948" t="str">
        <f>IFERROR(VLOOKUP(Tabela1[[#This Row],[CC]],CC!$A$1:$H$389,7,0),"")</f>
        <v>RITA ANDRADE</v>
      </c>
      <c r="D1948" t="str">
        <f>IFERROR(VLOOKUP(Tabela1[[#This Row],[CC]],CC!$A$1:$I$3869,3,0),"")</f>
        <v>BRADESCO_SEGUROS</v>
      </c>
      <c r="E1948" t="str">
        <f>IFERROR(VLOOKUP(Tabela1[[#This Row],[CC]],CC!$A$1:$H$389,2,0),"")</f>
        <v>BRADESCO - SEGUROS (1292)</v>
      </c>
      <c r="F1948" t="s">
        <v>586</v>
      </c>
      <c r="G1948" s="107">
        <v>4605</v>
      </c>
      <c r="H1948" s="12">
        <v>45962</v>
      </c>
      <c r="I1948" s="24">
        <v>119185.65</v>
      </c>
      <c r="J1948" s="24">
        <v>111855.74</v>
      </c>
      <c r="K1948" s="3">
        <v>45993</v>
      </c>
      <c r="L1948" s="91">
        <v>46006</v>
      </c>
      <c r="M1948" s="11">
        <v>46008</v>
      </c>
      <c r="N1948" s="1" t="s">
        <v>588</v>
      </c>
      <c r="O1948" s="34">
        <v>0</v>
      </c>
      <c r="P1948"/>
      <c r="Q1948" t="str">
        <f>IFERROR(VLOOKUP(Tabela1[[#This Row],[CC]],CC!$A$1:$H$389,5,0),"")</f>
        <v>ADS</v>
      </c>
      <c r="R1948" t="str">
        <f>IFERROR(VLOOKUP(Tabela1[[#This Row],[CC]],CC!$A$1:$H$389,6,0),"")</f>
        <v>FS</v>
      </c>
      <c r="S1948" t="str">
        <f>IFERROR(VLOOKUP(Tabela1[[#This Row],[CC]],CC!$A$1:$H$403,8,0),"")</f>
        <v>OP1</v>
      </c>
    </row>
    <row r="1949" spans="1:19" x14ac:dyDescent="0.3">
      <c r="A1949" s="25">
        <v>1292</v>
      </c>
      <c r="B1949" s="25" t="str">
        <f>IFERROR(VLOOKUP(Tabela1[[#This Row],[CC]],#REF!,5,0),"")</f>
        <v/>
      </c>
      <c r="C1949" t="str">
        <f>IFERROR(VLOOKUP(Tabela1[[#This Row],[CC]],CC!$A$1:$H$389,7,0),"")</f>
        <v>RITA ANDRADE</v>
      </c>
      <c r="D1949" t="str">
        <f>IFERROR(VLOOKUP(Tabela1[[#This Row],[CC]],CC!$A$1:$I$3869,3,0),"")</f>
        <v>BRADESCO_SEGUROS</v>
      </c>
      <c r="E1949" t="str">
        <f>IFERROR(VLOOKUP(Tabela1[[#This Row],[CC]],CC!$A$1:$H$389,2,0),"")</f>
        <v>BRADESCO - SEGUROS (1292)</v>
      </c>
      <c r="F1949" t="s">
        <v>586</v>
      </c>
      <c r="G1949" s="107">
        <v>4606</v>
      </c>
      <c r="H1949" s="12">
        <v>45962</v>
      </c>
      <c r="I1949" s="24">
        <v>34633.19</v>
      </c>
      <c r="J1949" s="24">
        <v>32503.25</v>
      </c>
      <c r="K1949" s="3">
        <v>45993</v>
      </c>
      <c r="L1949" s="91">
        <v>46006</v>
      </c>
      <c r="M1949" s="11">
        <v>46008</v>
      </c>
      <c r="N1949" s="1" t="s">
        <v>588</v>
      </c>
      <c r="O1949" s="34">
        <v>0</v>
      </c>
      <c r="P1949"/>
      <c r="Q1949" t="str">
        <f>IFERROR(VLOOKUP(Tabela1[[#This Row],[CC]],CC!$A$1:$H$389,5,0),"")</f>
        <v>ADS</v>
      </c>
      <c r="R1949" t="str">
        <f>IFERROR(VLOOKUP(Tabela1[[#This Row],[CC]],CC!$A$1:$H$389,6,0),"")</f>
        <v>FS</v>
      </c>
      <c r="S1949" t="str">
        <f>IFERROR(VLOOKUP(Tabela1[[#This Row],[CC]],CC!$A$1:$H$403,8,0),"")</f>
        <v>OP1</v>
      </c>
    </row>
    <row r="1950" spans="1:19" x14ac:dyDescent="0.3">
      <c r="A1950" s="25">
        <v>1292</v>
      </c>
      <c r="B1950" s="25" t="str">
        <f>IFERROR(VLOOKUP(Tabela1[[#This Row],[CC]],#REF!,5,0),"")</f>
        <v/>
      </c>
      <c r="C1950" t="str">
        <f>IFERROR(VLOOKUP(Tabela1[[#This Row],[CC]],CC!$A$1:$H$389,7,0),"")</f>
        <v>RITA ANDRADE</v>
      </c>
      <c r="D1950" t="str">
        <f>IFERROR(VLOOKUP(Tabela1[[#This Row],[CC]],CC!$A$1:$I$3869,3,0),"")</f>
        <v>BRADESCO_SEGUROS</v>
      </c>
      <c r="E1950" t="str">
        <f>IFERROR(VLOOKUP(Tabela1[[#This Row],[CC]],CC!$A$1:$H$389,2,0),"")</f>
        <v>BRADESCO - SEGUROS (1292)</v>
      </c>
      <c r="F1950" t="s">
        <v>586</v>
      </c>
      <c r="G1950" s="107">
        <v>4607</v>
      </c>
      <c r="H1950" s="12">
        <v>45992</v>
      </c>
      <c r="I1950" s="24">
        <v>34633.19</v>
      </c>
      <c r="J1950" s="24">
        <v>32503.25</v>
      </c>
      <c r="K1950" s="3">
        <v>45993</v>
      </c>
      <c r="L1950" s="91">
        <v>46006</v>
      </c>
      <c r="M1950" s="11">
        <v>46008</v>
      </c>
      <c r="N1950" s="1" t="s">
        <v>588</v>
      </c>
      <c r="O1950" s="34">
        <v>0</v>
      </c>
      <c r="P1950"/>
      <c r="Q1950" t="str">
        <f>IFERROR(VLOOKUP(Tabela1[[#This Row],[CC]],CC!$A$1:$H$389,5,0),"")</f>
        <v>ADS</v>
      </c>
      <c r="R1950" t="str">
        <f>IFERROR(VLOOKUP(Tabela1[[#This Row],[CC]],CC!$A$1:$H$389,6,0),"")</f>
        <v>FS</v>
      </c>
      <c r="S1950" t="str">
        <f>IFERROR(VLOOKUP(Tabela1[[#This Row],[CC]],CC!$A$1:$H$403,8,0),"")</f>
        <v>OP1</v>
      </c>
    </row>
    <row r="1951" spans="1:19" x14ac:dyDescent="0.3">
      <c r="A1951" s="25">
        <v>1292</v>
      </c>
      <c r="B1951" s="25" t="str">
        <f>IFERROR(VLOOKUP(Tabela1[[#This Row],[CC]],#REF!,5,0),"")</f>
        <v/>
      </c>
      <c r="C1951" t="str">
        <f>IFERROR(VLOOKUP(Tabela1[[#This Row],[CC]],CC!$A$1:$H$389,7,0),"")</f>
        <v>RITA ANDRADE</v>
      </c>
      <c r="D1951" t="str">
        <f>IFERROR(VLOOKUP(Tabela1[[#This Row],[CC]],CC!$A$1:$I$3869,3,0),"")</f>
        <v>BRADESCO_SEGUROS</v>
      </c>
      <c r="E1951" t="str">
        <f>IFERROR(VLOOKUP(Tabela1[[#This Row],[CC]],CC!$A$1:$H$389,2,0),"")</f>
        <v>BRADESCO - SEGUROS (1292)</v>
      </c>
      <c r="F1951" t="s">
        <v>586</v>
      </c>
      <c r="G1951" s="107">
        <v>4622</v>
      </c>
      <c r="H1951" s="12">
        <v>45962</v>
      </c>
      <c r="I1951" s="24">
        <v>646.05999999999995</v>
      </c>
      <c r="J1951" s="24">
        <v>606.33000000000004</v>
      </c>
      <c r="K1951" s="3">
        <v>45995</v>
      </c>
      <c r="L1951" s="91">
        <v>46034</v>
      </c>
      <c r="M1951" s="11">
        <v>46034</v>
      </c>
      <c r="N1951" s="1" t="s">
        <v>588</v>
      </c>
      <c r="O1951" s="34">
        <v>0</v>
      </c>
      <c r="P1951"/>
      <c r="Q1951" t="str">
        <f>IFERROR(VLOOKUP(Tabela1[[#This Row],[CC]],CC!$A$1:$H$389,5,0),"")</f>
        <v>ADS</v>
      </c>
      <c r="R1951" t="str">
        <f>IFERROR(VLOOKUP(Tabela1[[#This Row],[CC]],CC!$A$1:$H$389,6,0),"")</f>
        <v>FS</v>
      </c>
      <c r="S1951" t="str">
        <f>IFERROR(VLOOKUP(Tabela1[[#This Row],[CC]],CC!$A$1:$H$403,8,0),"")</f>
        <v>OP1</v>
      </c>
    </row>
    <row r="1952" spans="1:19" x14ac:dyDescent="0.3">
      <c r="A1952" s="25">
        <v>1292</v>
      </c>
      <c r="B1952" s="25" t="str">
        <f>IFERROR(VLOOKUP(Tabela1[[#This Row],[CC]],#REF!,5,0),"")</f>
        <v/>
      </c>
      <c r="C1952" t="str">
        <f>IFERROR(VLOOKUP(Tabela1[[#This Row],[CC]],CC!$A$1:$H$389,7,0),"")</f>
        <v>RITA ANDRADE</v>
      </c>
      <c r="D1952" t="str">
        <f>IFERROR(VLOOKUP(Tabela1[[#This Row],[CC]],CC!$A$1:$I$3869,3,0),"")</f>
        <v>BRADESCO_SEGUROS</v>
      </c>
      <c r="E1952" t="str">
        <f>IFERROR(VLOOKUP(Tabela1[[#This Row],[CC]],CC!$A$1:$H$389,2,0),"")</f>
        <v>BRADESCO - SEGUROS (1292)</v>
      </c>
      <c r="F1952" t="s">
        <v>586</v>
      </c>
      <c r="G1952" s="107">
        <v>4623</v>
      </c>
      <c r="H1952" s="12">
        <v>45962</v>
      </c>
      <c r="I1952" s="24">
        <v>646.04</v>
      </c>
      <c r="J1952" s="24">
        <v>606.30999999999995</v>
      </c>
      <c r="K1952" s="3">
        <v>45995</v>
      </c>
      <c r="L1952" s="91">
        <v>46006</v>
      </c>
      <c r="M1952" s="11">
        <v>46010</v>
      </c>
      <c r="N1952" s="1" t="s">
        <v>588</v>
      </c>
      <c r="O1952" s="34">
        <v>0</v>
      </c>
      <c r="P1952"/>
      <c r="Q1952" t="str">
        <f>IFERROR(VLOOKUP(Tabela1[[#This Row],[CC]],CC!$A$1:$H$389,5,0),"")</f>
        <v>ADS</v>
      </c>
      <c r="R1952" t="str">
        <f>IFERROR(VLOOKUP(Tabela1[[#This Row],[CC]],CC!$A$1:$H$389,6,0),"")</f>
        <v>FS</v>
      </c>
      <c r="S1952" t="str">
        <f>IFERROR(VLOOKUP(Tabela1[[#This Row],[CC]],CC!$A$1:$H$403,8,0),"")</f>
        <v>OP1</v>
      </c>
    </row>
    <row r="1953" spans="1:19" x14ac:dyDescent="0.3">
      <c r="A1953" s="25">
        <v>1292</v>
      </c>
      <c r="B1953" s="25" t="str">
        <f>IFERROR(VLOOKUP(Tabela1[[#This Row],[CC]],#REF!,5,0),"")</f>
        <v/>
      </c>
      <c r="C1953" t="str">
        <f>IFERROR(VLOOKUP(Tabela1[[#This Row],[CC]],CC!$A$1:$H$389,7,0),"")</f>
        <v>RITA ANDRADE</v>
      </c>
      <c r="D1953" t="str">
        <f>IFERROR(VLOOKUP(Tabela1[[#This Row],[CC]],CC!$A$1:$I$3869,3,0),"")</f>
        <v>BRADESCO_SEGUROS</v>
      </c>
      <c r="E1953" t="str">
        <f>IFERROR(VLOOKUP(Tabela1[[#This Row],[CC]],CC!$A$1:$H$389,2,0),"")</f>
        <v>BRADESCO - SEGUROS (1292)</v>
      </c>
      <c r="F1953" t="s">
        <v>586</v>
      </c>
      <c r="G1953" s="107">
        <v>4624</v>
      </c>
      <c r="H1953" s="12">
        <v>45962</v>
      </c>
      <c r="I1953" s="24">
        <v>646.04</v>
      </c>
      <c r="J1953" s="24">
        <v>606.30999999999995</v>
      </c>
      <c r="K1953" s="3">
        <v>45995</v>
      </c>
      <c r="L1953" s="91">
        <v>46006</v>
      </c>
      <c r="M1953" s="11">
        <v>46010</v>
      </c>
      <c r="N1953" s="1" t="s">
        <v>588</v>
      </c>
      <c r="O1953" s="34">
        <v>0</v>
      </c>
      <c r="P1953"/>
      <c r="Q1953" t="str">
        <f>IFERROR(VLOOKUP(Tabela1[[#This Row],[CC]],CC!$A$1:$H$389,5,0),"")</f>
        <v>ADS</v>
      </c>
      <c r="R1953" t="str">
        <f>IFERROR(VLOOKUP(Tabela1[[#This Row],[CC]],CC!$A$1:$H$389,6,0),"")</f>
        <v>FS</v>
      </c>
      <c r="S1953" t="str">
        <f>IFERROR(VLOOKUP(Tabela1[[#This Row],[CC]],CC!$A$1:$H$403,8,0),"")</f>
        <v>OP1</v>
      </c>
    </row>
    <row r="1954" spans="1:19" x14ac:dyDescent="0.3">
      <c r="A1954" s="25">
        <v>1292</v>
      </c>
      <c r="B1954" s="25" t="str">
        <f>IFERROR(VLOOKUP(Tabela1[[#This Row],[CC]],#REF!,5,0),"")</f>
        <v/>
      </c>
      <c r="C1954" t="str">
        <f>IFERROR(VLOOKUP(Tabela1[[#This Row],[CC]],CC!$A$1:$H$389,7,0),"")</f>
        <v>RITA ANDRADE</v>
      </c>
      <c r="D1954" t="str">
        <f>IFERROR(VLOOKUP(Tabela1[[#This Row],[CC]],CC!$A$1:$I$3869,3,0),"")</f>
        <v>BRADESCO_SEGUROS</v>
      </c>
      <c r="E1954" t="str">
        <f>IFERROR(VLOOKUP(Tabela1[[#This Row],[CC]],CC!$A$1:$H$389,2,0),"")</f>
        <v>BRADESCO - SEGUROS (1292)</v>
      </c>
      <c r="F1954" t="s">
        <v>586</v>
      </c>
      <c r="G1954" s="107">
        <v>4625</v>
      </c>
      <c r="H1954" s="12">
        <v>45962</v>
      </c>
      <c r="I1954" s="24">
        <v>646.04</v>
      </c>
      <c r="J1954" s="24">
        <v>606.30999999999995</v>
      </c>
      <c r="K1954" s="3">
        <v>45995</v>
      </c>
      <c r="L1954" s="91">
        <v>46006</v>
      </c>
      <c r="M1954" s="11">
        <v>46010</v>
      </c>
      <c r="N1954" s="1" t="s">
        <v>588</v>
      </c>
      <c r="O1954" s="34">
        <v>0</v>
      </c>
      <c r="P1954"/>
      <c r="Q1954" t="str">
        <f>IFERROR(VLOOKUP(Tabela1[[#This Row],[CC]],CC!$A$1:$H$389,5,0),"")</f>
        <v>ADS</v>
      </c>
      <c r="R1954" t="str">
        <f>IFERROR(VLOOKUP(Tabela1[[#This Row],[CC]],CC!$A$1:$H$389,6,0),"")</f>
        <v>FS</v>
      </c>
      <c r="S1954" t="str">
        <f>IFERROR(VLOOKUP(Tabela1[[#This Row],[CC]],CC!$A$1:$H$403,8,0),"")</f>
        <v>OP1</v>
      </c>
    </row>
    <row r="1955" spans="1:19" x14ac:dyDescent="0.3">
      <c r="A1955" s="25">
        <v>1292</v>
      </c>
      <c r="B1955" s="25" t="str">
        <f>IFERROR(VLOOKUP(Tabela1[[#This Row],[CC]],#REF!,5,0),"")</f>
        <v/>
      </c>
      <c r="C1955" t="str">
        <f>IFERROR(VLOOKUP(Tabela1[[#This Row],[CC]],CC!$A$1:$H$389,7,0),"")</f>
        <v>RITA ANDRADE</v>
      </c>
      <c r="D1955" t="str">
        <f>IFERROR(VLOOKUP(Tabela1[[#This Row],[CC]],CC!$A$1:$I$3869,3,0),"")</f>
        <v>BRADESCO_SEGUROS</v>
      </c>
      <c r="E1955" t="str">
        <f>IFERROR(VLOOKUP(Tabela1[[#This Row],[CC]],CC!$A$1:$H$389,2,0),"")</f>
        <v>BRADESCO - SEGUROS (1292)</v>
      </c>
      <c r="F1955" t="s">
        <v>586</v>
      </c>
      <c r="G1955" s="107">
        <v>4636</v>
      </c>
      <c r="H1955" s="12">
        <v>45962</v>
      </c>
      <c r="I1955" s="24">
        <v>57764.87</v>
      </c>
      <c r="J1955" s="24">
        <v>54212.33</v>
      </c>
      <c r="K1955" s="3">
        <v>45996</v>
      </c>
      <c r="L1955" s="91">
        <v>46020</v>
      </c>
      <c r="M1955" s="11">
        <v>46021</v>
      </c>
      <c r="N1955" s="1" t="s">
        <v>588</v>
      </c>
      <c r="O1955" s="34">
        <v>0</v>
      </c>
      <c r="P1955"/>
      <c r="Q1955" t="str">
        <f>IFERROR(VLOOKUP(Tabela1[[#This Row],[CC]],CC!$A$1:$H$389,5,0),"")</f>
        <v>ADS</v>
      </c>
      <c r="R1955" t="str">
        <f>IFERROR(VLOOKUP(Tabela1[[#This Row],[CC]],CC!$A$1:$H$389,6,0),"")</f>
        <v>FS</v>
      </c>
      <c r="S1955" t="str">
        <f>IFERROR(VLOOKUP(Tabela1[[#This Row],[CC]],CC!$A$1:$H$403,8,0),"")</f>
        <v>OP1</v>
      </c>
    </row>
    <row r="1956" spans="1:19" x14ac:dyDescent="0.3">
      <c r="A1956" s="25">
        <v>1292</v>
      </c>
      <c r="B1956" s="25" t="str">
        <f>IFERROR(VLOOKUP(Tabela1[[#This Row],[CC]],#REF!,5,0),"")</f>
        <v/>
      </c>
      <c r="C1956" t="str">
        <f>IFERROR(VLOOKUP(Tabela1[[#This Row],[CC]],CC!$A$1:$H$389,7,0),"")</f>
        <v>RITA ANDRADE</v>
      </c>
      <c r="D1956" t="str">
        <f>IFERROR(VLOOKUP(Tabela1[[#This Row],[CC]],CC!$A$1:$I$3869,3,0),"")</f>
        <v>BRADESCO_SEGUROS</v>
      </c>
      <c r="E1956" t="str">
        <f>IFERROR(VLOOKUP(Tabela1[[#This Row],[CC]],CC!$A$1:$H$389,2,0),"")</f>
        <v>BRADESCO - SEGUROS (1292)</v>
      </c>
      <c r="F1956" t="s">
        <v>586</v>
      </c>
      <c r="G1956" s="107">
        <v>4637</v>
      </c>
      <c r="H1956" s="12">
        <v>45962</v>
      </c>
      <c r="I1956" s="24">
        <v>132310.9</v>
      </c>
      <c r="J1956" s="24">
        <v>124173.78</v>
      </c>
      <c r="K1956" s="3">
        <v>45996</v>
      </c>
      <c r="L1956" s="91">
        <v>46013</v>
      </c>
      <c r="M1956" s="11">
        <v>46017</v>
      </c>
      <c r="N1956" s="1" t="s">
        <v>588</v>
      </c>
      <c r="O1956" s="34">
        <v>0</v>
      </c>
      <c r="P1956"/>
      <c r="Q1956" t="str">
        <f>IFERROR(VLOOKUP(Tabela1[[#This Row],[CC]],CC!$A$1:$H$389,5,0),"")</f>
        <v>ADS</v>
      </c>
      <c r="R1956" t="str">
        <f>IFERROR(VLOOKUP(Tabela1[[#This Row],[CC]],CC!$A$1:$H$389,6,0),"")</f>
        <v>FS</v>
      </c>
      <c r="S1956" t="str">
        <f>IFERROR(VLOOKUP(Tabela1[[#This Row],[CC]],CC!$A$1:$H$403,8,0),"")</f>
        <v>OP1</v>
      </c>
    </row>
    <row r="1957" spans="1:19" x14ac:dyDescent="0.3">
      <c r="A1957" s="25">
        <v>1292</v>
      </c>
      <c r="B1957" s="25" t="str">
        <f>IFERROR(VLOOKUP(Tabela1[[#This Row],[CC]],#REF!,5,0),"")</f>
        <v/>
      </c>
      <c r="C1957" t="str">
        <f>IFERROR(VLOOKUP(Tabela1[[#This Row],[CC]],CC!$A$1:$H$389,7,0),"")</f>
        <v>RITA ANDRADE</v>
      </c>
      <c r="D1957" t="str">
        <f>IFERROR(VLOOKUP(Tabela1[[#This Row],[CC]],CC!$A$1:$I$3869,3,0),"")</f>
        <v>BRADESCO_SEGUROS</v>
      </c>
      <c r="E1957" t="str">
        <f>IFERROR(VLOOKUP(Tabela1[[#This Row],[CC]],CC!$A$1:$H$389,2,0),"")</f>
        <v>BRADESCO - SEGUROS (1292)</v>
      </c>
      <c r="F1957" t="s">
        <v>586</v>
      </c>
      <c r="G1957" s="107">
        <v>4648</v>
      </c>
      <c r="H1957" s="12">
        <v>45962</v>
      </c>
      <c r="I1957" s="24">
        <v>27095.59</v>
      </c>
      <c r="J1957" s="24">
        <v>25429.22</v>
      </c>
      <c r="K1957" s="3">
        <v>45996</v>
      </c>
      <c r="L1957" s="91">
        <v>46013</v>
      </c>
      <c r="M1957" s="11">
        <v>46013</v>
      </c>
      <c r="N1957" s="1" t="s">
        <v>588</v>
      </c>
      <c r="O1957" s="34">
        <v>0</v>
      </c>
      <c r="P1957"/>
      <c r="Q1957" t="str">
        <f>IFERROR(VLOOKUP(Tabela1[[#This Row],[CC]],CC!$A$1:$H$389,5,0),"")</f>
        <v>ADS</v>
      </c>
      <c r="R1957" t="str">
        <f>IFERROR(VLOOKUP(Tabela1[[#This Row],[CC]],CC!$A$1:$H$389,6,0),"")</f>
        <v>FS</v>
      </c>
      <c r="S1957" t="str">
        <f>IFERROR(VLOOKUP(Tabela1[[#This Row],[CC]],CC!$A$1:$H$403,8,0),"")</f>
        <v>OP1</v>
      </c>
    </row>
    <row r="1958" spans="1:19" x14ac:dyDescent="0.3">
      <c r="A1958" s="25">
        <v>1292</v>
      </c>
      <c r="B1958" s="25" t="str">
        <f>IFERROR(VLOOKUP(Tabela1[[#This Row],[CC]],#REF!,5,0),"")</f>
        <v/>
      </c>
      <c r="C1958" t="str">
        <f>IFERROR(VLOOKUP(Tabela1[[#This Row],[CC]],CC!$A$1:$H$389,7,0),"")</f>
        <v>RITA ANDRADE</v>
      </c>
      <c r="D1958" t="str">
        <f>IFERROR(VLOOKUP(Tabela1[[#This Row],[CC]],CC!$A$1:$I$3869,3,0),"")</f>
        <v>BRADESCO_SEGUROS</v>
      </c>
      <c r="E1958" t="str">
        <f>IFERROR(VLOOKUP(Tabela1[[#This Row],[CC]],CC!$A$1:$H$389,2,0),"")</f>
        <v>BRADESCO - SEGUROS (1292)</v>
      </c>
      <c r="F1958" t="s">
        <v>586</v>
      </c>
      <c r="G1958" s="107">
        <v>4649</v>
      </c>
      <c r="H1958" s="12">
        <v>45962</v>
      </c>
      <c r="I1958" s="24">
        <v>27095.59</v>
      </c>
      <c r="J1958" s="24">
        <v>25429.22</v>
      </c>
      <c r="K1958" s="3">
        <v>45996</v>
      </c>
      <c r="L1958" s="91">
        <v>46013</v>
      </c>
      <c r="M1958" s="11">
        <v>46013</v>
      </c>
      <c r="N1958" s="1" t="s">
        <v>588</v>
      </c>
      <c r="O1958" s="34">
        <v>0</v>
      </c>
      <c r="P1958"/>
      <c r="Q1958" t="str">
        <f>IFERROR(VLOOKUP(Tabela1[[#This Row],[CC]],CC!$A$1:$H$389,5,0),"")</f>
        <v>ADS</v>
      </c>
      <c r="R1958" t="str">
        <f>IFERROR(VLOOKUP(Tabela1[[#This Row],[CC]],CC!$A$1:$H$389,6,0),"")</f>
        <v>FS</v>
      </c>
      <c r="S1958" t="str">
        <f>IFERROR(VLOOKUP(Tabela1[[#This Row],[CC]],CC!$A$1:$H$403,8,0),"")</f>
        <v>OP1</v>
      </c>
    </row>
    <row r="1959" spans="1:19" x14ac:dyDescent="0.3">
      <c r="A1959" s="25">
        <v>1292</v>
      </c>
      <c r="B1959" s="25" t="str">
        <f>IFERROR(VLOOKUP(Tabela1[[#This Row],[CC]],#REF!,5,0),"")</f>
        <v/>
      </c>
      <c r="C1959" t="str">
        <f>IFERROR(VLOOKUP(Tabela1[[#This Row],[CC]],CC!$A$1:$H$389,7,0),"")</f>
        <v>RITA ANDRADE</v>
      </c>
      <c r="D1959" t="str">
        <f>IFERROR(VLOOKUP(Tabela1[[#This Row],[CC]],CC!$A$1:$I$3869,3,0),"")</f>
        <v>BRADESCO_SEGUROS</v>
      </c>
      <c r="E1959" t="str">
        <f>IFERROR(VLOOKUP(Tabela1[[#This Row],[CC]],CC!$A$1:$H$389,2,0),"")</f>
        <v>BRADESCO - SEGUROS (1292)</v>
      </c>
      <c r="F1959" t="s">
        <v>586</v>
      </c>
      <c r="G1959" s="107">
        <v>4650</v>
      </c>
      <c r="H1959" s="12">
        <v>45962</v>
      </c>
      <c r="I1959" s="24">
        <v>27095.59</v>
      </c>
      <c r="J1959" s="24">
        <v>25429.22</v>
      </c>
      <c r="K1959" s="3">
        <v>45996</v>
      </c>
      <c r="L1959" s="91">
        <v>46013</v>
      </c>
      <c r="M1959" s="11">
        <v>46013</v>
      </c>
      <c r="N1959" s="1" t="s">
        <v>588</v>
      </c>
      <c r="O1959" s="34">
        <v>0</v>
      </c>
      <c r="P1959"/>
      <c r="Q1959" t="str">
        <f>IFERROR(VLOOKUP(Tabela1[[#This Row],[CC]],CC!$A$1:$H$389,5,0),"")</f>
        <v>ADS</v>
      </c>
      <c r="R1959" t="str">
        <f>IFERROR(VLOOKUP(Tabela1[[#This Row],[CC]],CC!$A$1:$H$389,6,0),"")</f>
        <v>FS</v>
      </c>
      <c r="S1959" t="str">
        <f>IFERROR(VLOOKUP(Tabela1[[#This Row],[CC]],CC!$A$1:$H$403,8,0),"")</f>
        <v>OP1</v>
      </c>
    </row>
    <row r="1960" spans="1:19" x14ac:dyDescent="0.3">
      <c r="A1960" s="25">
        <v>1292</v>
      </c>
      <c r="B1960" s="25" t="str">
        <f>IFERROR(VLOOKUP(Tabela1[[#This Row],[CC]],#REF!,5,0),"")</f>
        <v/>
      </c>
      <c r="C1960" t="str">
        <f>IFERROR(VLOOKUP(Tabela1[[#This Row],[CC]],CC!$A$1:$H$389,7,0),"")</f>
        <v>RITA ANDRADE</v>
      </c>
      <c r="D1960" t="str">
        <f>IFERROR(VLOOKUP(Tabela1[[#This Row],[CC]],CC!$A$1:$I$3869,3,0),"")</f>
        <v>BRADESCO_SEGUROS</v>
      </c>
      <c r="E1960" t="str">
        <f>IFERROR(VLOOKUP(Tabela1[[#This Row],[CC]],CC!$A$1:$H$389,2,0),"")</f>
        <v>BRADESCO - SEGUROS (1292)</v>
      </c>
      <c r="F1960" t="s">
        <v>586</v>
      </c>
      <c r="G1960" s="107">
        <v>4651</v>
      </c>
      <c r="H1960" s="12">
        <v>45962</v>
      </c>
      <c r="I1960" s="24">
        <v>27095.59</v>
      </c>
      <c r="J1960" s="24">
        <v>25429.22</v>
      </c>
      <c r="K1960" s="3">
        <v>45996</v>
      </c>
      <c r="L1960" s="91">
        <v>46013</v>
      </c>
      <c r="M1960" s="11">
        <v>46013</v>
      </c>
      <c r="N1960" s="1" t="s">
        <v>588</v>
      </c>
      <c r="O1960" s="34">
        <v>0</v>
      </c>
      <c r="P1960"/>
      <c r="Q1960" t="str">
        <f>IFERROR(VLOOKUP(Tabela1[[#This Row],[CC]],CC!$A$1:$H$389,5,0),"")</f>
        <v>ADS</v>
      </c>
      <c r="R1960" t="str">
        <f>IFERROR(VLOOKUP(Tabela1[[#This Row],[CC]],CC!$A$1:$H$389,6,0),"")</f>
        <v>FS</v>
      </c>
      <c r="S1960" t="str">
        <f>IFERROR(VLOOKUP(Tabela1[[#This Row],[CC]],CC!$A$1:$H$403,8,0),"")</f>
        <v>OP1</v>
      </c>
    </row>
    <row r="1961" spans="1:19" x14ac:dyDescent="0.3">
      <c r="A1961" s="25">
        <v>1292</v>
      </c>
      <c r="B1961" s="25" t="str">
        <f>IFERROR(VLOOKUP(Tabela1[[#This Row],[CC]],#REF!,5,0),"")</f>
        <v/>
      </c>
      <c r="C1961" t="str">
        <f>IFERROR(VLOOKUP(Tabela1[[#This Row],[CC]],CC!$A$1:$H$389,7,0),"")</f>
        <v>RITA ANDRADE</v>
      </c>
      <c r="D1961" t="str">
        <f>IFERROR(VLOOKUP(Tabela1[[#This Row],[CC]],CC!$A$1:$I$3869,3,0),"")</f>
        <v>BRADESCO_SEGUROS</v>
      </c>
      <c r="E1961" t="str">
        <f>IFERROR(VLOOKUP(Tabela1[[#This Row],[CC]],CC!$A$1:$H$389,2,0),"")</f>
        <v>BRADESCO - SEGUROS (1292)</v>
      </c>
      <c r="F1961" t="s">
        <v>586</v>
      </c>
      <c r="G1961" s="107">
        <v>4711</v>
      </c>
      <c r="H1961" s="12">
        <v>45992</v>
      </c>
      <c r="I1961" s="27">
        <v>31008</v>
      </c>
      <c r="J1961" s="24">
        <v>29101.01</v>
      </c>
      <c r="K1961" s="3">
        <v>46024</v>
      </c>
      <c r="L1961" s="91">
        <v>46041</v>
      </c>
      <c r="M1961" s="11">
        <v>46041</v>
      </c>
      <c r="N1961" s="1" t="s">
        <v>588</v>
      </c>
      <c r="O1961" s="34">
        <v>0</v>
      </c>
      <c r="P1961"/>
      <c r="Q1961" t="str">
        <f>IFERROR(VLOOKUP(Tabela1[[#This Row],[CC]],CC!$A$1:$H$389,5,0),"")</f>
        <v>ADS</v>
      </c>
      <c r="R1961" t="str">
        <f>IFERROR(VLOOKUP(Tabela1[[#This Row],[CC]],CC!$A$1:$H$389,6,0),"")</f>
        <v>FS</v>
      </c>
      <c r="S1961" t="str">
        <f>IFERROR(VLOOKUP(Tabela1[[#This Row],[CC]],CC!$A$1:$H$403,8,0),"")</f>
        <v>OP1</v>
      </c>
    </row>
    <row r="1962" spans="1:19" x14ac:dyDescent="0.3">
      <c r="A1962" s="25">
        <v>1292</v>
      </c>
      <c r="B1962" s="25" t="str">
        <f>IFERROR(VLOOKUP(Tabela1[[#This Row],[CC]],#REF!,5,0),"")</f>
        <v/>
      </c>
      <c r="C1962" t="str">
        <f>IFERROR(VLOOKUP(Tabela1[[#This Row],[CC]],CC!$A$1:$H$389,7,0),"")</f>
        <v>RITA ANDRADE</v>
      </c>
      <c r="D1962" t="str">
        <f>IFERROR(VLOOKUP(Tabela1[[#This Row],[CC]],CC!$A$1:$I$3869,3,0),"")</f>
        <v>BRADESCO_SEGUROS</v>
      </c>
      <c r="E1962" t="str">
        <f>IFERROR(VLOOKUP(Tabela1[[#This Row],[CC]],CC!$A$1:$H$389,2,0),"")</f>
        <v>BRADESCO - SEGUROS (1292)</v>
      </c>
      <c r="F1962" t="s">
        <v>586</v>
      </c>
      <c r="G1962" s="107">
        <v>4719</v>
      </c>
      <c r="H1962" s="12">
        <v>45992</v>
      </c>
      <c r="I1962" s="27">
        <v>119185.65</v>
      </c>
      <c r="J1962" s="24">
        <v>111855.74</v>
      </c>
      <c r="K1962" s="3">
        <v>46028</v>
      </c>
      <c r="L1962" s="91">
        <v>46041</v>
      </c>
      <c r="M1962" s="11">
        <v>46043</v>
      </c>
      <c r="N1962" s="1" t="s">
        <v>588</v>
      </c>
      <c r="O1962" s="34">
        <v>0</v>
      </c>
      <c r="P1962"/>
      <c r="Q1962" t="str">
        <f>IFERROR(VLOOKUP(Tabela1[[#This Row],[CC]],CC!$A$1:$H$389,5,0),"")</f>
        <v>ADS</v>
      </c>
      <c r="R1962" t="str">
        <f>IFERROR(VLOOKUP(Tabela1[[#This Row],[CC]],CC!$A$1:$H$389,6,0),"")</f>
        <v>FS</v>
      </c>
      <c r="S1962" t="str">
        <f>IFERROR(VLOOKUP(Tabela1[[#This Row],[CC]],CC!$A$1:$H$403,8,0),"")</f>
        <v>OP1</v>
      </c>
    </row>
    <row r="1963" spans="1:19" x14ac:dyDescent="0.3">
      <c r="A1963" s="25">
        <v>1292</v>
      </c>
      <c r="B1963" s="25" t="str">
        <f>IFERROR(VLOOKUP(Tabela1[[#This Row],[CC]],#REF!,5,0),"")</f>
        <v/>
      </c>
      <c r="C1963" t="str">
        <f>IFERROR(VLOOKUP(Tabela1[[#This Row],[CC]],CC!$A$1:$H$389,7,0),"")</f>
        <v>RITA ANDRADE</v>
      </c>
      <c r="D1963" t="str">
        <f>IFERROR(VLOOKUP(Tabela1[[#This Row],[CC]],CC!$A$1:$I$3869,3,0),"")</f>
        <v>BRADESCO_SEGUROS</v>
      </c>
      <c r="E1963" t="str">
        <f>IFERROR(VLOOKUP(Tabela1[[#This Row],[CC]],CC!$A$1:$H$389,2,0),"")</f>
        <v>BRADESCO - SEGUROS (1292)</v>
      </c>
      <c r="F1963" t="s">
        <v>586</v>
      </c>
      <c r="G1963" s="107">
        <v>4750</v>
      </c>
      <c r="H1963" s="12">
        <v>45992</v>
      </c>
      <c r="I1963" s="24">
        <v>57764.87</v>
      </c>
      <c r="J1963" s="24">
        <v>54212.33</v>
      </c>
      <c r="K1963" s="3">
        <v>46038</v>
      </c>
      <c r="L1963" s="91">
        <v>46055</v>
      </c>
      <c r="M1963" s="11">
        <v>46055</v>
      </c>
      <c r="N1963" s="1" t="s">
        <v>588</v>
      </c>
      <c r="O1963" s="34"/>
      <c r="P1963"/>
      <c r="Q1963" t="str">
        <f>IFERROR(VLOOKUP(Tabela1[[#This Row],[CC]],CC!$A$1:$H$389,5,0),"")</f>
        <v>ADS</v>
      </c>
      <c r="R1963" t="str">
        <f>IFERROR(VLOOKUP(Tabela1[[#This Row],[CC]],CC!$A$1:$H$389,6,0),"")</f>
        <v>FS</v>
      </c>
      <c r="S1963" t="str">
        <f>IFERROR(VLOOKUP(Tabela1[[#This Row],[CC]],CC!$A$1:$H$403,8,0),"")</f>
        <v>OP1</v>
      </c>
    </row>
    <row r="1964" spans="1:19" x14ac:dyDescent="0.3">
      <c r="A1964" s="25">
        <v>1292</v>
      </c>
      <c r="B1964" s="25" t="str">
        <f>IFERROR(VLOOKUP(Tabela1[[#This Row],[CC]],#REF!,5,0),"")</f>
        <v/>
      </c>
      <c r="C1964" t="str">
        <f>IFERROR(VLOOKUP(Tabela1[[#This Row],[CC]],CC!$A$1:$H$389,7,0),"")</f>
        <v>RITA ANDRADE</v>
      </c>
      <c r="D1964" t="str">
        <f>IFERROR(VLOOKUP(Tabela1[[#This Row],[CC]],CC!$A$1:$I$3869,3,0),"")</f>
        <v>BRADESCO_SEGUROS</v>
      </c>
      <c r="E1964" t="str">
        <f>IFERROR(VLOOKUP(Tabela1[[#This Row],[CC]],CC!$A$1:$H$389,2,0),"")</f>
        <v>BRADESCO - SEGUROS (1292)</v>
      </c>
      <c r="F1964" t="s">
        <v>586</v>
      </c>
      <c r="G1964" s="107">
        <v>4810</v>
      </c>
      <c r="H1964" s="12">
        <v>46023</v>
      </c>
      <c r="I1964" s="27">
        <v>119185.65</v>
      </c>
      <c r="J1964" s="27">
        <v>111855.74</v>
      </c>
      <c r="K1964" s="3">
        <v>46057</v>
      </c>
      <c r="L1964" s="91">
        <v>46069</v>
      </c>
      <c r="M1964" s="11">
        <v>46072</v>
      </c>
      <c r="N1964" s="1" t="s">
        <v>588</v>
      </c>
      <c r="O1964" s="34">
        <v>0</v>
      </c>
      <c r="P1964"/>
      <c r="Q1964" t="str">
        <f>IFERROR(VLOOKUP(Tabela1[[#This Row],[CC]],CC!$A$1:$H$389,5,0),"")</f>
        <v>ADS</v>
      </c>
      <c r="R1964" t="str">
        <f>IFERROR(VLOOKUP(Tabela1[[#This Row],[CC]],CC!$A$1:$H$389,6,0),"")</f>
        <v>FS</v>
      </c>
      <c r="S1964" t="str">
        <f>IFERROR(VLOOKUP(Tabela1[[#This Row],[CC]],CC!$A$1:$H$403,8,0),"")</f>
        <v>OP1</v>
      </c>
    </row>
    <row r="1965" spans="1:19" x14ac:dyDescent="0.3">
      <c r="A1965" s="25">
        <v>1292</v>
      </c>
      <c r="B1965" s="25" t="str">
        <f>IFERROR(VLOOKUP(Tabela1[[#This Row],[CC]],#REF!,5,0),"")</f>
        <v/>
      </c>
      <c r="C1965" t="str">
        <f>IFERROR(VLOOKUP(Tabela1[[#This Row],[CC]],CC!$A$1:$H$389,7,0),"")</f>
        <v>RITA ANDRADE</v>
      </c>
      <c r="D1965" t="str">
        <f>IFERROR(VLOOKUP(Tabela1[[#This Row],[CC]],CC!$A$1:$I$3869,3,0),"")</f>
        <v>BRADESCO_SEGUROS</v>
      </c>
      <c r="E1965" t="str">
        <f>IFERROR(VLOOKUP(Tabela1[[#This Row],[CC]],CC!$A$1:$H$389,2,0),"")</f>
        <v>BRADESCO - SEGUROS (1292)</v>
      </c>
      <c r="F1965" t="s">
        <v>586</v>
      </c>
      <c r="G1965" s="107">
        <v>4841</v>
      </c>
      <c r="H1965" s="12">
        <v>46023</v>
      </c>
      <c r="I1965" s="27">
        <v>27095.59</v>
      </c>
      <c r="J1965" s="24">
        <v>25429.22</v>
      </c>
      <c r="K1965" s="3">
        <v>46064</v>
      </c>
      <c r="L1965" s="91">
        <v>46076</v>
      </c>
      <c r="M1965" s="11">
        <v>46079</v>
      </c>
      <c r="N1965" s="1" t="s">
        <v>588</v>
      </c>
      <c r="O1965" s="34">
        <v>0</v>
      </c>
      <c r="P1965"/>
      <c r="Q1965" t="str">
        <f>IFERROR(VLOOKUP(Tabela1[[#This Row],[CC]],CC!$A$1:$H$389,5,0),"")</f>
        <v>ADS</v>
      </c>
      <c r="R1965" t="str">
        <f>IFERROR(VLOOKUP(Tabela1[[#This Row],[CC]],CC!$A$1:$H$389,6,0),"")</f>
        <v>FS</v>
      </c>
      <c r="S1965" t="str">
        <f>IFERROR(VLOOKUP(Tabela1[[#This Row],[CC]],CC!$A$1:$H$403,8,0),"")</f>
        <v>OP1</v>
      </c>
    </row>
    <row r="1966" spans="1:19" x14ac:dyDescent="0.3">
      <c r="A1966" s="25">
        <v>1292</v>
      </c>
      <c r="B1966" s="25" t="str">
        <f>IFERROR(VLOOKUP(Tabela1[[#This Row],[CC]],#REF!,5,0),"")</f>
        <v/>
      </c>
      <c r="C1966" t="str">
        <f>IFERROR(VLOOKUP(Tabela1[[#This Row],[CC]],CC!$A$1:$H$389,7,0),"")</f>
        <v>RITA ANDRADE</v>
      </c>
      <c r="D1966" t="str">
        <f>IFERROR(VLOOKUP(Tabela1[[#This Row],[CC]],CC!$A$1:$I$3869,3,0),"")</f>
        <v>BRADESCO_SEGUROS</v>
      </c>
      <c r="E1966" t="str">
        <f>IFERROR(VLOOKUP(Tabela1[[#This Row],[CC]],CC!$A$1:$H$389,2,0),"")</f>
        <v>BRADESCO - SEGUROS (1292)</v>
      </c>
      <c r="F1966" t="s">
        <v>586</v>
      </c>
      <c r="G1966" s="107">
        <v>4885</v>
      </c>
      <c r="H1966" s="12">
        <v>46023</v>
      </c>
      <c r="I1966" s="24">
        <v>34633.19</v>
      </c>
      <c r="J1966" s="24">
        <v>32503.25</v>
      </c>
      <c r="K1966" s="3">
        <v>46078</v>
      </c>
      <c r="L1966" s="91">
        <v>46090</v>
      </c>
      <c r="M1966" s="11">
        <v>46093</v>
      </c>
      <c r="N1966" s="1" t="s">
        <v>588</v>
      </c>
      <c r="O1966" s="34">
        <v>0</v>
      </c>
      <c r="P1966"/>
      <c r="Q1966" t="str">
        <f>IFERROR(VLOOKUP(Tabela1[[#This Row],[CC]],CC!$A$1:$H$389,5,0),"")</f>
        <v>ADS</v>
      </c>
      <c r="R1966" t="str">
        <f>IFERROR(VLOOKUP(Tabela1[[#This Row],[CC]],CC!$A$1:$H$389,6,0),"")</f>
        <v>FS</v>
      </c>
      <c r="S1966" t="str">
        <f>IFERROR(VLOOKUP(Tabela1[[#This Row],[CC]],CC!$A$1:$H$403,8,0),"")</f>
        <v>OP1</v>
      </c>
    </row>
    <row r="1967" spans="1:19" x14ac:dyDescent="0.3">
      <c r="A1967" s="25">
        <v>1292</v>
      </c>
      <c r="B1967" s="25" t="str">
        <f>IFERROR(VLOOKUP(Tabela1[[#This Row],[CC]],#REF!,5,0),"")</f>
        <v/>
      </c>
      <c r="C1967" t="str">
        <f>IFERROR(VLOOKUP(Tabela1[[#This Row],[CC]],CC!$A$1:$H$389,7,0),"")</f>
        <v>RITA ANDRADE</v>
      </c>
      <c r="D1967" t="str">
        <f>IFERROR(VLOOKUP(Tabela1[[#This Row],[CC]],CC!$A$1:$I$3869,3,0),"")</f>
        <v>BRADESCO_SEGUROS</v>
      </c>
      <c r="E1967" t="str">
        <f>IFERROR(VLOOKUP(Tabela1[[#This Row],[CC]],CC!$A$1:$H$389,2,0),"")</f>
        <v>BRADESCO - SEGUROS (1292)</v>
      </c>
      <c r="F1967" t="s">
        <v>586</v>
      </c>
      <c r="G1967" s="107">
        <v>4920</v>
      </c>
      <c r="H1967" s="12">
        <v>46054</v>
      </c>
      <c r="I1967" s="27">
        <v>119185.65</v>
      </c>
      <c r="J1967" s="27">
        <v>111855.74</v>
      </c>
      <c r="K1967" s="3">
        <v>46090</v>
      </c>
      <c r="L1967" s="91">
        <v>46104</v>
      </c>
      <c r="M1967" s="11">
        <v>46105</v>
      </c>
      <c r="N1967" s="1" t="s">
        <v>588</v>
      </c>
      <c r="O1967" s="34">
        <v>0</v>
      </c>
      <c r="P1967"/>
      <c r="Q1967" t="str">
        <f>IFERROR(VLOOKUP(Tabela1[[#This Row],[CC]],CC!$A$1:$H$389,5,0),"")</f>
        <v>ADS</v>
      </c>
      <c r="R1967" t="str">
        <f>IFERROR(VLOOKUP(Tabela1[[#This Row],[CC]],CC!$A$1:$H$389,6,0),"")</f>
        <v>FS</v>
      </c>
      <c r="S1967" t="str">
        <f>IFERROR(VLOOKUP(Tabela1[[#This Row],[CC]],CC!$A$1:$H$403,8,0),"")</f>
        <v>OP1</v>
      </c>
    </row>
    <row r="1968" spans="1:19" x14ac:dyDescent="0.3">
      <c r="A1968" s="25">
        <v>1292</v>
      </c>
      <c r="B1968" s="25" t="str">
        <f>IFERROR(VLOOKUP(Tabela1[[#This Row],[CC]],#REF!,5,0),"")</f>
        <v/>
      </c>
      <c r="C1968" t="str">
        <f>IFERROR(VLOOKUP(Tabela1[[#This Row],[CC]],CC!$A$1:$H$389,7,0),"")</f>
        <v>RITA ANDRADE</v>
      </c>
      <c r="D1968" t="str">
        <f>IFERROR(VLOOKUP(Tabela1[[#This Row],[CC]],CC!$A$1:$I$3869,3,0),"")</f>
        <v>BRADESCO_SEGUROS</v>
      </c>
      <c r="E1968" t="str">
        <f>IFERROR(VLOOKUP(Tabela1[[#This Row],[CC]],CC!$A$1:$H$389,2,0),"")</f>
        <v>BRADESCO - SEGUROS (1292)</v>
      </c>
      <c r="F1968" t="s">
        <v>586</v>
      </c>
      <c r="G1968" s="107">
        <v>4921</v>
      </c>
      <c r="H1968" s="12">
        <v>46054</v>
      </c>
      <c r="I1968" s="27">
        <v>22540</v>
      </c>
      <c r="J1968" s="24">
        <v>21153.79</v>
      </c>
      <c r="K1968" s="3">
        <v>46091</v>
      </c>
      <c r="L1968" s="91">
        <v>46104</v>
      </c>
      <c r="M1968" s="11">
        <v>46106</v>
      </c>
      <c r="N1968" s="1" t="s">
        <v>588</v>
      </c>
      <c r="O1968" s="34">
        <v>0</v>
      </c>
      <c r="P1968"/>
      <c r="Q1968" t="str">
        <f>IFERROR(VLOOKUP(Tabela1[[#This Row],[CC]],CC!$A$1:$H$389,5,0),"")</f>
        <v>ADS</v>
      </c>
      <c r="R1968" t="str">
        <f>IFERROR(VLOOKUP(Tabela1[[#This Row],[CC]],CC!$A$1:$H$389,6,0),"")</f>
        <v>FS</v>
      </c>
      <c r="S1968" t="str">
        <f>IFERROR(VLOOKUP(Tabela1[[#This Row],[CC]],CC!$A$1:$H$403,8,0),"")</f>
        <v>OP1</v>
      </c>
    </row>
    <row r="1969" spans="1:19" x14ac:dyDescent="0.3">
      <c r="A1969" s="25">
        <v>1292</v>
      </c>
      <c r="B1969" s="25" t="str">
        <f>IFERROR(VLOOKUP(Tabela1[[#This Row],[CC]],#REF!,5,0),"")</f>
        <v/>
      </c>
      <c r="C1969" t="str">
        <f>IFERROR(VLOOKUP(Tabela1[[#This Row],[CC]],CC!$A$1:$H$389,7,0),"")</f>
        <v>RITA ANDRADE</v>
      </c>
      <c r="D1969" t="str">
        <f>IFERROR(VLOOKUP(Tabela1[[#This Row],[CC]],CC!$A$1:$I$3869,3,0),"")</f>
        <v>BRADESCO_SEGUROS</v>
      </c>
      <c r="E1969" t="str">
        <f>IFERROR(VLOOKUP(Tabela1[[#This Row],[CC]],CC!$A$1:$H$389,2,0),"")</f>
        <v>BRADESCO - SEGUROS (1292)</v>
      </c>
      <c r="F1969" t="s">
        <v>586</v>
      </c>
      <c r="G1969" s="107">
        <v>4924</v>
      </c>
      <c r="H1969" s="12">
        <v>46054</v>
      </c>
      <c r="I1969" s="27">
        <v>32039</v>
      </c>
      <c r="J1969" s="24">
        <v>30068.6</v>
      </c>
      <c r="K1969" s="3">
        <v>46091</v>
      </c>
      <c r="L1969" s="91">
        <v>46104</v>
      </c>
      <c r="M1969" s="11">
        <v>46106</v>
      </c>
      <c r="N1969" s="1" t="s">
        <v>588</v>
      </c>
      <c r="O1969" s="34">
        <v>0</v>
      </c>
      <c r="P1969"/>
      <c r="Q1969" t="str">
        <f>IFERROR(VLOOKUP(Tabela1[[#This Row],[CC]],CC!$A$1:$H$389,5,0),"")</f>
        <v>ADS</v>
      </c>
      <c r="R1969" t="str">
        <f>IFERROR(VLOOKUP(Tabela1[[#This Row],[CC]],CC!$A$1:$H$389,6,0),"")</f>
        <v>FS</v>
      </c>
      <c r="S1969" t="str">
        <f>IFERROR(VLOOKUP(Tabela1[[#This Row],[CC]],CC!$A$1:$H$403,8,0),"")</f>
        <v>OP1</v>
      </c>
    </row>
    <row r="1970" spans="1:19" x14ac:dyDescent="0.3">
      <c r="A1970" s="25">
        <v>1292</v>
      </c>
      <c r="B1970" s="25" t="str">
        <f>IFERROR(VLOOKUP(Tabela1[[#This Row],[CC]],#REF!,5,0),"")</f>
        <v/>
      </c>
      <c r="C1970" t="str">
        <f>IFERROR(VLOOKUP(Tabela1[[#This Row],[CC]],CC!$A$1:$H$389,7,0),"")</f>
        <v>RITA ANDRADE</v>
      </c>
      <c r="D1970" t="str">
        <f>IFERROR(VLOOKUP(Tabela1[[#This Row],[CC]],CC!$A$1:$I$3869,3,0),"")</f>
        <v>BRADESCO_SEGUROS</v>
      </c>
      <c r="E1970" t="str">
        <f>IFERROR(VLOOKUP(Tabela1[[#This Row],[CC]],CC!$A$1:$H$389,2,0),"")</f>
        <v>BRADESCO - SEGUROS (1292)</v>
      </c>
      <c r="F1970" t="s">
        <v>586</v>
      </c>
      <c r="G1970" s="107">
        <v>4929</v>
      </c>
      <c r="H1970" s="12">
        <v>46054</v>
      </c>
      <c r="I1970" s="24">
        <v>34633.19</v>
      </c>
      <c r="J1970" s="24">
        <v>32503.25</v>
      </c>
      <c r="K1970" s="3">
        <v>46093</v>
      </c>
      <c r="L1970" s="91">
        <v>46104</v>
      </c>
      <c r="M1970" s="11">
        <v>46108</v>
      </c>
      <c r="N1970" s="1" t="s">
        <v>588</v>
      </c>
      <c r="O1970" s="34">
        <v>0</v>
      </c>
      <c r="P1970"/>
      <c r="Q1970" t="str">
        <f>IFERROR(VLOOKUP(Tabela1[[#This Row],[CC]],CC!$A$1:$H$389,5,0),"")</f>
        <v>ADS</v>
      </c>
      <c r="R1970" t="str">
        <f>IFERROR(VLOOKUP(Tabela1[[#This Row],[CC]],CC!$A$1:$H$389,6,0),"")</f>
        <v>FS</v>
      </c>
      <c r="S1970" t="str">
        <f>IFERROR(VLOOKUP(Tabela1[[#This Row],[CC]],CC!$A$1:$H$403,8,0),"")</f>
        <v>OP1</v>
      </c>
    </row>
    <row r="1971" spans="1:19" x14ac:dyDescent="0.3">
      <c r="A1971" s="25">
        <v>1292</v>
      </c>
      <c r="B1971" s="25" t="str">
        <f>IFERROR(VLOOKUP(Tabela1[[#This Row],[CC]],#REF!,5,0),"")</f>
        <v/>
      </c>
      <c r="C1971" t="str">
        <f>IFERROR(VLOOKUP(Tabela1[[#This Row],[CC]],CC!$A$1:$H$389,7,0),"")</f>
        <v>RITA ANDRADE</v>
      </c>
      <c r="D1971" t="str">
        <f>IFERROR(VLOOKUP(Tabela1[[#This Row],[CC]],CC!$A$1:$I$3869,3,0),"")</f>
        <v>BRADESCO_SEGUROS</v>
      </c>
      <c r="E1971" t="str">
        <f>IFERROR(VLOOKUP(Tabela1[[#This Row],[CC]],CC!$A$1:$H$389,2,0),"")</f>
        <v>BRADESCO - SEGUROS (1292)</v>
      </c>
      <c r="F1971" t="s">
        <v>586</v>
      </c>
      <c r="G1971" s="107">
        <v>4930</v>
      </c>
      <c r="H1971" s="12">
        <v>46054</v>
      </c>
      <c r="I1971" s="27">
        <v>11408.68</v>
      </c>
      <c r="J1971" s="27">
        <v>10707.05</v>
      </c>
      <c r="K1971" s="3">
        <v>46093</v>
      </c>
      <c r="L1971" s="91">
        <v>46104</v>
      </c>
      <c r="M1971" s="11">
        <v>46108</v>
      </c>
      <c r="N1971" s="1" t="s">
        <v>588</v>
      </c>
      <c r="O1971" s="34">
        <v>0</v>
      </c>
      <c r="P1971"/>
      <c r="Q1971" t="str">
        <f>IFERROR(VLOOKUP(Tabela1[[#This Row],[CC]],CC!$A$1:$H$389,5,0),"")</f>
        <v>ADS</v>
      </c>
      <c r="R1971" t="str">
        <f>IFERROR(VLOOKUP(Tabela1[[#This Row],[CC]],CC!$A$1:$H$389,6,0),"")</f>
        <v>FS</v>
      </c>
      <c r="S1971" t="str">
        <f>IFERROR(VLOOKUP(Tabela1[[#This Row],[CC]],CC!$A$1:$H$403,8,0),"")</f>
        <v>OP1</v>
      </c>
    </row>
    <row r="1972" spans="1:19" x14ac:dyDescent="0.3">
      <c r="A1972" s="25">
        <v>1292</v>
      </c>
      <c r="B1972" s="25" t="str">
        <f>IFERROR(VLOOKUP(Tabela1[[#This Row],[CC]],#REF!,5,0),"")</f>
        <v/>
      </c>
      <c r="C1972" t="str">
        <f>IFERROR(VLOOKUP(Tabela1[[#This Row],[CC]],CC!$A$1:$H$389,7,0),"")</f>
        <v>RITA ANDRADE</v>
      </c>
      <c r="D1972" t="str">
        <f>IFERROR(VLOOKUP(Tabela1[[#This Row],[CC]],CC!$A$1:$I$3869,3,0),"")</f>
        <v>BRADESCO_SEGUROS</v>
      </c>
      <c r="E1972" t="str">
        <f>IFERROR(VLOOKUP(Tabela1[[#This Row],[CC]],CC!$A$1:$H$389,2,0),"")</f>
        <v>BRADESCO - SEGUROS (1292)</v>
      </c>
      <c r="F1972" t="s">
        <v>586</v>
      </c>
      <c r="G1972" s="107">
        <v>4931</v>
      </c>
      <c r="H1972" s="12">
        <v>46054</v>
      </c>
      <c r="I1972" s="27">
        <v>21873.72</v>
      </c>
      <c r="J1972" s="27">
        <v>20528.48</v>
      </c>
      <c r="K1972" s="3">
        <v>46093</v>
      </c>
      <c r="L1972" s="91">
        <v>46104</v>
      </c>
      <c r="M1972" s="11">
        <v>46108</v>
      </c>
      <c r="N1972" s="1" t="s">
        <v>588</v>
      </c>
      <c r="O1972" s="34">
        <v>0</v>
      </c>
      <c r="P1972"/>
      <c r="Q1972" t="str">
        <f>IFERROR(VLOOKUP(Tabela1[[#This Row],[CC]],CC!$A$1:$H$389,5,0),"")</f>
        <v>ADS</v>
      </c>
      <c r="R1972" t="str">
        <f>IFERROR(VLOOKUP(Tabela1[[#This Row],[CC]],CC!$A$1:$H$389,6,0),"")</f>
        <v>FS</v>
      </c>
      <c r="S1972" t="str">
        <f>IFERROR(VLOOKUP(Tabela1[[#This Row],[CC]],CC!$A$1:$H$403,8,0),"")</f>
        <v>OP1</v>
      </c>
    </row>
    <row r="1973" spans="1:19" x14ac:dyDescent="0.3">
      <c r="A1973" s="25">
        <v>1292</v>
      </c>
      <c r="B1973" s="25" t="str">
        <f>IFERROR(VLOOKUP(Tabela1[[#This Row],[CC]],#REF!,5,0),"")</f>
        <v/>
      </c>
      <c r="C1973" t="str">
        <f>IFERROR(VLOOKUP(Tabela1[[#This Row],[CC]],CC!$A$1:$H$389,7,0),"")</f>
        <v>RITA ANDRADE</v>
      </c>
      <c r="D1973" t="str">
        <f>IFERROR(VLOOKUP(Tabela1[[#This Row],[CC]],CC!$A$1:$I$3869,3,0),"")</f>
        <v>BRADESCO_SEGUROS</v>
      </c>
      <c r="E1973" t="str">
        <f>IFERROR(VLOOKUP(Tabela1[[#This Row],[CC]],CC!$A$1:$H$389,2,0),"")</f>
        <v>BRADESCO - SEGUROS (1292)</v>
      </c>
      <c r="F1973" t="s">
        <v>586</v>
      </c>
      <c r="G1973" s="107">
        <v>4967</v>
      </c>
      <c r="H1973" s="12">
        <v>46054</v>
      </c>
      <c r="I1973" s="27">
        <v>27048</v>
      </c>
      <c r="J1973" s="24">
        <v>25384.55</v>
      </c>
      <c r="K1973" s="3">
        <v>46097</v>
      </c>
      <c r="L1973" s="91">
        <v>46132</v>
      </c>
      <c r="M1973" s="11">
        <v>46132</v>
      </c>
      <c r="N1973" s="1" t="s">
        <v>588</v>
      </c>
      <c r="O1973" s="34">
        <v>0</v>
      </c>
      <c r="P1973"/>
      <c r="Q1973" t="str">
        <f>IFERROR(VLOOKUP(Tabela1[[#This Row],[CC]],CC!$A$1:$H$389,5,0),"")</f>
        <v>ADS</v>
      </c>
      <c r="R1973" t="str">
        <f>IFERROR(VLOOKUP(Tabela1[[#This Row],[CC]],CC!$A$1:$H$389,6,0),"")</f>
        <v>FS</v>
      </c>
      <c r="S1973" t="str">
        <f>IFERROR(VLOOKUP(Tabela1[[#This Row],[CC]],CC!$A$1:$H$403,8,0),"")</f>
        <v>OP1</v>
      </c>
    </row>
    <row r="1974" spans="1:19" x14ac:dyDescent="0.3">
      <c r="A1974" s="25">
        <v>1292</v>
      </c>
      <c r="B1974" s="25" t="str">
        <f>IFERROR(VLOOKUP(Tabela1[[#This Row],[CC]],#REF!,5,0),"")</f>
        <v/>
      </c>
      <c r="C1974" t="str">
        <f>IFERROR(VLOOKUP(Tabela1[[#This Row],[CC]],CC!$A$1:$H$389,7,0),"")</f>
        <v>RITA ANDRADE</v>
      </c>
      <c r="D1974" t="str">
        <f>IFERROR(VLOOKUP(Tabela1[[#This Row],[CC]],CC!$A$1:$I$3869,3,0),"")</f>
        <v>BRADESCO_SEGUROS</v>
      </c>
      <c r="E1974" t="str">
        <f>IFERROR(VLOOKUP(Tabela1[[#This Row],[CC]],CC!$A$1:$H$389,2,0),"")</f>
        <v>BRADESCO - SEGUROS (1292)</v>
      </c>
      <c r="F1974" t="s">
        <v>586</v>
      </c>
      <c r="G1974" s="107">
        <v>5036</v>
      </c>
      <c r="H1974" s="12">
        <v>46082</v>
      </c>
      <c r="I1974" s="27">
        <v>119185.65</v>
      </c>
      <c r="J1974" s="24">
        <v>111855.74</v>
      </c>
      <c r="K1974" s="3">
        <v>46120</v>
      </c>
      <c r="L1974" s="91">
        <v>46132</v>
      </c>
      <c r="M1974" s="11">
        <v>46135</v>
      </c>
      <c r="N1974" s="1" t="s">
        <v>588</v>
      </c>
      <c r="O1974" s="34">
        <v>0</v>
      </c>
      <c r="P1974"/>
      <c r="Q1974" t="str">
        <f>IFERROR(VLOOKUP(Tabela1[[#This Row],[CC]],CC!$A$1:$H$389,5,0),"")</f>
        <v>ADS</v>
      </c>
      <c r="R1974" t="str">
        <f>IFERROR(VLOOKUP(Tabela1[[#This Row],[CC]],CC!$A$1:$H$389,6,0),"")</f>
        <v>FS</v>
      </c>
      <c r="S1974" t="str">
        <f>IFERROR(VLOOKUP(Tabela1[[#This Row],[CC]],CC!$A$1:$H$403,8,0),"")</f>
        <v>OP1</v>
      </c>
    </row>
    <row r="1975" spans="1:19" x14ac:dyDescent="0.3">
      <c r="A1975" s="25">
        <v>1292</v>
      </c>
      <c r="B1975" s="25" t="str">
        <f>IFERROR(VLOOKUP(Tabela1[[#This Row],[CC]],#REF!,5,0),"")</f>
        <v/>
      </c>
      <c r="C1975" t="str">
        <f>IFERROR(VLOOKUP(Tabela1[[#This Row],[CC]],CC!$A$1:$H$389,7,0),"")</f>
        <v>RITA ANDRADE</v>
      </c>
      <c r="D1975" t="str">
        <f>IFERROR(VLOOKUP(Tabela1[[#This Row],[CC]],CC!$A$1:$I$3869,3,0),"")</f>
        <v>BRADESCO_SEGUROS</v>
      </c>
      <c r="E1975" t="str">
        <f>IFERROR(VLOOKUP(Tabela1[[#This Row],[CC]],CC!$A$1:$H$389,2,0),"")</f>
        <v>BRADESCO - SEGUROS (1292)</v>
      </c>
      <c r="F1975" t="s">
        <v>586</v>
      </c>
      <c r="G1975" s="107">
        <v>5059</v>
      </c>
      <c r="H1975" s="12">
        <v>46082</v>
      </c>
      <c r="I1975" s="27">
        <v>32039</v>
      </c>
      <c r="J1975" s="24">
        <v>30068.6</v>
      </c>
      <c r="K1975" s="3">
        <v>46121</v>
      </c>
      <c r="L1975" s="91">
        <v>46132</v>
      </c>
      <c r="M1975" s="11">
        <v>46136</v>
      </c>
      <c r="N1975" s="1" t="s">
        <v>588</v>
      </c>
      <c r="O1975" s="34">
        <v>0</v>
      </c>
      <c r="P1975"/>
      <c r="Q1975" t="str">
        <f>IFERROR(VLOOKUP(Tabela1[[#This Row],[CC]],CC!$A$1:$H$389,5,0),"")</f>
        <v>ADS</v>
      </c>
      <c r="R1975" t="str">
        <f>IFERROR(VLOOKUP(Tabela1[[#This Row],[CC]],CC!$A$1:$H$389,6,0),"")</f>
        <v>FS</v>
      </c>
      <c r="S1975" t="str">
        <f>IFERROR(VLOOKUP(Tabela1[[#This Row],[CC]],CC!$A$1:$H$403,8,0),"")</f>
        <v>OP1</v>
      </c>
    </row>
    <row r="1976" spans="1:19" x14ac:dyDescent="0.3">
      <c r="A1976" s="25">
        <v>1292</v>
      </c>
      <c r="B1976" s="25" t="str">
        <f>IFERROR(VLOOKUP(Tabela1[[#This Row],[CC]],#REF!,5,0),"")</f>
        <v/>
      </c>
      <c r="C1976" t="str">
        <f>IFERROR(VLOOKUP(Tabela1[[#This Row],[CC]],CC!$A$1:$H$389,7,0),"")</f>
        <v>RITA ANDRADE</v>
      </c>
      <c r="D1976" t="str">
        <f>IFERROR(VLOOKUP(Tabela1[[#This Row],[CC]],CC!$A$1:$I$3869,3,0),"")</f>
        <v>BRADESCO_SEGUROS</v>
      </c>
      <c r="E1976" t="str">
        <f>IFERROR(VLOOKUP(Tabela1[[#This Row],[CC]],CC!$A$1:$H$389,2,0),"")</f>
        <v>BRADESCO - SEGUROS (1292)</v>
      </c>
      <c r="F1976" t="s">
        <v>586</v>
      </c>
      <c r="G1976" s="107">
        <v>5062</v>
      </c>
      <c r="H1976" s="12">
        <v>46082</v>
      </c>
      <c r="I1976" s="27">
        <v>6704.35</v>
      </c>
      <c r="J1976" s="24">
        <v>6292.03</v>
      </c>
      <c r="K1976" s="3">
        <v>46122</v>
      </c>
      <c r="L1976" s="91">
        <v>46139</v>
      </c>
      <c r="M1976" s="11">
        <v>46139</v>
      </c>
      <c r="N1976" s="1" t="s">
        <v>588</v>
      </c>
      <c r="O1976" s="34">
        <v>0</v>
      </c>
      <c r="P1976"/>
      <c r="Q1976" t="str">
        <f>IFERROR(VLOOKUP(Tabela1[[#This Row],[CC]],CC!$A$1:$H$389,5,0),"")</f>
        <v>ADS</v>
      </c>
      <c r="R1976" t="str">
        <f>IFERROR(VLOOKUP(Tabela1[[#This Row],[CC]],CC!$A$1:$H$389,6,0),"")</f>
        <v>FS</v>
      </c>
      <c r="S1976" t="str">
        <f>IFERROR(VLOOKUP(Tabela1[[#This Row],[CC]],CC!$A$1:$H$403,8,0),"")</f>
        <v>OP1</v>
      </c>
    </row>
    <row r="1977" spans="1:19" x14ac:dyDescent="0.3">
      <c r="A1977" s="25">
        <v>1292</v>
      </c>
      <c r="B1977" s="25" t="str">
        <f>IFERROR(VLOOKUP(Tabela1[[#This Row],[CC]],#REF!,5,0),"")</f>
        <v/>
      </c>
      <c r="C1977" t="str">
        <f>IFERROR(VLOOKUP(Tabela1[[#This Row],[CC]],CC!$A$1:$H$389,7,0),"")</f>
        <v>RITA ANDRADE</v>
      </c>
      <c r="D1977" t="str">
        <f>IFERROR(VLOOKUP(Tabela1[[#This Row],[CC]],CC!$A$1:$I$3869,3,0),"")</f>
        <v>BRADESCO_SEGUROS</v>
      </c>
      <c r="E1977" t="str">
        <f>IFERROR(VLOOKUP(Tabela1[[#This Row],[CC]],CC!$A$1:$H$389,2,0),"")</f>
        <v>BRADESCO - SEGUROS (1292)</v>
      </c>
      <c r="F1977" t="s">
        <v>586</v>
      </c>
      <c r="G1977" s="107">
        <v>5063</v>
      </c>
      <c r="H1977" s="12">
        <v>46082</v>
      </c>
      <c r="I1977" s="27">
        <v>6704.35</v>
      </c>
      <c r="J1977" s="24">
        <v>6292.03</v>
      </c>
      <c r="K1977" s="3">
        <v>46122</v>
      </c>
      <c r="L1977" s="91">
        <v>46139</v>
      </c>
      <c r="M1977" s="11">
        <v>46139</v>
      </c>
      <c r="N1977" s="1" t="s">
        <v>588</v>
      </c>
      <c r="O1977" s="34">
        <v>0</v>
      </c>
      <c r="P1977"/>
      <c r="Q1977" t="str">
        <f>IFERROR(VLOOKUP(Tabela1[[#This Row],[CC]],CC!$A$1:$H$389,5,0),"")</f>
        <v>ADS</v>
      </c>
      <c r="R1977" t="str">
        <f>IFERROR(VLOOKUP(Tabela1[[#This Row],[CC]],CC!$A$1:$H$389,6,0),"")</f>
        <v>FS</v>
      </c>
      <c r="S1977" t="str">
        <f>IFERROR(VLOOKUP(Tabela1[[#This Row],[CC]],CC!$A$1:$H$403,8,0),"")</f>
        <v>OP1</v>
      </c>
    </row>
    <row r="1978" spans="1:19" x14ac:dyDescent="0.3">
      <c r="A1978" s="25">
        <v>1292</v>
      </c>
      <c r="B1978" s="25" t="str">
        <f>IFERROR(VLOOKUP(Tabela1[[#This Row],[CC]],#REF!,5,0),"")</f>
        <v/>
      </c>
      <c r="C1978" t="str">
        <f>IFERROR(VLOOKUP(Tabela1[[#This Row],[CC]],CC!$A$1:$H$389,7,0),"")</f>
        <v>RITA ANDRADE</v>
      </c>
      <c r="D1978" t="str">
        <f>IFERROR(VLOOKUP(Tabela1[[#This Row],[CC]],CC!$A$1:$I$3869,3,0),"")</f>
        <v>BRADESCO_SEGUROS</v>
      </c>
      <c r="E1978" t="str">
        <f>IFERROR(VLOOKUP(Tabela1[[#This Row],[CC]],CC!$A$1:$H$389,2,0),"")</f>
        <v>BRADESCO - SEGUROS (1292)</v>
      </c>
      <c r="F1978" t="s">
        <v>586</v>
      </c>
      <c r="G1978" s="107">
        <v>5064</v>
      </c>
      <c r="H1978" s="12">
        <v>46082</v>
      </c>
      <c r="I1978" s="27">
        <v>6704.35</v>
      </c>
      <c r="J1978" s="24">
        <v>6292.03</v>
      </c>
      <c r="K1978" s="3">
        <v>46122</v>
      </c>
      <c r="L1978" s="91">
        <v>46139</v>
      </c>
      <c r="M1978" s="11">
        <v>46139</v>
      </c>
      <c r="N1978" s="1" t="s">
        <v>588</v>
      </c>
      <c r="O1978" s="34">
        <v>0</v>
      </c>
      <c r="P1978"/>
      <c r="Q1978" t="str">
        <f>IFERROR(VLOOKUP(Tabela1[[#This Row],[CC]],CC!$A$1:$H$389,5,0),"")</f>
        <v>ADS</v>
      </c>
      <c r="R1978" t="str">
        <f>IFERROR(VLOOKUP(Tabela1[[#This Row],[CC]],CC!$A$1:$H$389,6,0),"")</f>
        <v>FS</v>
      </c>
      <c r="S1978" t="str">
        <f>IFERROR(VLOOKUP(Tabela1[[#This Row],[CC]],CC!$A$1:$H$403,8,0),"")</f>
        <v>OP1</v>
      </c>
    </row>
    <row r="1979" spans="1:19" x14ac:dyDescent="0.3">
      <c r="A1979" s="25">
        <v>1292</v>
      </c>
      <c r="B1979" s="25" t="str">
        <f>IFERROR(VLOOKUP(Tabela1[[#This Row],[CC]],#REF!,5,0),"")</f>
        <v/>
      </c>
      <c r="C1979" t="str">
        <f>IFERROR(VLOOKUP(Tabela1[[#This Row],[CC]],CC!$A$1:$H$389,7,0),"")</f>
        <v>RITA ANDRADE</v>
      </c>
      <c r="D1979" t="str">
        <f>IFERROR(VLOOKUP(Tabela1[[#This Row],[CC]],CC!$A$1:$I$3869,3,0),"")</f>
        <v>BRADESCO_SEGUROS</v>
      </c>
      <c r="E1979" t="str">
        <f>IFERROR(VLOOKUP(Tabela1[[#This Row],[CC]],CC!$A$1:$H$389,2,0),"")</f>
        <v>BRADESCO - SEGUROS (1292)</v>
      </c>
      <c r="F1979" t="s">
        <v>586</v>
      </c>
      <c r="G1979" s="107">
        <v>5065</v>
      </c>
      <c r="H1979" s="12">
        <v>46082</v>
      </c>
      <c r="I1979" s="27">
        <v>6704.33</v>
      </c>
      <c r="J1979" s="24">
        <v>6292.02</v>
      </c>
      <c r="K1979" s="3">
        <v>46122</v>
      </c>
      <c r="L1979" s="91">
        <v>46139</v>
      </c>
      <c r="M1979" s="11">
        <v>46139</v>
      </c>
      <c r="N1979" s="1" t="s">
        <v>588</v>
      </c>
      <c r="O1979" s="34">
        <v>0</v>
      </c>
      <c r="P1979"/>
      <c r="Q1979" t="str">
        <f>IFERROR(VLOOKUP(Tabela1[[#This Row],[CC]],CC!$A$1:$H$389,5,0),"")</f>
        <v>ADS</v>
      </c>
      <c r="R1979" t="str">
        <f>IFERROR(VLOOKUP(Tabela1[[#This Row],[CC]],CC!$A$1:$H$389,6,0),"")</f>
        <v>FS</v>
      </c>
      <c r="S1979" t="str">
        <f>IFERROR(VLOOKUP(Tabela1[[#This Row],[CC]],CC!$A$1:$H$403,8,0),"")</f>
        <v>OP1</v>
      </c>
    </row>
    <row r="1980" spans="1:19" x14ac:dyDescent="0.3">
      <c r="A1980" s="25">
        <v>1292</v>
      </c>
      <c r="B1980" s="25" t="str">
        <f>IFERROR(VLOOKUP(Tabela1[[#This Row],[CC]],#REF!,5,0),"")</f>
        <v/>
      </c>
      <c r="C1980" t="str">
        <f>IFERROR(VLOOKUP(Tabela1[[#This Row],[CC]],CC!$A$1:$H$389,7,0),"")</f>
        <v>RITA ANDRADE</v>
      </c>
      <c r="D1980" t="str">
        <f>IFERROR(VLOOKUP(Tabela1[[#This Row],[CC]],CC!$A$1:$I$3869,3,0),"")</f>
        <v>BRADESCO_SEGUROS</v>
      </c>
      <c r="E1980" t="str">
        <f>IFERROR(VLOOKUP(Tabela1[[#This Row],[CC]],CC!$A$1:$H$389,2,0),"")</f>
        <v>BRADESCO - SEGUROS (1292)</v>
      </c>
      <c r="F1980" t="s">
        <v>586</v>
      </c>
      <c r="G1980" s="107">
        <v>5083</v>
      </c>
      <c r="H1980" s="12">
        <v>46082</v>
      </c>
      <c r="I1980" s="27">
        <v>26236.560000000001</v>
      </c>
      <c r="J1980" s="24">
        <v>24623.01</v>
      </c>
      <c r="K1980" s="3">
        <v>46127</v>
      </c>
      <c r="L1980" s="91">
        <v>46139</v>
      </c>
      <c r="M1980" s="11">
        <v>46142</v>
      </c>
      <c r="N1980" s="1" t="s">
        <v>588</v>
      </c>
      <c r="O1980" s="34">
        <v>0</v>
      </c>
      <c r="P1980"/>
      <c r="Q1980" t="str">
        <f>IFERROR(VLOOKUP(Tabela1[[#This Row],[CC]],CC!$A$1:$H$389,5,0),"")</f>
        <v>ADS</v>
      </c>
      <c r="R1980" t="str">
        <f>IFERROR(VLOOKUP(Tabela1[[#This Row],[CC]],CC!$A$1:$H$389,6,0),"")</f>
        <v>FS</v>
      </c>
      <c r="S1980" t="str">
        <f>IFERROR(VLOOKUP(Tabela1[[#This Row],[CC]],CC!$A$1:$H$403,8,0),"")</f>
        <v>OP1</v>
      </c>
    </row>
    <row r="1981" spans="1:19" x14ac:dyDescent="0.3">
      <c r="A1981" s="25">
        <v>1292</v>
      </c>
      <c r="B1981" s="25" t="str">
        <f>IFERROR(VLOOKUP(Tabela1[[#This Row],[CC]],#REF!,5,0),"")</f>
        <v/>
      </c>
      <c r="C1981" t="str">
        <f>IFERROR(VLOOKUP(Tabela1[[#This Row],[CC]],CC!$A$1:$H$389,7,0),"")</f>
        <v>RITA ANDRADE</v>
      </c>
      <c r="D1981" t="str">
        <f>IFERROR(VLOOKUP(Tabela1[[#This Row],[CC]],CC!$A$1:$I$3869,3,0),"")</f>
        <v>BRADESCO_SEGUROS</v>
      </c>
      <c r="E1981" t="str">
        <f>IFERROR(VLOOKUP(Tabela1[[#This Row],[CC]],CC!$A$1:$H$389,2,0),"")</f>
        <v>BRADESCO - SEGUROS (1292)</v>
      </c>
      <c r="F1981" t="s">
        <v>586</v>
      </c>
      <c r="G1981" s="107">
        <v>5122</v>
      </c>
      <c r="H1981" s="66">
        <v>45992</v>
      </c>
      <c r="I1981" s="27">
        <v>137849.29999999999</v>
      </c>
      <c r="J1981" s="24">
        <v>129371.57</v>
      </c>
      <c r="K1981" s="3">
        <v>46148</v>
      </c>
      <c r="L1981" s="91">
        <v>46160</v>
      </c>
      <c r="M1981" s="11">
        <v>46163</v>
      </c>
      <c r="N1981" s="1" t="s">
        <v>588</v>
      </c>
      <c r="O1981" s="34">
        <v>0</v>
      </c>
      <c r="P1981"/>
      <c r="Q1981" t="str">
        <f>IFERROR(VLOOKUP(Tabela1[[#This Row],[CC]],CC!$A$1:$H$389,5,0),"")</f>
        <v>ADS</v>
      </c>
      <c r="R1981" t="str">
        <f>IFERROR(VLOOKUP(Tabela1[[#This Row],[CC]],CC!$A$1:$H$389,6,0),"")</f>
        <v>FS</v>
      </c>
      <c r="S1981" t="str">
        <f>IFERROR(VLOOKUP(Tabela1[[#This Row],[CC]],CC!$A$1:$H$403,8,0),"")</f>
        <v>OP1</v>
      </c>
    </row>
    <row r="1982" spans="1:19" x14ac:dyDescent="0.3">
      <c r="A1982" s="25">
        <v>1292</v>
      </c>
      <c r="B1982" s="25" t="str">
        <f>IFERROR(VLOOKUP(Tabela1[[#This Row],[CC]],#REF!,5,0),"")</f>
        <v/>
      </c>
      <c r="C1982" t="str">
        <f>IFERROR(VLOOKUP(Tabela1[[#This Row],[CC]],CC!$A$1:$H$389,7,0),"")</f>
        <v>RITA ANDRADE</v>
      </c>
      <c r="D1982" t="str">
        <f>IFERROR(VLOOKUP(Tabela1[[#This Row],[CC]],CC!$A$1:$I$3869,3,0),"")</f>
        <v>BRADESCO_SEGUROS</v>
      </c>
      <c r="E1982" t="str">
        <f>IFERROR(VLOOKUP(Tabela1[[#This Row],[CC]],CC!$A$1:$H$389,2,0),"")</f>
        <v>BRADESCO - SEGUROS (1292)</v>
      </c>
      <c r="F1982" t="s">
        <v>586</v>
      </c>
      <c r="G1982" s="107">
        <v>5124</v>
      </c>
      <c r="H1982" s="12">
        <v>46113</v>
      </c>
      <c r="I1982" s="27">
        <v>119185.65</v>
      </c>
      <c r="J1982" s="24">
        <v>111855.74</v>
      </c>
      <c r="K1982" s="3">
        <v>46153</v>
      </c>
      <c r="L1982" s="91">
        <v>46167</v>
      </c>
      <c r="M1982" s="11">
        <v>46168</v>
      </c>
      <c r="N1982" s="1" t="s">
        <v>588</v>
      </c>
      <c r="O1982" s="34">
        <v>0</v>
      </c>
      <c r="P1982"/>
      <c r="Q1982" t="str">
        <f>IFERROR(VLOOKUP(Tabela1[[#This Row],[CC]],CC!$A$1:$H$389,5,0),"")</f>
        <v>ADS</v>
      </c>
      <c r="R1982" t="str">
        <f>IFERROR(VLOOKUP(Tabela1[[#This Row],[CC]],CC!$A$1:$H$389,6,0),"")</f>
        <v>FS</v>
      </c>
      <c r="S1982" t="str">
        <f>IFERROR(VLOOKUP(Tabela1[[#This Row],[CC]],CC!$A$1:$H$403,8,0),"")</f>
        <v>OP1</v>
      </c>
    </row>
    <row r="1983" spans="1:19" x14ac:dyDescent="0.3">
      <c r="A1983" s="25">
        <v>1292</v>
      </c>
      <c r="B1983" s="25" t="str">
        <f>IFERROR(VLOOKUP(Tabela1[[#This Row],[CC]],#REF!,5,0),"")</f>
        <v/>
      </c>
      <c r="C1983" t="str">
        <f>IFERROR(VLOOKUP(Tabela1[[#This Row],[CC]],CC!$A$1:$H$389,7,0),"")</f>
        <v>RITA ANDRADE</v>
      </c>
      <c r="D1983" t="str">
        <f>IFERROR(VLOOKUP(Tabela1[[#This Row],[CC]],CC!$A$1:$I$3869,3,0),"")</f>
        <v>BRADESCO_SEGUROS</v>
      </c>
      <c r="E1983" t="str">
        <f>IFERROR(VLOOKUP(Tabela1[[#This Row],[CC]],CC!$A$1:$H$389,2,0),"")</f>
        <v>BRADESCO - SEGUROS (1292)</v>
      </c>
      <c r="F1983" t="s">
        <v>586</v>
      </c>
      <c r="G1983" s="107">
        <v>5125</v>
      </c>
      <c r="H1983" s="12">
        <v>46082</v>
      </c>
      <c r="I1983" s="27">
        <v>6704.35</v>
      </c>
      <c r="J1983" s="24">
        <v>6292.03</v>
      </c>
      <c r="K1983" s="3">
        <v>46153</v>
      </c>
      <c r="L1983" s="91">
        <v>46167</v>
      </c>
      <c r="M1983" s="11">
        <v>46168</v>
      </c>
      <c r="N1983" s="1" t="s">
        <v>588</v>
      </c>
      <c r="O1983" s="34">
        <v>0</v>
      </c>
      <c r="P1983"/>
      <c r="Q1983" t="str">
        <f>IFERROR(VLOOKUP(Tabela1[[#This Row],[CC]],CC!$A$1:$H$389,5,0),"")</f>
        <v>ADS</v>
      </c>
      <c r="R1983" t="str">
        <f>IFERROR(VLOOKUP(Tabela1[[#This Row],[CC]],CC!$A$1:$H$389,6,0),"")</f>
        <v>FS</v>
      </c>
      <c r="S1983" t="str">
        <f>IFERROR(VLOOKUP(Tabela1[[#This Row],[CC]],CC!$A$1:$H$403,8,0),"")</f>
        <v>OP1</v>
      </c>
    </row>
    <row r="1984" spans="1:19" x14ac:dyDescent="0.3">
      <c r="A1984" s="25">
        <v>1292</v>
      </c>
      <c r="B1984" s="25" t="str">
        <f>IFERROR(VLOOKUP(Tabela1[[#This Row],[CC]],#REF!,5,0),"")</f>
        <v/>
      </c>
      <c r="C1984" t="str">
        <f>IFERROR(VLOOKUP(Tabela1[[#This Row],[CC]],CC!$A$1:$H$389,7,0),"")</f>
        <v>RITA ANDRADE</v>
      </c>
      <c r="D1984" t="str">
        <f>IFERROR(VLOOKUP(Tabela1[[#This Row],[CC]],CC!$A$1:$I$3869,3,0),"")</f>
        <v>BRADESCO_SEGUROS</v>
      </c>
      <c r="E1984" t="str">
        <f>IFERROR(VLOOKUP(Tabela1[[#This Row],[CC]],CC!$A$1:$H$389,2,0),"")</f>
        <v>BRADESCO - SEGUROS (1292)</v>
      </c>
      <c r="F1984" t="s">
        <v>586</v>
      </c>
      <c r="G1984" s="107">
        <v>5126</v>
      </c>
      <c r="H1984" s="12">
        <v>46082</v>
      </c>
      <c r="I1984" s="27">
        <v>6704.35</v>
      </c>
      <c r="J1984" s="24">
        <v>6292.03</v>
      </c>
      <c r="K1984" s="3">
        <v>46153</v>
      </c>
      <c r="L1984" s="91">
        <v>46167</v>
      </c>
      <c r="M1984" s="11">
        <v>46168</v>
      </c>
      <c r="N1984" s="1" t="s">
        <v>588</v>
      </c>
      <c r="O1984" s="34">
        <v>0</v>
      </c>
      <c r="P1984"/>
      <c r="Q1984" t="str">
        <f>IFERROR(VLOOKUP(Tabela1[[#This Row],[CC]],CC!$A$1:$H$389,5,0),"")</f>
        <v>ADS</v>
      </c>
      <c r="R1984" t="str">
        <f>IFERROR(VLOOKUP(Tabela1[[#This Row],[CC]],CC!$A$1:$H$389,6,0),"")</f>
        <v>FS</v>
      </c>
      <c r="S1984" t="str">
        <f>IFERROR(VLOOKUP(Tabela1[[#This Row],[CC]],CC!$A$1:$H$403,8,0),"")</f>
        <v>OP1</v>
      </c>
    </row>
    <row r="1985" spans="1:19" x14ac:dyDescent="0.3">
      <c r="A1985" s="25">
        <v>1292</v>
      </c>
      <c r="B1985" s="25" t="str">
        <f>IFERROR(VLOOKUP(Tabela1[[#This Row],[CC]],#REF!,5,0),"")</f>
        <v/>
      </c>
      <c r="C1985" t="str">
        <f>IFERROR(VLOOKUP(Tabela1[[#This Row],[CC]],CC!$A$1:$H$389,7,0),"")</f>
        <v>RITA ANDRADE</v>
      </c>
      <c r="D1985" t="str">
        <f>IFERROR(VLOOKUP(Tabela1[[#This Row],[CC]],CC!$A$1:$I$3869,3,0),"")</f>
        <v>BRADESCO_SEGUROS</v>
      </c>
      <c r="E1985" t="str">
        <f>IFERROR(VLOOKUP(Tabela1[[#This Row],[CC]],CC!$A$1:$H$389,2,0),"")</f>
        <v>BRADESCO - SEGUROS (1292)</v>
      </c>
      <c r="F1985" t="s">
        <v>586</v>
      </c>
      <c r="G1985" s="107">
        <v>5127</v>
      </c>
      <c r="H1985" s="12">
        <v>46113</v>
      </c>
      <c r="I1985" s="27">
        <v>6704.35</v>
      </c>
      <c r="J1985" s="24">
        <v>6292.03</v>
      </c>
      <c r="K1985" s="3">
        <v>46153</v>
      </c>
      <c r="L1985" s="91">
        <v>46167</v>
      </c>
      <c r="M1985" s="11">
        <v>46168</v>
      </c>
      <c r="N1985" s="1" t="s">
        <v>588</v>
      </c>
      <c r="O1985" s="34">
        <v>0</v>
      </c>
      <c r="P1985"/>
      <c r="Q1985" t="str">
        <f>IFERROR(VLOOKUP(Tabela1[[#This Row],[CC]],CC!$A$1:$H$389,5,0),"")</f>
        <v>ADS</v>
      </c>
      <c r="R1985" t="str">
        <f>IFERROR(VLOOKUP(Tabela1[[#This Row],[CC]],CC!$A$1:$H$389,6,0),"")</f>
        <v>FS</v>
      </c>
      <c r="S1985" t="str">
        <f>IFERROR(VLOOKUP(Tabela1[[#This Row],[CC]],CC!$A$1:$H$403,8,0),"")</f>
        <v>OP1</v>
      </c>
    </row>
    <row r="1986" spans="1:19" x14ac:dyDescent="0.3">
      <c r="A1986" s="25">
        <v>1292</v>
      </c>
      <c r="B1986" s="25" t="str">
        <f>IFERROR(VLOOKUP(Tabela1[[#This Row],[CC]],#REF!,5,0),"")</f>
        <v/>
      </c>
      <c r="C1986" t="str">
        <f>IFERROR(VLOOKUP(Tabela1[[#This Row],[CC]],CC!$A$1:$H$389,7,0),"")</f>
        <v>RITA ANDRADE</v>
      </c>
      <c r="D1986" t="str">
        <f>IFERROR(VLOOKUP(Tabela1[[#This Row],[CC]],CC!$A$1:$I$3869,3,0),"")</f>
        <v>BRADESCO_SEGUROS</v>
      </c>
      <c r="E1986" t="str">
        <f>IFERROR(VLOOKUP(Tabela1[[#This Row],[CC]],CC!$A$1:$H$389,2,0),"")</f>
        <v>BRADESCO - SEGUROS (1292)</v>
      </c>
      <c r="F1986" t="s">
        <v>586</v>
      </c>
      <c r="G1986" s="107">
        <v>5128</v>
      </c>
      <c r="H1986" s="12">
        <v>46113</v>
      </c>
      <c r="I1986" s="27">
        <v>6704.33</v>
      </c>
      <c r="J1986" s="24">
        <v>6292.02</v>
      </c>
      <c r="K1986" s="3">
        <v>46153</v>
      </c>
      <c r="L1986" s="91">
        <v>46167</v>
      </c>
      <c r="M1986" s="11">
        <v>46168</v>
      </c>
      <c r="N1986" s="1" t="s">
        <v>588</v>
      </c>
      <c r="O1986" s="34">
        <v>0</v>
      </c>
      <c r="P1986"/>
      <c r="Q1986" t="str">
        <f>IFERROR(VLOOKUP(Tabela1[[#This Row],[CC]],CC!$A$1:$H$389,5,0),"")</f>
        <v>ADS</v>
      </c>
      <c r="R1986" t="str">
        <f>IFERROR(VLOOKUP(Tabela1[[#This Row],[CC]],CC!$A$1:$H$389,6,0),"")</f>
        <v>FS</v>
      </c>
      <c r="S1986" t="str">
        <f>IFERROR(VLOOKUP(Tabela1[[#This Row],[CC]],CC!$A$1:$H$403,8,0),"")</f>
        <v>OP1</v>
      </c>
    </row>
    <row r="1987" spans="1:19" x14ac:dyDescent="0.3">
      <c r="A1987" s="25">
        <v>1292</v>
      </c>
      <c r="B1987" s="25" t="str">
        <f>IFERROR(VLOOKUP(Tabela1[[#This Row],[CC]],#REF!,5,0),"")</f>
        <v/>
      </c>
      <c r="C1987" t="str">
        <f>IFERROR(VLOOKUP(Tabela1[[#This Row],[CC]],CC!$A$1:$H$389,7,0),"")</f>
        <v>RITA ANDRADE</v>
      </c>
      <c r="D1987" t="str">
        <f>IFERROR(VLOOKUP(Tabela1[[#This Row],[CC]],CC!$A$1:$I$3869,3,0),"")</f>
        <v>BRADESCO_SEGUROS</v>
      </c>
      <c r="E1987" t="str">
        <f>IFERROR(VLOOKUP(Tabela1[[#This Row],[CC]],CC!$A$1:$H$389,2,0),"")</f>
        <v>BRADESCO - SEGUROS (1292)</v>
      </c>
      <c r="F1987" t="s">
        <v>586</v>
      </c>
      <c r="G1987" s="107">
        <v>5146</v>
      </c>
      <c r="H1987" s="12">
        <v>46113</v>
      </c>
      <c r="I1987" s="27">
        <v>23151.62</v>
      </c>
      <c r="J1987" s="24">
        <v>21727.8</v>
      </c>
      <c r="K1987" s="3">
        <v>46156</v>
      </c>
      <c r="L1987" s="91">
        <v>46167</v>
      </c>
      <c r="M1987" s="11">
        <v>46171</v>
      </c>
      <c r="N1987" s="1" t="s">
        <v>588</v>
      </c>
      <c r="O1987" s="34">
        <v>0</v>
      </c>
      <c r="P1987"/>
      <c r="Q1987" t="str">
        <f>IFERROR(VLOOKUP(Tabela1[[#This Row],[CC]],CC!$A$1:$H$389,5,0),"")</f>
        <v>ADS</v>
      </c>
      <c r="R1987" t="str">
        <f>IFERROR(VLOOKUP(Tabela1[[#This Row],[CC]],CC!$A$1:$H$389,6,0),"")</f>
        <v>FS</v>
      </c>
      <c r="S1987" t="str">
        <f>IFERROR(VLOOKUP(Tabela1[[#This Row],[CC]],CC!$A$1:$H$403,8,0),"")</f>
        <v>OP1</v>
      </c>
    </row>
    <row r="1988" spans="1:19" x14ac:dyDescent="0.3">
      <c r="A1988" s="25">
        <v>1292</v>
      </c>
      <c r="B1988" s="25" t="str">
        <f>IFERROR(VLOOKUP(Tabela1[[#This Row],[CC]],#REF!,5,0),"")</f>
        <v/>
      </c>
      <c r="C1988" t="str">
        <f>IFERROR(VLOOKUP(Tabela1[[#This Row],[CC]],CC!$A$1:$H$389,7,0),"")</f>
        <v>RITA ANDRADE</v>
      </c>
      <c r="D1988" t="str">
        <f>IFERROR(VLOOKUP(Tabela1[[#This Row],[CC]],CC!$A$1:$I$3869,3,0),"")</f>
        <v>BRADESCO_SEGUROS</v>
      </c>
      <c r="E1988" t="str">
        <f>IFERROR(VLOOKUP(Tabela1[[#This Row],[CC]],CC!$A$1:$H$389,2,0),"")</f>
        <v>BRADESCO - SEGUROS (1292)</v>
      </c>
      <c r="F1988" t="s">
        <v>586</v>
      </c>
      <c r="G1988" s="107">
        <v>5152</v>
      </c>
      <c r="H1988" s="12">
        <v>46113</v>
      </c>
      <c r="I1988" s="27">
        <v>32039</v>
      </c>
      <c r="J1988" s="24">
        <v>30068.6</v>
      </c>
      <c r="K1988" s="3">
        <v>46156</v>
      </c>
      <c r="L1988" s="91">
        <v>46167</v>
      </c>
      <c r="M1988" s="11">
        <v>46171</v>
      </c>
      <c r="N1988" s="1" t="s">
        <v>588</v>
      </c>
      <c r="O1988" s="34">
        <v>0</v>
      </c>
      <c r="P1988"/>
      <c r="Q1988" t="str">
        <f>IFERROR(VLOOKUP(Tabela1[[#This Row],[CC]],CC!$A$1:$H$389,5,0),"")</f>
        <v>ADS</v>
      </c>
      <c r="R1988" t="str">
        <f>IFERROR(VLOOKUP(Tabela1[[#This Row],[CC]],CC!$A$1:$H$389,6,0),"")</f>
        <v>FS</v>
      </c>
      <c r="S1988" t="str">
        <f>IFERROR(VLOOKUP(Tabela1[[#This Row],[CC]],CC!$A$1:$H$403,8,0),"")</f>
        <v>OP1</v>
      </c>
    </row>
    <row r="1989" spans="1:19" x14ac:dyDescent="0.3">
      <c r="A1989" s="25">
        <v>1292</v>
      </c>
      <c r="B1989" s="25" t="str">
        <f>IFERROR(VLOOKUP(Tabela1[[#This Row],[CC]],#REF!,5,0),"")</f>
        <v/>
      </c>
      <c r="C1989" t="str">
        <f>IFERROR(VLOOKUP(Tabela1[[#This Row],[CC]],CC!$A$1:$H$389,7,0),"")</f>
        <v>RITA ANDRADE</v>
      </c>
      <c r="D1989" t="str">
        <f>IFERROR(VLOOKUP(Tabela1[[#This Row],[CC]],CC!$A$1:$I$3869,3,0),"")</f>
        <v>BRADESCO_SEGUROS</v>
      </c>
      <c r="E1989" t="str">
        <f>IFERROR(VLOOKUP(Tabela1[[#This Row],[CC]],CC!$A$1:$H$389,2,0),"")</f>
        <v>BRADESCO - SEGUROS (1292)</v>
      </c>
      <c r="F1989" t="s">
        <v>586</v>
      </c>
      <c r="G1989" s="107">
        <v>5154</v>
      </c>
      <c r="H1989" s="12">
        <v>46113</v>
      </c>
      <c r="I1989" s="27">
        <v>42703.56</v>
      </c>
      <c r="J1989" s="24">
        <v>40077.29</v>
      </c>
      <c r="K1989" s="3">
        <v>46156</v>
      </c>
      <c r="L1989" s="91">
        <v>46167</v>
      </c>
      <c r="M1989" s="11">
        <v>46171</v>
      </c>
      <c r="N1989" s="1" t="s">
        <v>588</v>
      </c>
      <c r="O1989" s="34">
        <v>0</v>
      </c>
      <c r="P1989"/>
      <c r="Q1989" t="str">
        <f>IFERROR(VLOOKUP(Tabela1[[#This Row],[CC]],CC!$A$1:$H$389,5,0),"")</f>
        <v>ADS</v>
      </c>
      <c r="R1989" t="str">
        <f>IFERROR(VLOOKUP(Tabela1[[#This Row],[CC]],CC!$A$1:$H$389,6,0),"")</f>
        <v>FS</v>
      </c>
      <c r="S1989" t="str">
        <f>IFERROR(VLOOKUP(Tabela1[[#This Row],[CC]],CC!$A$1:$H$403,8,0),"")</f>
        <v>OP1</v>
      </c>
    </row>
    <row r="1990" spans="1:19" x14ac:dyDescent="0.3">
      <c r="A1990" s="25">
        <v>1292</v>
      </c>
      <c r="B1990" s="25" t="str">
        <f>IFERROR(VLOOKUP(Tabela1[[#This Row],[CC]],#REF!,5,0),"")</f>
        <v/>
      </c>
      <c r="C1990" t="str">
        <f>IFERROR(VLOOKUP(Tabela1[[#This Row],[CC]],CC!$A$1:$H$389,7,0),"")</f>
        <v>RITA ANDRADE</v>
      </c>
      <c r="D1990" t="str">
        <f>IFERROR(VLOOKUP(Tabela1[[#This Row],[CC]],CC!$A$1:$I$3869,3,0),"")</f>
        <v>BRADESCO_SEGUROS</v>
      </c>
      <c r="E1990" t="str">
        <f>IFERROR(VLOOKUP(Tabela1[[#This Row],[CC]],CC!$A$1:$H$389,2,0),"")</f>
        <v>BRADESCO - SEGUROS (1292)</v>
      </c>
      <c r="F1990" t="s">
        <v>586</v>
      </c>
      <c r="G1990" s="107">
        <v>5155</v>
      </c>
      <c r="H1990" s="12">
        <v>46113</v>
      </c>
      <c r="I1990" s="27">
        <v>42703.56</v>
      </c>
      <c r="J1990" s="24">
        <v>40077.29</v>
      </c>
      <c r="K1990" s="3">
        <v>46156</v>
      </c>
      <c r="L1990" s="91">
        <v>46167</v>
      </c>
      <c r="M1990" s="11">
        <v>46171</v>
      </c>
      <c r="N1990" s="1" t="s">
        <v>588</v>
      </c>
      <c r="O1990" s="34">
        <v>0</v>
      </c>
      <c r="P1990"/>
      <c r="Q1990" t="str">
        <f>IFERROR(VLOOKUP(Tabela1[[#This Row],[CC]],CC!$A$1:$H$389,5,0),"")</f>
        <v>ADS</v>
      </c>
      <c r="R1990" t="str">
        <f>IFERROR(VLOOKUP(Tabela1[[#This Row],[CC]],CC!$A$1:$H$389,6,0),"")</f>
        <v>FS</v>
      </c>
      <c r="S1990" t="str">
        <f>IFERROR(VLOOKUP(Tabela1[[#This Row],[CC]],CC!$A$1:$H$403,8,0),"")</f>
        <v>OP1</v>
      </c>
    </row>
    <row r="1991" spans="1:19" x14ac:dyDescent="0.3">
      <c r="A1991" s="25">
        <v>1292</v>
      </c>
      <c r="B1991" s="25" t="str">
        <f>IFERROR(VLOOKUP(Tabela1[[#This Row],[CC]],#REF!,5,0),"")</f>
        <v/>
      </c>
      <c r="C1991" t="str">
        <f>IFERROR(VLOOKUP(Tabela1[[#This Row],[CC]],CC!$A$1:$H$389,7,0),"")</f>
        <v>RITA ANDRADE</v>
      </c>
      <c r="D1991" t="str">
        <f>IFERROR(VLOOKUP(Tabela1[[#This Row],[CC]],CC!$A$1:$I$3869,3,0),"")</f>
        <v>BRADESCO_SEGUROS</v>
      </c>
      <c r="E1991" t="str">
        <f>IFERROR(VLOOKUP(Tabela1[[#This Row],[CC]],CC!$A$1:$H$389,2,0),"")</f>
        <v>BRADESCO - SEGUROS (1292)</v>
      </c>
      <c r="F1991" t="s">
        <v>586</v>
      </c>
      <c r="G1991" s="107">
        <v>5156</v>
      </c>
      <c r="H1991" s="12">
        <v>46113</v>
      </c>
      <c r="I1991" s="27">
        <v>42703.56</v>
      </c>
      <c r="J1991" s="24">
        <v>40077.29</v>
      </c>
      <c r="K1991" s="3">
        <v>46156</v>
      </c>
      <c r="L1991" s="91">
        <v>46167</v>
      </c>
      <c r="M1991" s="11">
        <v>46171</v>
      </c>
      <c r="N1991" s="1" t="s">
        <v>588</v>
      </c>
      <c r="O1991" s="34">
        <v>0</v>
      </c>
      <c r="P1991"/>
      <c r="Q1991" t="str">
        <f>IFERROR(VLOOKUP(Tabela1[[#This Row],[CC]],CC!$A$1:$H$389,5,0),"")</f>
        <v>ADS</v>
      </c>
      <c r="R1991" t="str">
        <f>IFERROR(VLOOKUP(Tabela1[[#This Row],[CC]],CC!$A$1:$H$389,6,0),"")</f>
        <v>FS</v>
      </c>
      <c r="S1991" t="str">
        <f>IFERROR(VLOOKUP(Tabela1[[#This Row],[CC]],CC!$A$1:$H$403,8,0),"")</f>
        <v>OP1</v>
      </c>
    </row>
    <row r="1992" spans="1:19" x14ac:dyDescent="0.3">
      <c r="A1992" s="25">
        <v>1292</v>
      </c>
      <c r="B1992" s="25" t="str">
        <f>IFERROR(VLOOKUP(Tabela1[[#This Row],[CC]],#REF!,5,0),"")</f>
        <v/>
      </c>
      <c r="C1992" t="str">
        <f>IFERROR(VLOOKUP(Tabela1[[#This Row],[CC]],CC!$A$1:$H$389,7,0),"")</f>
        <v>RITA ANDRADE</v>
      </c>
      <c r="D1992" t="str">
        <f>IFERROR(VLOOKUP(Tabela1[[#This Row],[CC]],CC!$A$1:$I$3869,3,0),"")</f>
        <v>BRADESCO_SEGUROS</v>
      </c>
      <c r="E1992" t="str">
        <f>IFERROR(VLOOKUP(Tabela1[[#This Row],[CC]],CC!$A$1:$H$389,2,0),"")</f>
        <v>BRADESCO - SEGUROS (1292)</v>
      </c>
      <c r="F1992" t="s">
        <v>586</v>
      </c>
      <c r="G1992" s="107">
        <v>5157</v>
      </c>
      <c r="H1992" s="12">
        <v>46113</v>
      </c>
      <c r="I1992" s="27">
        <v>42703.56</v>
      </c>
      <c r="J1992" s="24">
        <v>40077.29</v>
      </c>
      <c r="K1992" s="3">
        <v>46156</v>
      </c>
      <c r="L1992" s="91">
        <v>46167</v>
      </c>
      <c r="M1992" s="11">
        <v>46171</v>
      </c>
      <c r="N1992" s="1" t="s">
        <v>588</v>
      </c>
      <c r="O1992" s="34">
        <v>0</v>
      </c>
      <c r="P1992"/>
      <c r="Q1992" t="str">
        <f>IFERROR(VLOOKUP(Tabela1[[#This Row],[CC]],CC!$A$1:$H$389,5,0),"")</f>
        <v>ADS</v>
      </c>
      <c r="R1992" t="str">
        <f>IFERROR(VLOOKUP(Tabela1[[#This Row],[CC]],CC!$A$1:$H$389,6,0),"")</f>
        <v>FS</v>
      </c>
      <c r="S1992" t="str">
        <f>IFERROR(VLOOKUP(Tabela1[[#This Row],[CC]],CC!$A$1:$H$403,8,0),"")</f>
        <v>OP1</v>
      </c>
    </row>
    <row r="1993" spans="1:19" x14ac:dyDescent="0.3">
      <c r="A1993" s="25">
        <v>1292</v>
      </c>
      <c r="B1993" s="25" t="str">
        <f>IFERROR(VLOOKUP(Tabela1[[#This Row],[CC]],#REF!,5,0),"")</f>
        <v/>
      </c>
      <c r="C1993" t="str">
        <f>IFERROR(VLOOKUP(Tabela1[[#This Row],[CC]],CC!$A$1:$H$389,7,0),"")</f>
        <v>RITA ANDRADE</v>
      </c>
      <c r="D1993" t="str">
        <f>IFERROR(VLOOKUP(Tabela1[[#This Row],[CC]],CC!$A$1:$I$3869,3,0),"")</f>
        <v>BRADESCO_SEGUROS</v>
      </c>
      <c r="E1993" t="str">
        <f>IFERROR(VLOOKUP(Tabela1[[#This Row],[CC]],CC!$A$1:$H$389,2,0),"")</f>
        <v>BRADESCO - SEGUROS (1292)</v>
      </c>
      <c r="F1993" t="s">
        <v>586</v>
      </c>
      <c r="G1993" s="107">
        <v>5237</v>
      </c>
      <c r="H1993" s="12">
        <v>46143</v>
      </c>
      <c r="I1993" s="24">
        <v>43910.49</v>
      </c>
      <c r="J1993" s="24">
        <v>41209.99</v>
      </c>
      <c r="K1993" s="3">
        <v>46181</v>
      </c>
      <c r="L1993" s="147">
        <v>46195</v>
      </c>
      <c r="M1993" s="11"/>
      <c r="N1993" s="1" t="s">
        <v>587</v>
      </c>
      <c r="O1993" s="34">
        <v>0</v>
      </c>
      <c r="P1993"/>
      <c r="Q1993" t="str">
        <f>IFERROR(VLOOKUP(Tabela1[[#This Row],[CC]],CC!$A$1:$H$389,5,0),"")</f>
        <v>ADS</v>
      </c>
      <c r="R1993" t="str">
        <f>IFERROR(VLOOKUP(Tabela1[[#This Row],[CC]],CC!$A$1:$H$389,6,0),"")</f>
        <v>FS</v>
      </c>
      <c r="S1993" t="str">
        <f>IFERROR(VLOOKUP(Tabela1[[#This Row],[CC]],CC!$A$1:$H$403,8,0),"")</f>
        <v>OP1</v>
      </c>
    </row>
    <row r="1994" spans="1:19" x14ac:dyDescent="0.3">
      <c r="A1994" s="25">
        <v>1292</v>
      </c>
      <c r="B1994" s="25" t="str">
        <f>IFERROR(VLOOKUP(Tabela1[[#This Row],[CC]],#REF!,5,0),"")</f>
        <v/>
      </c>
      <c r="C1994" t="str">
        <f>IFERROR(VLOOKUP(Tabela1[[#This Row],[CC]],CC!$A$1:$H$389,7,0),"")</f>
        <v>RITA ANDRADE</v>
      </c>
      <c r="D1994" t="str">
        <f>IFERROR(VLOOKUP(Tabela1[[#This Row],[CC]],CC!$A$1:$I$3869,3,0),"")</f>
        <v>BRADESCO_SEGUROS</v>
      </c>
      <c r="E1994" t="str">
        <f>IFERROR(VLOOKUP(Tabela1[[#This Row],[CC]],CC!$A$1:$H$389,2,0),"")</f>
        <v>BRADESCO - SEGUROS (1292)</v>
      </c>
      <c r="F1994" t="s">
        <v>586</v>
      </c>
      <c r="G1994" s="107">
        <v>5243</v>
      </c>
      <c r="H1994" s="12">
        <v>46143</v>
      </c>
      <c r="I1994" s="24">
        <v>6704.35</v>
      </c>
      <c r="J1994" s="24">
        <v>6292.03</v>
      </c>
      <c r="K1994" s="3">
        <v>46182</v>
      </c>
      <c r="L1994" s="147">
        <v>46195</v>
      </c>
      <c r="M1994" s="11"/>
      <c r="N1994" s="1" t="s">
        <v>587</v>
      </c>
      <c r="O1994" s="34">
        <v>0</v>
      </c>
      <c r="P1994"/>
      <c r="Q1994" t="str">
        <f>IFERROR(VLOOKUP(Tabela1[[#This Row],[CC]],CC!$A$1:$H$389,5,0),"")</f>
        <v>ADS</v>
      </c>
      <c r="R1994" t="str">
        <f>IFERROR(VLOOKUP(Tabela1[[#This Row],[CC]],CC!$A$1:$H$389,6,0),"")</f>
        <v>FS</v>
      </c>
      <c r="S1994" t="str">
        <f>IFERROR(VLOOKUP(Tabela1[[#This Row],[CC]],CC!$A$1:$H$403,8,0),"")</f>
        <v>OP1</v>
      </c>
    </row>
    <row r="1995" spans="1:19" x14ac:dyDescent="0.3">
      <c r="A1995" s="25">
        <v>1292</v>
      </c>
      <c r="B1995" s="25" t="str">
        <f>IFERROR(VLOOKUP(Tabela1[[#This Row],[CC]],#REF!,5,0),"")</f>
        <v/>
      </c>
      <c r="C1995" t="str">
        <f>IFERROR(VLOOKUP(Tabela1[[#This Row],[CC]],CC!$A$1:$H$389,7,0),"")</f>
        <v>RITA ANDRADE</v>
      </c>
      <c r="D1995" t="str">
        <f>IFERROR(VLOOKUP(Tabela1[[#This Row],[CC]],CC!$A$1:$I$3869,3,0),"")</f>
        <v>BRADESCO_SEGUROS</v>
      </c>
      <c r="E1995" t="str">
        <f>IFERROR(VLOOKUP(Tabela1[[#This Row],[CC]],CC!$A$1:$H$389,2,0),"")</f>
        <v>BRADESCO - SEGUROS (1292)</v>
      </c>
      <c r="F1995" t="s">
        <v>586</v>
      </c>
      <c r="G1995" s="107">
        <v>5244</v>
      </c>
      <c r="H1995" s="12">
        <v>46143</v>
      </c>
      <c r="I1995" s="24">
        <v>6704.35</v>
      </c>
      <c r="J1995" s="24">
        <v>6292.03</v>
      </c>
      <c r="K1995" s="3">
        <v>46182</v>
      </c>
      <c r="L1995" s="147">
        <v>46195</v>
      </c>
      <c r="M1995" s="11"/>
      <c r="N1995" s="1" t="s">
        <v>587</v>
      </c>
      <c r="O1995" s="34">
        <v>0</v>
      </c>
      <c r="P1995"/>
      <c r="Q1995" t="str">
        <f>IFERROR(VLOOKUP(Tabela1[[#This Row],[CC]],CC!$A$1:$H$389,5,0),"")</f>
        <v>ADS</v>
      </c>
      <c r="R1995" t="str">
        <f>IFERROR(VLOOKUP(Tabela1[[#This Row],[CC]],CC!$A$1:$H$389,6,0),"")</f>
        <v>FS</v>
      </c>
      <c r="S1995" t="str">
        <f>IFERROR(VLOOKUP(Tabela1[[#This Row],[CC]],CC!$A$1:$H$403,8,0),"")</f>
        <v>OP1</v>
      </c>
    </row>
    <row r="1996" spans="1:19" x14ac:dyDescent="0.3">
      <c r="A1996" s="25">
        <v>1292</v>
      </c>
      <c r="B1996" s="25" t="str">
        <f>IFERROR(VLOOKUP(Tabela1[[#This Row],[CC]],#REF!,5,0),"")</f>
        <v/>
      </c>
      <c r="C1996" t="str">
        <f>IFERROR(VLOOKUP(Tabela1[[#This Row],[CC]],CC!$A$1:$H$389,7,0),"")</f>
        <v>RITA ANDRADE</v>
      </c>
      <c r="D1996" t="str">
        <f>IFERROR(VLOOKUP(Tabela1[[#This Row],[CC]],CC!$A$1:$I$3869,3,0),"")</f>
        <v>BRADESCO_SEGUROS</v>
      </c>
      <c r="E1996" t="str">
        <f>IFERROR(VLOOKUP(Tabela1[[#This Row],[CC]],CC!$A$1:$H$389,2,0),"")</f>
        <v>BRADESCO - SEGUROS (1292)</v>
      </c>
      <c r="F1996" t="s">
        <v>586</v>
      </c>
      <c r="G1996" s="107">
        <v>5245</v>
      </c>
      <c r="H1996" s="12">
        <v>46143</v>
      </c>
      <c r="I1996" s="24">
        <v>6704.33</v>
      </c>
      <c r="J1996" s="24">
        <v>6292.01</v>
      </c>
      <c r="K1996" s="3">
        <v>46182</v>
      </c>
      <c r="L1996" s="147">
        <v>46195</v>
      </c>
      <c r="M1996" s="11"/>
      <c r="N1996" s="1" t="s">
        <v>587</v>
      </c>
      <c r="O1996" s="34">
        <v>0</v>
      </c>
      <c r="P1996"/>
      <c r="Q1996" t="str">
        <f>IFERROR(VLOOKUP(Tabela1[[#This Row],[CC]],CC!$A$1:$H$389,5,0),"")</f>
        <v>ADS</v>
      </c>
      <c r="R1996" t="str">
        <f>IFERROR(VLOOKUP(Tabela1[[#This Row],[CC]],CC!$A$1:$H$389,6,0),"")</f>
        <v>FS</v>
      </c>
      <c r="S1996" t="str">
        <f>IFERROR(VLOOKUP(Tabela1[[#This Row],[CC]],CC!$A$1:$H$403,8,0),"")</f>
        <v>OP1</v>
      </c>
    </row>
    <row r="1997" spans="1:19" x14ac:dyDescent="0.3">
      <c r="A1997" s="25">
        <v>1292</v>
      </c>
      <c r="B1997" s="25" t="str">
        <f>IFERROR(VLOOKUP(Tabela1[[#This Row],[CC]],#REF!,5,0),"")</f>
        <v/>
      </c>
      <c r="C1997" t="str">
        <f>IFERROR(VLOOKUP(Tabela1[[#This Row],[CC]],CC!$A$1:$H$389,7,0),"")</f>
        <v>RITA ANDRADE</v>
      </c>
      <c r="D1997" t="str">
        <f>IFERROR(VLOOKUP(Tabela1[[#This Row],[CC]],CC!$A$1:$I$3869,3,0),"")</f>
        <v>BRADESCO_SEGUROS</v>
      </c>
      <c r="E1997" t="str">
        <f>IFERROR(VLOOKUP(Tabela1[[#This Row],[CC]],CC!$A$1:$H$389,2,0),"")</f>
        <v>BRADESCO - SEGUROS (1292)</v>
      </c>
      <c r="F1997" t="s">
        <v>586</v>
      </c>
      <c r="G1997" s="107">
        <v>5246</v>
      </c>
      <c r="H1997" s="12">
        <v>46143</v>
      </c>
      <c r="I1997" s="24">
        <v>6704.35</v>
      </c>
      <c r="J1997" s="24">
        <v>6292.03</v>
      </c>
      <c r="K1997" s="3">
        <v>46182</v>
      </c>
      <c r="L1997" s="91">
        <v>46195</v>
      </c>
      <c r="M1997" s="11"/>
      <c r="N1997" s="1" t="s">
        <v>587</v>
      </c>
      <c r="O1997" s="34">
        <v>0</v>
      </c>
      <c r="P1997"/>
      <c r="Q1997" t="str">
        <f>IFERROR(VLOOKUP(Tabela1[[#This Row],[CC]],CC!$A$1:$H$389,5,0),"")</f>
        <v>ADS</v>
      </c>
      <c r="R1997" t="str">
        <f>IFERROR(VLOOKUP(Tabela1[[#This Row],[CC]],CC!$A$1:$H$389,6,0),"")</f>
        <v>FS</v>
      </c>
      <c r="S1997" t="str">
        <f>IFERROR(VLOOKUP(Tabela1[[#This Row],[CC]],CC!$A$1:$H$403,8,0),"")</f>
        <v>OP1</v>
      </c>
    </row>
    <row r="1998" spans="1:19" x14ac:dyDescent="0.3">
      <c r="A1998" s="25">
        <v>1507</v>
      </c>
      <c r="B1998" s="25" t="str">
        <f>IFERROR(VLOOKUP(Tabela1[[#This Row],[CC]],#REF!,5,0),"")</f>
        <v/>
      </c>
      <c r="C1998" t="str">
        <f>IFERROR(VLOOKUP(Tabela1[[#This Row],[CC]],CC!$A$1:$H$389,7,0),"")</f>
        <v>RITA ANDRADE</v>
      </c>
      <c r="D1998" t="str">
        <f>IFERROR(VLOOKUP(Tabela1[[#This Row],[CC]],CC!$A$1:$I$3869,3,0),"")</f>
        <v>BRADESCO_SEGUROS</v>
      </c>
      <c r="E1998" t="str">
        <f>IFERROR(VLOOKUP(Tabela1[[#This Row],[CC]],CC!$A$1:$H$389,2,0),"")</f>
        <v>BRADESCO SEGUROS (ADS) – BS2 (1507)</v>
      </c>
      <c r="F1998" t="s">
        <v>586</v>
      </c>
      <c r="G1998" s="107">
        <v>5249</v>
      </c>
      <c r="H1998" s="12">
        <v>46143</v>
      </c>
      <c r="I1998" s="24">
        <v>18010.939999999999</v>
      </c>
      <c r="J1998" s="27">
        <v>16903.264387177092</v>
      </c>
      <c r="K1998" s="3">
        <v>46182</v>
      </c>
      <c r="L1998" s="91">
        <v>46195</v>
      </c>
      <c r="M1998" s="11"/>
      <c r="N1998" s="1" t="s">
        <v>587</v>
      </c>
      <c r="O1998" s="35">
        <v>0</v>
      </c>
      <c r="P1998"/>
      <c r="Q1998" t="str">
        <f>IFERROR(VLOOKUP(Tabela1[[#This Row],[CC]],CC!$A$1:$H$389,5,0),"")</f>
        <v>ADS</v>
      </c>
      <c r="R1998" t="str">
        <f>IFERROR(VLOOKUP(Tabela1[[#This Row],[CC]],CC!$A$1:$H$389,6,0),"")</f>
        <v>FS</v>
      </c>
      <c r="S1998" t="str">
        <f>IFERROR(VLOOKUP(Tabela1[[#This Row],[CC]],CC!$A$1:$H$403,8,0),"")</f>
        <v>OP1</v>
      </c>
    </row>
    <row r="1999" spans="1:19" x14ac:dyDescent="0.3">
      <c r="A1999" s="25">
        <v>1507</v>
      </c>
      <c r="B1999" s="25" t="str">
        <f>IFERROR(VLOOKUP(Tabela1[[#This Row],[CC]],#REF!,5,0),"")</f>
        <v/>
      </c>
      <c r="C1999" t="str">
        <f>IFERROR(VLOOKUP(Tabela1[[#This Row],[CC]],CC!$A$1:$H$389,7,0),"")</f>
        <v>RITA ANDRADE</v>
      </c>
      <c r="D1999" t="str">
        <f>IFERROR(VLOOKUP(Tabela1[[#This Row],[CC]],CC!$A$1:$I$3869,3,0),"")</f>
        <v>BRADESCO_SEGUROS</v>
      </c>
      <c r="E1999" t="str">
        <f>IFERROR(VLOOKUP(Tabela1[[#This Row],[CC]],CC!$A$1:$H$389,2,0),"")</f>
        <v>BRADESCO SEGUROS (ADS) – BS2 (1507)</v>
      </c>
      <c r="F1999" t="s">
        <v>586</v>
      </c>
      <c r="G1999" s="107">
        <v>5250</v>
      </c>
      <c r="H1999" s="12">
        <v>46143</v>
      </c>
      <c r="I1999" s="24">
        <v>10180.1</v>
      </c>
      <c r="J1999" s="27">
        <v>9554.0222657952072</v>
      </c>
      <c r="K1999" s="3">
        <v>46182</v>
      </c>
      <c r="L1999" s="91">
        <v>46195</v>
      </c>
      <c r="M1999" s="11"/>
      <c r="N1999" s="1" t="s">
        <v>587</v>
      </c>
      <c r="O1999" s="35">
        <v>0</v>
      </c>
      <c r="P1999"/>
      <c r="Q1999" t="str">
        <f>IFERROR(VLOOKUP(Tabela1[[#This Row],[CC]],CC!$A$1:$H$389,5,0),"")</f>
        <v>ADS</v>
      </c>
      <c r="R1999" t="str">
        <f>IFERROR(VLOOKUP(Tabela1[[#This Row],[CC]],CC!$A$1:$H$389,6,0),"")</f>
        <v>FS</v>
      </c>
      <c r="S1999" t="str">
        <f>IFERROR(VLOOKUP(Tabela1[[#This Row],[CC]],CC!$A$1:$H$403,8,0),"")</f>
        <v>OP1</v>
      </c>
    </row>
    <row r="2000" spans="1:19" x14ac:dyDescent="0.3">
      <c r="A2000" s="25">
        <v>1507</v>
      </c>
      <c r="B2000" s="25" t="str">
        <f>IFERROR(VLOOKUP(Tabela1[[#This Row],[CC]],#REF!,5,0),"")</f>
        <v/>
      </c>
      <c r="C2000" t="str">
        <f>IFERROR(VLOOKUP(Tabela1[[#This Row],[CC]],CC!$A$1:$H$389,7,0),"")</f>
        <v>RITA ANDRADE</v>
      </c>
      <c r="D2000" t="str">
        <f>IFERROR(VLOOKUP(Tabela1[[#This Row],[CC]],CC!$A$1:$I$3869,3,0),"")</f>
        <v>BRADESCO_SEGUROS</v>
      </c>
      <c r="E2000" t="str">
        <f>IFERROR(VLOOKUP(Tabela1[[#This Row],[CC]],CC!$A$1:$H$389,2,0),"")</f>
        <v>BRADESCO SEGUROS (ADS) – BS2 (1507)</v>
      </c>
      <c r="F2000" t="s">
        <v>586</v>
      </c>
      <c r="G2000" s="107">
        <v>5251</v>
      </c>
      <c r="H2000" s="12">
        <v>46143</v>
      </c>
      <c r="I2000" s="24">
        <v>10963.18</v>
      </c>
      <c r="J2000" s="27">
        <v>10288.942723934018</v>
      </c>
      <c r="K2000" s="3">
        <v>46182</v>
      </c>
      <c r="L2000" s="91">
        <v>46195</v>
      </c>
      <c r="M2000" s="11"/>
      <c r="N2000" s="1" t="s">
        <v>587</v>
      </c>
      <c r="O2000" s="35">
        <v>0</v>
      </c>
      <c r="P2000"/>
      <c r="Q2000" t="str">
        <f>IFERROR(VLOOKUP(Tabela1[[#This Row],[CC]],CC!$A$1:$H$389,5,0),"")</f>
        <v>ADS</v>
      </c>
      <c r="R2000" t="str">
        <f>IFERROR(VLOOKUP(Tabela1[[#This Row],[CC]],CC!$A$1:$H$389,6,0),"")</f>
        <v>FS</v>
      </c>
      <c r="S2000" t="str">
        <f>IFERROR(VLOOKUP(Tabela1[[#This Row],[CC]],CC!$A$1:$H$403,8,0),"")</f>
        <v>OP1</v>
      </c>
    </row>
    <row r="2001" spans="1:19" x14ac:dyDescent="0.3">
      <c r="A2001" s="25">
        <v>1507</v>
      </c>
      <c r="B2001" s="25" t="str">
        <f>IFERROR(VLOOKUP(Tabela1[[#This Row],[CC]],#REF!,5,0),"")</f>
        <v/>
      </c>
      <c r="C2001" t="str">
        <f>IFERROR(VLOOKUP(Tabela1[[#This Row],[CC]],CC!$A$1:$H$389,7,0),"")</f>
        <v>RITA ANDRADE</v>
      </c>
      <c r="D2001" t="str">
        <f>IFERROR(VLOOKUP(Tabela1[[#This Row],[CC]],CC!$A$1:$I$3869,3,0),"")</f>
        <v>BRADESCO_SEGUROS</v>
      </c>
      <c r="E2001" t="str">
        <f>IFERROR(VLOOKUP(Tabela1[[#This Row],[CC]],CC!$A$1:$H$389,2,0),"")</f>
        <v>BRADESCO SEGUROS (ADS) – BS2 (1507)</v>
      </c>
      <c r="F2001" t="s">
        <v>586</v>
      </c>
      <c r="G2001" s="107">
        <v>5252</v>
      </c>
      <c r="H2001" s="12">
        <v>46143</v>
      </c>
      <c r="I2001" s="24">
        <v>39154.22</v>
      </c>
      <c r="J2001" s="27">
        <v>36746.229376906318</v>
      </c>
      <c r="K2001" s="3">
        <v>46182</v>
      </c>
      <c r="L2001" s="91">
        <v>46195</v>
      </c>
      <c r="M2001" s="11"/>
      <c r="N2001" s="1" t="s">
        <v>587</v>
      </c>
      <c r="O2001" s="35">
        <v>0</v>
      </c>
      <c r="P2001"/>
      <c r="Q2001" t="str">
        <f>IFERROR(VLOOKUP(Tabela1[[#This Row],[CC]],CC!$A$1:$H$389,5,0),"")</f>
        <v>ADS</v>
      </c>
      <c r="R2001" t="str">
        <f>IFERROR(VLOOKUP(Tabela1[[#This Row],[CC]],CC!$A$1:$H$389,6,0),"")</f>
        <v>FS</v>
      </c>
      <c r="S2001" t="str">
        <f>IFERROR(VLOOKUP(Tabela1[[#This Row],[CC]],CC!$A$1:$H$403,8,0),"")</f>
        <v>OP1</v>
      </c>
    </row>
    <row r="2002" spans="1:19" x14ac:dyDescent="0.3">
      <c r="A2002" s="25">
        <v>1292</v>
      </c>
      <c r="B2002" s="25" t="str">
        <f>IFERROR(VLOOKUP(Tabela1[[#This Row],[CC]],#REF!,5,0),"")</f>
        <v/>
      </c>
      <c r="C2002" t="str">
        <f>IFERROR(VLOOKUP(Tabela1[[#This Row],[CC]],CC!$A$1:$H$389,7,0),"")</f>
        <v>RITA ANDRADE</v>
      </c>
      <c r="D2002" t="str">
        <f>IFERROR(VLOOKUP(Tabela1[[#This Row],[CC]],CC!$A$1:$I$3869,3,0),"")</f>
        <v>BRADESCO_SEGUROS</v>
      </c>
      <c r="E2002" t="str">
        <f>IFERROR(VLOOKUP(Tabela1[[#This Row],[CC]],CC!$A$1:$H$389,2,0),"")</f>
        <v>BRADESCO - SEGUROS (1292)</v>
      </c>
      <c r="F2002" t="s">
        <v>586</v>
      </c>
      <c r="G2002" s="107">
        <v>5253</v>
      </c>
      <c r="H2002" s="12">
        <v>46143</v>
      </c>
      <c r="I2002" s="24">
        <v>32039</v>
      </c>
      <c r="J2002" s="24">
        <v>30068.596514161221</v>
      </c>
      <c r="K2002" s="3">
        <v>46182</v>
      </c>
      <c r="L2002" s="91">
        <v>46195</v>
      </c>
      <c r="M2002" s="11"/>
      <c r="N2002" s="1" t="s">
        <v>587</v>
      </c>
      <c r="O2002" s="34">
        <v>0</v>
      </c>
      <c r="P2002"/>
      <c r="Q2002" t="str">
        <f>IFERROR(VLOOKUP(Tabela1[[#This Row],[CC]],CC!$A$1:$H$389,5,0),"")</f>
        <v>ADS</v>
      </c>
      <c r="R2002" t="str">
        <f>IFERROR(VLOOKUP(Tabela1[[#This Row],[CC]],CC!$A$1:$H$389,6,0),"")</f>
        <v>FS</v>
      </c>
      <c r="S2002" t="str">
        <f>IFERROR(VLOOKUP(Tabela1[[#This Row],[CC]],CC!$A$1:$H$403,8,0),"")</f>
        <v>OP1</v>
      </c>
    </row>
    <row r="2003" spans="1:19" x14ac:dyDescent="0.3">
      <c r="A2003" s="25">
        <v>1292</v>
      </c>
      <c r="B2003" s="25" t="str">
        <f>IFERROR(VLOOKUP(Tabela1[[#This Row],[CC]],#REF!,5,0),"")</f>
        <v/>
      </c>
      <c r="C2003" t="str">
        <f>IFERROR(VLOOKUP(Tabela1[[#This Row],[CC]],CC!$A$1:$H$389,7,0),"")</f>
        <v>RITA ANDRADE</v>
      </c>
      <c r="D2003" t="str">
        <f>IFERROR(VLOOKUP(Tabela1[[#This Row],[CC]],CC!$A$1:$I$3869,3,0),"")</f>
        <v>BRADESCO_SEGUROS</v>
      </c>
      <c r="E2003" t="str">
        <f>IFERROR(VLOOKUP(Tabela1[[#This Row],[CC]],CC!$A$1:$H$389,2,0),"")</f>
        <v>BRADESCO - SEGUROS (1292)</v>
      </c>
      <c r="F2003" t="s">
        <v>586</v>
      </c>
      <c r="G2003" s="107">
        <v>5260</v>
      </c>
      <c r="H2003" s="12">
        <v>46143</v>
      </c>
      <c r="I2003" s="24">
        <v>42703.56</v>
      </c>
      <c r="J2003" s="24">
        <v>40077.279999999999</v>
      </c>
      <c r="K2003" s="3">
        <v>46183</v>
      </c>
      <c r="L2003" s="91">
        <v>46195</v>
      </c>
      <c r="M2003" s="11"/>
      <c r="N2003" s="1" t="s">
        <v>587</v>
      </c>
      <c r="O2003" s="34">
        <v>0</v>
      </c>
      <c r="P2003"/>
      <c r="Q2003" t="str">
        <f>IFERROR(VLOOKUP(Tabela1[[#This Row],[CC]],CC!$A$1:$H$389,5,0),"")</f>
        <v>ADS</v>
      </c>
      <c r="R2003" t="str">
        <f>IFERROR(VLOOKUP(Tabela1[[#This Row],[CC]],CC!$A$1:$H$389,6,0),"")</f>
        <v>FS</v>
      </c>
      <c r="S2003" t="str">
        <f>IFERROR(VLOOKUP(Tabela1[[#This Row],[CC]],CC!$A$1:$H$403,8,0),"")</f>
        <v>OP1</v>
      </c>
    </row>
    <row r="2004" spans="1:19" x14ac:dyDescent="0.3">
      <c r="A2004" s="25">
        <v>1292</v>
      </c>
      <c r="B2004" s="25" t="str">
        <f>IFERROR(VLOOKUP(Tabela1[[#This Row],[CC]],#REF!,5,0),"")</f>
        <v/>
      </c>
      <c r="C2004" t="str">
        <f>IFERROR(VLOOKUP(Tabela1[[#This Row],[CC]],CC!$A$1:$H$389,7,0),"")</f>
        <v>RITA ANDRADE</v>
      </c>
      <c r="D2004" t="str">
        <f>IFERROR(VLOOKUP(Tabela1[[#This Row],[CC]],CC!$A$1:$I$3869,3,0),"")</f>
        <v>BRADESCO_SEGUROS</v>
      </c>
      <c r="E2004" t="str">
        <f>IFERROR(VLOOKUP(Tabela1[[#This Row],[CC]],CC!$A$1:$H$389,2,0),"")</f>
        <v>BRADESCO - SEGUROS (1292)</v>
      </c>
      <c r="F2004" t="s">
        <v>586</v>
      </c>
      <c r="G2004" s="107">
        <v>5261</v>
      </c>
      <c r="H2004" s="12">
        <v>46143</v>
      </c>
      <c r="I2004" s="24">
        <v>42703.56</v>
      </c>
      <c r="J2004" s="24">
        <v>40077.279999999999</v>
      </c>
      <c r="K2004" s="3">
        <v>46183</v>
      </c>
      <c r="L2004" s="91">
        <v>46195</v>
      </c>
      <c r="M2004" s="11"/>
      <c r="N2004" s="1" t="s">
        <v>587</v>
      </c>
      <c r="O2004" s="34">
        <v>0</v>
      </c>
      <c r="P2004"/>
      <c r="Q2004" t="str">
        <f>IFERROR(VLOOKUP(Tabela1[[#This Row],[CC]],CC!$A$1:$H$389,5,0),"")</f>
        <v>ADS</v>
      </c>
      <c r="R2004" t="str">
        <f>IFERROR(VLOOKUP(Tabela1[[#This Row],[CC]],CC!$A$1:$H$389,6,0),"")</f>
        <v>FS</v>
      </c>
      <c r="S2004" t="str">
        <f>IFERROR(VLOOKUP(Tabela1[[#This Row],[CC]],CC!$A$1:$H$403,8,0),"")</f>
        <v>OP1</v>
      </c>
    </row>
    <row r="2005" spans="1:19" x14ac:dyDescent="0.3">
      <c r="A2005" s="25">
        <v>1292</v>
      </c>
      <c r="B2005" s="25" t="str">
        <f>IFERROR(VLOOKUP(Tabela1[[#This Row],[CC]],#REF!,5,0),"")</f>
        <v/>
      </c>
      <c r="C2005" t="str">
        <f>IFERROR(VLOOKUP(Tabela1[[#This Row],[CC]],CC!$A$1:$H$389,7,0),"")</f>
        <v>RITA ANDRADE</v>
      </c>
      <c r="D2005" t="str">
        <f>IFERROR(VLOOKUP(Tabela1[[#This Row],[CC]],CC!$A$1:$I$3869,3,0),"")</f>
        <v>BRADESCO_SEGUROS</v>
      </c>
      <c r="E2005" t="str">
        <f>IFERROR(VLOOKUP(Tabela1[[#This Row],[CC]],CC!$A$1:$H$389,2,0),"")</f>
        <v>BRADESCO - SEGUROS (1292)</v>
      </c>
      <c r="F2005" t="s">
        <v>586</v>
      </c>
      <c r="G2005" s="107">
        <v>5262</v>
      </c>
      <c r="H2005" s="12">
        <v>46143</v>
      </c>
      <c r="I2005" s="24">
        <v>42703.56</v>
      </c>
      <c r="J2005" s="24">
        <v>40077.279999999999</v>
      </c>
      <c r="K2005" s="3">
        <v>46183</v>
      </c>
      <c r="L2005" s="91">
        <v>46195</v>
      </c>
      <c r="M2005" s="11"/>
      <c r="N2005" s="1" t="s">
        <v>587</v>
      </c>
      <c r="O2005" s="34">
        <v>0</v>
      </c>
      <c r="P2005"/>
      <c r="Q2005" t="str">
        <f>IFERROR(VLOOKUP(Tabela1[[#This Row],[CC]],CC!$A$1:$H$389,5,0),"")</f>
        <v>ADS</v>
      </c>
      <c r="R2005" t="str">
        <f>IFERROR(VLOOKUP(Tabela1[[#This Row],[CC]],CC!$A$1:$H$389,6,0),"")</f>
        <v>FS</v>
      </c>
      <c r="S2005" t="str">
        <f>IFERROR(VLOOKUP(Tabela1[[#This Row],[CC]],CC!$A$1:$H$403,8,0),"")</f>
        <v>OP1</v>
      </c>
    </row>
    <row r="2006" spans="1:19" x14ac:dyDescent="0.3">
      <c r="A2006" s="25">
        <v>1292</v>
      </c>
      <c r="B2006" s="25" t="str">
        <f>IFERROR(VLOOKUP(Tabela1[[#This Row],[CC]],#REF!,5,0),"")</f>
        <v/>
      </c>
      <c r="C2006" t="str">
        <f>IFERROR(VLOOKUP(Tabela1[[#This Row],[CC]],CC!$A$1:$H$389,7,0),"")</f>
        <v>RITA ANDRADE</v>
      </c>
      <c r="D2006" t="str">
        <f>IFERROR(VLOOKUP(Tabela1[[#This Row],[CC]],CC!$A$1:$I$3869,3,0),"")</f>
        <v>BRADESCO_SEGUROS</v>
      </c>
      <c r="E2006" t="str">
        <f>IFERROR(VLOOKUP(Tabela1[[#This Row],[CC]],CC!$A$1:$H$389,2,0),"")</f>
        <v>BRADESCO - SEGUROS (1292)</v>
      </c>
      <c r="F2006" t="s">
        <v>586</v>
      </c>
      <c r="G2006" s="107">
        <v>5263</v>
      </c>
      <c r="H2006" s="12">
        <v>46143</v>
      </c>
      <c r="I2006" s="24">
        <v>42703.56</v>
      </c>
      <c r="J2006" s="24">
        <v>40077.279999999999</v>
      </c>
      <c r="K2006" s="3">
        <v>46183</v>
      </c>
      <c r="L2006" s="91">
        <v>46195</v>
      </c>
      <c r="M2006" s="11"/>
      <c r="N2006" s="1" t="s">
        <v>587</v>
      </c>
      <c r="O2006" s="34">
        <v>0</v>
      </c>
      <c r="P2006"/>
      <c r="Q2006" t="str">
        <f>IFERROR(VLOOKUP(Tabela1[[#This Row],[CC]],CC!$A$1:$H$389,5,0),"")</f>
        <v>ADS</v>
      </c>
      <c r="R2006" t="str">
        <f>IFERROR(VLOOKUP(Tabela1[[#This Row],[CC]],CC!$A$1:$H$389,6,0),"")</f>
        <v>FS</v>
      </c>
      <c r="S2006" t="str">
        <f>IFERROR(VLOOKUP(Tabela1[[#This Row],[CC]],CC!$A$1:$H$403,8,0),"")</f>
        <v>OP1</v>
      </c>
    </row>
    <row r="2007" spans="1:19" x14ac:dyDescent="0.3">
      <c r="A2007" s="25">
        <v>1508</v>
      </c>
      <c r="B2007" s="25" t="str">
        <f>IFERROR(VLOOKUP(Tabela1[[#This Row],[CC]],#REF!,5,0),"")</f>
        <v/>
      </c>
      <c r="C2007" t="str">
        <f>IFERROR(VLOOKUP(Tabela1[[#This Row],[CC]],CC!$A$1:$H$389,7,0),"")</f>
        <v>RITA ANDRADE</v>
      </c>
      <c r="D2007" t="str">
        <f>IFERROR(VLOOKUP(Tabela1[[#This Row],[CC]],CC!$A$1:$I$3869,3,0),"")</f>
        <v>BRADESCO_SEGUROS</v>
      </c>
      <c r="E2007" t="str">
        <f>IFERROR(VLOOKUP(Tabela1[[#This Row],[CC]],CC!$A$1:$H$389,2,0),"")</f>
        <v>BRADESCO SEGUROS (BPS) – BS2 (1508)</v>
      </c>
      <c r="F2007" t="s">
        <v>586</v>
      </c>
      <c r="G2007" s="107">
        <v>4597</v>
      </c>
      <c r="H2007" s="12">
        <v>45962</v>
      </c>
      <c r="I2007" s="24">
        <v>93978.05</v>
      </c>
      <c r="J2007" s="24">
        <v>88198.399999999994</v>
      </c>
      <c r="K2007" s="3">
        <v>45992</v>
      </c>
      <c r="L2007" s="91">
        <v>46013</v>
      </c>
      <c r="M2007" s="11">
        <v>46014</v>
      </c>
      <c r="N2007" s="1" t="s">
        <v>588</v>
      </c>
      <c r="O2007" s="34"/>
      <c r="P2007"/>
      <c r="Q2007" t="str">
        <f>IFERROR(VLOOKUP(Tabela1[[#This Row],[CC]],CC!$A$1:$H$389,5,0),"")</f>
        <v>BPS</v>
      </c>
      <c r="R2007" t="str">
        <f>IFERROR(VLOOKUP(Tabela1[[#This Row],[CC]],CC!$A$1:$H$389,6,0),"")</f>
        <v>FS</v>
      </c>
      <c r="S2007" t="str">
        <f>IFERROR(VLOOKUP(Tabela1[[#This Row],[CC]],CC!$A$1:$H$403,8,0),"")</f>
        <v>OP1</v>
      </c>
    </row>
    <row r="2008" spans="1:19" x14ac:dyDescent="0.3">
      <c r="A2008" s="25">
        <v>1508</v>
      </c>
      <c r="B2008" s="25" t="str">
        <f>IFERROR(VLOOKUP(Tabela1[[#This Row],[CC]],#REF!,5,0),"")</f>
        <v/>
      </c>
      <c r="C2008" t="str">
        <f>IFERROR(VLOOKUP(Tabela1[[#This Row],[CC]],CC!$A$1:$H$389,7,0),"")</f>
        <v>RITA ANDRADE</v>
      </c>
      <c r="D2008" t="str">
        <f>IFERROR(VLOOKUP(Tabela1[[#This Row],[CC]],CC!$A$1:$I$3869,3,0),"")</f>
        <v>BRADESCO_SEGUROS</v>
      </c>
      <c r="E2008" t="str">
        <f>IFERROR(VLOOKUP(Tabela1[[#This Row],[CC]],CC!$A$1:$H$389,2,0),"")</f>
        <v>BRADESCO SEGUROS (BPS) – BS2 (1508)</v>
      </c>
      <c r="F2008" t="s">
        <v>586</v>
      </c>
      <c r="G2008" s="107">
        <v>4598</v>
      </c>
      <c r="H2008" s="12">
        <v>45962</v>
      </c>
      <c r="I2008" s="24">
        <v>93978.05</v>
      </c>
      <c r="J2008" s="24">
        <v>88198.399999999994</v>
      </c>
      <c r="K2008" s="3">
        <v>45992</v>
      </c>
      <c r="L2008" s="91">
        <v>46013</v>
      </c>
      <c r="M2008" s="11">
        <v>46014</v>
      </c>
      <c r="N2008" s="1" t="s">
        <v>588</v>
      </c>
      <c r="O2008" s="34">
        <v>0</v>
      </c>
      <c r="P2008"/>
      <c r="Q2008" t="str">
        <f>IFERROR(VLOOKUP(Tabela1[[#This Row],[CC]],CC!$A$1:$H$389,5,0),"")</f>
        <v>BPS</v>
      </c>
      <c r="R2008" t="str">
        <f>IFERROR(VLOOKUP(Tabela1[[#This Row],[CC]],CC!$A$1:$H$389,6,0),"")</f>
        <v>FS</v>
      </c>
      <c r="S2008" t="str">
        <f>IFERROR(VLOOKUP(Tabela1[[#This Row],[CC]],CC!$A$1:$H$403,8,0),"")</f>
        <v>OP1</v>
      </c>
    </row>
    <row r="2009" spans="1:19" x14ac:dyDescent="0.3">
      <c r="A2009" s="25">
        <v>1508</v>
      </c>
      <c r="B2009" s="25" t="str">
        <f>IFERROR(VLOOKUP(Tabela1[[#This Row],[CC]],#REF!,5,0),"")</f>
        <v/>
      </c>
      <c r="C2009" t="str">
        <f>IFERROR(VLOOKUP(Tabela1[[#This Row],[CC]],CC!$A$1:$H$389,7,0),"")</f>
        <v>RITA ANDRADE</v>
      </c>
      <c r="D2009" t="str">
        <f>IFERROR(VLOOKUP(Tabela1[[#This Row],[CC]],CC!$A$1:$I$3869,3,0),"")</f>
        <v>BRADESCO_SEGUROS</v>
      </c>
      <c r="E2009" t="str">
        <f>IFERROR(VLOOKUP(Tabela1[[#This Row],[CC]],CC!$A$1:$H$389,2,0),"")</f>
        <v>BRADESCO SEGUROS (BPS) – BS2 (1508)</v>
      </c>
      <c r="F2009" t="s">
        <v>586</v>
      </c>
      <c r="G2009" s="107">
        <v>4599</v>
      </c>
      <c r="H2009" s="12">
        <v>45962</v>
      </c>
      <c r="I2009" s="24">
        <v>93978.05</v>
      </c>
      <c r="J2009" s="24">
        <v>88198.399999999994</v>
      </c>
      <c r="K2009" s="3">
        <v>45992</v>
      </c>
      <c r="L2009" s="91">
        <v>46013</v>
      </c>
      <c r="M2009" s="11">
        <v>46015</v>
      </c>
      <c r="N2009" s="1" t="s">
        <v>588</v>
      </c>
      <c r="O2009" s="34">
        <v>0</v>
      </c>
      <c r="P2009"/>
      <c r="Q2009" t="str">
        <f>IFERROR(VLOOKUP(Tabela1[[#This Row],[CC]],CC!$A$1:$H$389,5,0),"")</f>
        <v>BPS</v>
      </c>
      <c r="R2009" t="str">
        <f>IFERROR(VLOOKUP(Tabela1[[#This Row],[CC]],CC!$A$1:$H$389,6,0),"")</f>
        <v>FS</v>
      </c>
      <c r="S2009" t="str">
        <f>IFERROR(VLOOKUP(Tabela1[[#This Row],[CC]],CC!$A$1:$H$403,8,0),"")</f>
        <v>OP1</v>
      </c>
    </row>
    <row r="2010" spans="1:19" x14ac:dyDescent="0.3">
      <c r="A2010" s="25">
        <v>1508</v>
      </c>
      <c r="B2010" s="25" t="str">
        <f>IFERROR(VLOOKUP(Tabela1[[#This Row],[CC]],#REF!,5,0),"")</f>
        <v/>
      </c>
      <c r="C2010" t="str">
        <f>IFERROR(VLOOKUP(Tabela1[[#This Row],[CC]],CC!$A$1:$H$389,7,0),"")</f>
        <v>RITA ANDRADE</v>
      </c>
      <c r="D2010" t="str">
        <f>IFERROR(VLOOKUP(Tabela1[[#This Row],[CC]],CC!$A$1:$I$3869,3,0),"")</f>
        <v>BRADESCO_SEGUROS</v>
      </c>
      <c r="E2010" t="str">
        <f>IFERROR(VLOOKUP(Tabela1[[#This Row],[CC]],CC!$A$1:$H$389,2,0),"")</f>
        <v>BRADESCO SEGUROS (BPS) – BS2 (1508)</v>
      </c>
      <c r="F2010" t="s">
        <v>586</v>
      </c>
      <c r="G2010" s="107">
        <v>4714</v>
      </c>
      <c r="H2010" s="12">
        <v>45962</v>
      </c>
      <c r="I2010" s="24">
        <v>93978.05</v>
      </c>
      <c r="J2010" s="24">
        <v>88198.399999999994</v>
      </c>
      <c r="K2010" s="3">
        <v>46027</v>
      </c>
      <c r="L2010" s="91">
        <v>46041</v>
      </c>
      <c r="M2010" s="11">
        <v>46042</v>
      </c>
      <c r="N2010" s="1" t="s">
        <v>588</v>
      </c>
      <c r="O2010" s="34">
        <v>0</v>
      </c>
      <c r="P2010"/>
      <c r="Q2010" t="str">
        <f>IFERROR(VLOOKUP(Tabela1[[#This Row],[CC]],CC!$A$1:$H$389,5,0),"")</f>
        <v>BPS</v>
      </c>
      <c r="R2010" t="str">
        <f>IFERROR(VLOOKUP(Tabela1[[#This Row],[CC]],CC!$A$1:$H$389,6,0),"")</f>
        <v>FS</v>
      </c>
      <c r="S2010" t="str">
        <f>IFERROR(VLOOKUP(Tabela1[[#This Row],[CC]],CC!$A$1:$H$403,8,0),"")</f>
        <v>OP1</v>
      </c>
    </row>
    <row r="2011" spans="1:19" x14ac:dyDescent="0.3">
      <c r="A2011" s="25">
        <v>1508</v>
      </c>
      <c r="B2011" s="25" t="str">
        <f>IFERROR(VLOOKUP(Tabela1[[#This Row],[CC]],#REF!,5,0),"")</f>
        <v/>
      </c>
      <c r="C2011" t="str">
        <f>IFERROR(VLOOKUP(Tabela1[[#This Row],[CC]],CC!$A$1:$H$389,7,0),"")</f>
        <v>RITA ANDRADE</v>
      </c>
      <c r="D2011" t="str">
        <f>IFERROR(VLOOKUP(Tabela1[[#This Row],[CC]],CC!$A$1:$I$3869,3,0),"")</f>
        <v>BRADESCO_SEGUROS</v>
      </c>
      <c r="E2011" t="str">
        <f>IFERROR(VLOOKUP(Tabela1[[#This Row],[CC]],CC!$A$1:$H$389,2,0),"")</f>
        <v>BRADESCO SEGUROS (BPS) – BS2 (1508)</v>
      </c>
      <c r="F2011" t="s">
        <v>586</v>
      </c>
      <c r="G2011" s="107">
        <v>4831</v>
      </c>
      <c r="H2011" s="12">
        <v>46023</v>
      </c>
      <c r="I2011" s="24">
        <v>19784.84</v>
      </c>
      <c r="J2011" s="24">
        <v>18568.07</v>
      </c>
      <c r="K2011" s="3">
        <v>46063</v>
      </c>
      <c r="L2011" s="91">
        <v>46076</v>
      </c>
      <c r="M2011" s="11">
        <v>46078</v>
      </c>
      <c r="N2011" s="1" t="s">
        <v>588</v>
      </c>
      <c r="O2011" s="34">
        <v>0</v>
      </c>
      <c r="P2011"/>
      <c r="Q2011" t="str">
        <f>IFERROR(VLOOKUP(Tabela1[[#This Row],[CC]],CC!$A$1:$H$389,5,0),"")</f>
        <v>BPS</v>
      </c>
      <c r="R2011" t="str">
        <f>IFERROR(VLOOKUP(Tabela1[[#This Row],[CC]],CC!$A$1:$H$389,6,0),"")</f>
        <v>FS</v>
      </c>
      <c r="S2011" t="str">
        <f>IFERROR(VLOOKUP(Tabela1[[#This Row],[CC]],CC!$A$1:$H$403,8,0),"")</f>
        <v>OP1</v>
      </c>
    </row>
    <row r="2012" spans="1:19" x14ac:dyDescent="0.3">
      <c r="A2012" s="25">
        <v>1484</v>
      </c>
      <c r="B2012" s="25" t="str">
        <f>IFERROR(VLOOKUP(Tabela1[[#This Row],[CC]],#REF!,5,0),"")</f>
        <v/>
      </c>
      <c r="C2012" t="str">
        <f>IFERROR(VLOOKUP(Tabela1[[#This Row],[CC]],CC!$A$1:$H$389,7,0),"")</f>
        <v>RITA ANDRADE</v>
      </c>
      <c r="D2012" t="str">
        <f>IFERROR(VLOOKUP(Tabela1[[#This Row],[CC]],CC!$A$1:$I$3869,3,0),"")</f>
        <v>BRADESCO_SEGUROS</v>
      </c>
      <c r="E2012" t="str">
        <f>IFERROR(VLOOKUP(Tabela1[[#This Row],[CC]],CC!$A$1:$H$389,2,0),"")</f>
        <v>BRADESCO - SEGUROS (BPS) (1484)</v>
      </c>
      <c r="F2012" t="s">
        <v>586</v>
      </c>
      <c r="G2012" s="107">
        <v>4586</v>
      </c>
      <c r="H2012" s="12">
        <v>45962</v>
      </c>
      <c r="I2012" s="24">
        <v>42265.08</v>
      </c>
      <c r="J2012" s="24">
        <v>39665.769999999997</v>
      </c>
      <c r="K2012" s="3">
        <v>45992</v>
      </c>
      <c r="L2012" s="91">
        <v>46013</v>
      </c>
      <c r="M2012" s="11">
        <v>46013</v>
      </c>
      <c r="N2012" s="1" t="s">
        <v>588</v>
      </c>
      <c r="O2012" s="34">
        <v>0</v>
      </c>
      <c r="P2012"/>
      <c r="Q2012" t="str">
        <f>IFERROR(VLOOKUP(Tabela1[[#This Row],[CC]],CC!$A$1:$H$389,5,0),"")</f>
        <v>BPS</v>
      </c>
      <c r="R2012" t="str">
        <f>IFERROR(VLOOKUP(Tabela1[[#This Row],[CC]],CC!$A$1:$H$389,6,0),"")</f>
        <v>FS</v>
      </c>
      <c r="S2012" t="str">
        <f>IFERROR(VLOOKUP(Tabela1[[#This Row],[CC]],CC!$A$1:$H$403,8,0),"")</f>
        <v>OP1</v>
      </c>
    </row>
    <row r="2013" spans="1:19" x14ac:dyDescent="0.3">
      <c r="A2013" s="25">
        <v>1484</v>
      </c>
      <c r="B2013" s="25" t="str">
        <f>IFERROR(VLOOKUP(Tabela1[[#This Row],[CC]],#REF!,5,0),"")</f>
        <v/>
      </c>
      <c r="C2013" t="str">
        <f>IFERROR(VLOOKUP(Tabela1[[#This Row],[CC]],CC!$A$1:$H$389,7,0),"")</f>
        <v>RITA ANDRADE</v>
      </c>
      <c r="D2013" t="str">
        <f>IFERROR(VLOOKUP(Tabela1[[#This Row],[CC]],CC!$A$1:$I$3869,3,0),"")</f>
        <v>BRADESCO_SEGUROS</v>
      </c>
      <c r="E2013" t="str">
        <f>IFERROR(VLOOKUP(Tabela1[[#This Row],[CC]],CC!$A$1:$H$389,2,0),"")</f>
        <v>BRADESCO - SEGUROS (BPS) (1484)</v>
      </c>
      <c r="F2013" t="s">
        <v>586</v>
      </c>
      <c r="G2013" s="107">
        <v>4587</v>
      </c>
      <c r="H2013" s="12">
        <v>45992</v>
      </c>
      <c r="I2013" s="24">
        <v>36601.06</v>
      </c>
      <c r="J2013" s="24">
        <v>34350.089999999997</v>
      </c>
      <c r="K2013" s="3">
        <v>45992</v>
      </c>
      <c r="L2013" s="91">
        <v>46006</v>
      </c>
      <c r="M2013" s="11">
        <v>46007</v>
      </c>
      <c r="N2013" s="1" t="s">
        <v>588</v>
      </c>
      <c r="O2013" s="34">
        <v>0</v>
      </c>
      <c r="P2013"/>
      <c r="Q2013" t="str">
        <f>IFERROR(VLOOKUP(Tabela1[[#This Row],[CC]],CC!$A$1:$H$389,5,0),"")</f>
        <v>BPS</v>
      </c>
      <c r="R2013" t="str">
        <f>IFERROR(VLOOKUP(Tabela1[[#This Row],[CC]],CC!$A$1:$H$389,6,0),"")</f>
        <v>FS</v>
      </c>
      <c r="S2013" t="str">
        <f>IFERROR(VLOOKUP(Tabela1[[#This Row],[CC]],CC!$A$1:$H$403,8,0),"")</f>
        <v>OP1</v>
      </c>
    </row>
    <row r="2014" spans="1:19" x14ac:dyDescent="0.3">
      <c r="A2014" s="25">
        <v>1484</v>
      </c>
      <c r="B2014" s="25" t="str">
        <f>IFERROR(VLOOKUP(Tabela1[[#This Row],[CC]],#REF!,5,0),"")</f>
        <v/>
      </c>
      <c r="C2014" t="str">
        <f>IFERROR(VLOOKUP(Tabela1[[#This Row],[CC]],CC!$A$1:$H$389,7,0),"")</f>
        <v>RITA ANDRADE</v>
      </c>
      <c r="D2014" t="str">
        <f>IFERROR(VLOOKUP(Tabela1[[#This Row],[CC]],CC!$A$1:$I$3869,3,0),"")</f>
        <v>BRADESCO_SEGUROS</v>
      </c>
      <c r="E2014" t="str">
        <f>IFERROR(VLOOKUP(Tabela1[[#This Row],[CC]],CC!$A$1:$H$389,2,0),"")</f>
        <v>BRADESCO - SEGUROS (BPS) (1484)</v>
      </c>
      <c r="F2014" t="s">
        <v>586</v>
      </c>
      <c r="G2014" s="107">
        <v>4588</v>
      </c>
      <c r="H2014" s="12">
        <v>45962</v>
      </c>
      <c r="I2014" s="24">
        <v>36601.06</v>
      </c>
      <c r="J2014" s="24">
        <v>34350.089999999997</v>
      </c>
      <c r="K2014" s="3">
        <v>45992</v>
      </c>
      <c r="L2014" s="91">
        <v>46006</v>
      </c>
      <c r="M2014" s="11">
        <v>46007</v>
      </c>
      <c r="N2014" s="1" t="s">
        <v>588</v>
      </c>
      <c r="O2014" s="34">
        <v>0</v>
      </c>
      <c r="P2014"/>
      <c r="Q2014" t="str">
        <f>IFERROR(VLOOKUP(Tabela1[[#This Row],[CC]],CC!$A$1:$H$389,5,0),"")</f>
        <v>BPS</v>
      </c>
      <c r="R2014" t="str">
        <f>IFERROR(VLOOKUP(Tabela1[[#This Row],[CC]],CC!$A$1:$H$389,6,0),"")</f>
        <v>FS</v>
      </c>
      <c r="S2014" t="str">
        <f>IFERROR(VLOOKUP(Tabela1[[#This Row],[CC]],CC!$A$1:$H$403,8,0),"")</f>
        <v>OP1</v>
      </c>
    </row>
    <row r="2015" spans="1:19" x14ac:dyDescent="0.3">
      <c r="A2015" s="25">
        <v>1484</v>
      </c>
      <c r="B2015" s="25" t="str">
        <f>IFERROR(VLOOKUP(Tabela1[[#This Row],[CC]],#REF!,5,0),"")</f>
        <v/>
      </c>
      <c r="C2015" t="str">
        <f>IFERROR(VLOOKUP(Tabela1[[#This Row],[CC]],CC!$A$1:$H$389,7,0),"")</f>
        <v>RITA ANDRADE</v>
      </c>
      <c r="D2015" t="str">
        <f>IFERROR(VLOOKUP(Tabela1[[#This Row],[CC]],CC!$A$1:$I$3869,3,0),"")</f>
        <v>BRADESCO_SEGUROS</v>
      </c>
      <c r="E2015" t="str">
        <f>IFERROR(VLOOKUP(Tabela1[[#This Row],[CC]],CC!$A$1:$H$389,2,0),"")</f>
        <v>BRADESCO - SEGUROS (BPS) (1484)</v>
      </c>
      <c r="F2015" t="s">
        <v>586</v>
      </c>
      <c r="G2015" s="107">
        <v>4715</v>
      </c>
      <c r="H2015" s="12">
        <v>45992</v>
      </c>
      <c r="I2015" s="27">
        <v>42265.08</v>
      </c>
      <c r="J2015" s="24">
        <v>39665.769999999997</v>
      </c>
      <c r="K2015" s="3">
        <v>46028</v>
      </c>
      <c r="L2015" s="91">
        <v>46041</v>
      </c>
      <c r="M2015" s="11">
        <v>46043</v>
      </c>
      <c r="N2015" s="1" t="s">
        <v>588</v>
      </c>
      <c r="O2015" s="34">
        <v>0</v>
      </c>
      <c r="P2015"/>
      <c r="Q2015" t="str">
        <f>IFERROR(VLOOKUP(Tabela1[[#This Row],[CC]],CC!$A$1:$H$389,5,0),"")</f>
        <v>BPS</v>
      </c>
      <c r="R2015" t="str">
        <f>IFERROR(VLOOKUP(Tabela1[[#This Row],[CC]],CC!$A$1:$H$389,6,0),"")</f>
        <v>FS</v>
      </c>
      <c r="S2015" t="str">
        <f>IFERROR(VLOOKUP(Tabela1[[#This Row],[CC]],CC!$A$1:$H$403,8,0),"")</f>
        <v>OP1</v>
      </c>
    </row>
    <row r="2016" spans="1:19" x14ac:dyDescent="0.3">
      <c r="A2016" s="25">
        <v>1484</v>
      </c>
      <c r="B2016" s="25" t="str">
        <f>IFERROR(VLOOKUP(Tabela1[[#This Row],[CC]],#REF!,5,0),"")</f>
        <v/>
      </c>
      <c r="C2016" t="str">
        <f>IFERROR(VLOOKUP(Tabela1[[#This Row],[CC]],CC!$A$1:$H$389,7,0),"")</f>
        <v>RITA ANDRADE</v>
      </c>
      <c r="D2016" t="str">
        <f>IFERROR(VLOOKUP(Tabela1[[#This Row],[CC]],CC!$A$1:$I$3869,3,0),"")</f>
        <v>BRADESCO_SEGUROS</v>
      </c>
      <c r="E2016" t="str">
        <f>IFERROR(VLOOKUP(Tabela1[[#This Row],[CC]],CC!$A$1:$H$389,2,0),"")</f>
        <v>BRADESCO - SEGUROS (BPS) (1484)</v>
      </c>
      <c r="F2016" t="s">
        <v>586</v>
      </c>
      <c r="G2016" s="107">
        <v>4716</v>
      </c>
      <c r="H2016" s="12">
        <v>45992</v>
      </c>
      <c r="I2016" s="27">
        <v>8897.9</v>
      </c>
      <c r="J2016" s="24">
        <v>8350.68</v>
      </c>
      <c r="K2016" s="3">
        <v>46028</v>
      </c>
      <c r="L2016" s="91">
        <v>46041</v>
      </c>
      <c r="M2016" s="11">
        <v>46043</v>
      </c>
      <c r="N2016" s="1" t="s">
        <v>588</v>
      </c>
      <c r="O2016" s="34">
        <v>0</v>
      </c>
      <c r="P2016"/>
      <c r="Q2016" t="str">
        <f>IFERROR(VLOOKUP(Tabela1[[#This Row],[CC]],CC!$A$1:$H$389,5,0),"")</f>
        <v>BPS</v>
      </c>
      <c r="R2016" t="str">
        <f>IFERROR(VLOOKUP(Tabela1[[#This Row],[CC]],CC!$A$1:$H$389,6,0),"")</f>
        <v>FS</v>
      </c>
      <c r="S2016" t="str">
        <f>IFERROR(VLOOKUP(Tabela1[[#This Row],[CC]],CC!$A$1:$H$403,8,0),"")</f>
        <v>OP1</v>
      </c>
    </row>
    <row r="2017" spans="1:19" x14ac:dyDescent="0.3">
      <c r="A2017" s="25">
        <v>1484</v>
      </c>
      <c r="B2017" s="25" t="str">
        <f>IFERROR(VLOOKUP(Tabela1[[#This Row],[CC]],#REF!,5,0),"")</f>
        <v/>
      </c>
      <c r="C2017" t="str">
        <f>IFERROR(VLOOKUP(Tabela1[[#This Row],[CC]],CC!$A$1:$H$389,7,0),"")</f>
        <v>RITA ANDRADE</v>
      </c>
      <c r="D2017" t="str">
        <f>IFERROR(VLOOKUP(Tabela1[[#This Row],[CC]],CC!$A$1:$I$3869,3,0),"")</f>
        <v>BRADESCO_SEGUROS</v>
      </c>
      <c r="E2017" t="str">
        <f>IFERROR(VLOOKUP(Tabela1[[#This Row],[CC]],CC!$A$1:$H$389,2,0),"")</f>
        <v>BRADESCO - SEGUROS (BPS) (1484)</v>
      </c>
      <c r="F2017" t="s">
        <v>586</v>
      </c>
      <c r="G2017" s="107">
        <v>4717</v>
      </c>
      <c r="H2017" s="12">
        <v>45992</v>
      </c>
      <c r="I2017" s="27">
        <v>36601.06</v>
      </c>
      <c r="J2017" s="24">
        <v>34350.089999999997</v>
      </c>
      <c r="K2017" s="3">
        <v>46028</v>
      </c>
      <c r="L2017" s="91">
        <v>46041</v>
      </c>
      <c r="M2017" s="11">
        <v>46043</v>
      </c>
      <c r="N2017" s="1" t="s">
        <v>588</v>
      </c>
      <c r="O2017" s="34">
        <v>0</v>
      </c>
      <c r="P2017"/>
      <c r="Q2017" t="str">
        <f>IFERROR(VLOOKUP(Tabela1[[#This Row],[CC]],CC!$A$1:$H$389,5,0),"")</f>
        <v>BPS</v>
      </c>
      <c r="R2017" t="str">
        <f>IFERROR(VLOOKUP(Tabela1[[#This Row],[CC]],CC!$A$1:$H$389,6,0),"")</f>
        <v>FS</v>
      </c>
      <c r="S2017" t="str">
        <f>IFERROR(VLOOKUP(Tabela1[[#This Row],[CC]],CC!$A$1:$H$403,8,0),"")</f>
        <v>OP1</v>
      </c>
    </row>
    <row r="2018" spans="1:19" x14ac:dyDescent="0.3">
      <c r="A2018" s="25">
        <v>1484</v>
      </c>
      <c r="B2018" s="25" t="str">
        <f>IFERROR(VLOOKUP(Tabela1[[#This Row],[CC]],#REF!,5,0),"")</f>
        <v/>
      </c>
      <c r="C2018" t="str">
        <f>IFERROR(VLOOKUP(Tabela1[[#This Row],[CC]],CC!$A$1:$H$389,7,0),"")</f>
        <v>RITA ANDRADE</v>
      </c>
      <c r="D2018" t="str">
        <f>IFERROR(VLOOKUP(Tabela1[[#This Row],[CC]],CC!$A$1:$I$3869,3,0),"")</f>
        <v>BRADESCO_SEGUROS</v>
      </c>
      <c r="E2018" t="str">
        <f>IFERROR(VLOOKUP(Tabela1[[#This Row],[CC]],CC!$A$1:$H$389,2,0),"")</f>
        <v>BRADESCO - SEGUROS (BPS) (1484)</v>
      </c>
      <c r="F2018" t="s">
        <v>586</v>
      </c>
      <c r="G2018" s="107">
        <v>4718</v>
      </c>
      <c r="H2018" s="12">
        <v>45992</v>
      </c>
      <c r="I2018" s="27">
        <v>15411.04</v>
      </c>
      <c r="J2018" s="24">
        <v>14463.26</v>
      </c>
      <c r="K2018" s="3">
        <v>46028</v>
      </c>
      <c r="L2018" s="91">
        <v>46048</v>
      </c>
      <c r="M2018" s="11">
        <v>46052</v>
      </c>
      <c r="N2018" s="1" t="s">
        <v>588</v>
      </c>
      <c r="O2018" s="34">
        <v>0</v>
      </c>
      <c r="P2018"/>
      <c r="Q2018" t="str">
        <f>IFERROR(VLOOKUP(Tabela1[[#This Row],[CC]],CC!$A$1:$H$389,5,0),"")</f>
        <v>BPS</v>
      </c>
      <c r="R2018" t="str">
        <f>IFERROR(VLOOKUP(Tabela1[[#This Row],[CC]],CC!$A$1:$H$389,6,0),"")</f>
        <v>FS</v>
      </c>
      <c r="S2018" t="str">
        <f>IFERROR(VLOOKUP(Tabela1[[#This Row],[CC]],CC!$A$1:$H$403,8,0),"")</f>
        <v>OP1</v>
      </c>
    </row>
    <row r="2019" spans="1:19" x14ac:dyDescent="0.3">
      <c r="A2019" s="25">
        <v>1484</v>
      </c>
      <c r="B2019" s="25" t="str">
        <f>IFERROR(VLOOKUP(Tabela1[[#This Row],[CC]],#REF!,5,0),"")</f>
        <v/>
      </c>
      <c r="C2019" t="str">
        <f>IFERROR(VLOOKUP(Tabela1[[#This Row],[CC]],CC!$A$1:$H$389,7,0),"")</f>
        <v>RITA ANDRADE</v>
      </c>
      <c r="D2019" t="str">
        <f>IFERROR(VLOOKUP(Tabela1[[#This Row],[CC]],CC!$A$1:$I$3869,3,0),"")</f>
        <v>BRADESCO_SEGUROS</v>
      </c>
      <c r="E2019" t="str">
        <f>IFERROR(VLOOKUP(Tabela1[[#This Row],[CC]],CC!$A$1:$H$389,2,0),"")</f>
        <v>BRADESCO - SEGUROS (BPS) (1484)</v>
      </c>
      <c r="F2019" t="s">
        <v>586</v>
      </c>
      <c r="G2019" s="107">
        <v>4953</v>
      </c>
      <c r="H2019" s="12">
        <v>46054</v>
      </c>
      <c r="I2019" s="24">
        <v>17619.400000000001</v>
      </c>
      <c r="J2019" s="24">
        <v>16535.810000000001</v>
      </c>
      <c r="K2019" s="3">
        <v>46094</v>
      </c>
      <c r="L2019" s="91">
        <v>46111</v>
      </c>
      <c r="M2019" s="11">
        <v>46111</v>
      </c>
      <c r="N2019" s="1" t="s">
        <v>588</v>
      </c>
      <c r="O2019" s="34">
        <v>0</v>
      </c>
      <c r="P2019"/>
      <c r="Q2019" t="str">
        <f>IFERROR(VLOOKUP(Tabela1[[#This Row],[CC]],CC!$A$1:$H$389,5,0),"")</f>
        <v>BPS</v>
      </c>
      <c r="R2019" t="str">
        <f>IFERROR(VLOOKUP(Tabela1[[#This Row],[CC]],CC!$A$1:$H$389,6,0),"")</f>
        <v>FS</v>
      </c>
      <c r="S2019" t="str">
        <f>IFERROR(VLOOKUP(Tabela1[[#This Row],[CC]],CC!$A$1:$H$403,8,0),"")</f>
        <v>OP1</v>
      </c>
    </row>
    <row r="2020" spans="1:19" x14ac:dyDescent="0.3">
      <c r="A2020" s="25">
        <v>1484</v>
      </c>
      <c r="B2020" s="25" t="str">
        <f>IFERROR(VLOOKUP(Tabela1[[#This Row],[CC]],#REF!,5,0),"")</f>
        <v/>
      </c>
      <c r="C2020" t="str">
        <f>IFERROR(VLOOKUP(Tabela1[[#This Row],[CC]],CC!$A$1:$H$389,7,0),"")</f>
        <v>RITA ANDRADE</v>
      </c>
      <c r="D2020" t="str">
        <f>IFERROR(VLOOKUP(Tabela1[[#This Row],[CC]],CC!$A$1:$I$3869,3,0),"")</f>
        <v>BRADESCO_SEGUROS</v>
      </c>
      <c r="E2020" t="str">
        <f>IFERROR(VLOOKUP(Tabela1[[#This Row],[CC]],CC!$A$1:$H$389,2,0),"")</f>
        <v>BRADESCO - SEGUROS (BPS) (1484)</v>
      </c>
      <c r="F2020" t="s">
        <v>586</v>
      </c>
      <c r="G2020" s="107">
        <v>4954</v>
      </c>
      <c r="H2020" s="12">
        <v>46054</v>
      </c>
      <c r="I2020" s="24">
        <v>39154.22</v>
      </c>
      <c r="J2020" s="24">
        <v>36746.239999999998</v>
      </c>
      <c r="K2020" s="3">
        <v>46094</v>
      </c>
      <c r="L2020" s="91">
        <v>46111</v>
      </c>
      <c r="M2020" s="11">
        <v>46111</v>
      </c>
      <c r="N2020" s="1" t="s">
        <v>588</v>
      </c>
      <c r="O2020" s="34">
        <v>0</v>
      </c>
      <c r="P2020"/>
      <c r="Q2020" t="str">
        <f>IFERROR(VLOOKUP(Tabela1[[#This Row],[CC]],CC!$A$1:$H$389,5,0),"")</f>
        <v>BPS</v>
      </c>
      <c r="R2020" t="str">
        <f>IFERROR(VLOOKUP(Tabela1[[#This Row],[CC]],CC!$A$1:$H$389,6,0),"")</f>
        <v>FS</v>
      </c>
      <c r="S2020" t="str">
        <f>IFERROR(VLOOKUP(Tabela1[[#This Row],[CC]],CC!$A$1:$H$403,8,0),"")</f>
        <v>OP1</v>
      </c>
    </row>
    <row r="2021" spans="1:19" x14ac:dyDescent="0.3">
      <c r="A2021" s="25">
        <v>1484</v>
      </c>
      <c r="B2021" s="25" t="str">
        <f>IFERROR(VLOOKUP(Tabela1[[#This Row],[CC]],#REF!,5,0),"")</f>
        <v/>
      </c>
      <c r="C2021" t="str">
        <f>IFERROR(VLOOKUP(Tabela1[[#This Row],[CC]],CC!$A$1:$H$389,7,0),"")</f>
        <v>RITA ANDRADE</v>
      </c>
      <c r="D2021" t="str">
        <f>IFERROR(VLOOKUP(Tabela1[[#This Row],[CC]],CC!$A$1:$I$3869,3,0),"")</f>
        <v>BRADESCO_SEGUROS</v>
      </c>
      <c r="E2021" t="str">
        <f>IFERROR(VLOOKUP(Tabela1[[#This Row],[CC]],CC!$A$1:$H$389,2,0),"")</f>
        <v>BRADESCO - SEGUROS (BPS) (1484)</v>
      </c>
      <c r="F2021" t="s">
        <v>586</v>
      </c>
      <c r="G2021" s="107">
        <v>4955</v>
      </c>
      <c r="H2021" s="12">
        <v>46054</v>
      </c>
      <c r="I2021" s="24">
        <v>9788.5499999999993</v>
      </c>
      <c r="J2021" s="24">
        <v>9186.5400000000009</v>
      </c>
      <c r="K2021" s="3">
        <v>46094</v>
      </c>
      <c r="L2021" s="91">
        <v>46111</v>
      </c>
      <c r="M2021" s="11">
        <v>46111</v>
      </c>
      <c r="N2021" s="1" t="s">
        <v>588</v>
      </c>
      <c r="O2021" s="34">
        <v>0</v>
      </c>
      <c r="P2021"/>
      <c r="Q2021" t="str">
        <f>IFERROR(VLOOKUP(Tabela1[[#This Row],[CC]],CC!$A$1:$H$389,5,0),"")</f>
        <v>BPS</v>
      </c>
      <c r="R2021" t="str">
        <f>IFERROR(VLOOKUP(Tabela1[[#This Row],[CC]],CC!$A$1:$H$389,6,0),"")</f>
        <v>FS</v>
      </c>
      <c r="S2021" t="str">
        <f>IFERROR(VLOOKUP(Tabela1[[#This Row],[CC]],CC!$A$1:$H$403,8,0),"")</f>
        <v>OP1</v>
      </c>
    </row>
    <row r="2022" spans="1:19" x14ac:dyDescent="0.3">
      <c r="A2022" s="25">
        <v>1484</v>
      </c>
      <c r="B2022" s="25" t="str">
        <f>IFERROR(VLOOKUP(Tabela1[[#This Row],[CC]],#REF!,5,0),"")</f>
        <v/>
      </c>
      <c r="C2022" t="str">
        <f>IFERROR(VLOOKUP(Tabela1[[#This Row],[CC]],CC!$A$1:$H$389,7,0),"")</f>
        <v>RITA ANDRADE</v>
      </c>
      <c r="D2022" t="str">
        <f>IFERROR(VLOOKUP(Tabela1[[#This Row],[CC]],CC!$A$1:$I$3869,3,0),"")</f>
        <v>BRADESCO_SEGUROS</v>
      </c>
      <c r="E2022" t="str">
        <f>IFERROR(VLOOKUP(Tabela1[[#This Row],[CC]],CC!$A$1:$H$389,2,0),"")</f>
        <v>BRADESCO - SEGUROS (BPS) (1484)</v>
      </c>
      <c r="F2022" t="s">
        <v>586</v>
      </c>
      <c r="G2022" s="107">
        <v>4956</v>
      </c>
      <c r="H2022" s="12">
        <v>46054</v>
      </c>
      <c r="I2022" s="24">
        <v>11746.27</v>
      </c>
      <c r="J2022" s="24">
        <v>11023.88</v>
      </c>
      <c r="K2022" s="3">
        <v>46094</v>
      </c>
      <c r="L2022" s="91">
        <v>46111</v>
      </c>
      <c r="M2022" s="11">
        <v>46111</v>
      </c>
      <c r="N2022" s="1" t="s">
        <v>588</v>
      </c>
      <c r="O2022" s="34">
        <v>0</v>
      </c>
      <c r="P2022"/>
      <c r="Q2022" t="str">
        <f>IFERROR(VLOOKUP(Tabela1[[#This Row],[CC]],CC!$A$1:$H$389,5,0),"")</f>
        <v>BPS</v>
      </c>
      <c r="R2022" t="str">
        <f>IFERROR(VLOOKUP(Tabela1[[#This Row],[CC]],CC!$A$1:$H$389,6,0),"")</f>
        <v>FS</v>
      </c>
      <c r="S2022" t="str">
        <f>IFERROR(VLOOKUP(Tabela1[[#This Row],[CC]],CC!$A$1:$H$403,8,0),"")</f>
        <v>OP1</v>
      </c>
    </row>
    <row r="2023" spans="1:19" x14ac:dyDescent="0.3">
      <c r="A2023" s="25">
        <v>1484</v>
      </c>
      <c r="B2023" s="25" t="str">
        <f>IFERROR(VLOOKUP(Tabela1[[#This Row],[CC]],#REF!,5,0),"")</f>
        <v/>
      </c>
      <c r="C2023" t="str">
        <f>IFERROR(VLOOKUP(Tabela1[[#This Row],[CC]],CC!$A$1:$H$389,7,0),"")</f>
        <v>RITA ANDRADE</v>
      </c>
      <c r="D2023" t="str">
        <f>IFERROR(VLOOKUP(Tabela1[[#This Row],[CC]],CC!$A$1:$I$3869,3,0),"")</f>
        <v>BRADESCO_SEGUROS</v>
      </c>
      <c r="E2023" t="str">
        <f>IFERROR(VLOOKUP(Tabela1[[#This Row],[CC]],CC!$A$1:$H$389,2,0),"")</f>
        <v>BRADESCO - SEGUROS (BPS) (1484)</v>
      </c>
      <c r="F2023" t="s">
        <v>586</v>
      </c>
      <c r="G2023" s="107">
        <v>4962</v>
      </c>
      <c r="H2023" s="12">
        <v>46054</v>
      </c>
      <c r="I2023" s="24">
        <v>39154.22</v>
      </c>
      <c r="J2023" s="27">
        <v>36746.239999999998</v>
      </c>
      <c r="K2023" s="3">
        <v>46097</v>
      </c>
      <c r="L2023" s="91">
        <v>46111</v>
      </c>
      <c r="M2023" s="11">
        <v>46112</v>
      </c>
      <c r="N2023" s="1" t="s">
        <v>588</v>
      </c>
      <c r="O2023" s="34">
        <v>0</v>
      </c>
      <c r="P2023"/>
      <c r="Q2023" t="str">
        <f>IFERROR(VLOOKUP(Tabela1[[#This Row],[CC]],CC!$A$1:$H$389,5,0),"")</f>
        <v>BPS</v>
      </c>
      <c r="R2023" t="str">
        <f>IFERROR(VLOOKUP(Tabela1[[#This Row],[CC]],CC!$A$1:$H$389,6,0),"")</f>
        <v>FS</v>
      </c>
      <c r="S2023" t="str">
        <f>IFERROR(VLOOKUP(Tabela1[[#This Row],[CC]],CC!$A$1:$H$403,8,0),"")</f>
        <v>OP1</v>
      </c>
    </row>
    <row r="2024" spans="1:19" x14ac:dyDescent="0.3">
      <c r="A2024" s="25">
        <v>1484</v>
      </c>
      <c r="B2024" s="25" t="str">
        <f>IFERROR(VLOOKUP(Tabela1[[#This Row],[CC]],#REF!,5,0),"")</f>
        <v/>
      </c>
      <c r="C2024" t="str">
        <f>IFERROR(VLOOKUP(Tabela1[[#This Row],[CC]],CC!$A$1:$H$389,7,0),"")</f>
        <v>RITA ANDRADE</v>
      </c>
      <c r="D2024" t="str">
        <f>IFERROR(VLOOKUP(Tabela1[[#This Row],[CC]],CC!$A$1:$I$3869,3,0),"")</f>
        <v>BRADESCO_SEGUROS</v>
      </c>
      <c r="E2024" t="str">
        <f>IFERROR(VLOOKUP(Tabela1[[#This Row],[CC]],CC!$A$1:$H$389,2,0),"")</f>
        <v>BRADESCO - SEGUROS (BPS) (1484)</v>
      </c>
      <c r="F2024" t="s">
        <v>586</v>
      </c>
      <c r="G2024" s="107">
        <v>4963</v>
      </c>
      <c r="H2024" s="12">
        <v>46054</v>
      </c>
      <c r="I2024" s="24">
        <v>9788.5499999999993</v>
      </c>
      <c r="J2024" s="27">
        <v>9186.5499999999993</v>
      </c>
      <c r="K2024" s="3">
        <v>46097</v>
      </c>
      <c r="L2024" s="91">
        <v>46111</v>
      </c>
      <c r="M2024" s="11">
        <v>46112</v>
      </c>
      <c r="N2024" s="1" t="s">
        <v>588</v>
      </c>
      <c r="O2024" s="34">
        <v>0</v>
      </c>
      <c r="P2024"/>
      <c r="Q2024" t="str">
        <f>IFERROR(VLOOKUP(Tabela1[[#This Row],[CC]],CC!$A$1:$H$389,5,0),"")</f>
        <v>BPS</v>
      </c>
      <c r="R2024" t="str">
        <f>IFERROR(VLOOKUP(Tabela1[[#This Row],[CC]],CC!$A$1:$H$389,6,0),"")</f>
        <v>FS</v>
      </c>
      <c r="S2024" t="str">
        <f>IFERROR(VLOOKUP(Tabela1[[#This Row],[CC]],CC!$A$1:$H$403,8,0),"")</f>
        <v>OP1</v>
      </c>
    </row>
    <row r="2025" spans="1:19" x14ac:dyDescent="0.3">
      <c r="A2025" s="25">
        <v>1484</v>
      </c>
      <c r="B2025" s="25" t="str">
        <f>IFERROR(VLOOKUP(Tabela1[[#This Row],[CC]],#REF!,5,0),"")</f>
        <v/>
      </c>
      <c r="C2025" t="str">
        <f>IFERROR(VLOOKUP(Tabela1[[#This Row],[CC]],CC!$A$1:$H$389,7,0),"")</f>
        <v>RITA ANDRADE</v>
      </c>
      <c r="D2025" t="str">
        <f>IFERROR(VLOOKUP(Tabela1[[#This Row],[CC]],CC!$A$1:$I$3869,3,0),"")</f>
        <v>BRADESCO_SEGUROS</v>
      </c>
      <c r="E2025" t="str">
        <f>IFERROR(VLOOKUP(Tabela1[[#This Row],[CC]],CC!$A$1:$H$389,2,0),"")</f>
        <v>BRADESCO - SEGUROS (BPS) (1484)</v>
      </c>
      <c r="F2025" t="s">
        <v>586</v>
      </c>
      <c r="G2025" s="107">
        <v>4964</v>
      </c>
      <c r="H2025" s="12">
        <v>46054</v>
      </c>
      <c r="I2025" s="24">
        <v>11746.27</v>
      </c>
      <c r="J2025" s="27">
        <v>11023.88</v>
      </c>
      <c r="K2025" s="3">
        <v>46097</v>
      </c>
      <c r="L2025" s="91">
        <v>46111</v>
      </c>
      <c r="M2025" s="11">
        <v>46112</v>
      </c>
      <c r="N2025" s="1" t="s">
        <v>588</v>
      </c>
      <c r="O2025" s="34">
        <v>0</v>
      </c>
      <c r="P2025"/>
      <c r="Q2025" t="str">
        <f>IFERROR(VLOOKUP(Tabela1[[#This Row],[CC]],CC!$A$1:$H$389,5,0),"")</f>
        <v>BPS</v>
      </c>
      <c r="R2025" t="str">
        <f>IFERROR(VLOOKUP(Tabela1[[#This Row],[CC]],CC!$A$1:$H$389,6,0),"")</f>
        <v>FS</v>
      </c>
      <c r="S2025" t="str">
        <f>IFERROR(VLOOKUP(Tabela1[[#This Row],[CC]],CC!$A$1:$H$403,8,0),"")</f>
        <v>OP1</v>
      </c>
    </row>
    <row r="2026" spans="1:19" x14ac:dyDescent="0.3">
      <c r="A2026" s="25">
        <v>1484</v>
      </c>
      <c r="B2026" s="25" t="str">
        <f>IFERROR(VLOOKUP(Tabela1[[#This Row],[CC]],#REF!,5,0),"")</f>
        <v/>
      </c>
      <c r="C2026" t="str">
        <f>IFERROR(VLOOKUP(Tabela1[[#This Row],[CC]],CC!$A$1:$H$389,7,0),"")</f>
        <v>RITA ANDRADE</v>
      </c>
      <c r="D2026" t="str">
        <f>IFERROR(VLOOKUP(Tabela1[[#This Row],[CC]],CC!$A$1:$I$3869,3,0),"")</f>
        <v>BRADESCO_SEGUROS</v>
      </c>
      <c r="E2026" t="str">
        <f>IFERROR(VLOOKUP(Tabela1[[#This Row],[CC]],CC!$A$1:$H$389,2,0),"")</f>
        <v>BRADESCO - SEGUROS (BPS) (1484)</v>
      </c>
      <c r="F2026" t="s">
        <v>586</v>
      </c>
      <c r="G2026" s="107">
        <v>4965</v>
      </c>
      <c r="H2026" s="12">
        <v>46054</v>
      </c>
      <c r="I2026" s="24">
        <v>17619.400000000001</v>
      </c>
      <c r="J2026" s="27">
        <v>16535.810000000001</v>
      </c>
      <c r="K2026" s="3">
        <v>46097</v>
      </c>
      <c r="L2026" s="91">
        <v>46111</v>
      </c>
      <c r="M2026" s="11">
        <v>46112</v>
      </c>
      <c r="N2026" s="1" t="s">
        <v>588</v>
      </c>
      <c r="O2026" s="34">
        <v>0</v>
      </c>
      <c r="P2026"/>
      <c r="Q2026" t="str">
        <f>IFERROR(VLOOKUP(Tabela1[[#This Row],[CC]],CC!$A$1:$H$389,5,0),"")</f>
        <v>BPS</v>
      </c>
      <c r="R2026" t="str">
        <f>IFERROR(VLOOKUP(Tabela1[[#This Row],[CC]],CC!$A$1:$H$389,6,0),"")</f>
        <v>FS</v>
      </c>
      <c r="S2026" t="str">
        <f>IFERROR(VLOOKUP(Tabela1[[#This Row],[CC]],CC!$A$1:$H$403,8,0),"")</f>
        <v>OP1</v>
      </c>
    </row>
    <row r="2027" spans="1:19" x14ac:dyDescent="0.3">
      <c r="A2027" s="25">
        <v>1484</v>
      </c>
      <c r="B2027" s="25" t="str">
        <f>IFERROR(VLOOKUP(Tabela1[[#This Row],[CC]],#REF!,5,0),"")</f>
        <v/>
      </c>
      <c r="C2027" t="str">
        <f>IFERROR(VLOOKUP(Tabela1[[#This Row],[CC]],CC!$A$1:$H$389,7,0),"")</f>
        <v>RITA ANDRADE</v>
      </c>
      <c r="D2027" t="str">
        <f>IFERROR(VLOOKUP(Tabela1[[#This Row],[CC]],CC!$A$1:$I$3869,3,0),"")</f>
        <v>BRADESCO_SEGUROS</v>
      </c>
      <c r="E2027" t="str">
        <f>IFERROR(VLOOKUP(Tabela1[[#This Row],[CC]],CC!$A$1:$H$389,2,0),"")</f>
        <v>BRADESCO - SEGUROS (BPS) (1484)</v>
      </c>
      <c r="F2027" t="s">
        <v>586</v>
      </c>
      <c r="G2027" s="107">
        <v>5049</v>
      </c>
      <c r="H2027" s="12">
        <v>46082</v>
      </c>
      <c r="I2027" s="27">
        <v>39154.22</v>
      </c>
      <c r="J2027" s="24">
        <v>36746.239999999998</v>
      </c>
      <c r="K2027" s="3">
        <v>46120</v>
      </c>
      <c r="L2027" s="91">
        <v>46132</v>
      </c>
      <c r="M2027" s="11">
        <v>46135</v>
      </c>
      <c r="N2027" s="1" t="s">
        <v>588</v>
      </c>
      <c r="O2027" s="34">
        <v>0</v>
      </c>
      <c r="P2027"/>
      <c r="Q2027" t="str">
        <f>IFERROR(VLOOKUP(Tabela1[[#This Row],[CC]],CC!$A$1:$H$389,5,0),"")</f>
        <v>BPS</v>
      </c>
      <c r="R2027" t="str">
        <f>IFERROR(VLOOKUP(Tabela1[[#This Row],[CC]],CC!$A$1:$H$389,6,0),"")</f>
        <v>FS</v>
      </c>
      <c r="S2027" t="str">
        <f>IFERROR(VLOOKUP(Tabela1[[#This Row],[CC]],CC!$A$1:$H$403,8,0),"")</f>
        <v>OP1</v>
      </c>
    </row>
    <row r="2028" spans="1:19" x14ac:dyDescent="0.3">
      <c r="A2028" s="25">
        <v>1484</v>
      </c>
      <c r="B2028" s="25" t="str">
        <f>IFERROR(VLOOKUP(Tabela1[[#This Row],[CC]],#REF!,5,0),"")</f>
        <v/>
      </c>
      <c r="C2028" t="str">
        <f>IFERROR(VLOOKUP(Tabela1[[#This Row],[CC]],CC!$A$1:$H$389,7,0),"")</f>
        <v>RITA ANDRADE</v>
      </c>
      <c r="D2028" t="str">
        <f>IFERROR(VLOOKUP(Tabela1[[#This Row],[CC]],CC!$A$1:$I$3869,3,0),"")</f>
        <v>BRADESCO_SEGUROS</v>
      </c>
      <c r="E2028" t="str">
        <f>IFERROR(VLOOKUP(Tabela1[[#This Row],[CC]],CC!$A$1:$H$389,2,0),"")</f>
        <v>BRADESCO - SEGUROS (BPS) (1484)</v>
      </c>
      <c r="F2028" t="s">
        <v>586</v>
      </c>
      <c r="G2028" s="107">
        <v>5080</v>
      </c>
      <c r="H2028" s="12">
        <v>46082</v>
      </c>
      <c r="I2028" s="27">
        <v>9788.5499999999993</v>
      </c>
      <c r="J2028" s="24">
        <v>9186.5499999999993</v>
      </c>
      <c r="K2028" s="3">
        <v>46127</v>
      </c>
      <c r="L2028" s="91">
        <v>46139</v>
      </c>
      <c r="M2028" s="11">
        <v>46142</v>
      </c>
      <c r="N2028" s="1" t="s">
        <v>588</v>
      </c>
      <c r="O2028" s="34">
        <v>0</v>
      </c>
      <c r="P2028"/>
      <c r="Q2028" t="str">
        <f>IFERROR(VLOOKUP(Tabela1[[#This Row],[CC]],CC!$A$1:$H$389,5,0),"")</f>
        <v>BPS</v>
      </c>
      <c r="R2028" t="str">
        <f>IFERROR(VLOOKUP(Tabela1[[#This Row],[CC]],CC!$A$1:$H$389,6,0),"")</f>
        <v>FS</v>
      </c>
      <c r="S2028" t="str">
        <f>IFERROR(VLOOKUP(Tabela1[[#This Row],[CC]],CC!$A$1:$H$403,8,0),"")</f>
        <v>OP1</v>
      </c>
    </row>
    <row r="2029" spans="1:19" x14ac:dyDescent="0.3">
      <c r="A2029" s="25">
        <v>1484</v>
      </c>
      <c r="B2029" s="25" t="str">
        <f>IFERROR(VLOOKUP(Tabela1[[#This Row],[CC]],#REF!,5,0),"")</f>
        <v/>
      </c>
      <c r="C2029" t="str">
        <f>IFERROR(VLOOKUP(Tabela1[[#This Row],[CC]],CC!$A$1:$H$389,7,0),"")</f>
        <v>RITA ANDRADE</v>
      </c>
      <c r="D2029" t="str">
        <f>IFERROR(VLOOKUP(Tabela1[[#This Row],[CC]],CC!$A$1:$I$3869,3,0),"")</f>
        <v>BRADESCO_SEGUROS</v>
      </c>
      <c r="E2029" t="str">
        <f>IFERROR(VLOOKUP(Tabela1[[#This Row],[CC]],CC!$A$1:$H$389,2,0),"")</f>
        <v>BRADESCO - SEGUROS (BPS) (1484)</v>
      </c>
      <c r="F2029" t="s">
        <v>586</v>
      </c>
      <c r="G2029" s="107">
        <v>5051</v>
      </c>
      <c r="H2029" s="12">
        <v>46082</v>
      </c>
      <c r="I2029" s="27">
        <v>17619.400000000001</v>
      </c>
      <c r="J2029" s="24">
        <v>16535.810000000001</v>
      </c>
      <c r="K2029" s="3">
        <v>46120</v>
      </c>
      <c r="L2029" s="91">
        <v>46132</v>
      </c>
      <c r="M2029" s="11">
        <v>46135</v>
      </c>
      <c r="N2029" s="1" t="s">
        <v>588</v>
      </c>
      <c r="O2029" s="34">
        <v>0</v>
      </c>
      <c r="P2029"/>
      <c r="Q2029" t="str">
        <f>IFERROR(VLOOKUP(Tabela1[[#This Row],[CC]],CC!$A$1:$H$389,5,0),"")</f>
        <v>BPS</v>
      </c>
      <c r="R2029" t="str">
        <f>IFERROR(VLOOKUP(Tabela1[[#This Row],[CC]],CC!$A$1:$H$389,6,0),"")</f>
        <v>FS</v>
      </c>
      <c r="S2029" t="str">
        <f>IFERROR(VLOOKUP(Tabela1[[#This Row],[CC]],CC!$A$1:$H$403,8,0),"")</f>
        <v>OP1</v>
      </c>
    </row>
    <row r="2030" spans="1:19" x14ac:dyDescent="0.3">
      <c r="A2030" s="25">
        <v>1484</v>
      </c>
      <c r="B2030" s="25" t="str">
        <f>IFERROR(VLOOKUP(Tabela1[[#This Row],[CC]],#REF!,5,0),"")</f>
        <v/>
      </c>
      <c r="C2030" t="str">
        <f>IFERROR(VLOOKUP(Tabela1[[#This Row],[CC]],CC!$A$1:$H$389,7,0),"")</f>
        <v>RITA ANDRADE</v>
      </c>
      <c r="D2030" t="str">
        <f>IFERROR(VLOOKUP(Tabela1[[#This Row],[CC]],CC!$A$1:$I$3869,3,0),"")</f>
        <v>BRADESCO_SEGUROS</v>
      </c>
      <c r="E2030" t="str">
        <f>IFERROR(VLOOKUP(Tabela1[[#This Row],[CC]],CC!$A$1:$H$389,2,0),"")</f>
        <v>BRADESCO - SEGUROS (BPS) (1484)</v>
      </c>
      <c r="F2030" t="s">
        <v>586</v>
      </c>
      <c r="G2030" s="107">
        <v>5052</v>
      </c>
      <c r="H2030" s="12">
        <v>46082</v>
      </c>
      <c r="I2030" s="27">
        <v>11746.27</v>
      </c>
      <c r="J2030" s="24">
        <v>11023.88</v>
      </c>
      <c r="K2030" s="3">
        <v>46120</v>
      </c>
      <c r="L2030" s="91">
        <v>46132</v>
      </c>
      <c r="M2030" s="11">
        <v>46135</v>
      </c>
      <c r="N2030" s="1" t="s">
        <v>588</v>
      </c>
      <c r="O2030" s="34">
        <v>0</v>
      </c>
      <c r="P2030"/>
      <c r="Q2030" t="str">
        <f>IFERROR(VLOOKUP(Tabela1[[#This Row],[CC]],CC!$A$1:$H$389,5,0),"")</f>
        <v>BPS</v>
      </c>
      <c r="R2030" t="str">
        <f>IFERROR(VLOOKUP(Tabela1[[#This Row],[CC]],CC!$A$1:$H$389,6,0),"")</f>
        <v>FS</v>
      </c>
      <c r="S2030" t="str">
        <f>IFERROR(VLOOKUP(Tabela1[[#This Row],[CC]],CC!$A$1:$H$403,8,0),"")</f>
        <v>OP1</v>
      </c>
    </row>
    <row r="2031" spans="1:19" x14ac:dyDescent="0.3">
      <c r="A2031" s="25">
        <v>1484</v>
      </c>
      <c r="B2031" s="25" t="str">
        <f>IFERROR(VLOOKUP(Tabela1[[#This Row],[CC]],#REF!,5,0),"")</f>
        <v/>
      </c>
      <c r="C2031" t="str">
        <f>IFERROR(VLOOKUP(Tabela1[[#This Row],[CC]],CC!$A$1:$H$389,7,0),"")</f>
        <v>RITA ANDRADE</v>
      </c>
      <c r="D2031" t="str">
        <f>IFERROR(VLOOKUP(Tabela1[[#This Row],[CC]],CC!$A$1:$I$3869,3,0),"")</f>
        <v>BRADESCO_SEGUROS</v>
      </c>
      <c r="E2031" t="str">
        <f>IFERROR(VLOOKUP(Tabela1[[#This Row],[CC]],CC!$A$1:$H$389,2,0),"")</f>
        <v>BRADESCO - SEGUROS (BPS) (1484)</v>
      </c>
      <c r="F2031" t="s">
        <v>586</v>
      </c>
      <c r="G2031" s="107">
        <v>5055</v>
      </c>
      <c r="H2031" s="12">
        <v>46082</v>
      </c>
      <c r="I2031" s="27">
        <v>6182.25</v>
      </c>
      <c r="J2031" s="24">
        <v>5802.05</v>
      </c>
      <c r="K2031" s="3">
        <v>46121</v>
      </c>
      <c r="L2031" s="91">
        <v>46132</v>
      </c>
      <c r="M2031" s="11">
        <v>46136</v>
      </c>
      <c r="N2031" s="1" t="s">
        <v>588</v>
      </c>
      <c r="O2031" s="34">
        <v>0</v>
      </c>
      <c r="P2031"/>
      <c r="Q2031" t="str">
        <f>IFERROR(VLOOKUP(Tabela1[[#This Row],[CC]],CC!$A$1:$H$389,5,0),"")</f>
        <v>BPS</v>
      </c>
      <c r="R2031" t="str">
        <f>IFERROR(VLOOKUP(Tabela1[[#This Row],[CC]],CC!$A$1:$H$389,6,0),"")</f>
        <v>FS</v>
      </c>
      <c r="S2031" t="str">
        <f>IFERROR(VLOOKUP(Tabela1[[#This Row],[CC]],CC!$A$1:$H$403,8,0),"")</f>
        <v>OP1</v>
      </c>
    </row>
    <row r="2032" spans="1:19" x14ac:dyDescent="0.3">
      <c r="A2032" s="25">
        <v>1484</v>
      </c>
      <c r="B2032" s="25" t="str">
        <f>IFERROR(VLOOKUP(Tabela1[[#This Row],[CC]],#REF!,5,0),"")</f>
        <v/>
      </c>
      <c r="C2032" t="str">
        <f>IFERROR(VLOOKUP(Tabela1[[#This Row],[CC]],CC!$A$1:$H$389,7,0),"")</f>
        <v>RITA ANDRADE</v>
      </c>
      <c r="D2032" t="str">
        <f>IFERROR(VLOOKUP(Tabela1[[#This Row],[CC]],CC!$A$1:$I$3869,3,0),"")</f>
        <v>BRADESCO_SEGUROS</v>
      </c>
      <c r="E2032" t="str">
        <f>IFERROR(VLOOKUP(Tabela1[[#This Row],[CC]],CC!$A$1:$H$389,2,0),"")</f>
        <v>BRADESCO - SEGUROS (BPS) (1484)</v>
      </c>
      <c r="F2032" t="s">
        <v>586</v>
      </c>
      <c r="G2032" s="107">
        <v>5056</v>
      </c>
      <c r="H2032" s="12">
        <v>46082</v>
      </c>
      <c r="I2032" s="27">
        <v>1545.57</v>
      </c>
      <c r="J2032" s="24">
        <v>1450.52</v>
      </c>
      <c r="K2032" s="3">
        <v>46121</v>
      </c>
      <c r="L2032" s="91">
        <v>46132</v>
      </c>
      <c r="M2032" s="11">
        <v>46136</v>
      </c>
      <c r="N2032" s="1" t="s">
        <v>588</v>
      </c>
      <c r="O2032" s="34">
        <v>0</v>
      </c>
      <c r="P2032"/>
      <c r="Q2032" t="str">
        <f>IFERROR(VLOOKUP(Tabela1[[#This Row],[CC]],CC!$A$1:$H$389,5,0),"")</f>
        <v>BPS</v>
      </c>
      <c r="R2032" t="str">
        <f>IFERROR(VLOOKUP(Tabela1[[#This Row],[CC]],CC!$A$1:$H$389,6,0),"")</f>
        <v>FS</v>
      </c>
      <c r="S2032" t="str">
        <f>IFERROR(VLOOKUP(Tabela1[[#This Row],[CC]],CC!$A$1:$H$403,8,0),"")</f>
        <v>OP1</v>
      </c>
    </row>
    <row r="2033" spans="1:19" x14ac:dyDescent="0.3">
      <c r="A2033" s="25">
        <v>1484</v>
      </c>
      <c r="B2033" s="25" t="str">
        <f>IFERROR(VLOOKUP(Tabela1[[#This Row],[CC]],#REF!,5,0),"")</f>
        <v/>
      </c>
      <c r="C2033" t="str">
        <f>IFERROR(VLOOKUP(Tabela1[[#This Row],[CC]],CC!$A$1:$H$389,7,0),"")</f>
        <v>RITA ANDRADE</v>
      </c>
      <c r="D2033" t="str">
        <f>IFERROR(VLOOKUP(Tabela1[[#This Row],[CC]],CC!$A$1:$I$3869,3,0),"")</f>
        <v>BRADESCO_SEGUROS</v>
      </c>
      <c r="E2033" t="str">
        <f>IFERROR(VLOOKUP(Tabela1[[#This Row],[CC]],CC!$A$1:$H$389,2,0),"")</f>
        <v>BRADESCO - SEGUROS (BPS) (1484)</v>
      </c>
      <c r="F2033" t="s">
        <v>586</v>
      </c>
      <c r="G2033" s="107">
        <v>5057</v>
      </c>
      <c r="H2033" s="12">
        <v>46082</v>
      </c>
      <c r="I2033" s="27">
        <v>1854.67</v>
      </c>
      <c r="J2033" s="24">
        <v>1740.61</v>
      </c>
      <c r="K2033" s="3">
        <v>46121</v>
      </c>
      <c r="L2033" s="91">
        <v>46132</v>
      </c>
      <c r="M2033" s="11">
        <v>46136</v>
      </c>
      <c r="N2033" s="1" t="s">
        <v>588</v>
      </c>
      <c r="O2033" s="34">
        <v>0</v>
      </c>
      <c r="P2033"/>
      <c r="Q2033" t="str">
        <f>IFERROR(VLOOKUP(Tabela1[[#This Row],[CC]],CC!$A$1:$H$389,5,0),"")</f>
        <v>BPS</v>
      </c>
      <c r="R2033" t="str">
        <f>IFERROR(VLOOKUP(Tabela1[[#This Row],[CC]],CC!$A$1:$H$389,6,0),"")</f>
        <v>FS</v>
      </c>
      <c r="S2033" t="str">
        <f>IFERROR(VLOOKUP(Tabela1[[#This Row],[CC]],CC!$A$1:$H$403,8,0),"")</f>
        <v>OP1</v>
      </c>
    </row>
    <row r="2034" spans="1:19" x14ac:dyDescent="0.3">
      <c r="A2034" s="25">
        <v>1484</v>
      </c>
      <c r="B2034" s="25" t="str">
        <f>IFERROR(VLOOKUP(Tabela1[[#This Row],[CC]],#REF!,5,0),"")</f>
        <v/>
      </c>
      <c r="C2034" t="str">
        <f>IFERROR(VLOOKUP(Tabela1[[#This Row],[CC]],CC!$A$1:$H$389,7,0),"")</f>
        <v>RITA ANDRADE</v>
      </c>
      <c r="D2034" t="str">
        <f>IFERROR(VLOOKUP(Tabela1[[#This Row],[CC]],CC!$A$1:$I$3869,3,0),"")</f>
        <v>BRADESCO_SEGUROS</v>
      </c>
      <c r="E2034" t="str">
        <f>IFERROR(VLOOKUP(Tabela1[[#This Row],[CC]],CC!$A$1:$H$389,2,0),"")</f>
        <v>BRADESCO - SEGUROS (BPS) (1484)</v>
      </c>
      <c r="F2034" t="s">
        <v>586</v>
      </c>
      <c r="G2034" s="107">
        <v>5058</v>
      </c>
      <c r="H2034" s="12">
        <v>46082</v>
      </c>
      <c r="I2034" s="27">
        <v>2782.01</v>
      </c>
      <c r="J2034" s="24">
        <v>2610.92</v>
      </c>
      <c r="K2034" s="3">
        <v>46121</v>
      </c>
      <c r="L2034" s="91">
        <v>46132</v>
      </c>
      <c r="M2034" s="11">
        <v>46136</v>
      </c>
      <c r="N2034" s="1" t="s">
        <v>588</v>
      </c>
      <c r="O2034" s="34">
        <v>0</v>
      </c>
      <c r="P2034"/>
      <c r="Q2034" t="str">
        <f>IFERROR(VLOOKUP(Tabela1[[#This Row],[CC]],CC!$A$1:$H$389,5,0),"")</f>
        <v>BPS</v>
      </c>
      <c r="R2034" t="str">
        <f>IFERROR(VLOOKUP(Tabela1[[#This Row],[CC]],CC!$A$1:$H$389,6,0),"")</f>
        <v>FS</v>
      </c>
      <c r="S2034" t="str">
        <f>IFERROR(VLOOKUP(Tabela1[[#This Row],[CC]],CC!$A$1:$H$403,8,0),"")</f>
        <v>OP1</v>
      </c>
    </row>
    <row r="2035" spans="1:19" x14ac:dyDescent="0.3">
      <c r="A2035" s="25">
        <v>1484</v>
      </c>
      <c r="B2035" s="25" t="str">
        <f>IFERROR(VLOOKUP(Tabela1[[#This Row],[CC]],#REF!,5,0),"")</f>
        <v/>
      </c>
      <c r="C2035" t="str">
        <f>IFERROR(VLOOKUP(Tabela1[[#This Row],[CC]],CC!$A$1:$H$389,7,0),"")</f>
        <v>RITA ANDRADE</v>
      </c>
      <c r="D2035" t="str">
        <f>IFERROR(VLOOKUP(Tabela1[[#This Row],[CC]],CC!$A$1:$I$3869,3,0),"")</f>
        <v>BRADESCO_SEGUROS</v>
      </c>
      <c r="E2035" t="str">
        <f>IFERROR(VLOOKUP(Tabela1[[#This Row],[CC]],CC!$A$1:$H$389,2,0),"")</f>
        <v>BRADESCO - SEGUROS (BPS) (1484)</v>
      </c>
      <c r="F2035" t="s">
        <v>586</v>
      </c>
      <c r="G2035" s="107"/>
      <c r="H2035" s="12">
        <v>46113</v>
      </c>
      <c r="I2035" s="24">
        <v>78000</v>
      </c>
      <c r="J2035" s="24"/>
      <c r="K2035" s="3">
        <v>46143</v>
      </c>
      <c r="L2035" s="91">
        <v>46195</v>
      </c>
      <c r="M2035" s="11"/>
      <c r="N2035" s="1" t="s">
        <v>572</v>
      </c>
      <c r="O2035" s="34">
        <v>0</v>
      </c>
      <c r="P2035"/>
      <c r="Q2035" t="str">
        <f>IFERROR(VLOOKUP(Tabela1[[#This Row],[CC]],CC!$A$1:$H$389,5,0),"")</f>
        <v>BPS</v>
      </c>
      <c r="R2035" t="str">
        <f>IFERROR(VLOOKUP(Tabela1[[#This Row],[CC]],CC!$A$1:$H$389,6,0),"")</f>
        <v>FS</v>
      </c>
      <c r="S2035" t="str">
        <f>IFERROR(VLOOKUP(Tabela1[[#This Row],[CC]],CC!$A$1:$H$403,8,0),"")</f>
        <v>OP1</v>
      </c>
    </row>
    <row r="2036" spans="1:19" x14ac:dyDescent="0.3">
      <c r="A2036" s="25">
        <v>1484</v>
      </c>
      <c r="B2036" s="25" t="str">
        <f>IFERROR(VLOOKUP(Tabela1[[#This Row],[CC]],#REF!,5,0),"")</f>
        <v/>
      </c>
      <c r="C2036" t="str">
        <f>IFERROR(VLOOKUP(Tabela1[[#This Row],[CC]],CC!$A$1:$H$389,7,0),"")</f>
        <v>RITA ANDRADE</v>
      </c>
      <c r="D2036" t="str">
        <f>IFERROR(VLOOKUP(Tabela1[[#This Row],[CC]],CC!$A$1:$I$3869,3,0),"")</f>
        <v>BRADESCO_SEGUROS</v>
      </c>
      <c r="E2036" t="str">
        <f>IFERROR(VLOOKUP(Tabela1[[#This Row],[CC]],CC!$A$1:$H$389,2,0),"")</f>
        <v>BRADESCO - SEGUROS (BPS) (1484)</v>
      </c>
      <c r="F2036" t="s">
        <v>586</v>
      </c>
      <c r="G2036" s="107"/>
      <c r="H2036" s="12">
        <v>46143</v>
      </c>
      <c r="I2036" s="24">
        <v>78000</v>
      </c>
      <c r="J2036" s="24"/>
      <c r="K2036" s="3">
        <v>46174</v>
      </c>
      <c r="L2036" s="91">
        <v>46195</v>
      </c>
      <c r="M2036" s="11"/>
      <c r="N2036" s="1" t="s">
        <v>572</v>
      </c>
      <c r="O2036" s="34">
        <v>0</v>
      </c>
      <c r="P2036"/>
      <c r="Q2036" t="str">
        <f>IFERROR(VLOOKUP(Tabela1[[#This Row],[CC]],CC!$A$1:$H$389,5,0),"")</f>
        <v>BPS</v>
      </c>
      <c r="R2036" t="str">
        <f>IFERROR(VLOOKUP(Tabela1[[#This Row],[CC]],CC!$A$1:$H$389,6,0),"")</f>
        <v>FS</v>
      </c>
      <c r="S2036" t="str">
        <f>IFERROR(VLOOKUP(Tabela1[[#This Row],[CC]],CC!$A$1:$H$403,8,0),"")</f>
        <v>OP1</v>
      </c>
    </row>
    <row r="2037" spans="1:19" x14ac:dyDescent="0.3">
      <c r="A2037" s="25">
        <v>1484</v>
      </c>
      <c r="B2037" s="25" t="str">
        <f>IFERROR(VLOOKUP(Tabela1[[#This Row],[CC]],#REF!,5,0),"")</f>
        <v/>
      </c>
      <c r="C2037" t="str">
        <f>IFERROR(VLOOKUP(Tabela1[[#This Row],[CC]],CC!$A$1:$H$389,7,0),"")</f>
        <v>RITA ANDRADE</v>
      </c>
      <c r="D2037" t="str">
        <f>IFERROR(VLOOKUP(Tabela1[[#This Row],[CC]],CC!$A$1:$I$3869,3,0),"")</f>
        <v>BRADESCO_SEGUROS</v>
      </c>
      <c r="E2037" t="str">
        <f>IFERROR(VLOOKUP(Tabela1[[#This Row],[CC]],CC!$A$1:$H$389,2,0),"")</f>
        <v>BRADESCO - SEGUROS (BPS) (1484)</v>
      </c>
      <c r="F2037" t="s">
        <v>586</v>
      </c>
      <c r="G2037" s="107">
        <v>4616</v>
      </c>
      <c r="H2037" s="12">
        <v>45992</v>
      </c>
      <c r="I2037" s="24">
        <v>36601.06</v>
      </c>
      <c r="J2037" s="24">
        <v>34350.089999999997</v>
      </c>
      <c r="K2037" s="3">
        <v>45994</v>
      </c>
      <c r="L2037" s="91">
        <v>46006</v>
      </c>
      <c r="M2037" s="11">
        <v>46009</v>
      </c>
      <c r="N2037" s="1" t="s">
        <v>588</v>
      </c>
      <c r="O2037" s="34">
        <v>0</v>
      </c>
      <c r="P2037"/>
      <c r="Q2037" t="str">
        <f>IFERROR(VLOOKUP(Tabela1[[#This Row],[CC]],CC!$A$1:$H$389,5,0),"")</f>
        <v>BPS</v>
      </c>
      <c r="R2037" t="str">
        <f>IFERROR(VLOOKUP(Tabela1[[#This Row],[CC]],CC!$A$1:$H$389,6,0),"")</f>
        <v>FS</v>
      </c>
      <c r="S2037" t="str">
        <f>IFERROR(VLOOKUP(Tabela1[[#This Row],[CC]],CC!$A$1:$H$403,8,0),"")</f>
        <v>OP1</v>
      </c>
    </row>
    <row r="2038" spans="1:19" x14ac:dyDescent="0.3">
      <c r="A2038" s="8">
        <v>1393</v>
      </c>
      <c r="B2038" s="8" t="str">
        <f>IFERROR(VLOOKUP(Tabela1[[#This Row],[CC]],#REF!,5,0),"")</f>
        <v/>
      </c>
      <c r="C2038" t="str">
        <f>IFERROR(VLOOKUP(Tabela1[[#This Row],[CC]],CC!$A$1:$H$389,7,0),"")</f>
        <v>ROGERIO GORDILHO</v>
      </c>
      <c r="D2038" t="str">
        <f>IFERROR(VLOOKUP(Tabela1[[#This Row],[CC]],CC!$A$1:$I$3869,3,0),"")</f>
        <v xml:space="preserve">DETRAN-BA </v>
      </c>
      <c r="E2038" t="str">
        <f>IFERROR(VLOOKUP(Tabela1[[#This Row],[CC]],CC!$A$1:$H$389,2,0),"")</f>
        <v>DETRAN - N3 (1393)</v>
      </c>
      <c r="F2038" t="s">
        <v>586</v>
      </c>
      <c r="G2038" s="107">
        <v>8608</v>
      </c>
      <c r="H2038" s="12">
        <v>45962</v>
      </c>
      <c r="I2038" s="24">
        <v>105889.13</v>
      </c>
      <c r="J2038" s="27">
        <v>94982.55</v>
      </c>
      <c r="K2038" s="3">
        <v>45975</v>
      </c>
      <c r="L2038" s="91">
        <v>46069</v>
      </c>
      <c r="M2038" s="5">
        <v>46071</v>
      </c>
      <c r="N2038" s="18" t="s">
        <v>588</v>
      </c>
      <c r="O2038" s="34"/>
      <c r="P2038" s="14"/>
      <c r="Q2038" t="str">
        <f>IFERROR(VLOOKUP(Tabela1[[#This Row],[CC]],CC!$A$1:$H$389,5,0),"")</f>
        <v>CSA</v>
      </c>
      <c r="R2038" t="str">
        <f>IFERROR(VLOOKUP(Tabela1[[#This Row],[CC]],CC!$A$1:$H$389,6,0),"")</f>
        <v>PS</v>
      </c>
      <c r="S2038" t="str">
        <f>IFERROR(VLOOKUP(Tabela1[[#This Row],[CC]],CC!$A$1:$H$403,8,0),"")</f>
        <v>OP4</v>
      </c>
    </row>
    <row r="2039" spans="1:19" x14ac:dyDescent="0.3">
      <c r="A2039" s="8">
        <v>1393</v>
      </c>
      <c r="B2039" s="8" t="str">
        <f>IFERROR(VLOOKUP(Tabela1[[#This Row],[CC]],#REF!,5,0),"")</f>
        <v/>
      </c>
      <c r="C2039" t="str">
        <f>IFERROR(VLOOKUP(Tabela1[[#This Row],[CC]],CC!$A$1:$H$389,7,0),"")</f>
        <v>ROGERIO GORDILHO</v>
      </c>
      <c r="D2039" t="str">
        <f>IFERROR(VLOOKUP(Tabela1[[#This Row],[CC]],CC!$A$1:$I$3869,3,0),"")</f>
        <v xml:space="preserve">DETRAN-BA </v>
      </c>
      <c r="E2039" t="str">
        <f>IFERROR(VLOOKUP(Tabela1[[#This Row],[CC]],CC!$A$1:$H$389,2,0),"")</f>
        <v>DETRAN - N3 (1393)</v>
      </c>
      <c r="F2039" t="s">
        <v>586</v>
      </c>
      <c r="G2039" s="107">
        <v>8656</v>
      </c>
      <c r="H2039" s="12">
        <v>45962</v>
      </c>
      <c r="I2039" s="24">
        <v>474621.36</v>
      </c>
      <c r="J2039" s="24">
        <v>425735.35</v>
      </c>
      <c r="K2039" s="3">
        <v>45995</v>
      </c>
      <c r="L2039" s="91">
        <v>46062</v>
      </c>
      <c r="M2039" s="5">
        <v>46066</v>
      </c>
      <c r="N2039" s="18" t="s">
        <v>588</v>
      </c>
      <c r="O2039" s="34"/>
      <c r="P2039" s="14"/>
      <c r="Q2039" t="str">
        <f>IFERROR(VLOOKUP(Tabela1[[#This Row],[CC]],CC!$A$1:$H$389,5,0),"")</f>
        <v>CSA</v>
      </c>
      <c r="R2039" t="str">
        <f>IFERROR(VLOOKUP(Tabela1[[#This Row],[CC]],CC!$A$1:$H$389,6,0),"")</f>
        <v>PS</v>
      </c>
      <c r="S2039" t="str">
        <f>IFERROR(VLOOKUP(Tabela1[[#This Row],[CC]],CC!$A$1:$H$403,8,0),"")</f>
        <v>OP4</v>
      </c>
    </row>
    <row r="2040" spans="1:19" x14ac:dyDescent="0.3">
      <c r="A2040" s="8">
        <v>1393</v>
      </c>
      <c r="B2040" s="8" t="str">
        <f>IFERROR(VLOOKUP(Tabela1[[#This Row],[CC]],#REF!,5,0),"")</f>
        <v/>
      </c>
      <c r="C2040" t="str">
        <f>IFERROR(VLOOKUP(Tabela1[[#This Row],[CC]],CC!$A$1:$H$389,7,0),"")</f>
        <v>ROGERIO GORDILHO</v>
      </c>
      <c r="D2040" t="str">
        <f>IFERROR(VLOOKUP(Tabela1[[#This Row],[CC]],CC!$A$1:$I$3869,3,0),"")</f>
        <v xml:space="preserve">DETRAN-BA </v>
      </c>
      <c r="E2040" t="str">
        <f>IFERROR(VLOOKUP(Tabela1[[#This Row],[CC]],CC!$A$1:$H$389,2,0),"")</f>
        <v>DETRAN - N3 (1393)</v>
      </c>
      <c r="F2040" t="s">
        <v>586</v>
      </c>
      <c r="G2040" s="107"/>
      <c r="H2040" s="12">
        <v>45962</v>
      </c>
      <c r="I2040" s="24">
        <f>52690.51-17505.53</f>
        <v>35184.980000000003</v>
      </c>
      <c r="J2040" s="24"/>
      <c r="K2040" s="3">
        <v>46082</v>
      </c>
      <c r="L2040" s="91"/>
      <c r="M2040" s="5"/>
      <c r="N2040" s="18" t="s">
        <v>572</v>
      </c>
      <c r="O2040" s="34"/>
      <c r="P2040" s="14"/>
      <c r="Q2040" t="str">
        <f>IFERROR(VLOOKUP(Tabela1[[#This Row],[CC]],CC!$A$1:$H$389,5,0),"")</f>
        <v>CSA</v>
      </c>
      <c r="R2040" t="str">
        <f>IFERROR(VLOOKUP(Tabela1[[#This Row],[CC]],CC!$A$1:$H$389,6,0),"")</f>
        <v>PS</v>
      </c>
      <c r="S2040" t="str">
        <f>IFERROR(VLOOKUP(Tabela1[[#This Row],[CC]],CC!$A$1:$H$403,8,0),"")</f>
        <v>OP4</v>
      </c>
    </row>
    <row r="2041" spans="1:19" x14ac:dyDescent="0.3">
      <c r="A2041" s="8">
        <v>1393</v>
      </c>
      <c r="B2041" s="8" t="str">
        <f>IFERROR(VLOOKUP(Tabela1[[#This Row],[CC]],#REF!,5,0),"")</f>
        <v/>
      </c>
      <c r="C2041" t="str">
        <f>IFERROR(VLOOKUP(Tabela1[[#This Row],[CC]],CC!$A$1:$H$389,7,0),"")</f>
        <v>ROGERIO GORDILHO</v>
      </c>
      <c r="D2041" t="str">
        <f>IFERROR(VLOOKUP(Tabela1[[#This Row],[CC]],CC!$A$1:$I$3869,3,0),"")</f>
        <v xml:space="preserve">DETRAN-BA </v>
      </c>
      <c r="E2041" t="str">
        <f>IFERROR(VLOOKUP(Tabela1[[#This Row],[CC]],CC!$A$1:$H$389,2,0),"")</f>
        <v>DETRAN - N3 (1393)</v>
      </c>
      <c r="F2041" t="s">
        <v>586</v>
      </c>
      <c r="G2041" s="107">
        <v>8708</v>
      </c>
      <c r="H2041" s="12">
        <v>45992</v>
      </c>
      <c r="I2041" s="118">
        <v>469166.46</v>
      </c>
      <c r="J2041" s="27">
        <v>420842.31</v>
      </c>
      <c r="K2041" s="3">
        <v>46031</v>
      </c>
      <c r="L2041" s="91">
        <v>46069</v>
      </c>
      <c r="M2041" s="5">
        <v>46071</v>
      </c>
      <c r="N2041" s="18" t="s">
        <v>588</v>
      </c>
      <c r="O2041" s="34"/>
      <c r="P2041" s="14"/>
      <c r="Q2041" t="str">
        <f>IFERROR(VLOOKUP(Tabela1[[#This Row],[CC]],CC!$A$1:$H$389,5,0),"")</f>
        <v>CSA</v>
      </c>
      <c r="R2041" t="str">
        <f>IFERROR(VLOOKUP(Tabela1[[#This Row],[CC]],CC!$A$1:$H$389,6,0),"")</f>
        <v>PS</v>
      </c>
      <c r="S2041" t="str">
        <f>IFERROR(VLOOKUP(Tabela1[[#This Row],[CC]],CC!$A$1:$H$403,8,0),"")</f>
        <v>OP4</v>
      </c>
    </row>
    <row r="2042" spans="1:19" x14ac:dyDescent="0.3">
      <c r="A2042" s="8">
        <v>1393</v>
      </c>
      <c r="B2042" s="8" t="str">
        <f>IFERROR(VLOOKUP(Tabela1[[#This Row],[CC]],#REF!,5,0),"")</f>
        <v/>
      </c>
      <c r="C2042" t="str">
        <f>IFERROR(VLOOKUP(Tabela1[[#This Row],[CC]],CC!$A$1:$H$389,7,0),"")</f>
        <v>ROGERIO GORDILHO</v>
      </c>
      <c r="D2042" t="str">
        <f>IFERROR(VLOOKUP(Tabela1[[#This Row],[CC]],CC!$A$1:$I$3869,3,0),"")</f>
        <v xml:space="preserve">DETRAN-BA </v>
      </c>
      <c r="E2042" t="str">
        <f>IFERROR(VLOOKUP(Tabela1[[#This Row],[CC]],CC!$A$1:$H$389,2,0),"")</f>
        <v>DETRAN - N3 (1393)</v>
      </c>
      <c r="F2042" t="s">
        <v>586</v>
      </c>
      <c r="G2042" s="107"/>
      <c r="H2042" s="12">
        <v>45992</v>
      </c>
      <c r="I2042" s="24">
        <v>58421</v>
      </c>
      <c r="J2042" s="24"/>
      <c r="K2042" s="3">
        <v>46082</v>
      </c>
      <c r="L2042" s="91"/>
      <c r="M2042" s="5"/>
      <c r="N2042" s="18" t="s">
        <v>572</v>
      </c>
      <c r="O2042" s="34"/>
      <c r="P2042" s="14"/>
      <c r="Q2042" t="str">
        <f>IFERROR(VLOOKUP(Tabela1[[#This Row],[CC]],CC!$A$1:$H$389,5,0),"")</f>
        <v>CSA</v>
      </c>
      <c r="R2042" t="str">
        <f>IFERROR(VLOOKUP(Tabela1[[#This Row],[CC]],CC!$A$1:$H$389,6,0),"")</f>
        <v>PS</v>
      </c>
      <c r="S2042" t="str">
        <f>IFERROR(VLOOKUP(Tabela1[[#This Row],[CC]],CC!$A$1:$H$403,8,0),"")</f>
        <v>OP4</v>
      </c>
    </row>
    <row r="2043" spans="1:19" x14ac:dyDescent="0.3">
      <c r="A2043" s="8">
        <v>1393</v>
      </c>
      <c r="B2043" s="8" t="str">
        <f>IFERROR(VLOOKUP(Tabela1[[#This Row],[CC]],#REF!,5,0),"")</f>
        <v/>
      </c>
      <c r="C2043" t="str">
        <f>IFERROR(VLOOKUP(Tabela1[[#This Row],[CC]],CC!$A$1:$H$389,7,0),"")</f>
        <v>ROGERIO GORDILHO</v>
      </c>
      <c r="D2043" t="str">
        <f>IFERROR(VLOOKUP(Tabela1[[#This Row],[CC]],CC!$A$1:$I$3869,3,0),"")</f>
        <v xml:space="preserve">DETRAN-BA </v>
      </c>
      <c r="E2043" t="str">
        <f>IFERROR(VLOOKUP(Tabela1[[#This Row],[CC]],CC!$A$1:$H$389,2,0),"")</f>
        <v>DETRAN - N3 (1393)</v>
      </c>
      <c r="F2043" t="s">
        <v>586</v>
      </c>
      <c r="G2043" s="107">
        <v>8810</v>
      </c>
      <c r="H2043" s="12">
        <v>46023</v>
      </c>
      <c r="I2043" s="27">
        <v>461590.21</v>
      </c>
      <c r="J2043" s="27">
        <v>414046.42</v>
      </c>
      <c r="K2043" s="3">
        <v>46093</v>
      </c>
      <c r="L2043" s="91">
        <v>46125</v>
      </c>
      <c r="M2043" s="5">
        <v>46128</v>
      </c>
      <c r="N2043" s="18" t="s">
        <v>588</v>
      </c>
      <c r="O2043" s="34"/>
      <c r="P2043" s="14"/>
      <c r="Q2043" t="str">
        <f>IFERROR(VLOOKUP(Tabela1[[#This Row],[CC]],CC!$A$1:$H$389,5,0),"")</f>
        <v>CSA</v>
      </c>
      <c r="R2043" t="str">
        <f>IFERROR(VLOOKUP(Tabela1[[#This Row],[CC]],CC!$A$1:$H$389,6,0),"")</f>
        <v>PS</v>
      </c>
      <c r="S2043" t="str">
        <f>IFERROR(VLOOKUP(Tabela1[[#This Row],[CC]],CC!$A$1:$H$403,8,0),"")</f>
        <v>OP4</v>
      </c>
    </row>
    <row r="2044" spans="1:19" x14ac:dyDescent="0.3">
      <c r="A2044" s="8">
        <v>1393</v>
      </c>
      <c r="B2044" s="8" t="str">
        <f>IFERROR(VLOOKUP(Tabela1[[#This Row],[CC]],#REF!,5,0),"")</f>
        <v/>
      </c>
      <c r="C2044" t="str">
        <f>IFERROR(VLOOKUP(Tabela1[[#This Row],[CC]],CC!$A$1:$H$389,7,0),"")</f>
        <v>ROGERIO GORDILHO</v>
      </c>
      <c r="D2044" t="str">
        <f>IFERROR(VLOOKUP(Tabela1[[#This Row],[CC]],CC!$A$1:$I$3869,3,0),"")</f>
        <v xml:space="preserve">DETRAN-BA </v>
      </c>
      <c r="E2044" t="str">
        <f>IFERROR(VLOOKUP(Tabela1[[#This Row],[CC]],CC!$A$1:$H$389,2,0),"")</f>
        <v>DETRAN - N3 (1393)</v>
      </c>
      <c r="F2044" t="s">
        <v>586</v>
      </c>
      <c r="G2044" s="107">
        <v>8809</v>
      </c>
      <c r="H2044" s="12">
        <v>46054</v>
      </c>
      <c r="I2044" s="27">
        <v>469056.15</v>
      </c>
      <c r="J2044" s="27">
        <v>420743.36</v>
      </c>
      <c r="K2044" s="3">
        <v>46093</v>
      </c>
      <c r="L2044" s="91">
        <v>46125</v>
      </c>
      <c r="M2044" s="5">
        <v>46128</v>
      </c>
      <c r="N2044" s="18" t="s">
        <v>588</v>
      </c>
      <c r="O2044" s="34"/>
      <c r="P2044" s="14"/>
      <c r="Q2044" t="str">
        <f>IFERROR(VLOOKUP(Tabela1[[#This Row],[CC]],CC!$A$1:$H$389,5,0),"")</f>
        <v>CSA</v>
      </c>
      <c r="R2044" t="str">
        <f>IFERROR(VLOOKUP(Tabela1[[#This Row],[CC]],CC!$A$1:$H$389,6,0),"")</f>
        <v>PS</v>
      </c>
      <c r="S2044" t="str">
        <f>IFERROR(VLOOKUP(Tabela1[[#This Row],[CC]],CC!$A$1:$H$403,8,0),"")</f>
        <v>OP4</v>
      </c>
    </row>
    <row r="2045" spans="1:19" x14ac:dyDescent="0.3">
      <c r="A2045" s="8">
        <v>1393</v>
      </c>
      <c r="B2045" s="8" t="str">
        <f>IFERROR(VLOOKUP(Tabela1[[#This Row],[CC]],#REF!,5,0),"")</f>
        <v/>
      </c>
      <c r="C2045" t="str">
        <f>IFERROR(VLOOKUP(Tabela1[[#This Row],[CC]],CC!$A$1:$H$389,7,0),"")</f>
        <v>ROGERIO GORDILHO</v>
      </c>
      <c r="D2045" t="str">
        <f>IFERROR(VLOOKUP(Tabela1[[#This Row],[CC]],CC!$A$1:$I$3869,3,0),"")</f>
        <v xml:space="preserve">DETRAN-BA </v>
      </c>
      <c r="E2045" t="str">
        <f>IFERROR(VLOOKUP(Tabela1[[#This Row],[CC]],CC!$A$1:$H$389,2,0),"")</f>
        <v>DETRAN - N3 (1393)</v>
      </c>
      <c r="F2045" t="s">
        <v>586</v>
      </c>
      <c r="G2045" s="107">
        <v>8953</v>
      </c>
      <c r="H2045" s="12">
        <v>46172</v>
      </c>
      <c r="I2045" s="24">
        <v>17505.53</v>
      </c>
      <c r="J2045" s="24">
        <v>15702.46</v>
      </c>
      <c r="K2045" s="3">
        <v>46163</v>
      </c>
      <c r="L2045" s="91">
        <v>46209</v>
      </c>
      <c r="M2045" s="5"/>
      <c r="N2045" s="18" t="s">
        <v>587</v>
      </c>
      <c r="O2045" s="34"/>
      <c r="P2045" s="14"/>
      <c r="Q2045" t="str">
        <f>IFERROR(VLOOKUP(Tabela1[[#This Row],[CC]],CC!$A$1:$H$389,5,0),"")</f>
        <v>CSA</v>
      </c>
      <c r="R2045" t="str">
        <f>IFERROR(VLOOKUP(Tabela1[[#This Row],[CC]],CC!$A$1:$H$389,6,0),"")</f>
        <v>PS</v>
      </c>
      <c r="S2045" t="str">
        <f>IFERROR(VLOOKUP(Tabela1[[#This Row],[CC]],CC!$A$1:$H$403,8,0),"")</f>
        <v>OP4</v>
      </c>
    </row>
    <row r="2046" spans="1:19" x14ac:dyDescent="0.3">
      <c r="A2046" s="25">
        <v>1290</v>
      </c>
      <c r="B2046" s="25" t="str">
        <f>IFERROR(VLOOKUP(Tabela1[[#This Row],[CC]],#REF!,5,0),"")</f>
        <v/>
      </c>
      <c r="C2046" t="str">
        <f>IFERROR(VLOOKUP(Tabela1[[#This Row],[CC]],CC!$A$1:$H$389,7,0),"")</f>
        <v>ROGERIO GORDILHO</v>
      </c>
      <c r="D2046" t="str">
        <f>IFERROR(VLOOKUP(Tabela1[[#This Row],[CC]],CC!$A$1:$I$3869,3,0),"")</f>
        <v>EMBASA</v>
      </c>
      <c r="E2046" t="str">
        <f>IFERROR(VLOOKUP(Tabela1[[#This Row],[CC]],CC!$A$1:$H$389,2,0),"")</f>
        <v>EMBASA - NOVO (1290)</v>
      </c>
      <c r="F2046" t="s">
        <v>586</v>
      </c>
      <c r="G2046" s="107">
        <v>8995</v>
      </c>
      <c r="H2046" s="12">
        <v>46143</v>
      </c>
      <c r="I2046" s="24">
        <v>55929.99</v>
      </c>
      <c r="J2046" s="24">
        <v>49414.161204875571</v>
      </c>
      <c r="K2046" s="3">
        <v>46178</v>
      </c>
      <c r="L2046" s="91">
        <v>46202</v>
      </c>
      <c r="M2046" s="11"/>
      <c r="N2046" s="21" t="s">
        <v>587</v>
      </c>
      <c r="O2046" s="34">
        <v>0</v>
      </c>
      <c r="P2046" s="26"/>
      <c r="Q2046" t="str">
        <f>IFERROR(VLOOKUP(Tabela1[[#This Row],[CC]],CC!$A$1:$H$389,5,0),"")</f>
        <v>CSA</v>
      </c>
      <c r="R2046" t="str">
        <f>IFERROR(VLOOKUP(Tabela1[[#This Row],[CC]],CC!$A$1:$H$389,6,0),"")</f>
        <v>UT</v>
      </c>
      <c r="S2046" t="str">
        <f>IFERROR(VLOOKUP(Tabela1[[#This Row],[CC]],CC!$A$1:$H$403,8,0),"")</f>
        <v>OP4</v>
      </c>
    </row>
    <row r="2047" spans="1:19" x14ac:dyDescent="0.3">
      <c r="A2047" s="25">
        <v>1490</v>
      </c>
      <c r="B2047" s="25" t="str">
        <f>IFERROR(VLOOKUP(Tabela1[[#This Row],[CC]],#REF!,5,0),"")</f>
        <v/>
      </c>
      <c r="C2047" t="str">
        <f>IFERROR(VLOOKUP(Tabela1[[#This Row],[CC]],CC!$A$1:$H$389,7,0),"")</f>
        <v>ROGERIO GORDILHO</v>
      </c>
      <c r="D2047" t="str">
        <f>IFERROR(VLOOKUP(Tabela1[[#This Row],[CC]],CC!$A$1:$I$3869,3,0),"")</f>
        <v>EMBASA</v>
      </c>
      <c r="E2047" t="str">
        <f>IFERROR(VLOOKUP(Tabela1[[#This Row],[CC]],CC!$A$1:$H$389,2,0),"")</f>
        <v>EMBASA - Sustentação ITSM (1490)</v>
      </c>
      <c r="F2047" t="s">
        <v>586</v>
      </c>
      <c r="G2047" s="107">
        <v>8849</v>
      </c>
      <c r="H2047" s="12">
        <v>46054</v>
      </c>
      <c r="I2047" s="27">
        <v>2761.23</v>
      </c>
      <c r="J2047" s="27">
        <v>2439.5500000000002</v>
      </c>
      <c r="K2047" s="3">
        <v>46122</v>
      </c>
      <c r="L2047" s="91">
        <v>46153</v>
      </c>
      <c r="M2047" s="11">
        <v>46153</v>
      </c>
      <c r="N2047" s="21" t="s">
        <v>588</v>
      </c>
      <c r="O2047" s="34">
        <v>0</v>
      </c>
      <c r="P2047" s="26"/>
      <c r="Q2047" t="str">
        <f>IFERROR(VLOOKUP(Tabela1[[#This Row],[CC]],CC!$A$1:$H$389,5,0),"")</f>
        <v>CSA</v>
      </c>
      <c r="R2047" t="str">
        <f>IFERROR(VLOOKUP(Tabela1[[#This Row],[CC]],CC!$A$1:$H$389,6,0),"")</f>
        <v>UT</v>
      </c>
      <c r="S2047" t="str">
        <f>IFERROR(VLOOKUP(Tabela1[[#This Row],[CC]],CC!$A$1:$H$403,8,0),"")</f>
        <v>OP4</v>
      </c>
    </row>
    <row r="2048" spans="1:19" x14ac:dyDescent="0.3">
      <c r="A2048" s="8">
        <v>1476</v>
      </c>
      <c r="B2048" s="8" t="str">
        <f>IFERROR(VLOOKUP(Tabela1[[#This Row],[CC]],#REF!,5,0),"")</f>
        <v/>
      </c>
      <c r="C2048" t="str">
        <f>IFERROR(VLOOKUP(Tabela1[[#This Row],[CC]],CC!$A$1:$H$389,7,0),"")</f>
        <v>ROGERIO GORDILHO</v>
      </c>
      <c r="D2048" t="str">
        <f>IFERROR(VLOOKUP(Tabela1[[#This Row],[CC]],CC!$A$1:$I$3869,3,0),"")</f>
        <v>DPE</v>
      </c>
      <c r="E2048" t="str">
        <f>IFERROR(VLOOKUP(Tabela1[[#This Row],[CC]],CC!$A$1:$H$389,2,0),"")</f>
        <v>DPE - BA Digital Center (1476)</v>
      </c>
      <c r="F2048" t="s">
        <v>586</v>
      </c>
      <c r="G2048" s="107">
        <v>8673</v>
      </c>
      <c r="H2048" s="12">
        <v>45962</v>
      </c>
      <c r="I2048" s="24">
        <v>344649.91</v>
      </c>
      <c r="J2048" s="24">
        <v>309150.96000000002</v>
      </c>
      <c r="K2048" s="3">
        <v>46002</v>
      </c>
      <c r="L2048" s="91">
        <v>46013</v>
      </c>
      <c r="M2048" s="11">
        <v>46015</v>
      </c>
      <c r="N2048" s="18" t="s">
        <v>588</v>
      </c>
      <c r="O2048" s="34"/>
      <c r="P2048" s="14"/>
      <c r="Q2048" t="str">
        <f>IFERROR(VLOOKUP(Tabela1[[#This Row],[CC]],CC!$A$1:$H$389,5,0),"")</f>
        <v>CSA</v>
      </c>
      <c r="R2048" t="str">
        <f>IFERROR(VLOOKUP(Tabela1[[#This Row],[CC]],CC!$A$1:$H$389,6,0),"")</f>
        <v>PS</v>
      </c>
      <c r="S2048" t="str">
        <f>IFERROR(VLOOKUP(Tabela1[[#This Row],[CC]],CC!$A$1:$H$403,8,0),"")</f>
        <v>OP4</v>
      </c>
    </row>
    <row r="2049" spans="1:19" x14ac:dyDescent="0.3">
      <c r="A2049" s="25">
        <v>1476</v>
      </c>
      <c r="B2049" s="25" t="str">
        <f>IFERROR(VLOOKUP(Tabela1[[#This Row],[CC]],#REF!,5,0),"")</f>
        <v/>
      </c>
      <c r="C2049" t="str">
        <f>IFERROR(VLOOKUP(Tabela1[[#This Row],[CC]],CC!$A$1:$H$389,7,0),"")</f>
        <v>ROGERIO GORDILHO</v>
      </c>
      <c r="D2049" t="str">
        <f>IFERROR(VLOOKUP(Tabela1[[#This Row],[CC]],CC!$A$1:$I$3869,3,0),"")</f>
        <v>DPE</v>
      </c>
      <c r="E2049" t="str">
        <f>IFERROR(VLOOKUP(Tabela1[[#This Row],[CC]],CC!$A$1:$H$389,2,0),"")</f>
        <v>DPE - BA Digital Center (1476)</v>
      </c>
      <c r="F2049" t="s">
        <v>586</v>
      </c>
      <c r="G2049" s="107">
        <v>8674</v>
      </c>
      <c r="H2049" s="12">
        <v>45931</v>
      </c>
      <c r="I2049" s="24">
        <v>302.88</v>
      </c>
      <c r="J2049" s="27">
        <v>271.68</v>
      </c>
      <c r="K2049" s="3">
        <v>46002</v>
      </c>
      <c r="L2049" s="91">
        <v>46020</v>
      </c>
      <c r="M2049" s="5">
        <v>46022</v>
      </c>
      <c r="N2049" s="21" t="s">
        <v>588</v>
      </c>
      <c r="O2049" s="34"/>
      <c r="P2049" s="26"/>
      <c r="Q2049" t="str">
        <f>IFERROR(VLOOKUP(Tabela1[[#This Row],[CC]],CC!$A$1:$H$389,5,0),"")</f>
        <v>CSA</v>
      </c>
      <c r="R2049" t="str">
        <f>IFERROR(VLOOKUP(Tabela1[[#This Row],[CC]],CC!$A$1:$H$389,6,0),"")</f>
        <v>PS</v>
      </c>
      <c r="S2049" t="str">
        <f>IFERROR(VLOOKUP(Tabela1[[#This Row],[CC]],CC!$A$1:$H$403,8,0),"")</f>
        <v>OP4</v>
      </c>
    </row>
    <row r="2050" spans="1:19" x14ac:dyDescent="0.3">
      <c r="A2050" s="8">
        <v>1476</v>
      </c>
      <c r="B2050" s="8" t="str">
        <f>IFERROR(VLOOKUP(Tabela1[[#This Row],[CC]],#REF!,5,0),"")</f>
        <v/>
      </c>
      <c r="C2050" t="str">
        <f>IFERROR(VLOOKUP(Tabela1[[#This Row],[CC]],CC!$A$1:$H$389,7,0),"")</f>
        <v>ROGERIO GORDILHO</v>
      </c>
      <c r="D2050" t="str">
        <f>IFERROR(VLOOKUP(Tabela1[[#This Row],[CC]],CC!$A$1:$I$3869,3,0),"")</f>
        <v>DPE</v>
      </c>
      <c r="E2050" t="str">
        <f>IFERROR(VLOOKUP(Tabela1[[#This Row],[CC]],CC!$A$1:$H$389,2,0),"")</f>
        <v>DPE - BA Digital Center (1476)</v>
      </c>
      <c r="F2050" t="s">
        <v>586</v>
      </c>
      <c r="G2050" s="107">
        <v>8678</v>
      </c>
      <c r="H2050" s="12">
        <v>45962</v>
      </c>
      <c r="I2050" s="24">
        <v>125770.15</v>
      </c>
      <c r="J2050" s="27">
        <v>112815.82</v>
      </c>
      <c r="K2050" s="3">
        <v>46002</v>
      </c>
      <c r="L2050" s="91">
        <v>46020</v>
      </c>
      <c r="M2050" s="5">
        <v>46022</v>
      </c>
      <c r="N2050" s="21" t="s">
        <v>588</v>
      </c>
      <c r="O2050" s="34"/>
      <c r="P2050" s="14"/>
      <c r="Q2050" t="str">
        <f>IFERROR(VLOOKUP(Tabela1[[#This Row],[CC]],CC!$A$1:$H$389,5,0),"")</f>
        <v>CSA</v>
      </c>
      <c r="R2050" t="str">
        <f>IFERROR(VLOOKUP(Tabela1[[#This Row],[CC]],CC!$A$1:$H$389,6,0),"")</f>
        <v>PS</v>
      </c>
      <c r="S2050" t="str">
        <f>IFERROR(VLOOKUP(Tabela1[[#This Row],[CC]],CC!$A$1:$H$403,8,0),"")</f>
        <v>OP4</v>
      </c>
    </row>
    <row r="2051" spans="1:19" x14ac:dyDescent="0.3">
      <c r="A2051" s="8">
        <v>1476</v>
      </c>
      <c r="B2051" s="8" t="str">
        <f>IFERROR(VLOOKUP(Tabela1[[#This Row],[CC]],#REF!,5,0),"")</f>
        <v/>
      </c>
      <c r="C2051" t="str">
        <f>IFERROR(VLOOKUP(Tabela1[[#This Row],[CC]],CC!$A$1:$H$389,7,0),"")</f>
        <v>ROGERIO GORDILHO</v>
      </c>
      <c r="D2051" t="str">
        <f>IFERROR(VLOOKUP(Tabela1[[#This Row],[CC]],CC!$A$1:$I$3869,3,0),"")</f>
        <v>DPE</v>
      </c>
      <c r="E2051" t="str">
        <f>IFERROR(VLOOKUP(Tabela1[[#This Row],[CC]],CC!$A$1:$H$389,2,0),"")</f>
        <v>DPE - BA Digital Center (1476)</v>
      </c>
      <c r="F2051" t="s">
        <v>586</v>
      </c>
      <c r="G2051" s="107">
        <v>8695</v>
      </c>
      <c r="H2051" s="12">
        <v>45962</v>
      </c>
      <c r="I2051" s="24">
        <v>1334.78</v>
      </c>
      <c r="J2051" s="24">
        <v>1197.29</v>
      </c>
      <c r="K2051" s="3">
        <v>46008</v>
      </c>
      <c r="L2051" s="91">
        <v>46055</v>
      </c>
      <c r="M2051" s="5">
        <v>46057</v>
      </c>
      <c r="N2051" s="21" t="s">
        <v>588</v>
      </c>
      <c r="O2051" s="34"/>
      <c r="P2051" s="14"/>
      <c r="Q2051" t="str">
        <f>IFERROR(VLOOKUP(Tabela1[[#This Row],[CC]],CC!$A$1:$H$389,5,0),"")</f>
        <v>CSA</v>
      </c>
      <c r="R2051" t="str">
        <f>IFERROR(VLOOKUP(Tabela1[[#This Row],[CC]],CC!$A$1:$H$389,6,0),"")</f>
        <v>PS</v>
      </c>
      <c r="S2051" t="str">
        <f>IFERROR(VLOOKUP(Tabela1[[#This Row],[CC]],CC!$A$1:$H$403,8,0),"")</f>
        <v>OP4</v>
      </c>
    </row>
    <row r="2052" spans="1:19" x14ac:dyDescent="0.3">
      <c r="A2052" s="8">
        <v>1476</v>
      </c>
      <c r="B2052" s="8" t="str">
        <f>IFERROR(VLOOKUP(Tabela1[[#This Row],[CC]],#REF!,5,0),"")</f>
        <v/>
      </c>
      <c r="C2052" t="str">
        <f>IFERROR(VLOOKUP(Tabela1[[#This Row],[CC]],CC!$A$1:$H$389,7,0),"")</f>
        <v>ROGERIO GORDILHO</v>
      </c>
      <c r="D2052" t="str">
        <f>IFERROR(VLOOKUP(Tabela1[[#This Row],[CC]],CC!$A$1:$I$3869,3,0),"")</f>
        <v>DPE</v>
      </c>
      <c r="E2052" t="str">
        <f>IFERROR(VLOOKUP(Tabela1[[#This Row],[CC]],CC!$A$1:$H$389,2,0),"")</f>
        <v>DPE - BA Digital Center (1476)</v>
      </c>
      <c r="F2052" t="s">
        <v>586</v>
      </c>
      <c r="G2052" s="107">
        <v>8707</v>
      </c>
      <c r="H2052" s="12">
        <v>45992</v>
      </c>
      <c r="I2052" s="27">
        <v>344649.91</v>
      </c>
      <c r="J2052" s="27">
        <v>309150.96000000002</v>
      </c>
      <c r="K2052" s="3">
        <v>46031</v>
      </c>
      <c r="L2052" s="91">
        <v>46055</v>
      </c>
      <c r="M2052" s="5">
        <v>46057</v>
      </c>
      <c r="N2052" s="21" t="s">
        <v>588</v>
      </c>
      <c r="O2052" s="34"/>
      <c r="P2052" s="14"/>
      <c r="Q2052" t="str">
        <f>IFERROR(VLOOKUP(Tabela1[[#This Row],[CC]],CC!$A$1:$H$389,5,0),"")</f>
        <v>CSA</v>
      </c>
      <c r="R2052" t="str">
        <f>IFERROR(VLOOKUP(Tabela1[[#This Row],[CC]],CC!$A$1:$H$389,6,0),"")</f>
        <v>PS</v>
      </c>
      <c r="S2052" t="str">
        <f>IFERROR(VLOOKUP(Tabela1[[#This Row],[CC]],CC!$A$1:$H$403,8,0),"")</f>
        <v>OP4</v>
      </c>
    </row>
    <row r="2053" spans="1:19" x14ac:dyDescent="0.3">
      <c r="A2053" s="8">
        <v>1476</v>
      </c>
      <c r="B2053" s="8" t="str">
        <f>IFERROR(VLOOKUP(Tabela1[[#This Row],[CC]],#REF!,5,0),"")</f>
        <v/>
      </c>
      <c r="C2053" t="str">
        <f>IFERROR(VLOOKUP(Tabela1[[#This Row],[CC]],CC!$A$1:$H$389,7,0),"")</f>
        <v>ROGERIO GORDILHO</v>
      </c>
      <c r="D2053" t="str">
        <f>IFERROR(VLOOKUP(Tabela1[[#This Row],[CC]],CC!$A$1:$I$3869,3,0),"")</f>
        <v>DPE</v>
      </c>
      <c r="E2053" t="str">
        <f>IFERROR(VLOOKUP(Tabela1[[#This Row],[CC]],CC!$A$1:$H$389,2,0),"")</f>
        <v>DPE - BA Digital Center (1476)</v>
      </c>
      <c r="F2053" t="s">
        <v>586</v>
      </c>
      <c r="G2053" s="107">
        <v>8776</v>
      </c>
      <c r="H2053" s="12">
        <v>45992</v>
      </c>
      <c r="I2053" s="27">
        <v>2205.98</v>
      </c>
      <c r="J2053" s="27">
        <v>1978.76</v>
      </c>
      <c r="K2053" s="3">
        <v>46083</v>
      </c>
      <c r="L2053" s="91">
        <v>46083</v>
      </c>
      <c r="M2053" s="5">
        <v>46087</v>
      </c>
      <c r="N2053" s="21" t="s">
        <v>588</v>
      </c>
      <c r="O2053" s="34"/>
      <c r="P2053" s="14"/>
      <c r="Q2053" t="str">
        <f>IFERROR(VLOOKUP(Tabela1[[#This Row],[CC]],CC!$A$1:$H$389,5,0),"")</f>
        <v>CSA</v>
      </c>
      <c r="R2053" t="str">
        <f>IFERROR(VLOOKUP(Tabela1[[#This Row],[CC]],CC!$A$1:$H$389,6,0),"")</f>
        <v>PS</v>
      </c>
      <c r="S2053" t="str">
        <f>IFERROR(VLOOKUP(Tabela1[[#This Row],[CC]],CC!$A$1:$H$403,8,0),"")</f>
        <v>OP4</v>
      </c>
    </row>
    <row r="2054" spans="1:19" x14ac:dyDescent="0.3">
      <c r="A2054" s="8">
        <v>1476</v>
      </c>
      <c r="B2054" s="8" t="str">
        <f>IFERROR(VLOOKUP(Tabela1[[#This Row],[CC]],#REF!,5,0),"")</f>
        <v/>
      </c>
      <c r="C2054" t="str">
        <f>IFERROR(VLOOKUP(Tabela1[[#This Row],[CC]],CC!$A$1:$H$389,7,0),"")</f>
        <v>ROGERIO GORDILHO</v>
      </c>
      <c r="D2054" t="str">
        <f>IFERROR(VLOOKUP(Tabela1[[#This Row],[CC]],CC!$A$1:$I$3869,3,0),"")</f>
        <v>DPE</v>
      </c>
      <c r="E2054" t="str">
        <f>IFERROR(VLOOKUP(Tabela1[[#This Row],[CC]],CC!$A$1:$H$389,2,0),"")</f>
        <v>DPE - BA Digital Center (1476)</v>
      </c>
      <c r="F2054" t="s">
        <v>586</v>
      </c>
      <c r="G2054" s="107">
        <v>8775</v>
      </c>
      <c r="H2054" s="12">
        <v>46023</v>
      </c>
      <c r="I2054" s="27">
        <v>173.46</v>
      </c>
      <c r="J2054" s="27">
        <v>155.59</v>
      </c>
      <c r="K2054" s="3">
        <v>46083</v>
      </c>
      <c r="L2054" s="91">
        <v>46090</v>
      </c>
      <c r="M2054" s="5">
        <v>46090</v>
      </c>
      <c r="N2054" s="21" t="s">
        <v>588</v>
      </c>
      <c r="O2054" s="34"/>
      <c r="P2054" s="14"/>
      <c r="Q2054" t="str">
        <f>IFERROR(VLOOKUP(Tabela1[[#This Row],[CC]],CC!$A$1:$H$389,5,0),"")</f>
        <v>CSA</v>
      </c>
      <c r="R2054" t="str">
        <f>IFERROR(VLOOKUP(Tabela1[[#This Row],[CC]],CC!$A$1:$H$389,6,0),"")</f>
        <v>PS</v>
      </c>
      <c r="S2054" t="str">
        <f>IFERROR(VLOOKUP(Tabela1[[#This Row],[CC]],CC!$A$1:$H$403,8,0),"")</f>
        <v>OP4</v>
      </c>
    </row>
    <row r="2055" spans="1:19" x14ac:dyDescent="0.3">
      <c r="A2055" s="8">
        <v>1476</v>
      </c>
      <c r="B2055" s="8" t="str">
        <f>IFERROR(VLOOKUP(Tabela1[[#This Row],[CC]],#REF!,5,0),"")</f>
        <v/>
      </c>
      <c r="C2055" t="str">
        <f>IFERROR(VLOOKUP(Tabela1[[#This Row],[CC]],CC!$A$1:$H$389,7,0),"")</f>
        <v>ROGERIO GORDILHO</v>
      </c>
      <c r="D2055" t="str">
        <f>IFERROR(VLOOKUP(Tabela1[[#This Row],[CC]],CC!$A$1:$I$3869,3,0),"")</f>
        <v>DPE</v>
      </c>
      <c r="E2055" t="str">
        <f>IFERROR(VLOOKUP(Tabela1[[#This Row],[CC]],CC!$A$1:$H$389,2,0),"")</f>
        <v>DPE - BA Digital Center (1476)</v>
      </c>
      <c r="F2055" t="s">
        <v>586</v>
      </c>
      <c r="G2055" s="107">
        <v>8794</v>
      </c>
      <c r="H2055" s="12">
        <v>46054</v>
      </c>
      <c r="I2055" s="27">
        <v>137.47</v>
      </c>
      <c r="J2055" s="27">
        <v>123.31</v>
      </c>
      <c r="K2055" s="3">
        <v>46087</v>
      </c>
      <c r="L2055" s="91">
        <v>46113</v>
      </c>
      <c r="M2055" s="5">
        <v>46114</v>
      </c>
      <c r="N2055" s="21" t="s">
        <v>588</v>
      </c>
      <c r="O2055" s="34"/>
      <c r="P2055" s="14"/>
      <c r="Q2055" t="str">
        <f>IFERROR(VLOOKUP(Tabela1[[#This Row],[CC]],CC!$A$1:$H$389,5,0),"")</f>
        <v>CSA</v>
      </c>
      <c r="R2055" t="str">
        <f>IFERROR(VLOOKUP(Tabela1[[#This Row],[CC]],CC!$A$1:$H$389,6,0),"")</f>
        <v>PS</v>
      </c>
      <c r="S2055" t="str">
        <f>IFERROR(VLOOKUP(Tabela1[[#This Row],[CC]],CC!$A$1:$H$403,8,0),"")</f>
        <v>OP4</v>
      </c>
    </row>
    <row r="2056" spans="1:19" x14ac:dyDescent="0.3">
      <c r="A2056" s="8">
        <v>1476</v>
      </c>
      <c r="B2056" s="8" t="str">
        <f>IFERROR(VLOOKUP(Tabela1[[#This Row],[CC]],#REF!,5,0),"")</f>
        <v/>
      </c>
      <c r="C2056" t="str">
        <f>IFERROR(VLOOKUP(Tabela1[[#This Row],[CC]],CC!$A$1:$H$389,7,0),"")</f>
        <v>ROGERIO GORDILHO</v>
      </c>
      <c r="D2056" t="str">
        <f>IFERROR(VLOOKUP(Tabela1[[#This Row],[CC]],CC!$A$1:$I$3869,3,0),"")</f>
        <v>DPE</v>
      </c>
      <c r="E2056" t="str">
        <f>IFERROR(VLOOKUP(Tabela1[[#This Row],[CC]],CC!$A$1:$H$389,2,0),"")</f>
        <v>DPE - BA Digital Center (1476)</v>
      </c>
      <c r="F2056" t="s">
        <v>586</v>
      </c>
      <c r="G2056" s="107"/>
      <c r="H2056" s="12">
        <v>45992</v>
      </c>
      <c r="I2056" s="24">
        <v>43015</v>
      </c>
      <c r="J2056" s="24"/>
      <c r="K2056" s="3">
        <v>46082</v>
      </c>
      <c r="L2056" s="91"/>
      <c r="M2056" s="5"/>
      <c r="N2056" s="21" t="s">
        <v>572</v>
      </c>
      <c r="O2056" s="34"/>
      <c r="P2056" s="14"/>
      <c r="Q2056" t="str">
        <f>IFERROR(VLOOKUP(Tabela1[[#This Row],[CC]],CC!$A$1:$H$389,5,0),"")</f>
        <v>CSA</v>
      </c>
      <c r="R2056" t="str">
        <f>IFERROR(VLOOKUP(Tabela1[[#This Row],[CC]],CC!$A$1:$H$389,6,0),"")</f>
        <v>PS</v>
      </c>
      <c r="S2056" t="str">
        <f>IFERROR(VLOOKUP(Tabela1[[#This Row],[CC]],CC!$A$1:$H$403,8,0),"")</f>
        <v>OP4</v>
      </c>
    </row>
    <row r="2057" spans="1:19" x14ac:dyDescent="0.3">
      <c r="A2057" s="8">
        <v>1476</v>
      </c>
      <c r="B2057" s="8" t="str">
        <f>IFERROR(VLOOKUP(Tabela1[[#This Row],[CC]],#REF!,5,0),"")</f>
        <v/>
      </c>
      <c r="C2057" t="str">
        <f>IFERROR(VLOOKUP(Tabela1[[#This Row],[CC]],CC!$A$1:$H$389,7,0),"")</f>
        <v>ROGERIO GORDILHO</v>
      </c>
      <c r="D2057" t="str">
        <f>IFERROR(VLOOKUP(Tabela1[[#This Row],[CC]],CC!$A$1:$I$3869,3,0),"")</f>
        <v>DPE</v>
      </c>
      <c r="E2057" t="str">
        <f>IFERROR(VLOOKUP(Tabela1[[#This Row],[CC]],CC!$A$1:$H$389,2,0),"")</f>
        <v>DPE - BA Digital Center (1476)</v>
      </c>
      <c r="F2057" t="s">
        <v>586</v>
      </c>
      <c r="G2057" s="107">
        <v>8774</v>
      </c>
      <c r="H2057" s="12">
        <v>46023</v>
      </c>
      <c r="I2057" s="27">
        <v>369184.69</v>
      </c>
      <c r="J2057" s="27">
        <v>331158.67</v>
      </c>
      <c r="K2057" s="3">
        <v>46083</v>
      </c>
      <c r="L2057" s="91">
        <v>46090</v>
      </c>
      <c r="M2057" s="5">
        <v>46090</v>
      </c>
      <c r="N2057" s="21" t="s">
        <v>588</v>
      </c>
      <c r="O2057" s="34"/>
      <c r="P2057" s="14"/>
      <c r="Q2057" t="str">
        <f>IFERROR(VLOOKUP(Tabela1[[#This Row],[CC]],CC!$A$1:$H$389,5,0),"")</f>
        <v>CSA</v>
      </c>
      <c r="R2057" t="str">
        <f>IFERROR(VLOOKUP(Tabela1[[#This Row],[CC]],CC!$A$1:$H$389,6,0),"")</f>
        <v>PS</v>
      </c>
      <c r="S2057" t="str">
        <f>IFERROR(VLOOKUP(Tabela1[[#This Row],[CC]],CC!$A$1:$H$403,8,0),"")</f>
        <v>OP4</v>
      </c>
    </row>
    <row r="2058" spans="1:19" x14ac:dyDescent="0.3">
      <c r="A2058" s="8">
        <v>1476</v>
      </c>
      <c r="B2058" s="8" t="str">
        <f>IFERROR(VLOOKUP(Tabela1[[#This Row],[CC]],#REF!,5,0),"")</f>
        <v/>
      </c>
      <c r="C2058" t="str">
        <f>IFERROR(VLOOKUP(Tabela1[[#This Row],[CC]],CC!$A$1:$H$389,7,0),"")</f>
        <v>ROGERIO GORDILHO</v>
      </c>
      <c r="D2058" t="str">
        <f>IFERROR(VLOOKUP(Tabela1[[#This Row],[CC]],CC!$A$1:$I$3869,3,0),"")</f>
        <v>DPE</v>
      </c>
      <c r="E2058" t="str">
        <f>IFERROR(VLOOKUP(Tabela1[[#This Row],[CC]],CC!$A$1:$H$389,2,0),"")</f>
        <v>DPE - BA Digital Center (1476)</v>
      </c>
      <c r="F2058" t="s">
        <v>586</v>
      </c>
      <c r="G2058" s="107">
        <v>8802</v>
      </c>
      <c r="H2058" s="12">
        <v>46054</v>
      </c>
      <c r="I2058" s="27">
        <v>369184.69</v>
      </c>
      <c r="J2058" s="27">
        <v>331158.67</v>
      </c>
      <c r="K2058" s="3">
        <v>46092</v>
      </c>
      <c r="L2058" s="91">
        <v>46104</v>
      </c>
      <c r="M2058" s="5">
        <v>46107</v>
      </c>
      <c r="N2058" s="21" t="s">
        <v>588</v>
      </c>
      <c r="O2058" s="34"/>
      <c r="P2058" s="14"/>
      <c r="Q2058" t="str">
        <f>IFERROR(VLOOKUP(Tabela1[[#This Row],[CC]],CC!$A$1:$H$389,5,0),"")</f>
        <v>CSA</v>
      </c>
      <c r="R2058" t="str">
        <f>IFERROR(VLOOKUP(Tabela1[[#This Row],[CC]],CC!$A$1:$H$389,6,0),"")</f>
        <v>PS</v>
      </c>
      <c r="S2058" t="str">
        <f>IFERROR(VLOOKUP(Tabela1[[#This Row],[CC]],CC!$A$1:$H$403,8,0),"")</f>
        <v>OP4</v>
      </c>
    </row>
    <row r="2059" spans="1:19" x14ac:dyDescent="0.3">
      <c r="A2059" s="8">
        <v>1476</v>
      </c>
      <c r="B2059" s="8" t="str">
        <f>IFERROR(VLOOKUP(Tabela1[[#This Row],[CC]],#REF!,5,0),"")</f>
        <v/>
      </c>
      <c r="C2059" t="str">
        <f>IFERROR(VLOOKUP(Tabela1[[#This Row],[CC]],CC!$A$1:$H$389,7,0),"")</f>
        <v>ROGERIO GORDILHO</v>
      </c>
      <c r="D2059" t="str">
        <f>IFERROR(VLOOKUP(Tabela1[[#This Row],[CC]],CC!$A$1:$I$3869,3,0),"")</f>
        <v>DPE</v>
      </c>
      <c r="E2059" t="str">
        <f>IFERROR(VLOOKUP(Tabela1[[#This Row],[CC]],CC!$A$1:$H$389,2,0),"")</f>
        <v>DPE - BA Digital Center (1476)</v>
      </c>
      <c r="F2059" t="s">
        <v>586</v>
      </c>
      <c r="G2059" s="107">
        <v>8856</v>
      </c>
      <c r="H2059" s="12">
        <v>46082</v>
      </c>
      <c r="I2059" s="27">
        <v>369184.69</v>
      </c>
      <c r="J2059" s="27">
        <v>331158.67</v>
      </c>
      <c r="K2059" s="3">
        <v>46125</v>
      </c>
      <c r="L2059" s="91">
        <v>46139</v>
      </c>
      <c r="M2059" s="5">
        <v>46141</v>
      </c>
      <c r="N2059" s="21" t="s">
        <v>588</v>
      </c>
      <c r="O2059" s="34"/>
      <c r="P2059" s="14"/>
      <c r="Q2059" t="str">
        <f>IFERROR(VLOOKUP(Tabela1[[#This Row],[CC]],CC!$A$1:$H$389,5,0),"")</f>
        <v>CSA</v>
      </c>
      <c r="R2059" t="str">
        <f>IFERROR(VLOOKUP(Tabela1[[#This Row],[CC]],CC!$A$1:$H$389,6,0),"")</f>
        <v>PS</v>
      </c>
      <c r="S2059" t="str">
        <f>IFERROR(VLOOKUP(Tabela1[[#This Row],[CC]],CC!$A$1:$H$403,8,0),"")</f>
        <v>OP4</v>
      </c>
    </row>
    <row r="2060" spans="1:19" x14ac:dyDescent="0.3">
      <c r="A2060" s="8">
        <v>1394</v>
      </c>
      <c r="B2060" s="8" t="str">
        <f>IFERROR(VLOOKUP(Tabela1[[#This Row],[CC]],#REF!,5,0),"")</f>
        <v/>
      </c>
      <c r="C2060" t="str">
        <f>IFERROR(VLOOKUP(Tabela1[[#This Row],[CC]],CC!$A$1:$H$389,7,0),"")</f>
        <v>ANTONIO ALVES</v>
      </c>
      <c r="D2060" t="str">
        <f>IFERROR(VLOOKUP(Tabela1[[#This Row],[CC]],CC!$A$1:$I$3869,3,0),"")</f>
        <v>SEFAZ_BA</v>
      </c>
      <c r="E2060" t="str">
        <f>IFERROR(VLOOKUP(Tabela1[[#This Row],[CC]],CC!$A$1:$H$389,2,0),"")</f>
        <v>SEFAZ - BA DIGITAL CENTER (1394)</v>
      </c>
      <c r="F2060" t="s">
        <v>586</v>
      </c>
      <c r="G2060" s="107">
        <v>8949</v>
      </c>
      <c r="H2060" s="12">
        <v>46113</v>
      </c>
      <c r="I2060" s="24">
        <v>30325.235756527167</v>
      </c>
      <c r="J2060" s="24">
        <v>28263.119999999999</v>
      </c>
      <c r="K2060" s="3">
        <v>46161</v>
      </c>
      <c r="L2060" s="91">
        <v>46167</v>
      </c>
      <c r="M2060" s="5">
        <v>46171</v>
      </c>
      <c r="N2060" s="21" t="s">
        <v>588</v>
      </c>
      <c r="O2060" s="54"/>
      <c r="P2060" s="14"/>
      <c r="Q2060" t="str">
        <f>IFERROR(VLOOKUP(Tabela1[[#This Row],[CC]],CC!$A$1:$H$389,5,0),"")</f>
        <v>CSA</v>
      </c>
      <c r="R2060" t="str">
        <f>IFERROR(VLOOKUP(Tabela1[[#This Row],[CC]],CC!$A$1:$H$389,6,0),"")</f>
        <v>PS</v>
      </c>
      <c r="S2060" t="str">
        <f>IFERROR(VLOOKUP(Tabela1[[#This Row],[CC]],CC!$A$1:$H$403,8,0),"")</f>
        <v>OP4</v>
      </c>
    </row>
    <row r="2061" spans="1:19" x14ac:dyDescent="0.3">
      <c r="A2061" s="25">
        <v>1490</v>
      </c>
      <c r="B2061" s="25" t="str">
        <f>IFERROR(VLOOKUP(Tabela1[[#This Row],[CC]],#REF!,5,0),"")</f>
        <v/>
      </c>
      <c r="C2061" t="str">
        <f>IFERROR(VLOOKUP(Tabela1[[#This Row],[CC]],CC!$A$1:$H$389,7,0),"")</f>
        <v>ROGERIO GORDILHO</v>
      </c>
      <c r="D2061" t="str">
        <f>IFERROR(VLOOKUP(Tabela1[[#This Row],[CC]],CC!$A$1:$I$3869,3,0),"")</f>
        <v>EMBASA</v>
      </c>
      <c r="E2061" t="str">
        <f>IFERROR(VLOOKUP(Tabela1[[#This Row],[CC]],CC!$A$1:$H$389,2,0),"")</f>
        <v>EMBASA - Sustentação ITSM (1490)</v>
      </c>
      <c r="F2061" t="s">
        <v>586</v>
      </c>
      <c r="G2061" s="107">
        <v>8993</v>
      </c>
      <c r="H2061" s="12">
        <v>46143</v>
      </c>
      <c r="I2061" s="24">
        <v>2396.09</v>
      </c>
      <c r="J2061" s="24">
        <v>2116.96</v>
      </c>
      <c r="K2061" s="3">
        <v>46175</v>
      </c>
      <c r="L2061" s="91">
        <v>46209</v>
      </c>
      <c r="M2061" s="11"/>
      <c r="N2061" s="21" t="s">
        <v>587</v>
      </c>
      <c r="O2061" s="34">
        <v>0</v>
      </c>
      <c r="P2061" s="26"/>
      <c r="Q2061" t="str">
        <f>IFERROR(VLOOKUP(Tabela1[[#This Row],[CC]],CC!$A$1:$H$389,5,0),"")</f>
        <v>CSA</v>
      </c>
      <c r="R2061" t="str">
        <f>IFERROR(VLOOKUP(Tabela1[[#This Row],[CC]],CC!$A$1:$H$389,6,0),"")</f>
        <v>UT</v>
      </c>
      <c r="S2061" t="str">
        <f>IFERROR(VLOOKUP(Tabela1[[#This Row],[CC]],CC!$A$1:$H$403,8,0),"")</f>
        <v>OP4</v>
      </c>
    </row>
    <row r="2062" spans="1:19" x14ac:dyDescent="0.3">
      <c r="A2062" s="25">
        <v>1490</v>
      </c>
      <c r="B2062" s="25" t="str">
        <f>IFERROR(VLOOKUP(Tabela1[[#This Row],[CC]],#REF!,5,0),"")</f>
        <v/>
      </c>
      <c r="C2062" t="str">
        <f>IFERROR(VLOOKUP(Tabela1[[#This Row],[CC]],CC!$A$1:$H$389,7,0),"")</f>
        <v>ROGERIO GORDILHO</v>
      </c>
      <c r="D2062" t="str">
        <f>IFERROR(VLOOKUP(Tabela1[[#This Row],[CC]],CC!$A$1:$I$3869,3,0),"")</f>
        <v>EMBASA</v>
      </c>
      <c r="E2062" t="str">
        <f>IFERROR(VLOOKUP(Tabela1[[#This Row],[CC]],CC!$A$1:$H$389,2,0),"")</f>
        <v>EMBASA - Sustentação ITSM (1490)</v>
      </c>
      <c r="F2062" t="s">
        <v>586</v>
      </c>
      <c r="G2062" s="107"/>
      <c r="H2062" s="12">
        <v>46174</v>
      </c>
      <c r="I2062" s="24">
        <v>2396</v>
      </c>
      <c r="J2062" s="24">
        <v>2050.4499999999998</v>
      </c>
      <c r="K2062" s="3">
        <v>46143</v>
      </c>
      <c r="L2062" s="91">
        <v>46209</v>
      </c>
      <c r="M2062" s="11"/>
      <c r="N2062" s="21" t="s">
        <v>572</v>
      </c>
      <c r="O2062" s="34">
        <v>0</v>
      </c>
      <c r="P2062" s="26"/>
      <c r="Q2062" t="str">
        <f>IFERROR(VLOOKUP(Tabela1[[#This Row],[CC]],CC!$A$1:$H$389,5,0),"")</f>
        <v>CSA</v>
      </c>
      <c r="R2062" t="str">
        <f>IFERROR(VLOOKUP(Tabela1[[#This Row],[CC]],CC!$A$1:$H$389,6,0),"")</f>
        <v>UT</v>
      </c>
      <c r="S2062" t="str">
        <f>IFERROR(VLOOKUP(Tabela1[[#This Row],[CC]],CC!$A$1:$H$403,8,0),"")</f>
        <v>OP4</v>
      </c>
    </row>
    <row r="2063" spans="1:19" x14ac:dyDescent="0.3">
      <c r="A2063" s="25">
        <v>1296</v>
      </c>
      <c r="B2063" s="25" t="str">
        <f>IFERROR(VLOOKUP(Tabela1[[#This Row],[CC]],#REF!,5,0),"")</f>
        <v/>
      </c>
      <c r="C2063" t="str">
        <f>IFERROR(VLOOKUP(Tabela1[[#This Row],[CC]],CC!$A$1:$H$389,7,0),"")</f>
        <v>JOSÉ NETO</v>
      </c>
      <c r="D2063" t="str">
        <f>IFERROR(VLOOKUP(Tabela1[[#This Row],[CC]],CC!$A$1:$I$3869,3,0),"")</f>
        <v>AXIA</v>
      </c>
      <c r="E2063" t="str">
        <f>IFERROR(VLOOKUP(Tabela1[[#This Row],[CC]],CC!$A$1:$H$389,2,0),"")</f>
        <v>ELETROBRAS DIGITAL SUPORT (1296)</v>
      </c>
      <c r="F2063" t="s">
        <v>586</v>
      </c>
      <c r="G2063" s="107">
        <v>1319</v>
      </c>
      <c r="H2063" s="12">
        <v>45962</v>
      </c>
      <c r="I2063" s="24">
        <v>342793.44</v>
      </c>
      <c r="J2063" s="24">
        <v>314855.78000000003</v>
      </c>
      <c r="K2063" s="3">
        <v>46008</v>
      </c>
      <c r="L2063" s="91">
        <v>46034</v>
      </c>
      <c r="M2063" s="29">
        <v>46038</v>
      </c>
      <c r="N2063" s="36" t="s">
        <v>588</v>
      </c>
      <c r="O2063" s="34"/>
      <c r="P2063" s="26"/>
      <c r="Q2063" t="str">
        <f>IFERROR(VLOOKUP(Tabela1[[#This Row],[CC]],CC!$A$1:$H$389,5,0),"")</f>
        <v>CSA</v>
      </c>
      <c r="R2063" t="str">
        <f>IFERROR(VLOOKUP(Tabela1[[#This Row],[CC]],CC!$A$1:$H$389,6,0),"")</f>
        <v>UT</v>
      </c>
      <c r="S2063" t="str">
        <f>IFERROR(VLOOKUP(Tabela1[[#This Row],[CC]],CC!$A$1:$H$403,8,0),"")</f>
        <v>OP2</v>
      </c>
    </row>
    <row r="2064" spans="1:19" x14ac:dyDescent="0.3">
      <c r="A2064" s="25">
        <v>1300</v>
      </c>
      <c r="B2064" s="25" t="str">
        <f>IFERROR(VLOOKUP(Tabela1[[#This Row],[CC]],#REF!,5,0),"")</f>
        <v/>
      </c>
      <c r="C2064" t="str">
        <f>IFERROR(VLOOKUP(Tabela1[[#This Row],[CC]],CC!$A$1:$H$389,7,0),"")</f>
        <v>JOSÉ NETO</v>
      </c>
      <c r="D2064" t="str">
        <f>IFERROR(VLOOKUP(Tabela1[[#This Row],[CC]],CC!$A$1:$I$3869,3,0),"")</f>
        <v>AXIA</v>
      </c>
      <c r="E2064" t="str">
        <f>IFERROR(VLOOKUP(Tabela1[[#This Row],[CC]],CC!$A$1:$H$389,2,0),"")</f>
        <v>ELETROBRAS RS NOVO (1300)</v>
      </c>
      <c r="F2064" t="s">
        <v>586</v>
      </c>
      <c r="G2064" s="107">
        <v>8681</v>
      </c>
      <c r="H2064" s="12">
        <v>45962</v>
      </c>
      <c r="I2064" s="24">
        <v>37210.160000000003</v>
      </c>
      <c r="J2064" s="24">
        <v>34177.53</v>
      </c>
      <c r="K2064" s="3">
        <v>46002</v>
      </c>
      <c r="L2064" s="91">
        <v>46034</v>
      </c>
      <c r="M2064" s="29">
        <v>46038</v>
      </c>
      <c r="N2064" s="36" t="s">
        <v>588</v>
      </c>
      <c r="O2064" s="34"/>
      <c r="P2064" s="26"/>
      <c r="Q2064" t="str">
        <f>IFERROR(VLOOKUP(Tabela1[[#This Row],[CC]],CC!$A$1:$H$389,5,0),"")</f>
        <v>CSA</v>
      </c>
      <c r="R2064" t="str">
        <f>IFERROR(VLOOKUP(Tabela1[[#This Row],[CC]],CC!$A$1:$H$389,6,0),"")</f>
        <v>UT</v>
      </c>
      <c r="S2064" t="str">
        <f>IFERROR(VLOOKUP(Tabela1[[#This Row],[CC]],CC!$A$1:$H$403,8,0),"")</f>
        <v>OP2</v>
      </c>
    </row>
    <row r="2065" spans="1:19" x14ac:dyDescent="0.3">
      <c r="A2065" s="25">
        <v>1300</v>
      </c>
      <c r="B2065" s="25" t="str">
        <f>IFERROR(VLOOKUP(Tabela1[[#This Row],[CC]],#REF!,5,0),"")</f>
        <v/>
      </c>
      <c r="C2065" t="str">
        <f>IFERROR(VLOOKUP(Tabela1[[#This Row],[CC]],CC!$A$1:$H$389,7,0),"")</f>
        <v>JOSÉ NETO</v>
      </c>
      <c r="D2065" t="str">
        <f>IFERROR(VLOOKUP(Tabela1[[#This Row],[CC]],CC!$A$1:$I$3869,3,0),"")</f>
        <v>AXIA</v>
      </c>
      <c r="E2065" t="str">
        <f>IFERROR(VLOOKUP(Tabela1[[#This Row],[CC]],CC!$A$1:$H$389,2,0),"")</f>
        <v>ELETROBRAS RS NOVO (1300)</v>
      </c>
      <c r="F2065" t="s">
        <v>586</v>
      </c>
      <c r="G2065" s="107">
        <v>8694</v>
      </c>
      <c r="H2065" s="12">
        <v>45992</v>
      </c>
      <c r="I2065" s="24">
        <v>37210.160000000003</v>
      </c>
      <c r="J2065" s="24">
        <v>34177.53</v>
      </c>
      <c r="K2065" s="3">
        <v>46008</v>
      </c>
      <c r="L2065" s="91">
        <v>46034</v>
      </c>
      <c r="M2065" s="29">
        <v>46038</v>
      </c>
      <c r="N2065" s="36" t="s">
        <v>588</v>
      </c>
      <c r="O2065" s="34"/>
      <c r="P2065" s="26"/>
      <c r="Q2065" t="str">
        <f>IFERROR(VLOOKUP(Tabela1[[#This Row],[CC]],CC!$A$1:$H$389,5,0),"")</f>
        <v>CSA</v>
      </c>
      <c r="R2065" t="str">
        <f>IFERROR(VLOOKUP(Tabela1[[#This Row],[CC]],CC!$A$1:$H$389,6,0),"")</f>
        <v>UT</v>
      </c>
      <c r="S2065" t="str">
        <f>IFERROR(VLOOKUP(Tabela1[[#This Row],[CC]],CC!$A$1:$H$403,8,0),"")</f>
        <v>OP2</v>
      </c>
    </row>
    <row r="2066" spans="1:19" x14ac:dyDescent="0.3">
      <c r="A2066" s="25">
        <v>1300</v>
      </c>
      <c r="B2066" s="25" t="str">
        <f>IFERROR(VLOOKUP(Tabela1[[#This Row],[CC]],#REF!,5,0),"")</f>
        <v/>
      </c>
      <c r="C2066" t="str">
        <f>IFERROR(VLOOKUP(Tabela1[[#This Row],[CC]],CC!$A$1:$H$389,7,0),"")</f>
        <v>JOSÉ NETO</v>
      </c>
      <c r="D2066" t="str">
        <f>IFERROR(VLOOKUP(Tabela1[[#This Row],[CC]],CC!$A$1:$I$3869,3,0),"")</f>
        <v>AXIA</v>
      </c>
      <c r="E2066" t="str">
        <f>IFERROR(VLOOKUP(Tabela1[[#This Row],[CC]],CC!$A$1:$H$389,2,0),"")</f>
        <v>ELETROBRAS RS NOVO (1300)</v>
      </c>
      <c r="F2066" t="s">
        <v>586</v>
      </c>
      <c r="G2066" s="107">
        <v>1322</v>
      </c>
      <c r="H2066" s="12">
        <v>45992</v>
      </c>
      <c r="I2066" s="24">
        <v>137858.97</v>
      </c>
      <c r="J2066" s="24">
        <v>126623.47</v>
      </c>
      <c r="K2066" s="3">
        <v>46008</v>
      </c>
      <c r="L2066" s="91">
        <v>46034</v>
      </c>
      <c r="M2066" s="29">
        <v>46038</v>
      </c>
      <c r="N2066" s="36" t="s">
        <v>588</v>
      </c>
      <c r="O2066" s="34"/>
      <c r="P2066" s="26"/>
      <c r="Q2066" t="str">
        <f>IFERROR(VLOOKUP(Tabela1[[#This Row],[CC]],CC!$A$1:$H$389,5,0),"")</f>
        <v>CSA</v>
      </c>
      <c r="R2066" t="str">
        <f>IFERROR(VLOOKUP(Tabela1[[#This Row],[CC]],CC!$A$1:$H$389,6,0),"")</f>
        <v>UT</v>
      </c>
      <c r="S2066" t="str">
        <f>IFERROR(VLOOKUP(Tabela1[[#This Row],[CC]],CC!$A$1:$H$403,8,0),"")</f>
        <v>OP2</v>
      </c>
    </row>
    <row r="2067" spans="1:19" x14ac:dyDescent="0.3">
      <c r="A2067" s="25">
        <v>1300</v>
      </c>
      <c r="B2067" s="25" t="str">
        <f>IFERROR(VLOOKUP(Tabela1[[#This Row],[CC]],#REF!,5,0),"")</f>
        <v/>
      </c>
      <c r="C2067" t="str">
        <f>IFERROR(VLOOKUP(Tabela1[[#This Row],[CC]],CC!$A$1:$H$389,7,0),"")</f>
        <v>JOSÉ NETO</v>
      </c>
      <c r="D2067" t="str">
        <f>IFERROR(VLOOKUP(Tabela1[[#This Row],[CC]],CC!$A$1:$I$3869,3,0),"")</f>
        <v>AXIA</v>
      </c>
      <c r="E2067" t="str">
        <f>IFERROR(VLOOKUP(Tabela1[[#This Row],[CC]],CC!$A$1:$H$389,2,0),"")</f>
        <v>ELETROBRAS RS NOVO (1300)</v>
      </c>
      <c r="F2067" t="s">
        <v>586</v>
      </c>
      <c r="G2067" s="107">
        <v>1324</v>
      </c>
      <c r="H2067" s="12">
        <v>45992</v>
      </c>
      <c r="I2067" s="24">
        <v>137858.97</v>
      </c>
      <c r="J2067" s="27">
        <v>126623.47</v>
      </c>
      <c r="K2067" s="3">
        <v>46013</v>
      </c>
      <c r="L2067" s="91">
        <v>46048</v>
      </c>
      <c r="M2067" s="29">
        <v>46048</v>
      </c>
      <c r="N2067" s="36" t="s">
        <v>588</v>
      </c>
      <c r="O2067" s="34"/>
      <c r="P2067" s="26"/>
      <c r="Q2067" t="str">
        <f>IFERROR(VLOOKUP(Tabela1[[#This Row],[CC]],CC!$A$1:$H$389,5,0),"")</f>
        <v>CSA</v>
      </c>
      <c r="R2067" t="str">
        <f>IFERROR(VLOOKUP(Tabela1[[#This Row],[CC]],CC!$A$1:$H$389,6,0),"")</f>
        <v>UT</v>
      </c>
      <c r="S2067" t="str">
        <f>IFERROR(VLOOKUP(Tabela1[[#This Row],[CC]],CC!$A$1:$H$403,8,0),"")</f>
        <v>OP2</v>
      </c>
    </row>
    <row r="2068" spans="1:19" x14ac:dyDescent="0.3">
      <c r="A2068" s="8">
        <v>1300</v>
      </c>
      <c r="B2068" s="8" t="str">
        <f>IFERROR(VLOOKUP(Tabela1[[#This Row],[CC]],#REF!,5,0),"")</f>
        <v/>
      </c>
      <c r="C2068" t="str">
        <f>IFERROR(VLOOKUP(Tabela1[[#This Row],[CC]],CC!$A$1:$H$389,7,0),"")</f>
        <v>JOSÉ NETO</v>
      </c>
      <c r="D2068" t="str">
        <f>IFERROR(VLOOKUP(Tabela1[[#This Row],[CC]],CC!$A$1:$I$3869,3,0),"")</f>
        <v>AXIA</v>
      </c>
      <c r="E2068" t="str">
        <f>IFERROR(VLOOKUP(Tabela1[[#This Row],[CC]],CC!$A$1:$H$389,2,0),"")</f>
        <v>ELETROBRAS RS NOVO (1300)</v>
      </c>
      <c r="F2068" t="s">
        <v>586</v>
      </c>
      <c r="G2068" s="107">
        <v>1323</v>
      </c>
      <c r="H2068" s="12">
        <v>45962</v>
      </c>
      <c r="I2068" s="24">
        <v>275717.94</v>
      </c>
      <c r="J2068" s="27">
        <v>253246.92</v>
      </c>
      <c r="K2068" s="3">
        <v>46009</v>
      </c>
      <c r="L2068" s="91">
        <v>46048</v>
      </c>
      <c r="M2068" s="5">
        <v>46048</v>
      </c>
      <c r="N2068" s="36" t="s">
        <v>588</v>
      </c>
      <c r="O2068" s="34"/>
      <c r="P2068" s="26"/>
      <c r="Q2068" t="str">
        <f>IFERROR(VLOOKUP(Tabela1[[#This Row],[CC]],CC!$A$1:$H$389,5,0),"")</f>
        <v>CSA</v>
      </c>
      <c r="R2068" t="str">
        <f>IFERROR(VLOOKUP(Tabela1[[#This Row],[CC]],CC!$A$1:$H$389,6,0),"")</f>
        <v>UT</v>
      </c>
      <c r="S2068" t="str">
        <f>IFERROR(VLOOKUP(Tabela1[[#This Row],[CC]],CC!$A$1:$H$403,8,0),"")</f>
        <v>OP2</v>
      </c>
    </row>
    <row r="2069" spans="1:19" x14ac:dyDescent="0.3">
      <c r="A2069" s="8">
        <v>1300</v>
      </c>
      <c r="B2069" s="8" t="str">
        <f>IFERROR(VLOOKUP(Tabela1[[#This Row],[CC]],#REF!,5,0),"")</f>
        <v/>
      </c>
      <c r="C2069" t="str">
        <f>IFERROR(VLOOKUP(Tabela1[[#This Row],[CC]],CC!$A$1:$H$389,7,0),"")</f>
        <v>JOSÉ NETO</v>
      </c>
      <c r="D2069" t="str">
        <f>IFERROR(VLOOKUP(Tabela1[[#This Row],[CC]],CC!$A$1:$I$3869,3,0),"")</f>
        <v>AXIA</v>
      </c>
      <c r="E2069" t="str">
        <f>IFERROR(VLOOKUP(Tabela1[[#This Row],[CC]],CC!$A$1:$H$389,2,0),"")</f>
        <v>ELETROBRAS RS NOVO (1300)</v>
      </c>
      <c r="F2069" t="s">
        <v>586</v>
      </c>
      <c r="G2069" s="107">
        <v>8744</v>
      </c>
      <c r="H2069" s="12">
        <v>46023</v>
      </c>
      <c r="I2069" s="24">
        <v>37210.160000000003</v>
      </c>
      <c r="J2069" s="24">
        <v>34177.53</v>
      </c>
      <c r="K2069" s="3">
        <v>46063</v>
      </c>
      <c r="L2069" s="91">
        <v>46097</v>
      </c>
      <c r="M2069" s="5">
        <v>46097</v>
      </c>
      <c r="N2069" s="36" t="s">
        <v>588</v>
      </c>
      <c r="O2069" s="34"/>
      <c r="P2069" s="26"/>
      <c r="Q2069" t="str">
        <f>IFERROR(VLOOKUP(Tabela1[[#This Row],[CC]],CC!$A$1:$H$389,5,0),"")</f>
        <v>CSA</v>
      </c>
      <c r="R2069" t="str">
        <f>IFERROR(VLOOKUP(Tabela1[[#This Row],[CC]],CC!$A$1:$H$389,6,0),"")</f>
        <v>UT</v>
      </c>
      <c r="S2069" t="str">
        <f>IFERROR(VLOOKUP(Tabela1[[#This Row],[CC]],CC!$A$1:$H$403,8,0),"")</f>
        <v>OP2</v>
      </c>
    </row>
    <row r="2070" spans="1:19" x14ac:dyDescent="0.3">
      <c r="A2070" s="8">
        <v>1300</v>
      </c>
      <c r="B2070" s="8" t="str">
        <f>IFERROR(VLOOKUP(Tabela1[[#This Row],[CC]],#REF!,5,0),"")</f>
        <v/>
      </c>
      <c r="C2070" t="str">
        <f>IFERROR(VLOOKUP(Tabela1[[#This Row],[CC]],CC!$A$1:$H$389,7,0),"")</f>
        <v>JOSÉ NETO</v>
      </c>
      <c r="D2070" t="str">
        <f>IFERROR(VLOOKUP(Tabela1[[#This Row],[CC]],CC!$A$1:$I$3869,3,0),"")</f>
        <v>AXIA</v>
      </c>
      <c r="E2070" t="str">
        <f>IFERROR(VLOOKUP(Tabela1[[#This Row],[CC]],CC!$A$1:$H$389,2,0),"")</f>
        <v>ELETROBRAS RS NOVO (1300)</v>
      </c>
      <c r="F2070" t="s">
        <v>586</v>
      </c>
      <c r="G2070" s="107">
        <v>8801</v>
      </c>
      <c r="H2070" s="12">
        <v>46054</v>
      </c>
      <c r="I2070" s="27">
        <v>37210.160000000003</v>
      </c>
      <c r="J2070" s="24">
        <v>34177.53</v>
      </c>
      <c r="K2070" s="3">
        <v>46091</v>
      </c>
      <c r="L2070" s="91">
        <v>46125</v>
      </c>
      <c r="M2070" s="5">
        <v>46128</v>
      </c>
      <c r="N2070" s="36" t="s">
        <v>588</v>
      </c>
      <c r="O2070" s="34"/>
      <c r="P2070" s="26"/>
      <c r="Q2070" t="str">
        <f>IFERROR(VLOOKUP(Tabela1[[#This Row],[CC]],CC!$A$1:$H$389,5,0),"")</f>
        <v>CSA</v>
      </c>
      <c r="R2070" t="str">
        <f>IFERROR(VLOOKUP(Tabela1[[#This Row],[CC]],CC!$A$1:$H$389,6,0),"")</f>
        <v>UT</v>
      </c>
      <c r="S2070" t="str">
        <f>IFERROR(VLOOKUP(Tabela1[[#This Row],[CC]],CC!$A$1:$H$403,8,0),"")</f>
        <v>OP2</v>
      </c>
    </row>
    <row r="2071" spans="1:19" x14ac:dyDescent="0.3">
      <c r="A2071" s="8">
        <v>1300</v>
      </c>
      <c r="B2071" s="8" t="str">
        <f>IFERROR(VLOOKUP(Tabela1[[#This Row],[CC]],#REF!,5,0),"")</f>
        <v/>
      </c>
      <c r="C2071" t="str">
        <f>IFERROR(VLOOKUP(Tabela1[[#This Row],[CC]],CC!$A$1:$H$389,7,0),"")</f>
        <v>JOSÉ NETO</v>
      </c>
      <c r="D2071" t="str">
        <f>IFERROR(VLOOKUP(Tabela1[[#This Row],[CC]],CC!$A$1:$I$3869,3,0),"")</f>
        <v>AXIA</v>
      </c>
      <c r="E2071" t="str">
        <f>IFERROR(VLOOKUP(Tabela1[[#This Row],[CC]],CC!$A$1:$H$389,2,0),"")</f>
        <v>ELETROBRAS RS NOVO (1300)</v>
      </c>
      <c r="F2071" t="s">
        <v>586</v>
      </c>
      <c r="G2071" s="107">
        <v>8846</v>
      </c>
      <c r="H2071" s="12">
        <v>46082</v>
      </c>
      <c r="I2071" s="24">
        <v>37210.160000000003</v>
      </c>
      <c r="J2071" s="24">
        <v>34177.53</v>
      </c>
      <c r="K2071" s="3">
        <v>46120</v>
      </c>
      <c r="L2071" s="91">
        <v>46160</v>
      </c>
      <c r="M2071" s="5">
        <v>46160</v>
      </c>
      <c r="N2071" s="36" t="s">
        <v>588</v>
      </c>
      <c r="O2071" s="34"/>
      <c r="P2071" s="26"/>
      <c r="Q2071" t="str">
        <f>IFERROR(VLOOKUP(Tabela1[[#This Row],[CC]],CC!$A$1:$H$389,5,0),"")</f>
        <v>CSA</v>
      </c>
      <c r="R2071" t="str">
        <f>IFERROR(VLOOKUP(Tabela1[[#This Row],[CC]],CC!$A$1:$H$389,6,0),"")</f>
        <v>UT</v>
      </c>
      <c r="S2071" t="str">
        <f>IFERROR(VLOOKUP(Tabela1[[#This Row],[CC]],CC!$A$1:$H$403,8,0),"")</f>
        <v>OP2</v>
      </c>
    </row>
    <row r="2072" spans="1:19" x14ac:dyDescent="0.3">
      <c r="A2072" s="8">
        <v>1300</v>
      </c>
      <c r="B2072" s="8" t="str">
        <f>IFERROR(VLOOKUP(Tabela1[[#This Row],[CC]],#REF!,5,0),"")</f>
        <v/>
      </c>
      <c r="C2072" t="str">
        <f>IFERROR(VLOOKUP(Tabela1[[#This Row],[CC]],CC!$A$1:$H$389,7,0),"")</f>
        <v>JOSÉ NETO</v>
      </c>
      <c r="D2072" t="str">
        <f>IFERROR(VLOOKUP(Tabela1[[#This Row],[CC]],CC!$A$1:$I$3869,3,0),"")</f>
        <v>AXIA</v>
      </c>
      <c r="E2072" t="str">
        <f>IFERROR(VLOOKUP(Tabela1[[#This Row],[CC]],CC!$A$1:$H$389,2,0),"")</f>
        <v>ELETROBRAS RS NOVO (1300)</v>
      </c>
      <c r="F2072" t="s">
        <v>586</v>
      </c>
      <c r="G2072" s="107">
        <v>8936</v>
      </c>
      <c r="H2072" s="12">
        <v>46113</v>
      </c>
      <c r="I2072" s="24">
        <v>37210.160000000003</v>
      </c>
      <c r="J2072" s="24">
        <v>34177.53</v>
      </c>
      <c r="K2072" s="3">
        <v>46154</v>
      </c>
      <c r="L2072" s="91">
        <v>46188</v>
      </c>
      <c r="M2072" s="5"/>
      <c r="N2072" s="36" t="s">
        <v>587</v>
      </c>
      <c r="O2072" s="34"/>
      <c r="P2072" s="26"/>
      <c r="Q2072" t="str">
        <f>IFERROR(VLOOKUP(Tabela1[[#This Row],[CC]],CC!$A$1:$H$389,5,0),"")</f>
        <v>CSA</v>
      </c>
      <c r="R2072" t="str">
        <f>IFERROR(VLOOKUP(Tabela1[[#This Row],[CC]],CC!$A$1:$H$389,6,0),"")</f>
        <v>UT</v>
      </c>
      <c r="S2072" t="str">
        <f>IFERROR(VLOOKUP(Tabela1[[#This Row],[CC]],CC!$A$1:$H$403,8,0),"")</f>
        <v>OP2</v>
      </c>
    </row>
    <row r="2073" spans="1:19" x14ac:dyDescent="0.3">
      <c r="A2073" s="8">
        <v>1300</v>
      </c>
      <c r="B2073" s="8" t="str">
        <f>IFERROR(VLOOKUP(Tabela1[[#This Row],[CC]],#REF!,5,0),"")</f>
        <v/>
      </c>
      <c r="C2073" t="str">
        <f>IFERROR(VLOOKUP(Tabela1[[#This Row],[CC]],CC!$A$1:$H$389,7,0),"")</f>
        <v>JOSÉ NETO</v>
      </c>
      <c r="D2073" t="str">
        <f>IFERROR(VLOOKUP(Tabela1[[#This Row],[CC]],CC!$A$1:$I$3869,3,0),"")</f>
        <v>AXIA</v>
      </c>
      <c r="E2073" t="str">
        <f>IFERROR(VLOOKUP(Tabela1[[#This Row],[CC]],CC!$A$1:$H$389,2,0),"")</f>
        <v>ELETROBRAS RS NOVO (1300)</v>
      </c>
      <c r="F2073" t="s">
        <v>586</v>
      </c>
      <c r="G2073" s="107">
        <v>8991</v>
      </c>
      <c r="H2073" s="12">
        <v>46143</v>
      </c>
      <c r="I2073" s="24">
        <v>37210.160000000003</v>
      </c>
      <c r="J2073" s="24">
        <v>34177.53</v>
      </c>
      <c r="K2073" s="3">
        <v>46175</v>
      </c>
      <c r="L2073" s="91">
        <v>46209</v>
      </c>
      <c r="M2073" s="5"/>
      <c r="N2073" s="36" t="s">
        <v>587</v>
      </c>
      <c r="O2073" s="34"/>
      <c r="P2073" s="26"/>
      <c r="Q2073" t="str">
        <f>IFERROR(VLOOKUP(Tabela1[[#This Row],[CC]],CC!$A$1:$H$389,5,0),"")</f>
        <v>CSA</v>
      </c>
      <c r="R2073" t="str">
        <f>IFERROR(VLOOKUP(Tabela1[[#This Row],[CC]],CC!$A$1:$H$389,6,0),"")</f>
        <v>UT</v>
      </c>
      <c r="S2073" t="str">
        <f>IFERROR(VLOOKUP(Tabela1[[#This Row],[CC]],CC!$A$1:$H$403,8,0),"")</f>
        <v>OP2</v>
      </c>
    </row>
    <row r="2074" spans="1:19" x14ac:dyDescent="0.3">
      <c r="A2074" s="25">
        <v>1290</v>
      </c>
      <c r="B2074" s="25" t="str">
        <f>IFERROR(VLOOKUP(Tabela1[[#This Row],[CC]],#REF!,5,0),"")</f>
        <v/>
      </c>
      <c r="C2074" t="str">
        <f>IFERROR(VLOOKUP(Tabela1[[#This Row],[CC]],CC!$A$1:$H$389,7,0),"")</f>
        <v>ROGERIO GORDILHO</v>
      </c>
      <c r="D2074" t="str">
        <f>IFERROR(VLOOKUP(Tabela1[[#This Row],[CC]],CC!$A$1:$I$3869,3,0),"")</f>
        <v>EMBASA</v>
      </c>
      <c r="E2074" t="str">
        <f>IFERROR(VLOOKUP(Tabela1[[#This Row],[CC]],CC!$A$1:$H$389,2,0),"")</f>
        <v>EMBASA - NOVO (1290)</v>
      </c>
      <c r="F2074" t="s">
        <v>586</v>
      </c>
      <c r="G2074" s="107">
        <v>8653</v>
      </c>
      <c r="H2074" s="12">
        <v>45962</v>
      </c>
      <c r="I2074" s="24">
        <v>55929.99</v>
      </c>
      <c r="J2074" s="24">
        <v>48555.33</v>
      </c>
      <c r="K2074" s="3">
        <v>45995</v>
      </c>
      <c r="L2074" s="91">
        <v>45999</v>
      </c>
      <c r="M2074" s="11">
        <v>46003</v>
      </c>
      <c r="N2074" s="21" t="s">
        <v>588</v>
      </c>
      <c r="O2074" s="34">
        <v>0</v>
      </c>
      <c r="P2074" s="26"/>
      <c r="Q2074" t="str">
        <f>IFERROR(VLOOKUP(Tabela1[[#This Row],[CC]],CC!$A$1:$H$389,5,0),"")</f>
        <v>CSA</v>
      </c>
      <c r="R2074" t="str">
        <f>IFERROR(VLOOKUP(Tabela1[[#This Row],[CC]],CC!$A$1:$H$389,6,0),"")</f>
        <v>UT</v>
      </c>
      <c r="S2074" t="str">
        <f>IFERROR(VLOOKUP(Tabela1[[#This Row],[CC]],CC!$A$1:$H$403,8,0),"")</f>
        <v>OP4</v>
      </c>
    </row>
    <row r="2075" spans="1:19" x14ac:dyDescent="0.3">
      <c r="A2075" s="25">
        <v>1290</v>
      </c>
      <c r="B2075" s="25" t="str">
        <f>IFERROR(VLOOKUP(Tabela1[[#This Row],[CC]],#REF!,5,0),"")</f>
        <v/>
      </c>
      <c r="C2075" t="str">
        <f>IFERROR(VLOOKUP(Tabela1[[#This Row],[CC]],CC!$A$1:$H$389,7,0),"")</f>
        <v>ROGERIO GORDILHO</v>
      </c>
      <c r="D2075" t="str">
        <f>IFERROR(VLOOKUP(Tabela1[[#This Row],[CC]],CC!$A$1:$I$3869,3,0),"")</f>
        <v>EMBASA</v>
      </c>
      <c r="E2075" t="str">
        <f>IFERROR(VLOOKUP(Tabela1[[#This Row],[CC]],CC!$A$1:$H$389,2,0),"")</f>
        <v>EMBASA - NOVO (1290)</v>
      </c>
      <c r="F2075" t="s">
        <v>586</v>
      </c>
      <c r="G2075" s="107">
        <v>8704</v>
      </c>
      <c r="H2075" s="12">
        <v>45992</v>
      </c>
      <c r="I2075" s="24">
        <v>55929.99</v>
      </c>
      <c r="J2075" s="24">
        <v>49414.15</v>
      </c>
      <c r="K2075" s="3">
        <v>46029</v>
      </c>
      <c r="L2075" s="91">
        <v>46062</v>
      </c>
      <c r="M2075" s="11">
        <v>46062</v>
      </c>
      <c r="N2075" s="21" t="s">
        <v>588</v>
      </c>
      <c r="O2075" s="34">
        <v>0</v>
      </c>
      <c r="P2075" s="26"/>
      <c r="Q2075" t="str">
        <f>IFERROR(VLOOKUP(Tabela1[[#This Row],[CC]],CC!$A$1:$H$389,5,0),"")</f>
        <v>CSA</v>
      </c>
      <c r="R2075" t="str">
        <f>IFERROR(VLOOKUP(Tabela1[[#This Row],[CC]],CC!$A$1:$H$389,6,0),"")</f>
        <v>UT</v>
      </c>
      <c r="S2075" t="str">
        <f>IFERROR(VLOOKUP(Tabela1[[#This Row],[CC]],CC!$A$1:$H$403,8,0),"")</f>
        <v>OP4</v>
      </c>
    </row>
    <row r="2076" spans="1:19" x14ac:dyDescent="0.3">
      <c r="A2076" s="25">
        <v>1290</v>
      </c>
      <c r="B2076" s="25" t="str">
        <f>IFERROR(VLOOKUP(Tabela1[[#This Row],[CC]],#REF!,5,0),"")</f>
        <v/>
      </c>
      <c r="C2076" t="str">
        <f>IFERROR(VLOOKUP(Tabela1[[#This Row],[CC]],CC!$A$1:$H$389,7,0),"")</f>
        <v>ROGERIO GORDILHO</v>
      </c>
      <c r="D2076" t="str">
        <f>IFERROR(VLOOKUP(Tabela1[[#This Row],[CC]],CC!$A$1:$I$3869,3,0),"")</f>
        <v>EMBASA</v>
      </c>
      <c r="E2076" t="str">
        <f>IFERROR(VLOOKUP(Tabela1[[#This Row],[CC]],CC!$A$1:$H$389,2,0),"")</f>
        <v>EMBASA - NOVO (1290)</v>
      </c>
      <c r="F2076" t="s">
        <v>586</v>
      </c>
      <c r="G2076" s="107">
        <v>8995</v>
      </c>
      <c r="H2076" s="12">
        <v>45992</v>
      </c>
      <c r="I2076" s="24">
        <v>5374.0999999999985</v>
      </c>
      <c r="J2076" s="24">
        <v>4748.0187951244297</v>
      </c>
      <c r="K2076" s="3">
        <v>46178</v>
      </c>
      <c r="L2076" s="91">
        <v>46202</v>
      </c>
      <c r="M2076" s="11"/>
      <c r="N2076" s="21" t="s">
        <v>587</v>
      </c>
      <c r="O2076" s="34">
        <v>0</v>
      </c>
      <c r="P2076" s="26"/>
      <c r="Q2076" t="str">
        <f>IFERROR(VLOOKUP(Tabela1[[#This Row],[CC]],CC!$A$1:$H$389,5,0),"")</f>
        <v>CSA</v>
      </c>
      <c r="R2076" t="str">
        <f>IFERROR(VLOOKUP(Tabela1[[#This Row],[CC]],CC!$A$1:$H$389,6,0),"")</f>
        <v>UT</v>
      </c>
      <c r="S2076" t="str">
        <f>IFERROR(VLOOKUP(Tabela1[[#This Row],[CC]],CC!$A$1:$H$403,8,0),"")</f>
        <v>OP4</v>
      </c>
    </row>
    <row r="2077" spans="1:19" x14ac:dyDescent="0.3">
      <c r="A2077" s="25">
        <v>1290</v>
      </c>
      <c r="B2077" s="25" t="str">
        <f>IFERROR(VLOOKUP(Tabela1[[#This Row],[CC]],#REF!,5,0),"")</f>
        <v/>
      </c>
      <c r="C2077" t="str">
        <f>IFERROR(VLOOKUP(Tabela1[[#This Row],[CC]],CC!$A$1:$H$389,7,0),"")</f>
        <v>ROGERIO GORDILHO</v>
      </c>
      <c r="D2077" t="str">
        <f>IFERROR(VLOOKUP(Tabela1[[#This Row],[CC]],CC!$A$1:$I$3869,3,0),"")</f>
        <v>EMBASA</v>
      </c>
      <c r="E2077" t="str">
        <f>IFERROR(VLOOKUP(Tabela1[[#This Row],[CC]],CC!$A$1:$H$389,2,0),"")</f>
        <v>EMBASA - NOVO (1290)</v>
      </c>
      <c r="F2077" t="s">
        <v>586</v>
      </c>
      <c r="G2077" s="107">
        <v>8771</v>
      </c>
      <c r="H2077" s="12">
        <v>46023</v>
      </c>
      <c r="I2077" s="24">
        <v>55929.99</v>
      </c>
      <c r="J2077" s="24">
        <v>49414.15</v>
      </c>
      <c r="K2077" s="3">
        <v>46077</v>
      </c>
      <c r="L2077" s="91">
        <v>46104</v>
      </c>
      <c r="M2077" s="11">
        <v>46107</v>
      </c>
      <c r="N2077" s="21" t="s">
        <v>588</v>
      </c>
      <c r="O2077" s="34">
        <v>0</v>
      </c>
      <c r="P2077" s="26"/>
      <c r="Q2077" t="str">
        <f>IFERROR(VLOOKUP(Tabela1[[#This Row],[CC]],CC!$A$1:$H$389,5,0),"")</f>
        <v>CSA</v>
      </c>
      <c r="R2077" t="str">
        <f>IFERROR(VLOOKUP(Tabela1[[#This Row],[CC]],CC!$A$1:$H$389,6,0),"")</f>
        <v>UT</v>
      </c>
      <c r="S2077" t="str">
        <f>IFERROR(VLOOKUP(Tabela1[[#This Row],[CC]],CC!$A$1:$H$403,8,0),"")</f>
        <v>OP4</v>
      </c>
    </row>
    <row r="2078" spans="1:19" x14ac:dyDescent="0.3">
      <c r="A2078" s="8">
        <v>1475</v>
      </c>
      <c r="B2078" s="8" t="str">
        <f>IFERROR(VLOOKUP(Tabela1[[#This Row],[CC]],#REF!,5,0),"")</f>
        <v/>
      </c>
      <c r="C2078" t="str">
        <f>IFERROR(VLOOKUP(Tabela1[[#This Row],[CC]],CC!$A$1:$H$389,7,0),"")</f>
        <v>LIZANDRA PIMENTA</v>
      </c>
      <c r="D2078" t="str">
        <f>IFERROR(VLOOKUP(Tabela1[[#This Row],[CC]],CC!$A$1:$I$3869,3,0),"")</f>
        <v>FAPESB</v>
      </c>
      <c r="E2078" t="str">
        <f>IFERROR(VLOOKUP(Tabela1[[#This Row],[CC]],CC!$A$1:$H$389,2,0),"")</f>
        <v>FAPESB Sustentação (1475)</v>
      </c>
      <c r="F2078" t="s">
        <v>586</v>
      </c>
      <c r="G2078" s="107">
        <v>8927</v>
      </c>
      <c r="H2078" s="12">
        <v>46113</v>
      </c>
      <c r="I2078" s="27">
        <v>90040.33</v>
      </c>
      <c r="J2078" s="24">
        <v>80766.17</v>
      </c>
      <c r="K2078" s="3">
        <v>46150</v>
      </c>
      <c r="L2078" s="91">
        <v>46167</v>
      </c>
      <c r="M2078" s="11">
        <v>46167</v>
      </c>
      <c r="N2078" s="18" t="s">
        <v>588</v>
      </c>
      <c r="O2078" s="34">
        <v>0</v>
      </c>
      <c r="P2078"/>
      <c r="Q2078" t="str">
        <f>IFERROR(VLOOKUP(Tabela1[[#This Row],[CC]],CC!$A$1:$H$389,5,0),"")</f>
        <v>ADS</v>
      </c>
      <c r="R2078" t="str">
        <f>IFERROR(VLOOKUP(Tabela1[[#This Row],[CC]],CC!$A$1:$H$389,6,0),"")</f>
        <v>PS</v>
      </c>
      <c r="S2078" t="str">
        <f>IFERROR(VLOOKUP(Tabela1[[#This Row],[CC]],CC!$A$1:$H$403,8,0),"")</f>
        <v>OP3</v>
      </c>
    </row>
    <row r="2079" spans="1:19" x14ac:dyDescent="0.3">
      <c r="A2079" s="25">
        <v>1290</v>
      </c>
      <c r="B2079" s="25" t="str">
        <f>IFERROR(VLOOKUP(Tabela1[[#This Row],[CC]],#REF!,5,0),"")</f>
        <v/>
      </c>
      <c r="C2079" t="str">
        <f>IFERROR(VLOOKUP(Tabela1[[#This Row],[CC]],CC!$A$1:$H$389,7,0),"")</f>
        <v>ROGERIO GORDILHO</v>
      </c>
      <c r="D2079" t="str">
        <f>IFERROR(VLOOKUP(Tabela1[[#This Row],[CC]],CC!$A$1:$I$3869,3,0),"")</f>
        <v>EMBASA</v>
      </c>
      <c r="E2079" t="str">
        <f>IFERROR(VLOOKUP(Tabela1[[#This Row],[CC]],CC!$A$1:$H$389,2,0),"")</f>
        <v>EMBASA - NOVO (1290)</v>
      </c>
      <c r="F2079" t="s">
        <v>586</v>
      </c>
      <c r="G2079" s="107">
        <v>8938</v>
      </c>
      <c r="H2079" s="12">
        <v>46113</v>
      </c>
      <c r="I2079" s="24">
        <v>55929.99</v>
      </c>
      <c r="J2079" s="24">
        <v>49414.15</v>
      </c>
      <c r="K2079" s="3">
        <v>46154</v>
      </c>
      <c r="L2079" s="91">
        <v>46181</v>
      </c>
      <c r="M2079" s="11"/>
      <c r="N2079" s="21" t="s">
        <v>587</v>
      </c>
      <c r="O2079" s="34">
        <v>0</v>
      </c>
      <c r="P2079" s="26"/>
      <c r="Q2079" t="str">
        <f>IFERROR(VLOOKUP(Tabela1[[#This Row],[CC]],CC!$A$1:$H$389,5,0),"")</f>
        <v>CSA</v>
      </c>
      <c r="R2079" t="str">
        <f>IFERROR(VLOOKUP(Tabela1[[#This Row],[CC]],CC!$A$1:$H$389,6,0),"")</f>
        <v>UT</v>
      </c>
      <c r="S2079" t="str">
        <f>IFERROR(VLOOKUP(Tabela1[[#This Row],[CC]],CC!$A$1:$H$403,8,0),"")</f>
        <v>OP4</v>
      </c>
    </row>
    <row r="2080" spans="1:19" x14ac:dyDescent="0.3">
      <c r="A2080" s="8">
        <v>1525</v>
      </c>
      <c r="B2080" s="8" t="str">
        <f>IFERROR(VLOOKUP(Tabela1[[#This Row],[CC]],#REF!,5,0),"")</f>
        <v/>
      </c>
      <c r="C2080" t="str">
        <f>IFERROR(VLOOKUP(Tabela1[[#This Row],[CC]],CC!$A$1:$H$389,7,0),"")</f>
        <v>ROGERIO GORDILHO</v>
      </c>
      <c r="D2080" t="str">
        <f>IFERROR(VLOOKUP(Tabela1[[#This Row],[CC]],CC!$A$1:$I$3869,3,0),"")</f>
        <v>IBAMETRO</v>
      </c>
      <c r="E2080" t="str">
        <f>IFERROR(VLOOKUP(Tabela1[[#This Row],[CC]],CC!$A$1:$H$389,2,0),"")</f>
        <v>IBAMETRO DS (1525)</v>
      </c>
      <c r="F2080" t="s">
        <v>586</v>
      </c>
      <c r="G2080" s="107">
        <v>8925</v>
      </c>
      <c r="H2080" s="12">
        <v>46113</v>
      </c>
      <c r="I2080" s="27">
        <v>58691.384950926935</v>
      </c>
      <c r="J2080" s="27">
        <v>53820</v>
      </c>
      <c r="K2080" s="3">
        <v>46150</v>
      </c>
      <c r="L2080" s="91">
        <v>46167</v>
      </c>
      <c r="M2080" s="11">
        <v>46169</v>
      </c>
      <c r="N2080" s="18" t="s">
        <v>588</v>
      </c>
      <c r="O2080" s="34">
        <v>0</v>
      </c>
      <c r="P2080"/>
      <c r="Q2080" t="str">
        <f>IFERROR(VLOOKUP(Tabela1[[#This Row],[CC]],CC!$A$1:$H$389,5,0),"")</f>
        <v>CSA</v>
      </c>
      <c r="R2080" t="str">
        <f>IFERROR(VLOOKUP(Tabela1[[#This Row],[CC]],CC!$A$1:$H$389,6,0),"")</f>
        <v>PS</v>
      </c>
      <c r="S2080" t="str">
        <f>IFERROR(VLOOKUP(Tabela1[[#This Row],[CC]],CC!$A$1:$H$403,8,0),"")</f>
        <v>OP4</v>
      </c>
    </row>
    <row r="2081" spans="1:19" x14ac:dyDescent="0.3">
      <c r="A2081" s="25">
        <v>1472</v>
      </c>
      <c r="B2081" s="25" t="str">
        <f>IFERROR(VLOOKUP(Tabela1[[#This Row],[CC]],#REF!,5,0),"")</f>
        <v/>
      </c>
      <c r="C2081" t="str">
        <f>IFERROR(VLOOKUP(Tabela1[[#This Row],[CC]],CC!$A$1:$H$389,7,0),"")</f>
        <v>RITA ANDRADE</v>
      </c>
      <c r="D2081" t="str">
        <f>IFERROR(VLOOKUP(Tabela1[[#This Row],[CC]],CC!$A$1:$I$3869,3,0),"")</f>
        <v>FICO</v>
      </c>
      <c r="E2081" t="str">
        <f>IFERROR(VLOOKUP(Tabela1[[#This Row],[CC]],CC!$A$1:$H$389,2,0),"")</f>
        <v>FICO (1472)</v>
      </c>
      <c r="F2081" t="s">
        <v>586</v>
      </c>
      <c r="G2081" s="107">
        <v>5201</v>
      </c>
      <c r="H2081" s="12">
        <v>46143</v>
      </c>
      <c r="I2081" s="27">
        <v>66145.56</v>
      </c>
      <c r="J2081" s="24">
        <v>62077.599999999999</v>
      </c>
      <c r="K2081" s="3">
        <v>46174</v>
      </c>
      <c r="L2081" s="91">
        <v>46181</v>
      </c>
      <c r="M2081" s="11">
        <v>46183</v>
      </c>
      <c r="N2081" s="18" t="s">
        <v>588</v>
      </c>
      <c r="O2081" s="34"/>
      <c r="P2081" s="26"/>
      <c r="Q2081" t="str">
        <f>IFERROR(VLOOKUP(Tabela1[[#This Row],[CC]],CC!$A$1:$H$389,5,0),"")</f>
        <v>BPS</v>
      </c>
      <c r="R2081" t="str">
        <f>IFERROR(VLOOKUP(Tabela1[[#This Row],[CC]],CC!$A$1:$H$389,6,0),"")</f>
        <v>FS</v>
      </c>
      <c r="S2081" t="str">
        <f>IFERROR(VLOOKUP(Tabela1[[#This Row],[CC]],CC!$A$1:$H$403,8,0),"")</f>
        <v>OP1</v>
      </c>
    </row>
    <row r="2082" spans="1:19" x14ac:dyDescent="0.3">
      <c r="A2082" s="25">
        <v>1290</v>
      </c>
      <c r="B2082" s="25" t="str">
        <f>IFERROR(VLOOKUP(Tabela1[[#This Row],[CC]],#REF!,5,0),"")</f>
        <v/>
      </c>
      <c r="C2082" t="str">
        <f>IFERROR(VLOOKUP(Tabela1[[#This Row],[CC]],CC!$A$1:$H$389,7,0),"")</f>
        <v>ROGERIO GORDILHO</v>
      </c>
      <c r="D2082" t="str">
        <f>IFERROR(VLOOKUP(Tabela1[[#This Row],[CC]],CC!$A$1:$I$3869,3,0),"")</f>
        <v>EMBASA</v>
      </c>
      <c r="E2082" t="str">
        <f>IFERROR(VLOOKUP(Tabela1[[#This Row],[CC]],CC!$A$1:$H$389,2,0),"")</f>
        <v>EMBASA - NOVO (1290)</v>
      </c>
      <c r="F2082" t="s">
        <v>586</v>
      </c>
      <c r="G2082" s="107">
        <v>8793</v>
      </c>
      <c r="H2082" s="12">
        <v>46054</v>
      </c>
      <c r="I2082" s="27">
        <v>55929.99</v>
      </c>
      <c r="J2082" s="24">
        <v>49414.15</v>
      </c>
      <c r="K2082" s="3">
        <v>46087</v>
      </c>
      <c r="L2082" s="91">
        <v>46118</v>
      </c>
      <c r="M2082" s="11">
        <v>46118</v>
      </c>
      <c r="N2082" s="21" t="s">
        <v>588</v>
      </c>
      <c r="O2082" s="34">
        <v>0</v>
      </c>
      <c r="P2082" s="26"/>
      <c r="Q2082" t="str">
        <f>IFERROR(VLOOKUP(Tabela1[[#This Row],[CC]],CC!$A$1:$H$389,5,0),"")</f>
        <v>CSA</v>
      </c>
      <c r="R2082" t="str">
        <f>IFERROR(VLOOKUP(Tabela1[[#This Row],[CC]],CC!$A$1:$H$389,6,0),"")</f>
        <v>UT</v>
      </c>
      <c r="S2082" t="str">
        <f>IFERROR(VLOOKUP(Tabela1[[#This Row],[CC]],CC!$A$1:$H$403,8,0),"")</f>
        <v>OP4</v>
      </c>
    </row>
    <row r="2083" spans="1:19" x14ac:dyDescent="0.3">
      <c r="A2083" s="25">
        <v>1490</v>
      </c>
      <c r="B2083" s="25" t="str">
        <f>IFERROR(VLOOKUP(Tabela1[[#This Row],[CC]],#REF!,5,0),"")</f>
        <v/>
      </c>
      <c r="C2083" t="str">
        <f>IFERROR(VLOOKUP(Tabela1[[#This Row],[CC]],CC!$A$1:$H$389,7,0),"")</f>
        <v>ROGERIO GORDILHO</v>
      </c>
      <c r="D2083" t="str">
        <f>IFERROR(VLOOKUP(Tabela1[[#This Row],[CC]],CC!$A$1:$I$3869,3,0),"")</f>
        <v>EMBASA</v>
      </c>
      <c r="E2083" t="str">
        <f>IFERROR(VLOOKUP(Tabela1[[#This Row],[CC]],CC!$A$1:$H$389,2,0),"")</f>
        <v>EMBASA - Sustentação ITSM (1490)</v>
      </c>
      <c r="F2083" t="s">
        <v>586</v>
      </c>
      <c r="G2083" s="107">
        <v>8655</v>
      </c>
      <c r="H2083" s="12">
        <v>45962</v>
      </c>
      <c r="I2083" s="24">
        <v>2300</v>
      </c>
      <c r="J2083" s="24">
        <v>1995.13</v>
      </c>
      <c r="K2083" s="3">
        <v>45995</v>
      </c>
      <c r="L2083" s="91">
        <v>45999</v>
      </c>
      <c r="M2083" s="11">
        <v>46002</v>
      </c>
      <c r="N2083" s="21" t="s">
        <v>588</v>
      </c>
      <c r="O2083" s="34">
        <v>0</v>
      </c>
      <c r="P2083" s="26"/>
      <c r="Q2083" t="str">
        <f>IFERROR(VLOOKUP(Tabela1[[#This Row],[CC]],CC!$A$1:$H$389,5,0),"")</f>
        <v>CSA</v>
      </c>
      <c r="R2083" t="str">
        <f>IFERROR(VLOOKUP(Tabela1[[#This Row],[CC]],CC!$A$1:$H$389,6,0),"")</f>
        <v>UT</v>
      </c>
      <c r="S2083" t="str">
        <f>IFERROR(VLOOKUP(Tabela1[[#This Row],[CC]],CC!$A$1:$H$403,8,0),"")</f>
        <v>OP4</v>
      </c>
    </row>
    <row r="2084" spans="1:19" x14ac:dyDescent="0.3">
      <c r="A2084" s="25">
        <v>1490</v>
      </c>
      <c r="B2084" s="25" t="str">
        <f>IFERROR(VLOOKUP(Tabela1[[#This Row],[CC]],#REF!,5,0),"")</f>
        <v/>
      </c>
      <c r="C2084" t="str">
        <f>IFERROR(VLOOKUP(Tabela1[[#This Row],[CC]],CC!$A$1:$H$389,7,0),"")</f>
        <v>ROGERIO GORDILHO</v>
      </c>
      <c r="D2084" t="str">
        <f>IFERROR(VLOOKUP(Tabela1[[#This Row],[CC]],CC!$A$1:$I$3869,3,0),"")</f>
        <v>EMBASA</v>
      </c>
      <c r="E2084" t="str">
        <f>IFERROR(VLOOKUP(Tabela1[[#This Row],[CC]],CC!$A$1:$H$389,2,0),"")</f>
        <v>EMBASA - Sustentação ITSM (1490)</v>
      </c>
      <c r="F2084" t="s">
        <v>586</v>
      </c>
      <c r="G2084" s="107">
        <v>8705</v>
      </c>
      <c r="H2084" s="12">
        <v>45992</v>
      </c>
      <c r="I2084" s="27">
        <v>2300</v>
      </c>
      <c r="J2084" s="27">
        <v>2032.05</v>
      </c>
      <c r="K2084" s="3">
        <v>46031</v>
      </c>
      <c r="L2084" s="91">
        <v>46062</v>
      </c>
      <c r="M2084" s="11">
        <v>46062</v>
      </c>
      <c r="N2084" s="21" t="s">
        <v>588</v>
      </c>
      <c r="O2084" s="34">
        <v>0</v>
      </c>
      <c r="P2084" s="26"/>
      <c r="Q2084" t="str">
        <f>IFERROR(VLOOKUP(Tabela1[[#This Row],[CC]],CC!$A$1:$H$389,5,0),"")</f>
        <v>CSA</v>
      </c>
      <c r="R2084" t="str">
        <f>IFERROR(VLOOKUP(Tabela1[[#This Row],[CC]],CC!$A$1:$H$389,6,0),"")</f>
        <v>UT</v>
      </c>
      <c r="S2084" t="str">
        <f>IFERROR(VLOOKUP(Tabela1[[#This Row],[CC]],CC!$A$1:$H$403,8,0),"")</f>
        <v>OP4</v>
      </c>
    </row>
    <row r="2085" spans="1:19" x14ac:dyDescent="0.3">
      <c r="A2085" s="25">
        <v>1490</v>
      </c>
      <c r="B2085" s="25" t="str">
        <f>IFERROR(VLOOKUP(Tabela1[[#This Row],[CC]],#REF!,5,0),"")</f>
        <v/>
      </c>
      <c r="C2085" t="str">
        <f>IFERROR(VLOOKUP(Tabela1[[#This Row],[CC]],CC!$A$1:$H$389,7,0),"")</f>
        <v>ROGERIO GORDILHO</v>
      </c>
      <c r="D2085" t="str">
        <f>IFERROR(VLOOKUP(Tabela1[[#This Row],[CC]],CC!$A$1:$I$3869,3,0),"")</f>
        <v>EMBASA</v>
      </c>
      <c r="E2085" t="str">
        <f>IFERROR(VLOOKUP(Tabela1[[#This Row],[CC]],CC!$A$1:$H$389,2,0),"")</f>
        <v>EMBASA - Sustentação ITSM (1490)</v>
      </c>
      <c r="F2085" t="s">
        <v>586</v>
      </c>
      <c r="G2085" s="107">
        <v>8772</v>
      </c>
      <c r="H2085" s="12">
        <v>46023</v>
      </c>
      <c r="I2085" s="27">
        <v>2300</v>
      </c>
      <c r="J2085" s="27">
        <v>2032.05</v>
      </c>
      <c r="K2085" s="3">
        <v>46077</v>
      </c>
      <c r="L2085" s="91">
        <v>46104</v>
      </c>
      <c r="M2085" s="11">
        <v>46107</v>
      </c>
      <c r="N2085" s="21" t="s">
        <v>588</v>
      </c>
      <c r="O2085" s="34">
        <v>0</v>
      </c>
      <c r="P2085" s="26"/>
      <c r="Q2085" t="str">
        <f>IFERROR(VLOOKUP(Tabela1[[#This Row],[CC]],CC!$A$1:$H$389,5,0),"")</f>
        <v>CSA</v>
      </c>
      <c r="R2085" t="str">
        <f>IFERROR(VLOOKUP(Tabela1[[#This Row],[CC]],CC!$A$1:$H$389,6,0),"")</f>
        <v>UT</v>
      </c>
      <c r="S2085" t="str">
        <f>IFERROR(VLOOKUP(Tabela1[[#This Row],[CC]],CC!$A$1:$H$403,8,0),"")</f>
        <v>OP4</v>
      </c>
    </row>
    <row r="2086" spans="1:19" x14ac:dyDescent="0.3">
      <c r="A2086" s="8">
        <v>1358</v>
      </c>
      <c r="B2086" s="8" t="str">
        <f>IFERROR(VLOOKUP(Tabela1[[#This Row],[CC]],#REF!,5,0),"")</f>
        <v/>
      </c>
      <c r="C2086" t="str">
        <f>IFERROR(VLOOKUP(Tabela1[[#This Row],[CC]],CC!$A$1:$H$389,7,0),"")</f>
        <v>ROGERIO GORDILHO</v>
      </c>
      <c r="D2086" t="str">
        <f>IFERROR(VLOOKUP(Tabela1[[#This Row],[CC]],CC!$A$1:$I$3869,3,0),"")</f>
        <v>INEMA</v>
      </c>
      <c r="E2086" t="str">
        <f>IFERROR(VLOOKUP(Tabela1[[#This Row],[CC]],CC!$A$1:$H$389,2,0),"")</f>
        <v>INEMA N3 (1358)</v>
      </c>
      <c r="F2086" t="s">
        <v>586</v>
      </c>
      <c r="G2086" s="107"/>
      <c r="H2086" s="12">
        <v>45992</v>
      </c>
      <c r="I2086" s="24">
        <v>12035</v>
      </c>
      <c r="J2086" s="27"/>
      <c r="K2086" s="3">
        <v>46082</v>
      </c>
      <c r="L2086" s="91"/>
      <c r="M2086" s="11"/>
      <c r="N2086" s="18" t="s">
        <v>572</v>
      </c>
      <c r="O2086" s="34">
        <v>0</v>
      </c>
      <c r="P2086"/>
      <c r="Q2086" t="str">
        <f>IFERROR(VLOOKUP(Tabela1[[#This Row],[CC]],CC!$A$1:$H$389,5,0),"")</f>
        <v>CSA</v>
      </c>
      <c r="R2086" t="str">
        <f>IFERROR(VLOOKUP(Tabela1[[#This Row],[CC]],CC!$A$1:$H$389,6,0),"")</f>
        <v>PS</v>
      </c>
      <c r="S2086" t="str">
        <f>IFERROR(VLOOKUP(Tabela1[[#This Row],[CC]],CC!$A$1:$H$403,8,0),"")</f>
        <v>OP4</v>
      </c>
    </row>
    <row r="2087" spans="1:19" x14ac:dyDescent="0.3">
      <c r="A2087" s="8">
        <v>1358</v>
      </c>
      <c r="B2087" s="8" t="str">
        <f>IFERROR(VLOOKUP(Tabela1[[#This Row],[CC]],#REF!,5,0),"")</f>
        <v/>
      </c>
      <c r="C2087" t="str">
        <f>IFERROR(VLOOKUP(Tabela1[[#This Row],[CC]],CC!$A$1:$H$389,7,0),"")</f>
        <v>ROGERIO GORDILHO</v>
      </c>
      <c r="D2087" t="str">
        <f>IFERROR(VLOOKUP(Tabela1[[#This Row],[CC]],CC!$A$1:$I$3869,3,0),"")</f>
        <v>INEMA</v>
      </c>
      <c r="E2087" t="str">
        <f>IFERROR(VLOOKUP(Tabela1[[#This Row],[CC]],CC!$A$1:$H$389,2,0),"")</f>
        <v>INEMA N3 (1358)</v>
      </c>
      <c r="F2087" t="s">
        <v>586</v>
      </c>
      <c r="G2087" s="107">
        <v>8851</v>
      </c>
      <c r="H2087" s="12">
        <v>46082</v>
      </c>
      <c r="I2087" s="24">
        <v>89150.64</v>
      </c>
      <c r="J2087" s="24">
        <v>79968.13</v>
      </c>
      <c r="K2087" s="3">
        <v>46122</v>
      </c>
      <c r="L2087" s="147">
        <v>46167</v>
      </c>
      <c r="M2087" s="11">
        <v>46167</v>
      </c>
      <c r="N2087" s="18" t="s">
        <v>588</v>
      </c>
      <c r="O2087" s="34"/>
      <c r="P2087"/>
      <c r="Q2087" t="str">
        <f>IFERROR(VLOOKUP(Tabela1[[#This Row],[CC]],CC!$A$1:$H$389,5,0),"")</f>
        <v>CSA</v>
      </c>
      <c r="R2087" t="str">
        <f>IFERROR(VLOOKUP(Tabela1[[#This Row],[CC]],CC!$A$1:$H$389,6,0),"")</f>
        <v>PS</v>
      </c>
      <c r="S2087" t="str">
        <f>IFERROR(VLOOKUP(Tabela1[[#This Row],[CC]],CC!$A$1:$H$403,8,0),"")</f>
        <v>OP4</v>
      </c>
    </row>
    <row r="2088" spans="1:19" x14ac:dyDescent="0.3">
      <c r="A2088" s="8">
        <v>1358</v>
      </c>
      <c r="B2088" s="8" t="str">
        <f>IFERROR(VLOOKUP(Tabela1[[#This Row],[CC]],#REF!,5,0),"")</f>
        <v/>
      </c>
      <c r="C2088" t="str">
        <f>IFERROR(VLOOKUP(Tabela1[[#This Row],[CC]],CC!$A$1:$H$389,7,0),"")</f>
        <v>ROGERIO GORDILHO</v>
      </c>
      <c r="D2088" t="str">
        <f>IFERROR(VLOOKUP(Tabela1[[#This Row],[CC]],CC!$A$1:$I$3869,3,0),"")</f>
        <v>INEMA</v>
      </c>
      <c r="E2088" t="str">
        <f>IFERROR(VLOOKUP(Tabela1[[#This Row],[CC]],CC!$A$1:$H$389,2,0),"")</f>
        <v>INEMA N3 (1358)</v>
      </c>
      <c r="F2088" t="s">
        <v>586</v>
      </c>
      <c r="G2088" s="107">
        <v>8879</v>
      </c>
      <c r="H2088" s="12">
        <v>46082</v>
      </c>
      <c r="I2088" s="24">
        <v>18720.900000000001</v>
      </c>
      <c r="J2088" s="24">
        <v>16792.650000000001</v>
      </c>
      <c r="K2088" s="3">
        <v>46135</v>
      </c>
      <c r="L2088" s="91">
        <v>46167</v>
      </c>
      <c r="M2088" s="11">
        <v>46167</v>
      </c>
      <c r="N2088" s="18" t="s">
        <v>588</v>
      </c>
      <c r="O2088" s="34">
        <v>0</v>
      </c>
      <c r="P2088"/>
      <c r="Q2088" t="str">
        <f>IFERROR(VLOOKUP(Tabela1[[#This Row],[CC]],CC!$A$1:$H$389,5,0),"")</f>
        <v>CSA</v>
      </c>
      <c r="R2088" t="str">
        <f>IFERROR(VLOOKUP(Tabela1[[#This Row],[CC]],CC!$A$1:$H$389,6,0),"")</f>
        <v>PS</v>
      </c>
      <c r="S2088" t="str">
        <f>IFERROR(VLOOKUP(Tabela1[[#This Row],[CC]],CC!$A$1:$H$403,8,0),"")</f>
        <v>OP4</v>
      </c>
    </row>
    <row r="2089" spans="1:19" x14ac:dyDescent="0.3">
      <c r="A2089" s="8">
        <v>1358</v>
      </c>
      <c r="B2089" s="8" t="str">
        <f>IFERROR(VLOOKUP(Tabela1[[#This Row],[CC]],#REF!,5,0),"")</f>
        <v/>
      </c>
      <c r="C2089" t="str">
        <f>IFERROR(VLOOKUP(Tabela1[[#This Row],[CC]],CC!$A$1:$H$389,7,0),"")</f>
        <v>ROGERIO GORDILHO</v>
      </c>
      <c r="D2089" t="str">
        <f>IFERROR(VLOOKUP(Tabela1[[#This Row],[CC]],CC!$A$1:$I$3869,3,0),"")</f>
        <v>INEMA</v>
      </c>
      <c r="E2089" t="str">
        <f>IFERROR(VLOOKUP(Tabela1[[#This Row],[CC]],CC!$A$1:$H$389,2,0),"")</f>
        <v>INEMA N3 (1358)</v>
      </c>
      <c r="F2089" t="s">
        <v>586</v>
      </c>
      <c r="G2089" s="107">
        <v>8934</v>
      </c>
      <c r="H2089" s="12">
        <v>46113</v>
      </c>
      <c r="I2089" s="27">
        <v>89150.64</v>
      </c>
      <c r="J2089" s="27">
        <v>79968.13</v>
      </c>
      <c r="K2089" s="3">
        <v>46153</v>
      </c>
      <c r="L2089" s="91">
        <v>46181</v>
      </c>
      <c r="M2089" s="11"/>
      <c r="N2089" s="18" t="s">
        <v>587</v>
      </c>
      <c r="O2089" s="34"/>
      <c r="P2089"/>
      <c r="Q2089" t="str">
        <f>IFERROR(VLOOKUP(Tabela1[[#This Row],[CC]],CC!$A$1:$H$389,5,0),"")</f>
        <v>CSA</v>
      </c>
      <c r="R2089" t="str">
        <f>IFERROR(VLOOKUP(Tabela1[[#This Row],[CC]],CC!$A$1:$H$389,6,0),"")</f>
        <v>PS</v>
      </c>
      <c r="S2089" t="str">
        <f>IFERROR(VLOOKUP(Tabela1[[#This Row],[CC]],CC!$A$1:$H$403,8,0),"")</f>
        <v>OP4</v>
      </c>
    </row>
    <row r="2090" spans="1:19" x14ac:dyDescent="0.3">
      <c r="A2090" s="25">
        <v>1490</v>
      </c>
      <c r="B2090" s="25" t="str">
        <f>IFERROR(VLOOKUP(Tabela1[[#This Row],[CC]],#REF!,5,0),"")</f>
        <v/>
      </c>
      <c r="C2090" t="str">
        <f>IFERROR(VLOOKUP(Tabela1[[#This Row],[CC]],CC!$A$1:$H$389,7,0),"")</f>
        <v>ROGERIO GORDILHO</v>
      </c>
      <c r="D2090" t="str">
        <f>IFERROR(VLOOKUP(Tabela1[[#This Row],[CC]],CC!$A$1:$I$3869,3,0),"")</f>
        <v>EMBASA</v>
      </c>
      <c r="E2090" t="str">
        <f>IFERROR(VLOOKUP(Tabela1[[#This Row],[CC]],CC!$A$1:$H$389,2,0),"")</f>
        <v>EMBASA - Sustentação ITSM (1490)</v>
      </c>
      <c r="F2090" t="s">
        <v>586</v>
      </c>
      <c r="G2090" s="107">
        <v>8792</v>
      </c>
      <c r="H2090" s="12">
        <v>46054</v>
      </c>
      <c r="I2090" s="27">
        <v>2300</v>
      </c>
      <c r="J2090" s="24">
        <v>2032.05</v>
      </c>
      <c r="K2090" s="3">
        <v>46086</v>
      </c>
      <c r="L2090" s="91">
        <v>46118</v>
      </c>
      <c r="M2090" s="11">
        <v>46118</v>
      </c>
      <c r="N2090" s="21" t="s">
        <v>588</v>
      </c>
      <c r="O2090" s="34">
        <v>0</v>
      </c>
      <c r="P2090" s="26"/>
      <c r="Q2090" t="str">
        <f>IFERROR(VLOOKUP(Tabela1[[#This Row],[CC]],CC!$A$1:$H$389,5,0),"")</f>
        <v>CSA</v>
      </c>
      <c r="R2090" t="str">
        <f>IFERROR(VLOOKUP(Tabela1[[#This Row],[CC]],CC!$A$1:$H$389,6,0),"")</f>
        <v>UT</v>
      </c>
      <c r="S2090" t="str">
        <f>IFERROR(VLOOKUP(Tabela1[[#This Row],[CC]],CC!$A$1:$H$403,8,0),"")</f>
        <v>OP4</v>
      </c>
    </row>
    <row r="2091" spans="1:19" x14ac:dyDescent="0.3">
      <c r="A2091" s="8">
        <v>1480</v>
      </c>
      <c r="B2091" s="8" t="str">
        <f>IFERROR(VLOOKUP(Tabela1[[#This Row],[CC]],#REF!,5,0),"")</f>
        <v/>
      </c>
      <c r="C2091" t="str">
        <f>IFERROR(VLOOKUP(Tabela1[[#This Row],[CC]],CC!$A$1:$H$389,7,0),"")</f>
        <v>RODRIGO CORUMBA</v>
      </c>
      <c r="D2091" t="str">
        <f>IFERROR(VLOOKUP(Tabela1[[#This Row],[CC]],CC!$A$1:$I$3869,3,0),"")</f>
        <v>ENTREPAY</v>
      </c>
      <c r="E2091" t="str">
        <f>IFERROR(VLOOKUP(Tabela1[[#This Row],[CC]],CC!$A$1:$H$389,2,0),"")</f>
        <v>Entrepay ADS Alocação (1480)</v>
      </c>
      <c r="F2091" t="s">
        <v>586</v>
      </c>
      <c r="G2091" s="107">
        <v>4600</v>
      </c>
      <c r="H2091" s="12">
        <v>45962</v>
      </c>
      <c r="I2091" s="24">
        <v>535168</v>
      </c>
      <c r="J2091" s="24">
        <v>502255.17</v>
      </c>
      <c r="K2091" s="3">
        <v>45992</v>
      </c>
      <c r="L2091" s="91">
        <v>46034</v>
      </c>
      <c r="M2091" s="5">
        <v>46036</v>
      </c>
      <c r="N2091" s="18" t="s">
        <v>588</v>
      </c>
      <c r="O2091" s="34"/>
      <c r="P2091" s="14"/>
      <c r="Q2091" t="str">
        <f>IFERROR(VLOOKUP(Tabela1[[#This Row],[CC]],CC!$A$1:$H$389,5,0),"")</f>
        <v>ADS</v>
      </c>
      <c r="R2091" t="str">
        <f>IFERROR(VLOOKUP(Tabela1[[#This Row],[CC]],CC!$A$1:$H$389,6,0),"")</f>
        <v>FS</v>
      </c>
      <c r="S2091" t="str">
        <f>IFERROR(VLOOKUP(Tabela1[[#This Row],[CC]],CC!$A$1:$H$403,8,0),"")</f>
        <v>OP2</v>
      </c>
    </row>
    <row r="2092" spans="1:19" x14ac:dyDescent="0.3">
      <c r="A2092" s="8">
        <v>1475</v>
      </c>
      <c r="B2092" s="8" t="str">
        <f>IFERROR(VLOOKUP(Tabela1[[#This Row],[CC]],#REF!,5,0),"")</f>
        <v/>
      </c>
      <c r="C2092" t="str">
        <f>IFERROR(VLOOKUP(Tabela1[[#This Row],[CC]],CC!$A$1:$H$389,7,0),"")</f>
        <v>LIZANDRA PIMENTA</v>
      </c>
      <c r="D2092" t="str">
        <f>IFERROR(VLOOKUP(Tabela1[[#This Row],[CC]],CC!$A$1:$I$3869,3,0),"")</f>
        <v>FAPESB</v>
      </c>
      <c r="E2092" t="str">
        <f>IFERROR(VLOOKUP(Tabela1[[#This Row],[CC]],CC!$A$1:$H$389,2,0),"")</f>
        <v>FAPESB Sustentação (1475)</v>
      </c>
      <c r="F2092" t="s">
        <v>586</v>
      </c>
      <c r="G2092" s="107">
        <v>8651</v>
      </c>
      <c r="H2092" s="12">
        <v>45962</v>
      </c>
      <c r="I2092" s="24">
        <v>88370.14</v>
      </c>
      <c r="J2092" s="24">
        <v>79268.02</v>
      </c>
      <c r="K2092" s="3">
        <v>45994</v>
      </c>
      <c r="L2092" s="91">
        <v>46006</v>
      </c>
      <c r="M2092" s="11">
        <v>46007</v>
      </c>
      <c r="N2092" s="18" t="s">
        <v>588</v>
      </c>
      <c r="O2092" s="34">
        <v>0</v>
      </c>
      <c r="P2092"/>
      <c r="Q2092" t="str">
        <f>IFERROR(VLOOKUP(Tabela1[[#This Row],[CC]],CC!$A$1:$H$389,5,0),"")</f>
        <v>ADS</v>
      </c>
      <c r="R2092" t="str">
        <f>IFERROR(VLOOKUP(Tabela1[[#This Row],[CC]],CC!$A$1:$H$389,6,0),"")</f>
        <v>PS</v>
      </c>
      <c r="S2092" t="str">
        <f>IFERROR(VLOOKUP(Tabela1[[#This Row],[CC]],CC!$A$1:$H$403,8,0),"")</f>
        <v>OP3</v>
      </c>
    </row>
    <row r="2093" spans="1:19" x14ac:dyDescent="0.3">
      <c r="A2093" s="8">
        <v>1475</v>
      </c>
      <c r="B2093" s="8" t="str">
        <f>IFERROR(VLOOKUP(Tabela1[[#This Row],[CC]],#REF!,5,0),"")</f>
        <v/>
      </c>
      <c r="C2093" t="str">
        <f>IFERROR(VLOOKUP(Tabela1[[#This Row],[CC]],CC!$A$1:$H$389,7,0),"")</f>
        <v>LIZANDRA PIMENTA</v>
      </c>
      <c r="D2093" t="str">
        <f>IFERROR(VLOOKUP(Tabela1[[#This Row],[CC]],CC!$A$1:$I$3869,3,0),"")</f>
        <v>FAPESB</v>
      </c>
      <c r="E2093" t="str">
        <f>IFERROR(VLOOKUP(Tabela1[[#This Row],[CC]],CC!$A$1:$H$389,2,0),"")</f>
        <v>FAPESB Sustentação (1475)</v>
      </c>
      <c r="F2093" t="s">
        <v>586</v>
      </c>
      <c r="G2093" s="107">
        <v>8717</v>
      </c>
      <c r="H2093" s="12">
        <v>45992</v>
      </c>
      <c r="I2093" s="27">
        <v>88370.14</v>
      </c>
      <c r="J2093" s="24">
        <v>79268.02</v>
      </c>
      <c r="K2093" s="3">
        <v>46036</v>
      </c>
      <c r="L2093" s="91">
        <v>46055</v>
      </c>
      <c r="M2093" s="11">
        <v>46057</v>
      </c>
      <c r="N2093" s="18" t="s">
        <v>588</v>
      </c>
      <c r="O2093" s="34">
        <v>0</v>
      </c>
      <c r="P2093"/>
      <c r="Q2093" t="str">
        <f>IFERROR(VLOOKUP(Tabela1[[#This Row],[CC]],CC!$A$1:$H$389,5,0),"")</f>
        <v>ADS</v>
      </c>
      <c r="R2093" t="str">
        <f>IFERROR(VLOOKUP(Tabela1[[#This Row],[CC]],CC!$A$1:$H$389,6,0),"")</f>
        <v>PS</v>
      </c>
      <c r="S2093" t="str">
        <f>IFERROR(VLOOKUP(Tabela1[[#This Row],[CC]],CC!$A$1:$H$403,8,0),"")</f>
        <v>OP3</v>
      </c>
    </row>
    <row r="2094" spans="1:19" x14ac:dyDescent="0.3">
      <c r="A2094" s="8">
        <v>1475</v>
      </c>
      <c r="B2094" s="8" t="str">
        <f>IFERROR(VLOOKUP(Tabela1[[#This Row],[CC]],#REF!,5,0),"")</f>
        <v/>
      </c>
      <c r="C2094" t="str">
        <f>IFERROR(VLOOKUP(Tabela1[[#This Row],[CC]],CC!$A$1:$H$389,7,0),"")</f>
        <v>LIZANDRA PIMENTA</v>
      </c>
      <c r="D2094" t="str">
        <f>IFERROR(VLOOKUP(Tabela1[[#This Row],[CC]],CC!$A$1:$I$3869,3,0),"")</f>
        <v>FAPESB</v>
      </c>
      <c r="E2094" t="str">
        <f>IFERROR(VLOOKUP(Tabela1[[#This Row],[CC]],CC!$A$1:$H$389,2,0),"")</f>
        <v>FAPESB Sustentação (1475)</v>
      </c>
      <c r="F2094" t="s">
        <v>586</v>
      </c>
      <c r="G2094" s="107">
        <v>8844</v>
      </c>
      <c r="H2094" s="12">
        <v>45992</v>
      </c>
      <c r="I2094" s="27">
        <v>16247.47</v>
      </c>
      <c r="J2094" s="24">
        <v>14573.98</v>
      </c>
      <c r="K2094" s="3">
        <v>46120</v>
      </c>
      <c r="L2094" s="91">
        <v>46132</v>
      </c>
      <c r="M2094" s="11">
        <v>46134</v>
      </c>
      <c r="N2094" s="18" t="s">
        <v>588</v>
      </c>
      <c r="O2094" s="34">
        <v>0</v>
      </c>
      <c r="P2094"/>
      <c r="Q2094" t="str">
        <f>IFERROR(VLOOKUP(Tabela1[[#This Row],[CC]],CC!$A$1:$H$389,5,0),"")</f>
        <v>ADS</v>
      </c>
      <c r="R2094" t="str">
        <f>IFERROR(VLOOKUP(Tabela1[[#This Row],[CC]],CC!$A$1:$H$389,6,0),"")</f>
        <v>PS</v>
      </c>
      <c r="S2094" t="str">
        <f>IFERROR(VLOOKUP(Tabela1[[#This Row],[CC]],CC!$A$1:$H$403,8,0),"")</f>
        <v>OP3</v>
      </c>
    </row>
    <row r="2095" spans="1:19" x14ac:dyDescent="0.3">
      <c r="A2095" s="25">
        <v>1475</v>
      </c>
      <c r="B2095" s="25" t="str">
        <f>IFERROR(VLOOKUP(Tabela1[[#This Row],[CC]],#REF!,5,0),"")</f>
        <v/>
      </c>
      <c r="C2095" t="str">
        <f>IFERROR(VLOOKUP(Tabela1[[#This Row],[CC]],CC!$A$1:$H$389,7,0),"")</f>
        <v>LIZANDRA PIMENTA</v>
      </c>
      <c r="D2095" t="str">
        <f>IFERROR(VLOOKUP(Tabela1[[#This Row],[CC]],CC!$A$1:$I$3869,3,0),"")</f>
        <v>FAPESB</v>
      </c>
      <c r="E2095" t="str">
        <f>IFERROR(VLOOKUP(Tabela1[[#This Row],[CC]],CC!$A$1:$H$389,2,0),"")</f>
        <v>FAPESB Sustentação (1475)</v>
      </c>
      <c r="F2095" t="s">
        <v>586</v>
      </c>
      <c r="G2095" s="107">
        <v>8782</v>
      </c>
      <c r="H2095" s="12">
        <v>46023</v>
      </c>
      <c r="I2095" s="27">
        <v>90040.33</v>
      </c>
      <c r="J2095" s="24">
        <v>80766.17</v>
      </c>
      <c r="K2095" s="3">
        <v>46083</v>
      </c>
      <c r="L2095" s="91">
        <v>46090</v>
      </c>
      <c r="M2095" s="11">
        <v>46090</v>
      </c>
      <c r="N2095" s="18" t="s">
        <v>588</v>
      </c>
      <c r="O2095" s="34">
        <v>0</v>
      </c>
      <c r="P2095"/>
      <c r="Q2095" t="str">
        <f>IFERROR(VLOOKUP(Tabela1[[#This Row],[CC]],CC!$A$1:$H$389,5,0),"")</f>
        <v>ADS</v>
      </c>
      <c r="R2095" t="str">
        <f>IFERROR(VLOOKUP(Tabela1[[#This Row],[CC]],CC!$A$1:$H$389,6,0),"")</f>
        <v>PS</v>
      </c>
      <c r="S2095" t="str">
        <f>IFERROR(VLOOKUP(Tabela1[[#This Row],[CC]],CC!$A$1:$H$403,8,0),"")</f>
        <v>OP3</v>
      </c>
    </row>
    <row r="2096" spans="1:19" x14ac:dyDescent="0.3">
      <c r="A2096" s="8">
        <v>1475</v>
      </c>
      <c r="B2096" s="8" t="str">
        <f>IFERROR(VLOOKUP(Tabela1[[#This Row],[CC]],#REF!,5,0),"")</f>
        <v/>
      </c>
      <c r="C2096" t="str">
        <f>IFERROR(VLOOKUP(Tabela1[[#This Row],[CC]],CC!$A$1:$H$389,7,0),"")</f>
        <v>LIZANDRA PIMENTA</v>
      </c>
      <c r="D2096" t="str">
        <f>IFERROR(VLOOKUP(Tabela1[[#This Row],[CC]],CC!$A$1:$I$3869,3,0),"")</f>
        <v>FAPESB</v>
      </c>
      <c r="E2096" t="str">
        <f>IFERROR(VLOOKUP(Tabela1[[#This Row],[CC]],CC!$A$1:$H$389,2,0),"")</f>
        <v>FAPESB Sustentação (1475)</v>
      </c>
      <c r="F2096" t="s">
        <v>586</v>
      </c>
      <c r="G2096" s="107">
        <v>8787</v>
      </c>
      <c r="H2096" s="12">
        <v>46054</v>
      </c>
      <c r="I2096" s="27">
        <v>90040.33</v>
      </c>
      <c r="J2096" s="24">
        <v>80766.17</v>
      </c>
      <c r="K2096" s="3">
        <v>46084</v>
      </c>
      <c r="L2096" s="91">
        <v>46097</v>
      </c>
      <c r="M2096" s="11">
        <v>46097</v>
      </c>
      <c r="N2096" s="18" t="s">
        <v>588</v>
      </c>
      <c r="O2096" s="34">
        <v>0</v>
      </c>
      <c r="P2096"/>
      <c r="Q2096" t="str">
        <f>IFERROR(VLOOKUP(Tabela1[[#This Row],[CC]],CC!$A$1:$H$389,5,0),"")</f>
        <v>ADS</v>
      </c>
      <c r="R2096" t="str">
        <f>IFERROR(VLOOKUP(Tabela1[[#This Row],[CC]],CC!$A$1:$H$389,6,0),"")</f>
        <v>PS</v>
      </c>
      <c r="S2096" t="str">
        <f>IFERROR(VLOOKUP(Tabela1[[#This Row],[CC]],CC!$A$1:$H$403,8,0),"")</f>
        <v>OP3</v>
      </c>
    </row>
    <row r="2097" spans="1:21" x14ac:dyDescent="0.3">
      <c r="A2097" s="8">
        <v>1475</v>
      </c>
      <c r="B2097" s="8" t="str">
        <f>IFERROR(VLOOKUP(Tabela1[[#This Row],[CC]],#REF!,5,0),"")</f>
        <v/>
      </c>
      <c r="C2097" t="str">
        <f>IFERROR(VLOOKUP(Tabela1[[#This Row],[CC]],CC!$A$1:$H$389,7,0),"")</f>
        <v>LIZANDRA PIMENTA</v>
      </c>
      <c r="D2097" t="str">
        <f>IFERROR(VLOOKUP(Tabela1[[#This Row],[CC]],CC!$A$1:$I$3869,3,0),"")</f>
        <v>FAPESB</v>
      </c>
      <c r="E2097" t="str">
        <f>IFERROR(VLOOKUP(Tabela1[[#This Row],[CC]],CC!$A$1:$H$389,2,0),"")</f>
        <v>FAPESB Sustentação (1475)</v>
      </c>
      <c r="F2097" t="s">
        <v>586</v>
      </c>
      <c r="G2097" s="107">
        <v>8845</v>
      </c>
      <c r="H2097" s="12">
        <v>46082</v>
      </c>
      <c r="I2097" s="27">
        <v>90040.33</v>
      </c>
      <c r="J2097" s="24">
        <v>80766.17</v>
      </c>
      <c r="K2097" s="3">
        <v>46120</v>
      </c>
      <c r="L2097" s="91">
        <v>46132</v>
      </c>
      <c r="M2097" s="11">
        <v>46134</v>
      </c>
      <c r="N2097" s="18" t="s">
        <v>588</v>
      </c>
      <c r="O2097" s="34">
        <v>0</v>
      </c>
      <c r="P2097"/>
      <c r="Q2097" t="str">
        <f>IFERROR(VLOOKUP(Tabela1[[#This Row],[CC]],CC!$A$1:$H$389,5,0),"")</f>
        <v>ADS</v>
      </c>
      <c r="R2097" t="str">
        <f>IFERROR(VLOOKUP(Tabela1[[#This Row],[CC]],CC!$A$1:$H$389,6,0),"")</f>
        <v>PS</v>
      </c>
      <c r="S2097" t="str">
        <f>IFERROR(VLOOKUP(Tabela1[[#This Row],[CC]],CC!$A$1:$H$403,8,0),"")</f>
        <v>OP3</v>
      </c>
    </row>
    <row r="2098" spans="1:21" x14ac:dyDescent="0.3">
      <c r="A2098" s="8">
        <v>1473</v>
      </c>
      <c r="B2098" s="8" t="str">
        <f>IFERROR(VLOOKUP(Tabela1[[#This Row],[CC]],#REF!,5,0),"")</f>
        <v/>
      </c>
      <c r="C2098" t="str">
        <f>IFERROR(VLOOKUP(Tabela1[[#This Row],[CC]],CC!$A$1:$H$389,7,0),"")</f>
        <v>ROGERIO GORDILHO</v>
      </c>
      <c r="D2098" t="str">
        <f>IFERROR(VLOOKUP(Tabela1[[#This Row],[CC]],CC!$A$1:$I$3869,3,0),"")</f>
        <v>MP_BA</v>
      </c>
      <c r="E2098" t="str">
        <f>IFERROR(VLOOKUP(Tabela1[[#This Row],[CC]],CC!$A$1:$H$389,2,0),"")</f>
        <v>MP - BA I (1473)</v>
      </c>
      <c r="F2098" t="s">
        <v>586</v>
      </c>
      <c r="G2098" s="107">
        <v>8952</v>
      </c>
      <c r="H2098" s="12">
        <v>46113</v>
      </c>
      <c r="I2098" s="24">
        <v>236280.79</v>
      </c>
      <c r="J2098" s="24">
        <v>220213.69</v>
      </c>
      <c r="K2098" s="3">
        <v>46163</v>
      </c>
      <c r="L2098" s="91">
        <v>46195</v>
      </c>
      <c r="M2098" s="11"/>
      <c r="N2098" s="18" t="s">
        <v>587</v>
      </c>
      <c r="O2098" s="34"/>
      <c r="P2098"/>
      <c r="Q2098" t="str">
        <f>IFERROR(VLOOKUP(Tabela1[[#This Row],[CC]],CC!$A$1:$H$389,5,0),"")</f>
        <v>CSA</v>
      </c>
      <c r="R2098" t="str">
        <f>IFERROR(VLOOKUP(Tabela1[[#This Row],[CC]],CC!$A$1:$H$389,6,0),"")</f>
        <v>PS</v>
      </c>
      <c r="S2098" t="str">
        <f>IFERROR(VLOOKUP(Tabela1[[#This Row],[CC]],CC!$A$1:$H$403,8,0),"")</f>
        <v>OP4</v>
      </c>
    </row>
    <row r="2099" spans="1:21" x14ac:dyDescent="0.3">
      <c r="A2099" s="8">
        <v>1358</v>
      </c>
      <c r="B2099" s="8" t="str">
        <f>IFERROR(VLOOKUP(Tabela1[[#This Row],[CC]],#REF!,5,0),"")</f>
        <v/>
      </c>
      <c r="C2099" t="str">
        <f>IFERROR(VLOOKUP(Tabela1[[#This Row],[CC]],CC!$A$1:$H$389,7,0),"")</f>
        <v>ROGERIO GORDILHO</v>
      </c>
      <c r="D2099" t="str">
        <f>IFERROR(VLOOKUP(Tabela1[[#This Row],[CC]],CC!$A$1:$I$3869,3,0),"")</f>
        <v>INEMA</v>
      </c>
      <c r="E2099" t="str">
        <f>IFERROR(VLOOKUP(Tabela1[[#This Row],[CC]],CC!$A$1:$H$389,2,0),"")</f>
        <v>INEMA N3 (1358)</v>
      </c>
      <c r="F2099" t="s">
        <v>586</v>
      </c>
      <c r="G2099" s="107">
        <v>8998</v>
      </c>
      <c r="H2099" s="12">
        <v>46143</v>
      </c>
      <c r="I2099" s="27">
        <v>93064.35</v>
      </c>
      <c r="J2099" s="27">
        <v>83478.73</v>
      </c>
      <c r="K2099" s="3">
        <v>46178</v>
      </c>
      <c r="L2099" s="91">
        <v>46195</v>
      </c>
      <c r="M2099" s="11"/>
      <c r="N2099" s="18" t="s">
        <v>587</v>
      </c>
      <c r="O2099" s="34">
        <v>0</v>
      </c>
      <c r="P2099"/>
      <c r="Q2099" t="str">
        <f>IFERROR(VLOOKUP(Tabela1[[#This Row],[CC]],CC!$A$1:$H$389,5,0),"")</f>
        <v>CSA</v>
      </c>
      <c r="R2099" t="str">
        <f>IFERROR(VLOOKUP(Tabela1[[#This Row],[CC]],CC!$A$1:$H$389,6,0),"")</f>
        <v>PS</v>
      </c>
      <c r="S2099" t="str">
        <f>IFERROR(VLOOKUP(Tabela1[[#This Row],[CC]],CC!$A$1:$H$403,8,0),"")</f>
        <v>OP4</v>
      </c>
    </row>
    <row r="2100" spans="1:21" x14ac:dyDescent="0.3">
      <c r="A2100" s="8">
        <v>1475</v>
      </c>
      <c r="B2100" s="8" t="str">
        <f>IFERROR(VLOOKUP(Tabela1[[#This Row],[CC]],#REF!,5,0),"")</f>
        <v/>
      </c>
      <c r="C2100" t="str">
        <f>IFERROR(VLOOKUP(Tabela1[[#This Row],[CC]],CC!$A$1:$H$389,7,0),"")</f>
        <v>LIZANDRA PIMENTA</v>
      </c>
      <c r="D2100" t="str">
        <f>IFERROR(VLOOKUP(Tabela1[[#This Row],[CC]],CC!$A$1:$I$3869,3,0),"")</f>
        <v>FAPESB</v>
      </c>
      <c r="E2100" t="str">
        <f>IFERROR(VLOOKUP(Tabela1[[#This Row],[CC]],CC!$A$1:$H$389,2,0),"")</f>
        <v>FAPESB Sustentação (1475)</v>
      </c>
      <c r="F2100" t="s">
        <v>586</v>
      </c>
      <c r="G2100" s="107">
        <v>9001</v>
      </c>
      <c r="H2100" s="12">
        <v>46143</v>
      </c>
      <c r="I2100" s="27">
        <v>90040.33</v>
      </c>
      <c r="J2100" s="24">
        <v>80766.179999999993</v>
      </c>
      <c r="K2100" s="3">
        <v>46181</v>
      </c>
      <c r="L2100" s="91">
        <v>46202</v>
      </c>
      <c r="M2100" s="11"/>
      <c r="N2100" s="18" t="s">
        <v>587</v>
      </c>
      <c r="O2100" s="34">
        <v>0</v>
      </c>
      <c r="P2100"/>
      <c r="Q2100" t="str">
        <f>IFERROR(VLOOKUP(Tabela1[[#This Row],[CC]],CC!$A$1:$H$389,5,0),"")</f>
        <v>ADS</v>
      </c>
      <c r="R2100" t="str">
        <f>IFERROR(VLOOKUP(Tabela1[[#This Row],[CC]],CC!$A$1:$H$389,6,0),"")</f>
        <v>PS</v>
      </c>
      <c r="S2100" t="str">
        <f>IFERROR(VLOOKUP(Tabela1[[#This Row],[CC]],CC!$A$1:$H$403,8,0),"")</f>
        <v>OP3</v>
      </c>
    </row>
    <row r="2101" spans="1:21" x14ac:dyDescent="0.3">
      <c r="A2101" s="25">
        <v>1472</v>
      </c>
      <c r="B2101" s="25" t="str">
        <f>IFERROR(VLOOKUP(Tabela1[[#This Row],[CC]],#REF!,5,0),"")</f>
        <v/>
      </c>
      <c r="C2101" t="str">
        <f>IFERROR(VLOOKUP(Tabela1[[#This Row],[CC]],CC!$A$1:$H$389,7,0),"")</f>
        <v>RITA ANDRADE</v>
      </c>
      <c r="D2101" t="str">
        <f>IFERROR(VLOOKUP(Tabela1[[#This Row],[CC]],CC!$A$1:$I$3869,3,0),"")</f>
        <v>FICO</v>
      </c>
      <c r="E2101" t="str">
        <f>IFERROR(VLOOKUP(Tabela1[[#This Row],[CC]],CC!$A$1:$H$389,2,0),"")</f>
        <v>FICO (1472)</v>
      </c>
      <c r="F2101" t="s">
        <v>586</v>
      </c>
      <c r="G2101" s="107">
        <v>4596</v>
      </c>
      <c r="H2101" s="12">
        <v>45962</v>
      </c>
      <c r="I2101" s="24">
        <v>51733.11</v>
      </c>
      <c r="J2101" s="24">
        <v>48551.519999999997</v>
      </c>
      <c r="K2101" s="3">
        <v>45992</v>
      </c>
      <c r="L2101" s="91">
        <v>45999</v>
      </c>
      <c r="M2101" s="11">
        <v>45999</v>
      </c>
      <c r="N2101" s="18" t="s">
        <v>588</v>
      </c>
      <c r="O2101" s="34"/>
      <c r="P2101" s="26"/>
      <c r="Q2101" t="str">
        <f>IFERROR(VLOOKUP(Tabela1[[#This Row],[CC]],CC!$A$1:$H$389,5,0),"")</f>
        <v>BPS</v>
      </c>
      <c r="R2101" t="str">
        <f>IFERROR(VLOOKUP(Tabela1[[#This Row],[CC]],CC!$A$1:$H$389,6,0),"")</f>
        <v>FS</v>
      </c>
      <c r="S2101" t="str">
        <f>IFERROR(VLOOKUP(Tabela1[[#This Row],[CC]],CC!$A$1:$H$403,8,0),"")</f>
        <v>OP1</v>
      </c>
    </row>
    <row r="2102" spans="1:21" x14ac:dyDescent="0.3">
      <c r="A2102" s="25">
        <v>1472</v>
      </c>
      <c r="B2102" s="25" t="str">
        <f>IFERROR(VLOOKUP(Tabela1[[#This Row],[CC]],#REF!,5,0),"")</f>
        <v/>
      </c>
      <c r="C2102" t="str">
        <f>IFERROR(VLOOKUP(Tabela1[[#This Row],[CC]],CC!$A$1:$H$389,7,0),"")</f>
        <v>RITA ANDRADE</v>
      </c>
      <c r="D2102" t="str">
        <f>IFERROR(VLOOKUP(Tabela1[[#This Row],[CC]],CC!$A$1:$I$3869,3,0),"")</f>
        <v>FICO</v>
      </c>
      <c r="E2102" t="str">
        <f>IFERROR(VLOOKUP(Tabela1[[#This Row],[CC]],CC!$A$1:$H$389,2,0),"")</f>
        <v>FICO (1472)</v>
      </c>
      <c r="F2102" t="s">
        <v>586</v>
      </c>
      <c r="G2102" s="107">
        <v>4705</v>
      </c>
      <c r="H2102" s="12">
        <v>45992</v>
      </c>
      <c r="I2102" s="24">
        <v>48547.199999999997</v>
      </c>
      <c r="J2102" s="24">
        <v>45561.54</v>
      </c>
      <c r="K2102" s="3">
        <v>46010</v>
      </c>
      <c r="L2102" s="91">
        <v>46013</v>
      </c>
      <c r="M2102" s="11">
        <v>46014</v>
      </c>
      <c r="N2102" s="18" t="s">
        <v>588</v>
      </c>
      <c r="O2102" s="34"/>
      <c r="P2102" s="26"/>
      <c r="Q2102" t="str">
        <f>IFERROR(VLOOKUP(Tabela1[[#This Row],[CC]],CC!$A$1:$H$389,5,0),"")</f>
        <v>BPS</v>
      </c>
      <c r="R2102" t="str">
        <f>IFERROR(VLOOKUP(Tabela1[[#This Row],[CC]],CC!$A$1:$H$389,6,0),"")</f>
        <v>FS</v>
      </c>
      <c r="S2102" t="str">
        <f>IFERROR(VLOOKUP(Tabela1[[#This Row],[CC]],CC!$A$1:$H$403,8,0),"")</f>
        <v>OP1</v>
      </c>
    </row>
    <row r="2103" spans="1:21" x14ac:dyDescent="0.3">
      <c r="A2103" s="25">
        <v>1472</v>
      </c>
      <c r="B2103" s="25" t="str">
        <f>IFERROR(VLOOKUP(Tabela1[[#This Row],[CC]],#REF!,5,0),"")</f>
        <v/>
      </c>
      <c r="C2103" t="str">
        <f>IFERROR(VLOOKUP(Tabela1[[#This Row],[CC]],CC!$A$1:$H$389,7,0),"")</f>
        <v>RITA ANDRADE</v>
      </c>
      <c r="D2103" t="str">
        <f>IFERROR(VLOOKUP(Tabela1[[#This Row],[CC]],CC!$A$1:$I$3869,3,0),"")</f>
        <v>FICO</v>
      </c>
      <c r="E2103" t="str">
        <f>IFERROR(VLOOKUP(Tabela1[[#This Row],[CC]],CC!$A$1:$H$389,2,0),"")</f>
        <v>FICO (1472)</v>
      </c>
      <c r="F2103" t="s">
        <v>586</v>
      </c>
      <c r="G2103" s="107">
        <v>4790</v>
      </c>
      <c r="H2103" s="12">
        <v>46023</v>
      </c>
      <c r="I2103" s="27">
        <v>48547.199999999997</v>
      </c>
      <c r="J2103" s="24">
        <v>45561.54</v>
      </c>
      <c r="K2103" s="3">
        <v>46055</v>
      </c>
      <c r="L2103" s="91">
        <v>46062</v>
      </c>
      <c r="M2103" s="11">
        <v>46063</v>
      </c>
      <c r="N2103" s="18" t="s">
        <v>588</v>
      </c>
      <c r="O2103" s="34"/>
      <c r="P2103" s="26"/>
      <c r="Q2103" t="str">
        <f>IFERROR(VLOOKUP(Tabela1[[#This Row],[CC]],CC!$A$1:$H$389,5,0),"")</f>
        <v>BPS</v>
      </c>
      <c r="R2103" t="str">
        <f>IFERROR(VLOOKUP(Tabela1[[#This Row],[CC]],CC!$A$1:$H$389,6,0),"")</f>
        <v>FS</v>
      </c>
      <c r="S2103" t="str">
        <f>IFERROR(VLOOKUP(Tabela1[[#This Row],[CC]],CC!$A$1:$H$403,8,0),"")</f>
        <v>OP1</v>
      </c>
    </row>
    <row r="2104" spans="1:21" x14ac:dyDescent="0.3">
      <c r="A2104" s="25">
        <v>1472</v>
      </c>
      <c r="B2104" s="25" t="str">
        <f>IFERROR(VLOOKUP(Tabela1[[#This Row],[CC]],#REF!,5,0),"")</f>
        <v/>
      </c>
      <c r="C2104" t="str">
        <f>IFERROR(VLOOKUP(Tabela1[[#This Row],[CC]],CC!$A$1:$H$389,7,0),"")</f>
        <v>RITA ANDRADE</v>
      </c>
      <c r="D2104" t="str">
        <f>IFERROR(VLOOKUP(Tabela1[[#This Row],[CC]],CC!$A$1:$I$3869,3,0),"")</f>
        <v>FICO</v>
      </c>
      <c r="E2104" t="str">
        <f>IFERROR(VLOOKUP(Tabela1[[#This Row],[CC]],CC!$A$1:$H$389,2,0),"")</f>
        <v>FICO (1472)</v>
      </c>
      <c r="F2104" t="s">
        <v>586</v>
      </c>
      <c r="G2104" s="107">
        <v>4895</v>
      </c>
      <c r="H2104" s="12">
        <v>46054</v>
      </c>
      <c r="I2104" s="24">
        <v>18508.62</v>
      </c>
      <c r="J2104" s="27">
        <v>17370.330000000002</v>
      </c>
      <c r="K2104" s="3">
        <v>46080</v>
      </c>
      <c r="L2104" s="91">
        <v>46083</v>
      </c>
      <c r="M2104" s="11">
        <v>46087</v>
      </c>
      <c r="N2104" s="18" t="s">
        <v>588</v>
      </c>
      <c r="O2104" s="34"/>
      <c r="P2104" s="26"/>
      <c r="Q2104" t="str">
        <f>IFERROR(VLOOKUP(Tabela1[[#This Row],[CC]],CC!$A$1:$H$389,5,0),"")</f>
        <v>BPS</v>
      </c>
      <c r="R2104" t="str">
        <f>IFERROR(VLOOKUP(Tabela1[[#This Row],[CC]],CC!$A$1:$H$389,6,0),"")</f>
        <v>FS</v>
      </c>
      <c r="S2104" t="str">
        <f>IFERROR(VLOOKUP(Tabela1[[#This Row],[CC]],CC!$A$1:$H$403,8,0),"")</f>
        <v>OP1</v>
      </c>
    </row>
    <row r="2105" spans="1:21" x14ac:dyDescent="0.3">
      <c r="A2105" s="25">
        <v>1472</v>
      </c>
      <c r="B2105" s="25" t="str">
        <f>IFERROR(VLOOKUP(Tabela1[[#This Row],[CC]],#REF!,5,0),"")</f>
        <v/>
      </c>
      <c r="C2105" t="str">
        <f>IFERROR(VLOOKUP(Tabela1[[#This Row],[CC]],CC!$A$1:$H$389,7,0),"")</f>
        <v>RITA ANDRADE</v>
      </c>
      <c r="D2105" t="str">
        <f>IFERROR(VLOOKUP(Tabela1[[#This Row],[CC]],CC!$A$1:$I$3869,3,0),"")</f>
        <v>FICO</v>
      </c>
      <c r="E2105" t="str">
        <f>IFERROR(VLOOKUP(Tabela1[[#This Row],[CC]],CC!$A$1:$H$389,2,0),"")</f>
        <v>FICO (1472)</v>
      </c>
      <c r="F2105" t="s">
        <v>586</v>
      </c>
      <c r="G2105" s="107">
        <v>5018</v>
      </c>
      <c r="H2105" s="12">
        <v>46082</v>
      </c>
      <c r="I2105" s="27">
        <v>49457.46</v>
      </c>
      <c r="J2105" s="24">
        <v>46415.839999999997</v>
      </c>
      <c r="K2105" s="3">
        <v>46108</v>
      </c>
      <c r="L2105" s="91">
        <v>46113</v>
      </c>
      <c r="M2105" s="11">
        <v>46114</v>
      </c>
      <c r="N2105" s="18" t="s">
        <v>588</v>
      </c>
      <c r="O2105" s="34"/>
      <c r="P2105" s="26"/>
      <c r="Q2105" t="str">
        <f>IFERROR(VLOOKUP(Tabela1[[#This Row],[CC]],CC!$A$1:$H$389,5,0),"")</f>
        <v>BPS</v>
      </c>
      <c r="R2105" t="str">
        <f>IFERROR(VLOOKUP(Tabela1[[#This Row],[CC]],CC!$A$1:$H$389,6,0),"")</f>
        <v>FS</v>
      </c>
      <c r="S2105" t="str">
        <f>IFERROR(VLOOKUP(Tabela1[[#This Row],[CC]],CC!$A$1:$H$403,8,0),"")</f>
        <v>OP1</v>
      </c>
    </row>
    <row r="2106" spans="1:21" x14ac:dyDescent="0.3">
      <c r="A2106" s="25">
        <v>1472</v>
      </c>
      <c r="B2106" s="25" t="str">
        <f>IFERROR(VLOOKUP(Tabela1[[#This Row],[CC]],#REF!,5,0),"")</f>
        <v/>
      </c>
      <c r="C2106" t="str">
        <f>IFERROR(VLOOKUP(Tabela1[[#This Row],[CC]],CC!$A$1:$H$389,7,0),"")</f>
        <v>RITA ANDRADE</v>
      </c>
      <c r="D2106" t="str">
        <f>IFERROR(VLOOKUP(Tabela1[[#This Row],[CC]],CC!$A$1:$I$3869,3,0),"")</f>
        <v>FICO</v>
      </c>
      <c r="E2106" t="str">
        <f>IFERROR(VLOOKUP(Tabela1[[#This Row],[CC]],CC!$A$1:$H$389,2,0),"")</f>
        <v>FICO (1472)</v>
      </c>
      <c r="F2106" t="s">
        <v>586</v>
      </c>
      <c r="G2106" s="107">
        <v>5113</v>
      </c>
      <c r="H2106" s="12">
        <v>46113</v>
      </c>
      <c r="I2106" s="24">
        <v>48547.199999999997</v>
      </c>
      <c r="J2106" s="24">
        <v>45561.54</v>
      </c>
      <c r="K2106" s="3">
        <v>46146</v>
      </c>
      <c r="L2106" s="91">
        <v>46153</v>
      </c>
      <c r="M2106" s="11">
        <v>46155</v>
      </c>
      <c r="N2106" s="18" t="s">
        <v>588</v>
      </c>
      <c r="O2106" s="34"/>
      <c r="P2106" s="26"/>
      <c r="Q2106" t="str">
        <f>IFERROR(VLOOKUP(Tabela1[[#This Row],[CC]],CC!$A$1:$H$389,5,0),"")</f>
        <v>BPS</v>
      </c>
      <c r="R2106" t="str">
        <f>IFERROR(VLOOKUP(Tabela1[[#This Row],[CC]],CC!$A$1:$H$389,6,0),"")</f>
        <v>FS</v>
      </c>
      <c r="S2106" t="str">
        <f>IFERROR(VLOOKUP(Tabela1[[#This Row],[CC]],CC!$A$1:$H$403,8,0),"")</f>
        <v>OP1</v>
      </c>
    </row>
    <row r="2107" spans="1:21" x14ac:dyDescent="0.3">
      <c r="A2107" s="8">
        <v>1482</v>
      </c>
      <c r="B2107" s="8" t="str">
        <f>IFERROR(VLOOKUP(Tabela1[[#This Row],[CC]],#REF!,5,0),"")</f>
        <v/>
      </c>
      <c r="C2107" t="str">
        <f>IFERROR(VLOOKUP(Tabela1[[#This Row],[CC]],CC!$A$1:$H$389,7,0),"")</f>
        <v>JOSÉ NETO</v>
      </c>
      <c r="D2107" t="str">
        <f>IFERROR(VLOOKUP(Tabela1[[#This Row],[CC]],CC!$A$1:$I$3869,3,0),"")</f>
        <v>AXIA</v>
      </c>
      <c r="E2107" t="str">
        <f>IFERROR(VLOOKUP(Tabela1[[#This Row],[CC]],CC!$A$1:$H$389,2,0),"")</f>
        <v>REAL GRANDEZA (1482)</v>
      </c>
      <c r="F2107" t="s">
        <v>586</v>
      </c>
      <c r="G2107" s="107">
        <v>8985</v>
      </c>
      <c r="H2107" s="12">
        <v>46143</v>
      </c>
      <c r="I2107" s="27">
        <v>34583</v>
      </c>
      <c r="J2107" s="24">
        <v>31245.73</v>
      </c>
      <c r="K2107" s="3">
        <v>46174</v>
      </c>
      <c r="L2107" s="91">
        <v>46209</v>
      </c>
      <c r="M2107" s="11"/>
      <c r="N2107" s="36" t="s">
        <v>587</v>
      </c>
      <c r="O2107" s="34"/>
      <c r="P2107" s="14"/>
      <c r="Q2107" t="str">
        <f>IFERROR(VLOOKUP(Tabela1[[#This Row],[CC]],CC!$A$1:$H$389,5,0),"")</f>
        <v>CSA</v>
      </c>
      <c r="R2107" t="str">
        <f>IFERROR(VLOOKUP(Tabela1[[#This Row],[CC]],CC!$A$1:$H$389,6,0),"")</f>
        <v>UT</v>
      </c>
      <c r="S2107" t="str">
        <f>IFERROR(VLOOKUP(Tabela1[[#This Row],[CC]],CC!$A$1:$H$403,8,0),"")</f>
        <v>OP2</v>
      </c>
    </row>
    <row r="2108" spans="1:21" x14ac:dyDescent="0.3">
      <c r="A2108" s="25">
        <v>1472</v>
      </c>
      <c r="B2108" s="25" t="str">
        <f>IFERROR(VLOOKUP(Tabela1[[#This Row],[CC]],#REF!,5,0),"")</f>
        <v/>
      </c>
      <c r="C2108" t="str">
        <f>IFERROR(VLOOKUP(Tabela1[[#This Row],[CC]],CC!$A$1:$H$389,7,0),"")</f>
        <v>RITA ANDRADE</v>
      </c>
      <c r="D2108" t="str">
        <f>IFERROR(VLOOKUP(Tabela1[[#This Row],[CC]],CC!$A$1:$I$3869,3,0),"")</f>
        <v>FICO</v>
      </c>
      <c r="E2108" t="str">
        <f>IFERROR(VLOOKUP(Tabela1[[#This Row],[CC]],CC!$A$1:$H$389,2,0),"")</f>
        <v>FICO (1472)</v>
      </c>
      <c r="F2108" t="s">
        <v>586</v>
      </c>
      <c r="G2108" s="107"/>
      <c r="H2108" s="12">
        <v>46174</v>
      </c>
      <c r="I2108" s="24">
        <v>153029</v>
      </c>
      <c r="J2108" s="24"/>
      <c r="K2108" s="3">
        <v>46204</v>
      </c>
      <c r="L2108" s="91">
        <v>46209</v>
      </c>
      <c r="M2108" s="11"/>
      <c r="N2108" s="18" t="s">
        <v>572</v>
      </c>
      <c r="O2108" s="34"/>
      <c r="P2108" s="26"/>
      <c r="Q2108" t="str">
        <f>IFERROR(VLOOKUP(Tabela1[[#This Row],[CC]],CC!$A$1:$H$389,5,0),"")</f>
        <v>BPS</v>
      </c>
      <c r="R2108" t="str">
        <f>IFERROR(VLOOKUP(Tabela1[[#This Row],[CC]],CC!$A$1:$H$389,6,0),"")</f>
        <v>FS</v>
      </c>
      <c r="S2108" t="str">
        <f>IFERROR(VLOOKUP(Tabela1[[#This Row],[CC]],CC!$A$1:$H$403,8,0),"")</f>
        <v>OP1</v>
      </c>
    </row>
    <row r="2109" spans="1:21" x14ac:dyDescent="0.3">
      <c r="A2109" s="8">
        <v>1378</v>
      </c>
      <c r="B2109" s="8" t="str">
        <f>IFERROR(VLOOKUP(Tabela1[[#This Row],[CC]],#REF!,5,0),"")</f>
        <v/>
      </c>
      <c r="C2109" t="s">
        <v>51</v>
      </c>
      <c r="D2109" t="str">
        <f>IFERROR(VLOOKUP(Tabela1[[#This Row],[CC]],CC!$A$1:$I$3869,3,0),"")</f>
        <v xml:space="preserve"> FUNCEF</v>
      </c>
      <c r="E2109" t="str">
        <f>IFERROR(VLOOKUP(Tabela1[[#This Row],[CC]],CC!$A$1:$H$389,2,0),"")</f>
        <v>SF – FUNCEF (1378)</v>
      </c>
      <c r="F2109" t="s">
        <v>586</v>
      </c>
      <c r="G2109" s="107">
        <v>8626</v>
      </c>
      <c r="H2109" s="12">
        <v>45962</v>
      </c>
      <c r="I2109" s="24">
        <v>30728.99</v>
      </c>
      <c r="J2109" s="24">
        <v>28839.16</v>
      </c>
      <c r="K2109" s="3">
        <v>45986</v>
      </c>
      <c r="L2109" s="91">
        <v>46006</v>
      </c>
      <c r="M2109" s="29">
        <v>46007</v>
      </c>
      <c r="N2109" s="18" t="s">
        <v>588</v>
      </c>
      <c r="O2109" s="34">
        <v>0</v>
      </c>
      <c r="P2109"/>
      <c r="Q2109" t="str">
        <f>IFERROR(VLOOKUP(Tabela1[[#This Row],[CC]],CC!$A$1:$H$389,5,0),"")</f>
        <v>BPS</v>
      </c>
      <c r="R2109" t="str">
        <f>IFERROR(VLOOKUP(Tabela1[[#This Row],[CC]],CC!$A$1:$H$389,6,0),"")</f>
        <v>FS</v>
      </c>
      <c r="S2109" t="str">
        <f>IFERROR(VLOOKUP(Tabela1[[#This Row],[CC]],CC!$A$1:$H$403,8,0),"")</f>
        <v>OP2</v>
      </c>
      <c r="T2109" t="s">
        <v>1</v>
      </c>
      <c r="U2109" t="s">
        <v>2</v>
      </c>
    </row>
    <row r="2110" spans="1:21" x14ac:dyDescent="0.3">
      <c r="A2110" s="8">
        <v>1378</v>
      </c>
      <c r="B2110" s="8" t="str">
        <f>IFERROR(VLOOKUP(Tabela1[[#This Row],[CC]],#REF!,5,0),"")</f>
        <v/>
      </c>
      <c r="C2110" t="s">
        <v>51</v>
      </c>
      <c r="D2110" t="str">
        <f>IFERROR(VLOOKUP(Tabela1[[#This Row],[CC]],CC!$A$1:$I$3869,3,0),"")</f>
        <v xml:space="preserve"> FUNCEF</v>
      </c>
      <c r="E2110" t="str">
        <f>IFERROR(VLOOKUP(Tabela1[[#This Row],[CC]],CC!$A$1:$H$389,2,0),"")</f>
        <v>SF – FUNCEF (1378)</v>
      </c>
      <c r="F2110" t="s">
        <v>586</v>
      </c>
      <c r="G2110" s="107">
        <v>8706</v>
      </c>
      <c r="H2110" s="12">
        <v>45962</v>
      </c>
      <c r="I2110" s="24">
        <v>4535.1000000000004</v>
      </c>
      <c r="J2110" s="24">
        <v>4256.1899999999996</v>
      </c>
      <c r="K2110" s="3">
        <v>46031</v>
      </c>
      <c r="L2110" s="91">
        <v>46055</v>
      </c>
      <c r="M2110" s="29">
        <v>46055</v>
      </c>
      <c r="N2110" s="18" t="s">
        <v>588</v>
      </c>
      <c r="O2110" s="34">
        <v>0</v>
      </c>
      <c r="P2110"/>
      <c r="Q2110" t="str">
        <f>IFERROR(VLOOKUP(Tabela1[[#This Row],[CC]],CC!$A$1:$H$389,5,0),"")</f>
        <v>BPS</v>
      </c>
      <c r="R2110" t="str">
        <f>IFERROR(VLOOKUP(Tabela1[[#This Row],[CC]],CC!$A$1:$H$389,6,0),"")</f>
        <v>FS</v>
      </c>
      <c r="S2110" t="str">
        <f>IFERROR(VLOOKUP(Tabela1[[#This Row],[CC]],CC!$A$1:$H$403,8,0),"")</f>
        <v>OP2</v>
      </c>
      <c r="T2110" t="s">
        <v>1</v>
      </c>
      <c r="U2110" t="s">
        <v>2</v>
      </c>
    </row>
    <row r="2111" spans="1:21" x14ac:dyDescent="0.3">
      <c r="A2111" s="8">
        <v>1378</v>
      </c>
      <c r="B2111" s="8" t="str">
        <f>IFERROR(VLOOKUP(Tabela1[[#This Row],[CC]],#REF!,5,0),"")</f>
        <v/>
      </c>
      <c r="C2111" t="s">
        <v>51</v>
      </c>
      <c r="D2111" t="str">
        <f>IFERROR(VLOOKUP(Tabela1[[#This Row],[CC]],CC!$A$1:$I$3869,3,0),"")</f>
        <v xml:space="preserve"> FUNCEF</v>
      </c>
      <c r="E2111" t="str">
        <f>IFERROR(VLOOKUP(Tabela1[[#This Row],[CC]],CC!$A$1:$H$389,2,0),"")</f>
        <v>SF – FUNCEF (1378)</v>
      </c>
      <c r="F2111" t="s">
        <v>586</v>
      </c>
      <c r="G2111" s="107">
        <v>8724</v>
      </c>
      <c r="H2111" s="12">
        <v>45992</v>
      </c>
      <c r="I2111" s="24">
        <v>4535.1000000000004</v>
      </c>
      <c r="J2111" s="24">
        <v>4256.1899999999996</v>
      </c>
      <c r="K2111" s="3">
        <v>46042</v>
      </c>
      <c r="L2111" s="91">
        <v>46062</v>
      </c>
      <c r="M2111" s="11">
        <v>46064</v>
      </c>
      <c r="N2111" s="18" t="s">
        <v>588</v>
      </c>
      <c r="O2111" s="34">
        <v>0</v>
      </c>
      <c r="P2111"/>
      <c r="Q2111" t="str">
        <f>IFERROR(VLOOKUP(Tabela1[[#This Row],[CC]],CC!$A$1:$H$389,5,0),"")</f>
        <v>BPS</v>
      </c>
      <c r="R2111" t="str">
        <f>IFERROR(VLOOKUP(Tabela1[[#This Row],[CC]],CC!$A$1:$H$389,6,0),"")</f>
        <v>FS</v>
      </c>
      <c r="S2111" t="str">
        <f>IFERROR(VLOOKUP(Tabela1[[#This Row],[CC]],CC!$A$1:$H$403,8,0),"")</f>
        <v>OP2</v>
      </c>
      <c r="T2111" t="s">
        <v>1</v>
      </c>
      <c r="U2111" t="s">
        <v>2</v>
      </c>
    </row>
    <row r="2112" spans="1:21" x14ac:dyDescent="0.3">
      <c r="A2112" s="25">
        <v>1378</v>
      </c>
      <c r="B2112" s="25" t="str">
        <f>IFERROR(VLOOKUP(Tabela1[[#This Row],[CC]],#REF!,5,0),"")</f>
        <v/>
      </c>
      <c r="C2112" t="s">
        <v>51</v>
      </c>
      <c r="D2112" t="str">
        <f>IFERROR(VLOOKUP(Tabela1[[#This Row],[CC]],CC!$A$1:$I$3869,3,0),"")</f>
        <v xml:space="preserve"> FUNCEF</v>
      </c>
      <c r="E2112" t="str">
        <f>IFERROR(VLOOKUP(Tabela1[[#This Row],[CC]],CC!$A$1:$H$389,2,0),"")</f>
        <v>SF – FUNCEF (1378)</v>
      </c>
      <c r="F2112" t="s">
        <v>586</v>
      </c>
      <c r="G2112" s="107">
        <v>8762</v>
      </c>
      <c r="H2112" s="12">
        <v>46023</v>
      </c>
      <c r="I2112" s="24">
        <v>4535.1000000000004</v>
      </c>
      <c r="J2112" s="24">
        <v>4256.1899999999996</v>
      </c>
      <c r="K2112" s="3">
        <v>46072</v>
      </c>
      <c r="L2112" s="91">
        <v>46090</v>
      </c>
      <c r="M2112" s="29">
        <v>46093</v>
      </c>
      <c r="N2112" s="18" t="s">
        <v>588</v>
      </c>
      <c r="O2112" s="34">
        <v>0</v>
      </c>
      <c r="P2112"/>
      <c r="Q2112" t="str">
        <f>IFERROR(VLOOKUP(Tabela1[[#This Row],[CC]],CC!$A$1:$H$389,5,0),"")</f>
        <v>BPS</v>
      </c>
      <c r="R2112" t="str">
        <f>IFERROR(VLOOKUP(Tabela1[[#This Row],[CC]],CC!$A$1:$H$389,6,0),"")</f>
        <v>FS</v>
      </c>
      <c r="S2112" t="str">
        <f>IFERROR(VLOOKUP(Tabela1[[#This Row],[CC]],CC!$A$1:$H$403,8,0),"")</f>
        <v>OP2</v>
      </c>
      <c r="T2112" t="s">
        <v>1</v>
      </c>
      <c r="U2112" t="s">
        <v>2</v>
      </c>
    </row>
    <row r="2113" spans="1:21" x14ac:dyDescent="0.3">
      <c r="A2113" s="8">
        <v>1378</v>
      </c>
      <c r="B2113" s="8" t="str">
        <f>IFERROR(VLOOKUP(Tabela1[[#This Row],[CC]],#REF!,5,0),"")</f>
        <v/>
      </c>
      <c r="C2113" t="s">
        <v>51</v>
      </c>
      <c r="D2113" t="str">
        <f>IFERROR(VLOOKUP(Tabela1[[#This Row],[CC]],CC!$A$1:$I$3869,3,0),"")</f>
        <v xml:space="preserve"> FUNCEF</v>
      </c>
      <c r="E2113" t="str">
        <f>IFERROR(VLOOKUP(Tabela1[[#This Row],[CC]],CC!$A$1:$H$389,2,0),"")</f>
        <v>SF – FUNCEF (1378)</v>
      </c>
      <c r="F2113" t="s">
        <v>586</v>
      </c>
      <c r="G2113" s="107">
        <v>8817</v>
      </c>
      <c r="H2113" s="12">
        <v>46054</v>
      </c>
      <c r="I2113" s="27">
        <v>4535.1000000000004</v>
      </c>
      <c r="J2113" s="24">
        <v>4256.1899999999996</v>
      </c>
      <c r="K2113" s="3">
        <v>46098</v>
      </c>
      <c r="L2113" s="91">
        <v>46118</v>
      </c>
      <c r="M2113" s="29">
        <v>46120</v>
      </c>
      <c r="N2113" s="18" t="s">
        <v>588</v>
      </c>
      <c r="O2113" s="34">
        <v>0</v>
      </c>
      <c r="P2113"/>
      <c r="Q2113" t="str">
        <f>IFERROR(VLOOKUP(Tabela1[[#This Row],[CC]],CC!$A$1:$H$389,5,0),"")</f>
        <v>BPS</v>
      </c>
      <c r="R2113" t="str">
        <f>IFERROR(VLOOKUP(Tabela1[[#This Row],[CC]],CC!$A$1:$H$389,6,0),"")</f>
        <v>FS</v>
      </c>
      <c r="S2113" t="str">
        <f>IFERROR(VLOOKUP(Tabela1[[#This Row],[CC]],CC!$A$1:$H$403,8,0),"")</f>
        <v>OP2</v>
      </c>
      <c r="T2113" t="s">
        <v>1</v>
      </c>
      <c r="U2113" t="s">
        <v>2</v>
      </c>
    </row>
    <row r="2114" spans="1:21" x14ac:dyDescent="0.3">
      <c r="A2114" s="8">
        <v>1378</v>
      </c>
      <c r="B2114" s="8" t="str">
        <f>IFERROR(VLOOKUP(Tabela1[[#This Row],[CC]],#REF!,5,0),"")</f>
        <v/>
      </c>
      <c r="C2114" t="s">
        <v>51</v>
      </c>
      <c r="D2114" t="str">
        <f>IFERROR(VLOOKUP(Tabela1[[#This Row],[CC]],CC!$A$1:$I$3869,3,0),"")</f>
        <v xml:space="preserve"> FUNCEF</v>
      </c>
      <c r="E2114" t="str">
        <f>IFERROR(VLOOKUP(Tabela1[[#This Row],[CC]],CC!$A$1:$H$389,2,0),"")</f>
        <v>SF – FUNCEF (1378)</v>
      </c>
      <c r="F2114" t="s">
        <v>586</v>
      </c>
      <c r="G2114" s="107">
        <v>8867</v>
      </c>
      <c r="H2114" s="12">
        <v>46082</v>
      </c>
      <c r="I2114" s="24">
        <v>4535.1000000000004</v>
      </c>
      <c r="J2114" s="24">
        <v>4256.21</v>
      </c>
      <c r="K2114" s="3">
        <v>46129</v>
      </c>
      <c r="L2114" s="91">
        <v>46153</v>
      </c>
      <c r="M2114" s="29">
        <v>46154</v>
      </c>
      <c r="N2114" s="18" t="s">
        <v>588</v>
      </c>
      <c r="O2114" s="34">
        <v>0</v>
      </c>
      <c r="P2114"/>
      <c r="Q2114" t="str">
        <f>IFERROR(VLOOKUP(Tabela1[[#This Row],[CC]],CC!$A$1:$H$389,5,0),"")</f>
        <v>BPS</v>
      </c>
      <c r="R2114" t="str">
        <f>IFERROR(VLOOKUP(Tabela1[[#This Row],[CC]],CC!$A$1:$H$389,6,0),"")</f>
        <v>FS</v>
      </c>
      <c r="S2114" t="str">
        <f>IFERROR(VLOOKUP(Tabela1[[#This Row],[CC]],CC!$A$1:$H$403,8,0),"")</f>
        <v>OP2</v>
      </c>
      <c r="T2114" t="s">
        <v>1</v>
      </c>
      <c r="U2114" t="s">
        <v>2</v>
      </c>
    </row>
    <row r="2115" spans="1:21" x14ac:dyDescent="0.3">
      <c r="A2115" s="8">
        <v>1378</v>
      </c>
      <c r="B2115" s="8" t="str">
        <f>IFERROR(VLOOKUP(Tabela1[[#This Row],[CC]],#REF!,5,0),"")</f>
        <v/>
      </c>
      <c r="C2115" t="s">
        <v>51</v>
      </c>
      <c r="D2115" t="str">
        <f>IFERROR(VLOOKUP(Tabela1[[#This Row],[CC]],CC!$A$1:$I$3869,3,0),"")</f>
        <v xml:space="preserve"> FUNCEF</v>
      </c>
      <c r="E2115" t="str">
        <f>IFERROR(VLOOKUP(Tabela1[[#This Row],[CC]],CC!$A$1:$H$389,2,0),"")</f>
        <v>SF – FUNCEF (1378)</v>
      </c>
      <c r="F2115" t="s">
        <v>586</v>
      </c>
      <c r="G2115" s="107">
        <v>8946</v>
      </c>
      <c r="H2115" s="12">
        <v>46113</v>
      </c>
      <c r="I2115" s="24">
        <v>4535.1000000000004</v>
      </c>
      <c r="J2115" s="24">
        <v>4256.1899999999996</v>
      </c>
      <c r="K2115" s="3">
        <v>46160</v>
      </c>
      <c r="L2115" s="91">
        <v>46181</v>
      </c>
      <c r="M2115" s="29">
        <v>46182</v>
      </c>
      <c r="N2115" s="18" t="s">
        <v>588</v>
      </c>
      <c r="O2115" s="34">
        <v>0</v>
      </c>
      <c r="P2115"/>
      <c r="Q2115" t="str">
        <f>IFERROR(VLOOKUP(Tabela1[[#This Row],[CC]],CC!$A$1:$H$389,5,0),"")</f>
        <v>BPS</v>
      </c>
      <c r="R2115" t="str">
        <f>IFERROR(VLOOKUP(Tabela1[[#This Row],[CC]],CC!$A$1:$H$389,6,0),"")</f>
        <v>FS</v>
      </c>
      <c r="S2115" t="str">
        <f>IFERROR(VLOOKUP(Tabela1[[#This Row],[CC]],CC!$A$1:$H$403,8,0),"")</f>
        <v>OP2</v>
      </c>
      <c r="T2115" t="s">
        <v>1</v>
      </c>
      <c r="U2115" t="s">
        <v>2</v>
      </c>
    </row>
    <row r="2116" spans="1:21" x14ac:dyDescent="0.3">
      <c r="A2116" s="25">
        <v>1394</v>
      </c>
      <c r="B2116" s="25" t="str">
        <f>IFERROR(VLOOKUP(Tabela1[[#This Row],[CC]],#REF!,5,0),"")</f>
        <v/>
      </c>
      <c r="C2116" t="s">
        <v>65</v>
      </c>
      <c r="D2116" t="s">
        <v>18</v>
      </c>
      <c r="E2116" t="s">
        <v>378</v>
      </c>
      <c r="F2116" t="s">
        <v>586</v>
      </c>
      <c r="G2116" s="107">
        <v>8213</v>
      </c>
      <c r="H2116" s="12">
        <v>45627</v>
      </c>
      <c r="I2116" s="24">
        <v>85000</v>
      </c>
      <c r="J2116" s="24">
        <v>79220</v>
      </c>
      <c r="K2116" s="3">
        <v>45700</v>
      </c>
      <c r="L2116" s="91">
        <v>45705</v>
      </c>
      <c r="M2116" s="29">
        <v>45709</v>
      </c>
      <c r="N2116" s="21" t="s">
        <v>588</v>
      </c>
      <c r="O2116" s="34">
        <v>0</v>
      </c>
      <c r="P2116" s="26"/>
      <c r="Q2116" t="s">
        <v>58</v>
      </c>
      <c r="R2116" t="s">
        <v>195</v>
      </c>
      <c r="S2116" t="str">
        <f>IFERROR(VLOOKUP(Tabela1[[#This Row],[CC]],CC!$A$1:$H$403,8,0),"")</f>
        <v>OP4</v>
      </c>
    </row>
    <row r="2117" spans="1:21" x14ac:dyDescent="0.3">
      <c r="A2117" s="8">
        <v>1247</v>
      </c>
      <c r="B2117" s="8" t="str">
        <f>IFERROR(VLOOKUP(Tabela1[[#This Row],[CC]],#REF!,5,0),"")</f>
        <v/>
      </c>
      <c r="C2117" t="str">
        <f>IFERROR(VLOOKUP(Tabela1[[#This Row],[CC]],CC!$A$1:$H$389,7,0),"")</f>
        <v>ROGERIO GORDILHO</v>
      </c>
      <c r="D2117" t="str">
        <f>IFERROR(VLOOKUP(Tabela1[[#This Row],[CC]],CC!$A$1:$I$3869,3,0),"")</f>
        <v>IBAMETRO</v>
      </c>
      <c r="E2117" t="str">
        <f>IFERROR(VLOOKUP(Tabela1[[#This Row],[CC]],CC!$A$1:$H$389,2,0),"")</f>
        <v>IBAMETRO (1247)</v>
      </c>
      <c r="F2117" t="s">
        <v>586</v>
      </c>
      <c r="G2117" s="107">
        <v>8688</v>
      </c>
      <c r="H2117" s="12">
        <v>45992</v>
      </c>
      <c r="I2117" s="24">
        <v>38395.360000000001</v>
      </c>
      <c r="J2117" s="24">
        <v>34440.629999999997</v>
      </c>
      <c r="K2117" s="3">
        <v>46007</v>
      </c>
      <c r="L2117" s="91">
        <v>46013</v>
      </c>
      <c r="M2117" s="11">
        <v>46014</v>
      </c>
      <c r="N2117" s="18" t="s">
        <v>588</v>
      </c>
      <c r="O2117" s="34">
        <v>0</v>
      </c>
      <c r="P2117"/>
      <c r="Q2117" t="str">
        <f>IFERROR(VLOOKUP(Tabela1[[#This Row],[CC]],CC!$A$1:$H$389,5,0),"")</f>
        <v>CSA</v>
      </c>
      <c r="R2117" t="str">
        <f>IFERROR(VLOOKUP(Tabela1[[#This Row],[CC]],CC!$A$1:$H$389,6,0),"")</f>
        <v>PS</v>
      </c>
      <c r="S2117" t="str">
        <f>IFERROR(VLOOKUP(Tabela1[[#This Row],[CC]],CC!$A$1:$H$403,8,0),"")</f>
        <v>OP4</v>
      </c>
    </row>
    <row r="2118" spans="1:21" x14ac:dyDescent="0.3">
      <c r="A2118" s="8">
        <v>1247</v>
      </c>
      <c r="B2118" s="8" t="str">
        <f>IFERROR(VLOOKUP(Tabela1[[#This Row],[CC]],#REF!,5,0),"")</f>
        <v/>
      </c>
      <c r="C2118" t="str">
        <f>IFERROR(VLOOKUP(Tabela1[[#This Row],[CC]],CC!$A$1:$H$389,7,0),"")</f>
        <v>ROGERIO GORDILHO</v>
      </c>
      <c r="D2118" t="str">
        <f>IFERROR(VLOOKUP(Tabela1[[#This Row],[CC]],CC!$A$1:$I$3869,3,0),"")</f>
        <v>IBAMETRO</v>
      </c>
      <c r="E2118" t="str">
        <f>IFERROR(VLOOKUP(Tabela1[[#This Row],[CC]],CC!$A$1:$H$389,2,0),"")</f>
        <v>IBAMETRO (1247)</v>
      </c>
      <c r="F2118" t="s">
        <v>586</v>
      </c>
      <c r="G2118" s="107">
        <v>8732</v>
      </c>
      <c r="H2118" s="12">
        <v>46023</v>
      </c>
      <c r="I2118" s="27">
        <v>38395.360000000001</v>
      </c>
      <c r="J2118" s="27">
        <v>34440.629999999997</v>
      </c>
      <c r="K2118" s="3">
        <v>46057</v>
      </c>
      <c r="L2118" s="91">
        <v>46083</v>
      </c>
      <c r="M2118" s="11">
        <v>46087</v>
      </c>
      <c r="N2118" s="18" t="s">
        <v>588</v>
      </c>
      <c r="O2118" s="34">
        <v>0</v>
      </c>
      <c r="P2118"/>
      <c r="Q2118" t="str">
        <f>IFERROR(VLOOKUP(Tabela1[[#This Row],[CC]],CC!$A$1:$H$389,5,0),"")</f>
        <v>CSA</v>
      </c>
      <c r="R2118" t="str">
        <f>IFERROR(VLOOKUP(Tabela1[[#This Row],[CC]],CC!$A$1:$H$389,6,0),"")</f>
        <v>PS</v>
      </c>
      <c r="S2118" t="str">
        <f>IFERROR(VLOOKUP(Tabela1[[#This Row],[CC]],CC!$A$1:$H$403,8,0),"")</f>
        <v>OP4</v>
      </c>
    </row>
    <row r="2119" spans="1:21" x14ac:dyDescent="0.3">
      <c r="A2119" s="8">
        <v>1247</v>
      </c>
      <c r="B2119" s="8" t="str">
        <f>IFERROR(VLOOKUP(Tabela1[[#This Row],[CC]],#REF!,5,0),"")</f>
        <v/>
      </c>
      <c r="C2119" t="str">
        <f>IFERROR(VLOOKUP(Tabela1[[#This Row],[CC]],CC!$A$1:$H$389,7,0),"")</f>
        <v>ROGERIO GORDILHO</v>
      </c>
      <c r="D2119" t="str">
        <f>IFERROR(VLOOKUP(Tabela1[[#This Row],[CC]],CC!$A$1:$I$3869,3,0),"")</f>
        <v>IBAMETRO</v>
      </c>
      <c r="E2119" t="str">
        <f>IFERROR(VLOOKUP(Tabela1[[#This Row],[CC]],CC!$A$1:$H$389,2,0),"")</f>
        <v>IBAMETRO (1247)</v>
      </c>
      <c r="F2119" t="s">
        <v>586</v>
      </c>
      <c r="G2119" s="107">
        <v>8786</v>
      </c>
      <c r="H2119" s="12">
        <v>46054</v>
      </c>
      <c r="I2119" s="27">
        <v>38395.360000000001</v>
      </c>
      <c r="J2119" s="27">
        <v>34440.629999999997</v>
      </c>
      <c r="K2119" s="3">
        <v>46084</v>
      </c>
      <c r="L2119" s="91">
        <v>46104</v>
      </c>
      <c r="M2119" s="11">
        <v>46108</v>
      </c>
      <c r="N2119" s="18" t="s">
        <v>588</v>
      </c>
      <c r="O2119" s="34">
        <v>0</v>
      </c>
      <c r="P2119"/>
      <c r="Q2119" t="str">
        <f>IFERROR(VLOOKUP(Tabela1[[#This Row],[CC]],CC!$A$1:$H$389,5,0),"")</f>
        <v>CSA</v>
      </c>
      <c r="R2119" t="str">
        <f>IFERROR(VLOOKUP(Tabela1[[#This Row],[CC]],CC!$A$1:$H$389,6,0),"")</f>
        <v>PS</v>
      </c>
      <c r="S2119" t="str">
        <f>IFERROR(VLOOKUP(Tabela1[[#This Row],[CC]],CC!$A$1:$H$403,8,0),"")</f>
        <v>OP4</v>
      </c>
    </row>
    <row r="2120" spans="1:21" x14ac:dyDescent="0.3">
      <c r="A2120" s="8">
        <v>1525</v>
      </c>
      <c r="B2120" s="8" t="str">
        <f>IFERROR(VLOOKUP(Tabela1[[#This Row],[CC]],#REF!,5,0),"")</f>
        <v/>
      </c>
      <c r="C2120" t="str">
        <f>IFERROR(VLOOKUP(Tabela1[[#This Row],[CC]],CC!$A$1:$H$389,7,0),"")</f>
        <v>ROGERIO GORDILHO</v>
      </c>
      <c r="D2120" t="str">
        <f>IFERROR(VLOOKUP(Tabela1[[#This Row],[CC]],CC!$A$1:$I$3869,3,0),"")</f>
        <v>IBAMETRO</v>
      </c>
      <c r="E2120" t="str">
        <f>IFERROR(VLOOKUP(Tabela1[[#This Row],[CC]],CC!$A$1:$H$389,2,0),"")</f>
        <v>IBAMETRO DS (1525)</v>
      </c>
      <c r="F2120" t="s">
        <v>586</v>
      </c>
      <c r="G2120" s="107">
        <v>8857</v>
      </c>
      <c r="H2120" s="12">
        <v>46082</v>
      </c>
      <c r="I2120" s="27">
        <v>60000</v>
      </c>
      <c r="J2120" s="24">
        <v>53820</v>
      </c>
      <c r="K2120" s="3">
        <v>46125</v>
      </c>
      <c r="L2120" s="91">
        <v>46139</v>
      </c>
      <c r="M2120" s="11">
        <v>46141</v>
      </c>
      <c r="N2120" s="18" t="s">
        <v>588</v>
      </c>
      <c r="O2120" s="34">
        <v>0</v>
      </c>
      <c r="P2120"/>
      <c r="Q2120" t="str">
        <f>IFERROR(VLOOKUP(Tabela1[[#This Row],[CC]],CC!$A$1:$H$389,5,0),"")</f>
        <v>CSA</v>
      </c>
      <c r="R2120" t="str">
        <f>IFERROR(VLOOKUP(Tabela1[[#This Row],[CC]],CC!$A$1:$H$389,6,0),"")</f>
        <v>PS</v>
      </c>
      <c r="S2120" t="str">
        <f>IFERROR(VLOOKUP(Tabela1[[#This Row],[CC]],CC!$A$1:$H$403,8,0),"")</f>
        <v>OP4</v>
      </c>
    </row>
    <row r="2121" spans="1:21" x14ac:dyDescent="0.3">
      <c r="A2121" s="8">
        <v>1473</v>
      </c>
      <c r="B2121" s="8" t="str">
        <f>IFERROR(VLOOKUP(Tabela1[[#This Row],[CC]],#REF!,5,0),"")</f>
        <v/>
      </c>
      <c r="C2121" t="str">
        <f>IFERROR(VLOOKUP(Tabela1[[#This Row],[CC]],CC!$A$1:$H$389,7,0),"")</f>
        <v>ROGERIO GORDILHO</v>
      </c>
      <c r="D2121" t="str">
        <f>IFERROR(VLOOKUP(Tabela1[[#This Row],[CC]],CC!$A$1:$I$3869,3,0),"")</f>
        <v>MP_BA</v>
      </c>
      <c r="E2121" t="str">
        <f>IFERROR(VLOOKUP(Tabela1[[#This Row],[CC]],CC!$A$1:$H$389,2,0),"")</f>
        <v>MP - BA I (1473)</v>
      </c>
      <c r="F2121" t="s">
        <v>586</v>
      </c>
      <c r="G2121" s="107">
        <v>8922</v>
      </c>
      <c r="H2121" s="12">
        <v>46082</v>
      </c>
      <c r="I2121" s="24">
        <v>236280.79</v>
      </c>
      <c r="J2121" s="24">
        <v>220213.69</v>
      </c>
      <c r="K2121" s="3">
        <v>46149</v>
      </c>
      <c r="L2121" s="91">
        <v>46160</v>
      </c>
      <c r="M2121" s="11">
        <v>46161</v>
      </c>
      <c r="N2121" s="18" t="s">
        <v>588</v>
      </c>
      <c r="O2121" s="34"/>
      <c r="P2121"/>
      <c r="Q2121" t="str">
        <f>IFERROR(VLOOKUP(Tabela1[[#This Row],[CC]],CC!$A$1:$H$389,5,0),"")</f>
        <v>CSA</v>
      </c>
      <c r="R2121" t="str">
        <f>IFERROR(VLOOKUP(Tabela1[[#This Row],[CC]],CC!$A$1:$H$389,6,0),"")</f>
        <v>PS</v>
      </c>
      <c r="S2121" t="str">
        <f>IFERROR(VLOOKUP(Tabela1[[#This Row],[CC]],CC!$A$1:$H$403,8,0),"")</f>
        <v>OP4</v>
      </c>
    </row>
    <row r="2122" spans="1:21" x14ac:dyDescent="0.3">
      <c r="A2122" s="8">
        <v>1394</v>
      </c>
      <c r="B2122" s="8" t="str">
        <f>IFERROR(VLOOKUP(Tabela1[[#This Row],[CC]],#REF!,5,0),"")</f>
        <v/>
      </c>
      <c r="C2122" t="str">
        <f>IFERROR(VLOOKUP(Tabela1[[#This Row],[CC]],CC!$A$1:$H$389,7,0),"")</f>
        <v>ANTONIO ALVES</v>
      </c>
      <c r="D2122" t="str">
        <f>IFERROR(VLOOKUP(Tabela1[[#This Row],[CC]],CC!$A$1:$I$3869,3,0),"")</f>
        <v>SEFAZ_BA</v>
      </c>
      <c r="E2122" t="str">
        <f>IFERROR(VLOOKUP(Tabela1[[#This Row],[CC]],CC!$A$1:$H$389,2,0),"")</f>
        <v>SEFAZ - BA DIGITAL CENTER (1394)</v>
      </c>
      <c r="F2122" t="s">
        <v>586</v>
      </c>
      <c r="G2122" s="107">
        <v>8954</v>
      </c>
      <c r="H2122" s="12">
        <v>46113</v>
      </c>
      <c r="I2122" s="24">
        <v>246181.25</v>
      </c>
      <c r="J2122" s="24">
        <v>229440.92</v>
      </c>
      <c r="K2122" s="3">
        <v>46163</v>
      </c>
      <c r="L2122" s="91">
        <v>46181</v>
      </c>
      <c r="M2122" s="5">
        <v>46183</v>
      </c>
      <c r="N2122" s="21" t="s">
        <v>588</v>
      </c>
      <c r="O2122" s="54"/>
      <c r="P2122" s="14"/>
      <c r="Q2122" t="str">
        <f>IFERROR(VLOOKUP(Tabela1[[#This Row],[CC]],CC!$A$1:$H$389,5,0),"")</f>
        <v>CSA</v>
      </c>
      <c r="R2122" t="str">
        <f>IFERROR(VLOOKUP(Tabela1[[#This Row],[CC]],CC!$A$1:$H$389,6,0),"")</f>
        <v>PS</v>
      </c>
      <c r="S2122" t="str">
        <f>IFERROR(VLOOKUP(Tabela1[[#This Row],[CC]],CC!$A$1:$H$403,8,0),"")</f>
        <v>OP4</v>
      </c>
    </row>
    <row r="2123" spans="1:21" x14ac:dyDescent="0.3">
      <c r="A2123" s="8">
        <v>1358</v>
      </c>
      <c r="B2123" s="8" t="str">
        <f>IFERROR(VLOOKUP(Tabela1[[#This Row],[CC]],#REF!,5,0),"")</f>
        <v/>
      </c>
      <c r="C2123" t="str">
        <f>IFERROR(VLOOKUP(Tabela1[[#This Row],[CC]],CC!$A$1:$H$389,7,0),"")</f>
        <v>ROGERIO GORDILHO</v>
      </c>
      <c r="D2123" t="str">
        <f>IFERROR(VLOOKUP(Tabela1[[#This Row],[CC]],CC!$A$1:$I$3869,3,0),"")</f>
        <v>INEMA</v>
      </c>
      <c r="E2123" t="str">
        <f>IFERROR(VLOOKUP(Tabela1[[#This Row],[CC]],CC!$A$1:$H$389,2,0),"")</f>
        <v>INEMA N3 (1358)</v>
      </c>
      <c r="F2123" t="s">
        <v>586</v>
      </c>
      <c r="G2123" s="107">
        <v>8660</v>
      </c>
      <c r="H2123" s="12">
        <v>45962</v>
      </c>
      <c r="I2123" s="24">
        <v>89150.64</v>
      </c>
      <c r="J2123" s="24">
        <v>79968.13</v>
      </c>
      <c r="K2123" s="3">
        <v>45995</v>
      </c>
      <c r="L2123" s="91">
        <v>46006</v>
      </c>
      <c r="M2123" s="11">
        <v>46007</v>
      </c>
      <c r="N2123" s="18" t="s">
        <v>588</v>
      </c>
      <c r="O2123" s="34">
        <v>0</v>
      </c>
      <c r="P2123"/>
      <c r="Q2123" t="str">
        <f>IFERROR(VLOOKUP(Tabela1[[#This Row],[CC]],CC!$A$1:$H$389,5,0),"")</f>
        <v>CSA</v>
      </c>
      <c r="R2123" t="str">
        <f>IFERROR(VLOOKUP(Tabela1[[#This Row],[CC]],CC!$A$1:$H$389,6,0),"")</f>
        <v>PS</v>
      </c>
      <c r="S2123" t="str">
        <f>IFERROR(VLOOKUP(Tabela1[[#This Row],[CC]],CC!$A$1:$H$403,8,0),"")</f>
        <v>OP4</v>
      </c>
    </row>
    <row r="2124" spans="1:21" x14ac:dyDescent="0.3">
      <c r="A2124" s="8">
        <v>1358</v>
      </c>
      <c r="B2124" s="8" t="str">
        <f>IFERROR(VLOOKUP(Tabela1[[#This Row],[CC]],#REF!,5,0),"")</f>
        <v/>
      </c>
      <c r="C2124" t="str">
        <f>IFERROR(VLOOKUP(Tabela1[[#This Row],[CC]],CC!$A$1:$H$389,7,0),"")</f>
        <v>ROGERIO GORDILHO</v>
      </c>
      <c r="D2124" t="str">
        <f>IFERROR(VLOOKUP(Tabela1[[#This Row],[CC]],CC!$A$1:$I$3869,3,0),"")</f>
        <v>INEMA</v>
      </c>
      <c r="E2124" t="str">
        <f>IFERROR(VLOOKUP(Tabela1[[#This Row],[CC]],CC!$A$1:$H$389,2,0),"")</f>
        <v>INEMA N3 (1358)</v>
      </c>
      <c r="F2124" t="s">
        <v>586</v>
      </c>
      <c r="G2124" s="107">
        <v>8668</v>
      </c>
      <c r="H2124" s="12">
        <v>45962</v>
      </c>
      <c r="I2124" s="24">
        <v>7649.4</v>
      </c>
      <c r="J2124" s="27">
        <v>6861.51</v>
      </c>
      <c r="K2124" s="3">
        <v>46001</v>
      </c>
      <c r="L2124" s="91">
        <v>46006</v>
      </c>
      <c r="M2124" s="11">
        <v>46010</v>
      </c>
      <c r="N2124" s="18" t="s">
        <v>588</v>
      </c>
      <c r="O2124" s="34">
        <v>0</v>
      </c>
      <c r="P2124"/>
      <c r="Q2124" t="str">
        <f>IFERROR(VLOOKUP(Tabela1[[#This Row],[CC]],CC!$A$1:$H$389,5,0),"")</f>
        <v>CSA</v>
      </c>
      <c r="R2124" t="str">
        <f>IFERROR(VLOOKUP(Tabela1[[#This Row],[CC]],CC!$A$1:$H$389,6,0),"")</f>
        <v>PS</v>
      </c>
      <c r="S2124" t="str">
        <f>IFERROR(VLOOKUP(Tabela1[[#This Row],[CC]],CC!$A$1:$H$403,8,0),"")</f>
        <v>OP4</v>
      </c>
    </row>
    <row r="2125" spans="1:21" x14ac:dyDescent="0.3">
      <c r="A2125" s="8">
        <v>1358</v>
      </c>
      <c r="B2125" s="8" t="str">
        <f>IFERROR(VLOOKUP(Tabela1[[#This Row],[CC]],#REF!,5,0),"")</f>
        <v/>
      </c>
      <c r="C2125" t="str">
        <f>IFERROR(VLOOKUP(Tabela1[[#This Row],[CC]],CC!$A$1:$H$389,7,0),"")</f>
        <v>ROGERIO GORDILHO</v>
      </c>
      <c r="D2125" t="str">
        <f>IFERROR(VLOOKUP(Tabela1[[#This Row],[CC]],CC!$A$1:$I$3869,3,0),"")</f>
        <v>INEMA</v>
      </c>
      <c r="E2125" t="str">
        <f>IFERROR(VLOOKUP(Tabela1[[#This Row],[CC]],CC!$A$1:$H$389,2,0),"")</f>
        <v>INEMA N3 (1358)</v>
      </c>
      <c r="F2125" t="s">
        <v>586</v>
      </c>
      <c r="G2125" s="107">
        <v>8715</v>
      </c>
      <c r="H2125" s="12">
        <v>45992</v>
      </c>
      <c r="I2125" s="27">
        <v>89150.64</v>
      </c>
      <c r="J2125" s="24">
        <v>79968.13</v>
      </c>
      <c r="K2125" s="3">
        <v>46035</v>
      </c>
      <c r="L2125" s="91">
        <v>46062</v>
      </c>
      <c r="M2125" s="11">
        <v>46062</v>
      </c>
      <c r="N2125" s="18" t="s">
        <v>588</v>
      </c>
      <c r="O2125" s="34">
        <v>0</v>
      </c>
      <c r="P2125"/>
      <c r="Q2125" t="str">
        <f>IFERROR(VLOOKUP(Tabela1[[#This Row],[CC]],CC!$A$1:$H$389,5,0),"")</f>
        <v>CSA</v>
      </c>
      <c r="R2125" t="str">
        <f>IFERROR(VLOOKUP(Tabela1[[#This Row],[CC]],CC!$A$1:$H$389,6,0),"")</f>
        <v>PS</v>
      </c>
      <c r="S2125" t="str">
        <f>IFERROR(VLOOKUP(Tabela1[[#This Row],[CC]],CC!$A$1:$H$403,8,0),"")</f>
        <v>OP4</v>
      </c>
    </row>
    <row r="2126" spans="1:21" x14ac:dyDescent="0.3">
      <c r="A2126" s="8">
        <v>1358</v>
      </c>
      <c r="B2126" s="8" t="str">
        <f>IFERROR(VLOOKUP(Tabela1[[#This Row],[CC]],#REF!,5,0),"")</f>
        <v/>
      </c>
      <c r="C2126" t="str">
        <f>IFERROR(VLOOKUP(Tabela1[[#This Row],[CC]],CC!$A$1:$H$389,7,0),"")</f>
        <v>ROGERIO GORDILHO</v>
      </c>
      <c r="D2126" t="str">
        <f>IFERROR(VLOOKUP(Tabela1[[#This Row],[CC]],CC!$A$1:$I$3869,3,0),"")</f>
        <v>INEMA</v>
      </c>
      <c r="E2126" t="str">
        <f>IFERROR(VLOOKUP(Tabela1[[#This Row],[CC]],CC!$A$1:$H$389,2,0),"")</f>
        <v>INEMA N3 (1358)</v>
      </c>
      <c r="F2126" t="s">
        <v>586</v>
      </c>
      <c r="G2126" s="107">
        <v>8719</v>
      </c>
      <c r="H2126" s="12">
        <v>45992</v>
      </c>
      <c r="I2126" s="27">
        <v>7649.4</v>
      </c>
      <c r="J2126" s="24">
        <v>6861.51</v>
      </c>
      <c r="K2126" s="3">
        <v>46038</v>
      </c>
      <c r="L2126" s="91">
        <v>46062</v>
      </c>
      <c r="M2126" s="11">
        <v>46062</v>
      </c>
      <c r="N2126" s="18" t="s">
        <v>588</v>
      </c>
      <c r="O2126" s="34">
        <v>0</v>
      </c>
      <c r="P2126"/>
      <c r="Q2126" t="str">
        <f>IFERROR(VLOOKUP(Tabela1[[#This Row],[CC]],CC!$A$1:$H$389,5,0),"")</f>
        <v>CSA</v>
      </c>
      <c r="R2126" t="str">
        <f>IFERROR(VLOOKUP(Tabela1[[#This Row],[CC]],CC!$A$1:$H$389,6,0),"")</f>
        <v>PS</v>
      </c>
      <c r="S2126" t="str">
        <f>IFERROR(VLOOKUP(Tabela1[[#This Row],[CC]],CC!$A$1:$H$403,8,0),"")</f>
        <v>OP4</v>
      </c>
    </row>
    <row r="2127" spans="1:21" x14ac:dyDescent="0.3">
      <c r="A2127" s="8">
        <v>1473</v>
      </c>
      <c r="B2127" s="8" t="str">
        <f>IFERROR(VLOOKUP(Tabela1[[#This Row],[CC]],#REF!,5,0),"")</f>
        <v/>
      </c>
      <c r="C2127" t="str">
        <f>IFERROR(VLOOKUP(Tabela1[[#This Row],[CC]],CC!$A$1:$H$389,7,0),"")</f>
        <v>ROGERIO GORDILHO</v>
      </c>
      <c r="D2127" t="str">
        <f>IFERROR(VLOOKUP(Tabela1[[#This Row],[CC]],CC!$A$1:$I$3869,3,0),"")</f>
        <v>MP_BA</v>
      </c>
      <c r="E2127" t="str">
        <f>IFERROR(VLOOKUP(Tabela1[[#This Row],[CC]],CC!$A$1:$H$389,2,0),"")</f>
        <v>MP - BA I (1473)</v>
      </c>
      <c r="F2127" t="s">
        <v>586</v>
      </c>
      <c r="G2127" s="107"/>
      <c r="H2127" s="12">
        <v>46143</v>
      </c>
      <c r="I2127" s="24">
        <f>245490</f>
        <v>245490</v>
      </c>
      <c r="J2127" s="24">
        <v>219606.43</v>
      </c>
      <c r="K2127" s="3">
        <v>46174</v>
      </c>
      <c r="L2127" s="91">
        <v>46202</v>
      </c>
      <c r="M2127" s="11"/>
      <c r="N2127" s="18" t="s">
        <v>572</v>
      </c>
      <c r="O2127" s="34"/>
      <c r="P2127"/>
      <c r="Q2127" t="str">
        <f>IFERROR(VLOOKUP(Tabela1[[#This Row],[CC]],CC!$A$1:$H$389,5,0),"")</f>
        <v>CSA</v>
      </c>
      <c r="R2127" t="str">
        <f>IFERROR(VLOOKUP(Tabela1[[#This Row],[CC]],CC!$A$1:$H$389,6,0),"")</f>
        <v>PS</v>
      </c>
      <c r="S2127" t="str">
        <f>IFERROR(VLOOKUP(Tabela1[[#This Row],[CC]],CC!$A$1:$H$403,8,0),"")</f>
        <v>OP4</v>
      </c>
    </row>
    <row r="2128" spans="1:21" x14ac:dyDescent="0.3">
      <c r="A2128" s="8">
        <v>1473</v>
      </c>
      <c r="B2128" s="8" t="str">
        <f>IFERROR(VLOOKUP(Tabela1[[#This Row],[CC]],#REF!,5,0),"")</f>
        <v/>
      </c>
      <c r="C2128" t="str">
        <f>IFERROR(VLOOKUP(Tabela1[[#This Row],[CC]],CC!$A$1:$H$389,7,0),"")</f>
        <v>ROGERIO GORDILHO</v>
      </c>
      <c r="D2128" t="str">
        <f>IFERROR(VLOOKUP(Tabela1[[#This Row],[CC]],CC!$A$1:$I$3869,3,0),"")</f>
        <v>MP_BA</v>
      </c>
      <c r="E2128" t="str">
        <f>IFERROR(VLOOKUP(Tabela1[[#This Row],[CC]],CC!$A$1:$H$389,2,0),"")</f>
        <v>MP - BA I (1473)</v>
      </c>
      <c r="F2128" t="s">
        <v>586</v>
      </c>
      <c r="G2128" s="107">
        <v>9003</v>
      </c>
      <c r="H2128" s="12">
        <v>46143</v>
      </c>
      <c r="I2128" s="24">
        <v>36839.68</v>
      </c>
      <c r="J2128" s="24">
        <v>34334.589999999997</v>
      </c>
      <c r="K2128" s="3">
        <v>46181</v>
      </c>
      <c r="L2128" s="91">
        <v>46271</v>
      </c>
      <c r="M2128" s="11"/>
      <c r="N2128" s="18" t="s">
        <v>587</v>
      </c>
      <c r="O2128" s="34"/>
      <c r="P2128"/>
      <c r="Q2128" t="str">
        <f>IFERROR(VLOOKUP(Tabela1[[#This Row],[CC]],CC!$A$1:$H$389,5,0),"")</f>
        <v>CSA</v>
      </c>
      <c r="R2128" t="str">
        <f>IFERROR(VLOOKUP(Tabela1[[#This Row],[CC]],CC!$A$1:$H$389,6,0),"")</f>
        <v>PS</v>
      </c>
      <c r="S2128" t="str">
        <f>IFERROR(VLOOKUP(Tabela1[[#This Row],[CC]],CC!$A$1:$H$403,8,0),"")</f>
        <v>OP4</v>
      </c>
    </row>
    <row r="2129" spans="1:23" x14ac:dyDescent="0.3">
      <c r="A2129" s="8">
        <v>1358</v>
      </c>
      <c r="B2129" s="8" t="str">
        <f>IFERROR(VLOOKUP(Tabela1[[#This Row],[CC]],#REF!,5,0),"")</f>
        <v/>
      </c>
      <c r="C2129" t="str">
        <f>IFERROR(VLOOKUP(Tabela1[[#This Row],[CC]],CC!$A$1:$H$389,7,0),"")</f>
        <v>ROGERIO GORDILHO</v>
      </c>
      <c r="D2129" t="str">
        <f>IFERROR(VLOOKUP(Tabela1[[#This Row],[CC]],CC!$A$1:$I$3869,3,0),"")</f>
        <v>INEMA</v>
      </c>
      <c r="E2129" t="str">
        <f>IFERROR(VLOOKUP(Tabela1[[#This Row],[CC]],CC!$A$1:$H$389,2,0),"")</f>
        <v>INEMA N3 (1358)</v>
      </c>
      <c r="F2129" t="s">
        <v>586</v>
      </c>
      <c r="G2129" s="107">
        <v>8778</v>
      </c>
      <c r="H2129" s="12">
        <v>46023</v>
      </c>
      <c r="I2129" s="27">
        <v>3220.8</v>
      </c>
      <c r="J2129" s="24">
        <v>2889.05</v>
      </c>
      <c r="K2129" s="3">
        <v>46083</v>
      </c>
      <c r="L2129" s="91">
        <v>46090</v>
      </c>
      <c r="M2129" s="11">
        <v>46093</v>
      </c>
      <c r="N2129" s="18" t="s">
        <v>588</v>
      </c>
      <c r="O2129" s="34">
        <v>0</v>
      </c>
      <c r="P2129"/>
      <c r="Q2129" t="str">
        <f>IFERROR(VLOOKUP(Tabela1[[#This Row],[CC]],CC!$A$1:$H$389,5,0),"")</f>
        <v>CSA</v>
      </c>
      <c r="R2129" t="str">
        <f>IFERROR(VLOOKUP(Tabela1[[#This Row],[CC]],CC!$A$1:$H$389,6,0),"")</f>
        <v>PS</v>
      </c>
      <c r="S2129" t="str">
        <f>IFERROR(VLOOKUP(Tabela1[[#This Row],[CC]],CC!$A$1:$H$403,8,0),"")</f>
        <v>OP4</v>
      </c>
    </row>
    <row r="2130" spans="1:23" ht="15" customHeight="1" x14ac:dyDescent="0.3">
      <c r="A2130" s="8">
        <v>1358</v>
      </c>
      <c r="B2130" s="8" t="str">
        <f>IFERROR(VLOOKUP(Tabela1[[#This Row],[CC]],#REF!,5,0),"")</f>
        <v/>
      </c>
      <c r="C2130" t="str">
        <f>IFERROR(VLOOKUP(Tabela1[[#This Row],[CC]],CC!$A$1:$H$389,7,0),"")</f>
        <v>ROGERIO GORDILHO</v>
      </c>
      <c r="D2130" t="str">
        <f>IFERROR(VLOOKUP(Tabela1[[#This Row],[CC]],CC!$A$1:$I$3869,3,0),"")</f>
        <v>INEMA</v>
      </c>
      <c r="E2130" t="str">
        <f>IFERROR(VLOOKUP(Tabela1[[#This Row],[CC]],CC!$A$1:$H$389,2,0),"")</f>
        <v>INEMA N3 (1358)</v>
      </c>
      <c r="F2130" t="s">
        <v>586</v>
      </c>
      <c r="G2130" s="107">
        <v>8777</v>
      </c>
      <c r="H2130" s="12">
        <v>46023</v>
      </c>
      <c r="I2130" s="27">
        <v>89150.64</v>
      </c>
      <c r="J2130" s="24">
        <v>79968.13</v>
      </c>
      <c r="K2130" s="3">
        <v>46083</v>
      </c>
      <c r="L2130" s="91">
        <v>46090</v>
      </c>
      <c r="M2130" s="11">
        <v>46093</v>
      </c>
      <c r="N2130" s="18" t="s">
        <v>588</v>
      </c>
      <c r="O2130" s="34">
        <v>0</v>
      </c>
      <c r="P2130"/>
      <c r="Q2130" t="str">
        <f>IFERROR(VLOOKUP(Tabela1[[#This Row],[CC]],CC!$A$1:$H$389,5,0),"")</f>
        <v>CSA</v>
      </c>
      <c r="R2130" t="str">
        <f>IFERROR(VLOOKUP(Tabela1[[#This Row],[CC]],CC!$A$1:$H$389,6,0),"")</f>
        <v>PS</v>
      </c>
      <c r="S2130" t="str">
        <f>IFERROR(VLOOKUP(Tabela1[[#This Row],[CC]],CC!$A$1:$H$403,8,0),"")</f>
        <v>OP4</v>
      </c>
    </row>
    <row r="2131" spans="1:23" x14ac:dyDescent="0.3">
      <c r="A2131" s="8">
        <v>1358</v>
      </c>
      <c r="B2131" s="8" t="str">
        <f>IFERROR(VLOOKUP(Tabela1[[#This Row],[CC]],#REF!,5,0),"")</f>
        <v/>
      </c>
      <c r="C2131" t="str">
        <f>IFERROR(VLOOKUP(Tabela1[[#This Row],[CC]],CC!$A$1:$H$389,7,0),"")</f>
        <v>ROGERIO GORDILHO</v>
      </c>
      <c r="D2131" t="str">
        <f>IFERROR(VLOOKUP(Tabela1[[#This Row],[CC]],CC!$A$1:$I$3869,3,0),"")</f>
        <v>INEMA</v>
      </c>
      <c r="E2131" t="str">
        <f>IFERROR(VLOOKUP(Tabela1[[#This Row],[CC]],CC!$A$1:$H$389,2,0),"")</f>
        <v>INEMA N3 (1358)</v>
      </c>
      <c r="F2131" t="s">
        <v>586</v>
      </c>
      <c r="G2131" s="107">
        <v>8800</v>
      </c>
      <c r="H2131" s="12">
        <v>46054</v>
      </c>
      <c r="I2131" s="27">
        <v>89150.64</v>
      </c>
      <c r="J2131" s="27">
        <v>79968.13</v>
      </c>
      <c r="K2131" s="3">
        <v>46090</v>
      </c>
      <c r="L2131" s="91">
        <v>46111</v>
      </c>
      <c r="M2131" s="11">
        <v>46112</v>
      </c>
      <c r="N2131" s="18" t="s">
        <v>588</v>
      </c>
      <c r="O2131" s="34">
        <v>0</v>
      </c>
      <c r="P2131"/>
      <c r="Q2131" t="str">
        <f>IFERROR(VLOOKUP(Tabela1[[#This Row],[CC]],CC!$A$1:$H$389,5,0),"")</f>
        <v>CSA</v>
      </c>
      <c r="R2131" t="str">
        <f>IFERROR(VLOOKUP(Tabela1[[#This Row],[CC]],CC!$A$1:$H$389,6,0),"")</f>
        <v>PS</v>
      </c>
      <c r="S2131" t="str">
        <f>IFERROR(VLOOKUP(Tabela1[[#This Row],[CC]],CC!$A$1:$H$403,8,0),"")</f>
        <v>OP4</v>
      </c>
    </row>
    <row r="2132" spans="1:23" x14ac:dyDescent="0.3">
      <c r="A2132" s="25">
        <v>1288</v>
      </c>
      <c r="B2132" s="25" t="str">
        <f>IFERROR(VLOOKUP(Tabela1[[#This Row],[CC]],#REF!,5,0),"")</f>
        <v/>
      </c>
      <c r="C2132" t="str">
        <f>IFERROR(VLOOKUP(Tabela1[[#This Row],[CC]],CC!$A$1:$H$389,7,0),"")</f>
        <v>LIZANDRA PIMENTA</v>
      </c>
      <c r="D2132" t="str">
        <f>IFERROR(VLOOKUP(Tabela1[[#This Row],[CC]],CC!$A$1:$I$3869,3,0),"")</f>
        <v>SEC-BA</v>
      </c>
      <c r="E2132" t="str">
        <f>IFERROR(VLOOKUP(Tabela1[[#This Row],[CC]],CC!$A$1:$H$389,2,0),"")</f>
        <v>SEC BA SISTEMAS  (1288)</v>
      </c>
      <c r="F2132" t="s">
        <v>586</v>
      </c>
      <c r="G2132" s="107">
        <v>9008</v>
      </c>
      <c r="H2132" s="132">
        <v>45992</v>
      </c>
      <c r="I2132" s="43">
        <v>393510.56</v>
      </c>
      <c r="J2132" s="24">
        <v>366751.84</v>
      </c>
      <c r="K2132" s="3">
        <v>46183</v>
      </c>
      <c r="L2132" s="91">
        <v>46195</v>
      </c>
      <c r="M2132" s="11"/>
      <c r="N2132" s="18" t="s">
        <v>587</v>
      </c>
      <c r="O2132" s="34"/>
      <c r="P2132" s="24"/>
      <c r="Q2132" t="str">
        <f>IFERROR(VLOOKUP(Tabela1[[#This Row],[CC]],CC!$A$1:$H$389,5,0),"")</f>
        <v>ADS</v>
      </c>
      <c r="R2132" t="str">
        <f>IFERROR(VLOOKUP(Tabela1[[#This Row],[CC]],CC!$A$1:$H$389,6,0),"")</f>
        <v>PS</v>
      </c>
      <c r="S2132" t="str">
        <f>IFERROR(VLOOKUP(Tabela1[[#This Row],[CC]],CC!$A$1:$H$403,8,0),"")</f>
        <v>OP3</v>
      </c>
    </row>
    <row r="2133" spans="1:23" x14ac:dyDescent="0.3">
      <c r="A2133" s="25">
        <v>1288</v>
      </c>
      <c r="B2133" s="25" t="str">
        <f>IFERROR(VLOOKUP(Tabela1[[#This Row],[CC]],#REF!,5,0),"")</f>
        <v/>
      </c>
      <c r="C2133" t="str">
        <f>IFERROR(VLOOKUP(Tabela1[[#This Row],[CC]],CC!$A$1:$H$389,7,0),"")</f>
        <v>LIZANDRA PIMENTA</v>
      </c>
      <c r="D2133" t="str">
        <f>IFERROR(VLOOKUP(Tabela1[[#This Row],[CC]],CC!$A$1:$I$3869,3,0),"")</f>
        <v>SEC-BA</v>
      </c>
      <c r="E2133" t="str">
        <f>IFERROR(VLOOKUP(Tabela1[[#This Row],[CC]],CC!$A$1:$H$389,2,0),"")</f>
        <v>SEC BA SISTEMAS  (1288)</v>
      </c>
      <c r="F2133" t="s">
        <v>586</v>
      </c>
      <c r="G2133" s="107"/>
      <c r="H2133" s="12">
        <v>46054</v>
      </c>
      <c r="I2133" s="43">
        <v>393560</v>
      </c>
      <c r="J2133" s="24"/>
      <c r="K2133" s="3">
        <v>46143</v>
      </c>
      <c r="L2133" s="91">
        <v>46195</v>
      </c>
      <c r="M2133" s="11"/>
      <c r="N2133" s="18" t="s">
        <v>572</v>
      </c>
      <c r="O2133" s="34"/>
      <c r="P2133" s="24"/>
      <c r="Q2133" t="str">
        <f>IFERROR(VLOOKUP(Tabela1[[#This Row],[CC]],CC!$A$1:$H$389,5,0),"")</f>
        <v>ADS</v>
      </c>
      <c r="R2133" t="str">
        <f>IFERROR(VLOOKUP(Tabela1[[#This Row],[CC]],CC!$A$1:$H$389,6,0),"")</f>
        <v>PS</v>
      </c>
      <c r="S2133" t="str">
        <f>IFERROR(VLOOKUP(Tabela1[[#This Row],[CC]],CC!$A$1:$H$403,8,0),"")</f>
        <v>OP3</v>
      </c>
    </row>
    <row r="2134" spans="1:23" x14ac:dyDescent="0.3">
      <c r="A2134" s="25">
        <v>1299</v>
      </c>
      <c r="B2134" s="25" t="str">
        <f>IFERROR(VLOOKUP(Tabela1[[#This Row],[CC]],#REF!,5,0),"")</f>
        <v/>
      </c>
      <c r="C2134" t="str">
        <f>IFERROR(VLOOKUP(Tabela1[[#This Row],[CC]],CC!$A$1:$H$389,7,0),"")</f>
        <v>LIZANDRA PIMENTA</v>
      </c>
      <c r="D2134" t="str">
        <f>IFERROR(VLOOKUP(Tabela1[[#This Row],[CC]],CC!$A$1:$I$3869,3,0),"")</f>
        <v>SEC-BA</v>
      </c>
      <c r="E2134" t="str">
        <f>IFERROR(VLOOKUP(Tabela1[[#This Row],[CC]],CC!$A$1:$H$389,2,0),"")</f>
        <v>SEC SIGEDUC (1299)</v>
      </c>
      <c r="F2134" t="s">
        <v>586</v>
      </c>
      <c r="G2134" s="106">
        <v>8896</v>
      </c>
      <c r="H2134" s="12">
        <v>46054</v>
      </c>
      <c r="I2134" s="24">
        <v>1020096</v>
      </c>
      <c r="J2134" s="24">
        <v>950729.47</v>
      </c>
      <c r="K2134" s="3">
        <v>46140</v>
      </c>
      <c r="L2134" s="147">
        <v>46146</v>
      </c>
      <c r="M2134" s="11">
        <v>46148</v>
      </c>
      <c r="N2134" s="18" t="s">
        <v>588</v>
      </c>
      <c r="O2134" s="67"/>
      <c r="P2134" s="26"/>
      <c r="Q2134" t="str">
        <f>IFERROR(VLOOKUP(Tabela1[[#This Row],[CC]],CC!$A$1:$H$389,5,0),"")</f>
        <v>ADS</v>
      </c>
      <c r="R2134" t="str">
        <f>IFERROR(VLOOKUP(Tabela1[[#This Row],[CC]],CC!$A$1:$H$389,6,0),"")</f>
        <v>PS</v>
      </c>
      <c r="S2134" t="str">
        <f>IFERROR(VLOOKUP(Tabela1[[#This Row],[CC]],CC!$A$1:$H$403,8,0),"")</f>
        <v>OP3</v>
      </c>
    </row>
    <row r="2135" spans="1:23" x14ac:dyDescent="0.3">
      <c r="A2135" s="25">
        <v>1271</v>
      </c>
      <c r="B2135" s="25" t="str">
        <f>IFERROR(VLOOKUP(Tabela1[[#This Row],[CC]],#REF!,5,0),"")</f>
        <v/>
      </c>
      <c r="C2135" t="str">
        <f>IFERROR(VLOOKUP(Tabela1[[#This Row],[CC]],CC!$A$1:$H$389,7,0),"")</f>
        <v>LIZANDRA PIMENTA</v>
      </c>
      <c r="D2135" t="str">
        <f>IFERROR(VLOOKUP(Tabela1[[#This Row],[CC]],CC!$A$1:$I$3869,3,0),"")</f>
        <v>SEC-BA</v>
      </c>
      <c r="E2135" t="str">
        <f>IFERROR(VLOOKUP(Tabela1[[#This Row],[CC]],CC!$A$1:$H$389,2,0),"")</f>
        <v>SEC SD (1271)</v>
      </c>
      <c r="F2135" t="s">
        <v>586</v>
      </c>
      <c r="G2135" s="107">
        <v>8923</v>
      </c>
      <c r="H2135" s="12">
        <v>46082</v>
      </c>
      <c r="I2135" s="24">
        <v>255597.54</v>
      </c>
      <c r="J2135" s="24">
        <v>238216.91</v>
      </c>
      <c r="K2135" s="3">
        <v>46149</v>
      </c>
      <c r="L2135" s="91">
        <v>46153</v>
      </c>
      <c r="M2135" s="11">
        <v>46157</v>
      </c>
      <c r="N2135" s="18" t="s">
        <v>588</v>
      </c>
      <c r="O2135" s="34"/>
      <c r="P2135" s="24"/>
      <c r="Q2135" t="str">
        <f>IFERROR(VLOOKUP(Tabela1[[#This Row],[CC]],CC!$A$1:$H$389,5,0),"")</f>
        <v>CSA</v>
      </c>
      <c r="R2135" t="str">
        <f>IFERROR(VLOOKUP(Tabela1[[#This Row],[CC]],CC!$A$1:$H$389,6,0),"")</f>
        <v>PS</v>
      </c>
      <c r="S2135" t="str">
        <f>IFERROR(VLOOKUP(Tabela1[[#This Row],[CC]],CC!$A$1:$H$403,8,0),"")</f>
        <v>OP3</v>
      </c>
    </row>
    <row r="2136" spans="1:23" x14ac:dyDescent="0.3">
      <c r="A2136" s="8">
        <v>1358</v>
      </c>
      <c r="B2136" s="8" t="str">
        <f>IFERROR(VLOOKUP(Tabela1[[#This Row],[CC]],#REF!,5,0),"")</f>
        <v/>
      </c>
      <c r="C2136" t="str">
        <f>IFERROR(VLOOKUP(Tabela1[[#This Row],[CC]],CC!$A$1:$H$389,7,0),"")</f>
        <v>ROGERIO GORDILHO</v>
      </c>
      <c r="D2136" t="str">
        <f>IFERROR(VLOOKUP(Tabela1[[#This Row],[CC]],CC!$A$1:$I$3869,3,0),"")</f>
        <v>INEMA</v>
      </c>
      <c r="E2136" t="str">
        <f>IFERROR(VLOOKUP(Tabela1[[#This Row],[CC]],CC!$A$1:$H$389,2,0),"")</f>
        <v>INEMA N3 (1358)</v>
      </c>
      <c r="F2136" t="s">
        <v>586</v>
      </c>
      <c r="G2136" s="107"/>
      <c r="H2136" s="12">
        <v>45962</v>
      </c>
      <c r="I2136" s="24">
        <f>125574-89150.64</f>
        <v>36423.360000000001</v>
      </c>
      <c r="J2136" s="24"/>
      <c r="K2136" s="3">
        <v>46082</v>
      </c>
      <c r="L2136" s="91"/>
      <c r="M2136" s="11"/>
      <c r="N2136" s="18" t="s">
        <v>572</v>
      </c>
      <c r="O2136" s="34">
        <v>0</v>
      </c>
      <c r="P2136"/>
      <c r="Q2136" t="str">
        <f>IFERROR(VLOOKUP(Tabela1[[#This Row],[CC]],CC!$A$1:$H$389,5,0),"")</f>
        <v>CSA</v>
      </c>
      <c r="R2136" t="str">
        <f>IFERROR(VLOOKUP(Tabela1[[#This Row],[CC]],CC!$A$1:$H$389,6,0),"")</f>
        <v>PS</v>
      </c>
      <c r="S2136" t="str">
        <f>IFERROR(VLOOKUP(Tabela1[[#This Row],[CC]],CC!$A$1:$H$403,8,0),"")</f>
        <v>OP4</v>
      </c>
    </row>
    <row r="2137" spans="1:23" x14ac:dyDescent="0.3">
      <c r="A2137" s="8">
        <v>1473</v>
      </c>
      <c r="B2137" s="8" t="str">
        <f>IFERROR(VLOOKUP(Tabela1[[#This Row],[CC]],#REF!,5,0),"")</f>
        <v/>
      </c>
      <c r="C2137" t="str">
        <f>IFERROR(VLOOKUP(Tabela1[[#This Row],[CC]],CC!$A$1:$H$389,7,0),"")</f>
        <v>ROGERIO GORDILHO</v>
      </c>
      <c r="D2137" t="str">
        <f>IFERROR(VLOOKUP(Tabela1[[#This Row],[CC]],CC!$A$1:$I$3869,3,0),"")</f>
        <v>MP_BA</v>
      </c>
      <c r="E2137" t="str">
        <f>IFERROR(VLOOKUP(Tabela1[[#This Row],[CC]],CC!$A$1:$H$389,2,0),"")</f>
        <v>MP - BA I (1473)</v>
      </c>
      <c r="F2137" t="s">
        <v>586</v>
      </c>
      <c r="G2137" s="107">
        <v>8670</v>
      </c>
      <c r="H2137" s="12">
        <v>45962</v>
      </c>
      <c r="I2137" s="24">
        <v>236280.79</v>
      </c>
      <c r="J2137" s="24">
        <v>220013.69</v>
      </c>
      <c r="K2137" s="3">
        <v>46001</v>
      </c>
      <c r="L2137" s="91">
        <v>46013</v>
      </c>
      <c r="M2137" s="11">
        <v>46014</v>
      </c>
      <c r="N2137" s="18" t="s">
        <v>588</v>
      </c>
      <c r="O2137" s="34">
        <v>0</v>
      </c>
      <c r="P2137"/>
      <c r="Q2137" t="str">
        <f>IFERROR(VLOOKUP(Tabela1[[#This Row],[CC]],CC!$A$1:$H$389,5,0),"")</f>
        <v>CSA</v>
      </c>
      <c r="R2137" t="str">
        <f>IFERROR(VLOOKUP(Tabela1[[#This Row],[CC]],CC!$A$1:$H$389,6,0),"")</f>
        <v>PS</v>
      </c>
      <c r="S2137" t="str">
        <f>IFERROR(VLOOKUP(Tabela1[[#This Row],[CC]],CC!$A$1:$H$403,8,0),"")</f>
        <v>OP4</v>
      </c>
    </row>
    <row r="2138" spans="1:23" x14ac:dyDescent="0.3">
      <c r="A2138" s="8">
        <v>1473</v>
      </c>
      <c r="B2138" s="8" t="str">
        <f>IFERROR(VLOOKUP(Tabela1[[#This Row],[CC]],#REF!,5,0),"")</f>
        <v/>
      </c>
      <c r="C2138" t="str">
        <f>IFERROR(VLOOKUP(Tabela1[[#This Row],[CC]],CC!$A$1:$H$389,7,0),"")</f>
        <v>ROGERIO GORDILHO</v>
      </c>
      <c r="D2138" t="str">
        <f>IFERROR(VLOOKUP(Tabela1[[#This Row],[CC]],CC!$A$1:$I$3869,3,0),"")</f>
        <v>MP_BA</v>
      </c>
      <c r="E2138" t="str">
        <f>IFERROR(VLOOKUP(Tabela1[[#This Row],[CC]],CC!$A$1:$H$389,2,0),"")</f>
        <v>MP - BA I (1473)</v>
      </c>
      <c r="F2138" t="s">
        <v>586</v>
      </c>
      <c r="G2138" s="107"/>
      <c r="H2138" s="12">
        <v>45992</v>
      </c>
      <c r="I2138" s="24">
        <v>30446</v>
      </c>
      <c r="J2138" s="24"/>
      <c r="K2138" s="3">
        <v>46082</v>
      </c>
      <c r="L2138" s="91"/>
      <c r="M2138" s="11"/>
      <c r="N2138" s="18" t="s">
        <v>572</v>
      </c>
      <c r="O2138" s="34">
        <v>0</v>
      </c>
      <c r="P2138"/>
      <c r="Q2138" t="str">
        <f>IFERROR(VLOOKUP(Tabela1[[#This Row],[CC]],CC!$A$1:$H$389,5,0),"")</f>
        <v>CSA</v>
      </c>
      <c r="R2138" t="str">
        <f>IFERROR(VLOOKUP(Tabela1[[#This Row],[CC]],CC!$A$1:$H$389,6,0),"")</f>
        <v>PS</v>
      </c>
      <c r="S2138" t="str">
        <f>IFERROR(VLOOKUP(Tabela1[[#This Row],[CC]],CC!$A$1:$H$403,8,0),"")</f>
        <v>OP4</v>
      </c>
    </row>
    <row r="2139" spans="1:23" x14ac:dyDescent="0.3">
      <c r="A2139" s="8">
        <v>1473</v>
      </c>
      <c r="B2139" s="8" t="str">
        <f>IFERROR(VLOOKUP(Tabela1[[#This Row],[CC]],#REF!,5,0),"")</f>
        <v/>
      </c>
      <c r="C2139" t="str">
        <f>IFERROR(VLOOKUP(Tabela1[[#This Row],[CC]],CC!$A$1:$H$389,7,0),"")</f>
        <v>ROGERIO GORDILHO</v>
      </c>
      <c r="D2139" t="str">
        <f>IFERROR(VLOOKUP(Tabela1[[#This Row],[CC]],CC!$A$1:$I$3869,3,0),"")</f>
        <v>MP_BA</v>
      </c>
      <c r="E2139" t="str">
        <f>IFERROR(VLOOKUP(Tabela1[[#This Row],[CC]],CC!$A$1:$H$389,2,0),"")</f>
        <v>MP - BA I (1473)</v>
      </c>
      <c r="F2139" t="s">
        <v>586</v>
      </c>
      <c r="G2139" s="107">
        <v>8837</v>
      </c>
      <c r="H2139" s="12">
        <v>46054</v>
      </c>
      <c r="I2139" s="27">
        <v>236280.79</v>
      </c>
      <c r="J2139" s="24">
        <v>220213.69</v>
      </c>
      <c r="K2139" s="3">
        <v>46113</v>
      </c>
      <c r="L2139" s="91">
        <v>46139</v>
      </c>
      <c r="M2139" s="11">
        <v>46139</v>
      </c>
      <c r="N2139" s="18" t="s">
        <v>588</v>
      </c>
      <c r="O2139" s="34"/>
      <c r="P2139"/>
      <c r="Q2139" t="str">
        <f>IFERROR(VLOOKUP(Tabela1[[#This Row],[CC]],CC!$A$1:$H$389,5,0),"")</f>
        <v>CSA</v>
      </c>
      <c r="R2139" t="str">
        <f>IFERROR(VLOOKUP(Tabela1[[#This Row],[CC]],CC!$A$1:$H$389,6,0),"")</f>
        <v>PS</v>
      </c>
      <c r="S2139" t="str">
        <f>IFERROR(VLOOKUP(Tabela1[[#This Row],[CC]],CC!$A$1:$H$403,8,0),"")</f>
        <v>OP4</v>
      </c>
    </row>
    <row r="2140" spans="1:23" x14ac:dyDescent="0.3">
      <c r="A2140" s="25">
        <v>1289</v>
      </c>
      <c r="B2140" s="25" t="str">
        <f>IFERROR(VLOOKUP(Tabela1[[#This Row],[CC]],#REF!,5,0),"")</f>
        <v/>
      </c>
      <c r="C2140" t="str">
        <f>IFERROR(VLOOKUP(Tabela1[[#This Row],[CC]],CC!$A$1:$H$389,7,0),"")</f>
        <v>LIZANDRA PIMENTA</v>
      </c>
      <c r="D2140" t="str">
        <f>IFERROR(VLOOKUP(Tabela1[[#This Row],[CC]],CC!$A$1:$I$3869,3,0),"")</f>
        <v>SEC-BA</v>
      </c>
      <c r="E2140" t="str">
        <f>IFERROR(VLOOKUP(Tabela1[[#This Row],[CC]],CC!$A$1:$H$389,2,0),"")</f>
        <v>SEC N3 NOVO (1289)</v>
      </c>
      <c r="F2140" t="s">
        <v>586</v>
      </c>
      <c r="G2140" s="107"/>
      <c r="H2140" s="12">
        <v>46113</v>
      </c>
      <c r="I2140" s="24">
        <v>301917</v>
      </c>
      <c r="J2140" s="27"/>
      <c r="K2140" s="3">
        <v>46174</v>
      </c>
      <c r="L2140" s="91">
        <v>46195</v>
      </c>
      <c r="M2140" s="11"/>
      <c r="N2140" s="18" t="s">
        <v>572</v>
      </c>
      <c r="O2140" s="34"/>
      <c r="P2140"/>
      <c r="Q2140" t="str">
        <f>IFERROR(VLOOKUP(Tabela1[[#This Row],[CC]],CC!$A$1:$H$389,5,0),"")</f>
        <v>CSA</v>
      </c>
      <c r="R2140" t="str">
        <f>IFERROR(VLOOKUP(Tabela1[[#This Row],[CC]],CC!$A$1:$H$389,6,0),"")</f>
        <v>PS</v>
      </c>
      <c r="S2140" t="str">
        <f>IFERROR(VLOOKUP(Tabela1[[#This Row],[CC]],CC!$A$1:$H$403,8,0),"")</f>
        <v>OP3</v>
      </c>
    </row>
    <row r="2141" spans="1:23" x14ac:dyDescent="0.3">
      <c r="A2141" s="25">
        <v>1299</v>
      </c>
      <c r="B2141" s="25" t="str">
        <f>IFERROR(VLOOKUP(Tabela1[[#This Row],[CC]],#REF!,5,0),"")</f>
        <v/>
      </c>
      <c r="C2141" t="str">
        <f>IFERROR(VLOOKUP(Tabela1[[#This Row],[CC]],CC!$A$1:$H$389,7,0),"")</f>
        <v>LIZANDRA PIMENTA</v>
      </c>
      <c r="D2141" t="str">
        <f>IFERROR(VLOOKUP(Tabela1[[#This Row],[CC]],CC!$A$1:$I$3869,3,0),"")</f>
        <v>SEC-BA</v>
      </c>
      <c r="E2141" t="str">
        <f>IFERROR(VLOOKUP(Tabela1[[#This Row],[CC]],CC!$A$1:$H$389,2,0),"")</f>
        <v>SEC SIGEDUC (1299)</v>
      </c>
      <c r="F2141" t="s">
        <v>586</v>
      </c>
      <c r="G2141" s="106">
        <v>8947</v>
      </c>
      <c r="H2141" s="12">
        <v>46082</v>
      </c>
      <c r="I2141" s="24">
        <v>1020096</v>
      </c>
      <c r="J2141" s="24">
        <v>950729.47</v>
      </c>
      <c r="K2141" s="3">
        <v>46160</v>
      </c>
      <c r="L2141" s="91">
        <v>46167</v>
      </c>
      <c r="M2141" s="11">
        <v>46167</v>
      </c>
      <c r="N2141" s="18" t="s">
        <v>588</v>
      </c>
      <c r="O2141" s="67"/>
      <c r="P2141" s="26"/>
      <c r="Q2141" t="str">
        <f>IFERROR(VLOOKUP(Tabela1[[#This Row],[CC]],CC!$A$1:$H$389,5,0),"")</f>
        <v>ADS</v>
      </c>
      <c r="R2141" t="str">
        <f>IFERROR(VLOOKUP(Tabela1[[#This Row],[CC]],CC!$A$1:$H$389,6,0),"")</f>
        <v>PS</v>
      </c>
      <c r="S2141" t="str">
        <f>IFERROR(VLOOKUP(Tabela1[[#This Row],[CC]],CC!$A$1:$H$403,8,0),"")</f>
        <v>OP3</v>
      </c>
    </row>
    <row r="2142" spans="1:23" x14ac:dyDescent="0.3">
      <c r="A2142" s="25">
        <v>1271</v>
      </c>
      <c r="B2142" s="25" t="str">
        <f>IFERROR(VLOOKUP(Tabela1[[#This Row],[CC]],#REF!,5,0),"")</f>
        <v/>
      </c>
      <c r="C2142" t="str">
        <f>IFERROR(VLOOKUP(Tabela1[[#This Row],[CC]],CC!$A$1:$H$389,7,0),"")</f>
        <v>LIZANDRA PIMENTA</v>
      </c>
      <c r="D2142" t="str">
        <f>IFERROR(VLOOKUP(Tabela1[[#This Row],[CC]],CC!$A$1:$I$3869,3,0),"")</f>
        <v>SEC-BA</v>
      </c>
      <c r="E2142" t="str">
        <f>IFERROR(VLOOKUP(Tabela1[[#This Row],[CC]],CC!$A$1:$H$389,2,0),"")</f>
        <v>SEC SD (1271)</v>
      </c>
      <c r="F2142" t="s">
        <v>586</v>
      </c>
      <c r="G2142" s="107">
        <v>8974</v>
      </c>
      <c r="H2142" s="12">
        <v>46113</v>
      </c>
      <c r="I2142" s="43">
        <v>255597.54</v>
      </c>
      <c r="J2142" s="24">
        <v>238216.91</v>
      </c>
      <c r="K2142" s="3">
        <v>46169</v>
      </c>
      <c r="L2142" s="147">
        <v>46181</v>
      </c>
      <c r="M2142" s="11">
        <v>46181</v>
      </c>
      <c r="N2142" s="18" t="s">
        <v>588</v>
      </c>
      <c r="O2142" s="34"/>
      <c r="P2142" s="24"/>
      <c r="Q2142" t="str">
        <f>IFERROR(VLOOKUP(Tabela1[[#This Row],[CC]],CC!$A$1:$H$389,5,0),"")</f>
        <v>CSA</v>
      </c>
      <c r="R2142" t="str">
        <f>IFERROR(VLOOKUP(Tabela1[[#This Row],[CC]],CC!$A$1:$H$389,6,0),"")</f>
        <v>PS</v>
      </c>
      <c r="S2142" t="str">
        <f>IFERROR(VLOOKUP(Tabela1[[#This Row],[CC]],CC!$A$1:$H$403,8,0),"")</f>
        <v>OP3</v>
      </c>
      <c r="W2142" s="11">
        <v>46167</v>
      </c>
    </row>
    <row r="2143" spans="1:23" x14ac:dyDescent="0.3">
      <c r="A2143" s="8">
        <v>1473</v>
      </c>
      <c r="B2143" s="8" t="str">
        <f>IFERROR(VLOOKUP(Tabela1[[#This Row],[CC]],#REF!,5,0),"")</f>
        <v/>
      </c>
      <c r="C2143" t="str">
        <f>IFERROR(VLOOKUP(Tabela1[[#This Row],[CC]],CC!$A$1:$H$389,7,0),"")</f>
        <v>ROGERIO GORDILHO</v>
      </c>
      <c r="D2143" t="str">
        <f>IFERROR(VLOOKUP(Tabela1[[#This Row],[CC]],CC!$A$1:$I$3869,3,0),"")</f>
        <v>MP_BA</v>
      </c>
      <c r="E2143" t="str">
        <f>IFERROR(VLOOKUP(Tabela1[[#This Row],[CC]],CC!$A$1:$H$389,2,0),"")</f>
        <v>MP - BA I (1473)</v>
      </c>
      <c r="F2143" t="s">
        <v>586</v>
      </c>
      <c r="G2143" s="107">
        <v>8749</v>
      </c>
      <c r="H2143" s="12">
        <v>45992</v>
      </c>
      <c r="I2143" s="24">
        <v>235629.21</v>
      </c>
      <c r="J2143" s="24">
        <v>219606.43</v>
      </c>
      <c r="K2143" s="3">
        <v>46064</v>
      </c>
      <c r="L2143" s="91">
        <v>46104</v>
      </c>
      <c r="M2143" s="11">
        <v>46108</v>
      </c>
      <c r="N2143" s="18" t="s">
        <v>588</v>
      </c>
      <c r="O2143" s="34"/>
      <c r="P2143"/>
      <c r="Q2143" t="str">
        <f>IFERROR(VLOOKUP(Tabela1[[#This Row],[CC]],CC!$A$1:$H$389,5,0),"")</f>
        <v>CSA</v>
      </c>
      <c r="R2143" t="str">
        <f>IFERROR(VLOOKUP(Tabela1[[#This Row],[CC]],CC!$A$1:$H$389,6,0),"")</f>
        <v>PS</v>
      </c>
      <c r="S2143" t="str">
        <f>IFERROR(VLOOKUP(Tabela1[[#This Row],[CC]],CC!$A$1:$H$403,8,0),"")</f>
        <v>OP4</v>
      </c>
    </row>
    <row r="2144" spans="1:23" x14ac:dyDescent="0.3">
      <c r="A2144" s="8">
        <v>1473</v>
      </c>
      <c r="B2144" s="8" t="str">
        <f>IFERROR(VLOOKUP(Tabela1[[#This Row],[CC]],#REF!,5,0),"")</f>
        <v/>
      </c>
      <c r="C2144" t="str">
        <f>IFERROR(VLOOKUP(Tabela1[[#This Row],[CC]],CC!$A$1:$H$389,7,0),"")</f>
        <v>ROGERIO GORDILHO</v>
      </c>
      <c r="D2144" t="str">
        <f>IFERROR(VLOOKUP(Tabela1[[#This Row],[CC]],CC!$A$1:$I$3869,3,0),"")</f>
        <v>MP_BA</v>
      </c>
      <c r="E2144" t="str">
        <f>IFERROR(VLOOKUP(Tabela1[[#This Row],[CC]],CC!$A$1:$H$389,2,0),"")</f>
        <v>MP - BA I (1473)</v>
      </c>
      <c r="F2144" t="s">
        <v>586</v>
      </c>
      <c r="G2144" s="107">
        <v>8769</v>
      </c>
      <c r="H2144" s="12">
        <v>46023</v>
      </c>
      <c r="I2144" s="24">
        <v>236280.79</v>
      </c>
      <c r="J2144" s="24">
        <v>215347.12</v>
      </c>
      <c r="K2144" s="3">
        <v>46073</v>
      </c>
      <c r="L2144" s="91">
        <v>46083</v>
      </c>
      <c r="M2144" s="11">
        <v>46084</v>
      </c>
      <c r="N2144" s="18" t="s">
        <v>588</v>
      </c>
      <c r="O2144" s="34">
        <v>0</v>
      </c>
      <c r="P2144"/>
      <c r="Q2144" t="str">
        <f>IFERROR(VLOOKUP(Tabela1[[#This Row],[CC]],CC!$A$1:$H$389,5,0),"")</f>
        <v>CSA</v>
      </c>
      <c r="R2144" t="str">
        <f>IFERROR(VLOOKUP(Tabela1[[#This Row],[CC]],CC!$A$1:$H$389,6,0),"")</f>
        <v>PS</v>
      </c>
      <c r="S2144" t="str">
        <f>IFERROR(VLOOKUP(Tabela1[[#This Row],[CC]],CC!$A$1:$H$403,8,0),"")</f>
        <v>OP4</v>
      </c>
    </row>
    <row r="2145" spans="1:19" x14ac:dyDescent="0.3">
      <c r="A2145" s="25">
        <v>1462</v>
      </c>
      <c r="B2145" s="25" t="str">
        <f>IFERROR(VLOOKUP(Tabela1[[#This Row],[CC]],#REF!,5,0),"")</f>
        <v/>
      </c>
      <c r="C2145" t="str">
        <f>IFERROR(VLOOKUP(Tabela1[[#This Row],[CC]],CC!$A$1:$H$389,7,0),"")</f>
        <v>EVANDRO BRAGA</v>
      </c>
      <c r="D2145" t="str">
        <f>IFERROR(VLOOKUP(Tabela1[[#This Row],[CC]],CC!$A$1:$I$3869,3,0),"")</f>
        <v>COMPASS</v>
      </c>
      <c r="E2145" t="str">
        <f>IFERROR(VLOOKUP(Tabela1[[#This Row],[CC]],CC!$A$1:$H$389,2,0),"")</f>
        <v>GAS BRASILIANO (1462)</v>
      </c>
      <c r="F2145" t="s">
        <v>586</v>
      </c>
      <c r="G2145" s="107">
        <v>8647</v>
      </c>
      <c r="H2145" s="12">
        <v>45962</v>
      </c>
      <c r="I2145" s="24">
        <v>800</v>
      </c>
      <c r="J2145" s="24">
        <v>750.8</v>
      </c>
      <c r="K2145" s="3">
        <v>45994</v>
      </c>
      <c r="L2145" s="91">
        <v>45992</v>
      </c>
      <c r="M2145" s="11">
        <v>45996</v>
      </c>
      <c r="N2145" s="18" t="s">
        <v>588</v>
      </c>
      <c r="O2145" s="34">
        <v>0</v>
      </c>
      <c r="P2145" s="26"/>
      <c r="Q2145" t="str">
        <f>IFERROR(VLOOKUP(Tabela1[[#This Row],[CC]],CC!$A$1:$H$389,5,0),"")</f>
        <v>CSA</v>
      </c>
      <c r="R2145" t="str">
        <f>IFERROR(VLOOKUP(Tabela1[[#This Row],[CC]],CC!$A$1:$H$389,6,0),"")</f>
        <v>UT</v>
      </c>
      <c r="S2145" t="str">
        <f>IFERROR(VLOOKUP(Tabela1[[#This Row],[CC]],CC!$A$1:$H$403,8,0),"")</f>
        <v>OP2</v>
      </c>
    </row>
    <row r="2146" spans="1:19" x14ac:dyDescent="0.3">
      <c r="A2146" s="25">
        <v>1462</v>
      </c>
      <c r="B2146" s="25" t="str">
        <f>IFERROR(VLOOKUP(Tabela1[[#This Row],[CC]],#REF!,5,0),"")</f>
        <v/>
      </c>
      <c r="C2146" t="str">
        <f>IFERROR(VLOOKUP(Tabela1[[#This Row],[CC]],CC!$A$1:$H$389,7,0),"")</f>
        <v>EVANDRO BRAGA</v>
      </c>
      <c r="D2146" t="str">
        <f>IFERROR(VLOOKUP(Tabela1[[#This Row],[CC]],CC!$A$1:$I$3869,3,0),"")</f>
        <v>COMPASS</v>
      </c>
      <c r="E2146" t="str">
        <f>IFERROR(VLOOKUP(Tabela1[[#This Row],[CC]],CC!$A$1:$H$389,2,0),"")</f>
        <v>GAS BRASILIANO (1462)</v>
      </c>
      <c r="F2146" t="s">
        <v>586</v>
      </c>
      <c r="G2146" s="107">
        <v>8711</v>
      </c>
      <c r="H2146" s="12">
        <v>45992</v>
      </c>
      <c r="I2146" s="24">
        <v>800</v>
      </c>
      <c r="J2146" s="24">
        <v>750.8</v>
      </c>
      <c r="K2146" s="3">
        <v>46034</v>
      </c>
      <c r="L2146" s="91">
        <v>46034</v>
      </c>
      <c r="M2146" s="11">
        <v>46034</v>
      </c>
      <c r="N2146" s="18" t="s">
        <v>588</v>
      </c>
      <c r="O2146" s="34">
        <v>0</v>
      </c>
      <c r="P2146" s="26"/>
      <c r="Q2146" t="str">
        <f>IFERROR(VLOOKUP(Tabela1[[#This Row],[CC]],CC!$A$1:$H$389,5,0),"")</f>
        <v>CSA</v>
      </c>
      <c r="R2146" t="str">
        <f>IFERROR(VLOOKUP(Tabela1[[#This Row],[CC]],CC!$A$1:$H$389,6,0),"")</f>
        <v>UT</v>
      </c>
      <c r="S2146" t="str">
        <f>IFERROR(VLOOKUP(Tabela1[[#This Row],[CC]],CC!$A$1:$H$403,8,0),"")</f>
        <v>OP2</v>
      </c>
    </row>
    <row r="2147" spans="1:19" x14ac:dyDescent="0.3">
      <c r="A2147" s="25">
        <v>1462</v>
      </c>
      <c r="B2147" s="25" t="str">
        <f>IFERROR(VLOOKUP(Tabela1[[#This Row],[CC]],#REF!,5,0),"")</f>
        <v/>
      </c>
      <c r="C2147" t="str">
        <f>IFERROR(VLOOKUP(Tabela1[[#This Row],[CC]],CC!$A$1:$H$389,7,0),"")</f>
        <v>EVANDRO BRAGA</v>
      </c>
      <c r="D2147" t="str">
        <f>IFERROR(VLOOKUP(Tabela1[[#This Row],[CC]],CC!$A$1:$I$3869,3,0),"")</f>
        <v>COMPASS</v>
      </c>
      <c r="E2147" t="str">
        <f>IFERROR(VLOOKUP(Tabela1[[#This Row],[CC]],CC!$A$1:$H$389,2,0),"")</f>
        <v>GAS BRASILIANO (1462)</v>
      </c>
      <c r="F2147" t="s">
        <v>586</v>
      </c>
      <c r="G2147" s="107">
        <v>8741</v>
      </c>
      <c r="H2147" s="12">
        <v>46023</v>
      </c>
      <c r="I2147" s="24">
        <v>800</v>
      </c>
      <c r="J2147" s="24">
        <v>750.8</v>
      </c>
      <c r="K2147" s="3">
        <v>46063</v>
      </c>
      <c r="L2147" s="91">
        <v>46062</v>
      </c>
      <c r="M2147" s="11">
        <v>46063</v>
      </c>
      <c r="N2147" s="18" t="s">
        <v>588</v>
      </c>
      <c r="O2147" s="34">
        <v>0</v>
      </c>
      <c r="P2147" s="26"/>
      <c r="Q2147" t="str">
        <f>IFERROR(VLOOKUP(Tabela1[[#This Row],[CC]],CC!$A$1:$H$389,5,0),"")</f>
        <v>CSA</v>
      </c>
      <c r="R2147" t="str">
        <f>IFERROR(VLOOKUP(Tabela1[[#This Row],[CC]],CC!$A$1:$H$389,6,0),"")</f>
        <v>UT</v>
      </c>
      <c r="S2147" t="str">
        <f>IFERROR(VLOOKUP(Tabela1[[#This Row],[CC]],CC!$A$1:$H$403,8,0),"")</f>
        <v>OP2</v>
      </c>
    </row>
    <row r="2148" spans="1:19" x14ac:dyDescent="0.3">
      <c r="A2148" s="25">
        <v>1462</v>
      </c>
      <c r="B2148" s="25" t="str">
        <f>IFERROR(VLOOKUP(Tabela1[[#This Row],[CC]],#REF!,5,0),"")</f>
        <v/>
      </c>
      <c r="C2148" t="str">
        <f>IFERROR(VLOOKUP(Tabela1[[#This Row],[CC]],CC!$A$1:$H$389,7,0),"")</f>
        <v>EVANDRO BRAGA</v>
      </c>
      <c r="D2148" t="str">
        <f>IFERROR(VLOOKUP(Tabela1[[#This Row],[CC]],CC!$A$1:$I$3869,3,0),"")</f>
        <v>COMPASS</v>
      </c>
      <c r="E2148" t="str">
        <f>IFERROR(VLOOKUP(Tabela1[[#This Row],[CC]],CC!$A$1:$H$389,2,0),"")</f>
        <v>GAS BRASILIANO (1462)</v>
      </c>
      <c r="F2148" t="s">
        <v>586</v>
      </c>
      <c r="G2148" s="107">
        <v>8788</v>
      </c>
      <c r="H2148" s="12">
        <v>46054</v>
      </c>
      <c r="I2148" s="24">
        <v>800</v>
      </c>
      <c r="J2148" s="27">
        <v>750.8</v>
      </c>
      <c r="K2148" s="3">
        <v>46085</v>
      </c>
      <c r="L2148" s="91">
        <v>46083</v>
      </c>
      <c r="M2148" s="11">
        <v>46086</v>
      </c>
      <c r="N2148" s="18" t="s">
        <v>588</v>
      </c>
      <c r="O2148" s="34">
        <v>0</v>
      </c>
      <c r="P2148" s="26"/>
      <c r="Q2148" t="str">
        <f>IFERROR(VLOOKUP(Tabela1[[#This Row],[CC]],CC!$A$1:$H$389,5,0),"")</f>
        <v>CSA</v>
      </c>
      <c r="R2148" t="str">
        <f>IFERROR(VLOOKUP(Tabela1[[#This Row],[CC]],CC!$A$1:$H$389,6,0),"")</f>
        <v>UT</v>
      </c>
      <c r="S2148" t="str">
        <f>IFERROR(VLOOKUP(Tabela1[[#This Row],[CC]],CC!$A$1:$H$403,8,0),"")</f>
        <v>OP2</v>
      </c>
    </row>
    <row r="2149" spans="1:19" x14ac:dyDescent="0.3">
      <c r="A2149" s="25">
        <v>1462</v>
      </c>
      <c r="B2149" s="25" t="str">
        <f>IFERROR(VLOOKUP(Tabela1[[#This Row],[CC]],#REF!,5,0),"")</f>
        <v/>
      </c>
      <c r="C2149" t="str">
        <f>IFERROR(VLOOKUP(Tabela1[[#This Row],[CC]],CC!$A$1:$H$389,7,0),"")</f>
        <v>EVANDRO BRAGA</v>
      </c>
      <c r="D2149" t="str">
        <f>IFERROR(VLOOKUP(Tabela1[[#This Row],[CC]],CC!$A$1:$I$3869,3,0),"")</f>
        <v>COMPASS</v>
      </c>
      <c r="E2149" t="str">
        <f>IFERROR(VLOOKUP(Tabela1[[#This Row],[CC]],CC!$A$1:$H$389,2,0),"")</f>
        <v>GAS BRASILIANO (1462)</v>
      </c>
      <c r="F2149" t="s">
        <v>586</v>
      </c>
      <c r="G2149" s="107"/>
      <c r="H2149" s="12">
        <v>46113</v>
      </c>
      <c r="I2149" s="43">
        <v>800</v>
      </c>
      <c r="J2149" s="27">
        <v>750.8</v>
      </c>
      <c r="K2149" s="3">
        <v>46143</v>
      </c>
      <c r="L2149" s="91">
        <v>46195</v>
      </c>
      <c r="M2149" s="11"/>
      <c r="N2149" s="18" t="s">
        <v>572</v>
      </c>
      <c r="O2149" s="34">
        <v>0</v>
      </c>
      <c r="P2149" s="26"/>
      <c r="Q2149" t="str">
        <f>IFERROR(VLOOKUP(Tabela1[[#This Row],[CC]],CC!$A$1:$H$389,5,0),"")</f>
        <v>CSA</v>
      </c>
      <c r="R2149" t="str">
        <f>IFERROR(VLOOKUP(Tabela1[[#This Row],[CC]],CC!$A$1:$H$389,6,0),"")</f>
        <v>UT</v>
      </c>
      <c r="S2149" t="str">
        <f>IFERROR(VLOOKUP(Tabela1[[#This Row],[CC]],CC!$A$1:$H$403,8,0),"")</f>
        <v>OP2</v>
      </c>
    </row>
    <row r="2150" spans="1:19" x14ac:dyDescent="0.3">
      <c r="A2150" s="25">
        <v>1462</v>
      </c>
      <c r="B2150" s="25" t="str">
        <f>IFERROR(VLOOKUP(Tabela1[[#This Row],[CC]],#REF!,5,0),"")</f>
        <v/>
      </c>
      <c r="C2150" t="str">
        <f>IFERROR(VLOOKUP(Tabela1[[#This Row],[CC]],CC!$A$1:$H$389,7,0),"")</f>
        <v>EVANDRO BRAGA</v>
      </c>
      <c r="D2150" t="str">
        <f>IFERROR(VLOOKUP(Tabela1[[#This Row],[CC]],CC!$A$1:$I$3869,3,0),"")</f>
        <v>COMPASS</v>
      </c>
      <c r="E2150" t="str">
        <f>IFERROR(VLOOKUP(Tabela1[[#This Row],[CC]],CC!$A$1:$H$389,2,0),"")</f>
        <v>GAS BRASILIANO (1462)</v>
      </c>
      <c r="F2150" t="s">
        <v>586</v>
      </c>
      <c r="G2150" s="107"/>
      <c r="H2150" s="12">
        <v>46143</v>
      </c>
      <c r="I2150" s="24">
        <v>800</v>
      </c>
      <c r="J2150" s="27">
        <v>750.8</v>
      </c>
      <c r="K2150" s="3">
        <v>46174</v>
      </c>
      <c r="L2150" s="91">
        <v>46225</v>
      </c>
      <c r="M2150" s="11"/>
      <c r="N2150" s="18" t="s">
        <v>572</v>
      </c>
      <c r="O2150" s="34">
        <v>0</v>
      </c>
      <c r="P2150" s="26"/>
      <c r="Q2150" t="str">
        <f>IFERROR(VLOOKUP(Tabela1[[#This Row],[CC]],CC!$A$1:$H$389,5,0),"")</f>
        <v>CSA</v>
      </c>
      <c r="R2150" t="str">
        <f>IFERROR(VLOOKUP(Tabela1[[#This Row],[CC]],CC!$A$1:$H$389,6,0),"")</f>
        <v>UT</v>
      </c>
      <c r="S2150" t="str">
        <f>IFERROR(VLOOKUP(Tabela1[[#This Row],[CC]],CC!$A$1:$H$403,8,0),"")</f>
        <v>OP2</v>
      </c>
    </row>
    <row r="2151" spans="1:19" x14ac:dyDescent="0.3">
      <c r="A2151" s="13">
        <v>1260</v>
      </c>
      <c r="B2151" s="13" t="str">
        <f>IFERROR(VLOOKUP(Tabela1[[#This Row],[CC]],#REF!,5,0),"")</f>
        <v/>
      </c>
      <c r="C2151" t="str">
        <f>IFERROR(VLOOKUP(Tabela1[[#This Row],[CC]],CC!$A$1:$H$389,7,0),"")</f>
        <v>RODRIGO CORUMBA</v>
      </c>
      <c r="D2151" t="str">
        <f>IFERROR(VLOOKUP(Tabela1[[#This Row],[CC]],CC!$A$1:$I$3869,3,0),"")</f>
        <v>PETZ</v>
      </c>
      <c r="E2151" t="str">
        <f>IFERROR(VLOOKUP(Tabela1[[#This Row],[CC]],CC!$A$1:$H$389,2,0),"")</f>
        <v>PETZ - ADS (1260)</v>
      </c>
      <c r="F2151" t="s">
        <v>586</v>
      </c>
      <c r="G2151" s="107">
        <v>4590</v>
      </c>
      <c r="H2151" s="12">
        <v>45962</v>
      </c>
      <c r="I2151" s="24">
        <v>10914</v>
      </c>
      <c r="J2151" s="24">
        <v>10242.790000000001</v>
      </c>
      <c r="K2151" s="3">
        <v>45992</v>
      </c>
      <c r="L2151" s="91">
        <v>46013</v>
      </c>
      <c r="M2151" s="11">
        <v>46014</v>
      </c>
      <c r="N2151" s="19" t="s">
        <v>588</v>
      </c>
      <c r="O2151" s="34">
        <v>0</v>
      </c>
      <c r="P2151"/>
      <c r="Q2151" t="str">
        <f>IFERROR(VLOOKUP(Tabela1[[#This Row],[CC]],CC!$A$1:$H$389,5,0),"")</f>
        <v>ADS</v>
      </c>
      <c r="R2151" t="str">
        <f>IFERROR(VLOOKUP(Tabela1[[#This Row],[CC]],CC!$A$1:$H$389,6,0),"")</f>
        <v>MS</v>
      </c>
      <c r="S2151" t="str">
        <f>IFERROR(VLOOKUP(Tabela1[[#This Row],[CC]],CC!$A$1:$H$403,8,0),"")</f>
        <v>OP2</v>
      </c>
    </row>
    <row r="2152" spans="1:19" x14ac:dyDescent="0.3">
      <c r="A2152" s="13">
        <v>1260</v>
      </c>
      <c r="B2152" s="13" t="str">
        <f>IFERROR(VLOOKUP(Tabela1[[#This Row],[CC]],#REF!,5,0),"")</f>
        <v/>
      </c>
      <c r="C2152" t="str">
        <f>IFERROR(VLOOKUP(Tabela1[[#This Row],[CC]],CC!$A$1:$H$389,7,0),"")</f>
        <v>RODRIGO CORUMBA</v>
      </c>
      <c r="D2152" t="str">
        <f>IFERROR(VLOOKUP(Tabela1[[#This Row],[CC]],CC!$A$1:$I$3869,3,0),"")</f>
        <v>PETZ</v>
      </c>
      <c r="E2152" t="str">
        <f>IFERROR(VLOOKUP(Tabela1[[#This Row],[CC]],CC!$A$1:$H$389,2,0),"")</f>
        <v>PETZ - ADS (1260)</v>
      </c>
      <c r="F2152" t="s">
        <v>586</v>
      </c>
      <c r="G2152" s="107">
        <v>4708</v>
      </c>
      <c r="H2152" s="12">
        <v>45992</v>
      </c>
      <c r="I2152" s="27">
        <v>10914</v>
      </c>
      <c r="J2152" s="27">
        <v>10242.790000000001</v>
      </c>
      <c r="K2152" s="3">
        <v>46024</v>
      </c>
      <c r="L2152" s="91">
        <v>46048</v>
      </c>
      <c r="M2152" s="11">
        <v>46050</v>
      </c>
      <c r="N2152" s="19" t="s">
        <v>588</v>
      </c>
      <c r="O2152" s="34">
        <v>0</v>
      </c>
      <c r="P2152"/>
      <c r="Q2152" t="str">
        <f>IFERROR(VLOOKUP(Tabela1[[#This Row],[CC]],CC!$A$1:$H$389,5,0),"")</f>
        <v>ADS</v>
      </c>
      <c r="R2152" t="str">
        <f>IFERROR(VLOOKUP(Tabela1[[#This Row],[CC]],CC!$A$1:$H$389,6,0),"")</f>
        <v>MS</v>
      </c>
      <c r="S2152" t="str">
        <f>IFERROR(VLOOKUP(Tabela1[[#This Row],[CC]],CC!$A$1:$H$403,8,0),"")</f>
        <v>OP2</v>
      </c>
    </row>
    <row r="2153" spans="1:19" x14ac:dyDescent="0.3">
      <c r="A2153" s="13">
        <v>1260</v>
      </c>
      <c r="B2153" s="13" t="str">
        <f>IFERROR(VLOOKUP(Tabela1[[#This Row],[CC]],#REF!,5,0),"")</f>
        <v/>
      </c>
      <c r="C2153" t="str">
        <f>IFERROR(VLOOKUP(Tabela1[[#This Row],[CC]],CC!$A$1:$H$389,7,0),"")</f>
        <v>RODRIGO CORUMBA</v>
      </c>
      <c r="D2153" t="str">
        <f>IFERROR(VLOOKUP(Tabela1[[#This Row],[CC]],CC!$A$1:$I$3869,3,0),"")</f>
        <v>PETZ</v>
      </c>
      <c r="E2153" t="str">
        <f>IFERROR(VLOOKUP(Tabela1[[#This Row],[CC]],CC!$A$1:$H$389,2,0),"")</f>
        <v>PETZ - ADS (1260)</v>
      </c>
      <c r="F2153" t="s">
        <v>586</v>
      </c>
      <c r="G2153" s="107">
        <v>4789</v>
      </c>
      <c r="H2153" s="12">
        <v>46023</v>
      </c>
      <c r="I2153" s="24">
        <v>10914</v>
      </c>
      <c r="J2153" s="24">
        <v>10242.790000000001</v>
      </c>
      <c r="K2153" s="3">
        <v>46055</v>
      </c>
      <c r="L2153" s="91">
        <v>46076</v>
      </c>
      <c r="M2153" s="11">
        <v>46078</v>
      </c>
      <c r="N2153" s="19" t="s">
        <v>588</v>
      </c>
      <c r="O2153" s="34">
        <v>0</v>
      </c>
      <c r="P2153"/>
      <c r="Q2153" t="str">
        <f>IFERROR(VLOOKUP(Tabela1[[#This Row],[CC]],CC!$A$1:$H$389,5,0),"")</f>
        <v>ADS</v>
      </c>
      <c r="R2153" t="str">
        <f>IFERROR(VLOOKUP(Tabela1[[#This Row],[CC]],CC!$A$1:$H$389,6,0),"")</f>
        <v>MS</v>
      </c>
      <c r="S2153" t="str">
        <f>IFERROR(VLOOKUP(Tabela1[[#This Row],[CC]],CC!$A$1:$H$403,8,0),"")</f>
        <v>OP2</v>
      </c>
    </row>
    <row r="2154" spans="1:19" x14ac:dyDescent="0.3">
      <c r="A2154" s="13">
        <v>1260</v>
      </c>
      <c r="B2154" s="13" t="str">
        <f>IFERROR(VLOOKUP(Tabela1[[#This Row],[CC]],#REF!,5,0),"")</f>
        <v/>
      </c>
      <c r="C2154" t="str">
        <f>IFERROR(VLOOKUP(Tabela1[[#This Row],[CC]],CC!$A$1:$H$389,7,0),"")</f>
        <v>RODRIGO CORUMBA</v>
      </c>
      <c r="D2154" t="str">
        <f>IFERROR(VLOOKUP(Tabela1[[#This Row],[CC]],CC!$A$1:$I$3869,3,0),"")</f>
        <v>PETZ</v>
      </c>
      <c r="E2154" t="str">
        <f>IFERROR(VLOOKUP(Tabela1[[#This Row],[CC]],CC!$A$1:$H$389,2,0),"")</f>
        <v>PETZ - ADS (1260)</v>
      </c>
      <c r="F2154" t="s">
        <v>586</v>
      </c>
      <c r="G2154" s="107">
        <v>4905</v>
      </c>
      <c r="H2154" s="12">
        <v>46054</v>
      </c>
      <c r="I2154" s="24">
        <v>10914</v>
      </c>
      <c r="J2154" s="24">
        <v>10242.790000000001</v>
      </c>
      <c r="K2154" s="3">
        <v>46083</v>
      </c>
      <c r="L2154" s="91">
        <v>46104</v>
      </c>
      <c r="M2154" s="11">
        <v>46106</v>
      </c>
      <c r="N2154" s="19" t="s">
        <v>588</v>
      </c>
      <c r="O2154" s="34">
        <v>0</v>
      </c>
      <c r="P2154"/>
      <c r="Q2154" t="str">
        <f>IFERROR(VLOOKUP(Tabela1[[#This Row],[CC]],CC!$A$1:$H$389,5,0),"")</f>
        <v>ADS</v>
      </c>
      <c r="R2154" t="str">
        <f>IFERROR(VLOOKUP(Tabela1[[#This Row],[CC]],CC!$A$1:$H$389,6,0),"")</f>
        <v>MS</v>
      </c>
      <c r="S2154" t="str">
        <f>IFERROR(VLOOKUP(Tabela1[[#This Row],[CC]],CC!$A$1:$H$403,8,0),"")</f>
        <v>OP2</v>
      </c>
    </row>
    <row r="2155" spans="1:19" x14ac:dyDescent="0.3">
      <c r="A2155" s="13">
        <v>1260</v>
      </c>
      <c r="B2155" s="13" t="str">
        <f>IFERROR(VLOOKUP(Tabela1[[#This Row],[CC]],#REF!,5,0),"")</f>
        <v/>
      </c>
      <c r="C2155" t="str">
        <f>IFERROR(VLOOKUP(Tabela1[[#This Row],[CC]],CC!$A$1:$H$389,7,0),"")</f>
        <v>RODRIGO CORUMBA</v>
      </c>
      <c r="D2155" t="str">
        <f>IFERROR(VLOOKUP(Tabela1[[#This Row],[CC]],CC!$A$1:$I$3869,3,0),"")</f>
        <v>PETZ</v>
      </c>
      <c r="E2155" t="str">
        <f>IFERROR(VLOOKUP(Tabela1[[#This Row],[CC]],CC!$A$1:$H$389,2,0),"")</f>
        <v>PETZ - ADS (1260)</v>
      </c>
      <c r="F2155" t="s">
        <v>586</v>
      </c>
      <c r="G2155" s="107">
        <v>5024</v>
      </c>
      <c r="H2155" s="12">
        <v>46082</v>
      </c>
      <c r="I2155" s="27">
        <v>11009.7</v>
      </c>
      <c r="J2155" s="24">
        <v>10332.6</v>
      </c>
      <c r="K2155" s="3">
        <v>46114</v>
      </c>
      <c r="L2155" s="91">
        <v>46139</v>
      </c>
      <c r="M2155" s="11">
        <v>46141</v>
      </c>
      <c r="N2155" s="19" t="s">
        <v>588</v>
      </c>
      <c r="O2155" s="34">
        <v>0</v>
      </c>
      <c r="P2155"/>
      <c r="Q2155" t="str">
        <f>IFERROR(VLOOKUP(Tabela1[[#This Row],[CC]],CC!$A$1:$H$389,5,0),"")</f>
        <v>ADS</v>
      </c>
      <c r="R2155" t="str">
        <f>IFERROR(VLOOKUP(Tabela1[[#This Row],[CC]],CC!$A$1:$H$389,6,0),"")</f>
        <v>MS</v>
      </c>
      <c r="S2155" t="str">
        <f>IFERROR(VLOOKUP(Tabela1[[#This Row],[CC]],CC!$A$1:$H$403,8,0),"")</f>
        <v>OP2</v>
      </c>
    </row>
    <row r="2156" spans="1:19" x14ac:dyDescent="0.3">
      <c r="A2156" s="13">
        <v>1260</v>
      </c>
      <c r="B2156" s="13" t="str">
        <f>IFERROR(VLOOKUP(Tabela1[[#This Row],[CC]],#REF!,5,0),"")</f>
        <v/>
      </c>
      <c r="C2156" t="str">
        <f>IFERROR(VLOOKUP(Tabela1[[#This Row],[CC]],CC!$A$1:$H$389,7,0),"")</f>
        <v>RODRIGO CORUMBA</v>
      </c>
      <c r="D2156" t="str">
        <f>IFERROR(VLOOKUP(Tabela1[[#This Row],[CC]],CC!$A$1:$I$3869,3,0),"")</f>
        <v>PETZ</v>
      </c>
      <c r="E2156" t="str">
        <f>IFERROR(VLOOKUP(Tabela1[[#This Row],[CC]],CC!$A$1:$H$389,2,0),"")</f>
        <v>PETZ - ADS (1260)</v>
      </c>
      <c r="F2156" t="s">
        <v>586</v>
      </c>
      <c r="G2156" s="107">
        <v>5115</v>
      </c>
      <c r="H2156" s="12">
        <v>46113</v>
      </c>
      <c r="I2156" s="24">
        <v>11009.7</v>
      </c>
      <c r="J2156" s="24">
        <v>10332.6</v>
      </c>
      <c r="K2156" s="3">
        <v>46146</v>
      </c>
      <c r="L2156" s="91">
        <v>46167</v>
      </c>
      <c r="M2156" s="11">
        <v>46169</v>
      </c>
      <c r="N2156" s="19" t="s">
        <v>588</v>
      </c>
      <c r="O2156" s="34">
        <v>0</v>
      </c>
      <c r="P2156"/>
      <c r="Q2156" t="str">
        <f>IFERROR(VLOOKUP(Tabela1[[#This Row],[CC]],CC!$A$1:$H$389,5,0),"")</f>
        <v>ADS</v>
      </c>
      <c r="R2156" t="str">
        <f>IFERROR(VLOOKUP(Tabela1[[#This Row],[CC]],CC!$A$1:$H$389,6,0),"")</f>
        <v>MS</v>
      </c>
      <c r="S2156" t="str">
        <f>IFERROR(VLOOKUP(Tabela1[[#This Row],[CC]],CC!$A$1:$H$403,8,0),"")</f>
        <v>OP2</v>
      </c>
    </row>
    <row r="2157" spans="1:19" x14ac:dyDescent="0.3">
      <c r="A2157" s="25">
        <v>1506</v>
      </c>
      <c r="B2157" s="25" t="str">
        <f>IFERROR(VLOOKUP(Tabela1[[#This Row],[CC]],#REF!,5,0),"")</f>
        <v/>
      </c>
      <c r="C2157" t="str">
        <f>IFERROR(VLOOKUP(Tabela1[[#This Row],[CC]],CC!$A$1:$H$389,7,0),"")</f>
        <v>RODRIGO CORUMBA</v>
      </c>
      <c r="D2157" t="str">
        <f>IFERROR(VLOOKUP(Tabela1[[#This Row],[CC]],CC!$A$1:$I$3869,3,0),"")</f>
        <v>PORTO_SEGURO</v>
      </c>
      <c r="E2157" t="str">
        <f>IFERROR(VLOOKUP(Tabela1[[#This Row],[CC]],CC!$A$1:$H$389,2,0),"")</f>
        <v>PORTO SEGURO – BPS – DYNAMICS (1506)</v>
      </c>
      <c r="F2157" t="s">
        <v>586</v>
      </c>
      <c r="G2157" s="107">
        <v>5192</v>
      </c>
      <c r="H2157" s="12">
        <v>46143</v>
      </c>
      <c r="I2157" s="24">
        <v>19581.759999999998</v>
      </c>
      <c r="J2157" s="24">
        <v>18377.48</v>
      </c>
      <c r="K2157" s="3">
        <v>46174</v>
      </c>
      <c r="L2157" s="91">
        <v>46209</v>
      </c>
      <c r="M2157" s="11"/>
      <c r="N2157" s="18" t="s">
        <v>587</v>
      </c>
      <c r="O2157" s="35">
        <v>0</v>
      </c>
      <c r="P2157" s="26"/>
      <c r="Q2157" t="str">
        <f>IFERROR(VLOOKUP(Tabela1[[#This Row],[CC]],CC!$A$1:$H$389,5,0),"")</f>
        <v>BPS</v>
      </c>
      <c r="R2157" t="str">
        <f>IFERROR(VLOOKUP(Tabela1[[#This Row],[CC]],CC!$A$1:$H$389,6,0),"")</f>
        <v>FS</v>
      </c>
      <c r="S2157" t="str">
        <f>IFERROR(VLOOKUP(Tabela1[[#This Row],[CC]],CC!$A$1:$H$403,8,0),"")</f>
        <v>OP2</v>
      </c>
    </row>
    <row r="2158" spans="1:19" x14ac:dyDescent="0.3">
      <c r="A2158" s="8">
        <v>1482</v>
      </c>
      <c r="B2158" s="8" t="str">
        <f>IFERROR(VLOOKUP(Tabela1[[#This Row],[CC]],#REF!,5,0),"")</f>
        <v/>
      </c>
      <c r="C2158" t="str">
        <f>IFERROR(VLOOKUP(Tabela1[[#This Row],[CC]],CC!$A$1:$H$389,7,0),"")</f>
        <v>JOSÉ NETO</v>
      </c>
      <c r="D2158" t="str">
        <f>IFERROR(VLOOKUP(Tabela1[[#This Row],[CC]],CC!$A$1:$I$3869,3,0),"")</f>
        <v>AXIA</v>
      </c>
      <c r="E2158" t="str">
        <f>IFERROR(VLOOKUP(Tabela1[[#This Row],[CC]],CC!$A$1:$H$389,2,0),"")</f>
        <v>REAL GRANDEZA (1482)</v>
      </c>
      <c r="F2158" t="s">
        <v>586</v>
      </c>
      <c r="G2158" s="107">
        <v>8658</v>
      </c>
      <c r="H2158" s="12">
        <v>45962</v>
      </c>
      <c r="I2158" s="24">
        <v>39000</v>
      </c>
      <c r="J2158" s="27">
        <v>35236.5</v>
      </c>
      <c r="K2158" s="3">
        <v>45995</v>
      </c>
      <c r="L2158" s="91">
        <v>46006</v>
      </c>
      <c r="M2158" s="11">
        <v>46010</v>
      </c>
      <c r="N2158" s="36" t="s">
        <v>588</v>
      </c>
      <c r="O2158" s="34"/>
      <c r="P2158" s="14"/>
      <c r="Q2158" t="str">
        <f>IFERROR(VLOOKUP(Tabela1[[#This Row],[CC]],CC!$A$1:$H$389,5,0),"")</f>
        <v>CSA</v>
      </c>
      <c r="R2158" t="str">
        <f>IFERROR(VLOOKUP(Tabela1[[#This Row],[CC]],CC!$A$1:$H$389,6,0),"")</f>
        <v>UT</v>
      </c>
      <c r="S2158" t="str">
        <f>IFERROR(VLOOKUP(Tabela1[[#This Row],[CC]],CC!$A$1:$H$403,8,0),"")</f>
        <v>OP2</v>
      </c>
    </row>
    <row r="2159" spans="1:19" x14ac:dyDescent="0.3">
      <c r="A2159" s="8">
        <v>1482</v>
      </c>
      <c r="B2159" s="8" t="str">
        <f>IFERROR(VLOOKUP(Tabela1[[#This Row],[CC]],#REF!,5,0),"")</f>
        <v/>
      </c>
      <c r="C2159" t="str">
        <f>IFERROR(VLOOKUP(Tabela1[[#This Row],[CC]],CC!$A$1:$H$389,7,0),"")</f>
        <v>JOSÉ NETO</v>
      </c>
      <c r="D2159" t="str">
        <f>IFERROR(VLOOKUP(Tabela1[[#This Row],[CC]],CC!$A$1:$I$3869,3,0),"")</f>
        <v>AXIA</v>
      </c>
      <c r="E2159" t="str">
        <f>IFERROR(VLOOKUP(Tabela1[[#This Row],[CC]],CC!$A$1:$H$389,2,0),"")</f>
        <v>REAL GRANDEZA (1482)</v>
      </c>
      <c r="F2159" t="s">
        <v>586</v>
      </c>
      <c r="G2159" s="107">
        <v>8714</v>
      </c>
      <c r="H2159" s="12">
        <v>45992</v>
      </c>
      <c r="I2159" s="24">
        <v>49616.75</v>
      </c>
      <c r="J2159" s="24">
        <v>44828.73</v>
      </c>
      <c r="K2159" s="3">
        <v>46034</v>
      </c>
      <c r="L2159" s="91">
        <v>46055</v>
      </c>
      <c r="M2159" s="11">
        <v>46056</v>
      </c>
      <c r="N2159" s="36" t="s">
        <v>588</v>
      </c>
      <c r="O2159" s="34"/>
      <c r="P2159" s="14"/>
      <c r="Q2159" t="str">
        <f>IFERROR(VLOOKUP(Tabela1[[#This Row],[CC]],CC!$A$1:$H$389,5,0),"")</f>
        <v>CSA</v>
      </c>
      <c r="R2159" t="str">
        <f>IFERROR(VLOOKUP(Tabela1[[#This Row],[CC]],CC!$A$1:$H$389,6,0),"")</f>
        <v>UT</v>
      </c>
      <c r="S2159" t="str">
        <f>IFERROR(VLOOKUP(Tabela1[[#This Row],[CC]],CC!$A$1:$H$403,8,0),"")</f>
        <v>OP2</v>
      </c>
    </row>
    <row r="2160" spans="1:19" x14ac:dyDescent="0.3">
      <c r="A2160" s="8">
        <v>1482</v>
      </c>
      <c r="B2160" s="8" t="str">
        <f>IFERROR(VLOOKUP(Tabela1[[#This Row],[CC]],#REF!,5,0),"")</f>
        <v/>
      </c>
      <c r="C2160" t="str">
        <f>IFERROR(VLOOKUP(Tabela1[[#This Row],[CC]],CC!$A$1:$H$389,7,0),"")</f>
        <v>JOSÉ NETO</v>
      </c>
      <c r="D2160" t="str">
        <f>IFERROR(VLOOKUP(Tabela1[[#This Row],[CC]],CC!$A$1:$I$3869,3,0),"")</f>
        <v>AXIA</v>
      </c>
      <c r="E2160" t="str">
        <f>IFERROR(VLOOKUP(Tabela1[[#This Row],[CC]],CC!$A$1:$H$389,2,0),"")</f>
        <v>REAL GRANDEZA (1482)</v>
      </c>
      <c r="F2160" t="s">
        <v>586</v>
      </c>
      <c r="G2160" s="107">
        <v>8743</v>
      </c>
      <c r="H2160" s="12">
        <v>46023</v>
      </c>
      <c r="I2160" s="24">
        <v>42248.18</v>
      </c>
      <c r="J2160" s="27">
        <v>38171.230000000003</v>
      </c>
      <c r="K2160" s="3">
        <v>46063</v>
      </c>
      <c r="L2160" s="91">
        <v>46083</v>
      </c>
      <c r="M2160" s="11">
        <v>46086</v>
      </c>
      <c r="N2160" s="36" t="s">
        <v>588</v>
      </c>
      <c r="O2160" s="34"/>
      <c r="P2160" s="14"/>
      <c r="Q2160" t="str">
        <f>IFERROR(VLOOKUP(Tabela1[[#This Row],[CC]],CC!$A$1:$H$389,5,0),"")</f>
        <v>CSA</v>
      </c>
      <c r="R2160" t="str">
        <f>IFERROR(VLOOKUP(Tabela1[[#This Row],[CC]],CC!$A$1:$H$389,6,0),"")</f>
        <v>UT</v>
      </c>
      <c r="S2160" t="str">
        <f>IFERROR(VLOOKUP(Tabela1[[#This Row],[CC]],CC!$A$1:$H$403,8,0),"")</f>
        <v>OP2</v>
      </c>
    </row>
    <row r="2161" spans="1:19" x14ac:dyDescent="0.3">
      <c r="A2161" s="8">
        <v>1482</v>
      </c>
      <c r="B2161" s="8" t="str">
        <f>IFERROR(VLOOKUP(Tabela1[[#This Row],[CC]],#REF!,5,0),"")</f>
        <v/>
      </c>
      <c r="C2161" t="str">
        <f>IFERROR(VLOOKUP(Tabela1[[#This Row],[CC]],CC!$A$1:$H$389,7,0),"")</f>
        <v>JOSÉ NETO</v>
      </c>
      <c r="D2161" t="str">
        <f>IFERROR(VLOOKUP(Tabela1[[#This Row],[CC]],CC!$A$1:$I$3869,3,0),"")</f>
        <v>AXIA</v>
      </c>
      <c r="E2161" t="str">
        <f>IFERROR(VLOOKUP(Tabela1[[#This Row],[CC]],CC!$A$1:$H$389,2,0),"")</f>
        <v>REAL GRANDEZA (1482)</v>
      </c>
      <c r="F2161" t="s">
        <v>586</v>
      </c>
      <c r="G2161" s="107">
        <v>8824</v>
      </c>
      <c r="H2161" s="12">
        <v>46054</v>
      </c>
      <c r="I2161" s="24">
        <v>34583</v>
      </c>
      <c r="J2161" s="24">
        <v>31245.75</v>
      </c>
      <c r="K2161" s="3">
        <v>46101</v>
      </c>
      <c r="L2161" s="91">
        <v>46113</v>
      </c>
      <c r="M2161" s="11">
        <v>46113</v>
      </c>
      <c r="N2161" s="36" t="s">
        <v>588</v>
      </c>
      <c r="O2161" s="34"/>
      <c r="P2161" s="14"/>
      <c r="Q2161" t="str">
        <f>IFERROR(VLOOKUP(Tabela1[[#This Row],[CC]],CC!$A$1:$H$389,5,0),"")</f>
        <v>CSA</v>
      </c>
      <c r="R2161" t="str">
        <f>IFERROR(VLOOKUP(Tabela1[[#This Row],[CC]],CC!$A$1:$H$389,6,0),"")</f>
        <v>UT</v>
      </c>
      <c r="S2161" t="str">
        <f>IFERROR(VLOOKUP(Tabela1[[#This Row],[CC]],CC!$A$1:$H$403,8,0),"")</f>
        <v>OP2</v>
      </c>
    </row>
    <row r="2162" spans="1:19" x14ac:dyDescent="0.3">
      <c r="A2162" s="8">
        <v>1482</v>
      </c>
      <c r="B2162" s="8" t="str">
        <f>IFERROR(VLOOKUP(Tabela1[[#This Row],[CC]],#REF!,5,0),"")</f>
        <v/>
      </c>
      <c r="C2162" t="str">
        <f>IFERROR(VLOOKUP(Tabela1[[#This Row],[CC]],CC!$A$1:$H$389,7,0),"")</f>
        <v>JOSÉ NETO</v>
      </c>
      <c r="D2162" t="str">
        <f>IFERROR(VLOOKUP(Tabela1[[#This Row],[CC]],CC!$A$1:$I$3869,3,0),"")</f>
        <v>AXIA</v>
      </c>
      <c r="E2162" t="str">
        <f>IFERROR(VLOOKUP(Tabela1[[#This Row],[CC]],CC!$A$1:$H$389,2,0),"")</f>
        <v>REAL GRANDEZA (1482)</v>
      </c>
      <c r="F2162" t="s">
        <v>586</v>
      </c>
      <c r="G2162" s="107">
        <v>8840</v>
      </c>
      <c r="H2162" s="12">
        <v>46082</v>
      </c>
      <c r="I2162" s="24">
        <v>34583</v>
      </c>
      <c r="J2162" s="27">
        <v>31245.75</v>
      </c>
      <c r="K2162" s="3">
        <v>46118</v>
      </c>
      <c r="L2162" s="91">
        <v>46153</v>
      </c>
      <c r="M2162" s="11">
        <v>46153</v>
      </c>
      <c r="N2162" s="36" t="s">
        <v>588</v>
      </c>
      <c r="O2162" s="34"/>
      <c r="P2162" s="14"/>
      <c r="Q2162" t="str">
        <f>IFERROR(VLOOKUP(Tabela1[[#This Row],[CC]],CC!$A$1:$H$389,5,0),"")</f>
        <v>CSA</v>
      </c>
      <c r="R2162" t="str">
        <f>IFERROR(VLOOKUP(Tabela1[[#This Row],[CC]],CC!$A$1:$H$389,6,0),"")</f>
        <v>UT</v>
      </c>
      <c r="S2162" t="str">
        <f>IFERROR(VLOOKUP(Tabela1[[#This Row],[CC]],CC!$A$1:$H$403,8,0),"")</f>
        <v>OP2</v>
      </c>
    </row>
    <row r="2163" spans="1:19" x14ac:dyDescent="0.3">
      <c r="A2163" s="8">
        <v>1482</v>
      </c>
      <c r="B2163" s="8" t="str">
        <f>IFERROR(VLOOKUP(Tabela1[[#This Row],[CC]],#REF!,5,0),"")</f>
        <v/>
      </c>
      <c r="C2163" t="str">
        <f>IFERROR(VLOOKUP(Tabela1[[#This Row],[CC]],CC!$A$1:$H$389,7,0),"")</f>
        <v>JOSÉ NETO</v>
      </c>
      <c r="D2163" t="str">
        <f>IFERROR(VLOOKUP(Tabela1[[#This Row],[CC]],CC!$A$1:$I$3869,3,0),"")</f>
        <v>AXIA</v>
      </c>
      <c r="E2163" t="str">
        <f>IFERROR(VLOOKUP(Tabela1[[#This Row],[CC]],CC!$A$1:$H$389,2,0),"")</f>
        <v>REAL GRANDEZA (1482)</v>
      </c>
      <c r="F2163" t="s">
        <v>586</v>
      </c>
      <c r="G2163" s="107">
        <v>8913</v>
      </c>
      <c r="H2163" s="12">
        <v>46113</v>
      </c>
      <c r="I2163" s="24">
        <v>34583</v>
      </c>
      <c r="J2163" s="24">
        <v>31245.75</v>
      </c>
      <c r="K2163" s="3">
        <v>46146</v>
      </c>
      <c r="L2163" s="91">
        <v>46174</v>
      </c>
      <c r="M2163" s="11">
        <v>46176</v>
      </c>
      <c r="N2163" s="36" t="s">
        <v>588</v>
      </c>
      <c r="O2163" s="34"/>
      <c r="P2163" s="14"/>
      <c r="Q2163" t="str">
        <f>IFERROR(VLOOKUP(Tabela1[[#This Row],[CC]],CC!$A$1:$H$389,5,0),"")</f>
        <v>CSA</v>
      </c>
      <c r="R2163" t="str">
        <f>IFERROR(VLOOKUP(Tabela1[[#This Row],[CC]],CC!$A$1:$H$389,6,0),"")</f>
        <v>UT</v>
      </c>
      <c r="S2163" t="str">
        <f>IFERROR(VLOOKUP(Tabela1[[#This Row],[CC]],CC!$A$1:$H$403,8,0),"")</f>
        <v>OP2</v>
      </c>
    </row>
    <row r="2164" spans="1:19" x14ac:dyDescent="0.3">
      <c r="A2164" s="8">
        <v>1525</v>
      </c>
      <c r="B2164" s="8" t="str">
        <f>IFERROR(VLOOKUP(Tabela1[[#This Row],[CC]],#REF!,5,0),"")</f>
        <v/>
      </c>
      <c r="C2164" t="str">
        <f>IFERROR(VLOOKUP(Tabela1[[#This Row],[CC]],CC!$A$1:$H$389,7,0),"")</f>
        <v>ROGERIO GORDILHO</v>
      </c>
      <c r="D2164" t="str">
        <f>IFERROR(VLOOKUP(Tabela1[[#This Row],[CC]],CC!$A$1:$I$3869,3,0),"")</f>
        <v>IBAMETRO</v>
      </c>
      <c r="E2164" t="str">
        <f>IFERROR(VLOOKUP(Tabela1[[#This Row],[CC]],CC!$A$1:$H$389,2,0),"")</f>
        <v>IBAMETRO DS (1525)</v>
      </c>
      <c r="F2164" t="s">
        <v>586</v>
      </c>
      <c r="G2164" s="107">
        <v>8988</v>
      </c>
      <c r="H2164" s="12">
        <v>46143</v>
      </c>
      <c r="I2164" s="27">
        <v>60000</v>
      </c>
      <c r="J2164" s="24">
        <v>55020</v>
      </c>
      <c r="K2164" s="3">
        <v>46174</v>
      </c>
      <c r="L2164" s="91">
        <v>46195</v>
      </c>
      <c r="M2164" s="11"/>
      <c r="N2164" s="18" t="s">
        <v>587</v>
      </c>
      <c r="O2164" s="34">
        <v>0</v>
      </c>
      <c r="P2164"/>
      <c r="Q2164" t="str">
        <f>IFERROR(VLOOKUP(Tabela1[[#This Row],[CC]],CC!$A$1:$H$389,5,0),"")</f>
        <v>CSA</v>
      </c>
      <c r="R2164" t="str">
        <f>IFERROR(VLOOKUP(Tabela1[[#This Row],[CC]],CC!$A$1:$H$389,6,0),"")</f>
        <v>PS</v>
      </c>
      <c r="S2164" t="str">
        <f>IFERROR(VLOOKUP(Tabela1[[#This Row],[CC]],CC!$A$1:$H$403,8,0),"")</f>
        <v>OP4</v>
      </c>
    </row>
    <row r="2165" spans="1:19" x14ac:dyDescent="0.3">
      <c r="A2165" s="25">
        <v>1262</v>
      </c>
      <c r="B2165" s="25" t="str">
        <f>IFERROR(VLOOKUP(Tabela1[[#This Row],[CC]],#REF!,5,0),"")</f>
        <v/>
      </c>
      <c r="C2165" t="str">
        <f>IFERROR(VLOOKUP(Tabela1[[#This Row],[CC]],CC!$A$1:$H$389,7,0),"")</f>
        <v>RODRIGO CORUMBA</v>
      </c>
      <c r="D2165" t="str">
        <f>IFERROR(VLOOKUP(Tabela1[[#This Row],[CC]],CC!$A$1:$I$3869,3,0),"")</f>
        <v>RENDIMENTO</v>
      </c>
      <c r="E2165" t="str">
        <f>IFERROR(VLOOKUP(Tabela1[[#This Row],[CC]],CC!$A$1:$H$389,2,0),"")</f>
        <v>BANCO RENDIMENTO ADS (1262)</v>
      </c>
      <c r="F2165" t="s">
        <v>586</v>
      </c>
      <c r="G2165" s="107">
        <v>4652</v>
      </c>
      <c r="H2165" s="12">
        <v>45962</v>
      </c>
      <c r="I2165" s="24">
        <v>24275.919999999998</v>
      </c>
      <c r="J2165" s="27">
        <v>22782.95</v>
      </c>
      <c r="K2165" s="3">
        <v>46000</v>
      </c>
      <c r="L2165" s="91">
        <v>46006</v>
      </c>
      <c r="M2165" s="11">
        <v>46010</v>
      </c>
      <c r="N2165" s="18" t="s">
        <v>588</v>
      </c>
      <c r="O2165" s="34">
        <v>0</v>
      </c>
      <c r="P2165" s="26"/>
      <c r="Q2165" t="str">
        <f>IFERROR(VLOOKUP(Tabela1[[#This Row],[CC]],CC!$A$1:$H$389,5,0),"")</f>
        <v>ADS</v>
      </c>
      <c r="R2165" t="str">
        <f>IFERROR(VLOOKUP(Tabela1[[#This Row],[CC]],CC!$A$1:$H$389,6,0),"")</f>
        <v>FS</v>
      </c>
      <c r="S2165" t="str">
        <f>IFERROR(VLOOKUP(Tabela1[[#This Row],[CC]],CC!$A$1:$H$403,8,0),"")</f>
        <v>OP2</v>
      </c>
    </row>
    <row r="2166" spans="1:19" x14ac:dyDescent="0.3">
      <c r="A2166" s="25">
        <v>1262</v>
      </c>
      <c r="B2166" s="25" t="str">
        <f>IFERROR(VLOOKUP(Tabela1[[#This Row],[CC]],#REF!,5,0),"")</f>
        <v/>
      </c>
      <c r="C2166" t="str">
        <f>IFERROR(VLOOKUP(Tabela1[[#This Row],[CC]],CC!$A$1:$H$389,7,0),"")</f>
        <v>RODRIGO CORUMBA</v>
      </c>
      <c r="D2166" t="str">
        <f>IFERROR(VLOOKUP(Tabela1[[#This Row],[CC]],CC!$A$1:$I$3869,3,0),"")</f>
        <v>RENDIMENTO</v>
      </c>
      <c r="E2166" t="str">
        <f>IFERROR(VLOOKUP(Tabela1[[#This Row],[CC]],CC!$A$1:$H$389,2,0),"")</f>
        <v>BANCO RENDIMENTO ADS (1262)</v>
      </c>
      <c r="F2166" t="s">
        <v>586</v>
      </c>
      <c r="G2166" s="107">
        <v>4653</v>
      </c>
      <c r="H2166" s="12">
        <v>45962</v>
      </c>
      <c r="I2166" s="24">
        <v>18837.36</v>
      </c>
      <c r="J2166" s="27">
        <v>17678.86</v>
      </c>
      <c r="K2166" s="3">
        <v>46000</v>
      </c>
      <c r="L2166" s="91">
        <v>46006</v>
      </c>
      <c r="M2166" s="11">
        <v>46010</v>
      </c>
      <c r="N2166" s="18" t="s">
        <v>588</v>
      </c>
      <c r="O2166" s="34">
        <v>0</v>
      </c>
      <c r="P2166" s="26"/>
      <c r="Q2166" t="str">
        <f>IFERROR(VLOOKUP(Tabela1[[#This Row],[CC]],CC!$A$1:$H$389,5,0),"")</f>
        <v>ADS</v>
      </c>
      <c r="R2166" t="str">
        <f>IFERROR(VLOOKUP(Tabela1[[#This Row],[CC]],CC!$A$1:$H$389,6,0),"")</f>
        <v>FS</v>
      </c>
      <c r="S2166" t="str">
        <f>IFERROR(VLOOKUP(Tabela1[[#This Row],[CC]],CC!$A$1:$H$403,8,0),"")</f>
        <v>OP2</v>
      </c>
    </row>
    <row r="2167" spans="1:19" x14ac:dyDescent="0.3">
      <c r="A2167" s="25">
        <v>1262</v>
      </c>
      <c r="B2167" s="25" t="str">
        <f>IFERROR(VLOOKUP(Tabela1[[#This Row],[CC]],#REF!,5,0),"")</f>
        <v/>
      </c>
      <c r="C2167" t="str">
        <f>IFERROR(VLOOKUP(Tabela1[[#This Row],[CC]],CC!$A$1:$H$389,7,0),"")</f>
        <v>RODRIGO CORUMBA</v>
      </c>
      <c r="D2167" t="str">
        <f>IFERROR(VLOOKUP(Tabela1[[#This Row],[CC]],CC!$A$1:$I$3869,3,0),"")</f>
        <v>RENDIMENTO</v>
      </c>
      <c r="E2167" t="str">
        <f>IFERROR(VLOOKUP(Tabela1[[#This Row],[CC]],CC!$A$1:$H$389,2,0),"")</f>
        <v>BANCO RENDIMENTO ADS (1262)</v>
      </c>
      <c r="F2167" t="s">
        <v>586</v>
      </c>
      <c r="G2167" s="107">
        <v>4654</v>
      </c>
      <c r="H2167" s="12">
        <v>45962</v>
      </c>
      <c r="I2167" s="24">
        <v>15783.38</v>
      </c>
      <c r="J2167" s="27">
        <v>14812.7</v>
      </c>
      <c r="K2167" s="3">
        <v>46000</v>
      </c>
      <c r="L2167" s="91">
        <v>46006</v>
      </c>
      <c r="M2167" s="11">
        <v>46010</v>
      </c>
      <c r="N2167" s="18" t="s">
        <v>588</v>
      </c>
      <c r="O2167" s="34">
        <v>0</v>
      </c>
      <c r="P2167" s="26"/>
      <c r="Q2167" t="str">
        <f>IFERROR(VLOOKUP(Tabela1[[#This Row],[CC]],CC!$A$1:$H$389,5,0),"")</f>
        <v>ADS</v>
      </c>
      <c r="R2167" t="str">
        <f>IFERROR(VLOOKUP(Tabela1[[#This Row],[CC]],CC!$A$1:$H$389,6,0),"")</f>
        <v>FS</v>
      </c>
      <c r="S2167" t="str">
        <f>IFERROR(VLOOKUP(Tabela1[[#This Row],[CC]],CC!$A$1:$H$403,8,0),"")</f>
        <v>OP2</v>
      </c>
    </row>
    <row r="2168" spans="1:19" x14ac:dyDescent="0.3">
      <c r="A2168" s="25">
        <v>1262</v>
      </c>
      <c r="B2168" s="25" t="str">
        <f>IFERROR(VLOOKUP(Tabela1[[#This Row],[CC]],#REF!,5,0),"")</f>
        <v/>
      </c>
      <c r="C2168" t="str">
        <f>IFERROR(VLOOKUP(Tabela1[[#This Row],[CC]],CC!$A$1:$H$389,7,0),"")</f>
        <v>RODRIGO CORUMBA</v>
      </c>
      <c r="D2168" t="str">
        <f>IFERROR(VLOOKUP(Tabela1[[#This Row],[CC]],CC!$A$1:$I$3869,3,0),"")</f>
        <v>RENDIMENTO</v>
      </c>
      <c r="E2168" t="str">
        <f>IFERROR(VLOOKUP(Tabela1[[#This Row],[CC]],CC!$A$1:$H$389,2,0),"")</f>
        <v>BANCO RENDIMENTO ADS (1262)</v>
      </c>
      <c r="F2168" t="s">
        <v>586</v>
      </c>
      <c r="G2168" s="107">
        <v>4655</v>
      </c>
      <c r="H2168" s="12">
        <v>45962</v>
      </c>
      <c r="I2168" s="24">
        <v>57975.839999999997</v>
      </c>
      <c r="J2168" s="27">
        <v>54410.32</v>
      </c>
      <c r="K2168" s="3">
        <v>46000</v>
      </c>
      <c r="L2168" s="91">
        <v>46006</v>
      </c>
      <c r="M2168" s="11">
        <v>46010</v>
      </c>
      <c r="N2168" s="18" t="s">
        <v>588</v>
      </c>
      <c r="O2168" s="34">
        <v>0</v>
      </c>
      <c r="P2168" s="26"/>
      <c r="Q2168" t="str">
        <f>IFERROR(VLOOKUP(Tabela1[[#This Row],[CC]],CC!$A$1:$H$389,5,0),"")</f>
        <v>ADS</v>
      </c>
      <c r="R2168" t="str">
        <f>IFERROR(VLOOKUP(Tabela1[[#This Row],[CC]],CC!$A$1:$H$389,6,0),"")</f>
        <v>FS</v>
      </c>
      <c r="S2168" t="str">
        <f>IFERROR(VLOOKUP(Tabela1[[#This Row],[CC]],CC!$A$1:$H$403,8,0),"")</f>
        <v>OP2</v>
      </c>
    </row>
    <row r="2169" spans="1:19" x14ac:dyDescent="0.3">
      <c r="A2169" s="25">
        <v>1262</v>
      </c>
      <c r="B2169" s="25" t="str">
        <f>IFERROR(VLOOKUP(Tabela1[[#This Row],[CC]],#REF!,5,0),"")</f>
        <v/>
      </c>
      <c r="C2169" t="str">
        <f>IFERROR(VLOOKUP(Tabela1[[#This Row],[CC]],CC!$A$1:$H$389,7,0),"")</f>
        <v>RODRIGO CORUMBA</v>
      </c>
      <c r="D2169" t="str">
        <f>IFERROR(VLOOKUP(Tabela1[[#This Row],[CC]],CC!$A$1:$I$3869,3,0),"")</f>
        <v>RENDIMENTO</v>
      </c>
      <c r="E2169" t="str">
        <f>IFERROR(VLOOKUP(Tabela1[[#This Row],[CC]],CC!$A$1:$H$389,2,0),"")</f>
        <v>BANCO RENDIMENTO ADS (1262)</v>
      </c>
      <c r="F2169" t="s">
        <v>586</v>
      </c>
      <c r="G2169" s="107">
        <v>4657</v>
      </c>
      <c r="H2169" s="12">
        <v>45962</v>
      </c>
      <c r="I2169" s="24">
        <v>6764.3</v>
      </c>
      <c r="J2169" s="27">
        <v>6348.3</v>
      </c>
      <c r="K2169" s="3">
        <v>46000</v>
      </c>
      <c r="L2169" s="91">
        <v>46006</v>
      </c>
      <c r="M2169" s="11">
        <v>46010</v>
      </c>
      <c r="N2169" s="18" t="s">
        <v>588</v>
      </c>
      <c r="O2169" s="34">
        <v>0</v>
      </c>
      <c r="P2169" s="26"/>
      <c r="Q2169" t="str">
        <f>IFERROR(VLOOKUP(Tabela1[[#This Row],[CC]],CC!$A$1:$H$389,5,0),"")</f>
        <v>ADS</v>
      </c>
      <c r="R2169" t="str">
        <f>IFERROR(VLOOKUP(Tabela1[[#This Row],[CC]],CC!$A$1:$H$389,6,0),"")</f>
        <v>FS</v>
      </c>
      <c r="S2169" t="str">
        <f>IFERROR(VLOOKUP(Tabela1[[#This Row],[CC]],CC!$A$1:$H$403,8,0),"")</f>
        <v>OP2</v>
      </c>
    </row>
    <row r="2170" spans="1:19" x14ac:dyDescent="0.3">
      <c r="A2170" s="25">
        <v>1262</v>
      </c>
      <c r="B2170" s="25" t="str">
        <f>IFERROR(VLOOKUP(Tabela1[[#This Row],[CC]],#REF!,5,0),"")</f>
        <v/>
      </c>
      <c r="C2170" t="str">
        <f>IFERROR(VLOOKUP(Tabela1[[#This Row],[CC]],CC!$A$1:$H$389,7,0),"")</f>
        <v>RODRIGO CORUMBA</v>
      </c>
      <c r="D2170" t="str">
        <f>IFERROR(VLOOKUP(Tabela1[[#This Row],[CC]],CC!$A$1:$I$3869,3,0),"")</f>
        <v>RENDIMENTO</v>
      </c>
      <c r="E2170" t="str">
        <f>IFERROR(VLOOKUP(Tabela1[[#This Row],[CC]],CC!$A$1:$H$389,2,0),"")</f>
        <v>BANCO RENDIMENTO ADS (1262)</v>
      </c>
      <c r="F2170" t="s">
        <v>586</v>
      </c>
      <c r="G2170" s="107">
        <v>4700</v>
      </c>
      <c r="H2170" s="12">
        <v>45992</v>
      </c>
      <c r="I2170" s="24">
        <v>83672.320000000007</v>
      </c>
      <c r="J2170" s="24">
        <v>78526.48</v>
      </c>
      <c r="K2170" s="3">
        <v>46006</v>
      </c>
      <c r="L2170" s="91">
        <v>46020</v>
      </c>
      <c r="M2170" s="11">
        <v>46021</v>
      </c>
      <c r="N2170" s="18" t="s">
        <v>588</v>
      </c>
      <c r="O2170" s="34"/>
      <c r="P2170" s="26"/>
      <c r="Q2170" t="str">
        <f>IFERROR(VLOOKUP(Tabela1[[#This Row],[CC]],CC!$A$1:$H$389,5,0),"")</f>
        <v>ADS</v>
      </c>
      <c r="R2170" t="str">
        <f>IFERROR(VLOOKUP(Tabela1[[#This Row],[CC]],CC!$A$1:$H$389,6,0),"")</f>
        <v>FS</v>
      </c>
      <c r="S2170" t="str">
        <f>IFERROR(VLOOKUP(Tabela1[[#This Row],[CC]],CC!$A$1:$H$403,8,0),"")</f>
        <v>OP2</v>
      </c>
    </row>
    <row r="2171" spans="1:19" x14ac:dyDescent="0.3">
      <c r="A2171" s="25">
        <v>1262</v>
      </c>
      <c r="B2171" s="25" t="str">
        <f>IFERROR(VLOOKUP(Tabela1[[#This Row],[CC]],#REF!,5,0),"")</f>
        <v/>
      </c>
      <c r="C2171" t="str">
        <f>IFERROR(VLOOKUP(Tabela1[[#This Row],[CC]],CC!$A$1:$H$389,7,0),"")</f>
        <v>RODRIGO CORUMBA</v>
      </c>
      <c r="D2171" t="str">
        <f>IFERROR(VLOOKUP(Tabela1[[#This Row],[CC]],CC!$A$1:$I$3869,3,0),"")</f>
        <v>RENDIMENTO</v>
      </c>
      <c r="E2171" t="str">
        <f>IFERROR(VLOOKUP(Tabela1[[#This Row],[CC]],CC!$A$1:$H$389,2,0),"")</f>
        <v>BANCO RENDIMENTO ADS (1262)</v>
      </c>
      <c r="F2171" t="s">
        <v>586</v>
      </c>
      <c r="G2171" s="107">
        <v>4769</v>
      </c>
      <c r="H2171" s="12">
        <v>45992</v>
      </c>
      <c r="I2171" s="27">
        <v>26016.76</v>
      </c>
      <c r="J2171" s="27">
        <v>24416.73</v>
      </c>
      <c r="K2171" s="3">
        <v>46045</v>
      </c>
      <c r="L2171" s="91">
        <v>46048</v>
      </c>
      <c r="M2171" s="11">
        <v>46052</v>
      </c>
      <c r="N2171" s="18" t="s">
        <v>588</v>
      </c>
      <c r="O2171" s="34"/>
      <c r="P2171" s="26"/>
      <c r="Q2171" t="str">
        <f>IFERROR(VLOOKUP(Tabela1[[#This Row],[CC]],CC!$A$1:$H$389,5,0),"")</f>
        <v>ADS</v>
      </c>
      <c r="R2171" t="str">
        <f>IFERROR(VLOOKUP(Tabela1[[#This Row],[CC]],CC!$A$1:$H$389,6,0),"")</f>
        <v>FS</v>
      </c>
      <c r="S2171" t="str">
        <f>IFERROR(VLOOKUP(Tabela1[[#This Row],[CC]],CC!$A$1:$H$403,8,0),"")</f>
        <v>OP2</v>
      </c>
    </row>
    <row r="2172" spans="1:19" x14ac:dyDescent="0.3">
      <c r="A2172" s="25">
        <v>1262</v>
      </c>
      <c r="B2172" s="25" t="str">
        <f>IFERROR(VLOOKUP(Tabela1[[#This Row],[CC]],#REF!,5,0),"")</f>
        <v/>
      </c>
      <c r="C2172" t="str">
        <f>IFERROR(VLOOKUP(Tabela1[[#This Row],[CC]],CC!$A$1:$H$389,7,0),"")</f>
        <v>RODRIGO CORUMBA</v>
      </c>
      <c r="D2172" t="str">
        <f>IFERROR(VLOOKUP(Tabela1[[#This Row],[CC]],CC!$A$1:$I$3869,3,0),"")</f>
        <v>RENDIMENTO</v>
      </c>
      <c r="E2172" t="str">
        <f>IFERROR(VLOOKUP(Tabela1[[#This Row],[CC]],CC!$A$1:$H$389,2,0),"")</f>
        <v>BANCO RENDIMENTO ADS (1262)</v>
      </c>
      <c r="F2172" t="s">
        <v>586</v>
      </c>
      <c r="G2172" s="107">
        <v>4776</v>
      </c>
      <c r="H2172" s="12">
        <v>45992</v>
      </c>
      <c r="I2172" s="27">
        <v>795.15</v>
      </c>
      <c r="J2172" s="27">
        <v>746.25</v>
      </c>
      <c r="K2172" s="3">
        <v>46045</v>
      </c>
      <c r="L2172" s="91">
        <v>46048</v>
      </c>
      <c r="M2172" s="11">
        <v>46052</v>
      </c>
      <c r="N2172" s="18" t="s">
        <v>588</v>
      </c>
      <c r="O2172" s="34"/>
      <c r="P2172" s="26"/>
      <c r="Q2172" t="str">
        <f>IFERROR(VLOOKUP(Tabela1[[#This Row],[CC]],CC!$A$1:$H$389,5,0),"")</f>
        <v>ADS</v>
      </c>
      <c r="R2172" t="str">
        <f>IFERROR(VLOOKUP(Tabela1[[#This Row],[CC]],CC!$A$1:$H$389,6,0),"")</f>
        <v>FS</v>
      </c>
      <c r="S2172" t="str">
        <f>IFERROR(VLOOKUP(Tabela1[[#This Row],[CC]],CC!$A$1:$H$403,8,0),"")</f>
        <v>OP2</v>
      </c>
    </row>
    <row r="2173" spans="1:19" x14ac:dyDescent="0.3">
      <c r="A2173" s="25">
        <v>1262</v>
      </c>
      <c r="B2173" s="25" t="str">
        <f>IFERROR(VLOOKUP(Tabela1[[#This Row],[CC]],#REF!,5,0),"")</f>
        <v/>
      </c>
      <c r="C2173" t="str">
        <f>IFERROR(VLOOKUP(Tabela1[[#This Row],[CC]],CC!$A$1:$H$389,7,0),"")</f>
        <v>RODRIGO CORUMBA</v>
      </c>
      <c r="D2173" t="str">
        <f>IFERROR(VLOOKUP(Tabela1[[#This Row],[CC]],CC!$A$1:$I$3869,3,0),"")</f>
        <v>RENDIMENTO</v>
      </c>
      <c r="E2173" t="str">
        <f>IFERROR(VLOOKUP(Tabela1[[#This Row],[CC]],CC!$A$1:$H$389,2,0),"")</f>
        <v>BANCO RENDIMENTO ADS (1262)</v>
      </c>
      <c r="F2173" t="s">
        <v>586</v>
      </c>
      <c r="G2173" s="107">
        <v>4771</v>
      </c>
      <c r="H2173" s="12">
        <v>45992</v>
      </c>
      <c r="I2173" s="27">
        <v>1402.26</v>
      </c>
      <c r="J2173" s="27">
        <v>1316.03</v>
      </c>
      <c r="K2173" s="3">
        <v>46045</v>
      </c>
      <c r="L2173" s="91">
        <v>46048</v>
      </c>
      <c r="M2173" s="11">
        <v>46052</v>
      </c>
      <c r="N2173" s="18" t="s">
        <v>588</v>
      </c>
      <c r="O2173" s="34"/>
      <c r="P2173" s="26"/>
      <c r="Q2173" t="str">
        <f>IFERROR(VLOOKUP(Tabela1[[#This Row],[CC]],CC!$A$1:$H$389,5,0),"")</f>
        <v>ADS</v>
      </c>
      <c r="R2173" t="str">
        <f>IFERROR(VLOOKUP(Tabela1[[#This Row],[CC]],CC!$A$1:$H$389,6,0),"")</f>
        <v>FS</v>
      </c>
      <c r="S2173" t="str">
        <f>IFERROR(VLOOKUP(Tabela1[[#This Row],[CC]],CC!$A$1:$H$403,8,0),"")</f>
        <v>OP2</v>
      </c>
    </row>
    <row r="2174" spans="1:19" x14ac:dyDescent="0.3">
      <c r="A2174" s="25">
        <v>1262</v>
      </c>
      <c r="B2174" s="25" t="str">
        <f>IFERROR(VLOOKUP(Tabela1[[#This Row],[CC]],#REF!,5,0),"")</f>
        <v/>
      </c>
      <c r="C2174" t="str">
        <f>IFERROR(VLOOKUP(Tabela1[[#This Row],[CC]],CC!$A$1:$H$389,7,0),"")</f>
        <v>RODRIGO CORUMBA</v>
      </c>
      <c r="D2174" t="str">
        <f>IFERROR(VLOOKUP(Tabela1[[#This Row],[CC]],CC!$A$1:$I$3869,3,0),"")</f>
        <v>RENDIMENTO</v>
      </c>
      <c r="E2174" t="str">
        <f>IFERROR(VLOOKUP(Tabela1[[#This Row],[CC]],CC!$A$1:$H$389,2,0),"")</f>
        <v>BANCO RENDIMENTO ADS (1262)</v>
      </c>
      <c r="F2174" t="s">
        <v>586</v>
      </c>
      <c r="G2174" s="107">
        <v>4772</v>
      </c>
      <c r="H2174" s="12">
        <v>45992</v>
      </c>
      <c r="I2174" s="27">
        <v>8077.73</v>
      </c>
      <c r="J2174" s="27">
        <v>7580.94</v>
      </c>
      <c r="K2174" s="3">
        <v>46045</v>
      </c>
      <c r="L2174" s="91">
        <v>46048</v>
      </c>
      <c r="M2174" s="11">
        <v>46052</v>
      </c>
      <c r="N2174" s="18" t="s">
        <v>588</v>
      </c>
      <c r="O2174" s="34"/>
      <c r="P2174" s="26"/>
      <c r="Q2174" t="str">
        <f>IFERROR(VLOOKUP(Tabela1[[#This Row],[CC]],CC!$A$1:$H$389,5,0),"")</f>
        <v>ADS</v>
      </c>
      <c r="R2174" t="str">
        <f>IFERROR(VLOOKUP(Tabela1[[#This Row],[CC]],CC!$A$1:$H$389,6,0),"")</f>
        <v>FS</v>
      </c>
      <c r="S2174" t="str">
        <f>IFERROR(VLOOKUP(Tabela1[[#This Row],[CC]],CC!$A$1:$H$403,8,0),"")</f>
        <v>OP2</v>
      </c>
    </row>
    <row r="2175" spans="1:19" x14ac:dyDescent="0.3">
      <c r="A2175" s="25">
        <v>1262</v>
      </c>
      <c r="B2175" s="25" t="str">
        <f>IFERROR(VLOOKUP(Tabela1[[#This Row],[CC]],#REF!,5,0),"")</f>
        <v/>
      </c>
      <c r="C2175" t="str">
        <f>IFERROR(VLOOKUP(Tabela1[[#This Row],[CC]],CC!$A$1:$H$389,7,0),"")</f>
        <v>RODRIGO CORUMBA</v>
      </c>
      <c r="D2175" t="str">
        <f>IFERROR(VLOOKUP(Tabela1[[#This Row],[CC]],CC!$A$1:$I$3869,3,0),"")</f>
        <v>RENDIMENTO</v>
      </c>
      <c r="E2175" t="str">
        <f>IFERROR(VLOOKUP(Tabela1[[#This Row],[CC]],CC!$A$1:$H$389,2,0),"")</f>
        <v>BANCO RENDIMENTO ADS (1262)</v>
      </c>
      <c r="F2175" t="s">
        <v>586</v>
      </c>
      <c r="G2175" s="107">
        <v>4854</v>
      </c>
      <c r="H2175" s="12">
        <v>46023</v>
      </c>
      <c r="I2175" s="24">
        <v>30590.85</v>
      </c>
      <c r="J2175" s="24">
        <v>28709.51</v>
      </c>
      <c r="K2175" s="3">
        <v>46071</v>
      </c>
      <c r="L2175" s="91">
        <v>46076</v>
      </c>
      <c r="M2175" s="11">
        <v>46080</v>
      </c>
      <c r="N2175" s="18" t="s">
        <v>588</v>
      </c>
      <c r="O2175" s="34"/>
      <c r="P2175" s="26"/>
      <c r="Q2175" t="str">
        <f>IFERROR(VLOOKUP(Tabela1[[#This Row],[CC]],CC!$A$1:$H$389,5,0),"")</f>
        <v>ADS</v>
      </c>
      <c r="R2175" t="str">
        <f>IFERROR(VLOOKUP(Tabela1[[#This Row],[CC]],CC!$A$1:$H$389,6,0),"")</f>
        <v>FS</v>
      </c>
      <c r="S2175" t="str">
        <f>IFERROR(VLOOKUP(Tabela1[[#This Row],[CC]],CC!$A$1:$H$403,8,0),"")</f>
        <v>OP2</v>
      </c>
    </row>
    <row r="2176" spans="1:19" x14ac:dyDescent="0.3">
      <c r="A2176" s="25">
        <v>1262</v>
      </c>
      <c r="B2176" s="25" t="str">
        <f>IFERROR(VLOOKUP(Tabela1[[#This Row],[CC]],#REF!,5,0),"")</f>
        <v/>
      </c>
      <c r="C2176" t="str">
        <f>IFERROR(VLOOKUP(Tabela1[[#This Row],[CC]],CC!$A$1:$H$389,7,0),"")</f>
        <v>RODRIGO CORUMBA</v>
      </c>
      <c r="D2176" t="str">
        <f>IFERROR(VLOOKUP(Tabela1[[#This Row],[CC]],CC!$A$1:$I$3869,3,0),"")</f>
        <v>RENDIMENTO</v>
      </c>
      <c r="E2176" t="str">
        <f>IFERROR(VLOOKUP(Tabela1[[#This Row],[CC]],CC!$A$1:$H$389,2,0),"")</f>
        <v>BANCO RENDIMENTO ADS (1262)</v>
      </c>
      <c r="F2176" t="s">
        <v>586</v>
      </c>
      <c r="G2176" s="107">
        <v>4855</v>
      </c>
      <c r="H2176" s="12">
        <v>46023</v>
      </c>
      <c r="I2176" s="24">
        <v>21824.07</v>
      </c>
      <c r="J2176" s="24">
        <v>20481.89</v>
      </c>
      <c r="K2176" s="3">
        <v>46071</v>
      </c>
      <c r="L2176" s="91">
        <v>46076</v>
      </c>
      <c r="M2176" s="11">
        <v>46080</v>
      </c>
      <c r="N2176" s="18" t="s">
        <v>588</v>
      </c>
      <c r="O2176" s="34"/>
      <c r="P2176" s="26"/>
      <c r="Q2176" t="str">
        <f>IFERROR(VLOOKUP(Tabela1[[#This Row],[CC]],CC!$A$1:$H$389,5,0),"")</f>
        <v>ADS</v>
      </c>
      <c r="R2176" t="str">
        <f>IFERROR(VLOOKUP(Tabela1[[#This Row],[CC]],CC!$A$1:$H$389,6,0),"")</f>
        <v>FS</v>
      </c>
      <c r="S2176" t="str">
        <f>IFERROR(VLOOKUP(Tabela1[[#This Row],[CC]],CC!$A$1:$H$403,8,0),"")</f>
        <v>OP2</v>
      </c>
    </row>
    <row r="2177" spans="1:19" x14ac:dyDescent="0.3">
      <c r="A2177" s="25">
        <v>1262</v>
      </c>
      <c r="B2177" s="25" t="str">
        <f>IFERROR(VLOOKUP(Tabela1[[#This Row],[CC]],#REF!,5,0),"")</f>
        <v/>
      </c>
      <c r="C2177" t="str">
        <f>IFERROR(VLOOKUP(Tabela1[[#This Row],[CC]],CC!$A$1:$H$389,7,0),"")</f>
        <v>RODRIGO CORUMBA</v>
      </c>
      <c r="D2177" t="str">
        <f>IFERROR(VLOOKUP(Tabela1[[#This Row],[CC]],CC!$A$1:$I$3869,3,0),"")</f>
        <v>RENDIMENTO</v>
      </c>
      <c r="E2177" t="str">
        <f>IFERROR(VLOOKUP(Tabela1[[#This Row],[CC]],CC!$A$1:$H$389,2,0),"")</f>
        <v>BANCO RENDIMENTO ADS (1262)</v>
      </c>
      <c r="F2177" t="s">
        <v>586</v>
      </c>
      <c r="G2177" s="107">
        <v>4856</v>
      </c>
      <c r="H2177" s="12">
        <v>46023</v>
      </c>
      <c r="I2177" s="24">
        <v>34796.81</v>
      </c>
      <c r="J2177" s="24">
        <v>32656.81</v>
      </c>
      <c r="K2177" s="3">
        <v>46071</v>
      </c>
      <c r="L2177" s="91">
        <v>46076</v>
      </c>
      <c r="M2177" s="11">
        <v>46080</v>
      </c>
      <c r="N2177" s="18" t="s">
        <v>588</v>
      </c>
      <c r="O2177" s="34"/>
      <c r="P2177" s="26"/>
      <c r="Q2177" t="str">
        <f>IFERROR(VLOOKUP(Tabela1[[#This Row],[CC]],CC!$A$1:$H$389,5,0),"")</f>
        <v>ADS</v>
      </c>
      <c r="R2177" t="str">
        <f>IFERROR(VLOOKUP(Tabela1[[#This Row],[CC]],CC!$A$1:$H$389,6,0),"")</f>
        <v>FS</v>
      </c>
      <c r="S2177" t="str">
        <f>IFERROR(VLOOKUP(Tabela1[[#This Row],[CC]],CC!$A$1:$H$403,8,0),"")</f>
        <v>OP2</v>
      </c>
    </row>
    <row r="2178" spans="1:19" x14ac:dyDescent="0.3">
      <c r="A2178" s="25">
        <v>1262</v>
      </c>
      <c r="B2178" s="25" t="str">
        <f>IFERROR(VLOOKUP(Tabela1[[#This Row],[CC]],#REF!,5,0),"")</f>
        <v/>
      </c>
      <c r="C2178" t="str">
        <f>IFERROR(VLOOKUP(Tabela1[[#This Row],[CC]],CC!$A$1:$H$389,7,0),"")</f>
        <v>RODRIGO CORUMBA</v>
      </c>
      <c r="D2178" t="str">
        <f>IFERROR(VLOOKUP(Tabela1[[#This Row],[CC]],CC!$A$1:$I$3869,3,0),"")</f>
        <v>RENDIMENTO</v>
      </c>
      <c r="E2178" t="str">
        <f>IFERROR(VLOOKUP(Tabela1[[#This Row],[CC]],CC!$A$1:$H$389,2,0),"")</f>
        <v>BANCO RENDIMENTO ADS (1262)</v>
      </c>
      <c r="F2178" t="s">
        <v>586</v>
      </c>
      <c r="G2178" s="107">
        <v>4857</v>
      </c>
      <c r="H2178" s="12">
        <v>46023</v>
      </c>
      <c r="I2178" s="24">
        <v>11646.17</v>
      </c>
      <c r="J2178" s="24">
        <v>10929.93</v>
      </c>
      <c r="K2178" s="3">
        <v>46071</v>
      </c>
      <c r="L2178" s="91">
        <v>46076</v>
      </c>
      <c r="M2178" s="11">
        <v>46080</v>
      </c>
      <c r="N2178" s="18" t="s">
        <v>588</v>
      </c>
      <c r="O2178" s="34"/>
      <c r="P2178" s="26"/>
      <c r="Q2178" t="str">
        <f>IFERROR(VLOOKUP(Tabela1[[#This Row],[CC]],CC!$A$1:$H$389,5,0),"")</f>
        <v>ADS</v>
      </c>
      <c r="R2178" t="str">
        <f>IFERROR(VLOOKUP(Tabela1[[#This Row],[CC]],CC!$A$1:$H$389,6,0),"")</f>
        <v>FS</v>
      </c>
      <c r="S2178" t="str">
        <f>IFERROR(VLOOKUP(Tabela1[[#This Row],[CC]],CC!$A$1:$H$403,8,0),"")</f>
        <v>OP2</v>
      </c>
    </row>
    <row r="2179" spans="1:19" x14ac:dyDescent="0.3">
      <c r="A2179" s="25">
        <v>1262</v>
      </c>
      <c r="B2179" s="25" t="str">
        <f>IFERROR(VLOOKUP(Tabela1[[#This Row],[CC]],#REF!,5,0),"")</f>
        <v/>
      </c>
      <c r="C2179" t="str">
        <f>IFERROR(VLOOKUP(Tabela1[[#This Row],[CC]],CC!$A$1:$H$389,7,0),"")</f>
        <v>RODRIGO CORUMBA</v>
      </c>
      <c r="D2179" t="str">
        <f>IFERROR(VLOOKUP(Tabela1[[#This Row],[CC]],CC!$A$1:$I$3869,3,0),"")</f>
        <v>RENDIMENTO</v>
      </c>
      <c r="E2179" t="str">
        <f>IFERROR(VLOOKUP(Tabela1[[#This Row],[CC]],CC!$A$1:$H$389,2,0),"")</f>
        <v>BANCO RENDIMENTO ADS (1262)</v>
      </c>
      <c r="F2179" t="s">
        <v>586</v>
      </c>
      <c r="G2179" s="107">
        <v>5013</v>
      </c>
      <c r="H2179" s="12">
        <v>46054</v>
      </c>
      <c r="I2179" s="24">
        <v>21559.25</v>
      </c>
      <c r="J2179" s="24">
        <v>20233.349999999999</v>
      </c>
      <c r="K2179" s="3">
        <v>46105</v>
      </c>
      <c r="L2179" s="91">
        <v>46111</v>
      </c>
      <c r="M2179" s="11">
        <v>46111</v>
      </c>
      <c r="N2179" s="18" t="s">
        <v>588</v>
      </c>
      <c r="O2179" s="34"/>
      <c r="P2179" s="26"/>
      <c r="Q2179" t="str">
        <f>IFERROR(VLOOKUP(Tabela1[[#This Row],[CC]],CC!$A$1:$H$389,5,0),"")</f>
        <v>ADS</v>
      </c>
      <c r="R2179" t="str">
        <f>IFERROR(VLOOKUP(Tabela1[[#This Row],[CC]],CC!$A$1:$H$389,6,0),"")</f>
        <v>FS</v>
      </c>
      <c r="S2179" t="str">
        <f>IFERROR(VLOOKUP(Tabela1[[#This Row],[CC]],CC!$A$1:$H$403,8,0),"")</f>
        <v>OP2</v>
      </c>
    </row>
    <row r="2180" spans="1:19" x14ac:dyDescent="0.3">
      <c r="A2180" s="25">
        <v>1262</v>
      </c>
      <c r="B2180" s="25" t="str">
        <f>IFERROR(VLOOKUP(Tabela1[[#This Row],[CC]],#REF!,5,0),"")</f>
        <v/>
      </c>
      <c r="C2180" t="str">
        <f>IFERROR(VLOOKUP(Tabela1[[#This Row],[CC]],CC!$A$1:$H$389,7,0),"")</f>
        <v>RODRIGO CORUMBA</v>
      </c>
      <c r="D2180" t="str">
        <f>IFERROR(VLOOKUP(Tabela1[[#This Row],[CC]],CC!$A$1:$I$3869,3,0),"")</f>
        <v>RENDIMENTO</v>
      </c>
      <c r="E2180" t="str">
        <f>IFERROR(VLOOKUP(Tabela1[[#This Row],[CC]],CC!$A$1:$H$389,2,0),"")</f>
        <v>BANCO RENDIMENTO ADS (1262)</v>
      </c>
      <c r="F2180" t="s">
        <v>586</v>
      </c>
      <c r="G2180" s="107">
        <v>5014</v>
      </c>
      <c r="H2180" s="12">
        <v>46054</v>
      </c>
      <c r="I2180" s="24">
        <v>28774.39</v>
      </c>
      <c r="J2180" s="24">
        <v>27004.76</v>
      </c>
      <c r="K2180" s="3">
        <v>46105</v>
      </c>
      <c r="L2180" s="91">
        <v>46111</v>
      </c>
      <c r="M2180" s="11">
        <v>46111</v>
      </c>
      <c r="N2180" s="18" t="s">
        <v>588</v>
      </c>
      <c r="O2180" s="34"/>
      <c r="P2180" s="26"/>
      <c r="Q2180" t="str">
        <f>IFERROR(VLOOKUP(Tabela1[[#This Row],[CC]],CC!$A$1:$H$389,5,0),"")</f>
        <v>ADS</v>
      </c>
      <c r="R2180" t="str">
        <f>IFERROR(VLOOKUP(Tabela1[[#This Row],[CC]],CC!$A$1:$H$389,6,0),"")</f>
        <v>FS</v>
      </c>
      <c r="S2180" t="str">
        <f>IFERROR(VLOOKUP(Tabela1[[#This Row],[CC]],CC!$A$1:$H$403,8,0),"")</f>
        <v>OP2</v>
      </c>
    </row>
    <row r="2181" spans="1:19" x14ac:dyDescent="0.3">
      <c r="A2181" s="25">
        <v>1269</v>
      </c>
      <c r="B2181" s="25" t="str">
        <f>IFERROR(VLOOKUP(Tabela1[[#This Row],[CC]],#REF!,5,0),"")</f>
        <v/>
      </c>
      <c r="C2181" t="str">
        <f>IFERROR(VLOOKUP(Tabela1[[#This Row],[CC]],CC!$A$1:$H$389,7,0),"")</f>
        <v>RODRIGO CORUMBA</v>
      </c>
      <c r="D2181" t="str">
        <f>IFERROR(VLOOKUP(Tabela1[[#This Row],[CC]],CC!$A$1:$I$3869,3,0),"")</f>
        <v>RENDIMENTO</v>
      </c>
      <c r="E2181" t="str">
        <f>IFERROR(VLOOKUP(Tabela1[[#This Row],[CC]],CC!$A$1:$H$389,2,0),"")</f>
        <v>BANCO RENDIMENTO MONITORING CSA (1269)</v>
      </c>
      <c r="F2181" t="s">
        <v>586</v>
      </c>
      <c r="G2181" s="107">
        <v>5015</v>
      </c>
      <c r="H2181" s="12">
        <v>46054</v>
      </c>
      <c r="I2181" s="24">
        <v>218850.79</v>
      </c>
      <c r="J2181" s="24">
        <v>205391.47</v>
      </c>
      <c r="K2181" s="3">
        <v>46105</v>
      </c>
      <c r="L2181" s="91">
        <v>46111</v>
      </c>
      <c r="M2181" s="11">
        <v>46111</v>
      </c>
      <c r="N2181" s="18" t="s">
        <v>588</v>
      </c>
      <c r="O2181" s="34"/>
      <c r="P2181" s="26"/>
      <c r="Q2181" t="str">
        <f>IFERROR(VLOOKUP(Tabela1[[#This Row],[CC]],CC!$A$1:$H$389,5,0),"")</f>
        <v>CSA</v>
      </c>
      <c r="R2181" t="str">
        <f>IFERROR(VLOOKUP(Tabela1[[#This Row],[CC]],CC!$A$1:$H$389,6,0),"")</f>
        <v>FS</v>
      </c>
      <c r="S2181" t="str">
        <f>IFERROR(VLOOKUP(Tabela1[[#This Row],[CC]],CC!$A$1:$H$403,8,0),"")</f>
        <v>OP2</v>
      </c>
    </row>
    <row r="2182" spans="1:19" x14ac:dyDescent="0.3">
      <c r="A2182" s="25">
        <v>1262</v>
      </c>
      <c r="B2182" s="25" t="str">
        <f>IFERROR(VLOOKUP(Tabela1[[#This Row],[CC]],#REF!,5,0),"")</f>
        <v/>
      </c>
      <c r="C2182" t="str">
        <f>IFERROR(VLOOKUP(Tabela1[[#This Row],[CC]],CC!$A$1:$H$389,7,0),"")</f>
        <v>RODRIGO CORUMBA</v>
      </c>
      <c r="D2182" t="str">
        <f>IFERROR(VLOOKUP(Tabela1[[#This Row],[CC]],CC!$A$1:$I$3869,3,0),"")</f>
        <v>RENDIMENTO</v>
      </c>
      <c r="E2182" t="str">
        <f>IFERROR(VLOOKUP(Tabela1[[#This Row],[CC]],CC!$A$1:$H$389,2,0),"")</f>
        <v>BANCO RENDIMENTO ADS (1262)</v>
      </c>
      <c r="F2182" t="s">
        <v>586</v>
      </c>
      <c r="G2182" s="107">
        <v>5016</v>
      </c>
      <c r="H2182" s="12">
        <v>46054</v>
      </c>
      <c r="I2182" s="24">
        <v>17755.45</v>
      </c>
      <c r="J2182" s="24">
        <v>16663.490000000002</v>
      </c>
      <c r="K2182" s="3">
        <v>46105</v>
      </c>
      <c r="L2182" s="91">
        <v>46111</v>
      </c>
      <c r="M2182" s="11">
        <v>46111</v>
      </c>
      <c r="N2182" s="18" t="s">
        <v>588</v>
      </c>
      <c r="O2182" s="34"/>
      <c r="P2182" s="26"/>
      <c r="Q2182" t="str">
        <f>IFERROR(VLOOKUP(Tabela1[[#This Row],[CC]],CC!$A$1:$H$389,5,0),"")</f>
        <v>ADS</v>
      </c>
      <c r="R2182" t="str">
        <f>IFERROR(VLOOKUP(Tabela1[[#This Row],[CC]],CC!$A$1:$H$389,6,0),"")</f>
        <v>FS</v>
      </c>
      <c r="S2182" t="str">
        <f>IFERROR(VLOOKUP(Tabela1[[#This Row],[CC]],CC!$A$1:$H$403,8,0),"")</f>
        <v>OP2</v>
      </c>
    </row>
    <row r="2183" spans="1:19" x14ac:dyDescent="0.3">
      <c r="A2183" s="25">
        <v>1262</v>
      </c>
      <c r="B2183" s="25" t="str">
        <f>IFERROR(VLOOKUP(Tabela1[[#This Row],[CC]],#REF!,5,0),"")</f>
        <v/>
      </c>
      <c r="C2183" t="str">
        <f>IFERROR(VLOOKUP(Tabela1[[#This Row],[CC]],CC!$A$1:$H$389,7,0),"")</f>
        <v>RODRIGO CORUMBA</v>
      </c>
      <c r="D2183" t="str">
        <f>IFERROR(VLOOKUP(Tabela1[[#This Row],[CC]],CC!$A$1:$I$3869,3,0),"")</f>
        <v>RENDIMENTO</v>
      </c>
      <c r="E2183" t="str">
        <f>IFERROR(VLOOKUP(Tabela1[[#This Row],[CC]],CC!$A$1:$H$389,2,0),"")</f>
        <v>BANCO RENDIMENTO ADS (1262)</v>
      </c>
      <c r="F2183" t="s">
        <v>586</v>
      </c>
      <c r="G2183" s="107">
        <v>5017</v>
      </c>
      <c r="H2183" s="12">
        <v>46054</v>
      </c>
      <c r="I2183" s="24">
        <v>21064.28</v>
      </c>
      <c r="J2183" s="24">
        <v>19768.830000000002</v>
      </c>
      <c r="K2183" s="3">
        <v>46105</v>
      </c>
      <c r="L2183" s="91">
        <v>46111</v>
      </c>
      <c r="M2183" s="11">
        <v>46111</v>
      </c>
      <c r="N2183" s="18" t="s">
        <v>588</v>
      </c>
      <c r="O2183" s="34"/>
      <c r="P2183" s="26"/>
      <c r="Q2183" t="str">
        <f>IFERROR(VLOOKUP(Tabela1[[#This Row],[CC]],CC!$A$1:$H$389,5,0),"")</f>
        <v>ADS</v>
      </c>
      <c r="R2183" t="str">
        <f>IFERROR(VLOOKUP(Tabela1[[#This Row],[CC]],CC!$A$1:$H$389,6,0),"")</f>
        <v>FS</v>
      </c>
      <c r="S2183" t="str">
        <f>IFERROR(VLOOKUP(Tabela1[[#This Row],[CC]],CC!$A$1:$H$403,8,0),"")</f>
        <v>OP2</v>
      </c>
    </row>
    <row r="2184" spans="1:19" x14ac:dyDescent="0.3">
      <c r="A2184" s="25">
        <v>1262</v>
      </c>
      <c r="B2184" s="25" t="str">
        <f>IFERROR(VLOOKUP(Tabela1[[#This Row],[CC]],#REF!,5,0),"")</f>
        <v/>
      </c>
      <c r="C2184" t="str">
        <f>IFERROR(VLOOKUP(Tabela1[[#This Row],[CC]],CC!$A$1:$H$389,7,0),"")</f>
        <v>RODRIGO CORUMBA</v>
      </c>
      <c r="D2184" t="str">
        <f>IFERROR(VLOOKUP(Tabela1[[#This Row],[CC]],CC!$A$1:$I$3869,3,0),"")</f>
        <v>RENDIMENTO</v>
      </c>
      <c r="E2184" t="str">
        <f>IFERROR(VLOOKUP(Tabela1[[#This Row],[CC]],CC!$A$1:$H$389,2,0),"")</f>
        <v>BANCO RENDIMENTO ADS (1262)</v>
      </c>
      <c r="F2184" t="s">
        <v>586</v>
      </c>
      <c r="G2184" s="107">
        <v>5086</v>
      </c>
      <c r="H2184" s="12">
        <v>46082</v>
      </c>
      <c r="I2184" s="27">
        <v>17917.86</v>
      </c>
      <c r="J2184" s="27">
        <v>16815.91</v>
      </c>
      <c r="K2184" s="3">
        <v>46132</v>
      </c>
      <c r="L2184" s="91">
        <v>46139</v>
      </c>
      <c r="M2184" s="11">
        <v>46142</v>
      </c>
      <c r="N2184" s="18" t="s">
        <v>588</v>
      </c>
      <c r="O2184" s="34"/>
      <c r="P2184" s="26"/>
      <c r="Q2184" t="str">
        <f>IFERROR(VLOOKUP(Tabela1[[#This Row],[CC]],CC!$A$1:$H$389,5,0),"")</f>
        <v>ADS</v>
      </c>
      <c r="R2184" t="str">
        <f>IFERROR(VLOOKUP(Tabela1[[#This Row],[CC]],CC!$A$1:$H$389,6,0),"")</f>
        <v>FS</v>
      </c>
      <c r="S2184" t="str">
        <f>IFERROR(VLOOKUP(Tabela1[[#This Row],[CC]],CC!$A$1:$H$403,8,0),"")</f>
        <v>OP2</v>
      </c>
    </row>
    <row r="2185" spans="1:19" x14ac:dyDescent="0.3">
      <c r="A2185" s="25">
        <v>1262</v>
      </c>
      <c r="B2185" s="25" t="str">
        <f>IFERROR(VLOOKUP(Tabela1[[#This Row],[CC]],#REF!,5,0),"")</f>
        <v/>
      </c>
      <c r="C2185" t="str">
        <f>IFERROR(VLOOKUP(Tabela1[[#This Row],[CC]],CC!$A$1:$H$389,7,0),"")</f>
        <v>RODRIGO CORUMBA</v>
      </c>
      <c r="D2185" t="str">
        <f>IFERROR(VLOOKUP(Tabela1[[#This Row],[CC]],CC!$A$1:$I$3869,3,0),"")</f>
        <v>RENDIMENTO</v>
      </c>
      <c r="E2185" t="str">
        <f>IFERROR(VLOOKUP(Tabela1[[#This Row],[CC]],CC!$A$1:$H$389,2,0),"")</f>
        <v>BANCO RENDIMENTO ADS (1262)</v>
      </c>
      <c r="F2185" t="s">
        <v>586</v>
      </c>
      <c r="G2185" s="107">
        <v>5090</v>
      </c>
      <c r="H2185" s="12">
        <v>46082</v>
      </c>
      <c r="I2185" s="27">
        <v>20820.240000000002</v>
      </c>
      <c r="J2185" s="27">
        <v>19539.795989313192</v>
      </c>
      <c r="K2185" s="3">
        <v>46132</v>
      </c>
      <c r="L2185" s="91">
        <v>46139</v>
      </c>
      <c r="M2185" s="11">
        <v>46142</v>
      </c>
      <c r="N2185" s="18" t="s">
        <v>588</v>
      </c>
      <c r="O2185" s="34"/>
      <c r="P2185" s="26"/>
      <c r="Q2185" t="str">
        <f>IFERROR(VLOOKUP(Tabela1[[#This Row],[CC]],CC!$A$1:$H$389,5,0),"")</f>
        <v>ADS</v>
      </c>
      <c r="R2185" t="str">
        <f>IFERROR(VLOOKUP(Tabela1[[#This Row],[CC]],CC!$A$1:$H$389,6,0),"")</f>
        <v>FS</v>
      </c>
      <c r="S2185" t="str">
        <f>IFERROR(VLOOKUP(Tabela1[[#This Row],[CC]],CC!$A$1:$H$403,8,0),"")</f>
        <v>OP2</v>
      </c>
    </row>
    <row r="2186" spans="1:19" x14ac:dyDescent="0.3">
      <c r="A2186" s="25">
        <v>1262</v>
      </c>
      <c r="B2186" s="25" t="str">
        <f>IFERROR(VLOOKUP(Tabela1[[#This Row],[CC]],#REF!,5,0),"")</f>
        <v/>
      </c>
      <c r="C2186" t="str">
        <f>IFERROR(VLOOKUP(Tabela1[[#This Row],[CC]],CC!$A$1:$H$389,7,0),"")</f>
        <v>RODRIGO CORUMBA</v>
      </c>
      <c r="D2186" t="str">
        <f>IFERROR(VLOOKUP(Tabela1[[#This Row],[CC]],CC!$A$1:$I$3869,3,0),"")</f>
        <v>RENDIMENTO</v>
      </c>
      <c r="E2186" t="str">
        <f>IFERROR(VLOOKUP(Tabela1[[#This Row],[CC]],CC!$A$1:$H$389,2,0),"")</f>
        <v>BANCO RENDIMENTO ADS (1262)</v>
      </c>
      <c r="F2186" t="s">
        <v>586</v>
      </c>
      <c r="G2186" s="107">
        <v>5087</v>
      </c>
      <c r="H2186" s="12">
        <v>46082</v>
      </c>
      <c r="I2186" s="27">
        <v>33972</v>
      </c>
      <c r="J2186" s="27">
        <v>31882.723222640456</v>
      </c>
      <c r="K2186" s="3">
        <v>46132</v>
      </c>
      <c r="L2186" s="91">
        <v>46139</v>
      </c>
      <c r="M2186" s="11">
        <v>46142</v>
      </c>
      <c r="N2186" s="18" t="s">
        <v>588</v>
      </c>
      <c r="O2186" s="34"/>
      <c r="P2186" s="26"/>
      <c r="Q2186" t="str">
        <f>IFERROR(VLOOKUP(Tabela1[[#This Row],[CC]],CC!$A$1:$H$389,5,0),"")</f>
        <v>ADS</v>
      </c>
      <c r="R2186" t="str">
        <f>IFERROR(VLOOKUP(Tabela1[[#This Row],[CC]],CC!$A$1:$H$389,6,0),"")</f>
        <v>FS</v>
      </c>
      <c r="S2186" t="str">
        <f>IFERROR(VLOOKUP(Tabela1[[#This Row],[CC]],CC!$A$1:$H$403,8,0),"")</f>
        <v>OP2</v>
      </c>
    </row>
    <row r="2187" spans="1:19" x14ac:dyDescent="0.3">
      <c r="A2187" s="25">
        <v>1262</v>
      </c>
      <c r="B2187" s="25" t="str">
        <f>IFERROR(VLOOKUP(Tabela1[[#This Row],[CC]],#REF!,5,0),"")</f>
        <v/>
      </c>
      <c r="C2187" t="str">
        <f>IFERROR(VLOOKUP(Tabela1[[#This Row],[CC]],CC!$A$1:$H$389,7,0),"")</f>
        <v>RODRIGO CORUMBA</v>
      </c>
      <c r="D2187" t="str">
        <f>IFERROR(VLOOKUP(Tabela1[[#This Row],[CC]],CC!$A$1:$I$3869,3,0),"")</f>
        <v>RENDIMENTO</v>
      </c>
      <c r="E2187" t="str">
        <f>IFERROR(VLOOKUP(Tabela1[[#This Row],[CC]],CC!$A$1:$H$389,2,0),"")</f>
        <v>BANCO RENDIMENTO ADS (1262)</v>
      </c>
      <c r="F2187" t="s">
        <v>586</v>
      </c>
      <c r="G2187" s="107">
        <v>5091</v>
      </c>
      <c r="H2187" s="12">
        <v>46082</v>
      </c>
      <c r="I2187" s="27">
        <v>24921.119999999999</v>
      </c>
      <c r="J2187" s="27">
        <v>23388.472016902433</v>
      </c>
      <c r="K2187" s="3">
        <v>46134</v>
      </c>
      <c r="L2187" s="91">
        <v>46139</v>
      </c>
      <c r="M2187" s="11">
        <v>46142</v>
      </c>
      <c r="N2187" s="18" t="s">
        <v>588</v>
      </c>
      <c r="O2187" s="34"/>
      <c r="P2187" s="26"/>
      <c r="Q2187" t="str">
        <f>IFERROR(VLOOKUP(Tabela1[[#This Row],[CC]],CC!$A$1:$H$389,5,0),"")</f>
        <v>ADS</v>
      </c>
      <c r="R2187" t="str">
        <f>IFERROR(VLOOKUP(Tabela1[[#This Row],[CC]],CC!$A$1:$H$389,6,0),"")</f>
        <v>FS</v>
      </c>
      <c r="S2187" t="str">
        <f>IFERROR(VLOOKUP(Tabela1[[#This Row],[CC]],CC!$A$1:$H$403,8,0),"")</f>
        <v>OP2</v>
      </c>
    </row>
    <row r="2188" spans="1:19" x14ac:dyDescent="0.3">
      <c r="A2188" s="25">
        <v>1262</v>
      </c>
      <c r="B2188" s="25" t="str">
        <f>IFERROR(VLOOKUP(Tabela1[[#This Row],[CC]],#REF!,5,0),"")</f>
        <v/>
      </c>
      <c r="C2188" t="str">
        <f>IFERROR(VLOOKUP(Tabela1[[#This Row],[CC]],CC!$A$1:$H$389,7,0),"")</f>
        <v>RODRIGO CORUMBA</v>
      </c>
      <c r="D2188" t="str">
        <f>IFERROR(VLOOKUP(Tabela1[[#This Row],[CC]],CC!$A$1:$I$3869,3,0),"")</f>
        <v>RENDIMENTO</v>
      </c>
      <c r="E2188" t="str">
        <f>IFERROR(VLOOKUP(Tabela1[[#This Row],[CC]],CC!$A$1:$H$389,2,0),"")</f>
        <v>BANCO RENDIMENTO ADS (1262)</v>
      </c>
      <c r="F2188" t="s">
        <v>586</v>
      </c>
      <c r="G2188" s="107">
        <v>5159</v>
      </c>
      <c r="H2188" s="12">
        <v>46113</v>
      </c>
      <c r="I2188" s="24">
        <v>32379.8</v>
      </c>
      <c r="J2188" s="27">
        <v>30388.44</v>
      </c>
      <c r="K2188" s="3">
        <v>46162</v>
      </c>
      <c r="L2188" s="91">
        <v>46167</v>
      </c>
      <c r="M2188" s="11">
        <v>46171</v>
      </c>
      <c r="N2188" s="18" t="s">
        <v>588</v>
      </c>
      <c r="O2188" s="34"/>
      <c r="P2188" s="26"/>
      <c r="Q2188" t="str">
        <f>IFERROR(VLOOKUP(Tabela1[[#This Row],[CC]],CC!$A$1:$H$389,5,0),"")</f>
        <v>ADS</v>
      </c>
      <c r="R2188" t="str">
        <f>IFERROR(VLOOKUP(Tabela1[[#This Row],[CC]],CC!$A$1:$H$389,6,0),"")</f>
        <v>FS</v>
      </c>
      <c r="S2188" t="str">
        <f>IFERROR(VLOOKUP(Tabela1[[#This Row],[CC]],CC!$A$1:$H$403,8,0),"")</f>
        <v>OP2</v>
      </c>
    </row>
    <row r="2189" spans="1:19" x14ac:dyDescent="0.3">
      <c r="A2189" s="25">
        <v>1262</v>
      </c>
      <c r="B2189" s="25" t="str">
        <f>IFERROR(VLOOKUP(Tabela1[[#This Row],[CC]],#REF!,5,0),"")</f>
        <v/>
      </c>
      <c r="C2189" t="str">
        <f>IFERROR(VLOOKUP(Tabela1[[#This Row],[CC]],CC!$A$1:$H$389,7,0),"")</f>
        <v>RODRIGO CORUMBA</v>
      </c>
      <c r="D2189" t="str">
        <f>IFERROR(VLOOKUP(Tabela1[[#This Row],[CC]],CC!$A$1:$I$3869,3,0),"")</f>
        <v>RENDIMENTO</v>
      </c>
      <c r="E2189" t="str">
        <f>IFERROR(VLOOKUP(Tabela1[[#This Row],[CC]],CC!$A$1:$H$389,2,0),"")</f>
        <v>BANCO RENDIMENTO ADS (1262)</v>
      </c>
      <c r="F2189" t="s">
        <v>586</v>
      </c>
      <c r="G2189" s="107">
        <v>5161</v>
      </c>
      <c r="H2189" s="12">
        <v>46113</v>
      </c>
      <c r="I2189" s="24">
        <v>34542.080000000002</v>
      </c>
      <c r="J2189" s="27">
        <v>32417.74</v>
      </c>
      <c r="K2189" s="3">
        <v>46162</v>
      </c>
      <c r="L2189" s="91">
        <v>46167</v>
      </c>
      <c r="M2189" s="11">
        <v>46171</v>
      </c>
      <c r="N2189" s="18" t="s">
        <v>588</v>
      </c>
      <c r="O2189" s="34"/>
      <c r="P2189" s="26"/>
      <c r="Q2189" t="str">
        <f>IFERROR(VLOOKUP(Tabela1[[#This Row],[CC]],CC!$A$1:$H$389,5,0),"")</f>
        <v>ADS</v>
      </c>
      <c r="R2189" t="str">
        <f>IFERROR(VLOOKUP(Tabela1[[#This Row],[CC]],CC!$A$1:$H$389,6,0),"")</f>
        <v>FS</v>
      </c>
      <c r="S2189" t="str">
        <f>IFERROR(VLOOKUP(Tabela1[[#This Row],[CC]],CC!$A$1:$H$403,8,0),"")</f>
        <v>OP2</v>
      </c>
    </row>
    <row r="2190" spans="1:19" x14ac:dyDescent="0.3">
      <c r="A2190" s="25">
        <v>1262</v>
      </c>
      <c r="B2190" s="25" t="str">
        <f>IFERROR(VLOOKUP(Tabela1[[#This Row],[CC]],#REF!,5,0),"")</f>
        <v/>
      </c>
      <c r="C2190" t="str">
        <f>IFERROR(VLOOKUP(Tabela1[[#This Row],[CC]],CC!$A$1:$H$389,7,0),"")</f>
        <v>RODRIGO CORUMBA</v>
      </c>
      <c r="D2190" t="str">
        <f>IFERROR(VLOOKUP(Tabela1[[#This Row],[CC]],CC!$A$1:$I$3869,3,0),"")</f>
        <v>RENDIMENTO</v>
      </c>
      <c r="E2190" t="str">
        <f>IFERROR(VLOOKUP(Tabela1[[#This Row],[CC]],CC!$A$1:$H$389,2,0),"")</f>
        <v>BANCO RENDIMENTO ADS (1262)</v>
      </c>
      <c r="F2190" t="s">
        <v>586</v>
      </c>
      <c r="G2190" s="107">
        <v>5162</v>
      </c>
      <c r="H2190" s="12">
        <v>46113</v>
      </c>
      <c r="I2190" s="24">
        <v>24375.23</v>
      </c>
      <c r="J2190" s="27">
        <v>22876.15</v>
      </c>
      <c r="K2190" s="3">
        <v>46162</v>
      </c>
      <c r="L2190" s="91">
        <v>46167</v>
      </c>
      <c r="M2190" s="11">
        <v>46171</v>
      </c>
      <c r="N2190" s="18" t="s">
        <v>588</v>
      </c>
      <c r="O2190" s="34"/>
      <c r="P2190" s="26"/>
      <c r="Q2190" t="str">
        <f>IFERROR(VLOOKUP(Tabela1[[#This Row],[CC]],CC!$A$1:$H$389,5,0),"")</f>
        <v>ADS</v>
      </c>
      <c r="R2190" t="str">
        <f>IFERROR(VLOOKUP(Tabela1[[#This Row],[CC]],CC!$A$1:$H$389,6,0),"")</f>
        <v>FS</v>
      </c>
      <c r="S2190" t="str">
        <f>IFERROR(VLOOKUP(Tabela1[[#This Row],[CC]],CC!$A$1:$H$403,8,0),"")</f>
        <v>OP2</v>
      </c>
    </row>
    <row r="2191" spans="1:19" x14ac:dyDescent="0.3">
      <c r="A2191" s="25">
        <v>1262</v>
      </c>
      <c r="B2191" s="25" t="str">
        <f>IFERROR(VLOOKUP(Tabela1[[#This Row],[CC]],#REF!,5,0),"")</f>
        <v/>
      </c>
      <c r="C2191" t="str">
        <f>IFERROR(VLOOKUP(Tabela1[[#This Row],[CC]],CC!$A$1:$H$389,7,0),"")</f>
        <v>RODRIGO CORUMBA</v>
      </c>
      <c r="D2191" t="str">
        <f>IFERROR(VLOOKUP(Tabela1[[#This Row],[CC]],CC!$A$1:$I$3869,3,0),"")</f>
        <v>RENDIMENTO</v>
      </c>
      <c r="E2191" t="str">
        <f>IFERROR(VLOOKUP(Tabela1[[#This Row],[CC]],CC!$A$1:$H$389,2,0),"")</f>
        <v>BANCO RENDIMENTO ADS (1262)</v>
      </c>
      <c r="F2191" t="s">
        <v>586</v>
      </c>
      <c r="G2191" s="107">
        <v>5164</v>
      </c>
      <c r="H2191" s="12">
        <v>46113</v>
      </c>
      <c r="I2191" s="24">
        <v>15863.19</v>
      </c>
      <c r="J2191" s="27">
        <v>14887.6</v>
      </c>
      <c r="K2191" s="3">
        <v>46162</v>
      </c>
      <c r="L2191" s="91">
        <v>46167</v>
      </c>
      <c r="M2191" s="11">
        <v>46171</v>
      </c>
      <c r="N2191" s="18" t="s">
        <v>588</v>
      </c>
      <c r="O2191" s="34"/>
      <c r="P2191" s="26"/>
      <c r="Q2191" t="str">
        <f>IFERROR(VLOOKUP(Tabela1[[#This Row],[CC]],CC!$A$1:$H$389,5,0),"")</f>
        <v>ADS</v>
      </c>
      <c r="R2191" t="str">
        <f>IFERROR(VLOOKUP(Tabela1[[#This Row],[CC]],CC!$A$1:$H$389,6,0),"")</f>
        <v>FS</v>
      </c>
      <c r="S2191" t="str">
        <f>IFERROR(VLOOKUP(Tabela1[[#This Row],[CC]],CC!$A$1:$H$403,8,0),"")</f>
        <v>OP2</v>
      </c>
    </row>
    <row r="2192" spans="1:19" x14ac:dyDescent="0.3">
      <c r="A2192" s="25">
        <v>1262</v>
      </c>
      <c r="B2192" s="25" t="str">
        <f>IFERROR(VLOOKUP(Tabela1[[#This Row],[CC]],#REF!,5,0),"")</f>
        <v/>
      </c>
      <c r="C2192" t="str">
        <f>IFERROR(VLOOKUP(Tabela1[[#This Row],[CC]],CC!$A$1:$H$389,7,0),"")</f>
        <v>RODRIGO CORUMBA</v>
      </c>
      <c r="D2192" t="str">
        <f>IFERROR(VLOOKUP(Tabela1[[#This Row],[CC]],CC!$A$1:$I$3869,3,0),"")</f>
        <v>RENDIMENTO</v>
      </c>
      <c r="E2192" t="str">
        <f>IFERROR(VLOOKUP(Tabela1[[#This Row],[CC]],CC!$A$1:$H$389,2,0),"")</f>
        <v>BANCO RENDIMENTO ADS (1262)</v>
      </c>
      <c r="F2192" t="s">
        <v>586</v>
      </c>
      <c r="G2192" s="107"/>
      <c r="H2192" s="12">
        <v>46143</v>
      </c>
      <c r="I2192" s="24">
        <v>91429</v>
      </c>
      <c r="J2192" s="24"/>
      <c r="K2192" s="3">
        <v>46174</v>
      </c>
      <c r="L2192" s="91">
        <v>46195</v>
      </c>
      <c r="M2192" s="11"/>
      <c r="N2192" s="18" t="s">
        <v>572</v>
      </c>
      <c r="O2192" s="34"/>
      <c r="P2192" s="26"/>
      <c r="Q2192" t="str">
        <f>IFERROR(VLOOKUP(Tabela1[[#This Row],[CC]],CC!$A$1:$H$389,5,0),"")</f>
        <v>ADS</v>
      </c>
      <c r="R2192" t="str">
        <f>IFERROR(VLOOKUP(Tabela1[[#This Row],[CC]],CC!$A$1:$H$389,6,0),"")</f>
        <v>FS</v>
      </c>
      <c r="S2192" t="str">
        <f>IFERROR(VLOOKUP(Tabela1[[#This Row],[CC]],CC!$A$1:$H$403,8,0),"")</f>
        <v>OP2</v>
      </c>
    </row>
    <row r="2193" spans="1:19" x14ac:dyDescent="0.3">
      <c r="A2193" s="8">
        <v>1269</v>
      </c>
      <c r="B2193" s="8" t="str">
        <f>IFERROR(VLOOKUP(Tabela1[[#This Row],[CC]],#REF!,5,0),"")</f>
        <v/>
      </c>
      <c r="C2193" t="str">
        <f>IFERROR(VLOOKUP(Tabela1[[#This Row],[CC]],CC!$A$1:$H$389,7,0),"")</f>
        <v>RODRIGO CORUMBA</v>
      </c>
      <c r="D2193" t="str">
        <f>IFERROR(VLOOKUP(Tabela1[[#This Row],[CC]],CC!$A$1:$I$3869,3,0),"")</f>
        <v>RENDIMENTO</v>
      </c>
      <c r="E2193" t="str">
        <f>IFERROR(VLOOKUP(Tabela1[[#This Row],[CC]],CC!$A$1:$H$389,2,0),"")</f>
        <v>BANCO RENDIMENTO MONITORING CSA (1269)</v>
      </c>
      <c r="F2193" t="s">
        <v>586</v>
      </c>
      <c r="G2193" s="107">
        <v>4656</v>
      </c>
      <c r="H2193" s="12">
        <v>45962</v>
      </c>
      <c r="I2193" s="24">
        <v>256578.23</v>
      </c>
      <c r="J2193" s="27">
        <v>240798.67</v>
      </c>
      <c r="K2193" s="3">
        <v>46000</v>
      </c>
      <c r="L2193" s="91">
        <v>46006</v>
      </c>
      <c r="M2193" s="11">
        <v>46010</v>
      </c>
      <c r="N2193" s="18" t="s">
        <v>588</v>
      </c>
      <c r="O2193" s="34">
        <v>0</v>
      </c>
      <c r="P2193" s="14"/>
      <c r="Q2193" t="str">
        <f>IFERROR(VLOOKUP(Tabela1[[#This Row],[CC]],CC!$A$1:$H$389,5,0),"")</f>
        <v>CSA</v>
      </c>
      <c r="R2193" t="str">
        <f>IFERROR(VLOOKUP(Tabela1[[#This Row],[CC]],CC!$A$1:$H$389,6,0),"")</f>
        <v>FS</v>
      </c>
      <c r="S2193" t="str">
        <f>IFERROR(VLOOKUP(Tabela1[[#This Row],[CC]],CC!$A$1:$H$403,8,0),"")</f>
        <v>OP2</v>
      </c>
    </row>
    <row r="2194" spans="1:19" x14ac:dyDescent="0.3">
      <c r="A2194" s="8">
        <v>1269</v>
      </c>
      <c r="B2194" s="8" t="str">
        <f>IFERROR(VLOOKUP(Tabela1[[#This Row],[CC]],#REF!,5,0),"")</f>
        <v/>
      </c>
      <c r="C2194" t="str">
        <f>IFERROR(VLOOKUP(Tabela1[[#This Row],[CC]],CC!$A$1:$H$389,7,0),"")</f>
        <v>RODRIGO CORUMBA</v>
      </c>
      <c r="D2194" t="str">
        <f>IFERROR(VLOOKUP(Tabela1[[#This Row],[CC]],CC!$A$1:$I$3869,3,0),"")</f>
        <v>RENDIMENTO</v>
      </c>
      <c r="E2194" t="str">
        <f>IFERROR(VLOOKUP(Tabela1[[#This Row],[CC]],CC!$A$1:$H$389,2,0),"")</f>
        <v>BANCO RENDIMENTO MONITORING CSA (1269)</v>
      </c>
      <c r="F2194" t="s">
        <v>586</v>
      </c>
      <c r="G2194" s="107">
        <v>4658</v>
      </c>
      <c r="H2194" s="12">
        <v>45962</v>
      </c>
      <c r="I2194" s="24">
        <v>10876.23</v>
      </c>
      <c r="J2194" s="27">
        <v>10207.34</v>
      </c>
      <c r="K2194" s="3">
        <v>46000</v>
      </c>
      <c r="L2194" s="91">
        <v>46006</v>
      </c>
      <c r="M2194" s="11">
        <v>46010</v>
      </c>
      <c r="N2194" s="18" t="s">
        <v>588</v>
      </c>
      <c r="O2194" s="34">
        <v>0</v>
      </c>
      <c r="P2194" s="14"/>
      <c r="Q2194" t="str">
        <f>IFERROR(VLOOKUP(Tabela1[[#This Row],[CC]],CC!$A$1:$H$389,5,0),"")</f>
        <v>CSA</v>
      </c>
      <c r="R2194" t="str">
        <f>IFERROR(VLOOKUP(Tabela1[[#This Row],[CC]],CC!$A$1:$H$389,6,0),"")</f>
        <v>FS</v>
      </c>
      <c r="S2194" t="str">
        <f>IFERROR(VLOOKUP(Tabela1[[#This Row],[CC]],CC!$A$1:$H$403,8,0),"")</f>
        <v>OP2</v>
      </c>
    </row>
    <row r="2195" spans="1:19" x14ac:dyDescent="0.3">
      <c r="A2195" s="8">
        <v>1269</v>
      </c>
      <c r="B2195" s="8" t="str">
        <f>IFERROR(VLOOKUP(Tabela1[[#This Row],[CC]],#REF!,5,0),"")</f>
        <v/>
      </c>
      <c r="C2195" t="str">
        <f>IFERROR(VLOOKUP(Tabela1[[#This Row],[CC]],CC!$A$1:$H$389,7,0),"")</f>
        <v>RODRIGO CORUMBA</v>
      </c>
      <c r="D2195" t="str">
        <f>IFERROR(VLOOKUP(Tabela1[[#This Row],[CC]],CC!$A$1:$I$3869,3,0),"")</f>
        <v>RENDIMENTO</v>
      </c>
      <c r="E2195" t="str">
        <f>IFERROR(VLOOKUP(Tabela1[[#This Row],[CC]],CC!$A$1:$H$389,2,0),"")</f>
        <v>BANCO RENDIMENTO MONITORING CSA (1269)</v>
      </c>
      <c r="F2195" t="s">
        <v>586</v>
      </c>
      <c r="G2195" s="107">
        <v>4659</v>
      </c>
      <c r="H2195" s="12">
        <v>45962</v>
      </c>
      <c r="I2195" s="24">
        <v>6655.99</v>
      </c>
      <c r="J2195" s="27">
        <v>6246.65</v>
      </c>
      <c r="K2195" s="3">
        <v>46000</v>
      </c>
      <c r="L2195" s="91">
        <v>46006</v>
      </c>
      <c r="M2195" s="11">
        <v>46010</v>
      </c>
      <c r="N2195" s="18" t="s">
        <v>588</v>
      </c>
      <c r="O2195" s="34">
        <v>0</v>
      </c>
      <c r="P2195" s="14"/>
      <c r="Q2195" t="str">
        <f>IFERROR(VLOOKUP(Tabela1[[#This Row],[CC]],CC!$A$1:$H$389,5,0),"")</f>
        <v>CSA</v>
      </c>
      <c r="R2195" t="str">
        <f>IFERROR(VLOOKUP(Tabela1[[#This Row],[CC]],CC!$A$1:$H$389,6,0),"")</f>
        <v>FS</v>
      </c>
      <c r="S2195" t="str">
        <f>IFERROR(VLOOKUP(Tabela1[[#This Row],[CC]],CC!$A$1:$H$403,8,0),"")</f>
        <v>OP2</v>
      </c>
    </row>
    <row r="2196" spans="1:19" x14ac:dyDescent="0.3">
      <c r="A2196" s="8">
        <v>1269</v>
      </c>
      <c r="B2196" s="8" t="str">
        <f>IFERROR(VLOOKUP(Tabela1[[#This Row],[CC]],#REF!,5,0),"")</f>
        <v/>
      </c>
      <c r="C2196" t="str">
        <f>IFERROR(VLOOKUP(Tabela1[[#This Row],[CC]],CC!$A$1:$H$389,7,0),"")</f>
        <v>RODRIGO CORUMBA</v>
      </c>
      <c r="D2196" t="str">
        <f>IFERROR(VLOOKUP(Tabela1[[#This Row],[CC]],CC!$A$1:$I$3869,3,0),"")</f>
        <v>RENDIMENTO</v>
      </c>
      <c r="E2196" t="str">
        <f>IFERROR(VLOOKUP(Tabela1[[#This Row],[CC]],CC!$A$1:$H$389,2,0),"")</f>
        <v>BANCO RENDIMENTO MONITORING CSA (1269)</v>
      </c>
      <c r="F2196" t="s">
        <v>586</v>
      </c>
      <c r="G2196" s="107">
        <v>4660</v>
      </c>
      <c r="H2196" s="12">
        <v>45962</v>
      </c>
      <c r="I2196" s="24">
        <v>30699.4</v>
      </c>
      <c r="J2196" s="27">
        <v>28811.39</v>
      </c>
      <c r="K2196" s="3">
        <v>46000</v>
      </c>
      <c r="L2196" s="91">
        <v>46006</v>
      </c>
      <c r="M2196" s="11">
        <v>46010</v>
      </c>
      <c r="N2196" s="18" t="s">
        <v>588</v>
      </c>
      <c r="O2196" s="34">
        <v>0</v>
      </c>
      <c r="P2196" s="14"/>
      <c r="Q2196" t="str">
        <f>IFERROR(VLOOKUP(Tabela1[[#This Row],[CC]],CC!$A$1:$H$389,5,0),"")</f>
        <v>CSA</v>
      </c>
      <c r="R2196" t="str">
        <f>IFERROR(VLOOKUP(Tabela1[[#This Row],[CC]],CC!$A$1:$H$389,6,0),"")</f>
        <v>FS</v>
      </c>
      <c r="S2196" t="str">
        <f>IFERROR(VLOOKUP(Tabela1[[#This Row],[CC]],CC!$A$1:$H$403,8,0),"")</f>
        <v>OP2</v>
      </c>
    </row>
    <row r="2197" spans="1:19" x14ac:dyDescent="0.3">
      <c r="A2197" s="8">
        <v>1269</v>
      </c>
      <c r="B2197" s="8" t="str">
        <f>IFERROR(VLOOKUP(Tabela1[[#This Row],[CC]],#REF!,5,0),"")</f>
        <v/>
      </c>
      <c r="C2197" t="str">
        <f>IFERROR(VLOOKUP(Tabela1[[#This Row],[CC]],CC!$A$1:$H$389,7,0),"")</f>
        <v>RODRIGO CORUMBA</v>
      </c>
      <c r="D2197" t="str">
        <f>IFERROR(VLOOKUP(Tabela1[[#This Row],[CC]],CC!$A$1:$I$3869,3,0),"")</f>
        <v>RENDIMENTO</v>
      </c>
      <c r="E2197" t="str">
        <f>IFERROR(VLOOKUP(Tabela1[[#This Row],[CC]],CC!$A$1:$H$389,2,0),"")</f>
        <v>BANCO RENDIMENTO MONITORING CSA (1269)</v>
      </c>
      <c r="F2197" t="s">
        <v>586</v>
      </c>
      <c r="G2197" s="107">
        <v>4768</v>
      </c>
      <c r="H2197" s="12">
        <v>45992</v>
      </c>
      <c r="I2197" s="27">
        <v>30699.4</v>
      </c>
      <c r="J2197" s="27">
        <v>28811.39</v>
      </c>
      <c r="K2197" s="3">
        <v>46045</v>
      </c>
      <c r="L2197" s="91">
        <v>46048</v>
      </c>
      <c r="M2197" s="11">
        <v>46052</v>
      </c>
      <c r="N2197" s="18" t="s">
        <v>588</v>
      </c>
      <c r="O2197" s="34"/>
      <c r="P2197" s="26"/>
      <c r="Q2197" t="str">
        <f>IFERROR(VLOOKUP(Tabela1[[#This Row],[CC]],CC!$A$1:$H$389,5,0),"")</f>
        <v>CSA</v>
      </c>
      <c r="R2197" t="str">
        <f>IFERROR(VLOOKUP(Tabela1[[#This Row],[CC]],CC!$A$1:$H$389,6,0),"")</f>
        <v>FS</v>
      </c>
      <c r="S2197" t="str">
        <f>IFERROR(VLOOKUP(Tabela1[[#This Row],[CC]],CC!$A$1:$H$403,8,0),"")</f>
        <v>OP2</v>
      </c>
    </row>
    <row r="2198" spans="1:19" x14ac:dyDescent="0.3">
      <c r="A2198" s="8">
        <v>1269</v>
      </c>
      <c r="B2198" s="8" t="str">
        <f>IFERROR(VLOOKUP(Tabela1[[#This Row],[CC]],#REF!,5,0),"")</f>
        <v/>
      </c>
      <c r="C2198" t="str">
        <f>IFERROR(VLOOKUP(Tabela1[[#This Row],[CC]],CC!$A$1:$H$389,7,0),"")</f>
        <v>RODRIGO CORUMBA</v>
      </c>
      <c r="D2198" t="str">
        <f>IFERROR(VLOOKUP(Tabela1[[#This Row],[CC]],CC!$A$1:$I$3869,3,0),"")</f>
        <v>RENDIMENTO</v>
      </c>
      <c r="E2198" t="str">
        <f>IFERROR(VLOOKUP(Tabela1[[#This Row],[CC]],CC!$A$1:$H$389,2,0),"")</f>
        <v>BANCO RENDIMENTO MONITORING CSA (1269)</v>
      </c>
      <c r="F2198" t="s">
        <v>586</v>
      </c>
      <c r="G2198" s="107">
        <v>4773</v>
      </c>
      <c r="H2198" s="12">
        <v>45992</v>
      </c>
      <c r="I2198" s="27">
        <v>218850.79</v>
      </c>
      <c r="J2198" s="27">
        <v>205391.47</v>
      </c>
      <c r="K2198" s="3">
        <v>46045</v>
      </c>
      <c r="L2198" s="91">
        <v>46048</v>
      </c>
      <c r="M2198" s="11">
        <v>46052</v>
      </c>
      <c r="N2198" s="18" t="s">
        <v>588</v>
      </c>
      <c r="O2198" s="34"/>
      <c r="P2198" s="26"/>
      <c r="Q2198" t="str">
        <f>IFERROR(VLOOKUP(Tabela1[[#This Row],[CC]],CC!$A$1:$H$389,5,0),"")</f>
        <v>CSA</v>
      </c>
      <c r="R2198" t="str">
        <f>IFERROR(VLOOKUP(Tabela1[[#This Row],[CC]],CC!$A$1:$H$389,6,0),"")</f>
        <v>FS</v>
      </c>
      <c r="S2198" t="str">
        <f>IFERROR(VLOOKUP(Tabela1[[#This Row],[CC]],CC!$A$1:$H$403,8,0),"")</f>
        <v>OP2</v>
      </c>
    </row>
    <row r="2199" spans="1:19" x14ac:dyDescent="0.3">
      <c r="A2199" s="8">
        <v>1269</v>
      </c>
      <c r="B2199" s="8" t="str">
        <f>IFERROR(VLOOKUP(Tabela1[[#This Row],[CC]],#REF!,5,0),"")</f>
        <v/>
      </c>
      <c r="C2199" t="str">
        <f>IFERROR(VLOOKUP(Tabela1[[#This Row],[CC]],CC!$A$1:$H$389,7,0),"")</f>
        <v>RODRIGO CORUMBA</v>
      </c>
      <c r="D2199" t="str">
        <f>IFERROR(VLOOKUP(Tabela1[[#This Row],[CC]],CC!$A$1:$I$3869,3,0),"")</f>
        <v>RENDIMENTO</v>
      </c>
      <c r="E2199" t="str">
        <f>IFERROR(VLOOKUP(Tabela1[[#This Row],[CC]],CC!$A$1:$H$389,2,0),"")</f>
        <v>BANCO RENDIMENTO MONITORING CSA (1269)</v>
      </c>
      <c r="F2199" t="s">
        <v>586</v>
      </c>
      <c r="G2199" s="107">
        <v>4774</v>
      </c>
      <c r="H2199" s="12">
        <v>45992</v>
      </c>
      <c r="I2199" s="27">
        <v>9447.16</v>
      </c>
      <c r="J2199" s="27">
        <v>8866.16</v>
      </c>
      <c r="K2199" s="3">
        <v>46045</v>
      </c>
      <c r="L2199" s="91">
        <v>46048</v>
      </c>
      <c r="M2199" s="11">
        <v>46052</v>
      </c>
      <c r="N2199" s="18" t="s">
        <v>588</v>
      </c>
      <c r="O2199" s="34"/>
      <c r="P2199" s="26"/>
      <c r="Q2199" t="str">
        <f>IFERROR(VLOOKUP(Tabela1[[#This Row],[CC]],CC!$A$1:$H$389,5,0),"")</f>
        <v>CSA</v>
      </c>
      <c r="R2199" t="str">
        <f>IFERROR(VLOOKUP(Tabela1[[#This Row],[CC]],CC!$A$1:$H$389,6,0),"")</f>
        <v>FS</v>
      </c>
      <c r="S2199" t="str">
        <f>IFERROR(VLOOKUP(Tabela1[[#This Row],[CC]],CC!$A$1:$H$403,8,0),"")</f>
        <v>OP2</v>
      </c>
    </row>
    <row r="2200" spans="1:19" x14ac:dyDescent="0.3">
      <c r="A2200" s="8">
        <v>1269</v>
      </c>
      <c r="B2200" s="8" t="str">
        <f>IFERROR(VLOOKUP(Tabela1[[#This Row],[CC]],#REF!,5,0),"")</f>
        <v/>
      </c>
      <c r="C2200" t="str">
        <f>IFERROR(VLOOKUP(Tabela1[[#This Row],[CC]],CC!$A$1:$H$389,7,0),"")</f>
        <v>RODRIGO CORUMBA</v>
      </c>
      <c r="D2200" t="str">
        <f>IFERROR(VLOOKUP(Tabela1[[#This Row],[CC]],CC!$A$1:$I$3869,3,0),"")</f>
        <v>RENDIMENTO</v>
      </c>
      <c r="E2200" t="str">
        <f>IFERROR(VLOOKUP(Tabela1[[#This Row],[CC]],CC!$A$1:$H$389,2,0),"")</f>
        <v>BANCO RENDIMENTO MONITORING CSA (1269)</v>
      </c>
      <c r="F2200" t="s">
        <v>586</v>
      </c>
      <c r="G2200" s="107">
        <v>4775</v>
      </c>
      <c r="H2200" s="12">
        <v>45992</v>
      </c>
      <c r="I2200" s="27">
        <v>6655.99</v>
      </c>
      <c r="J2200" s="27">
        <v>6246.65</v>
      </c>
      <c r="K2200" s="3">
        <v>46045</v>
      </c>
      <c r="L2200" s="91">
        <v>46048</v>
      </c>
      <c r="M2200" s="11">
        <v>46052</v>
      </c>
      <c r="N2200" s="18" t="s">
        <v>588</v>
      </c>
      <c r="O2200" s="34"/>
      <c r="P2200" s="26"/>
      <c r="Q2200" t="str">
        <f>IFERROR(VLOOKUP(Tabela1[[#This Row],[CC]],CC!$A$1:$H$389,5,0),"")</f>
        <v>CSA</v>
      </c>
      <c r="R2200" t="str">
        <f>IFERROR(VLOOKUP(Tabela1[[#This Row],[CC]],CC!$A$1:$H$389,6,0),"")</f>
        <v>FS</v>
      </c>
      <c r="S2200" t="str">
        <f>IFERROR(VLOOKUP(Tabela1[[#This Row],[CC]],CC!$A$1:$H$403,8,0),"")</f>
        <v>OP2</v>
      </c>
    </row>
    <row r="2201" spans="1:19" x14ac:dyDescent="0.3">
      <c r="A2201" s="8">
        <v>1269</v>
      </c>
      <c r="B2201" s="8" t="str">
        <f>IFERROR(VLOOKUP(Tabela1[[#This Row],[CC]],#REF!,5,0),"")</f>
        <v/>
      </c>
      <c r="C2201" t="str">
        <f>IFERROR(VLOOKUP(Tabela1[[#This Row],[CC]],CC!$A$1:$H$389,7,0),"")</f>
        <v>RODRIGO CORUMBA</v>
      </c>
      <c r="D2201" t="str">
        <f>IFERROR(VLOOKUP(Tabela1[[#This Row],[CC]],CC!$A$1:$I$3869,3,0),"")</f>
        <v>RENDIMENTO</v>
      </c>
      <c r="E2201" t="str">
        <f>IFERROR(VLOOKUP(Tabela1[[#This Row],[CC]],CC!$A$1:$H$389,2,0),"")</f>
        <v>BANCO RENDIMENTO MONITORING CSA (1269)</v>
      </c>
      <c r="F2201" t="s">
        <v>586</v>
      </c>
      <c r="G2201" s="107">
        <v>4858</v>
      </c>
      <c r="H2201" s="12">
        <v>46023</v>
      </c>
      <c r="I2201" s="24">
        <v>218850.79</v>
      </c>
      <c r="J2201" s="24">
        <v>205391.47</v>
      </c>
      <c r="K2201" s="3">
        <v>46071</v>
      </c>
      <c r="L2201" s="91">
        <v>46076</v>
      </c>
      <c r="M2201" s="11">
        <v>46080</v>
      </c>
      <c r="N2201" s="18" t="s">
        <v>588</v>
      </c>
      <c r="O2201" s="34"/>
      <c r="P2201" s="26"/>
      <c r="Q2201" t="str">
        <f>IFERROR(VLOOKUP(Tabela1[[#This Row],[CC]],CC!$A$1:$H$389,5,0),"")</f>
        <v>CSA</v>
      </c>
      <c r="R2201" t="str">
        <f>IFERROR(VLOOKUP(Tabela1[[#This Row],[CC]],CC!$A$1:$H$389,6,0),"")</f>
        <v>FS</v>
      </c>
      <c r="S2201" t="str">
        <f>IFERROR(VLOOKUP(Tabela1[[#This Row],[CC]],CC!$A$1:$H$403,8,0),"")</f>
        <v>OP2</v>
      </c>
    </row>
    <row r="2202" spans="1:19" x14ac:dyDescent="0.3">
      <c r="A2202" s="8">
        <v>1269</v>
      </c>
      <c r="B2202" s="8" t="str">
        <f>IFERROR(VLOOKUP(Tabela1[[#This Row],[CC]],#REF!,5,0),"")</f>
        <v/>
      </c>
      <c r="C2202" t="str">
        <f>IFERROR(VLOOKUP(Tabela1[[#This Row],[CC]],CC!$A$1:$H$389,7,0),"")</f>
        <v>RODRIGO CORUMBA</v>
      </c>
      <c r="D2202" t="str">
        <f>IFERROR(VLOOKUP(Tabela1[[#This Row],[CC]],CC!$A$1:$I$3869,3,0),"")</f>
        <v>RENDIMENTO</v>
      </c>
      <c r="E2202" t="str">
        <f>IFERROR(VLOOKUP(Tabela1[[#This Row],[CC]],CC!$A$1:$H$389,2,0),"")</f>
        <v>BANCO RENDIMENTO MONITORING CSA (1269)</v>
      </c>
      <c r="F2202" t="s">
        <v>586</v>
      </c>
      <c r="G2202" s="107">
        <v>4859</v>
      </c>
      <c r="H2202" s="12">
        <v>46023</v>
      </c>
      <c r="I2202" s="24">
        <v>9447.16</v>
      </c>
      <c r="J2202" s="24">
        <v>8866.16</v>
      </c>
      <c r="K2202" s="3">
        <v>46071</v>
      </c>
      <c r="L2202" s="91">
        <v>46076</v>
      </c>
      <c r="M2202" s="11">
        <v>46080</v>
      </c>
      <c r="N2202" s="18" t="s">
        <v>588</v>
      </c>
      <c r="O2202" s="34"/>
      <c r="P2202" s="26"/>
      <c r="Q2202" t="str">
        <f>IFERROR(VLOOKUP(Tabela1[[#This Row],[CC]],CC!$A$1:$H$389,5,0),"")</f>
        <v>CSA</v>
      </c>
      <c r="R2202" t="str">
        <f>IFERROR(VLOOKUP(Tabela1[[#This Row],[CC]],CC!$A$1:$H$389,6,0),"")</f>
        <v>FS</v>
      </c>
      <c r="S2202" t="str">
        <f>IFERROR(VLOOKUP(Tabela1[[#This Row],[CC]],CC!$A$1:$H$403,8,0),"")</f>
        <v>OP2</v>
      </c>
    </row>
    <row r="2203" spans="1:19" x14ac:dyDescent="0.3">
      <c r="A2203" s="8">
        <v>1269</v>
      </c>
      <c r="B2203" s="8" t="str">
        <f>IFERROR(VLOOKUP(Tabela1[[#This Row],[CC]],#REF!,5,0),"")</f>
        <v/>
      </c>
      <c r="C2203" t="str">
        <f>IFERROR(VLOOKUP(Tabela1[[#This Row],[CC]],CC!$A$1:$H$389,7,0),"")</f>
        <v>RODRIGO CORUMBA</v>
      </c>
      <c r="D2203" t="str">
        <f>IFERROR(VLOOKUP(Tabela1[[#This Row],[CC]],CC!$A$1:$I$3869,3,0),"")</f>
        <v>RENDIMENTO</v>
      </c>
      <c r="E2203" t="str">
        <f>IFERROR(VLOOKUP(Tabela1[[#This Row],[CC]],CC!$A$1:$H$389,2,0),"")</f>
        <v>BANCO RENDIMENTO MONITORING CSA (1269)</v>
      </c>
      <c r="F2203" t="s">
        <v>586</v>
      </c>
      <c r="G2203" s="107">
        <v>4860</v>
      </c>
      <c r="H2203" s="12">
        <v>46023</v>
      </c>
      <c r="I2203" s="24">
        <v>6655.99</v>
      </c>
      <c r="J2203" s="24">
        <v>6246.65</v>
      </c>
      <c r="K2203" s="3">
        <v>46071</v>
      </c>
      <c r="L2203" s="91">
        <v>46076</v>
      </c>
      <c r="M2203" s="11">
        <v>46080</v>
      </c>
      <c r="N2203" s="18" t="s">
        <v>588</v>
      </c>
      <c r="O2203" s="34"/>
      <c r="P2203" s="26"/>
      <c r="Q2203" t="str">
        <f>IFERROR(VLOOKUP(Tabela1[[#This Row],[CC]],CC!$A$1:$H$389,5,0),"")</f>
        <v>CSA</v>
      </c>
      <c r="R2203" t="str">
        <f>IFERROR(VLOOKUP(Tabela1[[#This Row],[CC]],CC!$A$1:$H$389,6,0),"")</f>
        <v>FS</v>
      </c>
      <c r="S2203" t="str">
        <f>IFERROR(VLOOKUP(Tabela1[[#This Row],[CC]],CC!$A$1:$H$403,8,0),"")</f>
        <v>OP2</v>
      </c>
    </row>
    <row r="2204" spans="1:19" x14ac:dyDescent="0.3">
      <c r="A2204" s="8">
        <v>1269</v>
      </c>
      <c r="B2204" s="8" t="str">
        <f>IFERROR(VLOOKUP(Tabela1[[#This Row],[CC]],#REF!,5,0),"")</f>
        <v/>
      </c>
      <c r="C2204" t="str">
        <f>IFERROR(VLOOKUP(Tabela1[[#This Row],[CC]],CC!$A$1:$H$389,7,0),"")</f>
        <v>RODRIGO CORUMBA</v>
      </c>
      <c r="D2204" t="str">
        <f>IFERROR(VLOOKUP(Tabela1[[#This Row],[CC]],CC!$A$1:$I$3869,3,0),"")</f>
        <v>RENDIMENTO</v>
      </c>
      <c r="E2204" t="str">
        <f>IFERROR(VLOOKUP(Tabela1[[#This Row],[CC]],CC!$A$1:$H$389,2,0),"")</f>
        <v>BANCO RENDIMENTO MONITORING CSA (1269)</v>
      </c>
      <c r="F2204" t="s">
        <v>586</v>
      </c>
      <c r="G2204" s="107">
        <v>4861</v>
      </c>
      <c r="H2204" s="12">
        <v>46023</v>
      </c>
      <c r="I2204" s="24">
        <v>30699.4</v>
      </c>
      <c r="J2204" s="24">
        <v>28811.39</v>
      </c>
      <c r="K2204" s="3">
        <v>46071</v>
      </c>
      <c r="L2204" s="91">
        <v>46076</v>
      </c>
      <c r="M2204" s="11">
        <v>46080</v>
      </c>
      <c r="N2204" s="18" t="s">
        <v>588</v>
      </c>
      <c r="O2204" s="34"/>
      <c r="P2204" s="26"/>
      <c r="Q2204" t="str">
        <f>IFERROR(VLOOKUP(Tabela1[[#This Row],[CC]],CC!$A$1:$H$389,5,0),"")</f>
        <v>CSA</v>
      </c>
      <c r="R2204" t="str">
        <f>IFERROR(VLOOKUP(Tabela1[[#This Row],[CC]],CC!$A$1:$H$389,6,0),"")</f>
        <v>FS</v>
      </c>
      <c r="S2204" t="str">
        <f>IFERROR(VLOOKUP(Tabela1[[#This Row],[CC]],CC!$A$1:$H$403,8,0),"")</f>
        <v>OP2</v>
      </c>
    </row>
    <row r="2205" spans="1:19" x14ac:dyDescent="0.3">
      <c r="A2205" s="8">
        <v>1269</v>
      </c>
      <c r="B2205" s="8" t="str">
        <f>IFERROR(VLOOKUP(Tabela1[[#This Row],[CC]],#REF!,5,0),"")</f>
        <v/>
      </c>
      <c r="C2205" t="str">
        <f>IFERROR(VLOOKUP(Tabela1[[#This Row],[CC]],CC!$A$1:$H$389,7,0),"")</f>
        <v>RODRIGO CORUMBA</v>
      </c>
      <c r="D2205" t="str">
        <f>IFERROR(VLOOKUP(Tabela1[[#This Row],[CC]],CC!$A$1:$I$3869,3,0),"")</f>
        <v>RENDIMENTO</v>
      </c>
      <c r="E2205" t="str">
        <f>IFERROR(VLOOKUP(Tabela1[[#This Row],[CC]],CC!$A$1:$H$389,2,0),"")</f>
        <v>BANCO RENDIMENTO MONITORING CSA (1269)</v>
      </c>
      <c r="F2205" t="s">
        <v>586</v>
      </c>
      <c r="G2205" s="107">
        <v>5010</v>
      </c>
      <c r="H2205" s="12">
        <v>46054</v>
      </c>
      <c r="I2205" s="24">
        <v>6655.99</v>
      </c>
      <c r="J2205" s="24">
        <v>6246.65</v>
      </c>
      <c r="K2205" s="3">
        <v>46105</v>
      </c>
      <c r="L2205" s="91">
        <v>46111</v>
      </c>
      <c r="M2205" s="11">
        <v>46111</v>
      </c>
      <c r="N2205" s="18" t="s">
        <v>588</v>
      </c>
      <c r="O2205" s="34"/>
      <c r="P2205" s="26"/>
      <c r="Q2205" t="str">
        <f>IFERROR(VLOOKUP(Tabela1[[#This Row],[CC]],CC!$A$1:$H$389,5,0),"")</f>
        <v>CSA</v>
      </c>
      <c r="R2205" t="str">
        <f>IFERROR(VLOOKUP(Tabela1[[#This Row],[CC]],CC!$A$1:$H$389,6,0),"")</f>
        <v>FS</v>
      </c>
      <c r="S2205" t="str">
        <f>IFERROR(VLOOKUP(Tabela1[[#This Row],[CC]],CC!$A$1:$H$403,8,0),"")</f>
        <v>OP2</v>
      </c>
    </row>
    <row r="2206" spans="1:19" x14ac:dyDescent="0.3">
      <c r="A2206" s="8">
        <v>1269</v>
      </c>
      <c r="B2206" s="8" t="str">
        <f>IFERROR(VLOOKUP(Tabela1[[#This Row],[CC]],#REF!,5,0),"")</f>
        <v/>
      </c>
      <c r="C2206" t="str">
        <f>IFERROR(VLOOKUP(Tabela1[[#This Row],[CC]],CC!$A$1:$H$389,7,0),"")</f>
        <v>RODRIGO CORUMBA</v>
      </c>
      <c r="D2206" t="str">
        <f>IFERROR(VLOOKUP(Tabela1[[#This Row],[CC]],CC!$A$1:$I$3869,3,0),"")</f>
        <v>RENDIMENTO</v>
      </c>
      <c r="E2206" t="str">
        <f>IFERROR(VLOOKUP(Tabela1[[#This Row],[CC]],CC!$A$1:$H$389,2,0),"")</f>
        <v>BANCO RENDIMENTO MONITORING CSA (1269)</v>
      </c>
      <c r="F2206" t="s">
        <v>586</v>
      </c>
      <c r="G2206" s="107">
        <v>5011</v>
      </c>
      <c r="H2206" s="12">
        <v>46054</v>
      </c>
      <c r="I2206" s="27">
        <v>9447.16</v>
      </c>
      <c r="J2206" s="24">
        <v>8866.16</v>
      </c>
      <c r="K2206" s="3">
        <v>46105</v>
      </c>
      <c r="L2206" s="91">
        <v>46113</v>
      </c>
      <c r="M2206" s="11">
        <v>46113</v>
      </c>
      <c r="N2206" s="18" t="s">
        <v>588</v>
      </c>
      <c r="O2206" s="34"/>
      <c r="P2206" s="26"/>
      <c r="Q2206" t="str">
        <f>IFERROR(VLOOKUP(Tabela1[[#This Row],[CC]],CC!$A$1:$H$389,5,0),"")</f>
        <v>CSA</v>
      </c>
      <c r="R2206" t="str">
        <f>IFERROR(VLOOKUP(Tabela1[[#This Row],[CC]],CC!$A$1:$H$389,6,0),"")</f>
        <v>FS</v>
      </c>
      <c r="S2206" t="str">
        <f>IFERROR(VLOOKUP(Tabela1[[#This Row],[CC]],CC!$A$1:$H$403,8,0),"")</f>
        <v>OP2</v>
      </c>
    </row>
    <row r="2207" spans="1:19" x14ac:dyDescent="0.3">
      <c r="A2207" s="8">
        <v>1269</v>
      </c>
      <c r="B2207" s="8" t="str">
        <f>IFERROR(VLOOKUP(Tabela1[[#This Row],[CC]],#REF!,5,0),"")</f>
        <v/>
      </c>
      <c r="C2207" t="str">
        <f>IFERROR(VLOOKUP(Tabela1[[#This Row],[CC]],CC!$A$1:$H$389,7,0),"")</f>
        <v>RODRIGO CORUMBA</v>
      </c>
      <c r="D2207" t="str">
        <f>IFERROR(VLOOKUP(Tabela1[[#This Row],[CC]],CC!$A$1:$I$3869,3,0),"")</f>
        <v>RENDIMENTO</v>
      </c>
      <c r="E2207" t="str">
        <f>IFERROR(VLOOKUP(Tabela1[[#This Row],[CC]],CC!$A$1:$H$389,2,0),"")</f>
        <v>BANCO RENDIMENTO MONITORING CSA (1269)</v>
      </c>
      <c r="F2207" t="s">
        <v>586</v>
      </c>
      <c r="G2207" s="107">
        <v>5012</v>
      </c>
      <c r="H2207" s="12">
        <v>46054</v>
      </c>
      <c r="I2207" s="24">
        <v>30699.4</v>
      </c>
      <c r="J2207" s="24">
        <v>28811.39</v>
      </c>
      <c r="K2207" s="3">
        <v>46105</v>
      </c>
      <c r="L2207" s="91">
        <v>46111</v>
      </c>
      <c r="M2207" s="11">
        <v>46111</v>
      </c>
      <c r="N2207" s="18" t="s">
        <v>588</v>
      </c>
      <c r="O2207" s="34"/>
      <c r="P2207" s="26"/>
      <c r="Q2207" t="str">
        <f>IFERROR(VLOOKUP(Tabela1[[#This Row],[CC]],CC!$A$1:$H$389,5,0),"")</f>
        <v>CSA</v>
      </c>
      <c r="R2207" t="str">
        <f>IFERROR(VLOOKUP(Tabela1[[#This Row],[CC]],CC!$A$1:$H$389,6,0),"")</f>
        <v>FS</v>
      </c>
      <c r="S2207" t="str">
        <f>IFERROR(VLOOKUP(Tabela1[[#This Row],[CC]],CC!$A$1:$H$403,8,0),"")</f>
        <v>OP2</v>
      </c>
    </row>
    <row r="2208" spans="1:19" x14ac:dyDescent="0.3">
      <c r="A2208" s="8">
        <v>1269</v>
      </c>
      <c r="B2208" s="8" t="str">
        <f>IFERROR(VLOOKUP(Tabela1[[#This Row],[CC]],#REF!,5,0),"")</f>
        <v/>
      </c>
      <c r="C2208" t="str">
        <f>IFERROR(VLOOKUP(Tabela1[[#This Row],[CC]],CC!$A$1:$H$389,7,0),"")</f>
        <v>RODRIGO CORUMBA</v>
      </c>
      <c r="D2208" t="str">
        <f>IFERROR(VLOOKUP(Tabela1[[#This Row],[CC]],CC!$A$1:$I$3869,3,0),"")</f>
        <v>RENDIMENTO</v>
      </c>
      <c r="E2208" t="str">
        <f>IFERROR(VLOOKUP(Tabela1[[#This Row],[CC]],CC!$A$1:$H$389,2,0),"")</f>
        <v>BANCO RENDIMENTO MONITORING CSA (1269)</v>
      </c>
      <c r="F2208" t="s">
        <v>586</v>
      </c>
      <c r="G2208" s="107">
        <v>5088</v>
      </c>
      <c r="H2208" s="12">
        <v>46082</v>
      </c>
      <c r="I2208" s="27">
        <v>218850.79</v>
      </c>
      <c r="J2208" s="27">
        <v>205391.47429136376</v>
      </c>
      <c r="K2208" s="3">
        <v>46132</v>
      </c>
      <c r="L2208" s="91">
        <v>46139</v>
      </c>
      <c r="M2208" s="11">
        <v>46142</v>
      </c>
      <c r="N2208" s="18" t="s">
        <v>588</v>
      </c>
      <c r="O2208" s="34"/>
      <c r="P2208" s="26"/>
      <c r="Q2208" t="str">
        <f>IFERROR(VLOOKUP(Tabela1[[#This Row],[CC]],CC!$A$1:$H$389,5,0),"")</f>
        <v>CSA</v>
      </c>
      <c r="R2208" t="str">
        <f>IFERROR(VLOOKUP(Tabela1[[#This Row],[CC]],CC!$A$1:$H$389,6,0),"")</f>
        <v>FS</v>
      </c>
      <c r="S2208" t="str">
        <f>IFERROR(VLOOKUP(Tabela1[[#This Row],[CC]],CC!$A$1:$H$403,8,0),"")</f>
        <v>OP2</v>
      </c>
    </row>
    <row r="2209" spans="1:19" x14ac:dyDescent="0.3">
      <c r="A2209" s="8">
        <v>1269</v>
      </c>
      <c r="B2209" s="8" t="str">
        <f>IFERROR(VLOOKUP(Tabela1[[#This Row],[CC]],#REF!,5,0),"")</f>
        <v/>
      </c>
      <c r="C2209" t="str">
        <f>IFERROR(VLOOKUP(Tabela1[[#This Row],[CC]],CC!$A$1:$H$389,7,0),"")</f>
        <v>RODRIGO CORUMBA</v>
      </c>
      <c r="D2209" t="str">
        <f>IFERROR(VLOOKUP(Tabela1[[#This Row],[CC]],CC!$A$1:$I$3869,3,0),"")</f>
        <v>RENDIMENTO</v>
      </c>
      <c r="E2209" t="str">
        <f>IFERROR(VLOOKUP(Tabela1[[#This Row],[CC]],CC!$A$1:$H$389,2,0),"")</f>
        <v>BANCO RENDIMENTO MONITORING CSA (1269)</v>
      </c>
      <c r="F2209" t="s">
        <v>586</v>
      </c>
      <c r="G2209" s="107">
        <v>5092</v>
      </c>
      <c r="H2209" s="12">
        <v>46082</v>
      </c>
      <c r="I2209" s="27">
        <v>9447.16</v>
      </c>
      <c r="J2209" s="27">
        <v>8866.16</v>
      </c>
      <c r="K2209" s="3">
        <v>46134</v>
      </c>
      <c r="L2209" s="91">
        <v>46139</v>
      </c>
      <c r="M2209" s="11">
        <v>46142</v>
      </c>
      <c r="N2209" s="18" t="s">
        <v>588</v>
      </c>
      <c r="O2209" s="34"/>
      <c r="P2209" s="26"/>
      <c r="Q2209" t="str">
        <f>IFERROR(VLOOKUP(Tabela1[[#This Row],[CC]],CC!$A$1:$H$389,5,0),"")</f>
        <v>CSA</v>
      </c>
      <c r="R2209" t="str">
        <f>IFERROR(VLOOKUP(Tabela1[[#This Row],[CC]],CC!$A$1:$H$389,6,0),"")</f>
        <v>FS</v>
      </c>
      <c r="S2209" t="str">
        <f>IFERROR(VLOOKUP(Tabela1[[#This Row],[CC]],CC!$A$1:$H$403,8,0),"")</f>
        <v>OP2</v>
      </c>
    </row>
    <row r="2210" spans="1:19" x14ac:dyDescent="0.3">
      <c r="A2210" s="8">
        <v>1269</v>
      </c>
      <c r="B2210" s="8" t="str">
        <f>IFERROR(VLOOKUP(Tabela1[[#This Row],[CC]],#REF!,5,0),"")</f>
        <v/>
      </c>
      <c r="C2210" t="str">
        <f>IFERROR(VLOOKUP(Tabela1[[#This Row],[CC]],CC!$A$1:$H$389,7,0),"")</f>
        <v>RODRIGO CORUMBA</v>
      </c>
      <c r="D2210" t="str">
        <f>IFERROR(VLOOKUP(Tabela1[[#This Row],[CC]],CC!$A$1:$I$3869,3,0),"")</f>
        <v>RENDIMENTO</v>
      </c>
      <c r="E2210" t="str">
        <f>IFERROR(VLOOKUP(Tabela1[[#This Row],[CC]],CC!$A$1:$H$389,2,0),"")</f>
        <v>BANCO RENDIMENTO MONITORING CSA (1269)</v>
      </c>
      <c r="F2210" t="s">
        <v>586</v>
      </c>
      <c r="G2210" s="107">
        <v>5089</v>
      </c>
      <c r="H2210" s="12">
        <v>46082</v>
      </c>
      <c r="I2210" s="27">
        <v>6655.99</v>
      </c>
      <c r="J2210" s="24">
        <v>6246.65</v>
      </c>
      <c r="K2210" s="3">
        <v>46132</v>
      </c>
      <c r="L2210" s="91">
        <v>46139</v>
      </c>
      <c r="M2210" s="11">
        <v>46142</v>
      </c>
      <c r="N2210" s="18" t="s">
        <v>588</v>
      </c>
      <c r="O2210" s="34"/>
      <c r="P2210" s="26"/>
      <c r="Q2210" t="str">
        <f>IFERROR(VLOOKUP(Tabela1[[#This Row],[CC]],CC!$A$1:$H$389,5,0),"")</f>
        <v>CSA</v>
      </c>
      <c r="R2210" t="str">
        <f>IFERROR(VLOOKUP(Tabela1[[#This Row],[CC]],CC!$A$1:$H$389,6,0),"")</f>
        <v>FS</v>
      </c>
      <c r="S2210" t="str">
        <f>IFERROR(VLOOKUP(Tabela1[[#This Row],[CC]],CC!$A$1:$H$403,8,0),"")</f>
        <v>OP2</v>
      </c>
    </row>
    <row r="2211" spans="1:19" x14ac:dyDescent="0.3">
      <c r="A2211" s="8">
        <v>1269</v>
      </c>
      <c r="B2211" s="8" t="str">
        <f>IFERROR(VLOOKUP(Tabela1[[#This Row],[CC]],#REF!,5,0),"")</f>
        <v/>
      </c>
      <c r="C2211" t="str">
        <f>IFERROR(VLOOKUP(Tabela1[[#This Row],[CC]],CC!$A$1:$H$389,7,0),"")</f>
        <v>RODRIGO CORUMBA</v>
      </c>
      <c r="D2211" t="str">
        <f>IFERROR(VLOOKUP(Tabela1[[#This Row],[CC]],CC!$A$1:$I$3869,3,0),"")</f>
        <v>RENDIMENTO</v>
      </c>
      <c r="E2211" t="str">
        <f>IFERROR(VLOOKUP(Tabela1[[#This Row],[CC]],CC!$A$1:$H$389,2,0),"")</f>
        <v>BANCO RENDIMENTO MONITORING CSA (1269)</v>
      </c>
      <c r="F2211" t="s">
        <v>586</v>
      </c>
      <c r="G2211" s="107">
        <v>5093</v>
      </c>
      <c r="H2211" s="12">
        <v>46082</v>
      </c>
      <c r="I2211" s="27">
        <v>30699.4</v>
      </c>
      <c r="J2211" s="27">
        <v>28811.388004860721</v>
      </c>
      <c r="K2211" s="3">
        <v>46134</v>
      </c>
      <c r="L2211" s="91">
        <v>46139</v>
      </c>
      <c r="M2211" s="11">
        <v>46142</v>
      </c>
      <c r="N2211" s="18" t="s">
        <v>588</v>
      </c>
      <c r="O2211" s="34"/>
      <c r="P2211" s="26"/>
      <c r="Q2211" t="str">
        <f>IFERROR(VLOOKUP(Tabela1[[#This Row],[CC]],CC!$A$1:$H$389,5,0),"")</f>
        <v>CSA</v>
      </c>
      <c r="R2211" t="str">
        <f>IFERROR(VLOOKUP(Tabela1[[#This Row],[CC]],CC!$A$1:$H$389,6,0),"")</f>
        <v>FS</v>
      </c>
      <c r="S2211" t="str">
        <f>IFERROR(VLOOKUP(Tabela1[[#This Row],[CC]],CC!$A$1:$H$403,8,0),"")</f>
        <v>OP2</v>
      </c>
    </row>
    <row r="2212" spans="1:19" x14ac:dyDescent="0.3">
      <c r="A2212" s="8">
        <v>1269</v>
      </c>
      <c r="B2212" s="8" t="str">
        <f>IFERROR(VLOOKUP(Tabela1[[#This Row],[CC]],#REF!,5,0),"")</f>
        <v/>
      </c>
      <c r="C2212" t="str">
        <f>IFERROR(VLOOKUP(Tabela1[[#This Row],[CC]],CC!$A$1:$H$389,7,0),"")</f>
        <v>RODRIGO CORUMBA</v>
      </c>
      <c r="D2212" t="str">
        <f>IFERROR(VLOOKUP(Tabela1[[#This Row],[CC]],CC!$A$1:$I$3869,3,0),"")</f>
        <v>RENDIMENTO</v>
      </c>
      <c r="E2212" t="str">
        <f>IFERROR(VLOOKUP(Tabela1[[#This Row],[CC]],CC!$A$1:$H$389,2,0),"")</f>
        <v>BANCO RENDIMENTO MONITORING CSA (1269)</v>
      </c>
      <c r="F2212" t="s">
        <v>586</v>
      </c>
      <c r="G2212" s="107">
        <v>5165</v>
      </c>
      <c r="H2212" s="12">
        <v>46113</v>
      </c>
      <c r="I2212" s="24">
        <v>218850.79</v>
      </c>
      <c r="J2212" s="27">
        <v>205391.47</v>
      </c>
      <c r="K2212" s="3">
        <v>46162</v>
      </c>
      <c r="L2212" s="91">
        <v>46167</v>
      </c>
      <c r="M2212" s="11">
        <v>46171</v>
      </c>
      <c r="N2212" s="18" t="s">
        <v>588</v>
      </c>
      <c r="O2212" s="34"/>
      <c r="P2212" s="26"/>
      <c r="Q2212" t="str">
        <f>IFERROR(VLOOKUP(Tabela1[[#This Row],[CC]],CC!$A$1:$H$389,5,0),"")</f>
        <v>CSA</v>
      </c>
      <c r="R2212" t="str">
        <f>IFERROR(VLOOKUP(Tabela1[[#This Row],[CC]],CC!$A$1:$H$389,6,0),"")</f>
        <v>FS</v>
      </c>
      <c r="S2212" t="str">
        <f>IFERROR(VLOOKUP(Tabela1[[#This Row],[CC]],CC!$A$1:$H$403,8,0),"")</f>
        <v>OP2</v>
      </c>
    </row>
    <row r="2213" spans="1:19" x14ac:dyDescent="0.3">
      <c r="A2213" s="8">
        <v>1269</v>
      </c>
      <c r="B2213" s="8" t="str">
        <f>IFERROR(VLOOKUP(Tabela1[[#This Row],[CC]],#REF!,5,0),"")</f>
        <v/>
      </c>
      <c r="C2213" t="str">
        <f>IFERROR(VLOOKUP(Tabela1[[#This Row],[CC]],CC!$A$1:$H$389,7,0),"")</f>
        <v>RODRIGO CORUMBA</v>
      </c>
      <c r="D2213" t="str">
        <f>IFERROR(VLOOKUP(Tabela1[[#This Row],[CC]],CC!$A$1:$I$3869,3,0),"")</f>
        <v>RENDIMENTO</v>
      </c>
      <c r="E2213" t="str">
        <f>IFERROR(VLOOKUP(Tabela1[[#This Row],[CC]],CC!$A$1:$H$389,2,0),"")</f>
        <v>BANCO RENDIMENTO MONITORING CSA (1269)</v>
      </c>
      <c r="F2213" t="s">
        <v>586</v>
      </c>
      <c r="G2213" s="107">
        <v>5166</v>
      </c>
      <c r="H2213" s="12">
        <v>46113</v>
      </c>
      <c r="I2213" s="24">
        <v>30699.4</v>
      </c>
      <c r="J2213" s="27">
        <v>28811.39</v>
      </c>
      <c r="K2213" s="3">
        <v>46162</v>
      </c>
      <c r="L2213" s="91">
        <v>46167</v>
      </c>
      <c r="M2213" s="11">
        <v>46171</v>
      </c>
      <c r="N2213" s="18" t="s">
        <v>588</v>
      </c>
      <c r="O2213" s="34"/>
      <c r="P2213" s="26"/>
      <c r="Q2213" t="str">
        <f>IFERROR(VLOOKUP(Tabela1[[#This Row],[CC]],CC!$A$1:$H$389,5,0),"")</f>
        <v>CSA</v>
      </c>
      <c r="R2213" t="str">
        <f>IFERROR(VLOOKUP(Tabela1[[#This Row],[CC]],CC!$A$1:$H$389,6,0),"")</f>
        <v>FS</v>
      </c>
      <c r="S2213" t="str">
        <f>IFERROR(VLOOKUP(Tabela1[[#This Row],[CC]],CC!$A$1:$H$403,8,0),"")</f>
        <v>OP2</v>
      </c>
    </row>
    <row r="2214" spans="1:19" x14ac:dyDescent="0.3">
      <c r="A2214" s="8">
        <v>1269</v>
      </c>
      <c r="B2214" s="8" t="str">
        <f>IFERROR(VLOOKUP(Tabela1[[#This Row],[CC]],#REF!,5,0),"")</f>
        <v/>
      </c>
      <c r="C2214" t="str">
        <f>IFERROR(VLOOKUP(Tabela1[[#This Row],[CC]],CC!$A$1:$H$389,7,0),"")</f>
        <v>RODRIGO CORUMBA</v>
      </c>
      <c r="D2214" t="str">
        <f>IFERROR(VLOOKUP(Tabela1[[#This Row],[CC]],CC!$A$1:$I$3869,3,0),"")</f>
        <v>RENDIMENTO</v>
      </c>
      <c r="E2214" t="str">
        <f>IFERROR(VLOOKUP(Tabela1[[#This Row],[CC]],CC!$A$1:$H$389,2,0),"")</f>
        <v>BANCO RENDIMENTO MONITORING CSA (1269)</v>
      </c>
      <c r="F2214" t="s">
        <v>586</v>
      </c>
      <c r="G2214" s="107">
        <v>5160</v>
      </c>
      <c r="H2214" s="12">
        <v>46113</v>
      </c>
      <c r="I2214" s="24">
        <v>9447.16</v>
      </c>
      <c r="J2214" s="27">
        <v>8866.16</v>
      </c>
      <c r="K2214" s="3">
        <v>46162</v>
      </c>
      <c r="L2214" s="91">
        <v>46167</v>
      </c>
      <c r="M2214" s="11">
        <v>46171</v>
      </c>
      <c r="N2214" s="18" t="s">
        <v>588</v>
      </c>
      <c r="O2214" s="34"/>
      <c r="P2214" s="26"/>
      <c r="Q2214" t="str">
        <f>IFERROR(VLOOKUP(Tabela1[[#This Row],[CC]],CC!$A$1:$H$389,5,0),"")</f>
        <v>CSA</v>
      </c>
      <c r="R2214" t="str">
        <f>IFERROR(VLOOKUP(Tabela1[[#This Row],[CC]],CC!$A$1:$H$389,6,0),"")</f>
        <v>FS</v>
      </c>
      <c r="S2214" t="str">
        <f>IFERROR(VLOOKUP(Tabela1[[#This Row],[CC]],CC!$A$1:$H$403,8,0),"")</f>
        <v>OP2</v>
      </c>
    </row>
    <row r="2215" spans="1:19" x14ac:dyDescent="0.3">
      <c r="A2215" s="8">
        <v>1269</v>
      </c>
      <c r="B2215" s="8" t="str">
        <f>IFERROR(VLOOKUP(Tabela1[[#This Row],[CC]],#REF!,5,0),"")</f>
        <v/>
      </c>
      <c r="C2215" t="str">
        <f>IFERROR(VLOOKUP(Tabela1[[#This Row],[CC]],CC!$A$1:$H$389,7,0),"")</f>
        <v>RODRIGO CORUMBA</v>
      </c>
      <c r="D2215" t="str">
        <f>IFERROR(VLOOKUP(Tabela1[[#This Row],[CC]],CC!$A$1:$I$3869,3,0),"")</f>
        <v>RENDIMENTO</v>
      </c>
      <c r="E2215" t="str">
        <f>IFERROR(VLOOKUP(Tabela1[[#This Row],[CC]],CC!$A$1:$H$389,2,0),"")</f>
        <v>BANCO RENDIMENTO MONITORING CSA (1269)</v>
      </c>
      <c r="F2215" t="s">
        <v>586</v>
      </c>
      <c r="G2215" s="107">
        <v>5163</v>
      </c>
      <c r="H2215" s="12">
        <v>46113</v>
      </c>
      <c r="I2215" s="24">
        <v>6655.99</v>
      </c>
      <c r="J2215" s="27">
        <v>6246.65</v>
      </c>
      <c r="K2215" s="3">
        <v>46162</v>
      </c>
      <c r="L2215" s="91">
        <v>46167</v>
      </c>
      <c r="M2215" s="11">
        <v>46171</v>
      </c>
      <c r="N2215" s="18" t="s">
        <v>588</v>
      </c>
      <c r="O2215" s="34"/>
      <c r="P2215" s="26"/>
      <c r="Q2215" t="str">
        <f>IFERROR(VLOOKUP(Tabela1[[#This Row],[CC]],CC!$A$1:$H$389,5,0),"")</f>
        <v>CSA</v>
      </c>
      <c r="R2215" t="str">
        <f>IFERROR(VLOOKUP(Tabela1[[#This Row],[CC]],CC!$A$1:$H$389,6,0),"")</f>
        <v>FS</v>
      </c>
      <c r="S2215" t="str">
        <f>IFERROR(VLOOKUP(Tabela1[[#This Row],[CC]],CC!$A$1:$H$403,8,0),"")</f>
        <v>OP2</v>
      </c>
    </row>
    <row r="2216" spans="1:19" x14ac:dyDescent="0.3">
      <c r="A2216" s="8">
        <v>1269</v>
      </c>
      <c r="B2216" s="8" t="str">
        <f>IFERROR(VLOOKUP(Tabela1[[#This Row],[CC]],#REF!,5,0),"")</f>
        <v/>
      </c>
      <c r="C2216" t="str">
        <f>IFERROR(VLOOKUP(Tabela1[[#This Row],[CC]],CC!$A$1:$H$389,7,0),"")</f>
        <v>RODRIGO CORUMBA</v>
      </c>
      <c r="D2216" t="str">
        <f>IFERROR(VLOOKUP(Tabela1[[#This Row],[CC]],CC!$A$1:$I$3869,3,0),"")</f>
        <v>RENDIMENTO</v>
      </c>
      <c r="E2216" t="str">
        <f>IFERROR(VLOOKUP(Tabela1[[#This Row],[CC]],CC!$A$1:$H$389,2,0),"")</f>
        <v>BANCO RENDIMENTO MONITORING CSA (1269)</v>
      </c>
      <c r="F2216" t="s">
        <v>586</v>
      </c>
      <c r="G2216" s="107"/>
      <c r="H2216" s="12">
        <v>46143</v>
      </c>
      <c r="I2216" s="24">
        <v>265653</v>
      </c>
      <c r="J2216" s="24"/>
      <c r="K2216" s="3">
        <v>46174</v>
      </c>
      <c r="L2216" s="91">
        <v>46195</v>
      </c>
      <c r="M2216" s="11"/>
      <c r="N2216" s="18" t="s">
        <v>572</v>
      </c>
      <c r="O2216" s="34"/>
      <c r="P2216" s="26"/>
      <c r="Q2216" t="str">
        <f>IFERROR(VLOOKUP(Tabela1[[#This Row],[CC]],CC!$A$1:$H$389,5,0),"")</f>
        <v>CSA</v>
      </c>
      <c r="R2216" t="str">
        <f>IFERROR(VLOOKUP(Tabela1[[#This Row],[CC]],CC!$A$1:$H$389,6,0),"")</f>
        <v>FS</v>
      </c>
      <c r="S2216" t="str">
        <f>IFERROR(VLOOKUP(Tabela1[[#This Row],[CC]],CC!$A$1:$H$403,8,0),"")</f>
        <v>OP2</v>
      </c>
    </row>
    <row r="2217" spans="1:19" x14ac:dyDescent="0.3">
      <c r="A2217" s="25">
        <v>1400</v>
      </c>
      <c r="B2217" s="25" t="str">
        <f>IFERROR(VLOOKUP(Tabela1[[#This Row],[CC]],#REF!,5,0),"")</f>
        <v/>
      </c>
      <c r="C2217" t="str">
        <f>IFERROR(VLOOKUP(Tabela1[[#This Row],[CC]],CC!$A$1:$H$389,7,0),"")</f>
        <v>CYRO SALVATORE</v>
      </c>
      <c r="D2217" t="str">
        <f>IFERROR(VLOOKUP(Tabela1[[#This Row],[CC]],CC!$A$1:$I$3869,3,0),"")</f>
        <v>SABESP</v>
      </c>
      <c r="E2217" t="str">
        <f>IFERROR(VLOOKUP(Tabela1[[#This Row],[CC]],CC!$A$1:$H$389,2,0),"")</f>
        <v>SABESP - MICROSOFT NOVO (1400)</v>
      </c>
      <c r="F2217" t="s">
        <v>586</v>
      </c>
      <c r="G2217" s="110">
        <v>8716</v>
      </c>
      <c r="H2217" s="12">
        <v>45992</v>
      </c>
      <c r="I2217" s="24">
        <v>785320.39</v>
      </c>
      <c r="J2217" s="24">
        <v>709536.96</v>
      </c>
      <c r="K2217" s="3">
        <v>46036</v>
      </c>
      <c r="L2217" s="91">
        <v>46055</v>
      </c>
      <c r="M2217" s="11">
        <v>46058</v>
      </c>
      <c r="N2217" s="18" t="s">
        <v>588</v>
      </c>
      <c r="O2217" s="34"/>
      <c r="P2217"/>
      <c r="Q2217" t="str">
        <f>IFERROR(VLOOKUP(Tabela1[[#This Row],[CC]],CC!$A$1:$H$389,5,0),"")</f>
        <v>ADS</v>
      </c>
      <c r="R2217" t="str">
        <f>IFERROR(VLOOKUP(Tabela1[[#This Row],[CC]],CC!$A$1:$H$389,6,0),"")</f>
        <v>UT</v>
      </c>
      <c r="S2217" t="str">
        <f>IFERROR(VLOOKUP(Tabela1[[#This Row],[CC]],CC!$A$1:$H$403,8,0),"")</f>
        <v>OP1</v>
      </c>
    </row>
    <row r="2218" spans="1:19" x14ac:dyDescent="0.3">
      <c r="A2218" s="25">
        <v>1400</v>
      </c>
      <c r="B2218" s="25" t="str">
        <f>IFERROR(VLOOKUP(Tabela1[[#This Row],[CC]],#REF!,5,0),"")</f>
        <v/>
      </c>
      <c r="C2218" t="str">
        <f>IFERROR(VLOOKUP(Tabela1[[#This Row],[CC]],CC!$A$1:$H$389,7,0),"")</f>
        <v>CYRO SALVATORE</v>
      </c>
      <c r="D2218" t="str">
        <f>IFERROR(VLOOKUP(Tabela1[[#This Row],[CC]],CC!$A$1:$I$3869,3,0),"")</f>
        <v>SABESP</v>
      </c>
      <c r="E2218" t="str">
        <f>IFERROR(VLOOKUP(Tabela1[[#This Row],[CC]],CC!$A$1:$H$389,2,0),"")</f>
        <v>SABESP - MICROSOFT NOVO (1400)</v>
      </c>
      <c r="F2218" t="s">
        <v>586</v>
      </c>
      <c r="G2218" s="110">
        <v>8765</v>
      </c>
      <c r="H2218" s="12">
        <v>46023</v>
      </c>
      <c r="I2218" s="24">
        <v>753922.7</v>
      </c>
      <c r="J2218" s="27">
        <v>681169.15</v>
      </c>
      <c r="K2218" s="3">
        <v>46072</v>
      </c>
      <c r="L2218" s="91">
        <v>46083</v>
      </c>
      <c r="M2218" s="11">
        <v>46086</v>
      </c>
      <c r="N2218" s="18" t="s">
        <v>588</v>
      </c>
      <c r="O2218" s="34"/>
      <c r="P2218"/>
      <c r="Q2218" t="str">
        <f>IFERROR(VLOOKUP(Tabela1[[#This Row],[CC]],CC!$A$1:$H$389,5,0),"")</f>
        <v>ADS</v>
      </c>
      <c r="R2218" t="str">
        <f>IFERROR(VLOOKUP(Tabela1[[#This Row],[CC]],CC!$A$1:$H$389,6,0),"")</f>
        <v>UT</v>
      </c>
      <c r="S2218" t="str">
        <f>IFERROR(VLOOKUP(Tabela1[[#This Row],[CC]],CC!$A$1:$H$403,8,0),"")</f>
        <v>OP1</v>
      </c>
    </row>
    <row r="2219" spans="1:19" x14ac:dyDescent="0.3">
      <c r="A2219" s="25">
        <v>1400</v>
      </c>
      <c r="B2219" s="25" t="str">
        <f>IFERROR(VLOOKUP(Tabela1[[#This Row],[CC]],#REF!,5,0),"")</f>
        <v/>
      </c>
      <c r="C2219" t="str">
        <f>IFERROR(VLOOKUP(Tabela1[[#This Row],[CC]],CC!$A$1:$H$389,7,0),"")</f>
        <v>CYRO SALVATORE</v>
      </c>
      <c r="D2219" t="str">
        <f>IFERROR(VLOOKUP(Tabela1[[#This Row],[CC]],CC!$A$1:$I$3869,3,0),"")</f>
        <v>SABESP</v>
      </c>
      <c r="E2219" t="str">
        <f>IFERROR(VLOOKUP(Tabela1[[#This Row],[CC]],CC!$A$1:$H$389,2,0),"")</f>
        <v>SABESP - MICROSOFT NOVO (1400)</v>
      </c>
      <c r="F2219" t="s">
        <v>586</v>
      </c>
      <c r="G2219" s="110">
        <v>8808</v>
      </c>
      <c r="H2219" s="12">
        <v>46054</v>
      </c>
      <c r="I2219" s="24">
        <v>712772.04</v>
      </c>
      <c r="J2219" s="27">
        <v>643989.53</v>
      </c>
      <c r="K2219" s="3">
        <v>46093</v>
      </c>
      <c r="L2219" s="91">
        <v>46104</v>
      </c>
      <c r="M2219" s="11">
        <v>46106</v>
      </c>
      <c r="N2219" s="18" t="s">
        <v>588</v>
      </c>
      <c r="O2219" s="34"/>
      <c r="P2219"/>
      <c r="Q2219" t="str">
        <f>IFERROR(VLOOKUP(Tabela1[[#This Row],[CC]],CC!$A$1:$H$389,5,0),"")</f>
        <v>ADS</v>
      </c>
      <c r="R2219" t="str">
        <f>IFERROR(VLOOKUP(Tabela1[[#This Row],[CC]],CC!$A$1:$H$389,6,0),"")</f>
        <v>UT</v>
      </c>
      <c r="S2219" t="str">
        <f>IFERROR(VLOOKUP(Tabela1[[#This Row],[CC]],CC!$A$1:$H$403,8,0),"")</f>
        <v>OP1</v>
      </c>
    </row>
    <row r="2220" spans="1:19" x14ac:dyDescent="0.3">
      <c r="A2220" s="25">
        <v>1533</v>
      </c>
      <c r="B2220" s="25" t="str">
        <f>IFERROR(VLOOKUP(Tabela1[[#This Row],[CC]],#REF!,5,0),"")</f>
        <v/>
      </c>
      <c r="C2220" t="str">
        <f>IFERROR(VLOOKUP(Tabela1[[#This Row],[CC]],CC!$A$1:$H$389,7,0),"")</f>
        <v>RODRIGO CORUMBA</v>
      </c>
      <c r="D2220" t="str">
        <f>IFERROR(VLOOKUP(Tabela1[[#This Row],[CC]],CC!$A$1:$I$3869,3,0),"")</f>
        <v>UNIPAR</v>
      </c>
      <c r="E2220" t="str">
        <f>IFERROR(VLOOKUP(Tabela1[[#This Row],[CC]],CC!$A$1:$H$389,2,0),"")</f>
        <v>UNIPAR_SD-OPS (1533)</v>
      </c>
      <c r="F2220" t="s">
        <v>586</v>
      </c>
      <c r="G2220" s="107">
        <v>8986</v>
      </c>
      <c r="H2220" s="12">
        <v>46143</v>
      </c>
      <c r="I2220" s="27">
        <v>36028.83</v>
      </c>
      <c r="J2220" s="24">
        <v>33813.06</v>
      </c>
      <c r="K2220" s="3">
        <v>46174</v>
      </c>
      <c r="L2220" s="91">
        <v>46195</v>
      </c>
      <c r="M2220" s="11"/>
      <c r="N2220" s="18" t="s">
        <v>587</v>
      </c>
      <c r="O2220" s="34">
        <v>0</v>
      </c>
      <c r="P2220" s="26"/>
      <c r="Q2220" t="str">
        <f>IFERROR(VLOOKUP(Tabela1[[#This Row],[CC]],CC!$A$1:$H$389,5,0),"")</f>
        <v>CSA</v>
      </c>
      <c r="R2220" t="str">
        <f>IFERROR(VLOOKUP(Tabela1[[#This Row],[CC]],CC!$A$1:$H$389,6,0),"")</f>
        <v>MS</v>
      </c>
      <c r="S2220" t="str">
        <f>IFERROR(VLOOKUP(Tabela1[[#This Row],[CC]],CC!$A$1:$H$403,8,0),"")</f>
        <v>OP2</v>
      </c>
    </row>
    <row r="2221" spans="1:19" x14ac:dyDescent="0.3">
      <c r="A2221" s="25">
        <v>1533</v>
      </c>
      <c r="B2221" s="25" t="str">
        <f>IFERROR(VLOOKUP(Tabela1[[#This Row],[CC]],#REF!,5,0),"")</f>
        <v/>
      </c>
      <c r="C2221" t="str">
        <f>IFERROR(VLOOKUP(Tabela1[[#This Row],[CC]],CC!$A$1:$H$389,7,0),"")</f>
        <v>RODRIGO CORUMBA</v>
      </c>
      <c r="D2221" t="str">
        <f>IFERROR(VLOOKUP(Tabela1[[#This Row],[CC]],CC!$A$1:$I$3869,3,0),"")</f>
        <v>UNIPAR</v>
      </c>
      <c r="E2221" t="str">
        <f>IFERROR(VLOOKUP(Tabela1[[#This Row],[CC]],CC!$A$1:$H$389,2,0),"")</f>
        <v>UNIPAR_SD-OPS (1533)</v>
      </c>
      <c r="F2221" t="s">
        <v>586</v>
      </c>
      <c r="G2221" s="107">
        <v>8987</v>
      </c>
      <c r="H2221" s="12">
        <v>46143</v>
      </c>
      <c r="I2221" s="27">
        <v>69910.69</v>
      </c>
      <c r="J2221" s="24">
        <v>65611.179999999993</v>
      </c>
      <c r="K2221" s="3">
        <v>46174</v>
      </c>
      <c r="L2221" s="91">
        <v>46195</v>
      </c>
      <c r="M2221" s="11"/>
      <c r="N2221" s="18" t="s">
        <v>587</v>
      </c>
      <c r="O2221" s="34">
        <v>0</v>
      </c>
      <c r="P2221" s="26"/>
      <c r="Q2221" t="str">
        <f>IFERROR(VLOOKUP(Tabela1[[#This Row],[CC]],CC!$A$1:$H$389,5,0),"")</f>
        <v>CSA</v>
      </c>
      <c r="R2221" t="str">
        <f>IFERROR(VLOOKUP(Tabela1[[#This Row],[CC]],CC!$A$1:$H$389,6,0),"")</f>
        <v>MS</v>
      </c>
      <c r="S2221" t="str">
        <f>IFERROR(VLOOKUP(Tabela1[[#This Row],[CC]],CC!$A$1:$H$403,8,0),"")</f>
        <v>OP2</v>
      </c>
    </row>
    <row r="2222" spans="1:19" x14ac:dyDescent="0.3">
      <c r="A2222" s="25">
        <v>1400</v>
      </c>
      <c r="B2222" s="25" t="str">
        <f>IFERROR(VLOOKUP(Tabela1[[#This Row],[CC]],#REF!,5,0),"")</f>
        <v/>
      </c>
      <c r="C2222" t="str">
        <f>IFERROR(VLOOKUP(Tabela1[[#This Row],[CC]],CC!$A$1:$H$389,7,0),"")</f>
        <v>CYRO SALVATORE</v>
      </c>
      <c r="D2222" t="str">
        <f>IFERROR(VLOOKUP(Tabela1[[#This Row],[CC]],CC!$A$1:$I$3869,3,0),"")</f>
        <v>SABESP</v>
      </c>
      <c r="E2222" t="str">
        <f>IFERROR(VLOOKUP(Tabela1[[#This Row],[CC]],CC!$A$1:$H$389,2,0),"")</f>
        <v>SABESP - MICROSOFT NOVO (1400)</v>
      </c>
      <c r="F2222" t="s">
        <v>586</v>
      </c>
      <c r="G2222" s="110"/>
      <c r="H2222" s="12">
        <v>46171</v>
      </c>
      <c r="I2222" s="24">
        <v>450000</v>
      </c>
      <c r="J2222" s="27"/>
      <c r="K2222" s="3">
        <v>46093</v>
      </c>
      <c r="L2222" s="91">
        <v>46195</v>
      </c>
      <c r="M2222" s="11"/>
      <c r="N2222" s="18" t="s">
        <v>572</v>
      </c>
      <c r="O2222" s="35">
        <v>450000</v>
      </c>
      <c r="P2222" t="s">
        <v>758</v>
      </c>
      <c r="Q2222" t="str">
        <f>IFERROR(VLOOKUP(Tabela1[[#This Row],[CC]],CC!$A$1:$H$389,5,0),"")</f>
        <v>ADS</v>
      </c>
      <c r="R2222" t="str">
        <f>IFERROR(VLOOKUP(Tabela1[[#This Row],[CC]],CC!$A$1:$H$389,6,0),"")</f>
        <v>UT</v>
      </c>
      <c r="S2222" t="str">
        <f>IFERROR(VLOOKUP(Tabela1[[#This Row],[CC]],CC!$A$1:$H$403,8,0),"")</f>
        <v>OP1</v>
      </c>
    </row>
    <row r="2223" spans="1:19" x14ac:dyDescent="0.3">
      <c r="A2223" s="8">
        <v>1247</v>
      </c>
      <c r="B2223" s="8" t="str">
        <f>IFERROR(VLOOKUP(Tabela1[[#This Row],[CC]],#REF!,5,0),"")</f>
        <v/>
      </c>
      <c r="C2223" t="str">
        <f>IFERROR(VLOOKUP(Tabela1[[#This Row],[CC]],CC!$A$1:$H$389,7,0),"")</f>
        <v>ROGERIO GORDILHO</v>
      </c>
      <c r="D2223" t="str">
        <f>IFERROR(VLOOKUP(Tabela1[[#This Row],[CC]],CC!$A$1:$I$3869,3,0),"")</f>
        <v>IBAMETRO</v>
      </c>
      <c r="E2223" t="str">
        <f>IFERROR(VLOOKUP(Tabela1[[#This Row],[CC]],CC!$A$1:$H$389,2,0),"")</f>
        <v>IBAMETRO (1247)</v>
      </c>
      <c r="F2223" t="s">
        <v>586</v>
      </c>
      <c r="G2223" s="106">
        <v>8612</v>
      </c>
      <c r="H2223" s="12">
        <v>45962</v>
      </c>
      <c r="I2223" s="24">
        <v>38395.360000000001</v>
      </c>
      <c r="J2223" s="24">
        <v>34440.629999999997</v>
      </c>
      <c r="K2223" s="3">
        <v>45979</v>
      </c>
      <c r="L2223" s="91">
        <v>45992</v>
      </c>
      <c r="M2223" s="11">
        <v>45992</v>
      </c>
      <c r="N2223" s="18" t="s">
        <v>588</v>
      </c>
      <c r="O2223" s="34">
        <v>0</v>
      </c>
      <c r="P2223"/>
      <c r="Q2223" t="str">
        <f>IFERROR(VLOOKUP(Tabela1[[#This Row],[CC]],CC!$A$1:$H$389,5,0),"")</f>
        <v>CSA</v>
      </c>
      <c r="R2223" t="str">
        <f>IFERROR(VLOOKUP(Tabela1[[#This Row],[CC]],CC!$A$1:$H$389,6,0),"")</f>
        <v>PS</v>
      </c>
      <c r="S2223" t="str">
        <f>IFERROR(VLOOKUP(Tabela1[[#This Row],[CC]],CC!$A$1:$H$403,8,0),"")</f>
        <v>OP4</v>
      </c>
    </row>
    <row r="2224" spans="1:19" x14ac:dyDescent="0.3">
      <c r="A2224" s="8">
        <v>1298</v>
      </c>
      <c r="B2224" s="8" t="str">
        <f>IFERROR(VLOOKUP(Tabela1[[#This Row],[CC]],#REF!,5,0),"")</f>
        <v/>
      </c>
      <c r="C2224" t="str">
        <f>IFERROR(VLOOKUP(Tabela1[[#This Row],[CC]],CC!$A$1:$H$389,7,0),"")</f>
        <v>JOSÉ NETO</v>
      </c>
      <c r="D2224" t="str">
        <f>IFERROR(VLOOKUP(Tabela1[[#This Row],[CC]],CC!$A$1:$I$3869,3,0),"")</f>
        <v>SEBRAE</v>
      </c>
      <c r="E2224" t="str">
        <f>IFERROR(VLOOKUP(Tabela1[[#This Row],[CC]],CC!$A$1:$H$389,2,0),"")</f>
        <v>SEBRAE-SP DC NOVO (1298)</v>
      </c>
      <c r="F2224" t="s">
        <v>586</v>
      </c>
      <c r="G2224" s="106">
        <v>1329</v>
      </c>
      <c r="H2224" s="12">
        <v>45992</v>
      </c>
      <c r="I2224" s="27">
        <v>294000.96000000002</v>
      </c>
      <c r="J2224" s="24">
        <v>275919.90000000002</v>
      </c>
      <c r="K2224" s="3">
        <v>46035</v>
      </c>
      <c r="L2224" s="91">
        <v>46062</v>
      </c>
      <c r="M2224" s="11">
        <v>46065</v>
      </c>
      <c r="N2224" s="18" t="s">
        <v>588</v>
      </c>
      <c r="O2224" s="34">
        <v>0</v>
      </c>
      <c r="P2224"/>
      <c r="Q2224" t="str">
        <f>IFERROR(VLOOKUP(Tabela1[[#This Row],[CC]],CC!$A$1:$H$389,5,0),"")</f>
        <v>CSA</v>
      </c>
      <c r="R2224" t="str">
        <f>IFERROR(VLOOKUP(Tabela1[[#This Row],[CC]],CC!$A$1:$H$389,6,0),"")</f>
        <v>PS</v>
      </c>
      <c r="S2224" t="str">
        <f>IFERROR(VLOOKUP(Tabela1[[#This Row],[CC]],CC!$A$1:$H$403,8,0),"")</f>
        <v>OP2</v>
      </c>
    </row>
    <row r="2225" spans="1:19" x14ac:dyDescent="0.3">
      <c r="A2225" s="8">
        <v>1298</v>
      </c>
      <c r="B2225" s="8" t="str">
        <f>IFERROR(VLOOKUP(Tabela1[[#This Row],[CC]],#REF!,5,0),"")</f>
        <v/>
      </c>
      <c r="C2225" t="str">
        <f>IFERROR(VLOOKUP(Tabela1[[#This Row],[CC]],CC!$A$1:$H$389,7,0),"")</f>
        <v>JOSÉ NETO</v>
      </c>
      <c r="D2225" t="str">
        <f>IFERROR(VLOOKUP(Tabela1[[#This Row],[CC]],CC!$A$1:$I$3869,3,0),"")</f>
        <v>SEBRAE</v>
      </c>
      <c r="E2225" t="str">
        <f>IFERROR(VLOOKUP(Tabela1[[#This Row],[CC]],CC!$A$1:$H$389,2,0),"")</f>
        <v>SEBRAE-SP DC NOVO (1298)</v>
      </c>
      <c r="F2225" t="s">
        <v>586</v>
      </c>
      <c r="G2225" s="106">
        <v>1330</v>
      </c>
      <c r="H2225" s="12">
        <v>46023</v>
      </c>
      <c r="I2225" s="24">
        <v>294000.96000000002</v>
      </c>
      <c r="J2225" s="24">
        <v>274449.90000000002</v>
      </c>
      <c r="K2225" s="3">
        <v>46063</v>
      </c>
      <c r="L2225" s="91">
        <v>46069</v>
      </c>
      <c r="M2225" s="11">
        <v>46073</v>
      </c>
      <c r="N2225" s="18" t="s">
        <v>588</v>
      </c>
      <c r="O2225" s="34">
        <v>0</v>
      </c>
      <c r="P2225"/>
      <c r="Q2225" t="str">
        <f>IFERROR(VLOOKUP(Tabela1[[#This Row],[CC]],CC!$A$1:$H$389,5,0),"")</f>
        <v>CSA</v>
      </c>
      <c r="R2225" t="str">
        <f>IFERROR(VLOOKUP(Tabela1[[#This Row],[CC]],CC!$A$1:$H$389,6,0),"")</f>
        <v>PS</v>
      </c>
      <c r="S2225" t="str">
        <f>IFERROR(VLOOKUP(Tabela1[[#This Row],[CC]],CC!$A$1:$H$403,8,0),"")</f>
        <v>OP2</v>
      </c>
    </row>
    <row r="2226" spans="1:19" x14ac:dyDescent="0.3">
      <c r="A2226" s="8">
        <v>1298</v>
      </c>
      <c r="B2226" s="8" t="str">
        <f>IFERROR(VLOOKUP(Tabela1[[#This Row],[CC]],#REF!,5,0),"")</f>
        <v/>
      </c>
      <c r="C2226" t="str">
        <f>IFERROR(VLOOKUP(Tabela1[[#This Row],[CC]],CC!$A$1:$H$389,7,0),"")</f>
        <v>JOSÉ NETO</v>
      </c>
      <c r="D2226" t="str">
        <f>IFERROR(VLOOKUP(Tabela1[[#This Row],[CC]],CC!$A$1:$I$3869,3,0),"")</f>
        <v>SEBRAE</v>
      </c>
      <c r="E2226" t="str">
        <f>IFERROR(VLOOKUP(Tabela1[[#This Row],[CC]],CC!$A$1:$H$389,2,0),"")</f>
        <v>SEBRAE-SP DC NOVO (1298)</v>
      </c>
      <c r="F2226" t="s">
        <v>586</v>
      </c>
      <c r="G2226" s="134">
        <v>1341</v>
      </c>
      <c r="H2226" s="12">
        <v>46054</v>
      </c>
      <c r="I2226" s="27">
        <v>294000.96000000002</v>
      </c>
      <c r="J2226" s="24">
        <v>275919.90999999997</v>
      </c>
      <c r="K2226" s="3">
        <v>46099</v>
      </c>
      <c r="L2226" s="91">
        <v>46118</v>
      </c>
      <c r="M2226" s="11">
        <v>46118</v>
      </c>
      <c r="N2226" s="18" t="s">
        <v>588</v>
      </c>
      <c r="O2226" s="24"/>
      <c r="P2226"/>
      <c r="Q2226" t="str">
        <f>IFERROR(VLOOKUP(Tabela1[[#This Row],[CC]],CC!$A$1:$H$389,5,0),"")</f>
        <v>CSA</v>
      </c>
      <c r="R2226" t="str">
        <f>IFERROR(VLOOKUP(Tabela1[[#This Row],[CC]],CC!$A$1:$H$389,6,0),"")</f>
        <v>PS</v>
      </c>
      <c r="S2226" t="str">
        <f>IFERROR(VLOOKUP(Tabela1[[#This Row],[CC]],CC!$A$1:$H$403,8,0),"")</f>
        <v>OP2</v>
      </c>
    </row>
    <row r="2227" spans="1:19" x14ac:dyDescent="0.3">
      <c r="A2227" s="8">
        <v>1298</v>
      </c>
      <c r="B2227" s="8" t="str">
        <f>IFERROR(VLOOKUP(Tabela1[[#This Row],[CC]],#REF!,5,0),"")</f>
        <v/>
      </c>
      <c r="C2227" t="str">
        <f>IFERROR(VLOOKUP(Tabela1[[#This Row],[CC]],CC!$A$1:$H$389,7,0),"")</f>
        <v>JOSÉ NETO</v>
      </c>
      <c r="D2227" t="str">
        <f>IFERROR(VLOOKUP(Tabela1[[#This Row],[CC]],CC!$A$1:$I$3869,3,0),"")</f>
        <v>SEBRAE</v>
      </c>
      <c r="E2227" t="str">
        <f>IFERROR(VLOOKUP(Tabela1[[#This Row],[CC]],CC!$A$1:$H$389,2,0),"")</f>
        <v>SEBRAE-SP DC NOVO (1298)</v>
      </c>
      <c r="F2227" t="s">
        <v>586</v>
      </c>
      <c r="G2227" s="106">
        <v>1343</v>
      </c>
      <c r="H2227" s="12">
        <v>46082</v>
      </c>
      <c r="I2227" s="27">
        <v>294000.96000000002</v>
      </c>
      <c r="J2227" s="24">
        <v>275919.90999999997</v>
      </c>
      <c r="K2227" s="3">
        <v>46122</v>
      </c>
      <c r="L2227" s="91">
        <v>46132</v>
      </c>
      <c r="M2227" s="11">
        <v>46136</v>
      </c>
      <c r="N2227" s="18" t="s">
        <v>588</v>
      </c>
      <c r="O2227" s="34">
        <v>0</v>
      </c>
      <c r="P2227"/>
      <c r="Q2227" t="str">
        <f>IFERROR(VLOOKUP(Tabela1[[#This Row],[CC]],CC!$A$1:$H$389,5,0),"")</f>
        <v>CSA</v>
      </c>
      <c r="R2227" t="str">
        <f>IFERROR(VLOOKUP(Tabela1[[#This Row],[CC]],CC!$A$1:$H$389,6,0),"")</f>
        <v>PS</v>
      </c>
      <c r="S2227" t="str">
        <f>IFERROR(VLOOKUP(Tabela1[[#This Row],[CC]],CC!$A$1:$H$403,8,0),"")</f>
        <v>OP2</v>
      </c>
    </row>
    <row r="2228" spans="1:19" x14ac:dyDescent="0.3">
      <c r="A2228" s="8">
        <v>1298</v>
      </c>
      <c r="B2228" s="8" t="str">
        <f>IFERROR(VLOOKUP(Tabela1[[#This Row],[CC]],#REF!,5,0),"")</f>
        <v/>
      </c>
      <c r="C2228" t="str">
        <f>IFERROR(VLOOKUP(Tabela1[[#This Row],[CC]],CC!$A$1:$H$389,7,0),"")</f>
        <v>JOSÉ NETO</v>
      </c>
      <c r="D2228" t="str">
        <f>IFERROR(VLOOKUP(Tabela1[[#This Row],[CC]],CC!$A$1:$I$3869,3,0),"")</f>
        <v>SEBRAE</v>
      </c>
      <c r="E2228" t="str">
        <f>IFERROR(VLOOKUP(Tabela1[[#This Row],[CC]],CC!$A$1:$H$389,2,0),"")</f>
        <v>SEBRAE-SP DC NOVO (1298)</v>
      </c>
      <c r="F2228" t="s">
        <v>586</v>
      </c>
      <c r="G2228" s="106">
        <v>8929</v>
      </c>
      <c r="H2228" s="12">
        <v>46113</v>
      </c>
      <c r="I2228" s="24">
        <v>294000.96000000002</v>
      </c>
      <c r="J2228" s="24">
        <v>275919.90999999997</v>
      </c>
      <c r="K2228" s="3">
        <v>46153</v>
      </c>
      <c r="L2228" s="91">
        <v>46160</v>
      </c>
      <c r="M2228" s="11">
        <v>46164</v>
      </c>
      <c r="N2228" s="18" t="s">
        <v>588</v>
      </c>
      <c r="O2228" s="34">
        <v>0</v>
      </c>
      <c r="P2228"/>
      <c r="Q2228" t="str">
        <f>IFERROR(VLOOKUP(Tabela1[[#This Row],[CC]],CC!$A$1:$H$389,5,0),"")</f>
        <v>CSA</v>
      </c>
      <c r="R2228" t="str">
        <f>IFERROR(VLOOKUP(Tabela1[[#This Row],[CC]],CC!$A$1:$H$389,6,0),"")</f>
        <v>PS</v>
      </c>
      <c r="S2228" t="str">
        <f>IFERROR(VLOOKUP(Tabela1[[#This Row],[CC]],CC!$A$1:$H$403,8,0),"")</f>
        <v>OP2</v>
      </c>
    </row>
    <row r="2229" spans="1:19" x14ac:dyDescent="0.3">
      <c r="A2229" s="8">
        <v>1298</v>
      </c>
      <c r="B2229" s="8" t="str">
        <f>IFERROR(VLOOKUP(Tabela1[[#This Row],[CC]],#REF!,5,0),"")</f>
        <v/>
      </c>
      <c r="C2229" t="str">
        <f>IFERROR(VLOOKUP(Tabela1[[#This Row],[CC]],CC!$A$1:$H$389,7,0),"")</f>
        <v>JOSÉ NETO</v>
      </c>
      <c r="D2229" t="str">
        <f>IFERROR(VLOOKUP(Tabela1[[#This Row],[CC]],CC!$A$1:$I$3869,3,0),"")</f>
        <v>SEBRAE</v>
      </c>
      <c r="E2229" t="str">
        <f>IFERROR(VLOOKUP(Tabela1[[#This Row],[CC]],CC!$A$1:$H$389,2,0),"")</f>
        <v>SEBRAE-SP DC NOVO (1298)</v>
      </c>
      <c r="F2229" t="s">
        <v>586</v>
      </c>
      <c r="H2229" s="12">
        <v>46143</v>
      </c>
      <c r="I2229" s="24">
        <v>372170</v>
      </c>
      <c r="J2229" s="24">
        <v>275919.90000000002</v>
      </c>
      <c r="K2229" s="3">
        <v>46174</v>
      </c>
      <c r="L2229" s="91">
        <v>46195</v>
      </c>
      <c r="M2229" s="11"/>
      <c r="N2229" s="18" t="s">
        <v>572</v>
      </c>
      <c r="O2229" s="34">
        <v>0</v>
      </c>
      <c r="P2229"/>
      <c r="Q2229" t="str">
        <f>IFERROR(VLOOKUP(Tabela1[[#This Row],[CC]],CC!$A$1:$H$389,5,0),"")</f>
        <v>CSA</v>
      </c>
      <c r="R2229" t="str">
        <f>IFERROR(VLOOKUP(Tabela1[[#This Row],[CC]],CC!$A$1:$H$389,6,0),"")</f>
        <v>PS</v>
      </c>
      <c r="S2229" t="str">
        <f>IFERROR(VLOOKUP(Tabela1[[#This Row],[CC]],CC!$A$1:$H$403,8,0),"")</f>
        <v>OP2</v>
      </c>
    </row>
    <row r="2230" spans="1:19" x14ac:dyDescent="0.3">
      <c r="A2230" s="8">
        <v>1299</v>
      </c>
      <c r="B2230" s="8" t="str">
        <f>IFERROR(VLOOKUP(Tabela1[[#This Row],[CC]],#REF!,5,0),"")</f>
        <v/>
      </c>
      <c r="C2230" t="str">
        <f>IFERROR(VLOOKUP(Tabela1[[#This Row],[CC]],CC!$A$1:$H$389,7,0),"")</f>
        <v>LIZANDRA PIMENTA</v>
      </c>
      <c r="D2230" t="str">
        <f>IFERROR(VLOOKUP(Tabela1[[#This Row],[CC]],CC!$A$1:$I$3869,3,0),"")</f>
        <v>SEC-BA</v>
      </c>
      <c r="E2230" t="str">
        <f>IFERROR(VLOOKUP(Tabela1[[#This Row],[CC]],CC!$A$1:$H$389,2,0),"")</f>
        <v>SEC SIGEDUC (1299)</v>
      </c>
      <c r="F2230" t="s">
        <v>586</v>
      </c>
      <c r="G2230" s="109">
        <v>8858</v>
      </c>
      <c r="H2230" s="132">
        <v>45992</v>
      </c>
      <c r="I2230" s="27">
        <v>594570.23999999999</v>
      </c>
      <c r="J2230" s="24">
        <v>554139.47</v>
      </c>
      <c r="K2230" s="3">
        <v>46125</v>
      </c>
      <c r="L2230" s="91">
        <v>46139</v>
      </c>
      <c r="M2230" s="11">
        <v>46139</v>
      </c>
      <c r="N2230" s="18" t="s">
        <v>588</v>
      </c>
      <c r="O2230" s="24"/>
      <c r="P2230" s="24"/>
      <c r="Q2230" t="str">
        <f>IFERROR(VLOOKUP(Tabela1[[#This Row],[CC]],CC!$A$1:$H$389,5,0),"")</f>
        <v>ADS</v>
      </c>
      <c r="R2230" t="str">
        <f>IFERROR(VLOOKUP(Tabela1[[#This Row],[CC]],CC!$A$1:$H$389,6,0),"")</f>
        <v>PS</v>
      </c>
      <c r="S2230" t="str">
        <f>IFERROR(VLOOKUP(Tabela1[[#This Row],[CC]],CC!$A$1:$H$403,8,0),"")</f>
        <v>OP3</v>
      </c>
    </row>
    <row r="2231" spans="1:19" x14ac:dyDescent="0.3">
      <c r="A2231" s="25">
        <v>1271</v>
      </c>
      <c r="B2231" s="25" t="str">
        <f>IFERROR(VLOOKUP(Tabela1[[#This Row],[CC]],#REF!,5,0),"")</f>
        <v/>
      </c>
      <c r="C2231" t="str">
        <f>IFERROR(VLOOKUP(Tabela1[[#This Row],[CC]],CC!$A$1:$H$389,7,0),"")</f>
        <v>LIZANDRA PIMENTA</v>
      </c>
      <c r="D2231" t="str">
        <f>IFERROR(VLOOKUP(Tabela1[[#This Row],[CC]],CC!$A$1:$I$3869,3,0),"")</f>
        <v>SEC-BA</v>
      </c>
      <c r="E2231" t="str">
        <f>IFERROR(VLOOKUP(Tabela1[[#This Row],[CC]],CC!$A$1:$H$389,2,0),"")</f>
        <v>SEC SD (1271)</v>
      </c>
      <c r="F2231" t="s">
        <v>586</v>
      </c>
      <c r="G2231" s="110">
        <v>8617</v>
      </c>
      <c r="H2231" s="12">
        <v>45931</v>
      </c>
      <c r="I2231" s="24">
        <v>255597.54</v>
      </c>
      <c r="J2231" s="24">
        <v>238216.91</v>
      </c>
      <c r="K2231" s="3">
        <v>45980</v>
      </c>
      <c r="L2231" s="91">
        <v>45992</v>
      </c>
      <c r="M2231" s="11">
        <v>45993</v>
      </c>
      <c r="N2231" s="18" t="s">
        <v>588</v>
      </c>
      <c r="O2231" s="35"/>
      <c r="P2231" s="26"/>
      <c r="Q2231" t="str">
        <f>IFERROR(VLOOKUP(Tabela1[[#This Row],[CC]],CC!$A$1:$H$389,5,0),"")</f>
        <v>CSA</v>
      </c>
      <c r="R2231" t="str">
        <f>IFERROR(VLOOKUP(Tabela1[[#This Row],[CC]],CC!$A$1:$H$389,6,0),"")</f>
        <v>PS</v>
      </c>
      <c r="S2231" t="str">
        <f>IFERROR(VLOOKUP(Tabela1[[#This Row],[CC]],CC!$A$1:$H$403,8,0),"")</f>
        <v>OP3</v>
      </c>
    </row>
    <row r="2232" spans="1:19" x14ac:dyDescent="0.3">
      <c r="A2232" s="8">
        <v>1271</v>
      </c>
      <c r="B2232" s="8" t="str">
        <f>IFERROR(VLOOKUP(Tabela1[[#This Row],[CC]],#REF!,5,0),"")</f>
        <v/>
      </c>
      <c r="C2232" t="str">
        <f>IFERROR(VLOOKUP(Tabela1[[#This Row],[CC]],CC!$A$1:$H$389,7,0),"")</f>
        <v>LIZANDRA PIMENTA</v>
      </c>
      <c r="D2232" t="str">
        <f>IFERROR(VLOOKUP(Tabela1[[#This Row],[CC]],CC!$A$1:$I$3869,3,0),"")</f>
        <v>SEC-BA</v>
      </c>
      <c r="E2232" t="str">
        <f>IFERROR(VLOOKUP(Tabela1[[#This Row],[CC]],CC!$A$1:$H$389,2,0),"")</f>
        <v>SEC SD (1271)</v>
      </c>
      <c r="F2232" t="s">
        <v>586</v>
      </c>
      <c r="G2232" s="109">
        <v>8690</v>
      </c>
      <c r="H2232" s="12">
        <v>45962</v>
      </c>
      <c r="I2232" s="24">
        <v>255597.54</v>
      </c>
      <c r="J2232" s="24">
        <v>238216.91</v>
      </c>
      <c r="K2232" s="3">
        <v>46007</v>
      </c>
      <c r="L2232" s="91">
        <v>46013</v>
      </c>
      <c r="M2232" s="11">
        <v>46015</v>
      </c>
      <c r="N2232" s="18" t="s">
        <v>588</v>
      </c>
      <c r="O2232" s="34">
        <v>0</v>
      </c>
      <c r="P2232"/>
      <c r="Q2232" t="str">
        <f>IFERROR(VLOOKUP(Tabela1[[#This Row],[CC]],CC!$A$1:$H$389,5,0),"")</f>
        <v>CSA</v>
      </c>
      <c r="R2232" t="str">
        <f>IFERROR(VLOOKUP(Tabela1[[#This Row],[CC]],CC!$A$1:$H$389,6,0),"")</f>
        <v>PS</v>
      </c>
      <c r="S2232" t="str">
        <f>IFERROR(VLOOKUP(Tabela1[[#This Row],[CC]],CC!$A$1:$H$403,8,0),"")</f>
        <v>OP3</v>
      </c>
    </row>
    <row r="2233" spans="1:19" x14ac:dyDescent="0.3">
      <c r="A2233" s="8">
        <v>1271</v>
      </c>
      <c r="B2233" s="8" t="str">
        <f>IFERROR(VLOOKUP(Tabela1[[#This Row],[CC]],#REF!,5,0),"")</f>
        <v/>
      </c>
      <c r="C2233" t="str">
        <f>IFERROR(VLOOKUP(Tabela1[[#This Row],[CC]],CC!$A$1:$H$389,7,0),"")</f>
        <v>LIZANDRA PIMENTA</v>
      </c>
      <c r="D2233" t="str">
        <f>IFERROR(VLOOKUP(Tabela1[[#This Row],[CC]],CC!$A$1:$I$3869,3,0),"")</f>
        <v>SEC-BA</v>
      </c>
      <c r="E2233" t="str">
        <f>IFERROR(VLOOKUP(Tabela1[[#This Row],[CC]],CC!$A$1:$H$389,2,0),"")</f>
        <v>SEC SD (1271)</v>
      </c>
      <c r="F2233" t="s">
        <v>586</v>
      </c>
      <c r="G2233" s="106">
        <v>8750</v>
      </c>
      <c r="H2233" s="12">
        <v>46023</v>
      </c>
      <c r="I2233" s="24">
        <v>255597.54</v>
      </c>
      <c r="J2233" s="27">
        <v>238216.91</v>
      </c>
      <c r="K2233" s="3">
        <v>46064</v>
      </c>
      <c r="L2233" s="91">
        <v>46083</v>
      </c>
      <c r="M2233" s="11">
        <v>46086</v>
      </c>
      <c r="N2233" s="18" t="s">
        <v>588</v>
      </c>
      <c r="O2233" s="34">
        <v>0</v>
      </c>
      <c r="P2233"/>
      <c r="Q2233" t="str">
        <f>IFERROR(VLOOKUP(Tabela1[[#This Row],[CC]],CC!$A$1:$H$389,5,0),"")</f>
        <v>CSA</v>
      </c>
      <c r="R2233" t="str">
        <f>IFERROR(VLOOKUP(Tabela1[[#This Row],[CC]],CC!$A$1:$H$389,6,0),"")</f>
        <v>PS</v>
      </c>
      <c r="S2233" t="str">
        <f>IFERROR(VLOOKUP(Tabela1[[#This Row],[CC]],CC!$A$1:$H$403,8,0),"")</f>
        <v>OP3</v>
      </c>
    </row>
    <row r="2234" spans="1:19" x14ac:dyDescent="0.3">
      <c r="A2234" s="25">
        <v>1271</v>
      </c>
      <c r="B2234" s="25" t="str">
        <f>IFERROR(VLOOKUP(Tabela1[[#This Row],[CC]],#REF!,5,0),"")</f>
        <v/>
      </c>
      <c r="C2234" t="str">
        <f>IFERROR(VLOOKUP(Tabela1[[#This Row],[CC]],CC!$A$1:$H$389,7,0),"")</f>
        <v>LIZANDRA PIMENTA</v>
      </c>
      <c r="D2234" t="str">
        <f>IFERROR(VLOOKUP(Tabela1[[#This Row],[CC]],CC!$A$1:$I$3869,3,0),"")</f>
        <v>SEC-BA</v>
      </c>
      <c r="E2234" t="str">
        <f>IFERROR(VLOOKUP(Tabela1[[#This Row],[CC]],CC!$A$1:$H$389,2,0),"")</f>
        <v>SEC SD (1271)</v>
      </c>
      <c r="F2234" t="s">
        <v>586</v>
      </c>
      <c r="G2234" s="110">
        <v>8797</v>
      </c>
      <c r="H2234" s="12">
        <v>45992</v>
      </c>
      <c r="I2234" s="24">
        <v>255597.54</v>
      </c>
      <c r="J2234" s="27">
        <v>238216.91</v>
      </c>
      <c r="K2234" s="3">
        <v>46087</v>
      </c>
      <c r="L2234" s="91">
        <v>46104</v>
      </c>
      <c r="M2234" s="11">
        <v>46108</v>
      </c>
      <c r="N2234" s="18" t="s">
        <v>588</v>
      </c>
      <c r="O2234" s="35"/>
      <c r="P2234" s="26"/>
      <c r="Q2234" t="str">
        <f>IFERROR(VLOOKUP(Tabela1[[#This Row],[CC]],CC!$A$1:$H$389,5,0),"")</f>
        <v>CSA</v>
      </c>
      <c r="R2234" t="str">
        <f>IFERROR(VLOOKUP(Tabela1[[#This Row],[CC]],CC!$A$1:$H$389,6,0),"")</f>
        <v>PS</v>
      </c>
      <c r="S2234" t="str">
        <f>IFERROR(VLOOKUP(Tabela1[[#This Row],[CC]],CC!$A$1:$H$403,8,0),"")</f>
        <v>OP3</v>
      </c>
    </row>
    <row r="2235" spans="1:19" x14ac:dyDescent="0.3">
      <c r="A2235" s="25">
        <v>1271</v>
      </c>
      <c r="B2235" s="25" t="str">
        <f>IFERROR(VLOOKUP(Tabela1[[#This Row],[CC]],#REF!,5,0),"")</f>
        <v/>
      </c>
      <c r="C2235" t="str">
        <f>IFERROR(VLOOKUP(Tabela1[[#This Row],[CC]],CC!$A$1:$H$389,7,0),"")</f>
        <v>LIZANDRA PIMENTA</v>
      </c>
      <c r="D2235" t="str">
        <f>IFERROR(VLOOKUP(Tabela1[[#This Row],[CC]],CC!$A$1:$I$3869,3,0),"")</f>
        <v>SEC-BA</v>
      </c>
      <c r="E2235" t="str">
        <f>IFERROR(VLOOKUP(Tabela1[[#This Row],[CC]],CC!$A$1:$H$389,2,0),"")</f>
        <v>SEC SD (1271)</v>
      </c>
      <c r="F2235" t="s">
        <v>586</v>
      </c>
      <c r="G2235" s="110">
        <v>8832</v>
      </c>
      <c r="H2235" s="12">
        <v>46054</v>
      </c>
      <c r="I2235" s="27">
        <v>255597.54</v>
      </c>
      <c r="J2235" s="24">
        <v>238216.91</v>
      </c>
      <c r="K2235" s="3">
        <v>46106</v>
      </c>
      <c r="L2235" s="91">
        <v>46118</v>
      </c>
      <c r="M2235" s="11">
        <v>46118</v>
      </c>
      <c r="N2235" s="18" t="s">
        <v>588</v>
      </c>
      <c r="O2235" s="24"/>
      <c r="P2235" s="24"/>
      <c r="Q2235" t="str">
        <f>IFERROR(VLOOKUP(Tabela1[[#This Row],[CC]],CC!$A$1:$H$389,5,0),"")</f>
        <v>CSA</v>
      </c>
      <c r="R2235" t="str">
        <f>IFERROR(VLOOKUP(Tabela1[[#This Row],[CC]],CC!$A$1:$H$389,6,0),"")</f>
        <v>PS</v>
      </c>
      <c r="S2235" t="str">
        <f>IFERROR(VLOOKUP(Tabela1[[#This Row],[CC]],CC!$A$1:$H$403,8,0),"")</f>
        <v>OP3</v>
      </c>
    </row>
    <row r="2236" spans="1:19" x14ac:dyDescent="0.3">
      <c r="A2236" s="25">
        <v>1271</v>
      </c>
      <c r="B2236" s="25" t="str">
        <f>IFERROR(VLOOKUP(Tabela1[[#This Row],[CC]],#REF!,5,0),"")</f>
        <v/>
      </c>
      <c r="C2236" t="str">
        <f>IFERROR(VLOOKUP(Tabela1[[#This Row],[CC]],CC!$A$1:$H$389,7,0),"")</f>
        <v>LIZANDRA PIMENTA</v>
      </c>
      <c r="D2236" t="str">
        <f>IFERROR(VLOOKUP(Tabela1[[#This Row],[CC]],CC!$A$1:$I$3869,3,0),"")</f>
        <v>SEC-BA</v>
      </c>
      <c r="E2236" t="str">
        <f>IFERROR(VLOOKUP(Tabela1[[#This Row],[CC]],CC!$A$1:$H$389,2,0),"")</f>
        <v>SEC SD (1271)</v>
      </c>
      <c r="F2236" t="s">
        <v>586</v>
      </c>
      <c r="G2236" s="110"/>
      <c r="H2236" s="12">
        <v>46143</v>
      </c>
      <c r="I2236" s="24">
        <v>255597.54</v>
      </c>
      <c r="J2236" s="24"/>
      <c r="K2236" s="3">
        <v>46174</v>
      </c>
      <c r="L2236" s="91">
        <v>46195</v>
      </c>
      <c r="M2236" s="11"/>
      <c r="N2236" s="18" t="s">
        <v>572</v>
      </c>
      <c r="O2236" s="24"/>
      <c r="P2236" s="24"/>
      <c r="Q2236" t="str">
        <f>IFERROR(VLOOKUP(Tabela1[[#This Row],[CC]],CC!$A$1:$H$389,5,0),"")</f>
        <v>CSA</v>
      </c>
      <c r="R2236" t="str">
        <f>IFERROR(VLOOKUP(Tabela1[[#This Row],[CC]],CC!$A$1:$H$389,6,0),"")</f>
        <v>PS</v>
      </c>
      <c r="S2236" t="str">
        <f>IFERROR(VLOOKUP(Tabela1[[#This Row],[CC]],CC!$A$1:$H$403,8,0),"")</f>
        <v>OP3</v>
      </c>
    </row>
    <row r="2237" spans="1:19" x14ac:dyDescent="0.3">
      <c r="A2237" s="25">
        <v>1288</v>
      </c>
      <c r="B2237" s="25" t="str">
        <f>IFERROR(VLOOKUP(Tabela1[[#This Row],[CC]],#REF!,5,0),"")</f>
        <v/>
      </c>
      <c r="C2237" t="str">
        <f>IFERROR(VLOOKUP(Tabela1[[#This Row],[CC]],CC!$A$1:$H$389,7,0),"")</f>
        <v>LIZANDRA PIMENTA</v>
      </c>
      <c r="D2237" t="str">
        <f>IFERROR(VLOOKUP(Tabela1[[#This Row],[CC]],CC!$A$1:$I$3869,3,0),"")</f>
        <v>SEC-BA</v>
      </c>
      <c r="E2237" t="str">
        <f>IFERROR(VLOOKUP(Tabela1[[#This Row],[CC]],CC!$A$1:$H$389,2,0),"")</f>
        <v>SEC BA SISTEMAS  (1288)</v>
      </c>
      <c r="F2237" t="s">
        <v>586</v>
      </c>
      <c r="G2237" s="107">
        <v>8981</v>
      </c>
      <c r="H2237" s="12">
        <v>46082</v>
      </c>
      <c r="I2237" s="24">
        <v>393601.89</v>
      </c>
      <c r="J2237" s="24">
        <v>366836.96</v>
      </c>
      <c r="K2237" s="3">
        <v>46171</v>
      </c>
      <c r="L2237" s="147">
        <v>46181</v>
      </c>
      <c r="M2237" s="11">
        <v>46184</v>
      </c>
      <c r="N2237" s="18" t="s">
        <v>588</v>
      </c>
      <c r="O2237" s="34"/>
      <c r="P2237" s="24"/>
      <c r="Q2237" t="str">
        <f>IFERROR(VLOOKUP(Tabela1[[#This Row],[CC]],CC!$A$1:$H$389,5,0),"")</f>
        <v>ADS</v>
      </c>
      <c r="R2237" t="str">
        <f>IFERROR(VLOOKUP(Tabela1[[#This Row],[CC]],CC!$A$1:$H$389,6,0),"")</f>
        <v>PS</v>
      </c>
      <c r="S2237" t="str">
        <f>IFERROR(VLOOKUP(Tabela1[[#This Row],[CC]],CC!$A$1:$H$403,8,0),"")</f>
        <v>OP3</v>
      </c>
    </row>
    <row r="2238" spans="1:19" x14ac:dyDescent="0.3">
      <c r="A2238" s="25">
        <v>1289</v>
      </c>
      <c r="B2238" s="25" t="str">
        <f>IFERROR(VLOOKUP(Tabela1[[#This Row],[CC]],#REF!,5,0),"")</f>
        <v/>
      </c>
      <c r="C2238" t="str">
        <f>IFERROR(VLOOKUP(Tabela1[[#This Row],[CC]],CC!$A$1:$H$389,7,0),"")</f>
        <v>LIZANDRA PIMENTA</v>
      </c>
      <c r="D2238" t="str">
        <f>IFERROR(VLOOKUP(Tabela1[[#This Row],[CC]],CC!$A$1:$I$3869,3,0),"")</f>
        <v>SEC-BA</v>
      </c>
      <c r="E2238" t="str">
        <f>IFERROR(VLOOKUP(Tabela1[[#This Row],[CC]],CC!$A$1:$H$389,2,0),"")</f>
        <v>SEC N3 NOVO (1289)</v>
      </c>
      <c r="F2238" t="s">
        <v>586</v>
      </c>
      <c r="G2238" s="107">
        <v>8982</v>
      </c>
      <c r="H2238" s="12">
        <v>46082</v>
      </c>
      <c r="I2238" s="43">
        <v>301917.75</v>
      </c>
      <c r="J2238" s="27">
        <v>281387.34000000003</v>
      </c>
      <c r="K2238" s="3">
        <v>46171</v>
      </c>
      <c r="L2238" s="147">
        <v>46181</v>
      </c>
      <c r="M2238" s="11">
        <v>46184</v>
      </c>
      <c r="N2238" s="18" t="s">
        <v>588</v>
      </c>
      <c r="O2238" s="34"/>
      <c r="P2238" s="24"/>
      <c r="Q2238" t="str">
        <f>IFERROR(VLOOKUP(Tabela1[[#This Row],[CC]],CC!$A$1:$H$389,5,0),"")</f>
        <v>CSA</v>
      </c>
      <c r="R2238" t="str">
        <f>IFERROR(VLOOKUP(Tabela1[[#This Row],[CC]],CC!$A$1:$H$389,6,0),"")</f>
        <v>PS</v>
      </c>
      <c r="S2238" t="str">
        <f>IFERROR(VLOOKUP(Tabela1[[#This Row],[CC]],CC!$A$1:$H$403,8,0),"")</f>
        <v>OP3</v>
      </c>
    </row>
    <row r="2239" spans="1:19" x14ac:dyDescent="0.3">
      <c r="A2239" s="25">
        <v>1271</v>
      </c>
      <c r="B2239" s="25" t="str">
        <f>IFERROR(VLOOKUP(Tabela1[[#This Row],[CC]],#REF!,5,0),"")</f>
        <v/>
      </c>
      <c r="C2239" t="str">
        <f>IFERROR(VLOOKUP(Tabela1[[#This Row],[CC]],CC!$A$1:$H$389,7,0),"")</f>
        <v>LIZANDRA PIMENTA</v>
      </c>
      <c r="D2239" t="str">
        <f>IFERROR(VLOOKUP(Tabela1[[#This Row],[CC]],CC!$A$1:$I$3869,3,0),"")</f>
        <v>SEC-BA</v>
      </c>
      <c r="E2239" t="str">
        <f>IFERROR(VLOOKUP(Tabela1[[#This Row],[CC]],CC!$A$1:$H$389,2,0),"")</f>
        <v>SEC SD (1271)</v>
      </c>
      <c r="F2239" t="s">
        <v>586</v>
      </c>
      <c r="G2239" s="110"/>
      <c r="H2239" s="12">
        <v>45992</v>
      </c>
      <c r="I2239" s="24">
        <f>511195-255597.54</f>
        <v>255597.46</v>
      </c>
      <c r="J2239" s="24"/>
      <c r="K2239" s="3">
        <v>46113</v>
      </c>
      <c r="L2239" s="91"/>
      <c r="M2239" s="11"/>
      <c r="N2239" s="18" t="s">
        <v>572</v>
      </c>
      <c r="O2239" s="24"/>
      <c r="P2239" s="24"/>
      <c r="Q2239" t="str">
        <f>IFERROR(VLOOKUP(Tabela1[[#This Row],[CC]],CC!$A$1:$H$389,5,0),"")</f>
        <v>CSA</v>
      </c>
      <c r="R2239" t="str">
        <f>IFERROR(VLOOKUP(Tabela1[[#This Row],[CC]],CC!$A$1:$H$389,6,0),"")</f>
        <v>PS</v>
      </c>
      <c r="S2239" t="str">
        <f>IFERROR(VLOOKUP(Tabela1[[#This Row],[CC]],CC!$A$1:$H$403,8,0),"")</f>
        <v>OP3</v>
      </c>
    </row>
    <row r="2240" spans="1:19" x14ac:dyDescent="0.3">
      <c r="A2240" s="8">
        <v>1394</v>
      </c>
      <c r="B2240" s="8" t="str">
        <f>IFERROR(VLOOKUP(Tabela1[[#This Row],[CC]],#REF!,5,0),"")</f>
        <v/>
      </c>
      <c r="C2240" t="str">
        <f>IFERROR(VLOOKUP(Tabela1[[#This Row],[CC]],CC!$A$1:$H$389,7,0),"")</f>
        <v>ANTONIO ALVES</v>
      </c>
      <c r="D2240" t="str">
        <f>IFERROR(VLOOKUP(Tabela1[[#This Row],[CC]],CC!$A$1:$I$3869,3,0),"")</f>
        <v>SEFAZ_BA</v>
      </c>
      <c r="E2240" t="str">
        <f>IFERROR(VLOOKUP(Tabela1[[#This Row],[CC]],CC!$A$1:$H$389,2,0),"")</f>
        <v>SEFAZ - BA DIGITAL CENTER (1394)</v>
      </c>
      <c r="F2240" t="s">
        <v>586</v>
      </c>
      <c r="G2240" s="106">
        <v>8631</v>
      </c>
      <c r="H2240" s="12">
        <v>45962</v>
      </c>
      <c r="I2240" s="24">
        <v>23763.1</v>
      </c>
      <c r="J2240" s="24">
        <v>22147.21</v>
      </c>
      <c r="K2240" s="3">
        <v>45987</v>
      </c>
      <c r="L2240" s="91">
        <v>45992</v>
      </c>
      <c r="M2240" s="5">
        <v>45994</v>
      </c>
      <c r="N2240" s="21" t="s">
        <v>588</v>
      </c>
      <c r="O2240" s="54">
        <v>0</v>
      </c>
      <c r="P2240" s="14"/>
      <c r="Q2240" t="str">
        <f>IFERROR(VLOOKUP(Tabela1[[#This Row],[CC]],CC!$A$1:$H$389,5,0),"")</f>
        <v>CSA</v>
      </c>
      <c r="R2240" t="str">
        <f>IFERROR(VLOOKUP(Tabela1[[#This Row],[CC]],CC!$A$1:$H$389,6,0),"")</f>
        <v>PS</v>
      </c>
      <c r="S2240" t="str">
        <f>IFERROR(VLOOKUP(Tabela1[[#This Row],[CC]],CC!$A$1:$H$403,8,0),"")</f>
        <v>OP4</v>
      </c>
    </row>
    <row r="2241" spans="1:19" x14ac:dyDescent="0.3">
      <c r="A2241" s="8">
        <v>1394</v>
      </c>
      <c r="B2241" s="8" t="str">
        <f>IFERROR(VLOOKUP(Tabela1[[#This Row],[CC]],#REF!,5,0),"")</f>
        <v/>
      </c>
      <c r="C2241" t="str">
        <f>IFERROR(VLOOKUP(Tabela1[[#This Row],[CC]],CC!$A$1:$H$389,7,0),"")</f>
        <v>ANTONIO ALVES</v>
      </c>
      <c r="D2241" t="str">
        <f>IFERROR(VLOOKUP(Tabela1[[#This Row],[CC]],CC!$A$1:$I$3869,3,0),"")</f>
        <v>SEFAZ_BA</v>
      </c>
      <c r="E2241" t="str">
        <f>IFERROR(VLOOKUP(Tabela1[[#This Row],[CC]],CC!$A$1:$H$389,2,0),"")</f>
        <v>SEFAZ - BA DIGITAL CENTER (1394)</v>
      </c>
      <c r="F2241" t="s">
        <v>586</v>
      </c>
      <c r="G2241" s="106">
        <v>8632</v>
      </c>
      <c r="H2241" s="12">
        <v>45962</v>
      </c>
      <c r="I2241" s="24">
        <v>79216.45</v>
      </c>
      <c r="J2241" s="24">
        <v>73829.73</v>
      </c>
      <c r="K2241" s="3">
        <v>45987</v>
      </c>
      <c r="L2241" s="91">
        <v>45992</v>
      </c>
      <c r="M2241" s="5">
        <v>45993</v>
      </c>
      <c r="N2241" s="21" t="s">
        <v>588</v>
      </c>
      <c r="O2241" s="54">
        <v>0</v>
      </c>
      <c r="P2241" s="14"/>
      <c r="Q2241" t="str">
        <f>IFERROR(VLOOKUP(Tabela1[[#This Row],[CC]],CC!$A$1:$H$389,5,0),"")</f>
        <v>CSA</v>
      </c>
      <c r="R2241" t="str">
        <f>IFERROR(VLOOKUP(Tabela1[[#This Row],[CC]],CC!$A$1:$H$389,6,0),"")</f>
        <v>PS</v>
      </c>
      <c r="S2241" t="str">
        <f>IFERROR(VLOOKUP(Tabela1[[#This Row],[CC]],CC!$A$1:$H$403,8,0),"")</f>
        <v>OP4</v>
      </c>
    </row>
    <row r="2242" spans="1:19" x14ac:dyDescent="0.3">
      <c r="A2242" s="8">
        <v>1394</v>
      </c>
      <c r="B2242" s="8" t="str">
        <f>IFERROR(VLOOKUP(Tabela1[[#This Row],[CC]],#REF!,5,0),"")</f>
        <v/>
      </c>
      <c r="C2242" t="str">
        <f>IFERROR(VLOOKUP(Tabela1[[#This Row],[CC]],CC!$A$1:$H$389,7,0),"")</f>
        <v>ANTONIO ALVES</v>
      </c>
      <c r="D2242" t="str">
        <f>IFERROR(VLOOKUP(Tabela1[[#This Row],[CC]],CC!$A$1:$I$3869,3,0),"")</f>
        <v>SEFAZ_BA</v>
      </c>
      <c r="E2242" t="str">
        <f>IFERROR(VLOOKUP(Tabela1[[#This Row],[CC]],CC!$A$1:$H$389,2,0),"")</f>
        <v>SEFAZ - BA DIGITAL CENTER (1394)</v>
      </c>
      <c r="F2242" t="s">
        <v>586</v>
      </c>
      <c r="G2242" s="106">
        <v>8640</v>
      </c>
      <c r="H2242" s="12">
        <v>45931</v>
      </c>
      <c r="I2242" s="24">
        <v>62140.29</v>
      </c>
      <c r="J2242" s="24">
        <v>57914.75</v>
      </c>
      <c r="K2242" s="3">
        <v>45992</v>
      </c>
      <c r="L2242" s="91">
        <v>45999</v>
      </c>
      <c r="M2242" s="5">
        <v>45999</v>
      </c>
      <c r="N2242" s="21" t="s">
        <v>588</v>
      </c>
      <c r="O2242" s="54">
        <v>0</v>
      </c>
      <c r="P2242" s="14"/>
      <c r="Q2242" t="str">
        <f>IFERROR(VLOOKUP(Tabela1[[#This Row],[CC]],CC!$A$1:$H$389,5,0),"")</f>
        <v>CSA</v>
      </c>
      <c r="R2242" t="str">
        <f>IFERROR(VLOOKUP(Tabela1[[#This Row],[CC]],CC!$A$1:$H$389,6,0),"")</f>
        <v>PS</v>
      </c>
      <c r="S2242" t="str">
        <f>IFERROR(VLOOKUP(Tabela1[[#This Row],[CC]],CC!$A$1:$H$403,8,0),"")</f>
        <v>OP4</v>
      </c>
    </row>
    <row r="2243" spans="1:19" x14ac:dyDescent="0.3">
      <c r="A2243" s="8">
        <v>1394</v>
      </c>
      <c r="B2243" s="8" t="str">
        <f>IFERROR(VLOOKUP(Tabela1[[#This Row],[CC]],#REF!,5,0),"")</f>
        <v/>
      </c>
      <c r="C2243" t="str">
        <f>IFERROR(VLOOKUP(Tabela1[[#This Row],[CC]],CC!$A$1:$H$389,7,0),"")</f>
        <v>ANTONIO ALVES</v>
      </c>
      <c r="D2243" t="str">
        <f>IFERROR(VLOOKUP(Tabela1[[#This Row],[CC]],CC!$A$1:$I$3869,3,0),"")</f>
        <v>SEFAZ_BA</v>
      </c>
      <c r="E2243" t="str">
        <f>IFERROR(VLOOKUP(Tabela1[[#This Row],[CC]],CC!$A$1:$H$389,2,0),"")</f>
        <v>SEFAZ - BA DIGITAL CENTER (1394)</v>
      </c>
      <c r="F2243" t="s">
        <v>586</v>
      </c>
      <c r="G2243" s="106">
        <v>8641</v>
      </c>
      <c r="H2243" s="12">
        <v>45931</v>
      </c>
      <c r="I2243" s="24">
        <v>4827.05</v>
      </c>
      <c r="J2243" s="24">
        <v>4498.8100000000004</v>
      </c>
      <c r="K2243" s="3">
        <v>45992</v>
      </c>
      <c r="L2243" s="91">
        <v>46013</v>
      </c>
      <c r="M2243" s="5">
        <v>46013</v>
      </c>
      <c r="N2243" s="21" t="s">
        <v>588</v>
      </c>
      <c r="O2243" s="54">
        <v>0</v>
      </c>
      <c r="P2243" s="14"/>
      <c r="Q2243" t="str">
        <f>IFERROR(VLOOKUP(Tabela1[[#This Row],[CC]],CC!$A$1:$H$389,5,0),"")</f>
        <v>CSA</v>
      </c>
      <c r="R2243" t="str">
        <f>IFERROR(VLOOKUP(Tabela1[[#This Row],[CC]],CC!$A$1:$H$389,6,0),"")</f>
        <v>PS</v>
      </c>
      <c r="S2243" t="str">
        <f>IFERROR(VLOOKUP(Tabela1[[#This Row],[CC]],CC!$A$1:$H$403,8,0),"")</f>
        <v>OP4</v>
      </c>
    </row>
    <row r="2244" spans="1:19" x14ac:dyDescent="0.3">
      <c r="A2244" s="8">
        <v>1394</v>
      </c>
      <c r="B2244" s="8" t="str">
        <f>IFERROR(VLOOKUP(Tabela1[[#This Row],[CC]],#REF!,5,0),"")</f>
        <v/>
      </c>
      <c r="C2244" t="str">
        <f>IFERROR(VLOOKUP(Tabela1[[#This Row],[CC]],CC!$A$1:$H$389,7,0),"")</f>
        <v>ANTONIO ALVES</v>
      </c>
      <c r="D2244" t="str">
        <f>IFERROR(VLOOKUP(Tabela1[[#This Row],[CC]],CC!$A$1:$I$3869,3,0),"")</f>
        <v>SEFAZ_BA</v>
      </c>
      <c r="E2244" t="str">
        <f>IFERROR(VLOOKUP(Tabela1[[#This Row],[CC]],CC!$A$1:$H$389,2,0),"")</f>
        <v>SEFAZ - BA DIGITAL CENTER (1394)</v>
      </c>
      <c r="F2244" t="s">
        <v>586</v>
      </c>
      <c r="G2244" s="106">
        <v>8659</v>
      </c>
      <c r="H2244" s="12">
        <v>45962</v>
      </c>
      <c r="I2244" s="24">
        <v>123531.76</v>
      </c>
      <c r="J2244" s="24">
        <v>115131.6</v>
      </c>
      <c r="K2244" s="3">
        <v>45995</v>
      </c>
      <c r="L2244" s="91">
        <v>46006</v>
      </c>
      <c r="M2244" s="5">
        <v>46007</v>
      </c>
      <c r="N2244" s="21" t="s">
        <v>588</v>
      </c>
      <c r="O2244" s="54">
        <v>0</v>
      </c>
      <c r="P2244" s="14"/>
      <c r="Q2244" t="str">
        <f>IFERROR(VLOOKUP(Tabela1[[#This Row],[CC]],CC!$A$1:$H$389,5,0),"")</f>
        <v>CSA</v>
      </c>
      <c r="R2244" t="str">
        <f>IFERROR(VLOOKUP(Tabela1[[#This Row],[CC]],CC!$A$1:$H$389,6,0),"")</f>
        <v>PS</v>
      </c>
      <c r="S2244" t="str">
        <f>IFERROR(VLOOKUP(Tabela1[[#This Row],[CC]],CC!$A$1:$H$403,8,0),"")</f>
        <v>OP4</v>
      </c>
    </row>
    <row r="2245" spans="1:19" x14ac:dyDescent="0.3">
      <c r="A2245" s="8">
        <v>1394</v>
      </c>
      <c r="B2245" s="8" t="str">
        <f>IFERROR(VLOOKUP(Tabela1[[#This Row],[CC]],#REF!,5,0),"")</f>
        <v/>
      </c>
      <c r="C2245" t="str">
        <f>IFERROR(VLOOKUP(Tabela1[[#This Row],[CC]],CC!$A$1:$H$389,7,0),"")</f>
        <v>ANTONIO ALVES</v>
      </c>
      <c r="D2245" t="str">
        <f>IFERROR(VLOOKUP(Tabela1[[#This Row],[CC]],CC!$A$1:$I$3869,3,0),"")</f>
        <v>SEFAZ_BA</v>
      </c>
      <c r="E2245" t="str">
        <f>IFERROR(VLOOKUP(Tabela1[[#This Row],[CC]],CC!$A$1:$H$389,2,0),"")</f>
        <v>SEFAZ - BA DIGITAL CENTER (1394)</v>
      </c>
      <c r="F2245" t="s">
        <v>586</v>
      </c>
      <c r="G2245" s="106">
        <v>8662</v>
      </c>
      <c r="H2245" s="12">
        <v>45962</v>
      </c>
      <c r="I2245" s="24">
        <v>94087.62</v>
      </c>
      <c r="J2245" s="24">
        <v>87689.66</v>
      </c>
      <c r="K2245" s="3">
        <v>45996</v>
      </c>
      <c r="L2245" s="91">
        <v>46006</v>
      </c>
      <c r="M2245" s="5">
        <v>46007</v>
      </c>
      <c r="N2245" s="21" t="s">
        <v>588</v>
      </c>
      <c r="O2245" s="54">
        <v>0</v>
      </c>
      <c r="P2245" s="14"/>
      <c r="Q2245" t="str">
        <f>IFERROR(VLOOKUP(Tabela1[[#This Row],[CC]],CC!$A$1:$H$389,5,0),"")</f>
        <v>CSA</v>
      </c>
      <c r="R2245" t="str">
        <f>IFERROR(VLOOKUP(Tabela1[[#This Row],[CC]],CC!$A$1:$H$389,6,0),"")</f>
        <v>PS</v>
      </c>
      <c r="S2245" t="str">
        <f>IFERROR(VLOOKUP(Tabela1[[#This Row],[CC]],CC!$A$1:$H$403,8,0),"")</f>
        <v>OP4</v>
      </c>
    </row>
    <row r="2246" spans="1:19" x14ac:dyDescent="0.3">
      <c r="A2246" s="8">
        <v>1394</v>
      </c>
      <c r="B2246" s="8" t="str">
        <f>IFERROR(VLOOKUP(Tabela1[[#This Row],[CC]],#REF!,5,0),"")</f>
        <v/>
      </c>
      <c r="C2246" t="str">
        <f>IFERROR(VLOOKUP(Tabela1[[#This Row],[CC]],CC!$A$1:$H$389,7,0),"")</f>
        <v>ANTONIO ALVES</v>
      </c>
      <c r="D2246" t="str">
        <f>IFERROR(VLOOKUP(Tabela1[[#This Row],[CC]],CC!$A$1:$I$3869,3,0),"")</f>
        <v>SEFAZ_BA</v>
      </c>
      <c r="E2246" t="str">
        <f>IFERROR(VLOOKUP(Tabela1[[#This Row],[CC]],CC!$A$1:$H$389,2,0),"")</f>
        <v>SEFAZ - BA DIGITAL CENTER (1394)</v>
      </c>
      <c r="F2246" t="s">
        <v>586</v>
      </c>
      <c r="G2246" s="106">
        <v>8665</v>
      </c>
      <c r="H2246" s="12">
        <v>45931</v>
      </c>
      <c r="I2246" s="24">
        <v>35604.35</v>
      </c>
      <c r="J2246" s="24">
        <v>33183.25</v>
      </c>
      <c r="K2246" s="3">
        <v>46000</v>
      </c>
      <c r="L2246" s="91">
        <v>46006</v>
      </c>
      <c r="M2246" s="5">
        <v>46009</v>
      </c>
      <c r="N2246" s="21" t="s">
        <v>588</v>
      </c>
      <c r="O2246" s="54">
        <v>0</v>
      </c>
      <c r="P2246" s="14"/>
      <c r="Q2246" t="str">
        <f>IFERROR(VLOOKUP(Tabela1[[#This Row],[CC]],CC!$A$1:$H$389,5,0),"")</f>
        <v>CSA</v>
      </c>
      <c r="R2246" t="str">
        <f>IFERROR(VLOOKUP(Tabela1[[#This Row],[CC]],CC!$A$1:$H$389,6,0),"")</f>
        <v>PS</v>
      </c>
      <c r="S2246" t="str">
        <f>IFERROR(VLOOKUP(Tabela1[[#This Row],[CC]],CC!$A$1:$H$403,8,0),"")</f>
        <v>OP4</v>
      </c>
    </row>
    <row r="2247" spans="1:19" x14ac:dyDescent="0.3">
      <c r="A2247" s="8">
        <v>1394</v>
      </c>
      <c r="B2247" s="8" t="str">
        <f>IFERROR(VLOOKUP(Tabela1[[#This Row],[CC]],#REF!,5,0),"")</f>
        <v/>
      </c>
      <c r="C2247" t="str">
        <f>IFERROR(VLOOKUP(Tabela1[[#This Row],[CC]],CC!$A$1:$H$389,7,0),"")</f>
        <v>ANTONIO ALVES</v>
      </c>
      <c r="D2247" t="str">
        <f>IFERROR(VLOOKUP(Tabela1[[#This Row],[CC]],CC!$A$1:$I$3869,3,0),"")</f>
        <v>SEFAZ_BA</v>
      </c>
      <c r="E2247" t="str">
        <f>IFERROR(VLOOKUP(Tabela1[[#This Row],[CC]],CC!$A$1:$H$389,2,0),"")</f>
        <v>SEFAZ - BA DIGITAL CENTER (1394)</v>
      </c>
      <c r="F2247" t="s">
        <v>586</v>
      </c>
      <c r="G2247" s="106">
        <v>8667</v>
      </c>
      <c r="H2247" s="12">
        <v>45962</v>
      </c>
      <c r="I2247" s="24">
        <v>56251.33</v>
      </c>
      <c r="J2247" s="24">
        <v>52426.239999999998</v>
      </c>
      <c r="K2247" s="3">
        <v>46001</v>
      </c>
      <c r="L2247" s="91">
        <v>46006</v>
      </c>
      <c r="M2247" s="5">
        <v>46009</v>
      </c>
      <c r="N2247" s="21" t="s">
        <v>588</v>
      </c>
      <c r="O2247" s="54">
        <v>0</v>
      </c>
      <c r="P2247" s="14"/>
      <c r="Q2247" t="str">
        <f>IFERROR(VLOOKUP(Tabela1[[#This Row],[CC]],CC!$A$1:$H$389,5,0),"")</f>
        <v>CSA</v>
      </c>
      <c r="R2247" t="str">
        <f>IFERROR(VLOOKUP(Tabela1[[#This Row],[CC]],CC!$A$1:$H$389,6,0),"")</f>
        <v>PS</v>
      </c>
      <c r="S2247" t="str">
        <f>IFERROR(VLOOKUP(Tabela1[[#This Row],[CC]],CC!$A$1:$H$403,8,0),"")</f>
        <v>OP4</v>
      </c>
    </row>
    <row r="2248" spans="1:19" x14ac:dyDescent="0.3">
      <c r="A2248" s="8">
        <v>1394</v>
      </c>
      <c r="B2248" s="8" t="str">
        <f>IFERROR(VLOOKUP(Tabela1[[#This Row],[CC]],#REF!,5,0),"")</f>
        <v/>
      </c>
      <c r="C2248" t="str">
        <f>IFERROR(VLOOKUP(Tabela1[[#This Row],[CC]],CC!$A$1:$H$389,7,0),"")</f>
        <v>ANTONIO ALVES</v>
      </c>
      <c r="D2248" t="str">
        <f>IFERROR(VLOOKUP(Tabela1[[#This Row],[CC]],CC!$A$1:$I$3869,3,0),"")</f>
        <v>SEFAZ_BA</v>
      </c>
      <c r="E2248" t="str">
        <f>IFERROR(VLOOKUP(Tabela1[[#This Row],[CC]],CC!$A$1:$H$389,2,0),"")</f>
        <v>SEFAZ - BA DIGITAL CENTER (1394)</v>
      </c>
      <c r="F2248" t="s">
        <v>586</v>
      </c>
      <c r="G2248" s="106">
        <v>8672</v>
      </c>
      <c r="H2248" s="12">
        <v>45962</v>
      </c>
      <c r="I2248" s="24">
        <v>192811.59</v>
      </c>
      <c r="J2248" s="27">
        <v>179700.4</v>
      </c>
      <c r="K2248" s="3">
        <v>46001</v>
      </c>
      <c r="L2248" s="91">
        <v>46006</v>
      </c>
      <c r="M2248" s="5">
        <v>46010</v>
      </c>
      <c r="N2248" s="21" t="s">
        <v>588</v>
      </c>
      <c r="O2248" s="54">
        <v>0</v>
      </c>
      <c r="P2248" s="14"/>
      <c r="Q2248" t="str">
        <f>IFERROR(VLOOKUP(Tabela1[[#This Row],[CC]],CC!$A$1:$H$389,5,0),"")</f>
        <v>CSA</v>
      </c>
      <c r="R2248" t="str">
        <f>IFERROR(VLOOKUP(Tabela1[[#This Row],[CC]],CC!$A$1:$H$389,6,0),"")</f>
        <v>PS</v>
      </c>
      <c r="S2248" t="str">
        <f>IFERROR(VLOOKUP(Tabela1[[#This Row],[CC]],CC!$A$1:$H$403,8,0),"")</f>
        <v>OP4</v>
      </c>
    </row>
    <row r="2249" spans="1:19" x14ac:dyDescent="0.3">
      <c r="A2249" s="25">
        <v>1394</v>
      </c>
      <c r="B2249" s="25" t="str">
        <f>IFERROR(VLOOKUP(Tabela1[[#This Row],[CC]],#REF!,5,0),"")</f>
        <v/>
      </c>
      <c r="C2249" t="str">
        <f>IFERROR(VLOOKUP(Tabela1[[#This Row],[CC]],CC!$A$1:$H$389,7,0),"")</f>
        <v>ANTONIO ALVES</v>
      </c>
      <c r="D2249" t="str">
        <f>IFERROR(VLOOKUP(Tabela1[[#This Row],[CC]],CC!$A$1:$I$3869,3,0),"")</f>
        <v>SEFAZ_BA</v>
      </c>
      <c r="E2249" t="str">
        <f>IFERROR(VLOOKUP(Tabela1[[#This Row],[CC]],CC!$A$1:$H$389,2,0),"")</f>
        <v>SEFAZ - BA DIGITAL CENTER (1394)</v>
      </c>
      <c r="F2249" t="s">
        <v>586</v>
      </c>
      <c r="G2249" s="110">
        <v>8679</v>
      </c>
      <c r="H2249" s="12">
        <v>45931</v>
      </c>
      <c r="I2249" s="24">
        <v>61430.32</v>
      </c>
      <c r="J2249" s="24">
        <v>57253.05</v>
      </c>
      <c r="K2249" s="3">
        <v>46002</v>
      </c>
      <c r="L2249" s="91">
        <v>46006</v>
      </c>
      <c r="M2249" s="29">
        <v>46009</v>
      </c>
      <c r="N2249" s="21" t="s">
        <v>588</v>
      </c>
      <c r="O2249" s="38">
        <v>0</v>
      </c>
      <c r="P2249" s="26"/>
      <c r="Q2249" t="str">
        <f>IFERROR(VLOOKUP(Tabela1[[#This Row],[CC]],CC!$A$1:$H$389,5,0),"")</f>
        <v>CSA</v>
      </c>
      <c r="R2249" t="str">
        <f>IFERROR(VLOOKUP(Tabela1[[#This Row],[CC]],CC!$A$1:$H$389,6,0),"")</f>
        <v>PS</v>
      </c>
      <c r="S2249" t="str">
        <f>IFERROR(VLOOKUP(Tabela1[[#This Row],[CC]],CC!$A$1:$H$403,8,0),"")</f>
        <v>OP4</v>
      </c>
    </row>
    <row r="2250" spans="1:19" x14ac:dyDescent="0.3">
      <c r="A2250" s="25">
        <v>1394</v>
      </c>
      <c r="B2250" s="25" t="str">
        <f>IFERROR(VLOOKUP(Tabela1[[#This Row],[CC]],#REF!,5,0),"")</f>
        <v/>
      </c>
      <c r="C2250" t="str">
        <f>IFERROR(VLOOKUP(Tabela1[[#This Row],[CC]],CC!$A$1:$H$389,7,0),"")</f>
        <v>ANTONIO ALVES</v>
      </c>
      <c r="D2250" t="str">
        <f>IFERROR(VLOOKUP(Tabela1[[#This Row],[CC]],CC!$A$1:$I$3869,3,0),"")</f>
        <v>SEFAZ_BA</v>
      </c>
      <c r="E2250" t="str">
        <f>IFERROR(VLOOKUP(Tabela1[[#This Row],[CC]],CC!$A$1:$H$389,2,0),"")</f>
        <v>SEFAZ - BA DIGITAL CENTER (1394)</v>
      </c>
      <c r="F2250" t="s">
        <v>586</v>
      </c>
      <c r="G2250" s="110">
        <v>8680</v>
      </c>
      <c r="H2250" s="12">
        <v>45931</v>
      </c>
      <c r="I2250" s="24">
        <v>246181.25</v>
      </c>
      <c r="J2250" s="27">
        <v>229440.92</v>
      </c>
      <c r="K2250" s="3">
        <v>46002</v>
      </c>
      <c r="L2250" s="91">
        <v>46006</v>
      </c>
      <c r="M2250" s="5">
        <v>46010</v>
      </c>
      <c r="N2250" s="21" t="s">
        <v>588</v>
      </c>
      <c r="O2250" s="38">
        <v>0</v>
      </c>
      <c r="P2250" s="26"/>
      <c r="Q2250" t="str">
        <f>IFERROR(VLOOKUP(Tabela1[[#This Row],[CC]],CC!$A$1:$H$389,5,0),"")</f>
        <v>CSA</v>
      </c>
      <c r="R2250" t="str">
        <f>IFERROR(VLOOKUP(Tabela1[[#This Row],[CC]],CC!$A$1:$H$389,6,0),"")</f>
        <v>PS</v>
      </c>
      <c r="S2250" t="str">
        <f>IFERROR(VLOOKUP(Tabela1[[#This Row],[CC]],CC!$A$1:$H$403,8,0),"")</f>
        <v>OP4</v>
      </c>
    </row>
    <row r="2251" spans="1:19" x14ac:dyDescent="0.3">
      <c r="A2251" s="8">
        <v>1394</v>
      </c>
      <c r="B2251" s="8" t="str">
        <f>IFERROR(VLOOKUP(Tabela1[[#This Row],[CC]],#REF!,5,0),"")</f>
        <v/>
      </c>
      <c r="C2251" t="str">
        <f>IFERROR(VLOOKUP(Tabela1[[#This Row],[CC]],CC!$A$1:$H$389,7,0),"")</f>
        <v>ANTONIO ALVES</v>
      </c>
      <c r="D2251" t="str">
        <f>IFERROR(VLOOKUP(Tabela1[[#This Row],[CC]],CC!$A$1:$I$3869,3,0),"")</f>
        <v>SEFAZ_BA</v>
      </c>
      <c r="E2251" t="str">
        <f>IFERROR(VLOOKUP(Tabela1[[#This Row],[CC]],CC!$A$1:$H$389,2,0),"")</f>
        <v>SEFAZ - BA DIGITAL CENTER (1394)</v>
      </c>
      <c r="F2251" t="s">
        <v>586</v>
      </c>
      <c r="G2251" s="106">
        <v>8685</v>
      </c>
      <c r="H2251" s="12">
        <v>45962</v>
      </c>
      <c r="I2251" s="24">
        <v>313649.51</v>
      </c>
      <c r="J2251" s="24">
        <v>292321.34000000003</v>
      </c>
      <c r="K2251" s="3">
        <v>46003</v>
      </c>
      <c r="L2251" s="91">
        <v>46006</v>
      </c>
      <c r="M2251" s="5">
        <v>46010</v>
      </c>
      <c r="N2251" s="21" t="s">
        <v>588</v>
      </c>
      <c r="O2251" s="54">
        <v>0</v>
      </c>
      <c r="P2251" s="14"/>
      <c r="Q2251" t="str">
        <f>IFERROR(VLOOKUP(Tabela1[[#This Row],[CC]],CC!$A$1:$H$389,5,0),"")</f>
        <v>CSA</v>
      </c>
      <c r="R2251" t="str">
        <f>IFERROR(VLOOKUP(Tabela1[[#This Row],[CC]],CC!$A$1:$H$389,6,0),"")</f>
        <v>PS</v>
      </c>
      <c r="S2251" t="str">
        <f>IFERROR(VLOOKUP(Tabela1[[#This Row],[CC]],CC!$A$1:$H$403,8,0),"")</f>
        <v>OP4</v>
      </c>
    </row>
    <row r="2252" spans="1:19" x14ac:dyDescent="0.3">
      <c r="A2252" s="8">
        <v>1394</v>
      </c>
      <c r="B2252" s="8" t="str">
        <f>IFERROR(VLOOKUP(Tabela1[[#This Row],[CC]],#REF!,5,0),"")</f>
        <v/>
      </c>
      <c r="C2252" t="str">
        <f>IFERROR(VLOOKUP(Tabela1[[#This Row],[CC]],CC!$A$1:$H$389,7,0),"")</f>
        <v>ANTONIO ALVES</v>
      </c>
      <c r="D2252" t="str">
        <f>IFERROR(VLOOKUP(Tabela1[[#This Row],[CC]],CC!$A$1:$I$3869,3,0),"")</f>
        <v>SEFAZ_BA</v>
      </c>
      <c r="E2252" t="str">
        <f>IFERROR(VLOOKUP(Tabela1[[#This Row],[CC]],CC!$A$1:$H$389,2,0),"")</f>
        <v>SEFAZ - BA DIGITAL CENTER (1394)</v>
      </c>
      <c r="F2252" t="s">
        <v>586</v>
      </c>
      <c r="G2252" s="106">
        <v>8686</v>
      </c>
      <c r="H2252" s="12">
        <v>45962</v>
      </c>
      <c r="I2252" s="24">
        <v>140971.81</v>
      </c>
      <c r="J2252" s="24">
        <v>131385.72</v>
      </c>
      <c r="K2252" s="3">
        <v>46003</v>
      </c>
      <c r="L2252" s="91">
        <v>46006</v>
      </c>
      <c r="M2252" s="5">
        <v>46010</v>
      </c>
      <c r="N2252" s="21" t="s">
        <v>588</v>
      </c>
      <c r="O2252" s="54">
        <v>0</v>
      </c>
      <c r="P2252" s="14"/>
      <c r="Q2252" t="str">
        <f>IFERROR(VLOOKUP(Tabela1[[#This Row],[CC]],CC!$A$1:$H$389,5,0),"")</f>
        <v>CSA</v>
      </c>
      <c r="R2252" t="str">
        <f>IFERROR(VLOOKUP(Tabela1[[#This Row],[CC]],CC!$A$1:$H$389,6,0),"")</f>
        <v>PS</v>
      </c>
      <c r="S2252" t="str">
        <f>IFERROR(VLOOKUP(Tabela1[[#This Row],[CC]],CC!$A$1:$H$403,8,0),"")</f>
        <v>OP4</v>
      </c>
    </row>
    <row r="2253" spans="1:19" x14ac:dyDescent="0.3">
      <c r="A2253" s="8">
        <v>1394</v>
      </c>
      <c r="B2253" s="8" t="str">
        <f>IFERROR(VLOOKUP(Tabela1[[#This Row],[CC]],#REF!,5,0),"")</f>
        <v/>
      </c>
      <c r="C2253" t="str">
        <f>IFERROR(VLOOKUP(Tabela1[[#This Row],[CC]],CC!$A$1:$H$389,7,0),"")</f>
        <v>ANTONIO ALVES</v>
      </c>
      <c r="D2253" t="str">
        <f>IFERROR(VLOOKUP(Tabela1[[#This Row],[CC]],CC!$A$1:$I$3869,3,0),"")</f>
        <v>SEFAZ_BA</v>
      </c>
      <c r="E2253" t="str">
        <f>IFERROR(VLOOKUP(Tabela1[[#This Row],[CC]],CC!$A$1:$H$389,2,0),"")</f>
        <v>SEFAZ - BA DIGITAL CENTER (1394)</v>
      </c>
      <c r="F2253" t="s">
        <v>586</v>
      </c>
      <c r="G2253" s="106">
        <v>8687</v>
      </c>
      <c r="H2253" s="12">
        <v>45962</v>
      </c>
      <c r="I2253" s="24">
        <v>246181.25</v>
      </c>
      <c r="J2253" s="27">
        <v>229440.92</v>
      </c>
      <c r="K2253" s="3">
        <v>46003</v>
      </c>
      <c r="L2253" s="91">
        <v>46006</v>
      </c>
      <c r="M2253" s="5">
        <v>46010</v>
      </c>
      <c r="N2253" s="21" t="s">
        <v>588</v>
      </c>
      <c r="O2253" s="54">
        <v>0</v>
      </c>
      <c r="P2253" s="14"/>
      <c r="Q2253" t="str">
        <f>IFERROR(VLOOKUP(Tabela1[[#This Row],[CC]],CC!$A$1:$H$389,5,0),"")</f>
        <v>CSA</v>
      </c>
      <c r="R2253" t="str">
        <f>IFERROR(VLOOKUP(Tabela1[[#This Row],[CC]],CC!$A$1:$H$389,6,0),"")</f>
        <v>PS</v>
      </c>
      <c r="S2253" t="str">
        <f>IFERROR(VLOOKUP(Tabela1[[#This Row],[CC]],CC!$A$1:$H$403,8,0),"")</f>
        <v>OP4</v>
      </c>
    </row>
    <row r="2254" spans="1:19" x14ac:dyDescent="0.3">
      <c r="A2254" s="8">
        <v>1518</v>
      </c>
      <c r="B2254" s="8" t="str">
        <f>IFERROR(VLOOKUP(Tabela1[[#This Row],[CC]],#REF!,5,0),"")</f>
        <v/>
      </c>
      <c r="C2254" t="str">
        <f>IFERROR(VLOOKUP(Tabela1[[#This Row],[CC]],CC!$A$1:$H$389,7,0),"")</f>
        <v>ANTONIO ALVES</v>
      </c>
      <c r="D2254" t="str">
        <f>IFERROR(VLOOKUP(Tabela1[[#This Row],[CC]],CC!$A$1:$I$3869,3,0),"")</f>
        <v>SEFAZ_BA</v>
      </c>
      <c r="E2254" t="str">
        <f>IFERROR(VLOOKUP(Tabela1[[#This Row],[CC]],CC!$A$1:$H$389,2,0),"")</f>
        <v>SEFAZ - BA ADS (1518)</v>
      </c>
      <c r="F2254" t="s">
        <v>586</v>
      </c>
      <c r="G2254" s="106">
        <v>8696</v>
      </c>
      <c r="H2254" s="12">
        <v>45962</v>
      </c>
      <c r="I2254" s="24">
        <v>135321.62</v>
      </c>
      <c r="J2254" s="24">
        <v>126119.75</v>
      </c>
      <c r="K2254" s="3">
        <v>46008</v>
      </c>
      <c r="L2254" s="91">
        <v>46013</v>
      </c>
      <c r="M2254" s="5">
        <v>46014</v>
      </c>
      <c r="N2254" s="21" t="s">
        <v>588</v>
      </c>
      <c r="O2254" s="54"/>
      <c r="P2254" s="14"/>
      <c r="Q2254" t="str">
        <f>IFERROR(VLOOKUP(Tabela1[[#This Row],[CC]],CC!$A$1:$H$389,5,0),"")</f>
        <v>ADS</v>
      </c>
      <c r="R2254" t="str">
        <f>IFERROR(VLOOKUP(Tabela1[[#This Row],[CC]],CC!$A$1:$H$389,6,0),"")</f>
        <v>PS</v>
      </c>
      <c r="S2254" t="str">
        <f>IFERROR(VLOOKUP(Tabela1[[#This Row],[CC]],CC!$A$1:$H$403,8,0),"")</f>
        <v>OP4</v>
      </c>
    </row>
    <row r="2255" spans="1:19" x14ac:dyDescent="0.3">
      <c r="A2255" s="8">
        <v>1518</v>
      </c>
      <c r="B2255" s="8" t="str">
        <f>IFERROR(VLOOKUP(Tabela1[[#This Row],[CC]],#REF!,5,0),"")</f>
        <v/>
      </c>
      <c r="C2255" t="str">
        <f>IFERROR(VLOOKUP(Tabela1[[#This Row],[CC]],CC!$A$1:$H$389,7,0),"")</f>
        <v>ANTONIO ALVES</v>
      </c>
      <c r="D2255" t="str">
        <f>IFERROR(VLOOKUP(Tabela1[[#This Row],[CC]],CC!$A$1:$I$3869,3,0),"")</f>
        <v>SEFAZ_BA</v>
      </c>
      <c r="E2255" t="str">
        <f>IFERROR(VLOOKUP(Tabela1[[#This Row],[CC]],CC!$A$1:$H$389,2,0),"")</f>
        <v>SEFAZ - BA ADS (1518)</v>
      </c>
      <c r="F2255" t="s">
        <v>586</v>
      </c>
      <c r="G2255" s="133">
        <v>8821</v>
      </c>
      <c r="H2255" s="12">
        <v>46054</v>
      </c>
      <c r="I2255" s="24">
        <v>120639.66</v>
      </c>
      <c r="J2255" s="27">
        <f>Tabela1[[#This Row],[VL. FATURADO]]*0.931999984893331</f>
        <v>112436.1612975366</v>
      </c>
      <c r="K2255" s="3">
        <v>46101</v>
      </c>
      <c r="L2255" s="91">
        <v>46104</v>
      </c>
      <c r="M2255" s="5">
        <v>46108</v>
      </c>
      <c r="N2255" s="21" t="s">
        <v>588</v>
      </c>
      <c r="O2255" s="54"/>
      <c r="P2255" s="14"/>
      <c r="Q2255" t="str">
        <f>IFERROR(VLOOKUP(Tabela1[[#This Row],[CC]],CC!$A$1:$H$389,5,0),"")</f>
        <v>ADS</v>
      </c>
      <c r="R2255" t="str">
        <f>IFERROR(VLOOKUP(Tabela1[[#This Row],[CC]],CC!$A$1:$H$389,6,0),"")</f>
        <v>PS</v>
      </c>
      <c r="S2255" t="str">
        <f>IFERROR(VLOOKUP(Tabela1[[#This Row],[CC]],CC!$A$1:$H$403,8,0),"")</f>
        <v>OP4</v>
      </c>
    </row>
    <row r="2256" spans="1:19" x14ac:dyDescent="0.3">
      <c r="A2256" s="8">
        <v>1518</v>
      </c>
      <c r="B2256" s="8" t="str">
        <f>IFERROR(VLOOKUP(Tabela1[[#This Row],[CC]],#REF!,5,0),"")</f>
        <v/>
      </c>
      <c r="C2256" t="str">
        <f>IFERROR(VLOOKUP(Tabela1[[#This Row],[CC]],CC!$A$1:$H$389,7,0),"")</f>
        <v>ANTONIO ALVES</v>
      </c>
      <c r="D2256" t="str">
        <f>IFERROR(VLOOKUP(Tabela1[[#This Row],[CC]],CC!$A$1:$I$3869,3,0),"")</f>
        <v>SEFAZ_BA</v>
      </c>
      <c r="E2256" t="str">
        <f>IFERROR(VLOOKUP(Tabela1[[#This Row],[CC]],CC!$A$1:$H$389,2,0),"")</f>
        <v>SEFAZ - BA ADS (1518)</v>
      </c>
      <c r="F2256" t="s">
        <v>586</v>
      </c>
      <c r="G2256" s="106">
        <v>8839</v>
      </c>
      <c r="H2256" s="140">
        <v>46082</v>
      </c>
      <c r="I2256" s="27">
        <v>71463.960000000006</v>
      </c>
      <c r="J2256" s="27">
        <f>Tabela1[[#This Row],[VL. FATURADO]]*0.932</f>
        <v>66604.410720000014</v>
      </c>
      <c r="K2256" s="3">
        <v>46114</v>
      </c>
      <c r="L2256" s="91">
        <v>46125</v>
      </c>
      <c r="M2256" s="5">
        <v>46125</v>
      </c>
      <c r="N2256" s="21" t="s">
        <v>588</v>
      </c>
      <c r="O2256" s="54"/>
      <c r="P2256" s="14"/>
      <c r="Q2256" t="str">
        <f>IFERROR(VLOOKUP(Tabela1[[#This Row],[CC]],CC!$A$1:$H$389,5,0),"")</f>
        <v>ADS</v>
      </c>
      <c r="R2256" t="str">
        <f>IFERROR(VLOOKUP(Tabela1[[#This Row],[CC]],CC!$A$1:$H$389,6,0),"")</f>
        <v>PS</v>
      </c>
      <c r="S2256" t="str">
        <f>IFERROR(VLOOKUP(Tabela1[[#This Row],[CC]],CC!$A$1:$H$403,8,0),"")</f>
        <v>OP4</v>
      </c>
    </row>
    <row r="2257" spans="1:19" x14ac:dyDescent="0.3">
      <c r="A2257" s="25">
        <v>1299</v>
      </c>
      <c r="B2257" s="25" t="str">
        <f>IFERROR(VLOOKUP(Tabela1[[#This Row],[CC]],#REF!,5,0),"")</f>
        <v/>
      </c>
      <c r="C2257" t="str">
        <f>IFERROR(VLOOKUP(Tabela1[[#This Row],[CC]],CC!$A$1:$H$389,7,0),"")</f>
        <v>LIZANDRA PIMENTA</v>
      </c>
      <c r="D2257" t="str">
        <f>IFERROR(VLOOKUP(Tabela1[[#This Row],[CC]],CC!$A$1:$I$3869,3,0),"")</f>
        <v>SEC-BA</v>
      </c>
      <c r="E2257" t="str">
        <f>IFERROR(VLOOKUP(Tabela1[[#This Row],[CC]],CC!$A$1:$H$389,2,0),"")</f>
        <v>SEC SIGEDUC (1299)</v>
      </c>
      <c r="F2257" t="s">
        <v>586</v>
      </c>
      <c r="H2257" s="12">
        <v>46113</v>
      </c>
      <c r="I2257" s="24">
        <v>1105415</v>
      </c>
      <c r="J2257" s="24"/>
      <c r="K2257" s="3">
        <v>46174</v>
      </c>
      <c r="L2257" s="91">
        <v>46195</v>
      </c>
      <c r="M2257" s="11"/>
      <c r="N2257" s="18" t="s">
        <v>572</v>
      </c>
      <c r="O2257" s="67"/>
      <c r="P2257" s="26"/>
      <c r="Q2257" t="str">
        <f>IFERROR(VLOOKUP(Tabela1[[#This Row],[CC]],CC!$A$1:$H$389,5,0),"")</f>
        <v>ADS</v>
      </c>
      <c r="R2257" t="str">
        <f>IFERROR(VLOOKUP(Tabela1[[#This Row],[CC]],CC!$A$1:$H$389,6,0),"")</f>
        <v>PS</v>
      </c>
      <c r="S2257" t="str">
        <f>IFERROR(VLOOKUP(Tabela1[[#This Row],[CC]],CC!$A$1:$H$403,8,0),"")</f>
        <v>OP3</v>
      </c>
    </row>
    <row r="2258" spans="1:19" x14ac:dyDescent="0.3">
      <c r="A2258" s="8">
        <v>1518</v>
      </c>
      <c r="B2258" s="8" t="str">
        <f>IFERROR(VLOOKUP(Tabela1[[#This Row],[CC]],#REF!,5,0),"")</f>
        <v/>
      </c>
      <c r="C2258" t="str">
        <f>IFERROR(VLOOKUP(Tabela1[[#This Row],[CC]],CC!$A$1:$H$389,7,0),"")</f>
        <v>ANTONIO ALVES</v>
      </c>
      <c r="D2258" t="str">
        <f>IFERROR(VLOOKUP(Tabela1[[#This Row],[CC]],CC!$A$1:$I$3869,3,0),"")</f>
        <v>SEFAZ_BA</v>
      </c>
      <c r="E2258" t="str">
        <f>IFERROR(VLOOKUP(Tabela1[[#This Row],[CC]],CC!$A$1:$H$389,2,0),"")</f>
        <v>SEFAZ - BA ADS (1518)</v>
      </c>
      <c r="F2258" t="s">
        <v>586</v>
      </c>
      <c r="G2258" s="150">
        <v>8935</v>
      </c>
      <c r="H2258" s="12">
        <v>46113</v>
      </c>
      <c r="I2258" s="24">
        <v>122408.57</v>
      </c>
      <c r="J2258" s="27">
        <v>114084.78475385271</v>
      </c>
      <c r="K2258" s="3">
        <v>46153</v>
      </c>
      <c r="L2258" s="91">
        <v>46167</v>
      </c>
      <c r="M2258" s="5">
        <v>46167</v>
      </c>
      <c r="N2258" s="21" t="s">
        <v>588</v>
      </c>
      <c r="O2258" s="54"/>
      <c r="P2258" s="14"/>
      <c r="Q2258" t="str">
        <f>IFERROR(VLOOKUP(Tabela1[[#This Row],[CC]],CC!$A$1:$H$389,5,0),"")</f>
        <v>ADS</v>
      </c>
      <c r="R2258" t="str">
        <f>IFERROR(VLOOKUP(Tabela1[[#This Row],[CC]],CC!$A$1:$H$389,6,0),"")</f>
        <v>PS</v>
      </c>
      <c r="S2258" t="str">
        <f>IFERROR(VLOOKUP(Tabela1[[#This Row],[CC]],CC!$A$1:$H$403,8,0),"")</f>
        <v>OP4</v>
      </c>
    </row>
    <row r="2259" spans="1:19" x14ac:dyDescent="0.3">
      <c r="A2259" s="8">
        <v>1394</v>
      </c>
      <c r="B2259" s="8" t="str">
        <f>IFERROR(VLOOKUP(Tabela1[[#This Row],[CC]],#REF!,5,0),"")</f>
        <v/>
      </c>
      <c r="C2259" t="str">
        <f>IFERROR(VLOOKUP(Tabela1[[#This Row],[CC]],CC!$A$1:$H$389,7,0),"")</f>
        <v>ANTONIO ALVES</v>
      </c>
      <c r="D2259" t="str">
        <f>IFERROR(VLOOKUP(Tabela1[[#This Row],[CC]],CC!$A$1:$I$3869,3,0),"")</f>
        <v>SEFAZ_BA</v>
      </c>
      <c r="E2259" t="str">
        <f>IFERROR(VLOOKUP(Tabela1[[#This Row],[CC]],CC!$A$1:$H$389,2,0),"")</f>
        <v>SEFAZ - BA DIGITAL CENTER (1394)</v>
      </c>
      <c r="F2259" t="s">
        <v>586</v>
      </c>
      <c r="H2259" s="12">
        <v>45992</v>
      </c>
      <c r="I2259" s="24">
        <f>357689-100000-135322</f>
        <v>122367</v>
      </c>
      <c r="J2259" s="24"/>
      <c r="K2259" s="3">
        <v>46082</v>
      </c>
      <c r="L2259" s="91"/>
      <c r="M2259" s="5"/>
      <c r="N2259" s="21" t="s">
        <v>572</v>
      </c>
      <c r="O2259" s="54"/>
      <c r="P2259" s="14"/>
      <c r="Q2259" t="str">
        <f>IFERROR(VLOOKUP(Tabela1[[#This Row],[CC]],CC!$A$1:$H$389,5,0),"")</f>
        <v>CSA</v>
      </c>
      <c r="R2259" t="str">
        <f>IFERROR(VLOOKUP(Tabela1[[#This Row],[CC]],CC!$A$1:$H$389,6,0),"")</f>
        <v>PS</v>
      </c>
      <c r="S2259" t="str">
        <f>IFERROR(VLOOKUP(Tabela1[[#This Row],[CC]],CC!$A$1:$H$403,8,0),"")</f>
        <v>OP4</v>
      </c>
    </row>
    <row r="2260" spans="1:19" x14ac:dyDescent="0.3">
      <c r="A2260" s="8">
        <v>1394</v>
      </c>
      <c r="B2260" s="8" t="str">
        <f>IFERROR(VLOOKUP(Tabela1[[#This Row],[CC]],#REF!,5,0),"")</f>
        <v/>
      </c>
      <c r="C2260" t="str">
        <f>IFERROR(VLOOKUP(Tabela1[[#This Row],[CC]],CC!$A$1:$H$389,7,0),"")</f>
        <v>ANTONIO ALVES</v>
      </c>
      <c r="D2260" t="str">
        <f>IFERROR(VLOOKUP(Tabela1[[#This Row],[CC]],CC!$A$1:$I$3869,3,0),"")</f>
        <v>SEFAZ_BA</v>
      </c>
      <c r="E2260" t="str">
        <f>IFERROR(VLOOKUP(Tabela1[[#This Row],[CC]],CC!$A$1:$H$389,2,0),"")</f>
        <v>SEFAZ - BA DIGITAL CENTER (1394)</v>
      </c>
      <c r="F2260" t="s">
        <v>586</v>
      </c>
      <c r="G2260" s="106">
        <v>8799</v>
      </c>
      <c r="H2260" s="12">
        <v>46023</v>
      </c>
      <c r="I2260" s="24">
        <v>140971.81</v>
      </c>
      <c r="J2260" s="24">
        <v>131385.72</v>
      </c>
      <c r="K2260" s="3">
        <v>46090</v>
      </c>
      <c r="L2260" s="91">
        <v>46097</v>
      </c>
      <c r="M2260" s="5">
        <v>46098</v>
      </c>
      <c r="N2260" s="21" t="s">
        <v>588</v>
      </c>
      <c r="O2260" s="54"/>
      <c r="P2260" s="14"/>
      <c r="Q2260" t="str">
        <f>IFERROR(VLOOKUP(Tabela1[[#This Row],[CC]],CC!$A$1:$H$389,5,0),"")</f>
        <v>CSA</v>
      </c>
      <c r="R2260" t="str">
        <f>IFERROR(VLOOKUP(Tabela1[[#This Row],[CC]],CC!$A$1:$H$389,6,0),"")</f>
        <v>PS</v>
      </c>
      <c r="S2260" t="str">
        <f>IFERROR(VLOOKUP(Tabela1[[#This Row],[CC]],CC!$A$1:$H$403,8,0),"")</f>
        <v>OP4</v>
      </c>
    </row>
    <row r="2261" spans="1:19" x14ac:dyDescent="0.3">
      <c r="A2261" s="8">
        <v>1394</v>
      </c>
      <c r="B2261" s="8" t="str">
        <f>IFERROR(VLOOKUP(Tabela1[[#This Row],[CC]],#REF!,5,0),"")</f>
        <v/>
      </c>
      <c r="C2261" t="str">
        <f>IFERROR(VLOOKUP(Tabela1[[#This Row],[CC]],CC!$A$1:$H$389,7,0),"")</f>
        <v>ANTONIO ALVES</v>
      </c>
      <c r="D2261" t="str">
        <f>IFERROR(VLOOKUP(Tabela1[[#This Row],[CC]],CC!$A$1:$I$3869,3,0),"")</f>
        <v>SEFAZ_BA</v>
      </c>
      <c r="E2261" t="str">
        <f>IFERROR(VLOOKUP(Tabela1[[#This Row],[CC]],CC!$A$1:$H$389,2,0),"")</f>
        <v>SEFAZ - BA DIGITAL CENTER (1394)</v>
      </c>
      <c r="F2261" t="s">
        <v>586</v>
      </c>
      <c r="G2261" s="106">
        <v>8814</v>
      </c>
      <c r="H2261" s="12">
        <v>46023</v>
      </c>
      <c r="I2261" s="24">
        <v>246181.25</v>
      </c>
      <c r="J2261" s="27">
        <v>229440.92</v>
      </c>
      <c r="K2261" s="3">
        <v>46097</v>
      </c>
      <c r="L2261" s="91">
        <v>46104</v>
      </c>
      <c r="M2261" s="5">
        <v>46105</v>
      </c>
      <c r="N2261" s="21" t="s">
        <v>588</v>
      </c>
      <c r="O2261" s="54"/>
      <c r="P2261" s="14"/>
      <c r="Q2261" t="str">
        <f>IFERROR(VLOOKUP(Tabela1[[#This Row],[CC]],CC!$A$1:$H$389,5,0),"")</f>
        <v>CSA</v>
      </c>
      <c r="R2261" t="str">
        <f>IFERROR(VLOOKUP(Tabela1[[#This Row],[CC]],CC!$A$1:$H$389,6,0),"")</f>
        <v>PS</v>
      </c>
      <c r="S2261" t="str">
        <f>IFERROR(VLOOKUP(Tabela1[[#This Row],[CC]],CC!$A$1:$H$403,8,0),"")</f>
        <v>OP4</v>
      </c>
    </row>
    <row r="2262" spans="1:19" x14ac:dyDescent="0.3">
      <c r="A2262" s="8">
        <v>1394</v>
      </c>
      <c r="B2262" s="8" t="str">
        <f>IFERROR(VLOOKUP(Tabela1[[#This Row],[CC]],#REF!,5,0),"")</f>
        <v/>
      </c>
      <c r="C2262" t="str">
        <f>IFERROR(VLOOKUP(Tabela1[[#This Row],[CC]],CC!$A$1:$H$389,7,0),"")</f>
        <v>ANTONIO ALVES</v>
      </c>
      <c r="D2262" t="str">
        <f>IFERROR(VLOOKUP(Tabela1[[#This Row],[CC]],CC!$A$1:$I$3869,3,0),"")</f>
        <v>SEFAZ_BA</v>
      </c>
      <c r="E2262" t="str">
        <f>IFERROR(VLOOKUP(Tabela1[[#This Row],[CC]],CC!$A$1:$H$389,2,0),"")</f>
        <v>SEFAZ - BA DIGITAL CENTER (1394)</v>
      </c>
      <c r="F2262" t="s">
        <v>586</v>
      </c>
      <c r="G2262" s="106">
        <v>8736</v>
      </c>
      <c r="H2262" s="12">
        <v>46023</v>
      </c>
      <c r="I2262" s="24">
        <v>123531.76</v>
      </c>
      <c r="J2262" s="24">
        <v>115131.6</v>
      </c>
      <c r="K2262" s="3">
        <v>46062</v>
      </c>
      <c r="L2262" s="91">
        <v>46076</v>
      </c>
      <c r="M2262" s="5">
        <v>46076</v>
      </c>
      <c r="N2262" s="21" t="s">
        <v>588</v>
      </c>
      <c r="O2262" s="54"/>
      <c r="P2262" s="14"/>
      <c r="Q2262" t="str">
        <f>IFERROR(VLOOKUP(Tabela1[[#This Row],[CC]],CC!$A$1:$H$389,5,0),"")</f>
        <v>CSA</v>
      </c>
      <c r="R2262" t="str">
        <f>IFERROR(VLOOKUP(Tabela1[[#This Row],[CC]],CC!$A$1:$H$389,6,0),"")</f>
        <v>PS</v>
      </c>
      <c r="S2262" t="str">
        <f>IFERROR(VLOOKUP(Tabela1[[#This Row],[CC]],CC!$A$1:$H$403,8,0),"")</f>
        <v>OP4</v>
      </c>
    </row>
    <row r="2263" spans="1:19" x14ac:dyDescent="0.3">
      <c r="A2263" s="8">
        <v>1394</v>
      </c>
      <c r="B2263" s="8" t="str">
        <f>IFERROR(VLOOKUP(Tabela1[[#This Row],[CC]],#REF!,5,0),"")</f>
        <v/>
      </c>
      <c r="C2263" t="str">
        <f>IFERROR(VLOOKUP(Tabela1[[#This Row],[CC]],CC!$A$1:$H$389,7,0),"")</f>
        <v>ANTONIO ALVES</v>
      </c>
      <c r="D2263" t="str">
        <f>IFERROR(VLOOKUP(Tabela1[[#This Row],[CC]],CC!$A$1:$I$3869,3,0),"")</f>
        <v>SEFAZ_BA</v>
      </c>
      <c r="E2263" t="str">
        <f>IFERROR(VLOOKUP(Tabela1[[#This Row],[CC]],CC!$A$1:$H$389,2,0),"")</f>
        <v>SEFAZ - BA DIGITAL CENTER (1394)</v>
      </c>
      <c r="F2263" t="s">
        <v>586</v>
      </c>
      <c r="G2263" s="106">
        <v>8747</v>
      </c>
      <c r="H2263" s="12">
        <v>46023</v>
      </c>
      <c r="I2263" s="24">
        <v>129307.32</v>
      </c>
      <c r="J2263" s="24">
        <v>120514.42</v>
      </c>
      <c r="K2263" s="3">
        <v>46063</v>
      </c>
      <c r="L2263" s="91">
        <v>46076</v>
      </c>
      <c r="M2263" s="5">
        <v>46077</v>
      </c>
      <c r="N2263" s="21" t="s">
        <v>588</v>
      </c>
      <c r="O2263" s="54"/>
      <c r="P2263" s="14"/>
      <c r="Q2263" t="str">
        <f>IFERROR(VLOOKUP(Tabela1[[#This Row],[CC]],CC!$A$1:$H$389,5,0),"")</f>
        <v>CSA</v>
      </c>
      <c r="R2263" t="str">
        <f>IFERROR(VLOOKUP(Tabela1[[#This Row],[CC]],CC!$A$1:$H$389,6,0),"")</f>
        <v>PS</v>
      </c>
      <c r="S2263" t="str">
        <f>IFERROR(VLOOKUP(Tabela1[[#This Row],[CC]],CC!$A$1:$H$403,8,0),"")</f>
        <v>OP4</v>
      </c>
    </row>
    <row r="2264" spans="1:19" x14ac:dyDescent="0.3">
      <c r="A2264" s="8">
        <v>1394</v>
      </c>
      <c r="B2264" s="8" t="str">
        <f>IFERROR(VLOOKUP(Tabela1[[#This Row],[CC]],#REF!,5,0),"")</f>
        <v/>
      </c>
      <c r="C2264" t="str">
        <f>IFERROR(VLOOKUP(Tabela1[[#This Row],[CC]],CC!$A$1:$H$389,7,0),"")</f>
        <v>ANTONIO ALVES</v>
      </c>
      <c r="D2264" t="str">
        <f>IFERROR(VLOOKUP(Tabela1[[#This Row],[CC]],CC!$A$1:$I$3869,3,0),"")</f>
        <v>SEFAZ_BA</v>
      </c>
      <c r="E2264" t="str">
        <f>IFERROR(VLOOKUP(Tabela1[[#This Row],[CC]],CC!$A$1:$H$389,2,0),"")</f>
        <v>SEFAZ - BA DIGITAL CENTER (1394)</v>
      </c>
      <c r="F2264" t="s">
        <v>586</v>
      </c>
      <c r="G2264" s="106">
        <v>8757</v>
      </c>
      <c r="H2264" s="12">
        <v>46023</v>
      </c>
      <c r="I2264" s="24">
        <v>157664.21</v>
      </c>
      <c r="J2264" s="27">
        <v>146943.04999999999</v>
      </c>
      <c r="K2264" s="3">
        <v>46065</v>
      </c>
      <c r="L2264" s="91">
        <v>46083</v>
      </c>
      <c r="M2264" s="5">
        <v>46084</v>
      </c>
      <c r="N2264" s="21" t="s">
        <v>588</v>
      </c>
      <c r="O2264" s="54"/>
      <c r="P2264" s="14"/>
      <c r="Q2264" t="str">
        <f>IFERROR(VLOOKUP(Tabela1[[#This Row],[CC]],CC!$A$1:$H$389,5,0),"")</f>
        <v>CSA</v>
      </c>
      <c r="R2264" t="str">
        <f>IFERROR(VLOOKUP(Tabela1[[#This Row],[CC]],CC!$A$1:$H$389,6,0),"")</f>
        <v>PS</v>
      </c>
      <c r="S2264" t="str">
        <f>IFERROR(VLOOKUP(Tabela1[[#This Row],[CC]],CC!$A$1:$H$403,8,0),"")</f>
        <v>OP4</v>
      </c>
    </row>
    <row r="2265" spans="1:19" x14ac:dyDescent="0.3">
      <c r="A2265" s="8">
        <v>1394</v>
      </c>
      <c r="B2265" s="8" t="str">
        <f>IFERROR(VLOOKUP(Tabela1[[#This Row],[CC]],#REF!,5,0),"")</f>
        <v/>
      </c>
      <c r="C2265" t="str">
        <f>IFERROR(VLOOKUP(Tabela1[[#This Row],[CC]],CC!$A$1:$H$389,7,0),"")</f>
        <v>ANTONIO ALVES</v>
      </c>
      <c r="D2265" t="str">
        <f>IFERROR(VLOOKUP(Tabela1[[#This Row],[CC]],CC!$A$1:$I$3869,3,0),"")</f>
        <v>SEFAZ_BA</v>
      </c>
      <c r="E2265" t="str">
        <f>IFERROR(VLOOKUP(Tabela1[[#This Row],[CC]],CC!$A$1:$H$389,2,0),"")</f>
        <v>SEFAZ - BA DIGITAL CENTER (1394)</v>
      </c>
      <c r="F2265" t="s">
        <v>586</v>
      </c>
      <c r="G2265" s="106">
        <v>8758</v>
      </c>
      <c r="H2265" s="12">
        <v>46023</v>
      </c>
      <c r="I2265" s="24">
        <v>313649.51</v>
      </c>
      <c r="J2265" s="27">
        <v>292321.34000000003</v>
      </c>
      <c r="K2265" s="3">
        <v>46065</v>
      </c>
      <c r="L2265" s="91">
        <v>46083</v>
      </c>
      <c r="M2265" s="5">
        <v>46087</v>
      </c>
      <c r="N2265" s="21" t="s">
        <v>588</v>
      </c>
      <c r="O2265" s="54"/>
      <c r="P2265" s="14"/>
      <c r="Q2265" t="str">
        <f>IFERROR(VLOOKUP(Tabela1[[#This Row],[CC]],CC!$A$1:$H$389,5,0),"")</f>
        <v>CSA</v>
      </c>
      <c r="R2265" t="str">
        <f>IFERROR(VLOOKUP(Tabela1[[#This Row],[CC]],CC!$A$1:$H$389,6,0),"")</f>
        <v>PS</v>
      </c>
      <c r="S2265" t="str">
        <f>IFERROR(VLOOKUP(Tabela1[[#This Row],[CC]],CC!$A$1:$H$403,8,0),"")</f>
        <v>OP4</v>
      </c>
    </row>
    <row r="2266" spans="1:19" x14ac:dyDescent="0.3">
      <c r="A2266" s="8">
        <v>1394</v>
      </c>
      <c r="B2266" s="8" t="str">
        <f>IFERROR(VLOOKUP(Tabela1[[#This Row],[CC]],#REF!,5,0),"")</f>
        <v/>
      </c>
      <c r="C2266" t="str">
        <f>IFERROR(VLOOKUP(Tabela1[[#This Row],[CC]],CC!$A$1:$H$389,7,0),"")</f>
        <v>ANTONIO ALVES</v>
      </c>
      <c r="D2266" t="str">
        <f>IFERROR(VLOOKUP(Tabela1[[#This Row],[CC]],CC!$A$1:$I$3869,3,0),"")</f>
        <v>SEFAZ_BA</v>
      </c>
      <c r="E2266" t="str">
        <f>IFERROR(VLOOKUP(Tabela1[[#This Row],[CC]],CC!$A$1:$H$389,2,0),"")</f>
        <v>SEFAZ - BA DIGITAL CENTER (1394)</v>
      </c>
      <c r="F2266" t="s">
        <v>586</v>
      </c>
      <c r="G2266" s="106">
        <v>8770</v>
      </c>
      <c r="H2266" s="12">
        <v>46023</v>
      </c>
      <c r="I2266" s="24">
        <v>94087.62</v>
      </c>
      <c r="J2266" s="24">
        <v>87689.66</v>
      </c>
      <c r="K2266" s="3">
        <v>46076</v>
      </c>
      <c r="L2266" s="91">
        <v>46083</v>
      </c>
      <c r="M2266" s="5">
        <v>46084</v>
      </c>
      <c r="N2266" s="21" t="s">
        <v>588</v>
      </c>
      <c r="O2266" s="54"/>
      <c r="P2266" s="14"/>
      <c r="Q2266" t="str">
        <f>IFERROR(VLOOKUP(Tabela1[[#This Row],[CC]],CC!$A$1:$H$389,5,0),"")</f>
        <v>CSA</v>
      </c>
      <c r="R2266" t="str">
        <f>IFERROR(VLOOKUP(Tabela1[[#This Row],[CC]],CC!$A$1:$H$389,6,0),"")</f>
        <v>PS</v>
      </c>
      <c r="S2266" t="str">
        <f>IFERROR(VLOOKUP(Tabela1[[#This Row],[CC]],CC!$A$1:$H$403,8,0),"")</f>
        <v>OP4</v>
      </c>
    </row>
    <row r="2267" spans="1:19" x14ac:dyDescent="0.3">
      <c r="A2267" s="8">
        <v>1394</v>
      </c>
      <c r="B2267" s="8" t="str">
        <f>IFERROR(VLOOKUP(Tabela1[[#This Row],[CC]],#REF!,5,0),"")</f>
        <v/>
      </c>
      <c r="C2267" t="str">
        <f>IFERROR(VLOOKUP(Tabela1[[#This Row],[CC]],CC!$A$1:$H$389,7,0),"")</f>
        <v>ANTONIO ALVES</v>
      </c>
      <c r="D2267" t="str">
        <f>IFERROR(VLOOKUP(Tabela1[[#This Row],[CC]],CC!$A$1:$I$3869,3,0),"")</f>
        <v>SEFAZ_BA</v>
      </c>
      <c r="E2267" t="str">
        <f>IFERROR(VLOOKUP(Tabela1[[#This Row],[CC]],CC!$A$1:$H$389,2,0),"")</f>
        <v>SEFAZ - BA DIGITAL CENTER (1394)</v>
      </c>
      <c r="F2267" t="s">
        <v>586</v>
      </c>
      <c r="G2267" s="106">
        <v>8795</v>
      </c>
      <c r="H2267" s="12">
        <v>46054</v>
      </c>
      <c r="I2267" s="24">
        <v>123531.76</v>
      </c>
      <c r="J2267" s="24">
        <v>115131.6</v>
      </c>
      <c r="K2267" s="3">
        <v>46087</v>
      </c>
      <c r="L2267" s="91">
        <v>46090</v>
      </c>
      <c r="M2267" s="5">
        <v>46094</v>
      </c>
      <c r="N2267" s="21" t="s">
        <v>588</v>
      </c>
      <c r="O2267" s="54"/>
      <c r="P2267" s="14"/>
      <c r="Q2267" t="str">
        <f>IFERROR(VLOOKUP(Tabela1[[#This Row],[CC]],CC!$A$1:$H$389,5,0),"")</f>
        <v>CSA</v>
      </c>
      <c r="R2267" t="str">
        <f>IFERROR(VLOOKUP(Tabela1[[#This Row],[CC]],CC!$A$1:$H$389,6,0),"")</f>
        <v>PS</v>
      </c>
      <c r="S2267" t="str">
        <f>IFERROR(VLOOKUP(Tabela1[[#This Row],[CC]],CC!$A$1:$H$403,8,0),"")</f>
        <v>OP4</v>
      </c>
    </row>
    <row r="2268" spans="1:19" x14ac:dyDescent="0.3">
      <c r="A2268" s="8">
        <v>1394</v>
      </c>
      <c r="B2268" s="8" t="str">
        <f>IFERROR(VLOOKUP(Tabela1[[#This Row],[CC]],#REF!,5,0),"")</f>
        <v/>
      </c>
      <c r="C2268" t="str">
        <f>IFERROR(VLOOKUP(Tabela1[[#This Row],[CC]],CC!$A$1:$H$389,7,0),"")</f>
        <v>ANTONIO ALVES</v>
      </c>
      <c r="D2268" t="str">
        <f>IFERROR(VLOOKUP(Tabela1[[#This Row],[CC]],CC!$A$1:$I$3869,3,0),"")</f>
        <v>SEFAZ_BA</v>
      </c>
      <c r="E2268" t="str">
        <f>IFERROR(VLOOKUP(Tabela1[[#This Row],[CC]],CC!$A$1:$H$389,2,0),"")</f>
        <v>SEFAZ - BA DIGITAL CENTER (1394)</v>
      </c>
      <c r="F2268" t="s">
        <v>586</v>
      </c>
      <c r="G2268" s="106">
        <v>8805</v>
      </c>
      <c r="H2268" s="12">
        <v>46054</v>
      </c>
      <c r="I2268" s="24">
        <v>162330.73000000001</v>
      </c>
      <c r="J2268" s="24">
        <v>151292.24</v>
      </c>
      <c r="K2268" s="3">
        <v>46092</v>
      </c>
      <c r="L2268" s="91">
        <v>46097</v>
      </c>
      <c r="M2268" s="5">
        <v>46099</v>
      </c>
      <c r="N2268" s="21" t="s">
        <v>588</v>
      </c>
      <c r="O2268" s="54"/>
      <c r="P2268" s="14"/>
      <c r="Q2268" t="str">
        <f>IFERROR(VLOOKUP(Tabela1[[#This Row],[CC]],CC!$A$1:$H$389,5,0),"")</f>
        <v>CSA</v>
      </c>
      <c r="R2268" t="str">
        <f>IFERROR(VLOOKUP(Tabela1[[#This Row],[CC]],CC!$A$1:$H$389,6,0),"")</f>
        <v>PS</v>
      </c>
      <c r="S2268" t="str">
        <f>IFERROR(VLOOKUP(Tabela1[[#This Row],[CC]],CC!$A$1:$H$403,8,0),"")</f>
        <v>OP4</v>
      </c>
    </row>
    <row r="2269" spans="1:19" x14ac:dyDescent="0.3">
      <c r="A2269" s="8">
        <v>1394</v>
      </c>
      <c r="B2269" s="8" t="str">
        <f>IFERROR(VLOOKUP(Tabela1[[#This Row],[CC]],#REF!,5,0),"")</f>
        <v/>
      </c>
      <c r="C2269" t="str">
        <f>IFERROR(VLOOKUP(Tabela1[[#This Row],[CC]],CC!$A$1:$H$389,7,0),"")</f>
        <v>ANTONIO ALVES</v>
      </c>
      <c r="D2269" t="str">
        <f>IFERROR(VLOOKUP(Tabela1[[#This Row],[CC]],CC!$A$1:$I$3869,3,0),"")</f>
        <v>SEFAZ_BA</v>
      </c>
      <c r="E2269" t="str">
        <f>IFERROR(VLOOKUP(Tabela1[[#This Row],[CC]],CC!$A$1:$H$389,2,0),"")</f>
        <v>SEFAZ - BA DIGITAL CENTER (1394)</v>
      </c>
      <c r="F2269" t="s">
        <v>586</v>
      </c>
      <c r="G2269" s="106">
        <v>8811</v>
      </c>
      <c r="H2269" s="12">
        <v>46054</v>
      </c>
      <c r="I2269" s="24">
        <v>313649.51</v>
      </c>
      <c r="J2269" s="24">
        <v>292321.34000000003</v>
      </c>
      <c r="K2269" s="3">
        <v>46093</v>
      </c>
      <c r="L2269" s="91">
        <v>46104</v>
      </c>
      <c r="M2269" s="5">
        <v>46106</v>
      </c>
      <c r="N2269" s="21" t="s">
        <v>588</v>
      </c>
      <c r="O2269" s="54"/>
      <c r="P2269" s="14"/>
      <c r="Q2269" t="str">
        <f>IFERROR(VLOOKUP(Tabela1[[#This Row],[CC]],CC!$A$1:$H$389,5,0),"")</f>
        <v>CSA</v>
      </c>
      <c r="R2269" t="str">
        <f>IFERROR(VLOOKUP(Tabela1[[#This Row],[CC]],CC!$A$1:$H$389,6,0),"")</f>
        <v>PS</v>
      </c>
      <c r="S2269" t="str">
        <f>IFERROR(VLOOKUP(Tabela1[[#This Row],[CC]],CC!$A$1:$H$403,8,0),"")</f>
        <v>OP4</v>
      </c>
    </row>
    <row r="2270" spans="1:19" x14ac:dyDescent="0.3">
      <c r="A2270" s="8">
        <v>1394</v>
      </c>
      <c r="B2270" s="8" t="str">
        <f>IFERROR(VLOOKUP(Tabela1[[#This Row],[CC]],#REF!,5,0),"")</f>
        <v/>
      </c>
      <c r="C2270" t="str">
        <f>IFERROR(VLOOKUP(Tabela1[[#This Row],[CC]],CC!$A$1:$H$389,7,0),"")</f>
        <v>ANTONIO ALVES</v>
      </c>
      <c r="D2270" t="str">
        <f>IFERROR(VLOOKUP(Tabela1[[#This Row],[CC]],CC!$A$1:$I$3869,3,0),"")</f>
        <v>SEFAZ_BA</v>
      </c>
      <c r="E2270" t="str">
        <f>IFERROR(VLOOKUP(Tabela1[[#This Row],[CC]],CC!$A$1:$H$389,2,0),"")</f>
        <v>SEFAZ - BA DIGITAL CENTER (1394)</v>
      </c>
      <c r="F2270" t="s">
        <v>586</v>
      </c>
      <c r="G2270" s="106">
        <v>8812</v>
      </c>
      <c r="H2270" s="12">
        <v>46054</v>
      </c>
      <c r="I2270" s="24">
        <v>94087.62</v>
      </c>
      <c r="J2270" s="24">
        <v>87689.66</v>
      </c>
      <c r="K2270" s="3">
        <v>46093</v>
      </c>
      <c r="L2270" s="91">
        <v>46104</v>
      </c>
      <c r="M2270" s="5">
        <v>46106</v>
      </c>
      <c r="N2270" s="21" t="s">
        <v>588</v>
      </c>
      <c r="O2270" s="54"/>
      <c r="P2270" s="14"/>
      <c r="Q2270" t="str">
        <f>IFERROR(VLOOKUP(Tabela1[[#This Row],[CC]],CC!$A$1:$H$389,5,0),"")</f>
        <v>CSA</v>
      </c>
      <c r="R2270" t="str">
        <f>IFERROR(VLOOKUP(Tabela1[[#This Row],[CC]],CC!$A$1:$H$389,6,0),"")</f>
        <v>PS</v>
      </c>
      <c r="S2270" t="str">
        <f>IFERROR(VLOOKUP(Tabela1[[#This Row],[CC]],CC!$A$1:$H$403,8,0),"")</f>
        <v>OP4</v>
      </c>
    </row>
    <row r="2271" spans="1:19" x14ac:dyDescent="0.3">
      <c r="A2271" s="8">
        <v>1394</v>
      </c>
      <c r="B2271" s="8" t="str">
        <f>IFERROR(VLOOKUP(Tabela1[[#This Row],[CC]],#REF!,5,0),"")</f>
        <v/>
      </c>
      <c r="C2271" t="str">
        <f>IFERROR(VLOOKUP(Tabela1[[#This Row],[CC]],CC!$A$1:$H$389,7,0),"")</f>
        <v>ANTONIO ALVES</v>
      </c>
      <c r="D2271" t="str">
        <f>IFERROR(VLOOKUP(Tabela1[[#This Row],[CC]],CC!$A$1:$I$3869,3,0),"")</f>
        <v>SEFAZ_BA</v>
      </c>
      <c r="E2271" t="str">
        <f>IFERROR(VLOOKUP(Tabela1[[#This Row],[CC]],CC!$A$1:$H$389,2,0),"")</f>
        <v>SEFAZ - BA DIGITAL CENTER (1394)</v>
      </c>
      <c r="F2271" t="s">
        <v>586</v>
      </c>
      <c r="G2271" s="133">
        <v>8821</v>
      </c>
      <c r="H2271" s="12">
        <v>46054</v>
      </c>
      <c r="I2271" s="24">
        <v>48821.919999999998</v>
      </c>
      <c r="J2271" s="27">
        <f>Tabela1[[#This Row],[VL. FATURADO]]*0.931999984893331</f>
        <v>45502.028702463416</v>
      </c>
      <c r="K2271" s="3">
        <v>46101</v>
      </c>
      <c r="L2271" s="91">
        <v>46104</v>
      </c>
      <c r="M2271" s="5">
        <v>46108</v>
      </c>
      <c r="N2271" s="21" t="s">
        <v>588</v>
      </c>
      <c r="O2271" s="54"/>
      <c r="P2271" s="14"/>
      <c r="Q2271" t="str">
        <f>IFERROR(VLOOKUP(Tabela1[[#This Row],[CC]],CC!$A$1:$H$389,5,0),"")</f>
        <v>CSA</v>
      </c>
      <c r="R2271" t="str">
        <f>IFERROR(VLOOKUP(Tabela1[[#This Row],[CC]],CC!$A$1:$H$389,6,0),"")</f>
        <v>PS</v>
      </c>
      <c r="S2271" t="str">
        <f>IFERROR(VLOOKUP(Tabela1[[#This Row],[CC]],CC!$A$1:$H$403,8,0),"")</f>
        <v>OP4</v>
      </c>
    </row>
    <row r="2272" spans="1:19" x14ac:dyDescent="0.3">
      <c r="A2272" s="8">
        <v>1394</v>
      </c>
      <c r="B2272" s="8" t="str">
        <f>IFERROR(VLOOKUP(Tabela1[[#This Row],[CC]],#REF!,5,0),"")</f>
        <v/>
      </c>
      <c r="C2272" t="str">
        <f>IFERROR(VLOOKUP(Tabela1[[#This Row],[CC]],CC!$A$1:$H$389,7,0),"")</f>
        <v>ANTONIO ALVES</v>
      </c>
      <c r="D2272" t="str">
        <f>IFERROR(VLOOKUP(Tabela1[[#This Row],[CC]],CC!$A$1:$I$3869,3,0),"")</f>
        <v>SEFAZ_BA</v>
      </c>
      <c r="E2272" t="str">
        <f>IFERROR(VLOOKUP(Tabela1[[#This Row],[CC]],CC!$A$1:$H$389,2,0),"")</f>
        <v>SEFAZ - BA DIGITAL CENTER (1394)</v>
      </c>
      <c r="F2272" t="s">
        <v>586</v>
      </c>
      <c r="G2272" s="106">
        <v>8828</v>
      </c>
      <c r="H2272" s="12">
        <v>46054</v>
      </c>
      <c r="I2272" s="24">
        <v>140971.81</v>
      </c>
      <c r="J2272" s="24">
        <v>131385.72</v>
      </c>
      <c r="K2272" s="3">
        <v>46104</v>
      </c>
      <c r="L2272" s="91">
        <v>46104</v>
      </c>
      <c r="M2272" s="5">
        <v>46108</v>
      </c>
      <c r="N2272" s="21" t="s">
        <v>588</v>
      </c>
      <c r="O2272" s="54"/>
      <c r="P2272" s="14"/>
      <c r="Q2272" t="str">
        <f>IFERROR(VLOOKUP(Tabela1[[#This Row],[CC]],CC!$A$1:$H$389,5,0),"")</f>
        <v>CSA</v>
      </c>
      <c r="R2272" t="str">
        <f>IFERROR(VLOOKUP(Tabela1[[#This Row],[CC]],CC!$A$1:$H$389,6,0),"")</f>
        <v>PS</v>
      </c>
      <c r="S2272" t="str">
        <f>IFERROR(VLOOKUP(Tabela1[[#This Row],[CC]],CC!$A$1:$H$403,8,0),"")</f>
        <v>OP4</v>
      </c>
    </row>
    <row r="2273" spans="1:19" x14ac:dyDescent="0.3">
      <c r="A2273" s="8">
        <v>1394</v>
      </c>
      <c r="B2273" s="8" t="str">
        <f>IFERROR(VLOOKUP(Tabela1[[#This Row],[CC]],#REF!,5,0),"")</f>
        <v/>
      </c>
      <c r="C2273" t="str">
        <f>IFERROR(VLOOKUP(Tabela1[[#This Row],[CC]],CC!$A$1:$H$389,7,0),"")</f>
        <v>ANTONIO ALVES</v>
      </c>
      <c r="D2273" t="str">
        <f>IFERROR(VLOOKUP(Tabela1[[#This Row],[CC]],CC!$A$1:$I$3869,3,0),"")</f>
        <v>SEFAZ_BA</v>
      </c>
      <c r="E2273" t="str">
        <f>IFERROR(VLOOKUP(Tabela1[[#This Row],[CC]],CC!$A$1:$H$389,2,0),"")</f>
        <v>SEFAZ - BA DIGITAL CENTER (1394)</v>
      </c>
      <c r="F2273" t="s">
        <v>586</v>
      </c>
      <c r="G2273" s="106">
        <v>8836</v>
      </c>
      <c r="H2273" s="12">
        <v>46054</v>
      </c>
      <c r="I2273" s="27">
        <v>246181.25</v>
      </c>
      <c r="J2273" s="24">
        <v>229440.92</v>
      </c>
      <c r="K2273" s="3">
        <v>46108</v>
      </c>
      <c r="L2273" s="91">
        <v>46118</v>
      </c>
      <c r="M2273" s="5">
        <v>46120</v>
      </c>
      <c r="N2273" s="21" t="s">
        <v>588</v>
      </c>
      <c r="O2273" s="24"/>
      <c r="P2273" s="14"/>
      <c r="Q2273" t="str">
        <f>IFERROR(VLOOKUP(Tabela1[[#This Row],[CC]],CC!$A$1:$H$389,5,0),"")</f>
        <v>CSA</v>
      </c>
      <c r="R2273" t="str">
        <f>IFERROR(VLOOKUP(Tabela1[[#This Row],[CC]],CC!$A$1:$H$389,6,0),"")</f>
        <v>PS</v>
      </c>
      <c r="S2273" t="str">
        <f>IFERROR(VLOOKUP(Tabela1[[#This Row],[CC]],CC!$A$1:$H$403,8,0),"")</f>
        <v>OP4</v>
      </c>
    </row>
    <row r="2274" spans="1:19" x14ac:dyDescent="0.3">
      <c r="A2274" s="8">
        <v>1394</v>
      </c>
      <c r="B2274" s="8" t="str">
        <f>IFERROR(VLOOKUP(Tabela1[[#This Row],[CC]],#REF!,5,0),"")</f>
        <v/>
      </c>
      <c r="C2274" t="str">
        <f>IFERROR(VLOOKUP(Tabela1[[#This Row],[CC]],CC!$A$1:$H$389,7,0),"")</f>
        <v>ANTONIO ALVES</v>
      </c>
      <c r="D2274" t="str">
        <f>IFERROR(VLOOKUP(Tabela1[[#This Row],[CC]],CC!$A$1:$I$3869,3,0),"")</f>
        <v>SEFAZ_BA</v>
      </c>
      <c r="E2274" t="str">
        <f>IFERROR(VLOOKUP(Tabela1[[#This Row],[CC]],CC!$A$1:$H$389,2,0),"")</f>
        <v>SEFAZ - BA DIGITAL CENTER (1394)</v>
      </c>
      <c r="F2274" t="s">
        <v>586</v>
      </c>
      <c r="G2274" s="106">
        <v>8839</v>
      </c>
      <c r="H2274" s="140">
        <v>46082</v>
      </c>
      <c r="I2274" s="27">
        <v>97290.05</v>
      </c>
      <c r="J2274" s="27">
        <f>Tabela1[[#This Row],[VL. FATURADO]]*0.932</f>
        <v>90674.326600000015</v>
      </c>
      <c r="K2274" s="3">
        <v>46114</v>
      </c>
      <c r="L2274" s="91">
        <v>46125</v>
      </c>
      <c r="M2274" s="5">
        <v>46125</v>
      </c>
      <c r="N2274" s="21" t="s">
        <v>588</v>
      </c>
      <c r="O2274" s="24"/>
      <c r="P2274" s="14"/>
      <c r="Q2274" t="str">
        <f>IFERROR(VLOOKUP(Tabela1[[#This Row],[CC]],CC!$A$1:$H$389,5,0),"")</f>
        <v>CSA</v>
      </c>
      <c r="R2274" t="str">
        <f>IFERROR(VLOOKUP(Tabela1[[#This Row],[CC]],CC!$A$1:$H$389,6,0),"")</f>
        <v>PS</v>
      </c>
      <c r="S2274" t="str">
        <f>IFERROR(VLOOKUP(Tabela1[[#This Row],[CC]],CC!$A$1:$H$403,8,0),"")</f>
        <v>OP4</v>
      </c>
    </row>
    <row r="2275" spans="1:19" x14ac:dyDescent="0.3">
      <c r="A2275" s="8">
        <v>1394</v>
      </c>
      <c r="B2275" s="8" t="str">
        <f>IFERROR(VLOOKUP(Tabela1[[#This Row],[CC]],#REF!,5,0),"")</f>
        <v/>
      </c>
      <c r="C2275" t="str">
        <f>IFERROR(VLOOKUP(Tabela1[[#This Row],[CC]],CC!$A$1:$H$389,7,0),"")</f>
        <v>ANTONIO ALVES</v>
      </c>
      <c r="D2275" t="str">
        <f>IFERROR(VLOOKUP(Tabela1[[#This Row],[CC]],CC!$A$1:$I$3869,3,0),"")</f>
        <v>SEFAZ_BA</v>
      </c>
      <c r="E2275" t="str">
        <f>IFERROR(VLOOKUP(Tabela1[[#This Row],[CC]],CC!$A$1:$H$389,2,0),"")</f>
        <v>SEFAZ - BA DIGITAL CENTER (1394)</v>
      </c>
      <c r="F2275" t="s">
        <v>586</v>
      </c>
      <c r="G2275" s="106">
        <v>8859</v>
      </c>
      <c r="H2275" s="12">
        <v>46082</v>
      </c>
      <c r="I2275" s="27">
        <v>313649.51</v>
      </c>
      <c r="J2275" s="24">
        <v>292321.34000000003</v>
      </c>
      <c r="K2275" s="3">
        <v>46126</v>
      </c>
      <c r="L2275" s="91">
        <v>46139</v>
      </c>
      <c r="M2275" s="5">
        <v>46139</v>
      </c>
      <c r="N2275" s="21" t="s">
        <v>588</v>
      </c>
      <c r="O2275" s="54"/>
      <c r="P2275" s="14"/>
      <c r="Q2275" t="str">
        <f>IFERROR(VLOOKUP(Tabela1[[#This Row],[CC]],CC!$A$1:$H$389,5,0),"")</f>
        <v>CSA</v>
      </c>
      <c r="R2275" t="str">
        <f>IFERROR(VLOOKUP(Tabela1[[#This Row],[CC]],CC!$A$1:$H$389,6,0),"")</f>
        <v>PS</v>
      </c>
      <c r="S2275" t="str">
        <f>IFERROR(VLOOKUP(Tabela1[[#This Row],[CC]],CC!$A$1:$H$403,8,0),"")</f>
        <v>OP4</v>
      </c>
    </row>
    <row r="2276" spans="1:19" x14ac:dyDescent="0.3">
      <c r="A2276" s="8">
        <v>1394</v>
      </c>
      <c r="B2276" s="8" t="str">
        <f>IFERROR(VLOOKUP(Tabela1[[#This Row],[CC]],#REF!,5,0),"")</f>
        <v/>
      </c>
      <c r="C2276" t="str">
        <f>IFERROR(VLOOKUP(Tabela1[[#This Row],[CC]],CC!$A$1:$H$389,7,0),"")</f>
        <v>ANTONIO ALVES</v>
      </c>
      <c r="D2276" t="str">
        <f>IFERROR(VLOOKUP(Tabela1[[#This Row],[CC]],CC!$A$1:$I$3869,3,0),"")</f>
        <v>SEFAZ_BA</v>
      </c>
      <c r="E2276" t="str">
        <f>IFERROR(VLOOKUP(Tabela1[[#This Row],[CC]],CC!$A$1:$H$389,2,0),"")</f>
        <v>SEFAZ - BA DIGITAL CENTER (1394)</v>
      </c>
      <c r="F2276" t="s">
        <v>586</v>
      </c>
      <c r="G2276" s="106">
        <v>8855</v>
      </c>
      <c r="H2276" s="12">
        <v>46082</v>
      </c>
      <c r="I2276" s="24">
        <v>94087.62</v>
      </c>
      <c r="J2276" s="24">
        <v>87689.66</v>
      </c>
      <c r="K2276" s="3">
        <v>46125</v>
      </c>
      <c r="L2276" s="91">
        <v>46132</v>
      </c>
      <c r="M2276" s="5">
        <v>46136</v>
      </c>
      <c r="N2276" s="21" t="s">
        <v>588</v>
      </c>
      <c r="O2276" s="54"/>
      <c r="P2276" s="14"/>
      <c r="Q2276" t="str">
        <f>IFERROR(VLOOKUP(Tabela1[[#This Row],[CC]],CC!$A$1:$H$389,5,0),"")</f>
        <v>CSA</v>
      </c>
      <c r="R2276" t="str">
        <f>IFERROR(VLOOKUP(Tabela1[[#This Row],[CC]],CC!$A$1:$H$389,6,0),"")</f>
        <v>PS</v>
      </c>
      <c r="S2276" t="str">
        <f>IFERROR(VLOOKUP(Tabela1[[#This Row],[CC]],CC!$A$1:$H$403,8,0),"")</f>
        <v>OP4</v>
      </c>
    </row>
    <row r="2277" spans="1:19" x14ac:dyDescent="0.3">
      <c r="A2277" s="8">
        <v>1394</v>
      </c>
      <c r="B2277" s="8" t="str">
        <f>IFERROR(VLOOKUP(Tabela1[[#This Row],[CC]],#REF!,5,0),"")</f>
        <v/>
      </c>
      <c r="C2277" t="str">
        <f>IFERROR(VLOOKUP(Tabela1[[#This Row],[CC]],CC!$A$1:$H$389,7,0),"")</f>
        <v>ANTONIO ALVES</v>
      </c>
      <c r="D2277" t="str">
        <f>IFERROR(VLOOKUP(Tabela1[[#This Row],[CC]],CC!$A$1:$I$3869,3,0),"")</f>
        <v>SEFAZ_BA</v>
      </c>
      <c r="E2277" t="str">
        <f>IFERROR(VLOOKUP(Tabela1[[#This Row],[CC]],CC!$A$1:$H$389,2,0),"")</f>
        <v>SEFAZ - BA DIGITAL CENTER (1394)</v>
      </c>
      <c r="F2277" t="s">
        <v>586</v>
      </c>
      <c r="G2277" s="106">
        <v>8860</v>
      </c>
      <c r="H2277" s="12">
        <v>46082</v>
      </c>
      <c r="I2277" s="27">
        <v>123531.76</v>
      </c>
      <c r="J2277" s="24">
        <v>115131.6</v>
      </c>
      <c r="K2277" s="3">
        <v>46126</v>
      </c>
      <c r="L2277" s="91">
        <v>46132</v>
      </c>
      <c r="M2277" s="5">
        <v>46136</v>
      </c>
      <c r="N2277" s="21" t="s">
        <v>588</v>
      </c>
      <c r="O2277" s="54"/>
      <c r="P2277" s="14"/>
      <c r="Q2277" t="str">
        <f>IFERROR(VLOOKUP(Tabela1[[#This Row],[CC]],CC!$A$1:$H$389,5,0),"")</f>
        <v>CSA</v>
      </c>
      <c r="R2277" t="str">
        <f>IFERROR(VLOOKUP(Tabela1[[#This Row],[CC]],CC!$A$1:$H$389,6,0),"")</f>
        <v>PS</v>
      </c>
      <c r="S2277" t="str">
        <f>IFERROR(VLOOKUP(Tabela1[[#This Row],[CC]],CC!$A$1:$H$403,8,0),"")</f>
        <v>OP4</v>
      </c>
    </row>
    <row r="2278" spans="1:19" x14ac:dyDescent="0.3">
      <c r="A2278" s="8">
        <v>1394</v>
      </c>
      <c r="B2278" s="8" t="str">
        <f>IFERROR(VLOOKUP(Tabela1[[#This Row],[CC]],#REF!,5,0),"")</f>
        <v/>
      </c>
      <c r="C2278" t="str">
        <f>IFERROR(VLOOKUP(Tabela1[[#This Row],[CC]],CC!$A$1:$H$389,7,0),"")</f>
        <v>ANTONIO ALVES</v>
      </c>
      <c r="D2278" t="str">
        <f>IFERROR(VLOOKUP(Tabela1[[#This Row],[CC]],CC!$A$1:$I$3869,3,0),"")</f>
        <v>SEFAZ_BA</v>
      </c>
      <c r="E2278" t="str">
        <f>IFERROR(VLOOKUP(Tabela1[[#This Row],[CC]],CC!$A$1:$H$389,2,0),"")</f>
        <v>SEFAZ - BA DIGITAL CENTER (1394)</v>
      </c>
      <c r="F2278" t="s">
        <v>586</v>
      </c>
      <c r="G2278" s="106">
        <v>8866</v>
      </c>
      <c r="H2278" s="12">
        <v>46082</v>
      </c>
      <c r="I2278" s="27">
        <v>162600.49</v>
      </c>
      <c r="J2278" s="144">
        <v>151543.66</v>
      </c>
      <c r="K2278" s="3">
        <v>46129</v>
      </c>
      <c r="L2278" s="91">
        <v>46139</v>
      </c>
      <c r="M2278" s="5">
        <v>46139</v>
      </c>
      <c r="N2278" s="21" t="s">
        <v>588</v>
      </c>
      <c r="O2278" s="54"/>
      <c r="P2278" s="14"/>
      <c r="Q2278" t="str">
        <f>IFERROR(VLOOKUP(Tabela1[[#This Row],[CC]],CC!$A$1:$H$389,5,0),"")</f>
        <v>CSA</v>
      </c>
      <c r="R2278" t="str">
        <f>IFERROR(VLOOKUP(Tabela1[[#This Row],[CC]],CC!$A$1:$H$389,6,0),"")</f>
        <v>PS</v>
      </c>
      <c r="S2278" t="str">
        <f>IFERROR(VLOOKUP(Tabela1[[#This Row],[CC]],CC!$A$1:$H$403,8,0),"")</f>
        <v>OP4</v>
      </c>
    </row>
    <row r="2279" spans="1:19" x14ac:dyDescent="0.3">
      <c r="A2279" s="8">
        <v>1394</v>
      </c>
      <c r="B2279" s="8" t="str">
        <f>IFERROR(VLOOKUP(Tabela1[[#This Row],[CC]],#REF!,5,0),"")</f>
        <v/>
      </c>
      <c r="C2279" t="str">
        <f>IFERROR(VLOOKUP(Tabela1[[#This Row],[CC]],CC!$A$1:$H$389,7,0),"")</f>
        <v>ANTONIO ALVES</v>
      </c>
      <c r="D2279" t="str">
        <f>IFERROR(VLOOKUP(Tabela1[[#This Row],[CC]],CC!$A$1:$I$3869,3,0),"")</f>
        <v>SEFAZ_BA</v>
      </c>
      <c r="E2279" t="str">
        <f>IFERROR(VLOOKUP(Tabela1[[#This Row],[CC]],CC!$A$1:$H$389,2,0),"")</f>
        <v>SEFAZ - BA DIGITAL CENTER (1394)</v>
      </c>
      <c r="F2279" t="s">
        <v>586</v>
      </c>
      <c r="G2279" s="106">
        <v>8868</v>
      </c>
      <c r="H2279" s="12">
        <v>46082</v>
      </c>
      <c r="I2279" s="27">
        <v>140971.81</v>
      </c>
      <c r="J2279" s="144">
        <v>131385.72</v>
      </c>
      <c r="K2279" s="3">
        <v>46129</v>
      </c>
      <c r="L2279" s="91">
        <v>46139</v>
      </c>
      <c r="M2279" s="5">
        <v>46140</v>
      </c>
      <c r="N2279" s="21" t="s">
        <v>588</v>
      </c>
      <c r="O2279" s="54"/>
      <c r="P2279" s="14"/>
      <c r="Q2279" t="str">
        <f>IFERROR(VLOOKUP(Tabela1[[#This Row],[CC]],CC!$A$1:$H$389,5,0),"")</f>
        <v>CSA</v>
      </c>
      <c r="R2279" t="str">
        <f>IFERROR(VLOOKUP(Tabela1[[#This Row],[CC]],CC!$A$1:$H$389,6,0),"")</f>
        <v>PS</v>
      </c>
      <c r="S2279" t="str">
        <f>IFERROR(VLOOKUP(Tabela1[[#This Row],[CC]],CC!$A$1:$H$403,8,0),"")</f>
        <v>OP4</v>
      </c>
    </row>
    <row r="2280" spans="1:19" x14ac:dyDescent="0.3">
      <c r="A2280" s="8">
        <v>1394</v>
      </c>
      <c r="B2280" s="8" t="str">
        <f>IFERROR(VLOOKUP(Tabela1[[#This Row],[CC]],#REF!,5,0),"")</f>
        <v/>
      </c>
      <c r="C2280" t="str">
        <f>IFERROR(VLOOKUP(Tabela1[[#This Row],[CC]],CC!$A$1:$H$389,7,0),"")</f>
        <v>ANTONIO ALVES</v>
      </c>
      <c r="D2280" t="str">
        <f>IFERROR(VLOOKUP(Tabela1[[#This Row],[CC]],CC!$A$1:$I$3869,3,0),"")</f>
        <v>SEFAZ_BA</v>
      </c>
      <c r="E2280" t="str">
        <f>IFERROR(VLOOKUP(Tabela1[[#This Row],[CC]],CC!$A$1:$H$389,2,0),"")</f>
        <v>SEFAZ - BA DIGITAL CENTER (1394)</v>
      </c>
      <c r="F2280" t="s">
        <v>586</v>
      </c>
      <c r="G2280" s="106">
        <v>8933</v>
      </c>
      <c r="H2280" s="12">
        <v>46113</v>
      </c>
      <c r="I2280" s="24">
        <v>123531.76</v>
      </c>
      <c r="J2280" s="24">
        <v>115131.6</v>
      </c>
      <c r="K2280" s="3">
        <v>46153</v>
      </c>
      <c r="L2280" s="91">
        <v>46167</v>
      </c>
      <c r="M2280" s="5">
        <v>46167</v>
      </c>
      <c r="N2280" s="21" t="s">
        <v>588</v>
      </c>
      <c r="O2280" s="54"/>
      <c r="P2280" s="14"/>
      <c r="Q2280" t="str">
        <f>IFERROR(VLOOKUP(Tabela1[[#This Row],[CC]],CC!$A$1:$H$389,5,0),"")</f>
        <v>CSA</v>
      </c>
      <c r="R2280" t="str">
        <f>IFERROR(VLOOKUP(Tabela1[[#This Row],[CC]],CC!$A$1:$H$389,6,0),"")</f>
        <v>PS</v>
      </c>
      <c r="S2280" t="str">
        <f>IFERROR(VLOOKUP(Tabela1[[#This Row],[CC]],CC!$A$1:$H$403,8,0),"")</f>
        <v>OP4</v>
      </c>
    </row>
    <row r="2281" spans="1:19" x14ac:dyDescent="0.3">
      <c r="A2281" s="8">
        <v>1394</v>
      </c>
      <c r="B2281" s="8" t="str">
        <f>IFERROR(VLOOKUP(Tabela1[[#This Row],[CC]],#REF!,5,0),"")</f>
        <v/>
      </c>
      <c r="C2281" t="str">
        <f>IFERROR(VLOOKUP(Tabela1[[#This Row],[CC]],CC!$A$1:$H$389,7,0),"")</f>
        <v>ANTONIO ALVES</v>
      </c>
      <c r="D2281" t="str">
        <f>IFERROR(VLOOKUP(Tabela1[[#This Row],[CC]],CC!$A$1:$I$3869,3,0),"")</f>
        <v>SEFAZ_BA</v>
      </c>
      <c r="E2281" t="str">
        <f>IFERROR(VLOOKUP(Tabela1[[#This Row],[CC]],CC!$A$1:$H$389,2,0),"")</f>
        <v>SEFAZ - BA DIGITAL CENTER (1394)</v>
      </c>
      <c r="F2281" t="s">
        <v>586</v>
      </c>
      <c r="G2281" s="149">
        <v>8935</v>
      </c>
      <c r="H2281" s="12">
        <v>46113</v>
      </c>
      <c r="I2281" s="24">
        <v>61911.850000000006</v>
      </c>
      <c r="J2281" s="27">
        <v>57701.842942555544</v>
      </c>
      <c r="K2281" s="3">
        <v>46153</v>
      </c>
      <c r="L2281" s="91">
        <v>46167</v>
      </c>
      <c r="M2281" s="5">
        <v>46167</v>
      </c>
      <c r="N2281" s="21" t="s">
        <v>588</v>
      </c>
      <c r="O2281" s="54"/>
      <c r="P2281" s="14"/>
      <c r="Q2281" t="str">
        <f>IFERROR(VLOOKUP(Tabela1[[#This Row],[CC]],CC!$A$1:$H$389,5,0),"")</f>
        <v>CSA</v>
      </c>
      <c r="R2281" t="str">
        <f>IFERROR(VLOOKUP(Tabela1[[#This Row],[CC]],CC!$A$1:$H$389,6,0),"")</f>
        <v>PS</v>
      </c>
      <c r="S2281" t="str">
        <f>IFERROR(VLOOKUP(Tabela1[[#This Row],[CC]],CC!$A$1:$H$403,8,0),"")</f>
        <v>OP4</v>
      </c>
    </row>
    <row r="2282" spans="1:19" x14ac:dyDescent="0.3">
      <c r="A2282" s="8">
        <v>1518</v>
      </c>
      <c r="B2282" s="8" t="str">
        <f>IFERROR(VLOOKUP(Tabela1[[#This Row],[CC]],#REF!,5,0),"")</f>
        <v/>
      </c>
      <c r="C2282" t="str">
        <f>IFERROR(VLOOKUP(Tabela1[[#This Row],[CC]],CC!$A$1:$H$389,7,0),"")</f>
        <v>ANTONIO ALVES</v>
      </c>
      <c r="D2282" t="str">
        <f>IFERROR(VLOOKUP(Tabela1[[#This Row],[CC]],CC!$A$1:$I$3869,3,0),"")</f>
        <v>SEFAZ_BA</v>
      </c>
      <c r="E2282" t="str">
        <f>IFERROR(VLOOKUP(Tabela1[[#This Row],[CC]],CC!$A$1:$H$389,2,0),"")</f>
        <v>SEFAZ - BA ADS (1518)</v>
      </c>
      <c r="F2282" t="s">
        <v>586</v>
      </c>
      <c r="G2282" s="136"/>
      <c r="H2282" s="12">
        <v>46143</v>
      </c>
      <c r="I2282" s="24">
        <v>104561.45</v>
      </c>
      <c r="J2282" s="24"/>
      <c r="K2282" s="3">
        <v>46101</v>
      </c>
      <c r="L2282" s="91">
        <v>46202</v>
      </c>
      <c r="M2282" s="5"/>
      <c r="N2282" s="21" t="s">
        <v>572</v>
      </c>
      <c r="O2282" s="54"/>
      <c r="P2282" s="14"/>
      <c r="Q2282" t="str">
        <f>IFERROR(VLOOKUP(Tabela1[[#This Row],[CC]],CC!$A$1:$H$389,5,0),"")</f>
        <v>ADS</v>
      </c>
      <c r="R2282" t="str">
        <f>IFERROR(VLOOKUP(Tabela1[[#This Row],[CC]],CC!$A$1:$H$389,6,0),"")</f>
        <v>PS</v>
      </c>
      <c r="S2282" t="str">
        <f>IFERROR(VLOOKUP(Tabela1[[#This Row],[CC]],CC!$A$1:$H$403,8,0),"")</f>
        <v>OP4</v>
      </c>
    </row>
    <row r="2283" spans="1:19" x14ac:dyDescent="0.3">
      <c r="A2283" s="8">
        <v>1394</v>
      </c>
      <c r="B2283" s="8" t="str">
        <f>IFERROR(VLOOKUP(Tabela1[[#This Row],[CC]],#REF!,5,0),"")</f>
        <v/>
      </c>
      <c r="C2283" t="str">
        <f>IFERROR(VLOOKUP(Tabela1[[#This Row],[CC]],CC!$A$1:$H$389,7,0),"")</f>
        <v>ANTONIO ALVES</v>
      </c>
      <c r="D2283" t="str">
        <f>IFERROR(VLOOKUP(Tabela1[[#This Row],[CC]],CC!$A$1:$I$3869,3,0),"")</f>
        <v>SEFAZ_BA</v>
      </c>
      <c r="E2283" t="str">
        <f>IFERROR(VLOOKUP(Tabela1[[#This Row],[CC]],CC!$A$1:$H$389,2,0),"")</f>
        <v>SEFAZ - BA DIGITAL CENTER (1394)</v>
      </c>
      <c r="F2283" t="s">
        <v>586</v>
      </c>
      <c r="G2283" s="106">
        <v>8895</v>
      </c>
      <c r="H2283" s="12">
        <v>46082</v>
      </c>
      <c r="I2283" s="24">
        <v>246181.25</v>
      </c>
      <c r="J2283" s="24">
        <v>229440.92</v>
      </c>
      <c r="K2283" s="3">
        <v>46140</v>
      </c>
      <c r="L2283" s="91">
        <v>46153</v>
      </c>
      <c r="M2283" s="5">
        <v>46155</v>
      </c>
      <c r="N2283" s="21" t="s">
        <v>588</v>
      </c>
      <c r="O2283" s="54"/>
      <c r="P2283" s="14"/>
      <c r="Q2283" t="str">
        <f>IFERROR(VLOOKUP(Tabela1[[#This Row],[CC]],CC!$A$1:$H$389,5,0),"")</f>
        <v>CSA</v>
      </c>
      <c r="R2283" t="str">
        <f>IFERROR(VLOOKUP(Tabela1[[#This Row],[CC]],CC!$A$1:$H$389,6,0),"")</f>
        <v>PS</v>
      </c>
      <c r="S2283" t="str">
        <f>IFERROR(VLOOKUP(Tabela1[[#This Row],[CC]],CC!$A$1:$H$403,8,0),"")</f>
        <v>OP4</v>
      </c>
    </row>
    <row r="2284" spans="1:19" x14ac:dyDescent="0.3">
      <c r="A2284" s="8">
        <v>1394</v>
      </c>
      <c r="B2284" s="8" t="str">
        <f>IFERROR(VLOOKUP(Tabela1[[#This Row],[CC]],#REF!,5,0),"")</f>
        <v/>
      </c>
      <c r="C2284" t="str">
        <f>IFERROR(VLOOKUP(Tabela1[[#This Row],[CC]],CC!$A$1:$H$389,7,0),"")</f>
        <v>ANTONIO ALVES</v>
      </c>
      <c r="D2284" t="str">
        <f>IFERROR(VLOOKUP(Tabela1[[#This Row],[CC]],CC!$A$1:$I$3869,3,0),"")</f>
        <v>SEFAZ_BA</v>
      </c>
      <c r="E2284" t="str">
        <f>IFERROR(VLOOKUP(Tabela1[[#This Row],[CC]],CC!$A$1:$H$389,2,0),"")</f>
        <v>SEFAZ - BA DIGITAL CENTER (1394)</v>
      </c>
      <c r="F2284" t="s">
        <v>586</v>
      </c>
      <c r="G2284" s="106">
        <v>8942</v>
      </c>
      <c r="H2284" s="12">
        <v>46113</v>
      </c>
      <c r="I2284" s="24">
        <v>94087.62</v>
      </c>
      <c r="J2284" s="24">
        <v>87689.66</v>
      </c>
      <c r="K2284" s="3">
        <v>46156</v>
      </c>
      <c r="L2284" s="91">
        <v>46160</v>
      </c>
      <c r="M2284" s="5">
        <v>46164</v>
      </c>
      <c r="N2284" s="21" t="s">
        <v>588</v>
      </c>
      <c r="O2284" s="54"/>
      <c r="P2284" s="14"/>
      <c r="Q2284" t="str">
        <f>IFERROR(VLOOKUP(Tabela1[[#This Row],[CC]],CC!$A$1:$H$389,5,0),"")</f>
        <v>CSA</v>
      </c>
      <c r="R2284" t="str">
        <f>IFERROR(VLOOKUP(Tabela1[[#This Row],[CC]],CC!$A$1:$H$389,6,0),"")</f>
        <v>PS</v>
      </c>
      <c r="S2284" t="str">
        <f>IFERROR(VLOOKUP(Tabela1[[#This Row],[CC]],CC!$A$1:$H$403,8,0),"")</f>
        <v>OP4</v>
      </c>
    </row>
    <row r="2285" spans="1:19" x14ac:dyDescent="0.3">
      <c r="A2285" s="8">
        <v>1394</v>
      </c>
      <c r="B2285" s="8" t="str">
        <f>IFERROR(VLOOKUP(Tabela1[[#This Row],[CC]],#REF!,5,0),"")</f>
        <v/>
      </c>
      <c r="C2285" t="str">
        <f>IFERROR(VLOOKUP(Tabela1[[#This Row],[CC]],CC!$A$1:$H$389,7,0),"")</f>
        <v>ANTONIO ALVES</v>
      </c>
      <c r="D2285" t="str">
        <f>IFERROR(VLOOKUP(Tabela1[[#This Row],[CC]],CC!$A$1:$I$3869,3,0),"")</f>
        <v>SEFAZ_BA</v>
      </c>
      <c r="E2285" t="str">
        <f>IFERROR(VLOOKUP(Tabela1[[#This Row],[CC]],CC!$A$1:$H$389,2,0),"")</f>
        <v>SEFAZ - BA DIGITAL CENTER (1394)</v>
      </c>
      <c r="F2285" t="s">
        <v>586</v>
      </c>
      <c r="G2285" s="106">
        <v>8943</v>
      </c>
      <c r="H2285" s="12">
        <v>46113</v>
      </c>
      <c r="I2285" s="24">
        <v>313649.51</v>
      </c>
      <c r="J2285" s="24">
        <v>292321.34000000003</v>
      </c>
      <c r="K2285" s="3">
        <v>46156</v>
      </c>
      <c r="L2285" s="91">
        <v>46167</v>
      </c>
      <c r="M2285" s="5">
        <v>46170</v>
      </c>
      <c r="N2285" s="21" t="s">
        <v>588</v>
      </c>
      <c r="O2285" s="54"/>
      <c r="P2285" s="14"/>
      <c r="Q2285" t="str">
        <f>IFERROR(VLOOKUP(Tabela1[[#This Row],[CC]],CC!$A$1:$H$389,5,0),"")</f>
        <v>CSA</v>
      </c>
      <c r="R2285" t="str">
        <f>IFERROR(VLOOKUP(Tabela1[[#This Row],[CC]],CC!$A$1:$H$389,6,0),"")</f>
        <v>PS</v>
      </c>
      <c r="S2285" t="str">
        <f>IFERROR(VLOOKUP(Tabela1[[#This Row],[CC]],CC!$A$1:$H$403,8,0),"")</f>
        <v>OP4</v>
      </c>
    </row>
    <row r="2286" spans="1:19" x14ac:dyDescent="0.3">
      <c r="A2286" s="8">
        <v>1394</v>
      </c>
      <c r="B2286" s="8" t="str">
        <f>IFERROR(VLOOKUP(Tabela1[[#This Row],[CC]],#REF!,5,0),"")</f>
        <v/>
      </c>
      <c r="C2286" t="str">
        <f>IFERROR(VLOOKUP(Tabela1[[#This Row],[CC]],CC!$A$1:$H$389,7,0),"")</f>
        <v>ANTONIO ALVES</v>
      </c>
      <c r="D2286" t="str">
        <f>IFERROR(VLOOKUP(Tabela1[[#This Row],[CC]],CC!$A$1:$I$3869,3,0),"")</f>
        <v>SEFAZ_BA</v>
      </c>
      <c r="E2286" t="str">
        <f>IFERROR(VLOOKUP(Tabela1[[#This Row],[CC]],CC!$A$1:$H$389,2,0),"")</f>
        <v>SEFAZ - BA DIGITAL CENTER (1394)</v>
      </c>
      <c r="F2286" t="s">
        <v>586</v>
      </c>
      <c r="G2286" s="106">
        <v>8949</v>
      </c>
      <c r="H2286" s="12">
        <v>46113</v>
      </c>
      <c r="I2286" s="24">
        <v>207937.88424347283</v>
      </c>
      <c r="J2286" s="24">
        <v>193798.11</v>
      </c>
      <c r="K2286" s="3">
        <v>46161</v>
      </c>
      <c r="L2286" s="91">
        <v>46167</v>
      </c>
      <c r="M2286" s="5">
        <v>46169</v>
      </c>
      <c r="N2286" s="21" t="s">
        <v>588</v>
      </c>
      <c r="O2286" s="54"/>
      <c r="P2286" s="14"/>
      <c r="Q2286" t="str">
        <f>IFERROR(VLOOKUP(Tabela1[[#This Row],[CC]],CC!$A$1:$H$389,5,0),"")</f>
        <v>CSA</v>
      </c>
      <c r="R2286" t="str">
        <f>IFERROR(VLOOKUP(Tabela1[[#This Row],[CC]],CC!$A$1:$H$389,6,0),"")</f>
        <v>PS</v>
      </c>
      <c r="S2286" t="str">
        <f>IFERROR(VLOOKUP(Tabela1[[#This Row],[CC]],CC!$A$1:$H$403,8,0),"")</f>
        <v>OP4</v>
      </c>
    </row>
    <row r="2287" spans="1:19" x14ac:dyDescent="0.3">
      <c r="A2287" s="8">
        <v>1476</v>
      </c>
      <c r="B2287" s="8" t="str">
        <f>IFERROR(VLOOKUP(Tabela1[[#This Row],[CC]],#REF!,5,0),"")</f>
        <v/>
      </c>
      <c r="C2287" t="str">
        <f>IFERROR(VLOOKUP(Tabela1[[#This Row],[CC]],CC!$A$1:$H$389,7,0),"")</f>
        <v>ROGERIO GORDILHO</v>
      </c>
      <c r="D2287" t="str">
        <f>IFERROR(VLOOKUP(Tabela1[[#This Row],[CC]],CC!$A$1:$I$3869,3,0),"")</f>
        <v>DPE</v>
      </c>
      <c r="E2287" t="str">
        <f>IFERROR(VLOOKUP(Tabela1[[#This Row],[CC]],CC!$A$1:$H$389,2,0),"")</f>
        <v>DPE - BA Digital Center (1476)</v>
      </c>
      <c r="F2287" t="s">
        <v>586</v>
      </c>
      <c r="G2287" s="106">
        <v>8944</v>
      </c>
      <c r="H2287" s="12">
        <v>46113</v>
      </c>
      <c r="I2287" s="155">
        <v>369184.69</v>
      </c>
      <c r="J2287" s="27">
        <v>331158.67</v>
      </c>
      <c r="K2287" s="3">
        <v>46157</v>
      </c>
      <c r="L2287" s="147">
        <v>46174</v>
      </c>
      <c r="M2287" s="5">
        <v>46174</v>
      </c>
      <c r="N2287" s="21" t="s">
        <v>588</v>
      </c>
      <c r="O2287" s="34"/>
      <c r="P2287" s="14"/>
      <c r="Q2287" t="str">
        <f>IFERROR(VLOOKUP(Tabela1[[#This Row],[CC]],CC!$A$1:$H$389,5,0),"")</f>
        <v>CSA</v>
      </c>
      <c r="R2287" t="str">
        <f>IFERROR(VLOOKUP(Tabela1[[#This Row],[CC]],CC!$A$1:$H$389,6,0),"")</f>
        <v>PS</v>
      </c>
      <c r="S2287" t="str">
        <f>IFERROR(VLOOKUP(Tabela1[[#This Row],[CC]],CC!$A$1:$H$403,8,0),"")</f>
        <v>OP4</v>
      </c>
    </row>
    <row r="2288" spans="1:19" x14ac:dyDescent="0.3">
      <c r="A2288" s="8">
        <v>1393</v>
      </c>
      <c r="B2288" s="8" t="str">
        <f>IFERROR(VLOOKUP(Tabela1[[#This Row],[CC]],#REF!,5,0),"")</f>
        <v/>
      </c>
      <c r="C2288" t="str">
        <f>IFERROR(VLOOKUP(Tabela1[[#This Row],[CC]],CC!$A$1:$H$389,7,0),"")</f>
        <v>ROGERIO GORDILHO</v>
      </c>
      <c r="D2288" t="str">
        <f>IFERROR(VLOOKUP(Tabela1[[#This Row],[CC]],CC!$A$1:$I$3869,3,0),"")</f>
        <v xml:space="preserve">DETRAN-BA </v>
      </c>
      <c r="E2288" t="str">
        <f>IFERROR(VLOOKUP(Tabela1[[#This Row],[CC]],CC!$A$1:$H$389,2,0),"")</f>
        <v>DETRAN - N3 (1393)</v>
      </c>
      <c r="F2288" t="s">
        <v>586</v>
      </c>
      <c r="G2288" s="107">
        <v>8948</v>
      </c>
      <c r="H2288" s="12">
        <v>46142</v>
      </c>
      <c r="I2288" s="24">
        <v>461957.51</v>
      </c>
      <c r="J2288" s="24">
        <v>414375.89</v>
      </c>
      <c r="K2288" s="3">
        <v>46160</v>
      </c>
      <c r="L2288" s="91">
        <v>46195</v>
      </c>
      <c r="M2288" s="5"/>
      <c r="N2288" s="18" t="s">
        <v>587</v>
      </c>
      <c r="O2288" s="34"/>
      <c r="P2288" s="14"/>
      <c r="Q2288" t="str">
        <f>IFERROR(VLOOKUP(Tabela1[[#This Row],[CC]],CC!$A$1:$H$389,5,0),"")</f>
        <v>CSA</v>
      </c>
      <c r="R2288" t="str">
        <f>IFERROR(VLOOKUP(Tabela1[[#This Row],[CC]],CC!$A$1:$H$389,6,0),"")</f>
        <v>PS</v>
      </c>
      <c r="S2288" t="str">
        <f>IFERROR(VLOOKUP(Tabela1[[#This Row],[CC]],CC!$A$1:$H$403,8,0),"")</f>
        <v>OP4</v>
      </c>
    </row>
    <row r="2289" spans="1:19" s="125" customFormat="1" x14ac:dyDescent="0.3">
      <c r="A2289" s="124">
        <v>1394</v>
      </c>
      <c r="B2289" s="124" t="str">
        <f>IFERROR(VLOOKUP(Tabela1[[#This Row],[CC]],#REF!,5,0),"")</f>
        <v/>
      </c>
      <c r="C2289" s="125" t="str">
        <f>IFERROR(VLOOKUP(Tabela1[[#This Row],[CC]],CC!$A$1:$H$389,7,0),"")</f>
        <v>ANTONIO ALVES</v>
      </c>
      <c r="D2289" s="125" t="str">
        <f>IFERROR(VLOOKUP(Tabela1[[#This Row],[CC]],CC!$A$1:$I$3869,3,0),"")</f>
        <v>SEFAZ_BA</v>
      </c>
      <c r="E2289" s="125" t="str">
        <f>IFERROR(VLOOKUP(Tabela1[[#This Row],[CC]],CC!$A$1:$H$389,2,0),"")</f>
        <v>SEFAZ - BA DIGITAL CENTER (1394)</v>
      </c>
      <c r="F2289" s="125" t="s">
        <v>586</v>
      </c>
      <c r="G2289" s="126"/>
      <c r="H2289" s="15">
        <v>45992</v>
      </c>
      <c r="I2289" s="43">
        <v>357689</v>
      </c>
      <c r="J2289" s="43"/>
      <c r="K2289" s="52">
        <v>46082</v>
      </c>
      <c r="L2289" s="127"/>
      <c r="M2289" s="128"/>
      <c r="N2289" s="129" t="s">
        <v>572</v>
      </c>
      <c r="O2289" s="130"/>
      <c r="P2289" s="131"/>
      <c r="Q2289" s="125" t="str">
        <f>IFERROR(VLOOKUP(Tabela1[[#This Row],[CC]],CC!$A$1:$H$389,5,0),"")</f>
        <v>CSA</v>
      </c>
      <c r="R2289" s="125" t="str">
        <f>IFERROR(VLOOKUP(Tabela1[[#This Row],[CC]],CC!$A$1:$H$389,6,0),"")</f>
        <v>PS</v>
      </c>
      <c r="S2289" s="125" t="str">
        <f>IFERROR(VLOOKUP(Tabela1[[#This Row],[CC]],CC!$A$1:$H$403,8,0),"")</f>
        <v>OP4</v>
      </c>
    </row>
    <row r="2290" spans="1:19" x14ac:dyDescent="0.3">
      <c r="A2290" s="8">
        <v>1394</v>
      </c>
      <c r="B2290" s="8" t="str">
        <f>IFERROR(VLOOKUP(Tabela1[[#This Row],[CC]],#REF!,5,0),"")</f>
        <v/>
      </c>
      <c r="C2290" t="str">
        <f>IFERROR(VLOOKUP(Tabela1[[#This Row],[CC]],CC!$A$1:$H$389,7,0),"")</f>
        <v>ANTONIO ALVES</v>
      </c>
      <c r="D2290" t="str">
        <f>IFERROR(VLOOKUP(Tabela1[[#This Row],[CC]],CC!$A$1:$I$3869,3,0),"")</f>
        <v>SEFAZ_BA</v>
      </c>
      <c r="E2290" t="str">
        <f>IFERROR(VLOOKUP(Tabela1[[#This Row],[CC]],CC!$A$1:$H$389,2,0),"")</f>
        <v>SEFAZ - BA DIGITAL CENTER (1394)</v>
      </c>
      <c r="F2290" t="s">
        <v>586</v>
      </c>
      <c r="G2290" s="106">
        <v>8779</v>
      </c>
      <c r="H2290" s="12">
        <v>45992</v>
      </c>
      <c r="I2290" s="24">
        <v>246181.25</v>
      </c>
      <c r="J2290" s="24">
        <v>229440.92</v>
      </c>
      <c r="K2290" s="3">
        <v>46083</v>
      </c>
      <c r="L2290" s="91">
        <v>46090</v>
      </c>
      <c r="M2290" s="5">
        <v>46093</v>
      </c>
      <c r="N2290" s="21" t="s">
        <v>588</v>
      </c>
      <c r="O2290" s="54"/>
      <c r="P2290" s="14"/>
      <c r="Q2290" t="str">
        <f>IFERROR(VLOOKUP(Tabela1[[#This Row],[CC]],CC!$A$1:$H$389,5,0),"")</f>
        <v>CSA</v>
      </c>
      <c r="R2290" t="str">
        <f>IFERROR(VLOOKUP(Tabela1[[#This Row],[CC]],CC!$A$1:$H$389,6,0),"")</f>
        <v>PS</v>
      </c>
      <c r="S2290" t="str">
        <f>IFERROR(VLOOKUP(Tabela1[[#This Row],[CC]],CC!$A$1:$H$403,8,0),"")</f>
        <v>OP4</v>
      </c>
    </row>
    <row r="2291" spans="1:19" x14ac:dyDescent="0.3">
      <c r="A2291" s="8">
        <v>1394</v>
      </c>
      <c r="B2291" s="8" t="str">
        <f>IFERROR(VLOOKUP(Tabela1[[#This Row],[CC]],#REF!,5,0),"")</f>
        <v/>
      </c>
      <c r="C2291" t="str">
        <f>IFERROR(VLOOKUP(Tabela1[[#This Row],[CC]],CC!$A$1:$H$389,7,0),"")</f>
        <v>ANTONIO ALVES</v>
      </c>
      <c r="D2291" t="str">
        <f>IFERROR(VLOOKUP(Tabela1[[#This Row],[CC]],CC!$A$1:$I$3869,3,0),"")</f>
        <v>SEFAZ_BA</v>
      </c>
      <c r="E2291" t="str">
        <f>IFERROR(VLOOKUP(Tabela1[[#This Row],[CC]],CC!$A$1:$H$389,2,0),"")</f>
        <v>SEFAZ - BA DIGITAL CENTER (1394)</v>
      </c>
      <c r="F2291" t="s">
        <v>586</v>
      </c>
      <c r="G2291" s="106">
        <v>8729</v>
      </c>
      <c r="H2291" s="12">
        <v>45992</v>
      </c>
      <c r="I2291" s="24">
        <v>140971.81</v>
      </c>
      <c r="J2291" s="24">
        <v>131385.72</v>
      </c>
      <c r="K2291" s="3">
        <v>46049</v>
      </c>
      <c r="L2291" s="91">
        <v>46055</v>
      </c>
      <c r="M2291" s="5">
        <v>46056</v>
      </c>
      <c r="N2291" s="21" t="s">
        <v>588</v>
      </c>
      <c r="O2291" s="54"/>
      <c r="P2291" s="14"/>
      <c r="Q2291" t="str">
        <f>IFERROR(VLOOKUP(Tabela1[[#This Row],[CC]],CC!$A$1:$H$389,5,0),"")</f>
        <v>CSA</v>
      </c>
      <c r="R2291" t="str">
        <f>IFERROR(VLOOKUP(Tabela1[[#This Row],[CC]],CC!$A$1:$H$389,6,0),"")</f>
        <v>PS</v>
      </c>
      <c r="S2291" t="str">
        <f>IFERROR(VLOOKUP(Tabela1[[#This Row],[CC]],CC!$A$1:$H$403,8,0),"")</f>
        <v>OP4</v>
      </c>
    </row>
    <row r="2292" spans="1:19" x14ac:dyDescent="0.3">
      <c r="A2292" s="8">
        <v>1394</v>
      </c>
      <c r="B2292" s="8" t="str">
        <f>IFERROR(VLOOKUP(Tabela1[[#This Row],[CC]],#REF!,5,0),"")</f>
        <v/>
      </c>
      <c r="C2292" t="str">
        <f>IFERROR(VLOOKUP(Tabela1[[#This Row],[CC]],CC!$A$1:$H$389,7,0),"")</f>
        <v>ANTONIO ALVES</v>
      </c>
      <c r="D2292" t="str">
        <f>IFERROR(VLOOKUP(Tabela1[[#This Row],[CC]],CC!$A$1:$I$3869,3,0),"")</f>
        <v>SEFAZ_BA</v>
      </c>
      <c r="E2292" t="str">
        <f>IFERROR(VLOOKUP(Tabela1[[#This Row],[CC]],CC!$A$1:$H$389,2,0),"")</f>
        <v>SEFAZ - BA DIGITAL CENTER (1394)</v>
      </c>
      <c r="F2292" t="s">
        <v>586</v>
      </c>
      <c r="G2292" s="106">
        <v>8727</v>
      </c>
      <c r="H2292" s="12">
        <v>45992</v>
      </c>
      <c r="I2292" s="24">
        <v>94087.62</v>
      </c>
      <c r="J2292" s="24">
        <v>87689.66</v>
      </c>
      <c r="K2292" s="3">
        <v>46048</v>
      </c>
      <c r="L2292" s="91">
        <v>46055</v>
      </c>
      <c r="M2292" s="5">
        <v>46056</v>
      </c>
      <c r="N2292" s="21" t="s">
        <v>588</v>
      </c>
      <c r="O2292" s="54"/>
      <c r="P2292" s="14"/>
      <c r="Q2292" t="str">
        <f>IFERROR(VLOOKUP(Tabela1[[#This Row],[CC]],CC!$A$1:$H$389,5,0),"")</f>
        <v>CSA</v>
      </c>
      <c r="R2292" t="str">
        <f>IFERROR(VLOOKUP(Tabela1[[#This Row],[CC]],CC!$A$1:$H$389,6,0),"")</f>
        <v>PS</v>
      </c>
      <c r="S2292" t="str">
        <f>IFERROR(VLOOKUP(Tabela1[[#This Row],[CC]],CC!$A$1:$H$403,8,0),"")</f>
        <v>OP4</v>
      </c>
    </row>
    <row r="2293" spans="1:19" x14ac:dyDescent="0.3">
      <c r="A2293" s="8">
        <v>1394</v>
      </c>
      <c r="B2293" s="8" t="str">
        <f>IFERROR(VLOOKUP(Tabela1[[#This Row],[CC]],#REF!,5,0),"")</f>
        <v/>
      </c>
      <c r="C2293" t="str">
        <f>IFERROR(VLOOKUP(Tabela1[[#This Row],[CC]],CC!$A$1:$H$389,7,0),"")</f>
        <v>ANTONIO ALVES</v>
      </c>
      <c r="D2293" t="str">
        <f>IFERROR(VLOOKUP(Tabela1[[#This Row],[CC]],CC!$A$1:$I$3869,3,0),"")</f>
        <v>SEFAZ_BA</v>
      </c>
      <c r="E2293" t="str">
        <f>IFERROR(VLOOKUP(Tabela1[[#This Row],[CC]],CC!$A$1:$H$389,2,0),"")</f>
        <v>SEFAZ - BA DIGITAL CENTER (1394)</v>
      </c>
      <c r="F2293" t="s">
        <v>586</v>
      </c>
      <c r="G2293" s="106">
        <v>8728</v>
      </c>
      <c r="H2293" s="12">
        <v>45992</v>
      </c>
      <c r="I2293" s="24">
        <v>313649.51</v>
      </c>
      <c r="J2293" s="24">
        <v>292321.34000000003</v>
      </c>
      <c r="K2293" s="3">
        <v>46048</v>
      </c>
      <c r="L2293" s="91">
        <v>46062</v>
      </c>
      <c r="M2293" s="5">
        <v>46063</v>
      </c>
      <c r="N2293" s="21" t="s">
        <v>588</v>
      </c>
      <c r="O2293" s="54"/>
      <c r="P2293" s="14"/>
      <c r="Q2293" t="str">
        <f>IFERROR(VLOOKUP(Tabela1[[#This Row],[CC]],CC!$A$1:$H$389,5,0),"")</f>
        <v>CSA</v>
      </c>
      <c r="R2293" t="str">
        <f>IFERROR(VLOOKUP(Tabela1[[#This Row],[CC]],CC!$A$1:$H$389,6,0),"")</f>
        <v>PS</v>
      </c>
      <c r="S2293" t="str">
        <f>IFERROR(VLOOKUP(Tabela1[[#This Row],[CC]],CC!$A$1:$H$403,8,0),"")</f>
        <v>OP4</v>
      </c>
    </row>
    <row r="2294" spans="1:19" x14ac:dyDescent="0.3">
      <c r="A2294" s="8">
        <v>1394</v>
      </c>
      <c r="B2294" s="8" t="str">
        <f>IFERROR(VLOOKUP(Tabela1[[#This Row],[CC]],#REF!,5,0),"")</f>
        <v/>
      </c>
      <c r="C2294" t="str">
        <f>IFERROR(VLOOKUP(Tabela1[[#This Row],[CC]],CC!$A$1:$H$389,7,0),"")</f>
        <v>ANTONIO ALVES</v>
      </c>
      <c r="D2294" t="str">
        <f>IFERROR(VLOOKUP(Tabela1[[#This Row],[CC]],CC!$A$1:$I$3869,3,0),"")</f>
        <v>SEFAZ_BA</v>
      </c>
      <c r="E2294" t="str">
        <f>IFERROR(VLOOKUP(Tabela1[[#This Row],[CC]],CC!$A$1:$H$389,2,0),"")</f>
        <v>SEFAZ - BA DIGITAL CENTER (1394)</v>
      </c>
      <c r="F2294" t="s">
        <v>586</v>
      </c>
      <c r="G2294" s="106">
        <v>8725</v>
      </c>
      <c r="H2294" s="12">
        <v>45992</v>
      </c>
      <c r="I2294" s="24">
        <v>74471.12</v>
      </c>
      <c r="J2294" s="27">
        <v>69407.09</v>
      </c>
      <c r="K2294" s="3">
        <v>46044</v>
      </c>
      <c r="L2294" s="91">
        <v>46055</v>
      </c>
      <c r="M2294" s="5">
        <v>46056</v>
      </c>
      <c r="N2294" s="21" t="s">
        <v>588</v>
      </c>
      <c r="O2294" s="54"/>
      <c r="P2294" s="14"/>
      <c r="Q2294" t="str">
        <f>IFERROR(VLOOKUP(Tabela1[[#This Row],[CC]],CC!$A$1:$H$389,5,0),"")</f>
        <v>CSA</v>
      </c>
      <c r="R2294" t="str">
        <f>IFERROR(VLOOKUP(Tabela1[[#This Row],[CC]],CC!$A$1:$H$389,6,0),"")</f>
        <v>PS</v>
      </c>
      <c r="S2294" t="str">
        <f>IFERROR(VLOOKUP(Tabela1[[#This Row],[CC]],CC!$A$1:$H$403,8,0),"")</f>
        <v>OP4</v>
      </c>
    </row>
    <row r="2295" spans="1:19" x14ac:dyDescent="0.3">
      <c r="A2295" s="8">
        <v>1394</v>
      </c>
      <c r="B2295" s="8" t="str">
        <f>IFERROR(VLOOKUP(Tabela1[[#This Row],[CC]],#REF!,5,0),"")</f>
        <v/>
      </c>
      <c r="C2295" t="str">
        <f>IFERROR(VLOOKUP(Tabela1[[#This Row],[CC]],CC!$A$1:$H$389,7,0),"")</f>
        <v>ANTONIO ALVES</v>
      </c>
      <c r="D2295" t="str">
        <f>IFERROR(VLOOKUP(Tabela1[[#This Row],[CC]],CC!$A$1:$I$3869,3,0),"")</f>
        <v>SEFAZ_BA</v>
      </c>
      <c r="E2295" t="str">
        <f>IFERROR(VLOOKUP(Tabela1[[#This Row],[CC]],CC!$A$1:$H$389,2,0),"")</f>
        <v>SEFAZ - BA DIGITAL CENTER (1394)</v>
      </c>
      <c r="F2295" t="s">
        <v>586</v>
      </c>
      <c r="G2295" s="106">
        <v>8709</v>
      </c>
      <c r="H2295" s="12">
        <v>45992</v>
      </c>
      <c r="I2295" s="24">
        <v>181994.94</v>
      </c>
      <c r="J2295" s="27">
        <v>169619.28</v>
      </c>
      <c r="K2295" s="3">
        <v>46031</v>
      </c>
      <c r="L2295" s="91">
        <v>46048</v>
      </c>
      <c r="M2295" s="5">
        <v>46050</v>
      </c>
      <c r="N2295" s="21" t="s">
        <v>588</v>
      </c>
      <c r="O2295" s="54"/>
      <c r="P2295" s="14"/>
      <c r="Q2295" t="str">
        <f>IFERROR(VLOOKUP(Tabela1[[#This Row],[CC]],CC!$A$1:$H$389,5,0),"")</f>
        <v>CSA</v>
      </c>
      <c r="R2295" t="str">
        <f>IFERROR(VLOOKUP(Tabela1[[#This Row],[CC]],CC!$A$1:$H$389,6,0),"")</f>
        <v>PS</v>
      </c>
      <c r="S2295" t="str">
        <f>IFERROR(VLOOKUP(Tabela1[[#This Row],[CC]],CC!$A$1:$H$403,8,0),"")</f>
        <v>OP4</v>
      </c>
    </row>
    <row r="2296" spans="1:19" x14ac:dyDescent="0.3">
      <c r="A2296" s="8">
        <v>1394</v>
      </c>
      <c r="B2296" s="8" t="str">
        <f>IFERROR(VLOOKUP(Tabela1[[#This Row],[CC]],#REF!,5,0),"")</f>
        <v/>
      </c>
      <c r="C2296" t="str">
        <f>IFERROR(VLOOKUP(Tabela1[[#This Row],[CC]],CC!$A$1:$H$389,7,0),"")</f>
        <v>ANTONIO ALVES</v>
      </c>
      <c r="D2296" t="str">
        <f>IFERROR(VLOOKUP(Tabela1[[#This Row],[CC]],CC!$A$1:$I$3869,3,0),"")</f>
        <v>SEFAZ_BA</v>
      </c>
      <c r="E2296" t="str">
        <f>IFERROR(VLOOKUP(Tabela1[[#This Row],[CC]],CC!$A$1:$H$389,2,0),"")</f>
        <v>SEFAZ - BA DIGITAL CENTER (1394)</v>
      </c>
      <c r="F2296" t="s">
        <v>586</v>
      </c>
      <c r="G2296" s="106">
        <v>8720</v>
      </c>
      <c r="H2296" s="12">
        <v>45992</v>
      </c>
      <c r="I2296" s="24">
        <v>119825.81</v>
      </c>
      <c r="J2296" s="27">
        <v>111677.65</v>
      </c>
      <c r="K2296" s="3">
        <v>46038</v>
      </c>
      <c r="L2296" s="91">
        <v>46048</v>
      </c>
      <c r="M2296" s="5">
        <v>46050</v>
      </c>
      <c r="N2296" s="21" t="s">
        <v>588</v>
      </c>
      <c r="O2296" s="54"/>
      <c r="P2296" s="14"/>
      <c r="Q2296" t="str">
        <f>IFERROR(VLOOKUP(Tabela1[[#This Row],[CC]],CC!$A$1:$H$389,5,0),"")</f>
        <v>CSA</v>
      </c>
      <c r="R2296" t="str">
        <f>IFERROR(VLOOKUP(Tabela1[[#This Row],[CC]],CC!$A$1:$H$389,6,0),"")</f>
        <v>PS</v>
      </c>
      <c r="S2296" t="str">
        <f>IFERROR(VLOOKUP(Tabela1[[#This Row],[CC]],CC!$A$1:$H$403,8,0),"")</f>
        <v>OP4</v>
      </c>
    </row>
    <row r="2297" spans="1:19" x14ac:dyDescent="0.3">
      <c r="A2297" s="25">
        <v>1398</v>
      </c>
      <c r="B2297" s="25" t="str">
        <f>IFERROR(VLOOKUP(Tabela1[[#This Row],[CC]],#REF!,5,0),"")</f>
        <v/>
      </c>
      <c r="C2297" t="str">
        <f>IFERROR(VLOOKUP(Tabela1[[#This Row],[CC]],CC!$A$1:$H$389,7,0),"")</f>
        <v>RODRIGO CORUMBA</v>
      </c>
      <c r="D2297" t="str">
        <f>IFERROR(VLOOKUP(Tabela1[[#This Row],[CC]],CC!$A$1:$I$3869,3,0),"")</f>
        <v>COMPASS</v>
      </c>
      <c r="E2297" t="str">
        <f>IFERROR(VLOOKUP(Tabela1[[#This Row],[CC]],CC!$A$1:$H$389,2,0),"")</f>
        <v>COMPASS (1398)</v>
      </c>
      <c r="F2297" t="s">
        <v>586</v>
      </c>
      <c r="G2297" s="110">
        <v>8684</v>
      </c>
      <c r="H2297" s="12">
        <v>45931</v>
      </c>
      <c r="I2297" s="24">
        <v>22241.65</v>
      </c>
      <c r="J2297" s="24">
        <v>20873.79</v>
      </c>
      <c r="K2297" s="3">
        <v>46002</v>
      </c>
      <c r="L2297" s="91">
        <v>46062</v>
      </c>
      <c r="M2297" s="11">
        <v>46062</v>
      </c>
      <c r="N2297" s="18" t="s">
        <v>588</v>
      </c>
      <c r="O2297" s="35">
        <v>0</v>
      </c>
      <c r="P2297"/>
      <c r="Q2297" t="str">
        <f>IFERROR(VLOOKUP(Tabela1[[#This Row],[CC]],CC!$A$1:$H$389,5,0),"")</f>
        <v>CSA</v>
      </c>
      <c r="R2297" t="str">
        <f>IFERROR(VLOOKUP(Tabela1[[#This Row],[CC]],CC!$A$1:$H$389,6,0),"")</f>
        <v>UT</v>
      </c>
      <c r="S2297" t="str">
        <f>IFERROR(VLOOKUP(Tabela1[[#This Row],[CC]],CC!$A$1:$H$403,8,0),"")</f>
        <v>OP2</v>
      </c>
    </row>
    <row r="2298" spans="1:19" ht="15.6" customHeight="1" x14ac:dyDescent="0.3">
      <c r="A2298" s="25">
        <v>1360</v>
      </c>
      <c r="B2298" s="25" t="str">
        <f>IFERROR(VLOOKUP(Tabela1[[#This Row],[CC]],#REF!,5,0),"")</f>
        <v/>
      </c>
      <c r="C2298" t="str">
        <f>IFERROR(VLOOKUP(Tabela1[[#This Row],[CC]],CC!$A$1:$H$389,7,0),"")</f>
        <v>RITA ANDRADE</v>
      </c>
      <c r="D2298" t="str">
        <f>IFERROR(VLOOKUP(Tabela1[[#This Row],[CC]],CC!$A$1:$I$3869,3,0),"")</f>
        <v>SERASA</v>
      </c>
      <c r="E2298" t="str">
        <f>IFERROR(VLOOKUP(Tabela1[[#This Row],[CC]],CC!$A$1:$H$389,2,0),"")</f>
        <v>SERASA EXPERIAN (1360)</v>
      </c>
      <c r="F2298" t="s">
        <v>586</v>
      </c>
      <c r="G2298" s="107">
        <v>4559</v>
      </c>
      <c r="H2298" s="12">
        <v>45962</v>
      </c>
      <c r="I2298" s="24">
        <v>15120</v>
      </c>
      <c r="J2298" s="24">
        <v>14190.13</v>
      </c>
      <c r="K2298" s="3">
        <v>45985</v>
      </c>
      <c r="L2298" s="91">
        <v>46020</v>
      </c>
      <c r="M2298" s="11">
        <v>46020</v>
      </c>
      <c r="N2298" s="18" t="s">
        <v>588</v>
      </c>
      <c r="O2298" s="35"/>
      <c r="P2298"/>
      <c r="Q2298" t="str">
        <f>IFERROR(VLOOKUP(Tabela1[[#This Row],[CC]],CC!$A$1:$H$389,5,0),"")</f>
        <v>ADS</v>
      </c>
      <c r="R2298" t="str">
        <f>IFERROR(VLOOKUP(Tabela1[[#This Row],[CC]],CC!$A$1:$H$389,6,0),"")</f>
        <v>FS</v>
      </c>
      <c r="S2298" t="str">
        <f>IFERROR(VLOOKUP(Tabela1[[#This Row],[CC]],CC!$A$1:$H$403,8,0),"")</f>
        <v>OP1</v>
      </c>
    </row>
    <row r="2299" spans="1:19" ht="15.6" customHeight="1" x14ac:dyDescent="0.3">
      <c r="A2299" s="25">
        <v>1360</v>
      </c>
      <c r="B2299" s="25" t="str">
        <f>IFERROR(VLOOKUP(Tabela1[[#This Row],[CC]],#REF!,5,0),"")</f>
        <v/>
      </c>
      <c r="C2299" t="str">
        <f>IFERROR(VLOOKUP(Tabela1[[#This Row],[CC]],CC!$A$1:$H$389,7,0),"")</f>
        <v>RITA ANDRADE</v>
      </c>
      <c r="D2299" t="str">
        <f>IFERROR(VLOOKUP(Tabela1[[#This Row],[CC]],CC!$A$1:$I$3869,3,0),"")</f>
        <v>SERASA</v>
      </c>
      <c r="E2299" t="str">
        <f>IFERROR(VLOOKUP(Tabela1[[#This Row],[CC]],CC!$A$1:$H$389,2,0),"")</f>
        <v>SERASA EXPERIAN (1360)</v>
      </c>
      <c r="F2299" t="s">
        <v>586</v>
      </c>
      <c r="G2299" s="107">
        <v>4572</v>
      </c>
      <c r="H2299" s="12">
        <v>45962</v>
      </c>
      <c r="I2299" s="24">
        <v>22639.68</v>
      </c>
      <c r="J2299" s="24">
        <v>21247.33</v>
      </c>
      <c r="K2299" s="3">
        <v>45987</v>
      </c>
      <c r="L2299" s="91">
        <v>46020</v>
      </c>
      <c r="M2299" s="11">
        <v>46020</v>
      </c>
      <c r="N2299" s="18" t="s">
        <v>588</v>
      </c>
      <c r="O2299" s="35"/>
      <c r="P2299"/>
      <c r="Q2299" t="str">
        <f>IFERROR(VLOOKUP(Tabela1[[#This Row],[CC]],CC!$A$1:$H$389,5,0),"")</f>
        <v>ADS</v>
      </c>
      <c r="R2299" t="str">
        <f>IFERROR(VLOOKUP(Tabela1[[#This Row],[CC]],CC!$A$1:$H$389,6,0),"")</f>
        <v>FS</v>
      </c>
      <c r="S2299" t="str">
        <f>IFERROR(VLOOKUP(Tabela1[[#This Row],[CC]],CC!$A$1:$H$403,8,0),"")</f>
        <v>OP1</v>
      </c>
    </row>
    <row r="2300" spans="1:19" ht="15.6" customHeight="1" x14ac:dyDescent="0.3">
      <c r="A2300" s="25">
        <v>1387</v>
      </c>
      <c r="B2300" s="25" t="str">
        <f>IFERROR(VLOOKUP(Tabela1[[#This Row],[CC]],#REF!,5,0),"")</f>
        <v/>
      </c>
      <c r="C2300" t="str">
        <f>IFERROR(VLOOKUP(Tabela1[[#This Row],[CC]],CC!$A$1:$H$389,7,0),"")</f>
        <v>RITA ANDRADE</v>
      </c>
      <c r="D2300" t="str">
        <f>IFERROR(VLOOKUP(Tabela1[[#This Row],[CC]],CC!$A$1:$I$3869,3,0),"")</f>
        <v>SERASA</v>
      </c>
      <c r="E2300" t="str">
        <f>IFERROR(VLOOKUP(Tabela1[[#This Row],[CC]],CC!$A$1:$H$389,2,0),"")</f>
        <v>SERASA DC (1387)</v>
      </c>
      <c r="F2300" t="s">
        <v>586</v>
      </c>
      <c r="G2300" s="113">
        <v>4614</v>
      </c>
      <c r="H2300" s="12">
        <v>45962</v>
      </c>
      <c r="I2300" s="24">
        <v>58118.400000000001</v>
      </c>
      <c r="J2300" s="24">
        <v>54544.12</v>
      </c>
      <c r="K2300" s="3">
        <v>45994</v>
      </c>
      <c r="L2300" s="91">
        <v>46006</v>
      </c>
      <c r="M2300" s="11">
        <v>46009</v>
      </c>
      <c r="N2300" s="18" t="s">
        <v>588</v>
      </c>
      <c r="O2300" s="35"/>
      <c r="P2300"/>
      <c r="Q2300" t="str">
        <f>IFERROR(VLOOKUP(Tabela1[[#This Row],[CC]],CC!$A$1:$H$389,5,0),"")</f>
        <v>CSA</v>
      </c>
      <c r="R2300" t="str">
        <f>IFERROR(VLOOKUP(Tabela1[[#This Row],[CC]],CC!$A$1:$H$389,6,0),"")</f>
        <v>FS</v>
      </c>
      <c r="S2300" t="str">
        <f>IFERROR(VLOOKUP(Tabela1[[#This Row],[CC]],CC!$A$1:$H$403,8,0),"")</f>
        <v>OP1</v>
      </c>
    </row>
    <row r="2301" spans="1:19" ht="15.6" customHeight="1" x14ac:dyDescent="0.3">
      <c r="A2301" s="25">
        <v>1387</v>
      </c>
      <c r="B2301" s="25" t="str">
        <f>IFERROR(VLOOKUP(Tabela1[[#This Row],[CC]],#REF!,5,0),"")</f>
        <v/>
      </c>
      <c r="C2301" t="str">
        <f>IFERROR(VLOOKUP(Tabela1[[#This Row],[CC]],CC!$A$1:$H$389,7,0),"")</f>
        <v>RITA ANDRADE</v>
      </c>
      <c r="D2301" t="str">
        <f>IFERROR(VLOOKUP(Tabela1[[#This Row],[CC]],CC!$A$1:$I$3869,3,0),"")</f>
        <v>SERASA</v>
      </c>
      <c r="E2301" t="str">
        <f>IFERROR(VLOOKUP(Tabela1[[#This Row],[CC]],CC!$A$1:$H$389,2,0),"")</f>
        <v>SERASA DC (1387)</v>
      </c>
      <c r="F2301" t="s">
        <v>586</v>
      </c>
      <c r="G2301" s="105">
        <v>4627</v>
      </c>
      <c r="H2301" s="12">
        <v>45962</v>
      </c>
      <c r="I2301" s="24">
        <v>23601.599999999999</v>
      </c>
      <c r="J2301" s="24">
        <v>22150.1</v>
      </c>
      <c r="K2301" s="3">
        <v>45995</v>
      </c>
      <c r="L2301" s="91">
        <v>46006</v>
      </c>
      <c r="M2301" s="11">
        <v>46009</v>
      </c>
      <c r="N2301" s="18" t="s">
        <v>588</v>
      </c>
      <c r="O2301" s="35"/>
      <c r="P2301"/>
      <c r="Q2301" t="str">
        <f>IFERROR(VLOOKUP(Tabela1[[#This Row],[CC]],CC!$A$1:$H$389,5,0),"")</f>
        <v>CSA</v>
      </c>
      <c r="R2301" t="str">
        <f>IFERROR(VLOOKUP(Tabela1[[#This Row],[CC]],CC!$A$1:$H$389,6,0),"")</f>
        <v>FS</v>
      </c>
      <c r="S2301" t="str">
        <f>IFERROR(VLOOKUP(Tabela1[[#This Row],[CC]],CC!$A$1:$H$403,8,0),"")</f>
        <v>OP1</v>
      </c>
    </row>
    <row r="2302" spans="1:19" ht="15.6" customHeight="1" x14ac:dyDescent="0.3">
      <c r="A2302" s="25">
        <v>1387</v>
      </c>
      <c r="B2302" s="25" t="str">
        <f>IFERROR(VLOOKUP(Tabela1[[#This Row],[CC]],#REF!,5,0),"")</f>
        <v/>
      </c>
      <c r="C2302" t="str">
        <f>IFERROR(VLOOKUP(Tabela1[[#This Row],[CC]],CC!$A$1:$H$389,7,0),"")</f>
        <v>RITA ANDRADE</v>
      </c>
      <c r="D2302" t="str">
        <f>IFERROR(VLOOKUP(Tabela1[[#This Row],[CC]],CC!$A$1:$I$3869,3,0),"")</f>
        <v>SERASA</v>
      </c>
      <c r="E2302" t="str">
        <f>IFERROR(VLOOKUP(Tabela1[[#This Row],[CC]],CC!$A$1:$H$389,2,0),"")</f>
        <v>SERASA DC (1387)</v>
      </c>
      <c r="F2302" t="s">
        <v>586</v>
      </c>
      <c r="G2302" s="105">
        <v>4628</v>
      </c>
      <c r="H2302" s="12">
        <v>45962</v>
      </c>
      <c r="I2302" s="24">
        <v>57692.800000000003</v>
      </c>
      <c r="J2302" s="24">
        <v>54144.7</v>
      </c>
      <c r="K2302" s="3">
        <v>45995</v>
      </c>
      <c r="L2302" s="91">
        <v>46006</v>
      </c>
      <c r="M2302" s="11">
        <v>46009</v>
      </c>
      <c r="N2302" s="18" t="s">
        <v>588</v>
      </c>
      <c r="O2302" s="35"/>
      <c r="P2302"/>
      <c r="Q2302" t="str">
        <f>IFERROR(VLOOKUP(Tabela1[[#This Row],[CC]],CC!$A$1:$H$389,5,0),"")</f>
        <v>CSA</v>
      </c>
      <c r="R2302" t="str">
        <f>IFERROR(VLOOKUP(Tabela1[[#This Row],[CC]],CC!$A$1:$H$389,6,0),"")</f>
        <v>FS</v>
      </c>
      <c r="S2302" t="str">
        <f>IFERROR(VLOOKUP(Tabela1[[#This Row],[CC]],CC!$A$1:$H$403,8,0),"")</f>
        <v>OP1</v>
      </c>
    </row>
    <row r="2303" spans="1:19" ht="15.6" customHeight="1" x14ac:dyDescent="0.3">
      <c r="A2303" s="25">
        <v>1387</v>
      </c>
      <c r="B2303" s="25" t="str">
        <f>IFERROR(VLOOKUP(Tabela1[[#This Row],[CC]],#REF!,5,0),"")</f>
        <v/>
      </c>
      <c r="C2303" t="str">
        <f>IFERROR(VLOOKUP(Tabela1[[#This Row],[CC]],CC!$A$1:$H$389,7,0),"")</f>
        <v>RITA ANDRADE</v>
      </c>
      <c r="D2303" t="str">
        <f>IFERROR(VLOOKUP(Tabela1[[#This Row],[CC]],CC!$A$1:$I$3869,3,0),"")</f>
        <v>SERASA</v>
      </c>
      <c r="E2303" t="str">
        <f>IFERROR(VLOOKUP(Tabela1[[#This Row],[CC]],CC!$A$1:$H$389,2,0),"")</f>
        <v>SERASA DC (1387)</v>
      </c>
      <c r="F2303" t="s">
        <v>586</v>
      </c>
      <c r="G2303" s="105">
        <v>4632</v>
      </c>
      <c r="H2303" s="12">
        <v>45962</v>
      </c>
      <c r="I2303" s="24">
        <v>77793.179999999993</v>
      </c>
      <c r="J2303" s="24">
        <v>73008.89</v>
      </c>
      <c r="K2303" s="3">
        <v>45995</v>
      </c>
      <c r="L2303" s="91">
        <v>46006</v>
      </c>
      <c r="M2303" s="11">
        <v>46009</v>
      </c>
      <c r="N2303" s="18" t="s">
        <v>588</v>
      </c>
      <c r="O2303" s="35"/>
      <c r="P2303"/>
      <c r="Q2303" t="str">
        <f>IFERROR(VLOOKUP(Tabela1[[#This Row],[CC]],CC!$A$1:$H$389,5,0),"")</f>
        <v>CSA</v>
      </c>
      <c r="R2303" t="str">
        <f>IFERROR(VLOOKUP(Tabela1[[#This Row],[CC]],CC!$A$1:$H$389,6,0),"")</f>
        <v>FS</v>
      </c>
      <c r="S2303" t="str">
        <f>IFERROR(VLOOKUP(Tabela1[[#This Row],[CC]],CC!$A$1:$H$403,8,0),"")</f>
        <v>OP1</v>
      </c>
    </row>
    <row r="2304" spans="1:19" ht="15.6" customHeight="1" x14ac:dyDescent="0.3">
      <c r="A2304" s="25">
        <v>1387</v>
      </c>
      <c r="B2304" s="25" t="str">
        <f>IFERROR(VLOOKUP(Tabela1[[#This Row],[CC]],#REF!,5,0),"")</f>
        <v/>
      </c>
      <c r="C2304" t="str">
        <f>IFERROR(VLOOKUP(Tabela1[[#This Row],[CC]],CC!$A$1:$H$389,7,0),"")</f>
        <v>RITA ANDRADE</v>
      </c>
      <c r="D2304" t="str">
        <f>IFERROR(VLOOKUP(Tabela1[[#This Row],[CC]],CC!$A$1:$I$3869,3,0),"")</f>
        <v>SERASA</v>
      </c>
      <c r="E2304" t="str">
        <f>IFERROR(VLOOKUP(Tabela1[[#This Row],[CC]],CC!$A$1:$H$389,2,0),"")</f>
        <v>SERASA DC (1387)</v>
      </c>
      <c r="F2304" t="s">
        <v>586</v>
      </c>
      <c r="G2304" s="105">
        <v>4635</v>
      </c>
      <c r="H2304" s="12">
        <v>45962</v>
      </c>
      <c r="I2304" s="24">
        <v>36540</v>
      </c>
      <c r="J2304" s="27">
        <v>34292.79</v>
      </c>
      <c r="K2304" s="3">
        <v>45995</v>
      </c>
      <c r="L2304" s="91">
        <v>46006</v>
      </c>
      <c r="M2304" s="11">
        <v>46009</v>
      </c>
      <c r="N2304" s="18" t="s">
        <v>588</v>
      </c>
      <c r="O2304" s="35"/>
      <c r="P2304"/>
      <c r="Q2304" t="str">
        <f>IFERROR(VLOOKUP(Tabela1[[#This Row],[CC]],CC!$A$1:$H$389,5,0),"")</f>
        <v>CSA</v>
      </c>
      <c r="R2304" t="str">
        <f>IFERROR(VLOOKUP(Tabela1[[#This Row],[CC]],CC!$A$1:$H$389,6,0),"")</f>
        <v>FS</v>
      </c>
      <c r="S2304" t="str">
        <f>IFERROR(VLOOKUP(Tabela1[[#This Row],[CC]],CC!$A$1:$H$403,8,0),"")</f>
        <v>OP1</v>
      </c>
    </row>
    <row r="2305" spans="1:19" ht="15.6" customHeight="1" x14ac:dyDescent="0.3">
      <c r="A2305" s="25">
        <v>1387</v>
      </c>
      <c r="B2305" s="25" t="str">
        <f>IFERROR(VLOOKUP(Tabela1[[#This Row],[CC]],#REF!,5,0),"")</f>
        <v/>
      </c>
      <c r="C2305" t="str">
        <f>IFERROR(VLOOKUP(Tabela1[[#This Row],[CC]],CC!$A$1:$H$389,7,0),"")</f>
        <v>RITA ANDRADE</v>
      </c>
      <c r="D2305" t="str">
        <f>IFERROR(VLOOKUP(Tabela1[[#This Row],[CC]],CC!$A$1:$I$3869,3,0),"")</f>
        <v>SERASA</v>
      </c>
      <c r="E2305" t="str">
        <f>IFERROR(VLOOKUP(Tabela1[[#This Row],[CC]],CC!$A$1:$H$389,2,0),"")</f>
        <v>SERASA DC (1387)</v>
      </c>
      <c r="F2305" t="s">
        <v>586</v>
      </c>
      <c r="G2305" s="105">
        <v>4678</v>
      </c>
      <c r="H2305" s="12">
        <v>45992</v>
      </c>
      <c r="I2305" s="24">
        <v>20278.8</v>
      </c>
      <c r="J2305" s="27">
        <v>19031.66</v>
      </c>
      <c r="K2305" s="3">
        <v>46002</v>
      </c>
      <c r="L2305" s="91">
        <v>46006</v>
      </c>
      <c r="M2305" s="11">
        <v>46009</v>
      </c>
      <c r="N2305" s="18" t="s">
        <v>588</v>
      </c>
      <c r="O2305" s="35"/>
      <c r="P2305"/>
      <c r="Q2305" t="str">
        <f>IFERROR(VLOOKUP(Tabela1[[#This Row],[CC]],CC!$A$1:$H$389,5,0),"")</f>
        <v>CSA</v>
      </c>
      <c r="R2305" t="str">
        <f>IFERROR(VLOOKUP(Tabela1[[#This Row],[CC]],CC!$A$1:$H$389,6,0),"")</f>
        <v>FS</v>
      </c>
      <c r="S2305" t="str">
        <f>IFERROR(VLOOKUP(Tabela1[[#This Row],[CC]],CC!$A$1:$H$403,8,0),"")</f>
        <v>OP1</v>
      </c>
    </row>
    <row r="2306" spans="1:19" ht="15.6" customHeight="1" x14ac:dyDescent="0.3">
      <c r="A2306" s="25">
        <v>1387</v>
      </c>
      <c r="B2306" s="25" t="str">
        <f>IFERROR(VLOOKUP(Tabela1[[#This Row],[CC]],#REF!,5,0),"")</f>
        <v/>
      </c>
      <c r="C2306" t="str">
        <f>IFERROR(VLOOKUP(Tabela1[[#This Row],[CC]],CC!$A$1:$H$389,7,0),"")</f>
        <v>RITA ANDRADE</v>
      </c>
      <c r="D2306" t="str">
        <f>IFERROR(VLOOKUP(Tabela1[[#This Row],[CC]],CC!$A$1:$I$3869,3,0),"")</f>
        <v>SERASA</v>
      </c>
      <c r="E2306" t="str">
        <f>IFERROR(VLOOKUP(Tabela1[[#This Row],[CC]],CC!$A$1:$H$389,2,0),"")</f>
        <v>SERASA DC (1387)</v>
      </c>
      <c r="F2306" t="s">
        <v>586</v>
      </c>
      <c r="G2306" s="105">
        <v>4680</v>
      </c>
      <c r="H2306" s="12">
        <v>46023</v>
      </c>
      <c r="I2306" s="24">
        <v>27038.400000000001</v>
      </c>
      <c r="J2306" s="27">
        <v>25375.54</v>
      </c>
      <c r="K2306" s="3">
        <v>46002</v>
      </c>
      <c r="L2306" s="91">
        <v>46006</v>
      </c>
      <c r="M2306" s="11">
        <v>46009</v>
      </c>
      <c r="N2306" s="18" t="s">
        <v>588</v>
      </c>
      <c r="O2306" s="35"/>
      <c r="P2306"/>
      <c r="Q2306" t="str">
        <f>IFERROR(VLOOKUP(Tabela1[[#This Row],[CC]],CC!$A$1:$H$389,5,0),"")</f>
        <v>CSA</v>
      </c>
      <c r="R2306" t="str">
        <f>IFERROR(VLOOKUP(Tabela1[[#This Row],[CC]],CC!$A$1:$H$389,6,0),"")</f>
        <v>FS</v>
      </c>
      <c r="S2306" t="str">
        <f>IFERROR(VLOOKUP(Tabela1[[#This Row],[CC]],CC!$A$1:$H$403,8,0),"")</f>
        <v>OP1</v>
      </c>
    </row>
    <row r="2307" spans="1:19" x14ac:dyDescent="0.3">
      <c r="A2307" s="25">
        <v>1470</v>
      </c>
      <c r="B2307" s="25" t="str">
        <f>IFERROR(VLOOKUP(Tabela1[[#This Row],[CC]],#REF!,5,0),"")</f>
        <v/>
      </c>
      <c r="C2307" t="str">
        <f>IFERROR(VLOOKUP(Tabela1[[#This Row],[CC]],CC!$A$1:$H$389,7,0),"")</f>
        <v>ROGERIO GORDILHO</v>
      </c>
      <c r="D2307" t="str">
        <f>IFERROR(VLOOKUP(Tabela1[[#This Row],[CC]],CC!$A$1:$I$3869,3,0),"")</f>
        <v>GNC</v>
      </c>
      <c r="E2307" t="str">
        <f>IFERROR(VLOOKUP(Tabela1[[#This Row],[CC]],CC!$A$1:$H$389,2,0),"")</f>
        <v>GNC (1470)</v>
      </c>
      <c r="F2307" t="s">
        <v>586</v>
      </c>
      <c r="G2307" s="110">
        <v>8650</v>
      </c>
      <c r="H2307" s="12">
        <v>45962</v>
      </c>
      <c r="I2307" s="24">
        <v>36700</v>
      </c>
      <c r="J2307" s="24">
        <v>33708.949999999997</v>
      </c>
      <c r="K2307" s="3">
        <v>45994</v>
      </c>
      <c r="L2307" s="91">
        <v>45999</v>
      </c>
      <c r="M2307" s="11">
        <v>46000</v>
      </c>
      <c r="N2307" s="18" t="s">
        <v>588</v>
      </c>
      <c r="O2307" s="35">
        <v>0</v>
      </c>
      <c r="P2307" s="26"/>
      <c r="Q2307" t="str">
        <f>IFERROR(VLOOKUP(Tabela1[[#This Row],[CC]],CC!$A$1:$H$389,5,0),"")</f>
        <v>CSA</v>
      </c>
      <c r="R2307" t="str">
        <f>IFERROR(VLOOKUP(Tabela1[[#This Row],[CC]],CC!$A$1:$H$389,6,0),"")</f>
        <v>MS</v>
      </c>
      <c r="S2307" t="str">
        <f>IFERROR(VLOOKUP(Tabela1[[#This Row],[CC]],CC!$A$1:$H$403,8,0),"")</f>
        <v>OP4</v>
      </c>
    </row>
    <row r="2308" spans="1:19" x14ac:dyDescent="0.3">
      <c r="A2308" s="25">
        <v>1470</v>
      </c>
      <c r="B2308" s="25" t="str">
        <f>IFERROR(VLOOKUP(Tabela1[[#This Row],[CC]],#REF!,5,0),"")</f>
        <v/>
      </c>
      <c r="C2308" t="str">
        <f>IFERROR(VLOOKUP(Tabela1[[#This Row],[CC]],CC!$A$1:$H$389,7,0),"")</f>
        <v>ROGERIO GORDILHO</v>
      </c>
      <c r="D2308" t="str">
        <f>IFERROR(VLOOKUP(Tabela1[[#This Row],[CC]],CC!$A$1:$I$3869,3,0),"")</f>
        <v>GNC</v>
      </c>
      <c r="E2308" t="str">
        <f>IFERROR(VLOOKUP(Tabela1[[#This Row],[CC]],CC!$A$1:$H$389,2,0),"")</f>
        <v>GNC (1470)</v>
      </c>
      <c r="F2308" t="s">
        <v>586</v>
      </c>
      <c r="G2308" s="110">
        <v>8710</v>
      </c>
      <c r="H2308" s="12">
        <v>45992</v>
      </c>
      <c r="I2308" s="27">
        <v>36700</v>
      </c>
      <c r="J2308" s="24">
        <v>33708.949999999997</v>
      </c>
      <c r="K2308" s="3">
        <v>46034</v>
      </c>
      <c r="L2308" s="91">
        <v>46041</v>
      </c>
      <c r="M2308" s="11">
        <v>46045</v>
      </c>
      <c r="N2308" s="18" t="s">
        <v>588</v>
      </c>
      <c r="O2308" s="35">
        <v>0</v>
      </c>
      <c r="P2308" s="26"/>
      <c r="Q2308" t="str">
        <f>IFERROR(VLOOKUP(Tabela1[[#This Row],[CC]],CC!$A$1:$H$389,5,0),"")</f>
        <v>CSA</v>
      </c>
      <c r="R2308" t="str">
        <f>IFERROR(VLOOKUP(Tabela1[[#This Row],[CC]],CC!$A$1:$H$389,6,0),"")</f>
        <v>MS</v>
      </c>
      <c r="S2308" t="str">
        <f>IFERROR(VLOOKUP(Tabela1[[#This Row],[CC]],CC!$A$1:$H$403,8,0),"")</f>
        <v>OP4</v>
      </c>
    </row>
    <row r="2309" spans="1:19" x14ac:dyDescent="0.3">
      <c r="A2309" s="25">
        <v>1470</v>
      </c>
      <c r="B2309" s="25" t="str">
        <f>IFERROR(VLOOKUP(Tabela1[[#This Row],[CC]],#REF!,5,0),"")</f>
        <v/>
      </c>
      <c r="C2309" t="str">
        <f>IFERROR(VLOOKUP(Tabela1[[#This Row],[CC]],CC!$A$1:$H$389,7,0),"")</f>
        <v>ROGERIO GORDILHO</v>
      </c>
      <c r="D2309" t="str">
        <f>IFERROR(VLOOKUP(Tabela1[[#This Row],[CC]],CC!$A$1:$I$3869,3,0),"")</f>
        <v>GNC</v>
      </c>
      <c r="E2309" t="str">
        <f>IFERROR(VLOOKUP(Tabela1[[#This Row],[CC]],CC!$A$1:$H$389,2,0),"")</f>
        <v>GNC (1470)</v>
      </c>
      <c r="F2309" t="s">
        <v>586</v>
      </c>
      <c r="G2309" s="110">
        <v>8740</v>
      </c>
      <c r="H2309" s="12">
        <v>46023</v>
      </c>
      <c r="I2309" s="24">
        <v>42428.5</v>
      </c>
      <c r="J2309" s="24">
        <v>38970.559999999998</v>
      </c>
      <c r="K2309" s="3">
        <v>46063</v>
      </c>
      <c r="L2309" s="91">
        <v>46069</v>
      </c>
      <c r="M2309" s="11">
        <v>46072</v>
      </c>
      <c r="N2309" s="18" t="s">
        <v>588</v>
      </c>
      <c r="O2309" s="35">
        <v>0</v>
      </c>
      <c r="P2309" s="26"/>
      <c r="Q2309" t="str">
        <f>IFERROR(VLOOKUP(Tabela1[[#This Row],[CC]],CC!$A$1:$H$389,5,0),"")</f>
        <v>CSA</v>
      </c>
      <c r="R2309" t="str">
        <f>IFERROR(VLOOKUP(Tabela1[[#This Row],[CC]],CC!$A$1:$H$389,6,0),"")</f>
        <v>MS</v>
      </c>
      <c r="S2309" t="str">
        <f>IFERROR(VLOOKUP(Tabela1[[#This Row],[CC]],CC!$A$1:$H$403,8,0),"")</f>
        <v>OP4</v>
      </c>
    </row>
    <row r="2310" spans="1:19" x14ac:dyDescent="0.3">
      <c r="A2310" s="25">
        <v>1470</v>
      </c>
      <c r="B2310" s="25" t="str">
        <f>IFERROR(VLOOKUP(Tabela1[[#This Row],[CC]],#REF!,5,0),"")</f>
        <v/>
      </c>
      <c r="C2310" t="str">
        <f>IFERROR(VLOOKUP(Tabela1[[#This Row],[CC]],CC!$A$1:$H$389,7,0),"")</f>
        <v>ROGERIO GORDILHO</v>
      </c>
      <c r="D2310" t="str">
        <f>IFERROR(VLOOKUP(Tabela1[[#This Row],[CC]],CC!$A$1:$I$3869,3,0),"")</f>
        <v>GNC</v>
      </c>
      <c r="E2310" t="str">
        <f>IFERROR(VLOOKUP(Tabela1[[#This Row],[CC]],CC!$A$1:$H$389,2,0),"")</f>
        <v>GNC (1470)</v>
      </c>
      <c r="F2310" t="s">
        <v>586</v>
      </c>
      <c r="G2310" s="110">
        <v>8820</v>
      </c>
      <c r="H2310" s="12">
        <v>46054</v>
      </c>
      <c r="I2310" s="24">
        <v>42428.5</v>
      </c>
      <c r="J2310" s="24">
        <v>38970.559999999998</v>
      </c>
      <c r="K2310" s="3">
        <v>46099</v>
      </c>
      <c r="L2310" s="91">
        <v>46111</v>
      </c>
      <c r="M2310" s="11">
        <v>46111</v>
      </c>
      <c r="N2310" s="18" t="s">
        <v>588</v>
      </c>
      <c r="O2310" s="35">
        <v>0</v>
      </c>
      <c r="P2310" s="26"/>
      <c r="Q2310" t="str">
        <f>IFERROR(VLOOKUP(Tabela1[[#This Row],[CC]],CC!$A$1:$H$389,5,0),"")</f>
        <v>CSA</v>
      </c>
      <c r="R2310" t="str">
        <f>IFERROR(VLOOKUP(Tabela1[[#This Row],[CC]],CC!$A$1:$H$389,6,0),"")</f>
        <v>MS</v>
      </c>
      <c r="S2310" t="str">
        <f>IFERROR(VLOOKUP(Tabela1[[#This Row],[CC]],CC!$A$1:$H$403,8,0),"")</f>
        <v>OP4</v>
      </c>
    </row>
    <row r="2311" spans="1:19" x14ac:dyDescent="0.3">
      <c r="A2311" s="25">
        <v>1470</v>
      </c>
      <c r="B2311" s="25" t="str">
        <f>IFERROR(VLOOKUP(Tabela1[[#This Row],[CC]],#REF!,5,0),"")</f>
        <v/>
      </c>
      <c r="C2311" t="str">
        <f>IFERROR(VLOOKUP(Tabela1[[#This Row],[CC]],CC!$A$1:$H$389,7,0),"")</f>
        <v>ROGERIO GORDILHO</v>
      </c>
      <c r="D2311" t="str">
        <f>IFERROR(VLOOKUP(Tabela1[[#This Row],[CC]],CC!$A$1:$I$3869,3,0),"")</f>
        <v>GNC</v>
      </c>
      <c r="E2311" t="str">
        <f>IFERROR(VLOOKUP(Tabela1[[#This Row],[CC]],CC!$A$1:$H$389,2,0),"")</f>
        <v>GNC (1470)</v>
      </c>
      <c r="F2311" t="s">
        <v>586</v>
      </c>
      <c r="G2311" s="110">
        <v>8842</v>
      </c>
      <c r="H2311" s="12">
        <v>46082</v>
      </c>
      <c r="I2311" s="27">
        <v>38384.53</v>
      </c>
      <c r="J2311" s="24">
        <v>35256.18</v>
      </c>
      <c r="K2311" s="3">
        <v>46119</v>
      </c>
      <c r="L2311" s="91">
        <v>46125</v>
      </c>
      <c r="M2311" s="11">
        <v>46128</v>
      </c>
      <c r="N2311" s="18" t="s">
        <v>588</v>
      </c>
      <c r="O2311" s="35">
        <v>0</v>
      </c>
      <c r="P2311" s="26"/>
      <c r="Q2311" t="str">
        <f>IFERROR(VLOOKUP(Tabela1[[#This Row],[CC]],CC!$A$1:$H$389,5,0),"")</f>
        <v>CSA</v>
      </c>
      <c r="R2311" t="str">
        <f>IFERROR(VLOOKUP(Tabela1[[#This Row],[CC]],CC!$A$1:$H$389,6,0),"")</f>
        <v>MS</v>
      </c>
      <c r="S2311" t="str">
        <f>IFERROR(VLOOKUP(Tabela1[[#This Row],[CC]],CC!$A$1:$H$403,8,0),"")</f>
        <v>OP4</v>
      </c>
    </row>
    <row r="2312" spans="1:19" x14ac:dyDescent="0.3">
      <c r="A2312" s="25">
        <v>1470</v>
      </c>
      <c r="B2312" s="25" t="str">
        <f>IFERROR(VLOOKUP(Tabela1[[#This Row],[CC]],#REF!,5,0),"")</f>
        <v/>
      </c>
      <c r="C2312" t="str">
        <f>IFERROR(VLOOKUP(Tabela1[[#This Row],[CC]],CC!$A$1:$H$389,7,0),"")</f>
        <v>ROGERIO GORDILHO</v>
      </c>
      <c r="D2312" t="str">
        <f>IFERROR(VLOOKUP(Tabela1[[#This Row],[CC]],CC!$A$1:$I$3869,3,0),"")</f>
        <v>GNC</v>
      </c>
      <c r="E2312" t="str">
        <f>IFERROR(VLOOKUP(Tabela1[[#This Row],[CC]],CC!$A$1:$H$389,2,0),"")</f>
        <v>GNC (1470)</v>
      </c>
      <c r="F2312" t="s">
        <v>586</v>
      </c>
      <c r="G2312" s="110">
        <v>8918</v>
      </c>
      <c r="H2312" s="12">
        <v>46113</v>
      </c>
      <c r="I2312" s="24">
        <v>38384.53</v>
      </c>
      <c r="J2312" s="24">
        <v>35256.18</v>
      </c>
      <c r="K2312" s="3">
        <v>46149</v>
      </c>
      <c r="L2312" s="91">
        <v>46153</v>
      </c>
      <c r="M2312" s="11">
        <v>46157</v>
      </c>
      <c r="N2312" s="18" t="s">
        <v>588</v>
      </c>
      <c r="O2312" s="35">
        <v>0</v>
      </c>
      <c r="P2312" s="26"/>
      <c r="Q2312" t="str">
        <f>IFERROR(VLOOKUP(Tabela1[[#This Row],[CC]],CC!$A$1:$H$389,5,0),"")</f>
        <v>CSA</v>
      </c>
      <c r="R2312" t="str">
        <f>IFERROR(VLOOKUP(Tabela1[[#This Row],[CC]],CC!$A$1:$H$389,6,0),"")</f>
        <v>MS</v>
      </c>
      <c r="S2312" t="str">
        <f>IFERROR(VLOOKUP(Tabela1[[#This Row],[CC]],CC!$A$1:$H$403,8,0),"")</f>
        <v>OP4</v>
      </c>
    </row>
    <row r="2313" spans="1:19" x14ac:dyDescent="0.3">
      <c r="A2313" s="25">
        <v>1470</v>
      </c>
      <c r="B2313" s="25" t="str">
        <f>IFERROR(VLOOKUP(Tabela1[[#This Row],[CC]],#REF!,5,0),"")</f>
        <v/>
      </c>
      <c r="C2313" t="str">
        <f>IFERROR(VLOOKUP(Tabela1[[#This Row],[CC]],CC!$A$1:$H$389,7,0),"")</f>
        <v>ROGERIO GORDILHO</v>
      </c>
      <c r="D2313" t="str">
        <f>IFERROR(VLOOKUP(Tabela1[[#This Row],[CC]],CC!$A$1:$I$3869,3,0),"")</f>
        <v>GNC</v>
      </c>
      <c r="E2313" t="str">
        <f>IFERROR(VLOOKUP(Tabela1[[#This Row],[CC]],CC!$A$1:$H$389,2,0),"")</f>
        <v>GNC (1470)</v>
      </c>
      <c r="F2313" t="s">
        <v>586</v>
      </c>
      <c r="G2313" s="110">
        <v>8999</v>
      </c>
      <c r="H2313" s="12">
        <v>46143</v>
      </c>
      <c r="I2313" s="24">
        <v>38384.53</v>
      </c>
      <c r="J2313" s="24">
        <v>35256.18</v>
      </c>
      <c r="K2313" s="3">
        <v>46181</v>
      </c>
      <c r="L2313" s="91">
        <v>46195</v>
      </c>
      <c r="M2313" s="11"/>
      <c r="N2313" s="18" t="s">
        <v>587</v>
      </c>
      <c r="O2313" s="35">
        <v>0</v>
      </c>
      <c r="P2313" s="26"/>
      <c r="Q2313" t="str">
        <f>IFERROR(VLOOKUP(Tabela1[[#This Row],[CC]],CC!$A$1:$H$389,5,0),"")</f>
        <v>CSA</v>
      </c>
      <c r="R2313" t="str">
        <f>IFERROR(VLOOKUP(Tabela1[[#This Row],[CC]],CC!$A$1:$H$389,6,0),"")</f>
        <v>MS</v>
      </c>
      <c r="S2313" t="str">
        <f>IFERROR(VLOOKUP(Tabela1[[#This Row],[CC]],CC!$A$1:$H$403,8,0),"")</f>
        <v>OP4</v>
      </c>
    </row>
    <row r="2314" spans="1:19" x14ac:dyDescent="0.3">
      <c r="A2314" s="25">
        <v>1273</v>
      </c>
      <c r="B2314" s="25" t="str">
        <f>IFERROR(VLOOKUP(Tabela1[[#This Row],[CC]],#REF!,5,0),"")</f>
        <v/>
      </c>
      <c r="C2314" t="str">
        <f>IFERROR(VLOOKUP(Tabela1[[#This Row],[CC]],CC!$A$1:$H$389,7,0),"")</f>
        <v>LIZANDRA PIMENTA</v>
      </c>
      <c r="D2314" t="str">
        <f>IFERROR(VLOOKUP(Tabela1[[#This Row],[CC]],CC!$A$1:$I$3869,3,0),"")</f>
        <v>TJ_BA</v>
      </c>
      <c r="E2314" t="str">
        <f>IFERROR(VLOOKUP(Tabela1[[#This Row],[CC]],CC!$A$1:$H$389,2,0),"")</f>
        <v>TJ - BA DIGITAL SUPPORT (1273)</v>
      </c>
      <c r="F2314" t="s">
        <v>586</v>
      </c>
      <c r="G2314" s="110">
        <v>8657</v>
      </c>
      <c r="H2314" s="12">
        <v>45962</v>
      </c>
      <c r="I2314" s="24">
        <v>624265.04</v>
      </c>
      <c r="J2314" s="27">
        <v>559965.74</v>
      </c>
      <c r="K2314" s="3">
        <v>45995</v>
      </c>
      <c r="L2314" s="91">
        <v>46006</v>
      </c>
      <c r="M2314" s="11">
        <v>46009</v>
      </c>
      <c r="N2314" s="18" t="s">
        <v>588</v>
      </c>
      <c r="O2314" s="35">
        <v>0</v>
      </c>
      <c r="P2314"/>
      <c r="Q2314" t="str">
        <f>IFERROR(VLOOKUP(Tabela1[[#This Row],[CC]],CC!$A$1:$H$389,5,0),"")</f>
        <v>CSA</v>
      </c>
      <c r="R2314" t="str">
        <f>IFERROR(VLOOKUP(Tabela1[[#This Row],[CC]],CC!$A$1:$H$389,6,0),"")</f>
        <v>PS</v>
      </c>
      <c r="S2314" t="str">
        <f>IFERROR(VLOOKUP(Tabela1[[#This Row],[CC]],CC!$A$1:$H$403,8,0),"")</f>
        <v>OP3</v>
      </c>
    </row>
    <row r="2315" spans="1:19" x14ac:dyDescent="0.3">
      <c r="A2315" s="25">
        <v>1273</v>
      </c>
      <c r="B2315" s="25" t="str">
        <f>IFERROR(VLOOKUP(Tabela1[[#This Row],[CC]],#REF!,5,0),"")</f>
        <v/>
      </c>
      <c r="C2315" t="str">
        <f>IFERROR(VLOOKUP(Tabela1[[#This Row],[CC]],CC!$A$1:$H$389,7,0),"")</f>
        <v>LIZANDRA PIMENTA</v>
      </c>
      <c r="D2315" t="str">
        <f>IFERROR(VLOOKUP(Tabela1[[#This Row],[CC]],CC!$A$1:$I$3869,3,0),"")</f>
        <v>TJ_BA</v>
      </c>
      <c r="E2315" t="str">
        <f>IFERROR(VLOOKUP(Tabela1[[#This Row],[CC]],CC!$A$1:$H$389,2,0),"")</f>
        <v>TJ - BA DIGITAL SUPPORT (1273)</v>
      </c>
      <c r="F2315" t="s">
        <v>586</v>
      </c>
      <c r="G2315" s="110"/>
      <c r="H2315" s="12">
        <v>45992</v>
      </c>
      <c r="I2315" s="24">
        <v>118919</v>
      </c>
      <c r="J2315" s="27"/>
      <c r="K2315" s="3">
        <v>46082</v>
      </c>
      <c r="L2315" s="91"/>
      <c r="M2315" s="11"/>
      <c r="N2315" s="18" t="s">
        <v>572</v>
      </c>
      <c r="O2315" s="35">
        <v>0</v>
      </c>
      <c r="P2315"/>
      <c r="Q2315" t="str">
        <f>IFERROR(VLOOKUP(Tabela1[[#This Row],[CC]],CC!$A$1:$H$389,5,0),"")</f>
        <v>CSA</v>
      </c>
      <c r="R2315" t="str">
        <f>IFERROR(VLOOKUP(Tabela1[[#This Row],[CC]],CC!$A$1:$H$389,6,0),"")</f>
        <v>PS</v>
      </c>
      <c r="S2315" t="str">
        <f>IFERROR(VLOOKUP(Tabela1[[#This Row],[CC]],CC!$A$1:$H$403,8,0),"")</f>
        <v>OP3</v>
      </c>
    </row>
    <row r="2316" spans="1:19" x14ac:dyDescent="0.3">
      <c r="A2316" s="25">
        <v>1273</v>
      </c>
      <c r="B2316" s="25" t="str">
        <f>IFERROR(VLOOKUP(Tabela1[[#This Row],[CC]],#REF!,5,0),"")</f>
        <v/>
      </c>
      <c r="C2316" t="str">
        <f>IFERROR(VLOOKUP(Tabela1[[#This Row],[CC]],CC!$A$1:$H$389,7,0),"")</f>
        <v>LIZANDRA PIMENTA</v>
      </c>
      <c r="D2316" t="str">
        <f>IFERROR(VLOOKUP(Tabela1[[#This Row],[CC]],CC!$A$1:$I$3869,3,0),"")</f>
        <v>TJ_BA</v>
      </c>
      <c r="E2316" t="str">
        <f>IFERROR(VLOOKUP(Tabela1[[#This Row],[CC]],CC!$A$1:$H$389,2,0),"")</f>
        <v>TJ - BA DIGITAL SUPPORT (1273)</v>
      </c>
      <c r="F2316" t="s">
        <v>586</v>
      </c>
      <c r="G2316" s="110">
        <v>8781</v>
      </c>
      <c r="H2316" s="12">
        <v>45992</v>
      </c>
      <c r="I2316" s="24">
        <v>571593.80000000005</v>
      </c>
      <c r="J2316" s="27">
        <v>512719.64</v>
      </c>
      <c r="K2316" s="3">
        <v>46083</v>
      </c>
      <c r="L2316" s="91">
        <v>46097</v>
      </c>
      <c r="M2316" s="11">
        <v>46098</v>
      </c>
      <c r="N2316" s="18" t="s">
        <v>588</v>
      </c>
      <c r="O2316" s="35">
        <v>0</v>
      </c>
      <c r="P2316"/>
      <c r="Q2316" t="str">
        <f>IFERROR(VLOOKUP(Tabela1[[#This Row],[CC]],CC!$A$1:$H$389,5,0),"")</f>
        <v>CSA</v>
      </c>
      <c r="R2316" t="str">
        <f>IFERROR(VLOOKUP(Tabela1[[#This Row],[CC]],CC!$A$1:$H$389,6,0),"")</f>
        <v>PS</v>
      </c>
      <c r="S2316" t="str">
        <f>IFERROR(VLOOKUP(Tabela1[[#This Row],[CC]],CC!$A$1:$H$403,8,0),"")</f>
        <v>OP3</v>
      </c>
    </row>
    <row r="2317" spans="1:19" x14ac:dyDescent="0.3">
      <c r="A2317" s="25">
        <v>1273</v>
      </c>
      <c r="B2317" s="25" t="str">
        <f>IFERROR(VLOOKUP(Tabela1[[#This Row],[CC]],#REF!,5,0),"")</f>
        <v/>
      </c>
      <c r="C2317" t="str">
        <f>IFERROR(VLOOKUP(Tabela1[[#This Row],[CC]],CC!$A$1:$H$389,7,0),"")</f>
        <v>LIZANDRA PIMENTA</v>
      </c>
      <c r="D2317" t="str">
        <f>IFERROR(VLOOKUP(Tabela1[[#This Row],[CC]],CC!$A$1:$I$3869,3,0),"")</f>
        <v>TJ_BA</v>
      </c>
      <c r="E2317" t="str">
        <f>IFERROR(VLOOKUP(Tabela1[[#This Row],[CC]],CC!$A$1:$H$389,2,0),"")</f>
        <v>TJ - BA DIGITAL SUPPORT (1273)</v>
      </c>
      <c r="F2317" t="s">
        <v>586</v>
      </c>
      <c r="G2317" s="110">
        <v>8784</v>
      </c>
      <c r="H2317" s="12">
        <v>46023</v>
      </c>
      <c r="I2317" s="24">
        <v>574463.16</v>
      </c>
      <c r="J2317" s="27">
        <v>515293.46</v>
      </c>
      <c r="K2317" s="3">
        <v>46083</v>
      </c>
      <c r="L2317" s="91">
        <v>46097</v>
      </c>
      <c r="M2317" s="11">
        <v>46100</v>
      </c>
      <c r="N2317" s="18" t="s">
        <v>588</v>
      </c>
      <c r="O2317" s="35">
        <v>0</v>
      </c>
      <c r="P2317"/>
      <c r="Q2317" t="str">
        <f>IFERROR(VLOOKUP(Tabela1[[#This Row],[CC]],CC!$A$1:$H$389,5,0),"")</f>
        <v>CSA</v>
      </c>
      <c r="R2317" t="str">
        <f>IFERROR(VLOOKUP(Tabela1[[#This Row],[CC]],CC!$A$1:$H$389,6,0),"")</f>
        <v>PS</v>
      </c>
      <c r="S2317" t="str">
        <f>IFERROR(VLOOKUP(Tabela1[[#This Row],[CC]],CC!$A$1:$H$403,8,0),"")</f>
        <v>OP3</v>
      </c>
    </row>
    <row r="2318" spans="1:19" x14ac:dyDescent="0.3">
      <c r="A2318" s="25">
        <v>1273</v>
      </c>
      <c r="B2318" s="25" t="str">
        <f>IFERROR(VLOOKUP(Tabela1[[#This Row],[CC]],#REF!,5,0),"")</f>
        <v/>
      </c>
      <c r="C2318" t="str">
        <f>IFERROR(VLOOKUP(Tabela1[[#This Row],[CC]],CC!$A$1:$H$389,7,0),"")</f>
        <v>LIZANDRA PIMENTA</v>
      </c>
      <c r="D2318" t="str">
        <f>IFERROR(VLOOKUP(Tabela1[[#This Row],[CC]],CC!$A$1:$I$3869,3,0),"")</f>
        <v>TJ_BA</v>
      </c>
      <c r="E2318" t="str">
        <f>IFERROR(VLOOKUP(Tabela1[[#This Row],[CC]],CC!$A$1:$H$389,2,0),"")</f>
        <v>TJ - BA DIGITAL SUPPORT (1273)</v>
      </c>
      <c r="F2318" t="s">
        <v>586</v>
      </c>
      <c r="G2318" s="110">
        <v>8815</v>
      </c>
      <c r="H2318" s="12">
        <v>46054</v>
      </c>
      <c r="I2318" s="27">
        <v>584837</v>
      </c>
      <c r="J2318" s="24">
        <v>514371.93999999994</v>
      </c>
      <c r="K2318" s="3">
        <v>46097</v>
      </c>
      <c r="L2318" s="91">
        <v>46125</v>
      </c>
      <c r="M2318" s="11">
        <v>46128</v>
      </c>
      <c r="N2318" s="18" t="s">
        <v>588</v>
      </c>
      <c r="O2318" s="35">
        <v>0</v>
      </c>
      <c r="P2318"/>
      <c r="Q2318" t="str">
        <f>IFERROR(VLOOKUP(Tabela1[[#This Row],[CC]],CC!$A$1:$H$389,5,0),"")</f>
        <v>CSA</v>
      </c>
      <c r="R2318" t="str">
        <f>IFERROR(VLOOKUP(Tabela1[[#This Row],[CC]],CC!$A$1:$H$389,6,0),"")</f>
        <v>PS</v>
      </c>
      <c r="S2318" t="str">
        <f>IFERROR(VLOOKUP(Tabela1[[#This Row],[CC]],CC!$A$1:$H$403,8,0),"")</f>
        <v>OP3</v>
      </c>
    </row>
    <row r="2319" spans="1:19" x14ac:dyDescent="0.3">
      <c r="A2319" s="8">
        <v>1394</v>
      </c>
      <c r="B2319" s="8" t="str">
        <f>IFERROR(VLOOKUP(Tabela1[[#This Row],[CC]],#REF!,5,0),"")</f>
        <v/>
      </c>
      <c r="C2319" t="str">
        <f>IFERROR(VLOOKUP(Tabela1[[#This Row],[CC]],CC!$A$1:$H$389,7,0),"")</f>
        <v>ANTONIO ALVES</v>
      </c>
      <c r="D2319" t="str">
        <f>IFERROR(VLOOKUP(Tabela1[[#This Row],[CC]],CC!$A$1:$I$3869,3,0),"")</f>
        <v>SEFAZ_BA</v>
      </c>
      <c r="E2319" t="str">
        <f>IFERROR(VLOOKUP(Tabela1[[#This Row],[CC]],CC!$A$1:$H$389,2,0),"")</f>
        <v>SEFAZ - BA DIGITAL CENTER (1394)</v>
      </c>
      <c r="F2319" t="s">
        <v>586</v>
      </c>
      <c r="G2319" s="106">
        <v>8973</v>
      </c>
      <c r="H2319" s="12">
        <v>46113</v>
      </c>
      <c r="I2319" s="24">
        <v>140971.81</v>
      </c>
      <c r="J2319" s="24">
        <v>131385.72</v>
      </c>
      <c r="K2319" s="3">
        <v>46169</v>
      </c>
      <c r="L2319" s="91">
        <v>46174</v>
      </c>
      <c r="M2319" s="5">
        <v>46176</v>
      </c>
      <c r="N2319" s="21" t="s">
        <v>588</v>
      </c>
      <c r="O2319" s="54"/>
      <c r="P2319" s="14"/>
      <c r="Q2319" t="str">
        <f>IFERROR(VLOOKUP(Tabela1[[#This Row],[CC]],CC!$A$1:$H$389,5,0),"")</f>
        <v>CSA</v>
      </c>
      <c r="R2319" t="str">
        <f>IFERROR(VLOOKUP(Tabela1[[#This Row],[CC]],CC!$A$1:$H$389,6,0),"")</f>
        <v>PS</v>
      </c>
      <c r="S2319" t="str">
        <f>IFERROR(VLOOKUP(Tabela1[[#This Row],[CC]],CC!$A$1:$H$403,8,0),"")</f>
        <v>OP4</v>
      </c>
    </row>
    <row r="2320" spans="1:19" x14ac:dyDescent="0.3">
      <c r="A2320" s="8">
        <v>1394</v>
      </c>
      <c r="B2320" s="8" t="str">
        <f>IFERROR(VLOOKUP(Tabela1[[#This Row],[CC]],#REF!,5,0),"")</f>
        <v/>
      </c>
      <c r="C2320" t="str">
        <f>IFERROR(VLOOKUP(Tabela1[[#This Row],[CC]],CC!$A$1:$H$389,7,0),"")</f>
        <v>ANTONIO ALVES</v>
      </c>
      <c r="D2320" t="str">
        <f>IFERROR(VLOOKUP(Tabela1[[#This Row],[CC]],CC!$A$1:$I$3869,3,0),"")</f>
        <v>SEFAZ_BA</v>
      </c>
      <c r="E2320" t="str">
        <f>IFERROR(VLOOKUP(Tabela1[[#This Row],[CC]],CC!$A$1:$H$389,2,0),"")</f>
        <v>SEFAZ - BA DIGITAL CENTER (1394)</v>
      </c>
      <c r="F2320" t="s">
        <v>586</v>
      </c>
      <c r="H2320" s="12">
        <v>46143</v>
      </c>
      <c r="I2320" s="24">
        <f>1511749-$I$2319-$I$2122</f>
        <v>1124595.94</v>
      </c>
      <c r="J2320" s="24"/>
      <c r="K2320" s="3">
        <f>Tabela1[[#This Row],[MÊS SERVIÇO]]+32</f>
        <v>46175</v>
      </c>
      <c r="L2320" s="91">
        <v>46202</v>
      </c>
      <c r="M2320" s="5"/>
      <c r="N2320" s="21" t="s">
        <v>572</v>
      </c>
      <c r="O2320" s="54"/>
      <c r="P2320" s="14"/>
      <c r="Q2320" t="str">
        <f>IFERROR(VLOOKUP(Tabela1[[#This Row],[CC]],CC!$A$1:$H$389,5,0),"")</f>
        <v>CSA</v>
      </c>
      <c r="R2320" t="str">
        <f>IFERROR(VLOOKUP(Tabela1[[#This Row],[CC]],CC!$A$1:$H$389,6,0),"")</f>
        <v>PS</v>
      </c>
      <c r="S2320" t="str">
        <f>IFERROR(VLOOKUP(Tabela1[[#This Row],[CC]],CC!$A$1:$H$403,8,0),"")</f>
        <v>OP4</v>
      </c>
    </row>
    <row r="2321" spans="1:19" x14ac:dyDescent="0.3">
      <c r="A2321" s="8">
        <v>1277</v>
      </c>
      <c r="B2321" s="8" t="str">
        <f>IFERROR(VLOOKUP(Tabela1[[#This Row],[CC]],#REF!,5,0),"")</f>
        <v/>
      </c>
      <c r="C2321" t="str">
        <f>IFERROR(VLOOKUP(Tabela1[[#This Row],[CC]],CC!$A$1:$H$389,7,0),"")</f>
        <v>LIZANDRA PIMENTA</v>
      </c>
      <c r="D2321" t="str">
        <f>IFERROR(VLOOKUP(Tabela1[[#This Row],[CC]],CC!$A$1:$I$3869,3,0),"")</f>
        <v>TJ_BA</v>
      </c>
      <c r="E2321" t="str">
        <f>IFERROR(VLOOKUP(Tabela1[[#This Row],[CC]],CC!$A$1:$H$389,2,0),"")</f>
        <v>TJ - BA CPROD (1277)</v>
      </c>
      <c r="F2321" t="s">
        <v>586</v>
      </c>
      <c r="G2321" s="106">
        <v>8852</v>
      </c>
      <c r="H2321" s="12">
        <v>46082</v>
      </c>
      <c r="I2321" s="24">
        <v>157676.04</v>
      </c>
      <c r="J2321" s="27">
        <v>141435.41</v>
      </c>
      <c r="K2321" s="3">
        <v>46125</v>
      </c>
      <c r="L2321" s="91">
        <v>46146</v>
      </c>
      <c r="M2321" s="11">
        <v>46147</v>
      </c>
      <c r="N2321" s="18" t="s">
        <v>588</v>
      </c>
      <c r="O2321" s="35"/>
      <c r="P2321"/>
      <c r="Q2321" t="str">
        <f>IFERROR(VLOOKUP(Tabela1[[#This Row],[CC]],CC!$A$1:$H$389,5,0),"")</f>
        <v>CSA</v>
      </c>
      <c r="R2321" t="str">
        <f>IFERROR(VLOOKUP(Tabela1[[#This Row],[CC]],CC!$A$1:$H$389,6,0),"")</f>
        <v>PS</v>
      </c>
      <c r="S2321" t="str">
        <f>IFERROR(VLOOKUP(Tabela1[[#This Row],[CC]],CC!$A$1:$H$403,8,0),"")</f>
        <v>OP3</v>
      </c>
    </row>
    <row r="2322" spans="1:19" x14ac:dyDescent="0.3">
      <c r="A2322" s="25">
        <v>1273</v>
      </c>
      <c r="B2322" s="25" t="str">
        <f>IFERROR(VLOOKUP(Tabela1[[#This Row],[CC]],#REF!,5,0),"")</f>
        <v/>
      </c>
      <c r="C2322" t="str">
        <f>IFERROR(VLOOKUP(Tabela1[[#This Row],[CC]],CC!$A$1:$H$389,7,0),"")</f>
        <v>LIZANDRA PIMENTA</v>
      </c>
      <c r="D2322" t="str">
        <f>IFERROR(VLOOKUP(Tabela1[[#This Row],[CC]],CC!$A$1:$I$3869,3,0),"")</f>
        <v>TJ_BA</v>
      </c>
      <c r="E2322" t="str">
        <f>IFERROR(VLOOKUP(Tabela1[[#This Row],[CC]],CC!$A$1:$H$389,2,0),"")</f>
        <v>TJ - BA DIGITAL SUPPORT (1273)</v>
      </c>
      <c r="F2322" t="s">
        <v>586</v>
      </c>
      <c r="G2322" s="110">
        <v>8920</v>
      </c>
      <c r="H2322" s="12">
        <v>46082</v>
      </c>
      <c r="I2322" s="24">
        <v>38480.57</v>
      </c>
      <c r="J2322" s="27">
        <v>34517.07</v>
      </c>
      <c r="K2322" s="3">
        <v>46149</v>
      </c>
      <c r="L2322" s="91">
        <v>46167</v>
      </c>
      <c r="M2322" s="11">
        <v>46171</v>
      </c>
      <c r="N2322" s="18" t="s">
        <v>588</v>
      </c>
      <c r="O2322" s="35">
        <v>0</v>
      </c>
      <c r="P2322"/>
      <c r="Q2322" t="str">
        <f>IFERROR(VLOOKUP(Tabela1[[#This Row],[CC]],CC!$A$1:$H$389,5,0),"")</f>
        <v>CSA</v>
      </c>
      <c r="R2322" t="str">
        <f>IFERROR(VLOOKUP(Tabela1[[#This Row],[CC]],CC!$A$1:$H$389,6,0),"")</f>
        <v>PS</v>
      </c>
      <c r="S2322" t="str">
        <f>IFERROR(VLOOKUP(Tabela1[[#This Row],[CC]],CC!$A$1:$H$403,8,0),"")</f>
        <v>OP3</v>
      </c>
    </row>
    <row r="2323" spans="1:19" x14ac:dyDescent="0.3">
      <c r="A2323" s="25">
        <v>1514</v>
      </c>
      <c r="B2323" s="25" t="str">
        <f>IFERROR(VLOOKUP(Tabela1[[#This Row],[CC]],#REF!,5,0),"")</f>
        <v/>
      </c>
      <c r="C2323" t="str">
        <f>IFERROR(VLOOKUP(Tabela1[[#This Row],[CC]],CC!$A$1:$H$389,7,0),"")</f>
        <v>LIZANDRA PIMENTA</v>
      </c>
      <c r="D2323" t="str">
        <f>IFERROR(VLOOKUP(Tabela1[[#This Row],[CC]],CC!$A$1:$I$3869,3,0),"")</f>
        <v>TJ_BA</v>
      </c>
      <c r="E2323" t="str">
        <f>IFERROR(VLOOKUP(Tabela1[[#This Row],[CC]],CC!$A$1:$H$389,2,0),"")</f>
        <v>TJ - BA SISTEMAS EMERGENCIAL (1514)</v>
      </c>
      <c r="F2323" t="s">
        <v>586</v>
      </c>
      <c r="G2323" s="110">
        <v>8841</v>
      </c>
      <c r="H2323" s="12">
        <v>45992</v>
      </c>
      <c r="I2323" s="27">
        <v>805435.55</v>
      </c>
      <c r="J2323" s="27">
        <v>750665.93</v>
      </c>
      <c r="K2323" s="3">
        <v>46118</v>
      </c>
      <c r="L2323" s="91">
        <v>46125</v>
      </c>
      <c r="M2323" s="11">
        <v>46127</v>
      </c>
      <c r="N2323" s="18" t="s">
        <v>588</v>
      </c>
      <c r="O2323" s="24"/>
      <c r="P2323"/>
      <c r="Q2323" t="str">
        <f>IFERROR(VLOOKUP(Tabela1[[#This Row],[CC]],CC!$A$1:$H$389,5,0),"")</f>
        <v>ADS</v>
      </c>
      <c r="R2323" t="str">
        <f>IFERROR(VLOOKUP(Tabela1[[#This Row],[CC]],CC!$A$1:$H$389,6,0),"")</f>
        <v>PS</v>
      </c>
      <c r="S2323" t="str">
        <f>IFERROR(VLOOKUP(Tabela1[[#This Row],[CC]],CC!$A$1:$H$403,8,0),"")</f>
        <v>OP3</v>
      </c>
    </row>
    <row r="2324" spans="1:19" x14ac:dyDescent="0.3">
      <c r="A2324" s="25">
        <v>1514</v>
      </c>
      <c r="B2324" s="25" t="str">
        <f>IFERROR(VLOOKUP(Tabela1[[#This Row],[CC]],#REF!,5,0),"")</f>
        <v/>
      </c>
      <c r="C2324" t="str">
        <f>IFERROR(VLOOKUP(Tabela1[[#This Row],[CC]],CC!$A$1:$H$389,7,0),"")</f>
        <v>LIZANDRA PIMENTA</v>
      </c>
      <c r="D2324" t="str">
        <f>IFERROR(VLOOKUP(Tabela1[[#This Row],[CC]],CC!$A$1:$I$3869,3,0),"")</f>
        <v>TJ_BA</v>
      </c>
      <c r="E2324" t="str">
        <f>IFERROR(VLOOKUP(Tabela1[[#This Row],[CC]],CC!$A$1:$H$389,2,0),"")</f>
        <v>TJ - BA SISTEMAS EMERGENCIAL (1514)</v>
      </c>
      <c r="F2324" t="s">
        <v>586</v>
      </c>
      <c r="G2324" s="110">
        <v>8835</v>
      </c>
      <c r="H2324" s="12">
        <v>46023</v>
      </c>
      <c r="I2324" s="27">
        <v>2049793.76</v>
      </c>
      <c r="J2324" s="27">
        <v>1910407.78</v>
      </c>
      <c r="K2324" s="3">
        <v>46107</v>
      </c>
      <c r="L2324" s="91">
        <v>46125</v>
      </c>
      <c r="M2324" s="11">
        <v>46127</v>
      </c>
      <c r="N2324" s="18" t="s">
        <v>588</v>
      </c>
      <c r="O2324" s="24"/>
      <c r="P2324"/>
      <c r="Q2324" t="str">
        <f>IFERROR(VLOOKUP(Tabela1[[#This Row],[CC]],CC!$A$1:$H$389,5,0),"")</f>
        <v>ADS</v>
      </c>
      <c r="R2324" t="str">
        <f>IFERROR(VLOOKUP(Tabela1[[#This Row],[CC]],CC!$A$1:$H$389,6,0),"")</f>
        <v>PS</v>
      </c>
      <c r="S2324" t="str">
        <f>IFERROR(VLOOKUP(Tabela1[[#This Row],[CC]],CC!$A$1:$H$403,8,0),"")</f>
        <v>OP3</v>
      </c>
    </row>
    <row r="2325" spans="1:19" x14ac:dyDescent="0.3">
      <c r="A2325" s="25">
        <v>1514</v>
      </c>
      <c r="B2325" s="25" t="str">
        <f>IFERROR(VLOOKUP(Tabela1[[#This Row],[CC]],#REF!,5,0),"")</f>
        <v/>
      </c>
      <c r="C2325" t="str">
        <f>IFERROR(VLOOKUP(Tabela1[[#This Row],[CC]],CC!$A$1:$H$389,7,0),"")</f>
        <v>LIZANDRA PIMENTA</v>
      </c>
      <c r="D2325" t="str">
        <f>IFERROR(VLOOKUP(Tabela1[[#This Row],[CC]],CC!$A$1:$I$3869,3,0),"")</f>
        <v>TJ_BA</v>
      </c>
      <c r="E2325" t="str">
        <f>IFERROR(VLOOKUP(Tabela1[[#This Row],[CC]],CC!$A$1:$H$389,2,0),"")</f>
        <v>TJ - BA SISTEMAS EMERGENCIAL (1514)</v>
      </c>
      <c r="F2325" t="s">
        <v>586</v>
      </c>
      <c r="G2325" s="110">
        <v>8862</v>
      </c>
      <c r="H2325" s="12">
        <v>46054</v>
      </c>
      <c r="I2325" s="27">
        <v>2244786.44</v>
      </c>
      <c r="J2325" s="24">
        <v>2092140.96</v>
      </c>
      <c r="K2325" s="3">
        <v>46128</v>
      </c>
      <c r="L2325" s="91">
        <v>46139</v>
      </c>
      <c r="M2325" s="11">
        <v>46142</v>
      </c>
      <c r="N2325" s="18" t="s">
        <v>588</v>
      </c>
      <c r="O2325" s="35">
        <v>0</v>
      </c>
      <c r="P2325"/>
      <c r="Q2325" t="str">
        <f>IFERROR(VLOOKUP(Tabela1[[#This Row],[CC]],CC!$A$1:$H$389,5,0),"")</f>
        <v>ADS</v>
      </c>
      <c r="R2325" t="str">
        <f>IFERROR(VLOOKUP(Tabela1[[#This Row],[CC]],CC!$A$1:$H$389,6,0),"")</f>
        <v>PS</v>
      </c>
      <c r="S2325" t="str">
        <f>IFERROR(VLOOKUP(Tabela1[[#This Row],[CC]],CC!$A$1:$H$403,8,0),"")</f>
        <v>OP3</v>
      </c>
    </row>
    <row r="2326" spans="1:19" x14ac:dyDescent="0.3">
      <c r="A2326" s="8">
        <v>1277</v>
      </c>
      <c r="B2326" s="8" t="str">
        <f>IFERROR(VLOOKUP(Tabela1[[#This Row],[CC]],#REF!,5,0),"")</f>
        <v/>
      </c>
      <c r="C2326" t="str">
        <f>IFERROR(VLOOKUP(Tabela1[[#This Row],[CC]],CC!$A$1:$H$389,7,0),"")</f>
        <v>LIZANDRA PIMENTA</v>
      </c>
      <c r="D2326" t="str">
        <f>IFERROR(VLOOKUP(Tabela1[[#This Row],[CC]],CC!$A$1:$I$3869,3,0),"")</f>
        <v>TJ_BA</v>
      </c>
      <c r="E2326" t="str">
        <f>IFERROR(VLOOKUP(Tabela1[[#This Row],[CC]],CC!$A$1:$H$389,2,0),"")</f>
        <v>TJ - BA CPROD (1277)</v>
      </c>
      <c r="F2326" t="s">
        <v>586</v>
      </c>
      <c r="G2326" s="148">
        <v>8930</v>
      </c>
      <c r="H2326" s="12">
        <v>46113</v>
      </c>
      <c r="I2326" s="24">
        <v>162394.43</v>
      </c>
      <c r="J2326" s="27">
        <v>145667.79999999999</v>
      </c>
      <c r="K2326" s="3">
        <v>46153</v>
      </c>
      <c r="L2326" s="91">
        <v>46181</v>
      </c>
      <c r="M2326" s="11"/>
      <c r="N2326" s="18" t="s">
        <v>587</v>
      </c>
      <c r="O2326" s="35"/>
      <c r="P2326"/>
      <c r="Q2326" t="str">
        <f>IFERROR(VLOOKUP(Tabela1[[#This Row],[CC]],CC!$A$1:$H$389,5,0),"")</f>
        <v>CSA</v>
      </c>
      <c r="R2326" t="str">
        <f>IFERROR(VLOOKUP(Tabela1[[#This Row],[CC]],CC!$A$1:$H$389,6,0),"")</f>
        <v>PS</v>
      </c>
      <c r="S2326" t="str">
        <f>IFERROR(VLOOKUP(Tabela1[[#This Row],[CC]],CC!$A$1:$H$403,8,0),"")</f>
        <v>OP3</v>
      </c>
    </row>
    <row r="2327" spans="1:19" x14ac:dyDescent="0.3">
      <c r="A2327" s="8">
        <v>1277</v>
      </c>
      <c r="B2327" s="8" t="str">
        <f>IFERROR(VLOOKUP(Tabela1[[#This Row],[CC]],#REF!,5,0),"")</f>
        <v/>
      </c>
      <c r="C2327" t="str">
        <f>IFERROR(VLOOKUP(Tabela1[[#This Row],[CC]],CC!$A$1:$H$389,7,0),"")</f>
        <v>LIZANDRA PIMENTA</v>
      </c>
      <c r="D2327" t="str">
        <f>IFERROR(VLOOKUP(Tabela1[[#This Row],[CC]],CC!$A$1:$I$3869,3,0),"")</f>
        <v>TJ_BA</v>
      </c>
      <c r="E2327" t="str">
        <f>IFERROR(VLOOKUP(Tabela1[[#This Row],[CC]],CC!$A$1:$H$389,2,0),"")</f>
        <v>TJ - BA CPROD (1277)</v>
      </c>
      <c r="F2327" t="s">
        <v>586</v>
      </c>
      <c r="G2327" s="106">
        <v>9009</v>
      </c>
      <c r="H2327" s="12">
        <v>46143</v>
      </c>
      <c r="I2327" s="24">
        <v>159061.12</v>
      </c>
      <c r="J2327" s="27">
        <v>142677.82999999999</v>
      </c>
      <c r="K2327" s="3">
        <v>46183</v>
      </c>
      <c r="L2327" s="91">
        <v>46211</v>
      </c>
      <c r="M2327" s="11"/>
      <c r="N2327" s="18" t="s">
        <v>587</v>
      </c>
      <c r="O2327" s="35"/>
      <c r="P2327"/>
      <c r="Q2327" t="str">
        <f>IFERROR(VLOOKUP(Tabela1[[#This Row],[CC]],CC!$A$1:$H$389,5,0),"")</f>
        <v>CSA</v>
      </c>
      <c r="R2327" t="str">
        <f>IFERROR(VLOOKUP(Tabela1[[#This Row],[CC]],CC!$A$1:$H$389,6,0),"")</f>
        <v>PS</v>
      </c>
      <c r="S2327" t="str">
        <f>IFERROR(VLOOKUP(Tabela1[[#This Row],[CC]],CC!$A$1:$H$403,8,0),"")</f>
        <v>OP3</v>
      </c>
    </row>
    <row r="2328" spans="1:19" x14ac:dyDescent="0.3">
      <c r="A2328" s="25">
        <v>1273</v>
      </c>
      <c r="B2328" s="25" t="str">
        <f>IFERROR(VLOOKUP(Tabela1[[#This Row],[CC]],#REF!,5,0),"")</f>
        <v/>
      </c>
      <c r="C2328" t="str">
        <f>IFERROR(VLOOKUP(Tabela1[[#This Row],[CC]],CC!$A$1:$H$389,7,0),"")</f>
        <v>LIZANDRA PIMENTA</v>
      </c>
      <c r="D2328" t="str">
        <f>IFERROR(VLOOKUP(Tabela1[[#This Row],[CC]],CC!$A$1:$I$3869,3,0),"")</f>
        <v>TJ_BA</v>
      </c>
      <c r="E2328" t="str">
        <f>IFERROR(VLOOKUP(Tabela1[[#This Row],[CC]],CC!$A$1:$H$389,2,0),"")</f>
        <v>TJ - BA DIGITAL SUPPORT (1273)</v>
      </c>
      <c r="F2328" t="s">
        <v>586</v>
      </c>
      <c r="G2328" s="110">
        <v>8919</v>
      </c>
      <c r="H2328" s="12">
        <v>46082</v>
      </c>
      <c r="I2328" s="24">
        <v>542488.31000000006</v>
      </c>
      <c r="J2328" s="27">
        <v>486612.01</v>
      </c>
      <c r="K2328" s="3">
        <v>46149</v>
      </c>
      <c r="L2328" s="91">
        <v>46167</v>
      </c>
      <c r="M2328" s="11">
        <v>46171</v>
      </c>
      <c r="N2328" s="18" t="s">
        <v>588</v>
      </c>
      <c r="O2328" s="35">
        <v>0</v>
      </c>
      <c r="P2328"/>
      <c r="Q2328" t="str">
        <f>IFERROR(VLOOKUP(Tabela1[[#This Row],[CC]],CC!$A$1:$H$389,5,0),"")</f>
        <v>CSA</v>
      </c>
      <c r="R2328" t="str">
        <f>IFERROR(VLOOKUP(Tabela1[[#This Row],[CC]],CC!$A$1:$H$389,6,0),"")</f>
        <v>PS</v>
      </c>
      <c r="S2328" t="str">
        <f>IFERROR(VLOOKUP(Tabela1[[#This Row],[CC]],CC!$A$1:$H$403,8,0),"")</f>
        <v>OP3</v>
      </c>
    </row>
    <row r="2329" spans="1:19" x14ac:dyDescent="0.3">
      <c r="A2329" s="25">
        <v>1268</v>
      </c>
      <c r="B2329" s="25" t="str">
        <f>IFERROR(VLOOKUP(Tabela1[[#This Row],[CC]],#REF!,5,0),"")</f>
        <v/>
      </c>
      <c r="C2329" t="str">
        <f>IFERROR(VLOOKUP(Tabela1[[#This Row],[CC]],CC!$A$1:$H$389,7,0),"")</f>
        <v>RODRIGO CORUMBA</v>
      </c>
      <c r="D2329" t="str">
        <f>IFERROR(VLOOKUP(Tabela1[[#This Row],[CC]],CC!$A$1:$I$3869,3,0),"")</f>
        <v>SANTANDER</v>
      </c>
      <c r="E2329" t="str">
        <f>IFERROR(VLOOKUP(Tabela1[[#This Row],[CC]],CC!$A$1:$H$389,2,0),"")</f>
        <v>BANCO SANTANDER Agile Studio (1268)</v>
      </c>
      <c r="F2329" t="s">
        <v>586</v>
      </c>
      <c r="G2329" s="107">
        <v>4576</v>
      </c>
      <c r="H2329" s="12">
        <v>45962</v>
      </c>
      <c r="I2329" s="24">
        <v>784755.72</v>
      </c>
      <c r="J2329" s="27">
        <v>736493.25</v>
      </c>
      <c r="K2329" s="3">
        <v>45992</v>
      </c>
      <c r="L2329" s="91">
        <v>46013</v>
      </c>
      <c r="M2329" s="11">
        <v>46017</v>
      </c>
      <c r="N2329" s="18" t="s">
        <v>588</v>
      </c>
      <c r="O2329" s="35">
        <v>0</v>
      </c>
      <c r="P2329"/>
      <c r="Q2329" t="str">
        <f>IFERROR(VLOOKUP(Tabela1[[#This Row],[CC]],CC!$A$1:$H$389,5,0),"")</f>
        <v>ADS</v>
      </c>
      <c r="R2329" t="str">
        <f>IFERROR(VLOOKUP(Tabela1[[#This Row],[CC]],CC!$A$1:$H$389,6,0),"")</f>
        <v>FS</v>
      </c>
      <c r="S2329" t="str">
        <f>IFERROR(VLOOKUP(Tabela1[[#This Row],[CC]],CC!$A$1:$H$403,8,0),"")</f>
        <v>OP2</v>
      </c>
    </row>
    <row r="2330" spans="1:19" x14ac:dyDescent="0.3">
      <c r="A2330" s="25">
        <v>1268</v>
      </c>
      <c r="B2330" s="25" t="str">
        <f>IFERROR(VLOOKUP(Tabela1[[#This Row],[CC]],#REF!,5,0),"")</f>
        <v/>
      </c>
      <c r="C2330" t="str">
        <f>IFERROR(VLOOKUP(Tabela1[[#This Row],[CC]],CC!$A$1:$H$389,7,0),"")</f>
        <v>RODRIGO CORUMBA</v>
      </c>
      <c r="D2330" t="str">
        <f>IFERROR(VLOOKUP(Tabela1[[#This Row],[CC]],CC!$A$1:$I$3869,3,0),"")</f>
        <v>SANTANDER</v>
      </c>
      <c r="E2330" t="str">
        <f>IFERROR(VLOOKUP(Tabela1[[#This Row],[CC]],CC!$A$1:$H$389,2,0),"")</f>
        <v>BANCO SANTANDER Agile Studio (1268)</v>
      </c>
      <c r="F2330" t="s">
        <v>586</v>
      </c>
      <c r="G2330" s="107">
        <v>4577</v>
      </c>
      <c r="H2330" s="12">
        <v>45962</v>
      </c>
      <c r="I2330" s="24">
        <v>165717.72</v>
      </c>
      <c r="J2330" s="27">
        <v>155526.07999999999</v>
      </c>
      <c r="K2330" s="3">
        <v>45992</v>
      </c>
      <c r="L2330" s="91">
        <v>46013</v>
      </c>
      <c r="M2330" s="11">
        <v>46017</v>
      </c>
      <c r="N2330" s="18" t="s">
        <v>588</v>
      </c>
      <c r="O2330" s="35">
        <v>0</v>
      </c>
      <c r="P2330"/>
      <c r="Q2330" t="str">
        <f>IFERROR(VLOOKUP(Tabela1[[#This Row],[CC]],CC!$A$1:$H$389,5,0),"")</f>
        <v>ADS</v>
      </c>
      <c r="R2330" t="str">
        <f>IFERROR(VLOOKUP(Tabela1[[#This Row],[CC]],CC!$A$1:$H$389,6,0),"")</f>
        <v>FS</v>
      </c>
      <c r="S2330" t="str">
        <f>IFERROR(VLOOKUP(Tabela1[[#This Row],[CC]],CC!$A$1:$H$403,8,0),"")</f>
        <v>OP2</v>
      </c>
    </row>
    <row r="2331" spans="1:19" x14ac:dyDescent="0.3">
      <c r="A2331" s="25">
        <v>1268</v>
      </c>
      <c r="B2331" s="25" t="str">
        <f>IFERROR(VLOOKUP(Tabela1[[#This Row],[CC]],#REF!,5,0),"")</f>
        <v/>
      </c>
      <c r="C2331" t="str">
        <f>IFERROR(VLOOKUP(Tabela1[[#This Row],[CC]],CC!$A$1:$H$389,7,0),"")</f>
        <v>RODRIGO CORUMBA</v>
      </c>
      <c r="D2331" t="str">
        <f>IFERROR(VLOOKUP(Tabela1[[#This Row],[CC]],CC!$A$1:$I$3869,3,0),"")</f>
        <v>SANTANDER</v>
      </c>
      <c r="E2331" t="str">
        <f>IFERROR(VLOOKUP(Tabela1[[#This Row],[CC]],CC!$A$1:$H$389,2,0),"")</f>
        <v>BANCO SANTANDER Agile Studio (1268)</v>
      </c>
      <c r="F2331" t="s">
        <v>586</v>
      </c>
      <c r="G2331" s="107">
        <v>4578</v>
      </c>
      <c r="H2331" s="12">
        <v>45962</v>
      </c>
      <c r="I2331" s="24">
        <v>41368</v>
      </c>
      <c r="J2331" s="27">
        <v>38823.870000000003</v>
      </c>
      <c r="K2331" s="3">
        <v>45992</v>
      </c>
      <c r="L2331" s="91">
        <v>46013</v>
      </c>
      <c r="M2331" s="11">
        <v>46017</v>
      </c>
      <c r="N2331" s="18" t="s">
        <v>588</v>
      </c>
      <c r="O2331" s="35">
        <v>0</v>
      </c>
      <c r="P2331"/>
      <c r="Q2331" t="str">
        <f>IFERROR(VLOOKUP(Tabela1[[#This Row],[CC]],CC!$A$1:$H$389,5,0),"")</f>
        <v>ADS</v>
      </c>
      <c r="R2331" t="str">
        <f>IFERROR(VLOOKUP(Tabela1[[#This Row],[CC]],CC!$A$1:$H$389,6,0),"")</f>
        <v>FS</v>
      </c>
      <c r="S2331" t="str">
        <f>IFERROR(VLOOKUP(Tabela1[[#This Row],[CC]],CC!$A$1:$H$403,8,0),"")</f>
        <v>OP2</v>
      </c>
    </row>
    <row r="2332" spans="1:19" x14ac:dyDescent="0.3">
      <c r="A2332" s="25">
        <v>1268</v>
      </c>
      <c r="B2332" s="25" t="str">
        <f>IFERROR(VLOOKUP(Tabela1[[#This Row],[CC]],#REF!,5,0),"")</f>
        <v/>
      </c>
      <c r="C2332" t="str">
        <f>IFERROR(VLOOKUP(Tabela1[[#This Row],[CC]],CC!$A$1:$H$389,7,0),"")</f>
        <v>RODRIGO CORUMBA</v>
      </c>
      <c r="D2332" t="str">
        <f>IFERROR(VLOOKUP(Tabela1[[#This Row],[CC]],CC!$A$1:$I$3869,3,0),"")</f>
        <v>SANTANDER</v>
      </c>
      <c r="E2332" t="str">
        <f>IFERROR(VLOOKUP(Tabela1[[#This Row],[CC]],CC!$A$1:$H$389,2,0),"")</f>
        <v>BANCO SANTANDER Agile Studio (1268)</v>
      </c>
      <c r="F2332" t="s">
        <v>586</v>
      </c>
      <c r="G2332" s="107">
        <v>4676</v>
      </c>
      <c r="H2332" s="12">
        <v>45901</v>
      </c>
      <c r="I2332" s="24">
        <v>82736</v>
      </c>
      <c r="J2332" s="24">
        <v>77647.740000000005</v>
      </c>
      <c r="K2332" s="3">
        <v>46002</v>
      </c>
      <c r="L2332" s="91">
        <v>46013</v>
      </c>
      <c r="M2332" s="11">
        <v>46013</v>
      </c>
      <c r="N2332" s="18" t="s">
        <v>588</v>
      </c>
      <c r="O2332" s="35">
        <v>0</v>
      </c>
      <c r="P2332"/>
      <c r="Q2332" t="str">
        <f>IFERROR(VLOOKUP(Tabela1[[#This Row],[CC]],CC!$A$1:$H$389,5,0),"")</f>
        <v>ADS</v>
      </c>
      <c r="R2332" t="str">
        <f>IFERROR(VLOOKUP(Tabela1[[#This Row],[CC]],CC!$A$1:$H$389,6,0),"")</f>
        <v>FS</v>
      </c>
      <c r="S2332" t="str">
        <f>IFERROR(VLOOKUP(Tabela1[[#This Row],[CC]],CC!$A$1:$H$403,8,0),"")</f>
        <v>OP2</v>
      </c>
    </row>
    <row r="2333" spans="1:19" x14ac:dyDescent="0.3">
      <c r="A2333" s="25">
        <v>1356</v>
      </c>
      <c r="B2333" s="25" t="str">
        <f>IFERROR(VLOOKUP(Tabela1[[#This Row],[CC]],#REF!,5,0),"")</f>
        <v/>
      </c>
      <c r="C2333" t="str">
        <f>IFERROR(VLOOKUP(Tabela1[[#This Row],[CC]],CC!$A$1:$H$389,7,0),"")</f>
        <v>RODRIGO CORUMBA</v>
      </c>
      <c r="D2333" t="str">
        <f>IFERROR(VLOOKUP(Tabela1[[#This Row],[CC]],CC!$A$1:$I$3869,3,0),"")</f>
        <v>SANTANDER</v>
      </c>
      <c r="E2333" t="str">
        <f>IFERROR(VLOOKUP(Tabela1[[#This Row],[CC]],CC!$A$1:$H$389,2,0),"")</f>
        <v>BANCO SANTANDER ORACLE (1356)</v>
      </c>
      <c r="F2333" t="s">
        <v>586</v>
      </c>
      <c r="G2333" s="107">
        <v>4748</v>
      </c>
      <c r="H2333" s="12">
        <v>45992</v>
      </c>
      <c r="I2333" s="24">
        <v>41368</v>
      </c>
      <c r="J2333" s="27">
        <v>38823.870000000003</v>
      </c>
      <c r="K2333" s="3">
        <v>46037</v>
      </c>
      <c r="L2333" s="91">
        <v>46055</v>
      </c>
      <c r="M2333" s="11">
        <v>46059</v>
      </c>
      <c r="N2333" s="18" t="s">
        <v>588</v>
      </c>
      <c r="O2333" s="35">
        <v>0</v>
      </c>
      <c r="P2333"/>
      <c r="Q2333" t="str">
        <f>IFERROR(VLOOKUP(Tabela1[[#This Row],[CC]],CC!$A$1:$H$389,5,0),"")</f>
        <v>ADS</v>
      </c>
      <c r="R2333" t="str">
        <f>IFERROR(VLOOKUP(Tabela1[[#This Row],[CC]],CC!$A$1:$H$389,6,0),"")</f>
        <v>FS</v>
      </c>
      <c r="S2333" t="str">
        <f>IFERROR(VLOOKUP(Tabela1[[#This Row],[CC]],CC!$A$1:$H$403,8,0),"")</f>
        <v>OP2</v>
      </c>
    </row>
    <row r="2334" spans="1:19" x14ac:dyDescent="0.3">
      <c r="A2334" s="25">
        <v>1356</v>
      </c>
      <c r="B2334" s="25" t="str">
        <f>IFERROR(VLOOKUP(Tabela1[[#This Row],[CC]],#REF!,5,0),"")</f>
        <v/>
      </c>
      <c r="C2334" t="str">
        <f>IFERROR(VLOOKUP(Tabela1[[#This Row],[CC]],CC!$A$1:$H$389,7,0),"")</f>
        <v>RODRIGO CORUMBA</v>
      </c>
      <c r="D2334" t="str">
        <f>IFERROR(VLOOKUP(Tabela1[[#This Row],[CC]],CC!$A$1:$I$3869,3,0),"")</f>
        <v>SANTANDER</v>
      </c>
      <c r="E2334" t="str">
        <f>IFERROR(VLOOKUP(Tabela1[[#This Row],[CC]],CC!$A$1:$H$389,2,0),"")</f>
        <v>BANCO SANTANDER ORACLE (1356)</v>
      </c>
      <c r="F2334" t="s">
        <v>586</v>
      </c>
      <c r="G2334" s="107">
        <v>4816</v>
      </c>
      <c r="H2334" s="66">
        <v>45992</v>
      </c>
      <c r="I2334" s="24">
        <v>41368</v>
      </c>
      <c r="J2334" s="24">
        <v>38823.870000000003</v>
      </c>
      <c r="K2334" s="3">
        <v>46058</v>
      </c>
      <c r="L2334" s="91">
        <v>46076</v>
      </c>
      <c r="M2334" s="11">
        <v>46080</v>
      </c>
      <c r="N2334" s="18" t="s">
        <v>588</v>
      </c>
      <c r="O2334" s="35">
        <v>0</v>
      </c>
      <c r="P2334"/>
      <c r="Q2334" t="str">
        <f>IFERROR(VLOOKUP(Tabela1[[#This Row],[CC]],CC!$A$1:$H$389,5,0),"")</f>
        <v>ADS</v>
      </c>
      <c r="R2334" t="str">
        <f>IFERROR(VLOOKUP(Tabela1[[#This Row],[CC]],CC!$A$1:$H$389,6,0),"")</f>
        <v>FS</v>
      </c>
      <c r="S2334" t="str">
        <f>IFERROR(VLOOKUP(Tabela1[[#This Row],[CC]],CC!$A$1:$H$403,8,0),"")</f>
        <v>OP2</v>
      </c>
    </row>
    <row r="2335" spans="1:19" x14ac:dyDescent="0.3">
      <c r="A2335" s="25">
        <v>1356</v>
      </c>
      <c r="B2335" s="25" t="str">
        <f>IFERROR(VLOOKUP(Tabela1[[#This Row],[CC]],#REF!,5,0),"")</f>
        <v/>
      </c>
      <c r="C2335" t="str">
        <f>IFERROR(VLOOKUP(Tabela1[[#This Row],[CC]],CC!$A$1:$H$389,7,0),"")</f>
        <v>RODRIGO CORUMBA</v>
      </c>
      <c r="D2335" t="str">
        <f>IFERROR(VLOOKUP(Tabela1[[#This Row],[CC]],CC!$A$1:$I$3869,3,0),"")</f>
        <v>SANTANDER</v>
      </c>
      <c r="E2335" t="str">
        <f>IFERROR(VLOOKUP(Tabela1[[#This Row],[CC]],CC!$A$1:$H$389,2,0),"")</f>
        <v>BANCO SANTANDER ORACLE (1356)</v>
      </c>
      <c r="F2335" t="s">
        <v>586</v>
      </c>
      <c r="G2335" s="107">
        <v>4911</v>
      </c>
      <c r="H2335" s="66">
        <v>45992</v>
      </c>
      <c r="I2335" s="24">
        <v>41368</v>
      </c>
      <c r="J2335" s="27">
        <v>38823.870000000003</v>
      </c>
      <c r="K2335" s="3">
        <v>46086</v>
      </c>
      <c r="L2335" s="91">
        <v>46111</v>
      </c>
      <c r="M2335" s="11">
        <v>46111</v>
      </c>
      <c r="N2335" s="18" t="s">
        <v>588</v>
      </c>
      <c r="O2335" s="35">
        <v>0</v>
      </c>
      <c r="P2335"/>
      <c r="Q2335" t="str">
        <f>IFERROR(VLOOKUP(Tabela1[[#This Row],[CC]],CC!$A$1:$H$389,5,0),"")</f>
        <v>ADS</v>
      </c>
      <c r="R2335" t="str">
        <f>IFERROR(VLOOKUP(Tabela1[[#This Row],[CC]],CC!$A$1:$H$389,6,0),"")</f>
        <v>FS</v>
      </c>
      <c r="S2335" t="str">
        <f>IFERROR(VLOOKUP(Tabela1[[#This Row],[CC]],CC!$A$1:$H$403,8,0),"")</f>
        <v>OP2</v>
      </c>
    </row>
    <row r="2336" spans="1:19" x14ac:dyDescent="0.3">
      <c r="A2336" s="25">
        <v>1356</v>
      </c>
      <c r="B2336" s="25" t="str">
        <f>IFERROR(VLOOKUP(Tabela1[[#This Row],[CC]],#REF!,5,0),"")</f>
        <v/>
      </c>
      <c r="C2336" t="str">
        <f>IFERROR(VLOOKUP(Tabela1[[#This Row],[CC]],CC!$A$1:$H$389,7,0),"")</f>
        <v>RODRIGO CORUMBA</v>
      </c>
      <c r="D2336" t="str">
        <f>IFERROR(VLOOKUP(Tabela1[[#This Row],[CC]],CC!$A$1:$I$3869,3,0),"")</f>
        <v>SANTANDER</v>
      </c>
      <c r="E2336" t="str">
        <f>IFERROR(VLOOKUP(Tabela1[[#This Row],[CC]],CC!$A$1:$H$389,2,0),"")</f>
        <v>BANCO SANTANDER ORACLE (1356)</v>
      </c>
      <c r="F2336" t="s">
        <v>586</v>
      </c>
      <c r="G2336" s="107">
        <v>5060</v>
      </c>
      <c r="H2336" s="15">
        <v>45992</v>
      </c>
      <c r="I2336" s="24">
        <v>41368</v>
      </c>
      <c r="J2336" s="24">
        <v>38823.870000000003</v>
      </c>
      <c r="K2336" s="3">
        <v>46122</v>
      </c>
      <c r="L2336" s="147">
        <v>46146</v>
      </c>
      <c r="M2336" s="11">
        <v>46146</v>
      </c>
      <c r="N2336" s="18" t="s">
        <v>588</v>
      </c>
      <c r="O2336" s="35">
        <v>0</v>
      </c>
      <c r="P2336"/>
      <c r="Q2336" t="str">
        <f>IFERROR(VLOOKUP(Tabela1[[#This Row],[CC]],CC!$A$1:$H$389,5,0),"")</f>
        <v>ADS</v>
      </c>
      <c r="R2336" t="str">
        <f>IFERROR(VLOOKUP(Tabela1[[#This Row],[CC]],CC!$A$1:$H$389,6,0),"")</f>
        <v>FS</v>
      </c>
      <c r="S2336" t="str">
        <f>IFERROR(VLOOKUP(Tabela1[[#This Row],[CC]],CC!$A$1:$H$403,8,0),"")</f>
        <v>OP2</v>
      </c>
    </row>
    <row r="2337" spans="1:19" x14ac:dyDescent="0.3">
      <c r="A2337" s="25">
        <v>1356</v>
      </c>
      <c r="B2337" s="25" t="str">
        <f>IFERROR(VLOOKUP(Tabela1[[#This Row],[CC]],#REF!,5,0),"")</f>
        <v/>
      </c>
      <c r="C2337" t="str">
        <f>IFERROR(VLOOKUP(Tabela1[[#This Row],[CC]],CC!$A$1:$H$389,7,0),"")</f>
        <v>RODRIGO CORUMBA</v>
      </c>
      <c r="D2337" t="str">
        <f>IFERROR(VLOOKUP(Tabela1[[#This Row],[CC]],CC!$A$1:$I$3869,3,0),"")</f>
        <v>SANTANDER</v>
      </c>
      <c r="E2337" t="str">
        <f>IFERROR(VLOOKUP(Tabela1[[#This Row],[CC]],CC!$A$1:$H$389,2,0),"")</f>
        <v>BANCO SANTANDER ORACLE (1356)</v>
      </c>
      <c r="F2337" t="s">
        <v>586</v>
      </c>
      <c r="G2337" s="107">
        <v>5117</v>
      </c>
      <c r="H2337" s="12">
        <v>46113</v>
      </c>
      <c r="I2337" s="43">
        <v>41368</v>
      </c>
      <c r="J2337" s="24">
        <v>38823.870000000003</v>
      </c>
      <c r="K2337" s="3">
        <v>46147</v>
      </c>
      <c r="L2337" s="147">
        <v>46174</v>
      </c>
      <c r="M2337" s="11">
        <v>46174</v>
      </c>
      <c r="N2337" s="18" t="s">
        <v>588</v>
      </c>
      <c r="O2337" s="35">
        <v>0</v>
      </c>
      <c r="P2337"/>
      <c r="Q2337" t="str">
        <f>IFERROR(VLOOKUP(Tabela1[[#This Row],[CC]],CC!$A$1:$H$389,5,0),"")</f>
        <v>ADS</v>
      </c>
      <c r="R2337" t="str">
        <f>IFERROR(VLOOKUP(Tabela1[[#This Row],[CC]],CC!$A$1:$H$389,6,0),"")</f>
        <v>FS</v>
      </c>
      <c r="S2337" t="str">
        <f>IFERROR(VLOOKUP(Tabela1[[#This Row],[CC]],CC!$A$1:$H$403,8,0),"")</f>
        <v>OP2</v>
      </c>
    </row>
    <row r="2338" spans="1:19" x14ac:dyDescent="0.3">
      <c r="A2338" s="25">
        <v>1356</v>
      </c>
      <c r="B2338" s="25" t="str">
        <f>IFERROR(VLOOKUP(Tabela1[[#This Row],[CC]],#REF!,5,0),"")</f>
        <v/>
      </c>
      <c r="C2338" t="str">
        <f>IFERROR(VLOOKUP(Tabela1[[#This Row],[CC]],CC!$A$1:$H$389,7,0),"")</f>
        <v>RODRIGO CORUMBA</v>
      </c>
      <c r="D2338" t="str">
        <f>IFERROR(VLOOKUP(Tabela1[[#This Row],[CC]],CC!$A$1:$I$3869,3,0),"")</f>
        <v>SANTANDER</v>
      </c>
      <c r="E2338" t="str">
        <f>IFERROR(VLOOKUP(Tabela1[[#This Row],[CC]],CC!$A$1:$H$389,2,0),"")</f>
        <v>BANCO SANTANDER ORACLE (1356)</v>
      </c>
      <c r="F2338" t="s">
        <v>586</v>
      </c>
      <c r="G2338" s="107">
        <v>5218</v>
      </c>
      <c r="H2338" s="12">
        <v>46143</v>
      </c>
      <c r="I2338" s="24">
        <v>41368</v>
      </c>
      <c r="J2338" s="24">
        <v>38823.870000000003</v>
      </c>
      <c r="K2338" s="3">
        <v>46178</v>
      </c>
      <c r="L2338" s="91">
        <v>46209</v>
      </c>
      <c r="M2338" s="11"/>
      <c r="N2338" s="18" t="s">
        <v>587</v>
      </c>
      <c r="O2338" s="35">
        <v>0</v>
      </c>
      <c r="P2338"/>
      <c r="Q2338" t="str">
        <f>IFERROR(VLOOKUP(Tabela1[[#This Row],[CC]],CC!$A$1:$H$389,5,0),"")</f>
        <v>ADS</v>
      </c>
      <c r="R2338" t="str">
        <f>IFERROR(VLOOKUP(Tabela1[[#This Row],[CC]],CC!$A$1:$H$389,6,0),"")</f>
        <v>FS</v>
      </c>
      <c r="S2338" t="str">
        <f>IFERROR(VLOOKUP(Tabela1[[#This Row],[CC]],CC!$A$1:$H$403,8,0),"")</f>
        <v>OP2</v>
      </c>
    </row>
    <row r="2339" spans="1:19" x14ac:dyDescent="0.3">
      <c r="A2339" s="25">
        <v>1494</v>
      </c>
      <c r="B2339" s="25" t="str">
        <f>IFERROR(VLOOKUP(Tabela1[[#This Row],[CC]],#REF!,5,0),"")</f>
        <v/>
      </c>
      <c r="C2339" t="str">
        <f>IFERROR(VLOOKUP(Tabela1[[#This Row],[CC]],CC!$A$1:$H$389,7,0),"")</f>
        <v>RODRIGO CORUMBA</v>
      </c>
      <c r="D2339" t="str">
        <f>IFERROR(VLOOKUP(Tabela1[[#This Row],[CC]],CC!$A$1:$I$3869,3,0),"")</f>
        <v>SANTANDER</v>
      </c>
      <c r="E2339" t="str">
        <f>IFERROR(VLOOKUP(Tabela1[[#This Row],[CC]],CC!$A$1:$H$389,2,0),"")</f>
        <v>SANTANDER BPS (1494)</v>
      </c>
      <c r="F2339" t="s">
        <v>586</v>
      </c>
      <c r="G2339" s="107">
        <v>4863</v>
      </c>
      <c r="H2339" s="66">
        <v>45992</v>
      </c>
      <c r="I2339" s="24">
        <v>35192</v>
      </c>
      <c r="J2339" s="27">
        <f>0.93849997039794*Tabela1[[#This Row],[VL. FATURADO]]</f>
        <v>33027.690958244304</v>
      </c>
      <c r="K2339" s="3">
        <v>46071</v>
      </c>
      <c r="L2339" s="91">
        <v>46076</v>
      </c>
      <c r="M2339" s="11">
        <v>46079</v>
      </c>
      <c r="N2339" s="18" t="s">
        <v>588</v>
      </c>
      <c r="O2339" s="35">
        <v>0</v>
      </c>
      <c r="P2339"/>
      <c r="Q2339" t="str">
        <f>IFERROR(VLOOKUP(Tabela1[[#This Row],[CC]],CC!$A$1:$H$389,5,0),"")</f>
        <v>BPS</v>
      </c>
      <c r="R2339" t="str">
        <f>IFERROR(VLOOKUP(Tabela1[[#This Row],[CC]],CC!$A$1:$H$389,6,0),"")</f>
        <v>FS</v>
      </c>
      <c r="S2339" t="str">
        <f>IFERROR(VLOOKUP(Tabela1[[#This Row],[CC]],CC!$A$1:$H$403,8,0),"")</f>
        <v>OP2</v>
      </c>
    </row>
    <row r="2340" spans="1:19" x14ac:dyDescent="0.3">
      <c r="A2340" s="25">
        <v>1268</v>
      </c>
      <c r="B2340" s="25" t="str">
        <f>IFERROR(VLOOKUP(Tabela1[[#This Row],[CC]],#REF!,5,0),"")</f>
        <v/>
      </c>
      <c r="C2340" t="str">
        <f>IFERROR(VLOOKUP(Tabela1[[#This Row],[CC]],CC!$A$1:$H$389,7,0),"")</f>
        <v>RODRIGO CORUMBA</v>
      </c>
      <c r="D2340" t="str">
        <f>IFERROR(VLOOKUP(Tabela1[[#This Row],[CC]],CC!$A$1:$I$3869,3,0),"")</f>
        <v>SANTANDER</v>
      </c>
      <c r="E2340" t="str">
        <f>IFERROR(VLOOKUP(Tabela1[[#This Row],[CC]],CC!$A$1:$H$389,2,0),"")</f>
        <v>BANCO SANTANDER Agile Studio (1268)</v>
      </c>
      <c r="F2340" t="s">
        <v>586</v>
      </c>
      <c r="G2340" s="107">
        <v>4863</v>
      </c>
      <c r="H2340" s="66">
        <v>45992</v>
      </c>
      <c r="I2340" s="24">
        <f>212991.93-$I$2339</f>
        <v>177799.93</v>
      </c>
      <c r="J2340" s="27">
        <f>199892.92-$J$2339</f>
        <v>166865.22904175572</v>
      </c>
      <c r="K2340" s="3">
        <v>46071</v>
      </c>
      <c r="L2340" s="91">
        <v>46076</v>
      </c>
      <c r="M2340" s="11">
        <v>46079</v>
      </c>
      <c r="N2340" s="18" t="s">
        <v>588</v>
      </c>
      <c r="O2340" s="35">
        <v>0</v>
      </c>
      <c r="P2340"/>
      <c r="Q2340" t="str">
        <f>IFERROR(VLOOKUP(Tabela1[[#This Row],[CC]],CC!$A$1:$H$389,5,0),"")</f>
        <v>ADS</v>
      </c>
      <c r="R2340" t="str">
        <f>IFERROR(VLOOKUP(Tabela1[[#This Row],[CC]],CC!$A$1:$H$389,6,0),"")</f>
        <v>FS</v>
      </c>
      <c r="S2340" t="str">
        <f>IFERROR(VLOOKUP(Tabela1[[#This Row],[CC]],CC!$A$1:$H$403,8,0),"")</f>
        <v>OP2</v>
      </c>
    </row>
    <row r="2341" spans="1:19" x14ac:dyDescent="0.3">
      <c r="A2341" s="25">
        <v>1268</v>
      </c>
      <c r="B2341" s="25" t="str">
        <f>IFERROR(VLOOKUP(Tabela1[[#This Row],[CC]],#REF!,5,0),"")</f>
        <v/>
      </c>
      <c r="C2341" t="str">
        <f>IFERROR(VLOOKUP(Tabela1[[#This Row],[CC]],CC!$A$1:$H$389,7,0),"")</f>
        <v>RODRIGO CORUMBA</v>
      </c>
      <c r="D2341" t="str">
        <f>IFERROR(VLOOKUP(Tabela1[[#This Row],[CC]],CC!$A$1:$I$3869,3,0),"")</f>
        <v>SANTANDER</v>
      </c>
      <c r="E2341" t="str">
        <f>IFERROR(VLOOKUP(Tabela1[[#This Row],[CC]],CC!$A$1:$H$389,2,0),"")</f>
        <v>BANCO SANTANDER Agile Studio (1268)</v>
      </c>
      <c r="F2341" t="s">
        <v>586</v>
      </c>
      <c r="G2341" s="107">
        <v>4864</v>
      </c>
      <c r="H2341" s="66">
        <v>45992</v>
      </c>
      <c r="I2341" s="24">
        <v>330529.95</v>
      </c>
      <c r="J2341" s="27">
        <v>310202.36</v>
      </c>
      <c r="K2341" s="3">
        <v>46071</v>
      </c>
      <c r="L2341" s="91">
        <v>46076</v>
      </c>
      <c r="M2341" s="11">
        <v>46079</v>
      </c>
      <c r="N2341" s="18" t="s">
        <v>588</v>
      </c>
      <c r="O2341" s="35">
        <v>0</v>
      </c>
      <c r="P2341"/>
      <c r="Q2341" t="str">
        <f>IFERROR(VLOOKUP(Tabela1[[#This Row],[CC]],CC!$A$1:$H$389,5,0),"")</f>
        <v>ADS</v>
      </c>
      <c r="R2341" t="str">
        <f>IFERROR(VLOOKUP(Tabela1[[#This Row],[CC]],CC!$A$1:$H$389,6,0),"")</f>
        <v>FS</v>
      </c>
      <c r="S2341" t="str">
        <f>IFERROR(VLOOKUP(Tabela1[[#This Row],[CC]],CC!$A$1:$H$403,8,0),"")</f>
        <v>OP2</v>
      </c>
    </row>
    <row r="2342" spans="1:19" x14ac:dyDescent="0.3">
      <c r="A2342" s="25">
        <v>1268</v>
      </c>
      <c r="B2342" s="25" t="str">
        <f>IFERROR(VLOOKUP(Tabela1[[#This Row],[CC]],#REF!,5,0),"")</f>
        <v/>
      </c>
      <c r="C2342" t="str">
        <f>IFERROR(VLOOKUP(Tabela1[[#This Row],[CC]],CC!$A$1:$H$389,7,0),"")</f>
        <v>RODRIGO CORUMBA</v>
      </c>
      <c r="D2342" t="str">
        <f>IFERROR(VLOOKUP(Tabela1[[#This Row],[CC]],CC!$A$1:$I$3869,3,0),"")</f>
        <v>SANTANDER</v>
      </c>
      <c r="E2342" t="str">
        <f>IFERROR(VLOOKUP(Tabela1[[#This Row],[CC]],CC!$A$1:$H$389,2,0),"")</f>
        <v>BANCO SANTANDER Agile Studio (1268)</v>
      </c>
      <c r="F2342" t="s">
        <v>586</v>
      </c>
      <c r="G2342" s="107">
        <v>4862</v>
      </c>
      <c r="H2342" s="66">
        <v>45992</v>
      </c>
      <c r="I2342" s="24">
        <v>1480801.11</v>
      </c>
      <c r="J2342" s="27">
        <v>1389731.8400000001</v>
      </c>
      <c r="K2342" s="3">
        <v>46071</v>
      </c>
      <c r="L2342" s="91">
        <v>46076</v>
      </c>
      <c r="M2342" s="11">
        <v>46079</v>
      </c>
      <c r="N2342" s="18" t="s">
        <v>588</v>
      </c>
      <c r="O2342" s="35">
        <v>0</v>
      </c>
      <c r="P2342"/>
      <c r="Q2342" t="str">
        <f>IFERROR(VLOOKUP(Tabela1[[#This Row],[CC]],CC!$A$1:$H$389,5,0),"")</f>
        <v>ADS</v>
      </c>
      <c r="R2342" t="str">
        <f>IFERROR(VLOOKUP(Tabela1[[#This Row],[CC]],CC!$A$1:$H$389,6,0),"")</f>
        <v>FS</v>
      </c>
      <c r="S2342" t="str">
        <f>IFERROR(VLOOKUP(Tabela1[[#This Row],[CC]],CC!$A$1:$H$403,8,0),"")</f>
        <v>OP2</v>
      </c>
    </row>
    <row r="2343" spans="1:19" x14ac:dyDescent="0.3">
      <c r="A2343" s="25">
        <v>1268</v>
      </c>
      <c r="B2343" s="25" t="str">
        <f>IFERROR(VLOOKUP(Tabela1[[#This Row],[CC]],#REF!,5,0),"")</f>
        <v/>
      </c>
      <c r="C2343" t="str">
        <f>IFERROR(VLOOKUP(Tabela1[[#This Row],[CC]],CC!$A$1:$H$389,7,0),"")</f>
        <v>RODRIGO CORUMBA</v>
      </c>
      <c r="D2343" t="str">
        <f>IFERROR(VLOOKUP(Tabela1[[#This Row],[CC]],CC!$A$1:$I$3869,3,0),"")</f>
        <v>SANTANDER</v>
      </c>
      <c r="E2343" t="str">
        <f>IFERROR(VLOOKUP(Tabela1[[#This Row],[CC]],CC!$A$1:$H$389,2,0),"")</f>
        <v>BANCO SANTANDER Agile Studio (1268)</v>
      </c>
      <c r="F2343" t="s">
        <v>586</v>
      </c>
      <c r="G2343" s="107">
        <v>4968</v>
      </c>
      <c r="H2343" s="12">
        <v>45992</v>
      </c>
      <c r="I2343" s="24">
        <v>195778.06</v>
      </c>
      <c r="J2343" s="27">
        <v>183737.71</v>
      </c>
      <c r="K2343" s="3">
        <v>46097</v>
      </c>
      <c r="L2343" s="91">
        <v>46111</v>
      </c>
      <c r="M2343" s="11">
        <v>46111</v>
      </c>
      <c r="N2343" s="18" t="s">
        <v>588</v>
      </c>
      <c r="O2343" s="35">
        <v>0</v>
      </c>
      <c r="P2343"/>
      <c r="Q2343" t="str">
        <f>IFERROR(VLOOKUP(Tabela1[[#This Row],[CC]],CC!$A$1:$H$389,5,0),"")</f>
        <v>ADS</v>
      </c>
      <c r="R2343" t="str">
        <f>IFERROR(VLOOKUP(Tabela1[[#This Row],[CC]],CC!$A$1:$H$389,6,0),"")</f>
        <v>FS</v>
      </c>
      <c r="S2343" t="str">
        <f>IFERROR(VLOOKUP(Tabela1[[#This Row],[CC]],CC!$A$1:$H$403,8,0),"")</f>
        <v>OP2</v>
      </c>
    </row>
    <row r="2344" spans="1:19" x14ac:dyDescent="0.3">
      <c r="A2344" s="25">
        <v>1268</v>
      </c>
      <c r="B2344" s="25" t="str">
        <f>IFERROR(VLOOKUP(Tabela1[[#This Row],[CC]],#REF!,5,0),"")</f>
        <v/>
      </c>
      <c r="C2344" t="str">
        <f>IFERROR(VLOOKUP(Tabela1[[#This Row],[CC]],CC!$A$1:$H$389,7,0),"")</f>
        <v>RODRIGO CORUMBA</v>
      </c>
      <c r="D2344" t="str">
        <f>IFERROR(VLOOKUP(Tabela1[[#This Row],[CC]],CC!$A$1:$I$3869,3,0),"")</f>
        <v>SANTANDER</v>
      </c>
      <c r="E2344" t="str">
        <f>IFERROR(VLOOKUP(Tabela1[[#This Row],[CC]],CC!$A$1:$H$389,2,0),"")</f>
        <v>BANCO SANTANDER Agile Studio (1268)</v>
      </c>
      <c r="F2344" t="s">
        <v>586</v>
      </c>
      <c r="G2344" s="107">
        <v>4969</v>
      </c>
      <c r="H2344" s="12">
        <v>45992</v>
      </c>
      <c r="I2344" s="24">
        <v>123712.73</v>
      </c>
      <c r="J2344" s="27">
        <v>116104.4</v>
      </c>
      <c r="K2344" s="3">
        <v>46097</v>
      </c>
      <c r="L2344" s="91">
        <v>46111</v>
      </c>
      <c r="M2344" s="11">
        <v>46111</v>
      </c>
      <c r="N2344" s="18" t="s">
        <v>588</v>
      </c>
      <c r="O2344" s="35">
        <v>0</v>
      </c>
      <c r="P2344"/>
      <c r="Q2344" t="str">
        <f>IFERROR(VLOOKUP(Tabela1[[#This Row],[CC]],CC!$A$1:$H$389,5,0),"")</f>
        <v>ADS</v>
      </c>
      <c r="R2344" t="str">
        <f>IFERROR(VLOOKUP(Tabela1[[#This Row],[CC]],CC!$A$1:$H$389,6,0),"")</f>
        <v>FS</v>
      </c>
      <c r="S2344" t="str">
        <f>IFERROR(VLOOKUP(Tabela1[[#This Row],[CC]],CC!$A$1:$H$403,8,0),"")</f>
        <v>OP2</v>
      </c>
    </row>
    <row r="2345" spans="1:19" x14ac:dyDescent="0.3">
      <c r="A2345" s="25">
        <v>1268</v>
      </c>
      <c r="B2345" s="25" t="str">
        <f>IFERROR(VLOOKUP(Tabela1[[#This Row],[CC]],#REF!,5,0),"")</f>
        <v/>
      </c>
      <c r="C2345" t="str">
        <f>IFERROR(VLOOKUP(Tabela1[[#This Row],[CC]],CC!$A$1:$H$389,7,0),"")</f>
        <v>RODRIGO CORUMBA</v>
      </c>
      <c r="D2345" t="str">
        <f>IFERROR(VLOOKUP(Tabela1[[#This Row],[CC]],CC!$A$1:$I$3869,3,0),"")</f>
        <v>SANTANDER</v>
      </c>
      <c r="E2345" t="str">
        <f>IFERROR(VLOOKUP(Tabela1[[#This Row],[CC]],CC!$A$1:$H$389,2,0),"")</f>
        <v>BANCO SANTANDER Agile Studio (1268)</v>
      </c>
      <c r="F2345" t="s">
        <v>586</v>
      </c>
      <c r="G2345" s="107">
        <v>4970</v>
      </c>
      <c r="H2345" s="12">
        <v>45992</v>
      </c>
      <c r="I2345" s="24">
        <v>17792.04</v>
      </c>
      <c r="J2345" s="27">
        <v>16697.830000000002</v>
      </c>
      <c r="K2345" s="3">
        <v>46097</v>
      </c>
      <c r="L2345" s="91">
        <v>46111</v>
      </c>
      <c r="M2345" s="11">
        <v>46111</v>
      </c>
      <c r="N2345" s="18" t="s">
        <v>588</v>
      </c>
      <c r="O2345" s="35">
        <v>0</v>
      </c>
      <c r="P2345"/>
      <c r="Q2345" t="str">
        <f>IFERROR(VLOOKUP(Tabela1[[#This Row],[CC]],CC!$A$1:$H$389,5,0),"")</f>
        <v>ADS</v>
      </c>
      <c r="R2345" t="str">
        <f>IFERROR(VLOOKUP(Tabela1[[#This Row],[CC]],CC!$A$1:$H$389,6,0),"")</f>
        <v>FS</v>
      </c>
      <c r="S2345" t="str">
        <f>IFERROR(VLOOKUP(Tabela1[[#This Row],[CC]],CC!$A$1:$H$403,8,0),"")</f>
        <v>OP2</v>
      </c>
    </row>
    <row r="2346" spans="1:19" x14ac:dyDescent="0.3">
      <c r="A2346" s="25">
        <v>1268</v>
      </c>
      <c r="B2346" s="25" t="str">
        <f>IFERROR(VLOOKUP(Tabela1[[#This Row],[CC]],#REF!,5,0),"")</f>
        <v/>
      </c>
      <c r="C2346" t="str">
        <f>IFERROR(VLOOKUP(Tabela1[[#This Row],[CC]],CC!$A$1:$H$389,7,0),"")</f>
        <v>RODRIGO CORUMBA</v>
      </c>
      <c r="D2346" t="str">
        <f>IFERROR(VLOOKUP(Tabela1[[#This Row],[CC]],CC!$A$1:$I$3869,3,0),"")</f>
        <v>SANTANDER</v>
      </c>
      <c r="E2346" t="str">
        <f>IFERROR(VLOOKUP(Tabela1[[#This Row],[CC]],CC!$A$1:$H$389,2,0),"")</f>
        <v>BANCO SANTANDER Agile Studio (1268)</v>
      </c>
      <c r="F2346" t="s">
        <v>586</v>
      </c>
      <c r="G2346" s="107">
        <v>4971</v>
      </c>
      <c r="H2346" s="12">
        <v>45992</v>
      </c>
      <c r="I2346" s="24">
        <v>163065.57999999999</v>
      </c>
      <c r="J2346" s="27">
        <v>153037.04999999999</v>
      </c>
      <c r="K2346" s="3">
        <v>46097</v>
      </c>
      <c r="L2346" s="91">
        <v>46111</v>
      </c>
      <c r="M2346" s="11">
        <v>46111</v>
      </c>
      <c r="N2346" s="18" t="s">
        <v>588</v>
      </c>
      <c r="O2346" s="35">
        <v>0</v>
      </c>
      <c r="P2346"/>
      <c r="Q2346" t="str">
        <f>IFERROR(VLOOKUP(Tabela1[[#This Row],[CC]],CC!$A$1:$H$389,5,0),"")</f>
        <v>ADS</v>
      </c>
      <c r="R2346" t="str">
        <f>IFERROR(VLOOKUP(Tabela1[[#This Row],[CC]],CC!$A$1:$H$389,6,0),"")</f>
        <v>FS</v>
      </c>
      <c r="S2346" t="str">
        <f>IFERROR(VLOOKUP(Tabela1[[#This Row],[CC]],CC!$A$1:$H$403,8,0),"")</f>
        <v>OP2</v>
      </c>
    </row>
    <row r="2347" spans="1:19" x14ac:dyDescent="0.3">
      <c r="A2347" s="25">
        <v>1268</v>
      </c>
      <c r="B2347" s="25" t="str">
        <f>IFERROR(VLOOKUP(Tabela1[[#This Row],[CC]],#REF!,5,0),"")</f>
        <v/>
      </c>
      <c r="C2347" t="str">
        <f>IFERROR(VLOOKUP(Tabela1[[#This Row],[CC]],CC!$A$1:$H$389,7,0),"")</f>
        <v>RODRIGO CORUMBA</v>
      </c>
      <c r="D2347" t="str">
        <f>IFERROR(VLOOKUP(Tabela1[[#This Row],[CC]],CC!$A$1:$I$3869,3,0),"")</f>
        <v>SANTANDER</v>
      </c>
      <c r="E2347" t="str">
        <f>IFERROR(VLOOKUP(Tabela1[[#This Row],[CC]],CC!$A$1:$H$389,2,0),"")</f>
        <v>BANCO SANTANDER Agile Studio (1268)</v>
      </c>
      <c r="F2347" t="s">
        <v>586</v>
      </c>
      <c r="G2347" s="107">
        <v>4972</v>
      </c>
      <c r="H2347" s="12">
        <v>45992</v>
      </c>
      <c r="I2347" s="24">
        <v>1370424.99</v>
      </c>
      <c r="J2347" s="27">
        <v>1286143.8600000001</v>
      </c>
      <c r="K2347" s="3">
        <v>46097</v>
      </c>
      <c r="L2347" s="91">
        <v>46111</v>
      </c>
      <c r="M2347" s="11">
        <v>46111</v>
      </c>
      <c r="N2347" s="18" t="s">
        <v>588</v>
      </c>
      <c r="O2347" s="35">
        <v>0</v>
      </c>
      <c r="P2347"/>
      <c r="Q2347" t="str">
        <f>IFERROR(VLOOKUP(Tabela1[[#This Row],[CC]],CC!$A$1:$H$389,5,0),"")</f>
        <v>ADS</v>
      </c>
      <c r="R2347" t="str">
        <f>IFERROR(VLOOKUP(Tabela1[[#This Row],[CC]],CC!$A$1:$H$389,6,0),"")</f>
        <v>FS</v>
      </c>
      <c r="S2347" t="str">
        <f>IFERROR(VLOOKUP(Tabela1[[#This Row],[CC]],CC!$A$1:$H$403,8,0),"")</f>
        <v>OP2</v>
      </c>
    </row>
    <row r="2348" spans="1:19" x14ac:dyDescent="0.3">
      <c r="A2348" s="25">
        <v>1268</v>
      </c>
      <c r="B2348" s="25" t="str">
        <f>IFERROR(VLOOKUP(Tabela1[[#This Row],[CC]],#REF!,5,0),"")</f>
        <v/>
      </c>
      <c r="C2348" t="str">
        <f>IFERROR(VLOOKUP(Tabela1[[#This Row],[CC]],CC!$A$1:$H$389,7,0),"")</f>
        <v>RODRIGO CORUMBA</v>
      </c>
      <c r="D2348" t="str">
        <f>IFERROR(VLOOKUP(Tabela1[[#This Row],[CC]],CC!$A$1:$I$3869,3,0),"")</f>
        <v>SANTANDER</v>
      </c>
      <c r="E2348" t="str">
        <f>IFERROR(VLOOKUP(Tabela1[[#This Row],[CC]],CC!$A$1:$H$389,2,0),"")</f>
        <v>BANCO SANTANDER Agile Studio (1268)</v>
      </c>
      <c r="F2348" t="s">
        <v>586</v>
      </c>
      <c r="G2348" s="107">
        <v>4973</v>
      </c>
      <c r="H2348" s="12">
        <v>45992</v>
      </c>
      <c r="I2348" s="24">
        <v>27613.82</v>
      </c>
      <c r="J2348" s="27">
        <v>25915.58</v>
      </c>
      <c r="K2348" s="3">
        <v>46097</v>
      </c>
      <c r="L2348" s="91">
        <v>46111</v>
      </c>
      <c r="M2348" s="11">
        <v>46111</v>
      </c>
      <c r="N2348" s="18" t="s">
        <v>588</v>
      </c>
      <c r="O2348" s="35">
        <v>0</v>
      </c>
      <c r="P2348"/>
      <c r="Q2348" t="str">
        <f>IFERROR(VLOOKUP(Tabela1[[#This Row],[CC]],CC!$A$1:$H$389,5,0),"")</f>
        <v>ADS</v>
      </c>
      <c r="R2348" t="str">
        <f>IFERROR(VLOOKUP(Tabela1[[#This Row],[CC]],CC!$A$1:$H$389,6,0),"")</f>
        <v>FS</v>
      </c>
      <c r="S2348" t="str">
        <f>IFERROR(VLOOKUP(Tabela1[[#This Row],[CC]],CC!$A$1:$H$403,8,0),"")</f>
        <v>OP2</v>
      </c>
    </row>
    <row r="2349" spans="1:19" x14ac:dyDescent="0.3">
      <c r="A2349" s="25">
        <v>1268</v>
      </c>
      <c r="B2349" s="25" t="str">
        <f>IFERROR(VLOOKUP(Tabela1[[#This Row],[CC]],#REF!,5,0),"")</f>
        <v/>
      </c>
      <c r="C2349" t="str">
        <f>IFERROR(VLOOKUP(Tabela1[[#This Row],[CC]],CC!$A$1:$H$389,7,0),"")</f>
        <v>RODRIGO CORUMBA</v>
      </c>
      <c r="D2349" t="str">
        <f>IFERROR(VLOOKUP(Tabela1[[#This Row],[CC]],CC!$A$1:$I$3869,3,0),"")</f>
        <v>SANTANDER</v>
      </c>
      <c r="E2349" t="str">
        <f>IFERROR(VLOOKUP(Tabela1[[#This Row],[CC]],CC!$A$1:$H$389,2,0),"")</f>
        <v>BANCO SANTANDER Agile Studio (1268)</v>
      </c>
      <c r="F2349" t="s">
        <v>586</v>
      </c>
      <c r="G2349" s="107">
        <v>5076</v>
      </c>
      <c r="H2349" s="15">
        <v>45992</v>
      </c>
      <c r="I2349" s="27">
        <v>303155.76</v>
      </c>
      <c r="J2349" s="27">
        <v>284511.68</v>
      </c>
      <c r="K2349" s="3">
        <v>46125</v>
      </c>
      <c r="L2349" s="91">
        <v>46139</v>
      </c>
      <c r="M2349" s="11">
        <v>46141</v>
      </c>
      <c r="N2349" s="18" t="s">
        <v>588</v>
      </c>
      <c r="O2349" s="35">
        <v>0</v>
      </c>
      <c r="P2349"/>
      <c r="Q2349" t="str">
        <f>IFERROR(VLOOKUP(Tabela1[[#This Row],[CC]],CC!$A$1:$H$389,5,0),"")</f>
        <v>ADS</v>
      </c>
      <c r="R2349" t="str">
        <f>IFERROR(VLOOKUP(Tabela1[[#This Row],[CC]],CC!$A$1:$H$389,6,0),"")</f>
        <v>FS</v>
      </c>
      <c r="S2349" t="str">
        <f>IFERROR(VLOOKUP(Tabela1[[#This Row],[CC]],CC!$A$1:$H$403,8,0),"")</f>
        <v>OP2</v>
      </c>
    </row>
    <row r="2350" spans="1:19" x14ac:dyDescent="0.3">
      <c r="A2350" s="25">
        <v>1268</v>
      </c>
      <c r="B2350" s="25" t="str">
        <f>IFERROR(VLOOKUP(Tabela1[[#This Row],[CC]],#REF!,5,0),"")</f>
        <v/>
      </c>
      <c r="C2350" t="str">
        <f>IFERROR(VLOOKUP(Tabela1[[#This Row],[CC]],CC!$A$1:$H$389,7,0),"")</f>
        <v>RODRIGO CORUMBA</v>
      </c>
      <c r="D2350" t="str">
        <f>IFERROR(VLOOKUP(Tabela1[[#This Row],[CC]],CC!$A$1:$I$3869,3,0),"")</f>
        <v>SANTANDER</v>
      </c>
      <c r="E2350" t="str">
        <f>IFERROR(VLOOKUP(Tabela1[[#This Row],[CC]],CC!$A$1:$H$389,2,0),"")</f>
        <v>BANCO SANTANDER Agile Studio (1268)</v>
      </c>
      <c r="F2350" t="s">
        <v>586</v>
      </c>
      <c r="G2350" s="107">
        <v>5071</v>
      </c>
      <c r="H2350" s="15">
        <v>45992</v>
      </c>
      <c r="I2350" s="27">
        <v>263446.34000000003</v>
      </c>
      <c r="J2350" s="27">
        <v>247244.39</v>
      </c>
      <c r="K2350" s="3">
        <v>46125</v>
      </c>
      <c r="L2350" s="91">
        <v>46139</v>
      </c>
      <c r="M2350" s="11">
        <v>46141</v>
      </c>
      <c r="N2350" s="18" t="s">
        <v>588</v>
      </c>
      <c r="O2350" s="35">
        <v>0</v>
      </c>
      <c r="P2350"/>
      <c r="Q2350" t="str">
        <f>IFERROR(VLOOKUP(Tabela1[[#This Row],[CC]],CC!$A$1:$H$389,5,0),"")</f>
        <v>ADS</v>
      </c>
      <c r="R2350" t="str">
        <f>IFERROR(VLOOKUP(Tabela1[[#This Row],[CC]],CC!$A$1:$H$389,6,0),"")</f>
        <v>FS</v>
      </c>
      <c r="S2350" t="str">
        <f>IFERROR(VLOOKUP(Tabela1[[#This Row],[CC]],CC!$A$1:$H$403,8,0),"")</f>
        <v>OP2</v>
      </c>
    </row>
    <row r="2351" spans="1:19" x14ac:dyDescent="0.3">
      <c r="A2351" s="25">
        <v>1268</v>
      </c>
      <c r="B2351" s="25" t="str">
        <f>IFERROR(VLOOKUP(Tabela1[[#This Row],[CC]],#REF!,5,0),"")</f>
        <v/>
      </c>
      <c r="C2351" t="str">
        <f>IFERROR(VLOOKUP(Tabela1[[#This Row],[CC]],CC!$A$1:$H$389,7,0),"")</f>
        <v>RODRIGO CORUMBA</v>
      </c>
      <c r="D2351" t="str">
        <f>IFERROR(VLOOKUP(Tabela1[[#This Row],[CC]],CC!$A$1:$I$3869,3,0),"")</f>
        <v>SANTANDER</v>
      </c>
      <c r="E2351" t="str">
        <f>IFERROR(VLOOKUP(Tabela1[[#This Row],[CC]],CC!$A$1:$H$389,2,0),"")</f>
        <v>BANCO SANTANDER Agile Studio (1268)</v>
      </c>
      <c r="F2351" t="s">
        <v>586</v>
      </c>
      <c r="G2351" s="107">
        <v>5077</v>
      </c>
      <c r="H2351" s="15">
        <v>45992</v>
      </c>
      <c r="I2351" s="27">
        <v>1195960.82</v>
      </c>
      <c r="J2351" s="27">
        <v>1122409.23</v>
      </c>
      <c r="K2351" s="3">
        <v>46125</v>
      </c>
      <c r="L2351" s="91">
        <v>46139</v>
      </c>
      <c r="M2351" s="11">
        <v>46141</v>
      </c>
      <c r="N2351" s="18" t="s">
        <v>588</v>
      </c>
      <c r="O2351" s="35">
        <v>0</v>
      </c>
      <c r="P2351"/>
      <c r="Q2351" t="str">
        <f>IFERROR(VLOOKUP(Tabela1[[#This Row],[CC]],CC!$A$1:$H$389,5,0),"")</f>
        <v>ADS</v>
      </c>
      <c r="R2351" t="str">
        <f>IFERROR(VLOOKUP(Tabela1[[#This Row],[CC]],CC!$A$1:$H$389,6,0),"")</f>
        <v>FS</v>
      </c>
      <c r="S2351" t="str">
        <f>IFERROR(VLOOKUP(Tabela1[[#This Row],[CC]],CC!$A$1:$H$403,8,0),"")</f>
        <v>OP2</v>
      </c>
    </row>
    <row r="2352" spans="1:19" x14ac:dyDescent="0.3">
      <c r="A2352" s="25">
        <v>1268</v>
      </c>
      <c r="B2352" s="25" t="str">
        <f>IFERROR(VLOOKUP(Tabela1[[#This Row],[CC]],#REF!,5,0),"")</f>
        <v/>
      </c>
      <c r="C2352" t="str">
        <f>IFERROR(VLOOKUP(Tabela1[[#This Row],[CC]],CC!$A$1:$H$389,7,0),"")</f>
        <v>RODRIGO CORUMBA</v>
      </c>
      <c r="D2352" t="str">
        <f>IFERROR(VLOOKUP(Tabela1[[#This Row],[CC]],CC!$A$1:$I$3869,3,0),"")</f>
        <v>SANTANDER</v>
      </c>
      <c r="E2352" t="str">
        <f>IFERROR(VLOOKUP(Tabela1[[#This Row],[CC]],CC!$A$1:$H$389,2,0),"")</f>
        <v>BANCO SANTANDER Agile Studio (1268)</v>
      </c>
      <c r="F2352" t="s">
        <v>586</v>
      </c>
      <c r="G2352" s="107">
        <v>5149</v>
      </c>
      <c r="H2352" s="12">
        <v>46113</v>
      </c>
      <c r="I2352" s="24">
        <v>1121693.31</v>
      </c>
      <c r="J2352" s="24">
        <v>1052709.17</v>
      </c>
      <c r="K2352" s="3">
        <v>46156</v>
      </c>
      <c r="L2352" s="91">
        <v>46167</v>
      </c>
      <c r="M2352" s="11">
        <v>46170</v>
      </c>
      <c r="N2352" s="18" t="s">
        <v>588</v>
      </c>
      <c r="O2352" s="35">
        <v>0</v>
      </c>
      <c r="P2352"/>
      <c r="Q2352" t="str">
        <f>IFERROR(VLOOKUP(Tabela1[[#This Row],[CC]],CC!$A$1:$H$389,5,0),"")</f>
        <v>ADS</v>
      </c>
      <c r="R2352" t="str">
        <f>IFERROR(VLOOKUP(Tabela1[[#This Row],[CC]],CC!$A$1:$H$389,6,0),"")</f>
        <v>FS</v>
      </c>
      <c r="S2352" t="str">
        <f>IFERROR(VLOOKUP(Tabela1[[#This Row],[CC]],CC!$A$1:$H$403,8,0),"")</f>
        <v>OP2</v>
      </c>
    </row>
    <row r="2353" spans="1:19" x14ac:dyDescent="0.3">
      <c r="A2353" s="25">
        <v>1268</v>
      </c>
      <c r="B2353" s="25" t="str">
        <f>IFERROR(VLOOKUP(Tabela1[[#This Row],[CC]],#REF!,5,0),"")</f>
        <v/>
      </c>
      <c r="C2353" t="str">
        <f>IFERROR(VLOOKUP(Tabela1[[#This Row],[CC]],CC!$A$1:$H$389,7,0),"")</f>
        <v>RODRIGO CORUMBA</v>
      </c>
      <c r="D2353" t="str">
        <f>IFERROR(VLOOKUP(Tabela1[[#This Row],[CC]],CC!$A$1:$I$3869,3,0),"")</f>
        <v>SANTANDER</v>
      </c>
      <c r="E2353" t="str">
        <f>IFERROR(VLOOKUP(Tabela1[[#This Row],[CC]],CC!$A$1:$H$389,2,0),"")</f>
        <v>BANCO SANTANDER Agile Studio (1268)</v>
      </c>
      <c r="F2353" t="s">
        <v>586</v>
      </c>
      <c r="G2353" s="107">
        <v>5150</v>
      </c>
      <c r="H2353" s="12">
        <v>46113</v>
      </c>
      <c r="I2353" s="24">
        <v>202174.25</v>
      </c>
      <c r="J2353" s="24">
        <v>189740.54</v>
      </c>
      <c r="K2353" s="3">
        <v>46156</v>
      </c>
      <c r="L2353" s="91">
        <v>46167</v>
      </c>
      <c r="M2353" s="11">
        <v>46170</v>
      </c>
      <c r="N2353" s="18" t="s">
        <v>588</v>
      </c>
      <c r="O2353" s="35">
        <v>0</v>
      </c>
      <c r="P2353"/>
      <c r="Q2353" t="str">
        <f>IFERROR(VLOOKUP(Tabela1[[#This Row],[CC]],CC!$A$1:$H$389,5,0),"")</f>
        <v>ADS</v>
      </c>
      <c r="R2353" t="str">
        <f>IFERROR(VLOOKUP(Tabela1[[#This Row],[CC]],CC!$A$1:$H$389,6,0),"")</f>
        <v>FS</v>
      </c>
      <c r="S2353" t="str">
        <f>IFERROR(VLOOKUP(Tabela1[[#This Row],[CC]],CC!$A$1:$H$403,8,0),"")</f>
        <v>OP2</v>
      </c>
    </row>
    <row r="2354" spans="1:19" x14ac:dyDescent="0.3">
      <c r="A2354" s="25">
        <v>1268</v>
      </c>
      <c r="B2354" s="25" t="str">
        <f>IFERROR(VLOOKUP(Tabela1[[#This Row],[CC]],#REF!,5,0),"")</f>
        <v/>
      </c>
      <c r="C2354" t="str">
        <f>IFERROR(VLOOKUP(Tabela1[[#This Row],[CC]],CC!$A$1:$H$389,7,0),"")</f>
        <v>RODRIGO CORUMBA</v>
      </c>
      <c r="D2354" t="str">
        <f>IFERROR(VLOOKUP(Tabela1[[#This Row],[CC]],CC!$A$1:$I$3869,3,0),"")</f>
        <v>SANTANDER</v>
      </c>
      <c r="E2354" t="str">
        <f>IFERROR(VLOOKUP(Tabela1[[#This Row],[CC]],CC!$A$1:$H$389,2,0),"")</f>
        <v>BANCO SANTANDER Agile Studio (1268)</v>
      </c>
      <c r="F2354" t="s">
        <v>586</v>
      </c>
      <c r="G2354" s="107">
        <v>5151</v>
      </c>
      <c r="H2354" s="12">
        <v>46113</v>
      </c>
      <c r="I2354" s="24">
        <v>231588.76</v>
      </c>
      <c r="J2354" s="24">
        <v>217346.05</v>
      </c>
      <c r="K2354" s="3">
        <v>46156</v>
      </c>
      <c r="L2354" s="91">
        <v>46167</v>
      </c>
      <c r="M2354" s="11">
        <v>46170</v>
      </c>
      <c r="N2354" s="18" t="s">
        <v>588</v>
      </c>
      <c r="O2354" s="35">
        <v>0</v>
      </c>
      <c r="P2354"/>
      <c r="Q2354" t="str">
        <f>IFERROR(VLOOKUP(Tabela1[[#This Row],[CC]],CC!$A$1:$H$389,5,0),"")</f>
        <v>ADS</v>
      </c>
      <c r="R2354" t="str">
        <f>IFERROR(VLOOKUP(Tabela1[[#This Row],[CC]],CC!$A$1:$H$389,6,0),"")</f>
        <v>FS</v>
      </c>
      <c r="S2354" t="str">
        <f>IFERROR(VLOOKUP(Tabela1[[#This Row],[CC]],CC!$A$1:$H$403,8,0),"")</f>
        <v>OP2</v>
      </c>
    </row>
    <row r="2355" spans="1:19" x14ac:dyDescent="0.3">
      <c r="A2355" s="25">
        <v>1268</v>
      </c>
      <c r="B2355" s="25" t="str">
        <f>IFERROR(VLOOKUP(Tabela1[[#This Row],[CC]],#REF!,5,0),"")</f>
        <v/>
      </c>
      <c r="C2355" t="str">
        <f>IFERROR(VLOOKUP(Tabela1[[#This Row],[CC]],CC!$A$1:$H$389,7,0),"")</f>
        <v>RODRIGO CORUMBA</v>
      </c>
      <c r="D2355" t="str">
        <f>IFERROR(VLOOKUP(Tabela1[[#This Row],[CC]],CC!$A$1:$I$3869,3,0),"")</f>
        <v>SANTANDER</v>
      </c>
      <c r="E2355" t="str">
        <f>IFERROR(VLOOKUP(Tabela1[[#This Row],[CC]],CC!$A$1:$H$389,2,0),"")</f>
        <v>BANCO SANTANDER Agile Studio (1268)</v>
      </c>
      <c r="F2355" t="s">
        <v>586</v>
      </c>
      <c r="G2355" s="107"/>
      <c r="H2355" s="12">
        <v>46082</v>
      </c>
      <c r="I2355" s="24">
        <v>1538846</v>
      </c>
      <c r="J2355" s="27">
        <v>25915.57</v>
      </c>
      <c r="K2355" s="3">
        <v>46174</v>
      </c>
      <c r="L2355" s="91">
        <v>46195</v>
      </c>
      <c r="M2355" s="11"/>
      <c r="N2355" s="18" t="s">
        <v>572</v>
      </c>
      <c r="O2355" s="35">
        <v>0</v>
      </c>
      <c r="P2355"/>
      <c r="Q2355" t="str">
        <f>IFERROR(VLOOKUP(Tabela1[[#This Row],[CC]],CC!$A$1:$H$389,5,0),"")</f>
        <v>ADS</v>
      </c>
      <c r="R2355" t="str">
        <f>IFERROR(VLOOKUP(Tabela1[[#This Row],[CC]],CC!$A$1:$H$389,6,0),"")</f>
        <v>FS</v>
      </c>
      <c r="S2355" t="str">
        <f>IFERROR(VLOOKUP(Tabela1[[#This Row],[CC]],CC!$A$1:$H$403,8,0),"")</f>
        <v>OP2</v>
      </c>
    </row>
    <row r="2356" spans="1:19" x14ac:dyDescent="0.3">
      <c r="A2356" s="25">
        <v>1268</v>
      </c>
      <c r="B2356" s="25" t="str">
        <f>IFERROR(VLOOKUP(Tabela1[[#This Row],[CC]],#REF!,5,0),"")</f>
        <v/>
      </c>
      <c r="C2356" t="str">
        <f>IFERROR(VLOOKUP(Tabela1[[#This Row],[CC]],CC!$A$1:$H$389,7,0),"")</f>
        <v>RODRIGO CORUMBA</v>
      </c>
      <c r="D2356" t="str">
        <f>IFERROR(VLOOKUP(Tabela1[[#This Row],[CC]],CC!$A$1:$I$3869,3,0),"")</f>
        <v>SANTANDER</v>
      </c>
      <c r="E2356" t="str">
        <f>IFERROR(VLOOKUP(Tabela1[[#This Row],[CC]],CC!$A$1:$H$389,2,0),"")</f>
        <v>BANCO SANTANDER Agile Studio (1268)</v>
      </c>
      <c r="F2356" t="s">
        <v>586</v>
      </c>
      <c r="G2356" s="105">
        <v>4591</v>
      </c>
      <c r="H2356" s="15">
        <v>45962</v>
      </c>
      <c r="I2356" s="24">
        <v>186269.84</v>
      </c>
      <c r="J2356" s="24">
        <v>174814.24</v>
      </c>
      <c r="K2356" s="3">
        <v>45992</v>
      </c>
      <c r="L2356" s="91">
        <v>46013</v>
      </c>
      <c r="M2356" s="11">
        <v>46013</v>
      </c>
      <c r="N2356" s="18" t="s">
        <v>588</v>
      </c>
      <c r="O2356" s="35">
        <v>0</v>
      </c>
      <c r="P2356"/>
      <c r="Q2356" t="str">
        <f>IFERROR(VLOOKUP(Tabela1[[#This Row],[CC]],CC!$A$1:$H$389,5,0),"")</f>
        <v>ADS</v>
      </c>
      <c r="R2356" t="str">
        <f>IFERROR(VLOOKUP(Tabela1[[#This Row],[CC]],CC!$A$1:$H$389,6,0),"")</f>
        <v>FS</v>
      </c>
      <c r="S2356" t="str">
        <f>IFERROR(VLOOKUP(Tabela1[[#This Row],[CC]],CC!$A$1:$H$403,8,0),"")</f>
        <v>OP2</v>
      </c>
    </row>
    <row r="2357" spans="1:19" x14ac:dyDescent="0.3">
      <c r="A2357" s="25">
        <v>1268</v>
      </c>
      <c r="B2357" s="25" t="str">
        <f>IFERROR(VLOOKUP(Tabela1[[#This Row],[CC]],#REF!,5,0),"")</f>
        <v/>
      </c>
      <c r="C2357" t="str">
        <f>IFERROR(VLOOKUP(Tabela1[[#This Row],[CC]],CC!$A$1:$H$389,7,0),"")</f>
        <v>RODRIGO CORUMBA</v>
      </c>
      <c r="D2357" t="str">
        <f>IFERROR(VLOOKUP(Tabela1[[#This Row],[CC]],CC!$A$1:$I$3869,3,0),"")</f>
        <v>SANTANDER</v>
      </c>
      <c r="E2357" t="str">
        <f>IFERROR(VLOOKUP(Tabela1[[#This Row],[CC]],CC!$A$1:$H$389,2,0),"")</f>
        <v>BANCO SANTANDER Agile Studio (1268)</v>
      </c>
      <c r="F2357" t="s">
        <v>586</v>
      </c>
      <c r="G2357" s="105">
        <v>4592</v>
      </c>
      <c r="H2357" s="15">
        <v>45962</v>
      </c>
      <c r="I2357" s="24">
        <v>2247971.7200000002</v>
      </c>
      <c r="J2357" s="24">
        <v>2109721.46</v>
      </c>
      <c r="K2357" s="3">
        <v>45992</v>
      </c>
      <c r="L2357" s="91">
        <v>46013</v>
      </c>
      <c r="M2357" s="11">
        <v>46013</v>
      </c>
      <c r="N2357" s="18" t="s">
        <v>588</v>
      </c>
      <c r="O2357" s="35">
        <v>0</v>
      </c>
      <c r="P2357"/>
      <c r="Q2357" t="str">
        <f>IFERROR(VLOOKUP(Tabela1[[#This Row],[CC]],CC!$A$1:$H$389,5,0),"")</f>
        <v>ADS</v>
      </c>
      <c r="R2357" t="str">
        <f>IFERROR(VLOOKUP(Tabela1[[#This Row],[CC]],CC!$A$1:$H$389,6,0),"")</f>
        <v>FS</v>
      </c>
      <c r="S2357" t="str">
        <f>IFERROR(VLOOKUP(Tabela1[[#This Row],[CC]],CC!$A$1:$H$403,8,0),"")</f>
        <v>OP2</v>
      </c>
    </row>
    <row r="2358" spans="1:19" x14ac:dyDescent="0.3">
      <c r="A2358" s="25">
        <v>1268</v>
      </c>
      <c r="B2358" s="25" t="str">
        <f>IFERROR(VLOOKUP(Tabela1[[#This Row],[CC]],#REF!,5,0),"")</f>
        <v/>
      </c>
      <c r="C2358" t="str">
        <f>IFERROR(VLOOKUP(Tabela1[[#This Row],[CC]],CC!$A$1:$H$389,7,0),"")</f>
        <v>RODRIGO CORUMBA</v>
      </c>
      <c r="D2358" t="str">
        <f>IFERROR(VLOOKUP(Tabela1[[#This Row],[CC]],CC!$A$1:$I$3869,3,0),"")</f>
        <v>SANTANDER</v>
      </c>
      <c r="E2358" t="str">
        <f>IFERROR(VLOOKUP(Tabela1[[#This Row],[CC]],CC!$A$1:$H$389,2,0),"")</f>
        <v>BANCO SANTANDER Agile Studio (1268)</v>
      </c>
      <c r="F2358" t="s">
        <v>586</v>
      </c>
      <c r="G2358" s="105">
        <v>4593</v>
      </c>
      <c r="H2358" s="15">
        <v>45962</v>
      </c>
      <c r="I2358" s="24">
        <v>65105.2</v>
      </c>
      <c r="J2358" s="24">
        <v>61101.23</v>
      </c>
      <c r="K2358" s="3">
        <v>45992</v>
      </c>
      <c r="L2358" s="91">
        <v>46013</v>
      </c>
      <c r="M2358" s="11">
        <v>46013</v>
      </c>
      <c r="N2358" s="18" t="s">
        <v>588</v>
      </c>
      <c r="O2358" s="35">
        <v>0</v>
      </c>
      <c r="P2358"/>
      <c r="Q2358" t="str">
        <f>IFERROR(VLOOKUP(Tabela1[[#This Row],[CC]],CC!$A$1:$H$389,5,0),"")</f>
        <v>ADS</v>
      </c>
      <c r="R2358" t="str">
        <f>IFERROR(VLOOKUP(Tabela1[[#This Row],[CC]],CC!$A$1:$H$389,6,0),"")</f>
        <v>FS</v>
      </c>
      <c r="S2358" t="str">
        <f>IFERROR(VLOOKUP(Tabela1[[#This Row],[CC]],CC!$A$1:$H$403,8,0),"")</f>
        <v>OP2</v>
      </c>
    </row>
    <row r="2359" spans="1:19" x14ac:dyDescent="0.3">
      <c r="A2359" s="25">
        <v>1268</v>
      </c>
      <c r="B2359" s="25" t="str">
        <f>IFERROR(VLOOKUP(Tabela1[[#This Row],[CC]],#REF!,5,0),"")</f>
        <v/>
      </c>
      <c r="C2359" t="str">
        <f>IFERROR(VLOOKUP(Tabela1[[#This Row],[CC]],CC!$A$1:$H$389,7,0),"")</f>
        <v>RODRIGO CORUMBA</v>
      </c>
      <c r="D2359" t="str">
        <f>IFERROR(VLOOKUP(Tabela1[[#This Row],[CC]],CC!$A$1:$I$3869,3,0),"")</f>
        <v>SANTANDER</v>
      </c>
      <c r="E2359" t="str">
        <f>IFERROR(VLOOKUP(Tabela1[[#This Row],[CC]],CC!$A$1:$H$389,2,0),"")</f>
        <v>BANCO SANTANDER Agile Studio (1268)</v>
      </c>
      <c r="F2359" t="s">
        <v>586</v>
      </c>
      <c r="G2359" s="105">
        <v>4594</v>
      </c>
      <c r="H2359" s="15">
        <v>45962</v>
      </c>
      <c r="I2359" s="24">
        <v>1618105.53</v>
      </c>
      <c r="J2359" s="24">
        <v>1518592.05</v>
      </c>
      <c r="K2359" s="3">
        <v>45992</v>
      </c>
      <c r="L2359" s="91">
        <v>46013</v>
      </c>
      <c r="M2359" s="11">
        <v>46013</v>
      </c>
      <c r="N2359" s="18" t="s">
        <v>588</v>
      </c>
      <c r="O2359" s="35">
        <v>0</v>
      </c>
      <c r="P2359"/>
      <c r="Q2359" t="str">
        <f>IFERROR(VLOOKUP(Tabela1[[#This Row],[CC]],CC!$A$1:$H$389,5,0),"")</f>
        <v>ADS</v>
      </c>
      <c r="R2359" t="str">
        <f>IFERROR(VLOOKUP(Tabela1[[#This Row],[CC]],CC!$A$1:$H$389,6,0),"")</f>
        <v>FS</v>
      </c>
      <c r="S2359" t="str">
        <f>IFERROR(VLOOKUP(Tabela1[[#This Row],[CC]],CC!$A$1:$H$403,8,0),"")</f>
        <v>OP2</v>
      </c>
    </row>
    <row r="2360" spans="1:19" x14ac:dyDescent="0.3">
      <c r="A2360" s="25">
        <v>1268</v>
      </c>
      <c r="B2360" s="25" t="str">
        <f>IFERROR(VLOOKUP(Tabela1[[#This Row],[CC]],#REF!,5,0),"")</f>
        <v/>
      </c>
      <c r="C2360" t="str">
        <f>IFERROR(VLOOKUP(Tabela1[[#This Row],[CC]],CC!$A$1:$H$389,7,0),"")</f>
        <v>RODRIGO CORUMBA</v>
      </c>
      <c r="D2360" t="str">
        <f>IFERROR(VLOOKUP(Tabela1[[#This Row],[CC]],CC!$A$1:$I$3869,3,0),"")</f>
        <v>SANTANDER</v>
      </c>
      <c r="E2360" t="str">
        <f>IFERROR(VLOOKUP(Tabela1[[#This Row],[CC]],CC!$A$1:$H$389,2,0),"")</f>
        <v>BANCO SANTANDER Agile Studio (1268)</v>
      </c>
      <c r="F2360" t="s">
        <v>586</v>
      </c>
      <c r="G2360" s="105">
        <v>4595</v>
      </c>
      <c r="H2360" s="15">
        <v>45962</v>
      </c>
      <c r="I2360" s="24">
        <v>109733.7</v>
      </c>
      <c r="J2360" s="24">
        <v>102985.07</v>
      </c>
      <c r="K2360" s="3">
        <v>45992</v>
      </c>
      <c r="L2360" s="91">
        <v>46013</v>
      </c>
      <c r="M2360" s="11">
        <v>46013</v>
      </c>
      <c r="N2360" s="18" t="s">
        <v>588</v>
      </c>
      <c r="O2360" s="35">
        <v>0</v>
      </c>
      <c r="P2360"/>
      <c r="Q2360" t="str">
        <f>IFERROR(VLOOKUP(Tabela1[[#This Row],[CC]],CC!$A$1:$H$389,5,0),"")</f>
        <v>ADS</v>
      </c>
      <c r="R2360" t="str">
        <f>IFERROR(VLOOKUP(Tabela1[[#This Row],[CC]],CC!$A$1:$H$389,6,0),"")</f>
        <v>FS</v>
      </c>
      <c r="S2360" t="str">
        <f>IFERROR(VLOOKUP(Tabela1[[#This Row],[CC]],CC!$A$1:$H$403,8,0),"")</f>
        <v>OP2</v>
      </c>
    </row>
    <row r="2361" spans="1:19" x14ac:dyDescent="0.3">
      <c r="A2361" s="25">
        <v>1275</v>
      </c>
      <c r="B2361" s="25" t="str">
        <f>IFERROR(VLOOKUP(Tabela1[[#This Row],[CC]],#REF!,5,0),"")</f>
        <v/>
      </c>
      <c r="C2361" t="str">
        <f>IFERROR(VLOOKUP(Tabela1[[#This Row],[CC]],CC!$A$1:$H$389,7,0),"")</f>
        <v>RODRIGO CORUMBA</v>
      </c>
      <c r="D2361" t="str">
        <f>IFERROR(VLOOKUP(Tabela1[[#This Row],[CC]],CC!$A$1:$I$3869,3,0),"")</f>
        <v>VR</v>
      </c>
      <c r="E2361" t="str">
        <f>IFERROR(VLOOKUP(Tabela1[[#This Row],[CC]],CC!$A$1:$H$389,2,0),"")</f>
        <v>VR (1275)</v>
      </c>
      <c r="F2361" t="s">
        <v>586</v>
      </c>
      <c r="G2361" s="110">
        <v>4580</v>
      </c>
      <c r="H2361" s="12">
        <v>45962</v>
      </c>
      <c r="I2361" s="24">
        <v>16767.240000000002</v>
      </c>
      <c r="J2361" s="24">
        <v>15736.05</v>
      </c>
      <c r="K2361" s="3">
        <v>45992</v>
      </c>
      <c r="L2361" s="91">
        <v>46020</v>
      </c>
      <c r="M2361" s="11">
        <v>46021</v>
      </c>
      <c r="N2361" s="18" t="s">
        <v>588</v>
      </c>
      <c r="O2361" s="35">
        <v>0</v>
      </c>
      <c r="P2361" s="26"/>
      <c r="Q2361" t="str">
        <f>IFERROR(VLOOKUP(Tabela1[[#This Row],[CC]],CC!$A$1:$H$389,5,0),"")</f>
        <v>ADS</v>
      </c>
      <c r="R2361" t="str">
        <f>IFERROR(VLOOKUP(Tabela1[[#This Row],[CC]],CC!$A$1:$H$389,6,0),"")</f>
        <v>FS</v>
      </c>
      <c r="S2361" t="str">
        <f>IFERROR(VLOOKUP(Tabela1[[#This Row],[CC]],CC!$A$1:$H$403,8,0),"")</f>
        <v>OP2</v>
      </c>
    </row>
    <row r="2362" spans="1:19" x14ac:dyDescent="0.3">
      <c r="A2362" s="25">
        <v>1275</v>
      </c>
      <c r="B2362" s="25" t="str">
        <f>IFERROR(VLOOKUP(Tabela1[[#This Row],[CC]],#REF!,5,0),"")</f>
        <v/>
      </c>
      <c r="C2362" t="str">
        <f>IFERROR(VLOOKUP(Tabela1[[#This Row],[CC]],CC!$A$1:$H$389,7,0),"")</f>
        <v>RODRIGO CORUMBA</v>
      </c>
      <c r="D2362" t="str">
        <f>IFERROR(VLOOKUP(Tabela1[[#This Row],[CC]],CC!$A$1:$I$3869,3,0),"")</f>
        <v>VR</v>
      </c>
      <c r="E2362" t="str">
        <f>IFERROR(VLOOKUP(Tabela1[[#This Row],[CC]],CC!$A$1:$H$389,2,0),"")</f>
        <v>VR (1275)</v>
      </c>
      <c r="F2362" t="s">
        <v>586</v>
      </c>
      <c r="G2362" s="110">
        <v>4581</v>
      </c>
      <c r="H2362" s="12">
        <v>45992</v>
      </c>
      <c r="I2362" s="24">
        <v>16767.240000000002</v>
      </c>
      <c r="J2362" s="24">
        <v>15736.05</v>
      </c>
      <c r="K2362" s="3">
        <v>45992</v>
      </c>
      <c r="L2362" s="91">
        <v>46034</v>
      </c>
      <c r="M2362" s="11">
        <v>46037</v>
      </c>
      <c r="N2362" s="18" t="s">
        <v>588</v>
      </c>
      <c r="O2362" s="35">
        <v>0</v>
      </c>
      <c r="P2362" s="26"/>
      <c r="Q2362" t="str">
        <f>IFERROR(VLOOKUP(Tabela1[[#This Row],[CC]],CC!$A$1:$H$389,5,0),"")</f>
        <v>ADS</v>
      </c>
      <c r="R2362" t="str">
        <f>IFERROR(VLOOKUP(Tabela1[[#This Row],[CC]],CC!$A$1:$H$389,6,0),"")</f>
        <v>FS</v>
      </c>
      <c r="S2362" t="str">
        <f>IFERROR(VLOOKUP(Tabela1[[#This Row],[CC]],CC!$A$1:$H$403,8,0),"")</f>
        <v>OP2</v>
      </c>
    </row>
    <row r="2363" spans="1:19" x14ac:dyDescent="0.3">
      <c r="A2363" s="25">
        <v>1479</v>
      </c>
      <c r="B2363" s="25" t="str">
        <f>IFERROR(VLOOKUP(Tabela1[[#This Row],[CC]],#REF!,5,0),"")</f>
        <v/>
      </c>
      <c r="C2363" t="str">
        <f>IFERROR(VLOOKUP(Tabela1[[#This Row],[CC]],CC!$A$1:$H$389,7,0),"")</f>
        <v>RODRIGO CORUMBA</v>
      </c>
      <c r="D2363" t="str">
        <f>IFERROR(VLOOKUP(Tabela1[[#This Row],[CC]],CC!$A$1:$I$3869,3,0),"")</f>
        <v>VR</v>
      </c>
      <c r="E2363" t="str">
        <f>IFERROR(VLOOKUP(Tabela1[[#This Row],[CC]],CC!$A$1:$H$389,2,0),"")</f>
        <v>VR - Salesforce (1479)</v>
      </c>
      <c r="F2363" t="s">
        <v>586</v>
      </c>
      <c r="G2363" s="110">
        <v>4582</v>
      </c>
      <c r="H2363" s="12">
        <v>45962</v>
      </c>
      <c r="I2363" s="24">
        <v>26040</v>
      </c>
      <c r="J2363" s="24">
        <v>24438.54</v>
      </c>
      <c r="K2363" s="3">
        <v>45992</v>
      </c>
      <c r="L2363" s="91">
        <v>46020</v>
      </c>
      <c r="M2363" s="11">
        <v>46021</v>
      </c>
      <c r="N2363" s="18" t="s">
        <v>588</v>
      </c>
      <c r="O2363" s="35">
        <v>0</v>
      </c>
      <c r="P2363" s="26"/>
      <c r="Q2363" t="str">
        <f>IFERROR(VLOOKUP(Tabela1[[#This Row],[CC]],CC!$A$1:$H$389,5,0),"")</f>
        <v>BPS</v>
      </c>
      <c r="R2363" t="str">
        <f>IFERROR(VLOOKUP(Tabela1[[#This Row],[CC]],CC!$A$1:$H$389,6,0),"")</f>
        <v>FS</v>
      </c>
      <c r="S2363" t="str">
        <f>IFERROR(VLOOKUP(Tabela1[[#This Row],[CC]],CC!$A$1:$H$403,8,0),"")</f>
        <v>OP2</v>
      </c>
    </row>
    <row r="2364" spans="1:19" x14ac:dyDescent="0.3">
      <c r="A2364" s="25">
        <v>1479</v>
      </c>
      <c r="B2364" s="25" t="str">
        <f>IFERROR(VLOOKUP(Tabela1[[#This Row],[CC]],#REF!,5,0),"")</f>
        <v/>
      </c>
      <c r="C2364" t="str">
        <f>IFERROR(VLOOKUP(Tabela1[[#This Row],[CC]],CC!$A$1:$H$389,7,0),"")</f>
        <v>RODRIGO CORUMBA</v>
      </c>
      <c r="D2364" t="str">
        <f>IFERROR(VLOOKUP(Tabela1[[#This Row],[CC]],CC!$A$1:$I$3869,3,0),"")</f>
        <v>VR</v>
      </c>
      <c r="E2364" t="str">
        <f>IFERROR(VLOOKUP(Tabela1[[#This Row],[CC]],CC!$A$1:$H$389,2,0),"")</f>
        <v>VR - Salesforce (1479)</v>
      </c>
      <c r="F2364" t="s">
        <v>586</v>
      </c>
      <c r="G2364" s="110">
        <v>4583</v>
      </c>
      <c r="H2364" s="12">
        <v>45992</v>
      </c>
      <c r="I2364" s="24">
        <v>26040</v>
      </c>
      <c r="J2364" s="24">
        <v>24438.54</v>
      </c>
      <c r="K2364" s="3">
        <v>45992</v>
      </c>
      <c r="L2364" s="91">
        <v>46034</v>
      </c>
      <c r="M2364" s="11">
        <v>46037</v>
      </c>
      <c r="N2364" s="18" t="s">
        <v>588</v>
      </c>
      <c r="O2364" s="35">
        <v>0</v>
      </c>
      <c r="P2364" s="26"/>
      <c r="Q2364" t="str">
        <f>IFERROR(VLOOKUP(Tabela1[[#This Row],[CC]],CC!$A$1:$H$389,5,0),"")</f>
        <v>BPS</v>
      </c>
      <c r="R2364" t="str">
        <f>IFERROR(VLOOKUP(Tabela1[[#This Row],[CC]],CC!$A$1:$H$389,6,0),"")</f>
        <v>FS</v>
      </c>
      <c r="S2364" t="str">
        <f>IFERROR(VLOOKUP(Tabela1[[#This Row],[CC]],CC!$A$1:$H$403,8,0),"")</f>
        <v>OP2</v>
      </c>
    </row>
    <row r="2365" spans="1:19" x14ac:dyDescent="0.3">
      <c r="A2365" s="25">
        <v>1479</v>
      </c>
      <c r="B2365" s="25" t="str">
        <f>IFERROR(VLOOKUP(Tabela1[[#This Row],[CC]],#REF!,5,0),"")</f>
        <v/>
      </c>
      <c r="C2365" t="str">
        <f>IFERROR(VLOOKUP(Tabela1[[#This Row],[CC]],CC!$A$1:$H$389,7,0),"")</f>
        <v>RODRIGO CORUMBA</v>
      </c>
      <c r="D2365" t="str">
        <f>IFERROR(VLOOKUP(Tabela1[[#This Row],[CC]],CC!$A$1:$I$3869,3,0),"")</f>
        <v>VR</v>
      </c>
      <c r="E2365" t="str">
        <f>IFERROR(VLOOKUP(Tabela1[[#This Row],[CC]],CC!$A$1:$H$389,2,0),"")</f>
        <v>VR - Salesforce (1479)</v>
      </c>
      <c r="F2365" t="s">
        <v>586</v>
      </c>
      <c r="G2365" s="110">
        <v>4823</v>
      </c>
      <c r="H2365" s="12">
        <v>46023</v>
      </c>
      <c r="I2365" s="27">
        <v>26040</v>
      </c>
      <c r="J2365" s="24">
        <v>24438.54</v>
      </c>
      <c r="K2365" s="3">
        <v>46059</v>
      </c>
      <c r="L2365" s="91">
        <v>46076</v>
      </c>
      <c r="M2365" s="11">
        <v>46080</v>
      </c>
      <c r="N2365" s="18" t="s">
        <v>588</v>
      </c>
      <c r="O2365" s="35">
        <v>0</v>
      </c>
      <c r="P2365" s="26"/>
      <c r="Q2365" t="str">
        <f>IFERROR(VLOOKUP(Tabela1[[#This Row],[CC]],CC!$A$1:$H$389,5,0),"")</f>
        <v>BPS</v>
      </c>
      <c r="R2365" t="str">
        <f>IFERROR(VLOOKUP(Tabela1[[#This Row],[CC]],CC!$A$1:$H$389,6,0),"")</f>
        <v>FS</v>
      </c>
      <c r="S2365" t="str">
        <f>IFERROR(VLOOKUP(Tabela1[[#This Row],[CC]],CC!$A$1:$H$403,8,0),"")</f>
        <v>OP2</v>
      </c>
    </row>
    <row r="2366" spans="1:19" x14ac:dyDescent="0.3">
      <c r="A2366" s="25">
        <v>1479</v>
      </c>
      <c r="B2366" s="25" t="str">
        <f>IFERROR(VLOOKUP(Tabela1[[#This Row],[CC]],#REF!,5,0),"")</f>
        <v/>
      </c>
      <c r="C2366" t="str">
        <f>IFERROR(VLOOKUP(Tabela1[[#This Row],[CC]],CC!$A$1:$H$389,7,0),"")</f>
        <v>RODRIGO CORUMBA</v>
      </c>
      <c r="D2366" t="str">
        <f>IFERROR(VLOOKUP(Tabela1[[#This Row],[CC]],CC!$A$1:$I$3869,3,0),"")</f>
        <v>VR</v>
      </c>
      <c r="E2366" t="str">
        <f>IFERROR(VLOOKUP(Tabela1[[#This Row],[CC]],CC!$A$1:$H$389,2,0),"")</f>
        <v>VR - Salesforce (1479)</v>
      </c>
      <c r="F2366" t="s">
        <v>586</v>
      </c>
      <c r="G2366" s="110">
        <v>4912</v>
      </c>
      <c r="H2366" s="12">
        <v>46054</v>
      </c>
      <c r="I2366" s="27">
        <v>26040</v>
      </c>
      <c r="J2366" s="24">
        <v>24438.54</v>
      </c>
      <c r="K2366" s="3">
        <v>46087</v>
      </c>
      <c r="L2366" s="91">
        <v>46111</v>
      </c>
      <c r="M2366" s="11">
        <v>46111</v>
      </c>
      <c r="N2366" s="18" t="s">
        <v>588</v>
      </c>
      <c r="O2366" s="35">
        <v>0</v>
      </c>
      <c r="P2366" s="26"/>
      <c r="Q2366" t="str">
        <f>IFERROR(VLOOKUP(Tabela1[[#This Row],[CC]],CC!$A$1:$H$389,5,0),"")</f>
        <v>BPS</v>
      </c>
      <c r="R2366" t="str">
        <f>IFERROR(VLOOKUP(Tabela1[[#This Row],[CC]],CC!$A$1:$H$389,6,0),"")</f>
        <v>FS</v>
      </c>
      <c r="S2366" t="str">
        <f>IFERROR(VLOOKUP(Tabela1[[#This Row],[CC]],CC!$A$1:$H$403,8,0),"")</f>
        <v>OP2</v>
      </c>
    </row>
    <row r="2367" spans="1:19" x14ac:dyDescent="0.3">
      <c r="A2367" s="25">
        <v>1479</v>
      </c>
      <c r="B2367" s="25" t="str">
        <f>IFERROR(VLOOKUP(Tabela1[[#This Row],[CC]],#REF!,5,0),"")</f>
        <v/>
      </c>
      <c r="C2367" t="str">
        <f>IFERROR(VLOOKUP(Tabela1[[#This Row],[CC]],CC!$A$1:$H$389,7,0),"")</f>
        <v>RODRIGO CORUMBA</v>
      </c>
      <c r="D2367" t="str">
        <f>IFERROR(VLOOKUP(Tabela1[[#This Row],[CC]],CC!$A$1:$I$3869,3,0),"")</f>
        <v>VR</v>
      </c>
      <c r="E2367" t="str">
        <f>IFERROR(VLOOKUP(Tabela1[[#This Row],[CC]],CC!$A$1:$H$389,2,0),"")</f>
        <v>VR - Salesforce (1479)</v>
      </c>
      <c r="F2367" t="s">
        <v>586</v>
      </c>
      <c r="G2367" s="110">
        <v>5021</v>
      </c>
      <c r="H2367" s="12">
        <v>46082</v>
      </c>
      <c r="I2367" s="24">
        <v>26040</v>
      </c>
      <c r="J2367" s="24">
        <v>24438.54</v>
      </c>
      <c r="K2367" s="3">
        <v>46113</v>
      </c>
      <c r="L2367" s="147">
        <v>46146</v>
      </c>
      <c r="M2367" s="11">
        <v>46148</v>
      </c>
      <c r="N2367" s="18" t="s">
        <v>588</v>
      </c>
      <c r="O2367" s="35">
        <v>0</v>
      </c>
      <c r="P2367" s="26"/>
      <c r="Q2367" t="str">
        <f>IFERROR(VLOOKUP(Tabela1[[#This Row],[CC]],CC!$A$1:$H$389,5,0),"")</f>
        <v>BPS</v>
      </c>
      <c r="R2367" t="str">
        <f>IFERROR(VLOOKUP(Tabela1[[#This Row],[CC]],CC!$A$1:$H$389,6,0),"")</f>
        <v>FS</v>
      </c>
      <c r="S2367" t="str">
        <f>IFERROR(VLOOKUP(Tabela1[[#This Row],[CC]],CC!$A$1:$H$403,8,0),"")</f>
        <v>OP2</v>
      </c>
    </row>
    <row r="2368" spans="1:19" x14ac:dyDescent="0.3">
      <c r="A2368" s="25">
        <v>1479</v>
      </c>
      <c r="B2368" s="25" t="str">
        <f>IFERROR(VLOOKUP(Tabela1[[#This Row],[CC]],#REF!,5,0),"")</f>
        <v/>
      </c>
      <c r="C2368" t="str">
        <f>IFERROR(VLOOKUP(Tabela1[[#This Row],[CC]],CC!$A$1:$H$389,7,0),"")</f>
        <v>RODRIGO CORUMBA</v>
      </c>
      <c r="D2368" t="str">
        <f>IFERROR(VLOOKUP(Tabela1[[#This Row],[CC]],CC!$A$1:$I$3869,3,0),"")</f>
        <v>VR</v>
      </c>
      <c r="E2368" t="str">
        <f>IFERROR(VLOOKUP(Tabela1[[#This Row],[CC]],CC!$A$1:$H$389,2,0),"")</f>
        <v>VR - Salesforce (1479)</v>
      </c>
      <c r="F2368" t="s">
        <v>586</v>
      </c>
      <c r="G2368" s="110">
        <v>5121</v>
      </c>
      <c r="H2368" s="12">
        <v>46113</v>
      </c>
      <c r="I2368" s="24">
        <v>26040</v>
      </c>
      <c r="J2368" s="24">
        <v>24438.54</v>
      </c>
      <c r="K2368" s="3">
        <v>46148</v>
      </c>
      <c r="L2368" s="91">
        <v>46167</v>
      </c>
      <c r="M2368" s="11">
        <v>46171</v>
      </c>
      <c r="N2368" s="18" t="s">
        <v>588</v>
      </c>
      <c r="O2368" s="35">
        <v>0</v>
      </c>
      <c r="P2368" s="26"/>
      <c r="Q2368" t="str">
        <f>IFERROR(VLOOKUP(Tabela1[[#This Row],[CC]],CC!$A$1:$H$389,5,0),"")</f>
        <v>BPS</v>
      </c>
      <c r="R2368" t="str">
        <f>IFERROR(VLOOKUP(Tabela1[[#This Row],[CC]],CC!$A$1:$H$389,6,0),"")</f>
        <v>FS</v>
      </c>
      <c r="S2368" t="str">
        <f>IFERROR(VLOOKUP(Tabela1[[#This Row],[CC]],CC!$A$1:$H$403,8,0),"")</f>
        <v>OP2</v>
      </c>
    </row>
    <row r="2369" spans="1:19" x14ac:dyDescent="0.3">
      <c r="A2369" s="25">
        <v>1479</v>
      </c>
      <c r="B2369" s="25" t="str">
        <f>IFERROR(VLOOKUP(Tabela1[[#This Row],[CC]],#REF!,5,0),"")</f>
        <v/>
      </c>
      <c r="C2369" t="str">
        <f>IFERROR(VLOOKUP(Tabela1[[#This Row],[CC]],CC!$A$1:$H$389,7,0),"")</f>
        <v>RODRIGO CORUMBA</v>
      </c>
      <c r="D2369" t="str">
        <f>IFERROR(VLOOKUP(Tabela1[[#This Row],[CC]],CC!$A$1:$I$3869,3,0),"")</f>
        <v>VR</v>
      </c>
      <c r="E2369" t="str">
        <f>IFERROR(VLOOKUP(Tabela1[[#This Row],[CC]],CC!$A$1:$H$389,2,0),"")</f>
        <v>VR - Salesforce (1479)</v>
      </c>
      <c r="F2369" t="s">
        <v>586</v>
      </c>
      <c r="G2369" s="110">
        <v>5228</v>
      </c>
      <c r="H2369" s="12">
        <v>46143</v>
      </c>
      <c r="I2369" s="24">
        <v>5208</v>
      </c>
      <c r="J2369" s="24">
        <v>4887.71</v>
      </c>
      <c r="K2369" s="3">
        <v>46181</v>
      </c>
      <c r="L2369" s="91">
        <v>46202</v>
      </c>
      <c r="M2369" s="11"/>
      <c r="N2369" s="18" t="s">
        <v>587</v>
      </c>
      <c r="O2369" s="35">
        <v>0</v>
      </c>
      <c r="P2369" s="26"/>
      <c r="Q2369" t="str">
        <f>IFERROR(VLOOKUP(Tabela1[[#This Row],[CC]],CC!$A$1:$H$389,5,0),"")</f>
        <v>BPS</v>
      </c>
      <c r="R2369" t="str">
        <f>IFERROR(VLOOKUP(Tabela1[[#This Row],[CC]],CC!$A$1:$H$389,6,0),"")</f>
        <v>FS</v>
      </c>
      <c r="S2369" t="str">
        <f>IFERROR(VLOOKUP(Tabela1[[#This Row],[CC]],CC!$A$1:$H$403,8,0),"")</f>
        <v>OP2</v>
      </c>
    </row>
    <row r="2370" spans="1:19" x14ac:dyDescent="0.3">
      <c r="A2370" s="25">
        <v>1479</v>
      </c>
      <c r="B2370" s="25" t="str">
        <f>IFERROR(VLOOKUP(Tabela1[[#This Row],[CC]],#REF!,5,0),"")</f>
        <v/>
      </c>
      <c r="C2370" t="str">
        <f>IFERROR(VLOOKUP(Tabela1[[#This Row],[CC]],CC!$A$1:$H$389,7,0),"")</f>
        <v>RODRIGO CORUMBA</v>
      </c>
      <c r="D2370" t="str">
        <f>IFERROR(VLOOKUP(Tabela1[[#This Row],[CC]],CC!$A$1:$I$3869,3,0),"")</f>
        <v>VR</v>
      </c>
      <c r="E2370" t="str">
        <f>IFERROR(VLOOKUP(Tabela1[[#This Row],[CC]],CC!$A$1:$H$389,2,0),"")</f>
        <v>VR - Salesforce (1479)</v>
      </c>
      <c r="F2370" t="s">
        <v>586</v>
      </c>
      <c r="G2370" s="110">
        <v>5229</v>
      </c>
      <c r="H2370" s="12">
        <v>46143</v>
      </c>
      <c r="I2370" s="24">
        <v>27342</v>
      </c>
      <c r="J2370" s="24">
        <v>25660.46</v>
      </c>
      <c r="K2370" s="3">
        <v>46181</v>
      </c>
      <c r="L2370" s="91">
        <v>46202</v>
      </c>
      <c r="M2370" s="11"/>
      <c r="N2370" s="18" t="s">
        <v>587</v>
      </c>
      <c r="O2370" s="35">
        <v>0</v>
      </c>
      <c r="P2370" s="26"/>
      <c r="Q2370" t="str">
        <f>IFERROR(VLOOKUP(Tabela1[[#This Row],[CC]],CC!$A$1:$H$389,5,0),"")</f>
        <v>BPS</v>
      </c>
      <c r="R2370" t="str">
        <f>IFERROR(VLOOKUP(Tabela1[[#This Row],[CC]],CC!$A$1:$H$389,6,0),"")</f>
        <v>FS</v>
      </c>
      <c r="S2370" t="str">
        <f>IFERROR(VLOOKUP(Tabela1[[#This Row],[CC]],CC!$A$1:$H$403,8,0),"")</f>
        <v>OP2</v>
      </c>
    </row>
    <row r="2371" spans="1:19" x14ac:dyDescent="0.3">
      <c r="A2371" s="25">
        <v>1296</v>
      </c>
      <c r="B2371" s="25" t="str">
        <f>IFERROR(VLOOKUP(Tabela1[[#This Row],[CC]],#REF!,5,0),"")</f>
        <v/>
      </c>
      <c r="C2371" t="str">
        <f>IFERROR(VLOOKUP(Tabela1[[#This Row],[CC]],CC!$A$1:$H$389,7,0),"")</f>
        <v>JOSÉ NETO</v>
      </c>
      <c r="D2371" t="str">
        <f>IFERROR(VLOOKUP(Tabela1[[#This Row],[CC]],CC!$A$1:$I$3869,3,0),"")</f>
        <v>AXIA</v>
      </c>
      <c r="E2371" t="str">
        <f>IFERROR(VLOOKUP(Tabela1[[#This Row],[CC]],CC!$A$1:$H$389,2,0),"")</f>
        <v>ELETROBRAS DIGITAL SUPORT (1296)</v>
      </c>
      <c r="F2371" t="s">
        <v>586</v>
      </c>
      <c r="G2371" s="108">
        <v>1321</v>
      </c>
      <c r="H2371" s="12">
        <v>45992</v>
      </c>
      <c r="I2371" s="24">
        <v>165040.49</v>
      </c>
      <c r="J2371" s="24">
        <v>151589.70000000001</v>
      </c>
      <c r="K2371" s="52">
        <v>46008</v>
      </c>
      <c r="L2371" s="91">
        <v>46034</v>
      </c>
      <c r="M2371" s="29">
        <v>46038</v>
      </c>
      <c r="N2371" s="36" t="s">
        <v>588</v>
      </c>
      <c r="O2371" s="56"/>
      <c r="P2371" s="26"/>
      <c r="Q2371" t="str">
        <f>IFERROR(VLOOKUP(Tabela1[[#This Row],[CC]],CC!$A$1:$H$389,5,0),"")</f>
        <v>CSA</v>
      </c>
      <c r="R2371" t="str">
        <f>IFERROR(VLOOKUP(Tabela1[[#This Row],[CC]],CC!$A$1:$H$389,6,0),"")</f>
        <v>UT</v>
      </c>
      <c r="S2371" t="str">
        <f>IFERROR(VLOOKUP(Tabela1[[#This Row],[CC]],CC!$A$1:$H$403,8,0),"")</f>
        <v>OP2</v>
      </c>
    </row>
    <row r="2372" spans="1:19" x14ac:dyDescent="0.3">
      <c r="A2372" s="25">
        <v>1519</v>
      </c>
      <c r="B2372" s="25" t="str">
        <f>IFERROR(VLOOKUP(Tabela1[[#This Row],[CC]],#REF!,5,0),"")</f>
        <v/>
      </c>
      <c r="C2372" t="str">
        <f>IFERROR(VLOOKUP(Tabela1[[#This Row],[CC]],CC!$A$1:$H$389,7,0),"")</f>
        <v>JOSÉ NETO</v>
      </c>
      <c r="D2372" t="str">
        <f>IFERROR(VLOOKUP(Tabela1[[#This Row],[CC]],CC!$A$1:$I$3869,3,0),"")</f>
        <v>AXIA</v>
      </c>
      <c r="E2372" t="str">
        <f>IFERROR(VLOOKUP(Tabela1[[#This Row],[CC]],CC!$A$1:$H$389,2,0),"")</f>
        <v>ELETROBRAS - AXIA Monitoramento (1519)</v>
      </c>
      <c r="F2372" t="s">
        <v>586</v>
      </c>
      <c r="G2372" s="110">
        <v>1335</v>
      </c>
      <c r="H2372" s="12">
        <v>46023</v>
      </c>
      <c r="I2372" s="116">
        <v>138387.1</v>
      </c>
      <c r="J2372" s="27">
        <v>127108.55</v>
      </c>
      <c r="K2372" s="3">
        <v>46079</v>
      </c>
      <c r="L2372" s="91">
        <v>46118</v>
      </c>
      <c r="M2372" s="29">
        <v>46118</v>
      </c>
      <c r="N2372" s="18" t="s">
        <v>588</v>
      </c>
      <c r="O2372" s="56"/>
      <c r="P2372" s="26"/>
      <c r="Q2372" t="str">
        <f>IFERROR(VLOOKUP(Tabela1[[#This Row],[CC]],CC!$A$1:$H$389,5,0),"")</f>
        <v>CSA</v>
      </c>
      <c r="R2372" t="str">
        <f>IFERROR(VLOOKUP(Tabela1[[#This Row],[CC]],CC!$A$1:$H$389,6,0),"")</f>
        <v>UT</v>
      </c>
      <c r="S2372" t="str">
        <f>IFERROR(VLOOKUP(Tabela1[[#This Row],[CC]],CC!$A$1:$H$403,8,0),"")</f>
        <v>OP2</v>
      </c>
    </row>
    <row r="2373" spans="1:19" x14ac:dyDescent="0.3">
      <c r="A2373" s="25">
        <v>1519</v>
      </c>
      <c r="B2373" s="25" t="str">
        <f>IFERROR(VLOOKUP(Tabela1[[#This Row],[CC]],#REF!,5,0),"")</f>
        <v/>
      </c>
      <c r="C2373" t="str">
        <f>IFERROR(VLOOKUP(Tabela1[[#This Row],[CC]],CC!$A$1:$H$389,7,0),"")</f>
        <v>JOSÉ NETO</v>
      </c>
      <c r="D2373" t="str">
        <f>IFERROR(VLOOKUP(Tabela1[[#This Row],[CC]],CC!$A$1:$I$3869,3,0),"")</f>
        <v>AXIA</v>
      </c>
      <c r="E2373" t="str">
        <f>IFERROR(VLOOKUP(Tabela1[[#This Row],[CC]],CC!$A$1:$H$389,2,0),"")</f>
        <v>ELETROBRAS - AXIA Monitoramento (1519)</v>
      </c>
      <c r="F2373" t="s">
        <v>586</v>
      </c>
      <c r="G2373" s="110">
        <v>1336</v>
      </c>
      <c r="H2373" s="12">
        <v>46023</v>
      </c>
      <c r="I2373" s="116">
        <v>174080.29</v>
      </c>
      <c r="J2373" s="24">
        <v>159892.75</v>
      </c>
      <c r="K2373" s="3">
        <v>46079</v>
      </c>
      <c r="L2373" s="91">
        <v>46118</v>
      </c>
      <c r="M2373" s="29">
        <v>46118</v>
      </c>
      <c r="N2373" s="18" t="s">
        <v>588</v>
      </c>
      <c r="O2373" s="56"/>
      <c r="P2373" s="26"/>
      <c r="Q2373" t="str">
        <f>IFERROR(VLOOKUP(Tabela1[[#This Row],[CC]],CC!$A$1:$H$389,5,0),"")</f>
        <v>CSA</v>
      </c>
      <c r="R2373" t="str">
        <f>IFERROR(VLOOKUP(Tabela1[[#This Row],[CC]],CC!$A$1:$H$389,6,0),"")</f>
        <v>UT</v>
      </c>
      <c r="S2373" t="str">
        <f>IFERROR(VLOOKUP(Tabela1[[#This Row],[CC]],CC!$A$1:$H$403,8,0),"")</f>
        <v>OP2</v>
      </c>
    </row>
    <row r="2374" spans="1:19" x14ac:dyDescent="0.3">
      <c r="A2374" s="25">
        <v>1519</v>
      </c>
      <c r="B2374" s="25" t="str">
        <f>IFERROR(VLOOKUP(Tabela1[[#This Row],[CC]],#REF!,5,0),"")</f>
        <v/>
      </c>
      <c r="C2374" t="str">
        <f>IFERROR(VLOOKUP(Tabela1[[#This Row],[CC]],CC!$A$1:$H$389,7,0),"")</f>
        <v>JOSÉ NETO</v>
      </c>
      <c r="D2374" t="str">
        <f>IFERROR(VLOOKUP(Tabela1[[#This Row],[CC]],CC!$A$1:$I$3869,3,0),"")</f>
        <v>AXIA</v>
      </c>
      <c r="E2374" t="str">
        <f>IFERROR(VLOOKUP(Tabela1[[#This Row],[CC]],CC!$A$1:$H$389,2,0),"")</f>
        <v>ELETROBRAS - AXIA Monitoramento (1519)</v>
      </c>
      <c r="F2374" t="s">
        <v>586</v>
      </c>
      <c r="G2374" s="110">
        <v>1338</v>
      </c>
      <c r="H2374" s="12">
        <v>46054</v>
      </c>
      <c r="I2374" s="116">
        <v>167860.33</v>
      </c>
      <c r="J2374" s="24">
        <v>154179.72</v>
      </c>
      <c r="K2374" s="3">
        <v>46091</v>
      </c>
      <c r="L2374" s="91">
        <v>46118</v>
      </c>
      <c r="M2374" s="29">
        <v>46118</v>
      </c>
      <c r="N2374" s="18" t="s">
        <v>588</v>
      </c>
      <c r="O2374" s="56"/>
      <c r="P2374" s="26"/>
      <c r="Q2374" t="str">
        <f>IFERROR(VLOOKUP(Tabela1[[#This Row],[CC]],CC!$A$1:$H$389,5,0),"")</f>
        <v>CSA</v>
      </c>
      <c r="R2374" t="str">
        <f>IFERROR(VLOOKUP(Tabela1[[#This Row],[CC]],CC!$A$1:$H$389,6,0),"")</f>
        <v>UT</v>
      </c>
      <c r="S2374" t="str">
        <f>IFERROR(VLOOKUP(Tabela1[[#This Row],[CC]],CC!$A$1:$H$403,8,0),"")</f>
        <v>OP2</v>
      </c>
    </row>
    <row r="2375" spans="1:19" x14ac:dyDescent="0.3">
      <c r="A2375" s="25">
        <v>1519</v>
      </c>
      <c r="B2375" s="25" t="str">
        <f>IFERROR(VLOOKUP(Tabela1[[#This Row],[CC]],#REF!,5,0),"")</f>
        <v/>
      </c>
      <c r="C2375" t="str">
        <f>IFERROR(VLOOKUP(Tabela1[[#This Row],[CC]],CC!$A$1:$H$389,7,0),"")</f>
        <v>JOSÉ NETO</v>
      </c>
      <c r="D2375" t="str">
        <f>IFERROR(VLOOKUP(Tabela1[[#This Row],[CC]],CC!$A$1:$I$3869,3,0),"")</f>
        <v>AXIA</v>
      </c>
      <c r="E2375" t="str">
        <f>IFERROR(VLOOKUP(Tabela1[[#This Row],[CC]],CC!$A$1:$H$389,2,0),"")</f>
        <v>ELETROBRAS - AXIA Monitoramento (1519)</v>
      </c>
      <c r="F2375" t="s">
        <v>586</v>
      </c>
      <c r="G2375" s="110">
        <v>1339</v>
      </c>
      <c r="H2375" s="12">
        <v>46054</v>
      </c>
      <c r="I2375" s="116">
        <v>159330.49</v>
      </c>
      <c r="J2375" s="24">
        <v>146345.06</v>
      </c>
      <c r="K2375" s="3">
        <v>46091</v>
      </c>
      <c r="L2375" s="91">
        <v>46118</v>
      </c>
      <c r="M2375" s="29">
        <v>46118</v>
      </c>
      <c r="N2375" s="18" t="s">
        <v>588</v>
      </c>
      <c r="O2375" s="56"/>
      <c r="P2375" s="26"/>
      <c r="Q2375" t="str">
        <f>IFERROR(VLOOKUP(Tabela1[[#This Row],[CC]],CC!$A$1:$H$389,5,0),"")</f>
        <v>CSA</v>
      </c>
      <c r="R2375" t="str">
        <f>IFERROR(VLOOKUP(Tabela1[[#This Row],[CC]],CC!$A$1:$H$389,6,0),"")</f>
        <v>UT</v>
      </c>
      <c r="S2375" t="str">
        <f>IFERROR(VLOOKUP(Tabela1[[#This Row],[CC]],CC!$A$1:$H$403,8,0),"")</f>
        <v>OP2</v>
      </c>
    </row>
    <row r="2376" spans="1:19" x14ac:dyDescent="0.3">
      <c r="A2376" s="25">
        <v>1519</v>
      </c>
      <c r="B2376" s="25" t="str">
        <f>IFERROR(VLOOKUP(Tabela1[[#This Row],[CC]],#REF!,5,0),"")</f>
        <v/>
      </c>
      <c r="C2376" t="str">
        <f>IFERROR(VLOOKUP(Tabela1[[#This Row],[CC]],CC!$A$1:$H$389,7,0),"")</f>
        <v>JOSÉ NETO</v>
      </c>
      <c r="D2376" t="str">
        <f>IFERROR(VLOOKUP(Tabela1[[#This Row],[CC]],CC!$A$1:$I$3869,3,0),"")</f>
        <v>AXIA</v>
      </c>
      <c r="E2376" t="str">
        <f>IFERROR(VLOOKUP(Tabela1[[#This Row],[CC]],CC!$A$1:$H$389,2,0),"")</f>
        <v>ELETROBRAS - AXIA Monitoramento (1519)</v>
      </c>
      <c r="F2376" t="s">
        <v>586</v>
      </c>
      <c r="G2376" s="110">
        <v>1344</v>
      </c>
      <c r="H2376" s="12">
        <v>46082</v>
      </c>
      <c r="I2376" s="116">
        <v>159330.49</v>
      </c>
      <c r="J2376" s="144">
        <v>146345.06</v>
      </c>
      <c r="K2376" s="3">
        <v>46122</v>
      </c>
      <c r="L2376" s="91">
        <v>46139</v>
      </c>
      <c r="M2376" s="29">
        <v>46139</v>
      </c>
      <c r="N2376" s="18" t="s">
        <v>588</v>
      </c>
      <c r="O2376" s="56"/>
      <c r="P2376" s="26"/>
      <c r="Q2376" t="str">
        <f>IFERROR(VLOOKUP(Tabela1[[#This Row],[CC]],CC!$A$1:$H$389,5,0),"")</f>
        <v>CSA</v>
      </c>
      <c r="R2376" t="str">
        <f>IFERROR(VLOOKUP(Tabela1[[#This Row],[CC]],CC!$A$1:$H$389,6,0),"")</f>
        <v>UT</v>
      </c>
      <c r="S2376" t="str">
        <f>IFERROR(VLOOKUP(Tabela1[[#This Row],[CC]],CC!$A$1:$H$403,8,0),"")</f>
        <v>OP2</v>
      </c>
    </row>
    <row r="2377" spans="1:19" x14ac:dyDescent="0.3">
      <c r="A2377" s="25">
        <v>1519</v>
      </c>
      <c r="B2377" s="25" t="str">
        <f>IFERROR(VLOOKUP(Tabela1[[#This Row],[CC]],#REF!,5,0),"")</f>
        <v/>
      </c>
      <c r="C2377" t="str">
        <f>IFERROR(VLOOKUP(Tabela1[[#This Row],[CC]],CC!$A$1:$H$389,7,0),"")</f>
        <v>JOSÉ NETO</v>
      </c>
      <c r="D2377" t="str">
        <f>IFERROR(VLOOKUP(Tabela1[[#This Row],[CC]],CC!$A$1:$I$3869,3,0),"")</f>
        <v>AXIA</v>
      </c>
      <c r="E2377" t="str">
        <f>IFERROR(VLOOKUP(Tabela1[[#This Row],[CC]],CC!$A$1:$H$389,2,0),"")</f>
        <v>ELETROBRAS - AXIA Monitoramento (1519)</v>
      </c>
      <c r="F2377" t="s">
        <v>586</v>
      </c>
      <c r="G2377" s="110">
        <v>1346</v>
      </c>
      <c r="H2377" s="12">
        <v>46113</v>
      </c>
      <c r="I2377" s="116">
        <v>159330.49</v>
      </c>
      <c r="J2377" s="24">
        <v>146345.06</v>
      </c>
      <c r="K2377" s="3">
        <v>46153</v>
      </c>
      <c r="L2377" s="91">
        <v>46167</v>
      </c>
      <c r="M2377" s="29">
        <v>46168</v>
      </c>
      <c r="N2377" s="18" t="s">
        <v>588</v>
      </c>
      <c r="O2377" s="56"/>
      <c r="P2377" s="26"/>
      <c r="Q2377" t="str">
        <f>IFERROR(VLOOKUP(Tabela1[[#This Row],[CC]],CC!$A$1:$H$389,5,0),"")</f>
        <v>CSA</v>
      </c>
      <c r="R2377" t="str">
        <f>IFERROR(VLOOKUP(Tabela1[[#This Row],[CC]],CC!$A$1:$H$389,6,0),"")</f>
        <v>UT</v>
      </c>
      <c r="S2377" t="str">
        <f>IFERROR(VLOOKUP(Tabela1[[#This Row],[CC]],CC!$A$1:$H$403,8,0),"")</f>
        <v>OP2</v>
      </c>
    </row>
    <row r="2378" spans="1:19" x14ac:dyDescent="0.3">
      <c r="A2378" s="25">
        <v>1519</v>
      </c>
      <c r="B2378" s="25" t="str">
        <f>IFERROR(VLOOKUP(Tabela1[[#This Row],[CC]],#REF!,5,0),"")</f>
        <v/>
      </c>
      <c r="C2378" t="str">
        <f>IFERROR(VLOOKUP(Tabela1[[#This Row],[CC]],CC!$A$1:$H$389,7,0),"")</f>
        <v>JOSÉ NETO</v>
      </c>
      <c r="D2378" t="str">
        <f>IFERROR(VLOOKUP(Tabela1[[#This Row],[CC]],CC!$A$1:$I$3869,3,0),"")</f>
        <v>AXIA</v>
      </c>
      <c r="E2378" t="str">
        <f>IFERROR(VLOOKUP(Tabela1[[#This Row],[CC]],CC!$A$1:$H$389,2,0),"")</f>
        <v>ELETROBRAS - AXIA Monitoramento (1519)</v>
      </c>
      <c r="F2378" t="s">
        <v>586</v>
      </c>
      <c r="G2378" s="110">
        <v>1347</v>
      </c>
      <c r="H2378" s="12">
        <v>46082</v>
      </c>
      <c r="I2378" s="116">
        <v>167543.32</v>
      </c>
      <c r="J2378" s="24">
        <v>153888.54</v>
      </c>
      <c r="K2378" s="3">
        <v>46154</v>
      </c>
      <c r="L2378" s="91">
        <v>46167</v>
      </c>
      <c r="M2378" s="29">
        <v>46168</v>
      </c>
      <c r="N2378" s="18" t="s">
        <v>588</v>
      </c>
      <c r="O2378" s="56"/>
      <c r="P2378" s="26"/>
      <c r="Q2378" t="str">
        <f>IFERROR(VLOOKUP(Tabela1[[#This Row],[CC]],CC!$A$1:$H$389,5,0),"")</f>
        <v>CSA</v>
      </c>
      <c r="R2378" t="str">
        <f>IFERROR(VLOOKUP(Tabela1[[#This Row],[CC]],CC!$A$1:$H$389,6,0),"")</f>
        <v>UT</v>
      </c>
      <c r="S2378" t="str">
        <f>IFERROR(VLOOKUP(Tabela1[[#This Row],[CC]],CC!$A$1:$H$403,8,0),"")</f>
        <v>OP2</v>
      </c>
    </row>
    <row r="2379" spans="1:19" x14ac:dyDescent="0.3">
      <c r="A2379" s="25">
        <v>1519</v>
      </c>
      <c r="B2379" s="25" t="str">
        <f>IFERROR(VLOOKUP(Tabela1[[#This Row],[CC]],#REF!,5,0),"")</f>
        <v/>
      </c>
      <c r="C2379" t="str">
        <f>IFERROR(VLOOKUP(Tabela1[[#This Row],[CC]],CC!$A$1:$H$389,7,0),"")</f>
        <v>JOSÉ NETO</v>
      </c>
      <c r="D2379" t="str">
        <f>IFERROR(VLOOKUP(Tabela1[[#This Row],[CC]],CC!$A$1:$I$3869,3,0),"")</f>
        <v>AXIA</v>
      </c>
      <c r="E2379" t="str">
        <f>IFERROR(VLOOKUP(Tabela1[[#This Row],[CC]],CC!$A$1:$H$389,2,0),"")</f>
        <v>ELETROBRAS - AXIA Monitoramento (1519)</v>
      </c>
      <c r="F2379" t="s">
        <v>586</v>
      </c>
      <c r="G2379" s="110">
        <v>1348</v>
      </c>
      <c r="H2379" s="12">
        <v>46113</v>
      </c>
      <c r="I2379" s="116">
        <v>141833.64000000001</v>
      </c>
      <c r="J2379" s="24">
        <v>130274.19</v>
      </c>
      <c r="K2379" s="3">
        <v>46154</v>
      </c>
      <c r="L2379" s="91">
        <v>46167</v>
      </c>
      <c r="M2379" s="29">
        <v>46168</v>
      </c>
      <c r="N2379" s="18" t="s">
        <v>588</v>
      </c>
      <c r="O2379" s="56"/>
      <c r="P2379" s="26"/>
      <c r="Q2379" t="str">
        <f>IFERROR(VLOOKUP(Tabela1[[#This Row],[CC]],CC!$A$1:$H$389,5,0),"")</f>
        <v>CSA</v>
      </c>
      <c r="R2379" t="str">
        <f>IFERROR(VLOOKUP(Tabela1[[#This Row],[CC]],CC!$A$1:$H$389,6,0),"")</f>
        <v>UT</v>
      </c>
      <c r="S2379" t="str">
        <f>IFERROR(VLOOKUP(Tabela1[[#This Row],[CC]],CC!$A$1:$H$403,8,0),"")</f>
        <v>OP2</v>
      </c>
    </row>
    <row r="2380" spans="1:19" x14ac:dyDescent="0.3">
      <c r="A2380" s="25">
        <v>1519</v>
      </c>
      <c r="B2380" s="25" t="str">
        <f>IFERROR(VLOOKUP(Tabela1[[#This Row],[CC]],#REF!,5,0),"")</f>
        <v/>
      </c>
      <c r="C2380" t="str">
        <f>IFERROR(VLOOKUP(Tabela1[[#This Row],[CC]],CC!$A$1:$H$389,7,0),"")</f>
        <v>JOSÉ NETO</v>
      </c>
      <c r="D2380" t="str">
        <f>IFERROR(VLOOKUP(Tabela1[[#This Row],[CC]],CC!$A$1:$I$3869,3,0),"")</f>
        <v>AXIA</v>
      </c>
      <c r="E2380" t="str">
        <f>IFERROR(VLOOKUP(Tabela1[[#This Row],[CC]],CC!$A$1:$H$389,2,0),"")</f>
        <v>ELETROBRAS - AXIA Monitoramento (1519)</v>
      </c>
      <c r="F2380" t="s">
        <v>586</v>
      </c>
      <c r="G2380" s="110">
        <v>1351</v>
      </c>
      <c r="H2380" s="12">
        <v>46143</v>
      </c>
      <c r="I2380" s="116">
        <v>159330.49</v>
      </c>
      <c r="J2380" s="24">
        <v>146345.07999999999</v>
      </c>
      <c r="K2380" s="3">
        <v>46178</v>
      </c>
      <c r="L2380" s="91">
        <v>46195</v>
      </c>
      <c r="M2380" s="29"/>
      <c r="N2380" s="18" t="s">
        <v>587</v>
      </c>
      <c r="O2380" s="56"/>
      <c r="P2380" s="26"/>
      <c r="Q2380" t="str">
        <f>IFERROR(VLOOKUP(Tabela1[[#This Row],[CC]],CC!$A$1:$H$389,5,0),"")</f>
        <v>CSA</v>
      </c>
      <c r="R2380" t="str">
        <f>IFERROR(VLOOKUP(Tabela1[[#This Row],[CC]],CC!$A$1:$H$389,6,0),"")</f>
        <v>UT</v>
      </c>
      <c r="S2380" t="str">
        <f>IFERROR(VLOOKUP(Tabela1[[#This Row],[CC]],CC!$A$1:$H$403,8,0),"")</f>
        <v>OP2</v>
      </c>
    </row>
    <row r="2381" spans="1:19" x14ac:dyDescent="0.3">
      <c r="A2381" s="25">
        <v>1515</v>
      </c>
      <c r="B2381" s="25" t="str">
        <f>IFERROR(VLOOKUP(Tabela1[[#This Row],[CC]],#REF!,5,0),"")</f>
        <v/>
      </c>
      <c r="C2381" t="str">
        <f>IFERROR(VLOOKUP(Tabela1[[#This Row],[CC]],CC!$A$1:$H$389,7,0),"")</f>
        <v>JOSÉ NETO</v>
      </c>
      <c r="D2381" t="str">
        <f>IFERROR(VLOOKUP(Tabela1[[#This Row],[CC]],CC!$A$1:$I$3869,3,0),"")</f>
        <v>AXIA</v>
      </c>
      <c r="E2381" t="str">
        <f>IFERROR(VLOOKUP(Tabela1[[#This Row],[CC]],CC!$A$1:$H$389,2,0),"")</f>
        <v>ELETROBRAS - AXIA N3 (1515)</v>
      </c>
      <c r="F2381" t="s">
        <v>586</v>
      </c>
      <c r="G2381" s="110">
        <v>8790</v>
      </c>
      <c r="H2381" s="12">
        <v>46054</v>
      </c>
      <c r="I2381" s="27">
        <v>2978.76</v>
      </c>
      <c r="J2381" s="24">
        <v>2691.31</v>
      </c>
      <c r="K2381" s="3">
        <v>46086</v>
      </c>
      <c r="L2381" s="91">
        <v>46118</v>
      </c>
      <c r="M2381" s="29">
        <v>46118</v>
      </c>
      <c r="N2381" s="18" t="s">
        <v>588</v>
      </c>
      <c r="O2381" s="56"/>
      <c r="P2381" s="26"/>
      <c r="Q2381" t="str">
        <f>IFERROR(VLOOKUP(Tabela1[[#This Row],[CC]],CC!$A$1:$H$389,5,0),"")</f>
        <v>CSA</v>
      </c>
      <c r="R2381" t="str">
        <f>IFERROR(VLOOKUP(Tabela1[[#This Row],[CC]],CC!$A$1:$H$389,6,0),"")</f>
        <v>UT</v>
      </c>
      <c r="S2381" t="str">
        <f>IFERROR(VLOOKUP(Tabela1[[#This Row],[CC]],CC!$A$1:$H$403,8,0),"")</f>
        <v>OP2</v>
      </c>
    </row>
    <row r="2382" spans="1:19" x14ac:dyDescent="0.3">
      <c r="A2382" s="25">
        <v>1515</v>
      </c>
      <c r="B2382" s="25" t="str">
        <f>IFERROR(VLOOKUP(Tabela1[[#This Row],[CC]],#REF!,5,0),"")</f>
        <v/>
      </c>
      <c r="C2382" t="str">
        <f>IFERROR(VLOOKUP(Tabela1[[#This Row],[CC]],CC!$A$1:$H$389,7,0),"")</f>
        <v>JOSÉ NETO</v>
      </c>
      <c r="D2382" t="str">
        <f>IFERROR(VLOOKUP(Tabela1[[#This Row],[CC]],CC!$A$1:$I$3869,3,0),"")</f>
        <v>AXIA</v>
      </c>
      <c r="E2382" t="str">
        <f>IFERROR(VLOOKUP(Tabela1[[#This Row],[CC]],CC!$A$1:$H$389,2,0),"")</f>
        <v>ELETROBRAS - AXIA N3 (1515)</v>
      </c>
      <c r="F2382" t="s">
        <v>586</v>
      </c>
      <c r="G2382" s="110">
        <v>8791</v>
      </c>
      <c r="H2382" s="12">
        <v>46054</v>
      </c>
      <c r="I2382" s="27">
        <v>47537.89</v>
      </c>
      <c r="J2382" s="24">
        <v>42950.47</v>
      </c>
      <c r="K2382" s="3">
        <v>46086</v>
      </c>
      <c r="L2382" s="91">
        <v>46118</v>
      </c>
      <c r="M2382" s="29">
        <v>46118</v>
      </c>
      <c r="N2382" s="18" t="s">
        <v>588</v>
      </c>
      <c r="O2382" s="56"/>
      <c r="P2382" s="26"/>
      <c r="Q2382" t="str">
        <f>IFERROR(VLOOKUP(Tabela1[[#This Row],[CC]],CC!$A$1:$H$389,5,0),"")</f>
        <v>CSA</v>
      </c>
      <c r="R2382" t="str">
        <f>IFERROR(VLOOKUP(Tabela1[[#This Row],[CC]],CC!$A$1:$H$389,6,0),"")</f>
        <v>UT</v>
      </c>
      <c r="S2382" t="str">
        <f>IFERROR(VLOOKUP(Tabela1[[#This Row],[CC]],CC!$A$1:$H$403,8,0),"")</f>
        <v>OP2</v>
      </c>
    </row>
    <row r="2383" spans="1:19" x14ac:dyDescent="0.3">
      <c r="A2383" s="25">
        <v>1515</v>
      </c>
      <c r="B2383" s="25" t="str">
        <f>IFERROR(VLOOKUP(Tabela1[[#This Row],[CC]],#REF!,5,0),"")</f>
        <v/>
      </c>
      <c r="C2383" t="str">
        <f>IFERROR(VLOOKUP(Tabela1[[#This Row],[CC]],CC!$A$1:$H$389,7,0),"")</f>
        <v>JOSÉ NETO</v>
      </c>
      <c r="D2383" t="str">
        <f>IFERROR(VLOOKUP(Tabela1[[#This Row],[CC]],CC!$A$1:$I$3869,3,0),"")</f>
        <v>AXIA</v>
      </c>
      <c r="E2383" t="str">
        <f>IFERROR(VLOOKUP(Tabela1[[#This Row],[CC]],CC!$A$1:$H$389,2,0),"")</f>
        <v>ELETROBRAS - AXIA N3 (1515)</v>
      </c>
      <c r="F2383" t="s">
        <v>586</v>
      </c>
      <c r="G2383" s="135">
        <v>8825</v>
      </c>
      <c r="H2383" s="12">
        <v>46082</v>
      </c>
      <c r="I2383" s="27">
        <v>188328.25</v>
      </c>
      <c r="J2383" s="144">
        <v>172979.5</v>
      </c>
      <c r="K2383" s="3">
        <v>46101</v>
      </c>
      <c r="L2383" s="91">
        <v>46139</v>
      </c>
      <c r="M2383" s="29">
        <v>46139</v>
      </c>
      <c r="N2383" s="18" t="s">
        <v>588</v>
      </c>
      <c r="O2383" s="56"/>
      <c r="P2383" s="26"/>
      <c r="Q2383" t="str">
        <f>IFERROR(VLOOKUP(Tabela1[[#This Row],[CC]],CC!$A$1:$H$389,5,0),"")</f>
        <v>CSA</v>
      </c>
      <c r="R2383" t="str">
        <f>IFERROR(VLOOKUP(Tabela1[[#This Row],[CC]],CC!$A$1:$H$389,6,0),"")</f>
        <v>UT</v>
      </c>
      <c r="S2383" t="str">
        <f>IFERROR(VLOOKUP(Tabela1[[#This Row],[CC]],CC!$A$1:$H$403,8,0),"")</f>
        <v>OP2</v>
      </c>
    </row>
    <row r="2384" spans="1:19" x14ac:dyDescent="0.3">
      <c r="A2384" s="25">
        <v>1515</v>
      </c>
      <c r="B2384" s="25" t="str">
        <f>IFERROR(VLOOKUP(Tabela1[[#This Row],[CC]],#REF!,5,0),"")</f>
        <v/>
      </c>
      <c r="C2384" t="str">
        <f>IFERROR(VLOOKUP(Tabela1[[#This Row],[CC]],CC!$A$1:$H$389,7,0),"")</f>
        <v>JOSÉ NETO</v>
      </c>
      <c r="D2384" t="str">
        <f>IFERROR(VLOOKUP(Tabela1[[#This Row],[CC]],CC!$A$1:$I$3869,3,0),"")</f>
        <v>AXIA</v>
      </c>
      <c r="E2384" t="str">
        <f>IFERROR(VLOOKUP(Tabela1[[#This Row],[CC]],CC!$A$1:$H$389,2,0),"")</f>
        <v>ELETROBRAS - AXIA N3 (1515)</v>
      </c>
      <c r="F2384" t="s">
        <v>586</v>
      </c>
      <c r="G2384" s="135">
        <v>8826</v>
      </c>
      <c r="H2384" s="12">
        <v>46082</v>
      </c>
      <c r="I2384" s="27">
        <v>23480.27</v>
      </c>
      <c r="J2384" s="144">
        <v>21566.63</v>
      </c>
      <c r="K2384" s="3">
        <v>46101</v>
      </c>
      <c r="L2384" s="91">
        <v>46139</v>
      </c>
      <c r="M2384" s="29">
        <v>46139</v>
      </c>
      <c r="N2384" s="18" t="s">
        <v>588</v>
      </c>
      <c r="O2384" s="56"/>
      <c r="P2384" s="26"/>
      <c r="Q2384" t="str">
        <f>IFERROR(VLOOKUP(Tabela1[[#This Row],[CC]],CC!$A$1:$H$389,5,0),"")</f>
        <v>CSA</v>
      </c>
      <c r="R2384" t="str">
        <f>IFERROR(VLOOKUP(Tabela1[[#This Row],[CC]],CC!$A$1:$H$389,6,0),"")</f>
        <v>UT</v>
      </c>
      <c r="S2384" t="str">
        <f>IFERROR(VLOOKUP(Tabela1[[#This Row],[CC]],CC!$A$1:$H$403,8,0),"")</f>
        <v>OP2</v>
      </c>
    </row>
    <row r="2385" spans="1:23" x14ac:dyDescent="0.3">
      <c r="A2385" s="25">
        <v>1515</v>
      </c>
      <c r="B2385" s="25" t="str">
        <f>IFERROR(VLOOKUP(Tabela1[[#This Row],[CC]],#REF!,5,0),"")</f>
        <v/>
      </c>
      <c r="C2385" t="str">
        <f>IFERROR(VLOOKUP(Tabela1[[#This Row],[CC]],CC!$A$1:$H$389,7,0),"")</f>
        <v>JOSÉ NETO</v>
      </c>
      <c r="D2385" t="str">
        <f>IFERROR(VLOOKUP(Tabela1[[#This Row],[CC]],CC!$A$1:$I$3869,3,0),"")</f>
        <v>AXIA</v>
      </c>
      <c r="E2385" t="str">
        <f>IFERROR(VLOOKUP(Tabela1[[#This Row],[CC]],CC!$A$1:$H$389,2,0),"")</f>
        <v>ELETROBRAS - AXIA N3 (1515)</v>
      </c>
      <c r="F2385" t="s">
        <v>586</v>
      </c>
      <c r="G2385" s="135">
        <v>8829</v>
      </c>
      <c r="H2385" s="12">
        <v>46082</v>
      </c>
      <c r="I2385" s="27">
        <v>20529.189999999999</v>
      </c>
      <c r="J2385" s="24">
        <v>18856.060000000001</v>
      </c>
      <c r="K2385" s="3">
        <v>46104</v>
      </c>
      <c r="L2385" s="91">
        <v>46139</v>
      </c>
      <c r="M2385" s="29">
        <v>46139</v>
      </c>
      <c r="N2385" s="18" t="s">
        <v>588</v>
      </c>
      <c r="O2385" s="56"/>
      <c r="P2385" s="26"/>
      <c r="Q2385" t="str">
        <f>IFERROR(VLOOKUP(Tabela1[[#This Row],[CC]],CC!$A$1:$H$389,5,0),"")</f>
        <v>CSA</v>
      </c>
      <c r="R2385" t="str">
        <f>IFERROR(VLOOKUP(Tabela1[[#This Row],[CC]],CC!$A$1:$H$389,6,0),"")</f>
        <v>UT</v>
      </c>
      <c r="S2385" t="str">
        <f>IFERROR(VLOOKUP(Tabela1[[#This Row],[CC]],CC!$A$1:$H$403,8,0),"")</f>
        <v>OP2</v>
      </c>
    </row>
    <row r="2386" spans="1:23" x14ac:dyDescent="0.3">
      <c r="A2386" s="25">
        <v>1515</v>
      </c>
      <c r="B2386" s="25" t="str">
        <f>IFERROR(VLOOKUP(Tabela1[[#This Row],[CC]],#REF!,5,0),"")</f>
        <v/>
      </c>
      <c r="C2386" t="str">
        <f>IFERROR(VLOOKUP(Tabela1[[#This Row],[CC]],CC!$A$1:$H$389,7,0),"")</f>
        <v>JOSÉ NETO</v>
      </c>
      <c r="D2386" t="str">
        <f>IFERROR(VLOOKUP(Tabela1[[#This Row],[CC]],CC!$A$1:$I$3869,3,0),"")</f>
        <v>AXIA</v>
      </c>
      <c r="E2386" t="str">
        <f>IFERROR(VLOOKUP(Tabela1[[#This Row],[CC]],CC!$A$1:$H$389,2,0),"")</f>
        <v>ELETROBRAS - AXIA N3 (1515)</v>
      </c>
      <c r="F2386" t="s">
        <v>586</v>
      </c>
      <c r="G2386" s="110">
        <v>8888</v>
      </c>
      <c r="H2386" s="12">
        <v>46113</v>
      </c>
      <c r="I2386" s="27">
        <v>43898.8</v>
      </c>
      <c r="J2386" s="24">
        <v>39662.57</v>
      </c>
      <c r="K2386" s="3">
        <v>46136</v>
      </c>
      <c r="L2386" s="91">
        <v>46167</v>
      </c>
      <c r="M2386" s="29">
        <v>46168</v>
      </c>
      <c r="N2386" s="18" t="s">
        <v>588</v>
      </c>
      <c r="O2386" s="56"/>
      <c r="P2386" s="26"/>
      <c r="Q2386" t="str">
        <f>IFERROR(VLOOKUP(Tabela1[[#This Row],[CC]],CC!$A$1:$H$389,5,0),"")</f>
        <v>CSA</v>
      </c>
      <c r="R2386" t="str">
        <f>IFERROR(VLOOKUP(Tabela1[[#This Row],[CC]],CC!$A$1:$H$389,6,0),"")</f>
        <v>UT</v>
      </c>
      <c r="S2386" t="str">
        <f>IFERROR(VLOOKUP(Tabela1[[#This Row],[CC]],CC!$A$1:$H$403,8,0),"")</f>
        <v>OP2</v>
      </c>
    </row>
    <row r="2387" spans="1:23" x14ac:dyDescent="0.3">
      <c r="A2387" s="25">
        <v>1515</v>
      </c>
      <c r="B2387" s="25" t="str">
        <f>IFERROR(VLOOKUP(Tabela1[[#This Row],[CC]],#REF!,5,0),"")</f>
        <v/>
      </c>
      <c r="C2387" t="str">
        <f>IFERROR(VLOOKUP(Tabela1[[#This Row],[CC]],CC!$A$1:$H$389,7,0),"")</f>
        <v>JOSÉ NETO</v>
      </c>
      <c r="D2387" t="str">
        <f>IFERROR(VLOOKUP(Tabela1[[#This Row],[CC]],CC!$A$1:$I$3869,3,0),"")</f>
        <v>AXIA</v>
      </c>
      <c r="E2387" t="str">
        <f>IFERROR(VLOOKUP(Tabela1[[#This Row],[CC]],CC!$A$1:$H$389,2,0),"")</f>
        <v>ELETROBRAS - AXIA N3 (1515)</v>
      </c>
      <c r="F2387" t="s">
        <v>586</v>
      </c>
      <c r="G2387" s="113">
        <v>8891</v>
      </c>
      <c r="H2387" s="12">
        <v>46113</v>
      </c>
      <c r="I2387" s="27">
        <v>4948.1499999999996</v>
      </c>
      <c r="J2387" s="27">
        <v>4470.67</v>
      </c>
      <c r="K2387" s="3">
        <v>46136</v>
      </c>
      <c r="L2387" s="147">
        <v>46181</v>
      </c>
      <c r="M2387" s="29">
        <v>46181</v>
      </c>
      <c r="N2387" s="18" t="s">
        <v>588</v>
      </c>
      <c r="O2387" s="56"/>
      <c r="P2387" s="26"/>
      <c r="Q2387" t="str">
        <f>IFERROR(VLOOKUP(Tabela1[[#This Row],[CC]],CC!$A$1:$H$389,5,0),"")</f>
        <v>CSA</v>
      </c>
      <c r="R2387" t="str">
        <f>IFERROR(VLOOKUP(Tabela1[[#This Row],[CC]],CC!$A$1:$H$389,6,0),"")</f>
        <v>UT</v>
      </c>
      <c r="S2387" t="str">
        <f>IFERROR(VLOOKUP(Tabela1[[#This Row],[CC]],CC!$A$1:$H$403,8,0),"")</f>
        <v>OP2</v>
      </c>
      <c r="W2387" s="11">
        <v>46167</v>
      </c>
    </row>
    <row r="2388" spans="1:23" x14ac:dyDescent="0.3">
      <c r="A2388" s="25">
        <v>1515</v>
      </c>
      <c r="B2388" s="25" t="str">
        <f>IFERROR(VLOOKUP(Tabela1[[#This Row],[CC]],#REF!,5,0),"")</f>
        <v/>
      </c>
      <c r="C2388" t="str">
        <f>IFERROR(VLOOKUP(Tabela1[[#This Row],[CC]],CC!$A$1:$H$389,7,0),"")</f>
        <v>JOSÉ NETO</v>
      </c>
      <c r="D2388" t="str">
        <f>IFERROR(VLOOKUP(Tabela1[[#This Row],[CC]],CC!$A$1:$I$3869,3,0),"")</f>
        <v>AXIA</v>
      </c>
      <c r="E2388" t="str">
        <f>IFERROR(VLOOKUP(Tabela1[[#This Row],[CC]],CC!$A$1:$H$389,2,0),"")</f>
        <v>ELETROBRAS - AXIA N3 (1515)</v>
      </c>
      <c r="F2388" t="s">
        <v>586</v>
      </c>
      <c r="G2388" s="113">
        <v>8892</v>
      </c>
      <c r="H2388" s="12">
        <v>46113</v>
      </c>
      <c r="I2388" s="27">
        <v>56498.48</v>
      </c>
      <c r="J2388" s="27">
        <v>51046.38</v>
      </c>
      <c r="K2388" s="3">
        <v>46136</v>
      </c>
      <c r="L2388" s="147">
        <v>46181</v>
      </c>
      <c r="M2388" s="29">
        <v>46181</v>
      </c>
      <c r="N2388" s="18" t="s">
        <v>588</v>
      </c>
      <c r="O2388" s="56"/>
      <c r="P2388" s="26"/>
      <c r="Q2388" t="str">
        <f>IFERROR(VLOOKUP(Tabela1[[#This Row],[CC]],CC!$A$1:$H$389,5,0),"")</f>
        <v>CSA</v>
      </c>
      <c r="R2388" t="str">
        <f>IFERROR(VLOOKUP(Tabela1[[#This Row],[CC]],CC!$A$1:$H$389,6,0),"")</f>
        <v>UT</v>
      </c>
      <c r="S2388" t="str">
        <f>IFERROR(VLOOKUP(Tabela1[[#This Row],[CC]],CC!$A$1:$H$403,8,0),"")</f>
        <v>OP2</v>
      </c>
      <c r="W2388" s="11">
        <v>46167</v>
      </c>
    </row>
    <row r="2389" spans="1:23" x14ac:dyDescent="0.3">
      <c r="A2389" s="25">
        <v>1515</v>
      </c>
      <c r="B2389" s="25" t="str">
        <f>IFERROR(VLOOKUP(Tabela1[[#This Row],[CC]],#REF!,5,0),"")</f>
        <v/>
      </c>
      <c r="C2389" t="str">
        <f>IFERROR(VLOOKUP(Tabela1[[#This Row],[CC]],CC!$A$1:$H$389,7,0),"")</f>
        <v>JOSÉ NETO</v>
      </c>
      <c r="D2389" t="str">
        <f>IFERROR(VLOOKUP(Tabela1[[#This Row],[CC]],CC!$A$1:$I$3869,3,0),"")</f>
        <v>AXIA</v>
      </c>
      <c r="E2389" t="str">
        <f>IFERROR(VLOOKUP(Tabela1[[#This Row],[CC]],CC!$A$1:$H$389,2,0),"")</f>
        <v>ELETROBRAS - AXIA N3 (1515)</v>
      </c>
      <c r="F2389" t="s">
        <v>586</v>
      </c>
      <c r="G2389" s="113">
        <v>8893</v>
      </c>
      <c r="H2389" s="12">
        <v>46113</v>
      </c>
      <c r="I2389" s="27">
        <v>36014.47</v>
      </c>
      <c r="J2389" s="27">
        <v>32539.08</v>
      </c>
      <c r="K2389" s="3">
        <v>46140</v>
      </c>
      <c r="L2389" s="147">
        <v>46181</v>
      </c>
      <c r="M2389" s="29">
        <v>46181</v>
      </c>
      <c r="N2389" s="18" t="s">
        <v>588</v>
      </c>
      <c r="O2389" s="56"/>
      <c r="P2389" s="26"/>
      <c r="Q2389" t="str">
        <f>IFERROR(VLOOKUP(Tabela1[[#This Row],[CC]],CC!$A$1:$H$389,5,0),"")</f>
        <v>CSA</v>
      </c>
      <c r="R2389" t="str">
        <f>IFERROR(VLOOKUP(Tabela1[[#This Row],[CC]],CC!$A$1:$H$389,6,0),"")</f>
        <v>UT</v>
      </c>
      <c r="S2389" t="str">
        <f>IFERROR(VLOOKUP(Tabela1[[#This Row],[CC]],CC!$A$1:$H$403,8,0),"")</f>
        <v>OP2</v>
      </c>
      <c r="W2389" s="11">
        <v>46167</v>
      </c>
    </row>
    <row r="2390" spans="1:23" x14ac:dyDescent="0.3">
      <c r="A2390" s="25">
        <v>1515</v>
      </c>
      <c r="B2390" s="25" t="str">
        <f>IFERROR(VLOOKUP(Tabela1[[#This Row],[CC]],#REF!,5,0),"")</f>
        <v/>
      </c>
      <c r="C2390" t="str">
        <f>IFERROR(VLOOKUP(Tabela1[[#This Row],[CC]],CC!$A$1:$H$389,7,0),"")</f>
        <v>JOSÉ NETO</v>
      </c>
      <c r="D2390" t="str">
        <f>IFERROR(VLOOKUP(Tabela1[[#This Row],[CC]],CC!$A$1:$I$3869,3,0),"")</f>
        <v>AXIA</v>
      </c>
      <c r="E2390" t="str">
        <f>IFERROR(VLOOKUP(Tabela1[[#This Row],[CC]],CC!$A$1:$H$389,2,0),"")</f>
        <v>ELETROBRAS - AXIA N3 (1515)</v>
      </c>
      <c r="F2390" t="s">
        <v>586</v>
      </c>
      <c r="G2390" s="113">
        <v>8894</v>
      </c>
      <c r="H2390" s="12">
        <v>46113</v>
      </c>
      <c r="I2390" s="27">
        <v>46818.81</v>
      </c>
      <c r="J2390" s="27">
        <v>43003.08</v>
      </c>
      <c r="K2390" s="3">
        <v>46140</v>
      </c>
      <c r="L2390" s="147">
        <v>46181</v>
      </c>
      <c r="M2390" s="29">
        <v>46181</v>
      </c>
      <c r="N2390" s="18" t="s">
        <v>588</v>
      </c>
      <c r="O2390" s="56"/>
      <c r="P2390" s="26"/>
      <c r="Q2390" t="str">
        <f>IFERROR(VLOOKUP(Tabela1[[#This Row],[CC]],CC!$A$1:$H$389,5,0),"")</f>
        <v>CSA</v>
      </c>
      <c r="R2390" t="str">
        <f>IFERROR(VLOOKUP(Tabela1[[#This Row],[CC]],CC!$A$1:$H$389,6,0),"")</f>
        <v>UT</v>
      </c>
      <c r="S2390" t="str">
        <f>IFERROR(VLOOKUP(Tabela1[[#This Row],[CC]],CC!$A$1:$H$403,8,0),"")</f>
        <v>OP2</v>
      </c>
      <c r="W2390" s="11">
        <v>46167</v>
      </c>
    </row>
    <row r="2391" spans="1:23" x14ac:dyDescent="0.3">
      <c r="A2391" s="25">
        <v>1515</v>
      </c>
      <c r="B2391" s="25" t="str">
        <f>IFERROR(VLOOKUP(Tabela1[[#This Row],[CC]],#REF!,5,0),"")</f>
        <v/>
      </c>
      <c r="C2391" t="str">
        <f>IFERROR(VLOOKUP(Tabela1[[#This Row],[CC]],CC!$A$1:$H$389,7,0),"")</f>
        <v>JOSÉ NETO</v>
      </c>
      <c r="D2391" t="str">
        <f>IFERROR(VLOOKUP(Tabela1[[#This Row],[CC]],CC!$A$1:$I$3869,3,0),"")</f>
        <v>AXIA</v>
      </c>
      <c r="E2391" t="str">
        <f>IFERROR(VLOOKUP(Tabela1[[#This Row],[CC]],CC!$A$1:$H$389,2,0),"")</f>
        <v>ELETROBRAS - AXIA N3 (1515)</v>
      </c>
      <c r="F2391" t="s">
        <v>586</v>
      </c>
      <c r="G2391" s="113">
        <v>8897</v>
      </c>
      <c r="H2391" s="12">
        <v>46113</v>
      </c>
      <c r="I2391" s="27">
        <v>57068.44</v>
      </c>
      <c r="J2391" s="27">
        <v>52417.37</v>
      </c>
      <c r="K2391" s="3">
        <v>46141</v>
      </c>
      <c r="L2391" s="147">
        <v>46181</v>
      </c>
      <c r="M2391" s="29">
        <v>46181</v>
      </c>
      <c r="N2391" s="18" t="s">
        <v>588</v>
      </c>
      <c r="O2391" s="56"/>
      <c r="P2391" s="26"/>
      <c r="Q2391" t="str">
        <f>IFERROR(VLOOKUP(Tabela1[[#This Row],[CC]],CC!$A$1:$H$389,5,0),"")</f>
        <v>CSA</v>
      </c>
      <c r="R2391" t="str">
        <f>IFERROR(VLOOKUP(Tabela1[[#This Row],[CC]],CC!$A$1:$H$389,6,0),"")</f>
        <v>UT</v>
      </c>
      <c r="S2391" t="str">
        <f>IFERROR(VLOOKUP(Tabela1[[#This Row],[CC]],CC!$A$1:$H$403,8,0),"")</f>
        <v>OP2</v>
      </c>
      <c r="W2391" s="11">
        <v>46167</v>
      </c>
    </row>
    <row r="2392" spans="1:23" x14ac:dyDescent="0.3">
      <c r="A2392" s="25">
        <v>1515</v>
      </c>
      <c r="B2392" s="25" t="str">
        <f>IFERROR(VLOOKUP(Tabela1[[#This Row],[CC]],#REF!,5,0),"")</f>
        <v/>
      </c>
      <c r="C2392" t="str">
        <f>IFERROR(VLOOKUP(Tabela1[[#This Row],[CC]],CC!$A$1:$H$389,7,0),"")</f>
        <v>JOSÉ NETO</v>
      </c>
      <c r="D2392" t="str">
        <f>IFERROR(VLOOKUP(Tabela1[[#This Row],[CC]],CC!$A$1:$I$3869,3,0),"")</f>
        <v>AXIA</v>
      </c>
      <c r="E2392" t="str">
        <f>IFERROR(VLOOKUP(Tabela1[[#This Row],[CC]],CC!$A$1:$H$389,2,0),"")</f>
        <v>ELETROBRAS - AXIA N3 (1515)</v>
      </c>
      <c r="F2392" t="s">
        <v>586</v>
      </c>
      <c r="G2392" s="113">
        <v>8898</v>
      </c>
      <c r="H2392" s="12">
        <v>46113</v>
      </c>
      <c r="I2392" s="27">
        <v>52142.8</v>
      </c>
      <c r="J2392" s="27">
        <v>47893.16</v>
      </c>
      <c r="K2392" s="3">
        <v>46141</v>
      </c>
      <c r="L2392" s="147">
        <v>46181</v>
      </c>
      <c r="M2392" s="29">
        <v>46181</v>
      </c>
      <c r="N2392" s="18" t="s">
        <v>588</v>
      </c>
      <c r="O2392" s="56"/>
      <c r="P2392" s="26"/>
      <c r="Q2392" t="str">
        <f>IFERROR(VLOOKUP(Tabela1[[#This Row],[CC]],CC!$A$1:$H$389,5,0),"")</f>
        <v>CSA</v>
      </c>
      <c r="R2392" t="str">
        <f>IFERROR(VLOOKUP(Tabela1[[#This Row],[CC]],CC!$A$1:$H$389,6,0),"")</f>
        <v>UT</v>
      </c>
      <c r="S2392" t="str">
        <f>IFERROR(VLOOKUP(Tabela1[[#This Row],[CC]],CC!$A$1:$H$403,8,0),"")</f>
        <v>OP2</v>
      </c>
      <c r="W2392" s="11">
        <v>46167</v>
      </c>
    </row>
    <row r="2393" spans="1:23" x14ac:dyDescent="0.3">
      <c r="A2393" s="25">
        <v>1515</v>
      </c>
      <c r="B2393" s="25" t="str">
        <f>IFERROR(VLOOKUP(Tabela1[[#This Row],[CC]],#REF!,5,0),"")</f>
        <v/>
      </c>
      <c r="C2393" t="str">
        <f>IFERROR(VLOOKUP(Tabela1[[#This Row],[CC]],CC!$A$1:$H$389,7,0),"")</f>
        <v>JOSÉ NETO</v>
      </c>
      <c r="D2393" t="str">
        <f>IFERROR(VLOOKUP(Tabela1[[#This Row],[CC]],CC!$A$1:$I$3869,3,0),"")</f>
        <v>AXIA</v>
      </c>
      <c r="E2393" t="str">
        <f>IFERROR(VLOOKUP(Tabela1[[#This Row],[CC]],CC!$A$1:$H$389,2,0),"")</f>
        <v>ELETROBRAS - AXIA N3 (1515)</v>
      </c>
      <c r="F2393" t="s">
        <v>586</v>
      </c>
      <c r="G2393" s="113">
        <v>8899</v>
      </c>
      <c r="H2393" s="12">
        <v>46113</v>
      </c>
      <c r="I2393" s="27">
        <v>6432.59</v>
      </c>
      <c r="J2393" s="27">
        <v>5908.33</v>
      </c>
      <c r="K2393" s="3">
        <v>46141</v>
      </c>
      <c r="L2393" s="147">
        <v>46181</v>
      </c>
      <c r="M2393" s="29">
        <v>46181</v>
      </c>
      <c r="N2393" s="18" t="s">
        <v>588</v>
      </c>
      <c r="O2393" s="56"/>
      <c r="P2393" s="26"/>
      <c r="Q2393" t="str">
        <f>IFERROR(VLOOKUP(Tabela1[[#This Row],[CC]],CC!$A$1:$H$389,5,0),"")</f>
        <v>CSA</v>
      </c>
      <c r="R2393" t="str">
        <f>IFERROR(VLOOKUP(Tabela1[[#This Row],[CC]],CC!$A$1:$H$389,6,0),"")</f>
        <v>UT</v>
      </c>
      <c r="S2393" t="str">
        <f>IFERROR(VLOOKUP(Tabela1[[#This Row],[CC]],CC!$A$1:$H$403,8,0),"")</f>
        <v>OP2</v>
      </c>
      <c r="W2393" s="11">
        <v>46167</v>
      </c>
    </row>
    <row r="2394" spans="1:23" x14ac:dyDescent="0.3">
      <c r="A2394" s="25">
        <v>1515</v>
      </c>
      <c r="B2394" s="25" t="str">
        <f>IFERROR(VLOOKUP(Tabela1[[#This Row],[CC]],#REF!,5,0),"")</f>
        <v/>
      </c>
      <c r="C2394" t="str">
        <f>IFERROR(VLOOKUP(Tabela1[[#This Row],[CC]],CC!$A$1:$H$389,7,0),"")</f>
        <v>JOSÉ NETO</v>
      </c>
      <c r="D2394" t="str">
        <f>IFERROR(VLOOKUP(Tabela1[[#This Row],[CC]],CC!$A$1:$I$3869,3,0),"")</f>
        <v>AXIA</v>
      </c>
      <c r="E2394" t="str">
        <f>IFERROR(VLOOKUP(Tabela1[[#This Row],[CC]],CC!$A$1:$H$389,2,0),"")</f>
        <v>ELETROBRAS - AXIA N3 (1515)</v>
      </c>
      <c r="F2394" t="s">
        <v>586</v>
      </c>
      <c r="G2394" s="113">
        <v>8900</v>
      </c>
      <c r="H2394" s="12">
        <v>46113</v>
      </c>
      <c r="I2394" s="27">
        <v>35782.370000000003</v>
      </c>
      <c r="J2394" s="27">
        <v>32866.11</v>
      </c>
      <c r="K2394" s="3">
        <v>46141</v>
      </c>
      <c r="L2394" s="147">
        <v>46181</v>
      </c>
      <c r="M2394" s="29">
        <v>46181</v>
      </c>
      <c r="N2394" s="18" t="s">
        <v>588</v>
      </c>
      <c r="O2394" s="56"/>
      <c r="P2394" s="26"/>
      <c r="Q2394" t="str">
        <f>IFERROR(VLOOKUP(Tabela1[[#This Row],[CC]],CC!$A$1:$H$389,5,0),"")</f>
        <v>CSA</v>
      </c>
      <c r="R2394" t="str">
        <f>IFERROR(VLOOKUP(Tabela1[[#This Row],[CC]],CC!$A$1:$H$389,6,0),"")</f>
        <v>UT</v>
      </c>
      <c r="S2394" t="str">
        <f>IFERROR(VLOOKUP(Tabela1[[#This Row],[CC]],CC!$A$1:$H$403,8,0),"")</f>
        <v>OP2</v>
      </c>
      <c r="W2394" s="11">
        <v>46167</v>
      </c>
    </row>
    <row r="2395" spans="1:23" x14ac:dyDescent="0.3">
      <c r="A2395" s="25">
        <v>1515</v>
      </c>
      <c r="B2395" s="25" t="str">
        <f>IFERROR(VLOOKUP(Tabela1[[#This Row],[CC]],#REF!,5,0),"")</f>
        <v/>
      </c>
      <c r="C2395" t="str">
        <f>IFERROR(VLOOKUP(Tabela1[[#This Row],[CC]],CC!$A$1:$H$389,7,0),"")</f>
        <v>JOSÉ NETO</v>
      </c>
      <c r="D2395" t="str">
        <f>IFERROR(VLOOKUP(Tabela1[[#This Row],[CC]],CC!$A$1:$I$3869,3,0),"")</f>
        <v>AXIA</v>
      </c>
      <c r="E2395" t="str">
        <f>IFERROR(VLOOKUP(Tabela1[[#This Row],[CC]],CC!$A$1:$H$389,2,0),"")</f>
        <v>ELETROBRAS - AXIA N3 (1515)</v>
      </c>
      <c r="F2395" t="s">
        <v>586</v>
      </c>
      <c r="G2395" s="113">
        <v>8901</v>
      </c>
      <c r="H2395" s="12">
        <v>46113</v>
      </c>
      <c r="I2395" s="27">
        <v>22809.16</v>
      </c>
      <c r="J2395" s="27">
        <v>20950.22</v>
      </c>
      <c r="K2395" s="3">
        <v>46141</v>
      </c>
      <c r="L2395" s="147">
        <v>46181</v>
      </c>
      <c r="M2395" s="29">
        <v>46181</v>
      </c>
      <c r="N2395" s="18" t="s">
        <v>588</v>
      </c>
      <c r="O2395" s="56"/>
      <c r="P2395" s="26"/>
      <c r="Q2395" t="str">
        <f>IFERROR(VLOOKUP(Tabela1[[#This Row],[CC]],CC!$A$1:$H$389,5,0),"")</f>
        <v>CSA</v>
      </c>
      <c r="R2395" t="str">
        <f>IFERROR(VLOOKUP(Tabela1[[#This Row],[CC]],CC!$A$1:$H$389,6,0),"")</f>
        <v>UT</v>
      </c>
      <c r="S2395" t="str">
        <f>IFERROR(VLOOKUP(Tabela1[[#This Row],[CC]],CC!$A$1:$H$403,8,0),"")</f>
        <v>OP2</v>
      </c>
      <c r="W2395" s="11">
        <v>46167</v>
      </c>
    </row>
    <row r="2396" spans="1:23" x14ac:dyDescent="0.3">
      <c r="A2396" s="25">
        <v>1515</v>
      </c>
      <c r="B2396" s="25" t="str">
        <f>IFERROR(VLOOKUP(Tabela1[[#This Row],[CC]],#REF!,5,0),"")</f>
        <v/>
      </c>
      <c r="C2396" t="str">
        <f>IFERROR(VLOOKUP(Tabela1[[#This Row],[CC]],CC!$A$1:$H$389,7,0),"")</f>
        <v>JOSÉ NETO</v>
      </c>
      <c r="D2396" t="str">
        <f>IFERROR(VLOOKUP(Tabela1[[#This Row],[CC]],CC!$A$1:$I$3869,3,0),"")</f>
        <v>AXIA</v>
      </c>
      <c r="E2396" t="str">
        <f>IFERROR(VLOOKUP(Tabela1[[#This Row],[CC]],CC!$A$1:$H$389,2,0),"")</f>
        <v>ELETROBRAS - AXIA N3 (1515)</v>
      </c>
      <c r="F2396" t="s">
        <v>586</v>
      </c>
      <c r="G2396" s="113">
        <v>8902</v>
      </c>
      <c r="H2396" s="12">
        <v>46113</v>
      </c>
      <c r="I2396" s="27">
        <v>27802.57</v>
      </c>
      <c r="J2396" s="27">
        <v>25536.65</v>
      </c>
      <c r="K2396" s="3">
        <v>46141</v>
      </c>
      <c r="L2396" s="147">
        <v>46181</v>
      </c>
      <c r="M2396" s="29">
        <v>46181</v>
      </c>
      <c r="N2396" s="18" t="s">
        <v>588</v>
      </c>
      <c r="O2396" s="56"/>
      <c r="P2396" s="26"/>
      <c r="Q2396" t="str">
        <f>IFERROR(VLOOKUP(Tabela1[[#This Row],[CC]],CC!$A$1:$H$389,5,0),"")</f>
        <v>CSA</v>
      </c>
      <c r="R2396" t="str">
        <f>IFERROR(VLOOKUP(Tabela1[[#This Row],[CC]],CC!$A$1:$H$389,6,0),"")</f>
        <v>UT</v>
      </c>
      <c r="S2396" t="str">
        <f>IFERROR(VLOOKUP(Tabela1[[#This Row],[CC]],CC!$A$1:$H$403,8,0),"")</f>
        <v>OP2</v>
      </c>
      <c r="W2396" s="11">
        <v>46167</v>
      </c>
    </row>
    <row r="2397" spans="1:23" x14ac:dyDescent="0.3">
      <c r="A2397" s="25">
        <v>1515</v>
      </c>
      <c r="B2397" s="25" t="str">
        <f>IFERROR(VLOOKUP(Tabela1[[#This Row],[CC]],#REF!,5,0),"")</f>
        <v/>
      </c>
      <c r="C2397" t="str">
        <f>IFERROR(VLOOKUP(Tabela1[[#This Row],[CC]],CC!$A$1:$H$389,7,0),"")</f>
        <v>JOSÉ NETO</v>
      </c>
      <c r="D2397" t="str">
        <f>IFERROR(VLOOKUP(Tabela1[[#This Row],[CC]],CC!$A$1:$I$3869,3,0),"")</f>
        <v>AXIA</v>
      </c>
      <c r="E2397" t="str">
        <f>IFERROR(VLOOKUP(Tabela1[[#This Row],[CC]],CC!$A$1:$H$389,2,0),"")</f>
        <v>ELETROBRAS - AXIA N3 (1515)</v>
      </c>
      <c r="F2397" t="s">
        <v>586</v>
      </c>
      <c r="G2397" s="113">
        <v>8903</v>
      </c>
      <c r="H2397" s="12">
        <v>46113</v>
      </c>
      <c r="I2397" s="27">
        <v>25402.9</v>
      </c>
      <c r="J2397" s="27">
        <v>23332.560000000001</v>
      </c>
      <c r="K2397" s="3">
        <v>46141</v>
      </c>
      <c r="L2397" s="147">
        <v>46181</v>
      </c>
      <c r="M2397" s="29">
        <v>46181</v>
      </c>
      <c r="N2397" s="18" t="s">
        <v>588</v>
      </c>
      <c r="O2397" s="56"/>
      <c r="P2397" s="26"/>
      <c r="Q2397" t="str">
        <f>IFERROR(VLOOKUP(Tabela1[[#This Row],[CC]],CC!$A$1:$H$389,5,0),"")</f>
        <v>CSA</v>
      </c>
      <c r="R2397" t="str">
        <f>IFERROR(VLOOKUP(Tabela1[[#This Row],[CC]],CC!$A$1:$H$389,6,0),"")</f>
        <v>UT</v>
      </c>
      <c r="S2397" t="str">
        <f>IFERROR(VLOOKUP(Tabela1[[#This Row],[CC]],CC!$A$1:$H$403,8,0),"")</f>
        <v>OP2</v>
      </c>
      <c r="W2397" s="11">
        <v>46167</v>
      </c>
    </row>
    <row r="2398" spans="1:23" x14ac:dyDescent="0.3">
      <c r="A2398" s="25">
        <v>1515</v>
      </c>
      <c r="B2398" s="25" t="str">
        <f>IFERROR(VLOOKUP(Tabela1[[#This Row],[CC]],#REF!,5,0),"")</f>
        <v/>
      </c>
      <c r="C2398" t="str">
        <f>IFERROR(VLOOKUP(Tabela1[[#This Row],[CC]],CC!$A$1:$H$389,7,0),"")</f>
        <v>JOSÉ NETO</v>
      </c>
      <c r="D2398" t="str">
        <f>IFERROR(VLOOKUP(Tabela1[[#This Row],[CC]],CC!$A$1:$I$3869,3,0),"")</f>
        <v>AXIA</v>
      </c>
      <c r="E2398" t="str">
        <f>IFERROR(VLOOKUP(Tabela1[[#This Row],[CC]],CC!$A$1:$H$389,2,0),"")</f>
        <v>ELETROBRAS - AXIA N3 (1515)</v>
      </c>
      <c r="F2398" t="s">
        <v>586</v>
      </c>
      <c r="G2398" s="113">
        <v>8904</v>
      </c>
      <c r="H2398" s="12">
        <v>46113</v>
      </c>
      <c r="I2398" s="27">
        <v>3133.83</v>
      </c>
      <c r="J2398" s="27">
        <v>2878.43</v>
      </c>
      <c r="K2398" s="3">
        <v>46141</v>
      </c>
      <c r="L2398" s="147">
        <v>46181</v>
      </c>
      <c r="M2398" s="29">
        <v>46181</v>
      </c>
      <c r="N2398" s="18" t="s">
        <v>588</v>
      </c>
      <c r="O2398" s="56"/>
      <c r="P2398" s="26"/>
      <c r="Q2398" t="str">
        <f>IFERROR(VLOOKUP(Tabela1[[#This Row],[CC]],CC!$A$1:$H$389,5,0),"")</f>
        <v>CSA</v>
      </c>
      <c r="R2398" t="str">
        <f>IFERROR(VLOOKUP(Tabela1[[#This Row],[CC]],CC!$A$1:$H$389,6,0),"")</f>
        <v>UT</v>
      </c>
      <c r="S2398" t="str">
        <f>IFERROR(VLOOKUP(Tabela1[[#This Row],[CC]],CC!$A$1:$H$403,8,0),"")</f>
        <v>OP2</v>
      </c>
      <c r="W2398" s="11">
        <v>46167</v>
      </c>
    </row>
    <row r="2399" spans="1:23" x14ac:dyDescent="0.3">
      <c r="A2399" s="25">
        <v>1515</v>
      </c>
      <c r="B2399" s="25" t="str">
        <f>IFERROR(VLOOKUP(Tabela1[[#This Row],[CC]],#REF!,5,0),"")</f>
        <v/>
      </c>
      <c r="C2399" t="str">
        <f>IFERROR(VLOOKUP(Tabela1[[#This Row],[CC]],CC!$A$1:$H$389,7,0),"")</f>
        <v>JOSÉ NETO</v>
      </c>
      <c r="D2399" t="str">
        <f>IFERROR(VLOOKUP(Tabela1[[#This Row],[CC]],CC!$A$1:$I$3869,3,0),"")</f>
        <v>AXIA</v>
      </c>
      <c r="E2399" t="str">
        <f>IFERROR(VLOOKUP(Tabela1[[#This Row],[CC]],CC!$A$1:$H$389,2,0),"")</f>
        <v>ELETROBRAS - AXIA N3 (1515)</v>
      </c>
      <c r="F2399" t="s">
        <v>586</v>
      </c>
      <c r="G2399" s="113">
        <v>8905</v>
      </c>
      <c r="H2399" s="12">
        <v>46113</v>
      </c>
      <c r="I2399" s="27">
        <v>22599.39</v>
      </c>
      <c r="J2399" s="27">
        <v>20757.54</v>
      </c>
      <c r="K2399" s="3">
        <v>46141</v>
      </c>
      <c r="L2399" s="147">
        <v>46181</v>
      </c>
      <c r="M2399" s="29">
        <v>46181</v>
      </c>
      <c r="N2399" s="18" t="s">
        <v>588</v>
      </c>
      <c r="O2399" s="56"/>
      <c r="P2399" s="26"/>
      <c r="Q2399" t="str">
        <f>IFERROR(VLOOKUP(Tabela1[[#This Row],[CC]],CC!$A$1:$H$389,5,0),"")</f>
        <v>CSA</v>
      </c>
      <c r="R2399" t="str">
        <f>IFERROR(VLOOKUP(Tabela1[[#This Row],[CC]],CC!$A$1:$H$389,6,0),"")</f>
        <v>UT</v>
      </c>
      <c r="S2399" t="str">
        <f>IFERROR(VLOOKUP(Tabela1[[#This Row],[CC]],CC!$A$1:$H$403,8,0),"")</f>
        <v>OP2</v>
      </c>
      <c r="W2399" s="11">
        <v>46167</v>
      </c>
    </row>
    <row r="2400" spans="1:23" x14ac:dyDescent="0.3">
      <c r="A2400" s="25">
        <v>1515</v>
      </c>
      <c r="B2400" s="25" t="str">
        <f>IFERROR(VLOOKUP(Tabela1[[#This Row],[CC]],#REF!,5,0),"")</f>
        <v/>
      </c>
      <c r="C2400" t="str">
        <f>IFERROR(VLOOKUP(Tabela1[[#This Row],[CC]],CC!$A$1:$H$389,7,0),"")</f>
        <v>JOSÉ NETO</v>
      </c>
      <c r="D2400" t="str">
        <f>IFERROR(VLOOKUP(Tabela1[[#This Row],[CC]],CC!$A$1:$I$3869,3,0),"")</f>
        <v>AXIA</v>
      </c>
      <c r="E2400" t="str">
        <f>IFERROR(VLOOKUP(Tabela1[[#This Row],[CC]],CC!$A$1:$H$389,2,0),"")</f>
        <v>ELETROBRAS - AXIA N3 (1515)</v>
      </c>
      <c r="F2400" t="s">
        <v>586</v>
      </c>
      <c r="G2400" s="113">
        <v>8906</v>
      </c>
      <c r="H2400" s="12">
        <v>46113</v>
      </c>
      <c r="I2400" s="27">
        <v>14405.79</v>
      </c>
      <c r="J2400" s="24">
        <v>13231.72</v>
      </c>
      <c r="K2400" s="3">
        <v>46142</v>
      </c>
      <c r="L2400" s="147">
        <v>46181</v>
      </c>
      <c r="M2400" s="29">
        <v>46181</v>
      </c>
      <c r="N2400" s="18" t="s">
        <v>588</v>
      </c>
      <c r="O2400" s="56"/>
      <c r="P2400" s="26"/>
      <c r="Q2400" t="str">
        <f>IFERROR(VLOOKUP(Tabela1[[#This Row],[CC]],CC!$A$1:$H$389,5,0),"")</f>
        <v>CSA</v>
      </c>
      <c r="R2400" t="str">
        <f>IFERROR(VLOOKUP(Tabela1[[#This Row],[CC]],CC!$A$1:$H$389,6,0),"")</f>
        <v>UT</v>
      </c>
      <c r="S2400" t="str">
        <f>IFERROR(VLOOKUP(Tabela1[[#This Row],[CC]],CC!$A$1:$H$403,8,0),"")</f>
        <v>OP2</v>
      </c>
      <c r="W2400" s="11">
        <v>46167</v>
      </c>
    </row>
    <row r="2401" spans="1:23" x14ac:dyDescent="0.3">
      <c r="A2401" s="25">
        <v>1515</v>
      </c>
      <c r="B2401" s="25" t="str">
        <f>IFERROR(VLOOKUP(Tabela1[[#This Row],[CC]],#REF!,5,0),"")</f>
        <v/>
      </c>
      <c r="C2401" t="str">
        <f>IFERROR(VLOOKUP(Tabela1[[#This Row],[CC]],CC!$A$1:$H$389,7,0),"")</f>
        <v>JOSÉ NETO</v>
      </c>
      <c r="D2401" t="str">
        <f>IFERROR(VLOOKUP(Tabela1[[#This Row],[CC]],CC!$A$1:$I$3869,3,0),"")</f>
        <v>AXIA</v>
      </c>
      <c r="E2401" t="str">
        <f>IFERROR(VLOOKUP(Tabela1[[#This Row],[CC]],CC!$A$1:$H$389,2,0),"")</f>
        <v>ELETROBRAS - AXIA N3 (1515)</v>
      </c>
      <c r="F2401" t="s">
        <v>586</v>
      </c>
      <c r="G2401" s="113">
        <v>8907</v>
      </c>
      <c r="H2401" s="12">
        <v>46113</v>
      </c>
      <c r="I2401" s="27">
        <v>17559.52</v>
      </c>
      <c r="J2401" s="24">
        <v>16128.41</v>
      </c>
      <c r="K2401" s="3">
        <v>46142</v>
      </c>
      <c r="L2401" s="147">
        <v>46181</v>
      </c>
      <c r="M2401" s="29">
        <v>46181</v>
      </c>
      <c r="N2401" s="18" t="s">
        <v>588</v>
      </c>
      <c r="O2401" s="56"/>
      <c r="P2401" s="26"/>
      <c r="Q2401" t="str">
        <f>IFERROR(VLOOKUP(Tabela1[[#This Row],[CC]],CC!$A$1:$H$389,5,0),"")</f>
        <v>CSA</v>
      </c>
      <c r="R2401" t="str">
        <f>IFERROR(VLOOKUP(Tabela1[[#This Row],[CC]],CC!$A$1:$H$389,6,0),"")</f>
        <v>UT</v>
      </c>
      <c r="S2401" t="str">
        <f>IFERROR(VLOOKUP(Tabela1[[#This Row],[CC]],CC!$A$1:$H$403,8,0),"")</f>
        <v>OP2</v>
      </c>
      <c r="W2401" s="11">
        <v>46167</v>
      </c>
    </row>
    <row r="2402" spans="1:23" x14ac:dyDescent="0.3">
      <c r="A2402" s="25">
        <v>1515</v>
      </c>
      <c r="B2402" s="25" t="str">
        <f>IFERROR(VLOOKUP(Tabela1[[#This Row],[CC]],#REF!,5,0),"")</f>
        <v/>
      </c>
      <c r="C2402" t="str">
        <f>IFERROR(VLOOKUP(Tabela1[[#This Row],[CC]],CC!$A$1:$H$389,7,0),"")</f>
        <v>JOSÉ NETO</v>
      </c>
      <c r="D2402" t="str">
        <f>IFERROR(VLOOKUP(Tabela1[[#This Row],[CC]],CC!$A$1:$I$3869,3,0),"")</f>
        <v>AXIA</v>
      </c>
      <c r="E2402" t="str">
        <f>IFERROR(VLOOKUP(Tabela1[[#This Row],[CC]],CC!$A$1:$H$389,2,0),"")</f>
        <v>ELETROBRAS - AXIA N3 (1515)</v>
      </c>
      <c r="F2402" t="s">
        <v>586</v>
      </c>
      <c r="G2402" s="113">
        <v>8908</v>
      </c>
      <c r="H2402" s="12">
        <v>46113</v>
      </c>
      <c r="I2402" s="27">
        <v>16043.94</v>
      </c>
      <c r="J2402" s="24">
        <v>14736.35</v>
      </c>
      <c r="K2402" s="3">
        <v>46142</v>
      </c>
      <c r="L2402" s="147">
        <v>46181</v>
      </c>
      <c r="M2402" s="29">
        <v>46181</v>
      </c>
      <c r="N2402" s="18" t="s">
        <v>588</v>
      </c>
      <c r="O2402" s="56"/>
      <c r="P2402" s="26"/>
      <c r="Q2402" t="str">
        <f>IFERROR(VLOOKUP(Tabela1[[#This Row],[CC]],CC!$A$1:$H$389,5,0),"")</f>
        <v>CSA</v>
      </c>
      <c r="R2402" t="str">
        <f>IFERROR(VLOOKUP(Tabela1[[#This Row],[CC]],CC!$A$1:$H$389,6,0),"")</f>
        <v>UT</v>
      </c>
      <c r="S2402" t="str">
        <f>IFERROR(VLOOKUP(Tabela1[[#This Row],[CC]],CC!$A$1:$H$403,8,0),"")</f>
        <v>OP2</v>
      </c>
      <c r="W2402" s="11">
        <v>46167</v>
      </c>
    </row>
    <row r="2403" spans="1:23" x14ac:dyDescent="0.3">
      <c r="A2403" s="25">
        <v>1515</v>
      </c>
      <c r="B2403" s="25" t="str">
        <f>IFERROR(VLOOKUP(Tabela1[[#This Row],[CC]],#REF!,5,0),"")</f>
        <v/>
      </c>
      <c r="C2403" t="str">
        <f>IFERROR(VLOOKUP(Tabela1[[#This Row],[CC]],CC!$A$1:$H$389,7,0),"")</f>
        <v>JOSÉ NETO</v>
      </c>
      <c r="D2403" t="str">
        <f>IFERROR(VLOOKUP(Tabela1[[#This Row],[CC]],CC!$A$1:$I$3869,3,0),"")</f>
        <v>AXIA</v>
      </c>
      <c r="E2403" t="str">
        <f>IFERROR(VLOOKUP(Tabela1[[#This Row],[CC]],CC!$A$1:$H$389,2,0),"")</f>
        <v>ELETROBRAS - AXIA N3 (1515)</v>
      </c>
      <c r="F2403" t="s">
        <v>586</v>
      </c>
      <c r="G2403" s="113">
        <v>8909</v>
      </c>
      <c r="H2403" s="12">
        <v>46113</v>
      </c>
      <c r="I2403" s="27">
        <v>1979.26</v>
      </c>
      <c r="J2403" s="24">
        <v>1817.95</v>
      </c>
      <c r="K2403" s="3">
        <v>46142</v>
      </c>
      <c r="L2403" s="147">
        <v>46181</v>
      </c>
      <c r="M2403" s="29">
        <v>46181</v>
      </c>
      <c r="N2403" s="18" t="s">
        <v>588</v>
      </c>
      <c r="O2403" s="56"/>
      <c r="P2403" s="26"/>
      <c r="Q2403" t="str">
        <f>IFERROR(VLOOKUP(Tabela1[[#This Row],[CC]],CC!$A$1:$H$389,5,0),"")</f>
        <v>CSA</v>
      </c>
      <c r="R2403" t="str">
        <f>IFERROR(VLOOKUP(Tabela1[[#This Row],[CC]],CC!$A$1:$H$389,6,0),"")</f>
        <v>UT</v>
      </c>
      <c r="S2403" t="str">
        <f>IFERROR(VLOOKUP(Tabela1[[#This Row],[CC]],CC!$A$1:$H$403,8,0),"")</f>
        <v>OP2</v>
      </c>
      <c r="W2403" s="11">
        <v>46167</v>
      </c>
    </row>
    <row r="2404" spans="1:23" x14ac:dyDescent="0.3">
      <c r="A2404" s="25">
        <v>1515</v>
      </c>
      <c r="B2404" s="25" t="str">
        <f>IFERROR(VLOOKUP(Tabela1[[#This Row],[CC]],#REF!,5,0),"")</f>
        <v/>
      </c>
      <c r="C2404" t="str">
        <f>IFERROR(VLOOKUP(Tabela1[[#This Row],[CC]],CC!$A$1:$H$389,7,0),"")</f>
        <v>JOSÉ NETO</v>
      </c>
      <c r="D2404" t="str">
        <f>IFERROR(VLOOKUP(Tabela1[[#This Row],[CC]],CC!$A$1:$I$3869,3,0),"")</f>
        <v>AXIA</v>
      </c>
      <c r="E2404" t="str">
        <f>IFERROR(VLOOKUP(Tabela1[[#This Row],[CC]],CC!$A$1:$H$389,2,0),"")</f>
        <v>ELETROBRAS - AXIA N3 (1515)</v>
      </c>
      <c r="F2404" t="s">
        <v>586</v>
      </c>
      <c r="G2404" s="113">
        <v>8910</v>
      </c>
      <c r="H2404" s="12">
        <v>46113</v>
      </c>
      <c r="I2404" s="27">
        <v>73448.02</v>
      </c>
      <c r="J2404" s="24">
        <v>67462.009999999995</v>
      </c>
      <c r="K2404" s="3">
        <v>46142</v>
      </c>
      <c r="L2404" s="147">
        <v>46181</v>
      </c>
      <c r="M2404" s="29">
        <v>46181</v>
      </c>
      <c r="N2404" s="18" t="s">
        <v>588</v>
      </c>
      <c r="O2404" s="56"/>
      <c r="P2404" s="26"/>
      <c r="Q2404" t="str">
        <f>IFERROR(VLOOKUP(Tabela1[[#This Row],[CC]],CC!$A$1:$H$389,5,0),"")</f>
        <v>CSA</v>
      </c>
      <c r="R2404" t="str">
        <f>IFERROR(VLOOKUP(Tabela1[[#This Row],[CC]],CC!$A$1:$H$389,6,0),"")</f>
        <v>UT</v>
      </c>
      <c r="S2404" t="str">
        <f>IFERROR(VLOOKUP(Tabela1[[#This Row],[CC]],CC!$A$1:$H$403,8,0),"")</f>
        <v>OP2</v>
      </c>
      <c r="W2404" s="11">
        <v>46167</v>
      </c>
    </row>
    <row r="2405" spans="1:23" x14ac:dyDescent="0.3">
      <c r="A2405" s="25">
        <v>1515</v>
      </c>
      <c r="B2405" s="25" t="str">
        <f>IFERROR(VLOOKUP(Tabela1[[#This Row],[CC]],#REF!,5,0),"")</f>
        <v/>
      </c>
      <c r="C2405" t="str">
        <f>IFERROR(VLOOKUP(Tabela1[[#This Row],[CC]],CC!$A$1:$H$389,7,0),"")</f>
        <v>JOSÉ NETO</v>
      </c>
      <c r="D2405" t="str">
        <f>IFERROR(VLOOKUP(Tabela1[[#This Row],[CC]],CC!$A$1:$I$3869,3,0),"")</f>
        <v>AXIA</v>
      </c>
      <c r="E2405" t="str">
        <f>IFERROR(VLOOKUP(Tabela1[[#This Row],[CC]],CC!$A$1:$H$389,2,0),"")</f>
        <v>ELETROBRAS - AXIA N3 (1515)</v>
      </c>
      <c r="F2405" t="s">
        <v>586</v>
      </c>
      <c r="G2405" s="110">
        <v>8915</v>
      </c>
      <c r="H2405" s="12">
        <v>46113</v>
      </c>
      <c r="I2405" s="27">
        <v>40109.839999999997</v>
      </c>
      <c r="J2405" s="24">
        <v>36840.89</v>
      </c>
      <c r="K2405" s="3">
        <v>46147</v>
      </c>
      <c r="L2405" s="91">
        <v>46181</v>
      </c>
      <c r="M2405" s="29">
        <v>46181</v>
      </c>
      <c r="N2405" s="18" t="s">
        <v>588</v>
      </c>
      <c r="O2405" s="56"/>
      <c r="P2405" s="26"/>
      <c r="Q2405" t="str">
        <f>IFERROR(VLOOKUP(Tabela1[[#This Row],[CC]],CC!$A$1:$H$389,5,0),"")</f>
        <v>CSA</v>
      </c>
      <c r="R2405" t="str">
        <f>IFERROR(VLOOKUP(Tabela1[[#This Row],[CC]],CC!$A$1:$H$389,6,0),"")</f>
        <v>UT</v>
      </c>
      <c r="S2405" t="str">
        <f>IFERROR(VLOOKUP(Tabela1[[#This Row],[CC]],CC!$A$1:$H$403,8,0),"")</f>
        <v>OP2</v>
      </c>
    </row>
    <row r="2406" spans="1:23" x14ac:dyDescent="0.3">
      <c r="A2406" s="25">
        <v>1515</v>
      </c>
      <c r="B2406" s="25" t="str">
        <f>IFERROR(VLOOKUP(Tabela1[[#This Row],[CC]],#REF!,5,0),"")</f>
        <v/>
      </c>
      <c r="C2406" t="str">
        <f>IFERROR(VLOOKUP(Tabela1[[#This Row],[CC]],CC!$A$1:$H$389,7,0),"")</f>
        <v>JOSÉ NETO</v>
      </c>
      <c r="D2406" t="str">
        <f>IFERROR(VLOOKUP(Tabela1[[#This Row],[CC]],CC!$A$1:$I$3869,3,0),"")</f>
        <v>AXIA</v>
      </c>
      <c r="E2406" t="str">
        <f>IFERROR(VLOOKUP(Tabela1[[#This Row],[CC]],CC!$A$1:$H$389,2,0),"")</f>
        <v>ELETROBRAS - AXIA N3 (1515)</v>
      </c>
      <c r="F2406" t="s">
        <v>586</v>
      </c>
      <c r="G2406" s="107" t="s">
        <v>733</v>
      </c>
      <c r="H2406" s="12">
        <v>46143</v>
      </c>
      <c r="I2406" s="27">
        <v>76404.25</v>
      </c>
      <c r="J2406" s="24">
        <v>70177.3</v>
      </c>
      <c r="K2406" s="3">
        <v>46163</v>
      </c>
      <c r="L2406" s="91">
        <v>46195</v>
      </c>
      <c r="M2406" s="29"/>
      <c r="N2406" s="18" t="s">
        <v>587</v>
      </c>
      <c r="O2406" s="56"/>
      <c r="P2406" s="26"/>
      <c r="Q2406" t="str">
        <f>IFERROR(VLOOKUP(Tabela1[[#This Row],[CC]],CC!$A$1:$H$389,5,0),"")</f>
        <v>CSA</v>
      </c>
      <c r="R2406" t="str">
        <f>IFERROR(VLOOKUP(Tabela1[[#This Row],[CC]],CC!$A$1:$H$389,6,0),"")</f>
        <v>UT</v>
      </c>
      <c r="S2406" t="str">
        <f>IFERROR(VLOOKUP(Tabela1[[#This Row],[CC]],CC!$A$1:$H$403,8,0),"")</f>
        <v>OP2</v>
      </c>
    </row>
    <row r="2407" spans="1:23" x14ac:dyDescent="0.3">
      <c r="A2407" s="25">
        <v>1515</v>
      </c>
      <c r="B2407" s="25" t="str">
        <f>IFERROR(VLOOKUP(Tabela1[[#This Row],[CC]],#REF!,5,0),"")</f>
        <v/>
      </c>
      <c r="C2407" t="str">
        <f>IFERROR(VLOOKUP(Tabela1[[#This Row],[CC]],CC!$A$1:$H$389,7,0),"")</f>
        <v>JOSÉ NETO</v>
      </c>
      <c r="D2407" t="str">
        <f>IFERROR(VLOOKUP(Tabela1[[#This Row],[CC]],CC!$A$1:$I$3869,3,0),"")</f>
        <v>AXIA</v>
      </c>
      <c r="E2407" t="str">
        <f>IFERROR(VLOOKUP(Tabela1[[#This Row],[CC]],CC!$A$1:$H$389,2,0),"")</f>
        <v>ELETROBRAS - AXIA N3 (1515)</v>
      </c>
      <c r="F2407" t="s">
        <v>586</v>
      </c>
      <c r="G2407" s="107" t="s">
        <v>734</v>
      </c>
      <c r="H2407" s="12">
        <v>46143</v>
      </c>
      <c r="I2407" s="27">
        <v>58772.5</v>
      </c>
      <c r="J2407" s="24">
        <v>53982.53</v>
      </c>
      <c r="K2407" s="3">
        <v>46163</v>
      </c>
      <c r="L2407" s="91">
        <v>46195</v>
      </c>
      <c r="M2407" s="29"/>
      <c r="N2407" s="18" t="s">
        <v>587</v>
      </c>
      <c r="O2407" s="56"/>
      <c r="P2407" s="26"/>
      <c r="Q2407" t="str">
        <f>IFERROR(VLOOKUP(Tabela1[[#This Row],[CC]],CC!$A$1:$H$389,5,0),"")</f>
        <v>CSA</v>
      </c>
      <c r="R2407" t="str">
        <f>IFERROR(VLOOKUP(Tabela1[[#This Row],[CC]],CC!$A$1:$H$389,6,0),"")</f>
        <v>UT</v>
      </c>
      <c r="S2407" t="str">
        <f>IFERROR(VLOOKUP(Tabela1[[#This Row],[CC]],CC!$A$1:$H$403,8,0),"")</f>
        <v>OP2</v>
      </c>
    </row>
    <row r="2408" spans="1:23" x14ac:dyDescent="0.3">
      <c r="A2408" s="25">
        <v>1515</v>
      </c>
      <c r="B2408" s="25" t="str">
        <f>IFERROR(VLOOKUP(Tabela1[[#This Row],[CC]],#REF!,5,0),"")</f>
        <v/>
      </c>
      <c r="C2408" t="str">
        <f>IFERROR(VLOOKUP(Tabela1[[#This Row],[CC]],CC!$A$1:$H$389,7,0),"")</f>
        <v>JOSÉ NETO</v>
      </c>
      <c r="D2408" t="str">
        <f>IFERROR(VLOOKUP(Tabela1[[#This Row],[CC]],CC!$A$1:$I$3869,3,0),"")</f>
        <v>AXIA</v>
      </c>
      <c r="E2408" t="str">
        <f>IFERROR(VLOOKUP(Tabela1[[#This Row],[CC]],CC!$A$1:$H$389,2,0),"")</f>
        <v>ELETROBRAS - AXIA N3 (1515)</v>
      </c>
      <c r="F2408" t="s">
        <v>586</v>
      </c>
      <c r="G2408" s="107" t="s">
        <v>735</v>
      </c>
      <c r="H2408" s="12">
        <v>46143</v>
      </c>
      <c r="I2408" s="27">
        <v>66493.509999999995</v>
      </c>
      <c r="J2408" s="24">
        <v>61074.28</v>
      </c>
      <c r="K2408" s="3">
        <v>46163</v>
      </c>
      <c r="L2408" s="91">
        <v>46195</v>
      </c>
      <c r="M2408" s="29"/>
      <c r="N2408" s="18" t="s">
        <v>587</v>
      </c>
      <c r="O2408" s="56"/>
      <c r="P2408" s="26"/>
      <c r="Q2408" t="str">
        <f>IFERROR(VLOOKUP(Tabela1[[#This Row],[CC]],CC!$A$1:$H$389,5,0),"")</f>
        <v>CSA</v>
      </c>
      <c r="R2408" t="str">
        <f>IFERROR(VLOOKUP(Tabela1[[#This Row],[CC]],CC!$A$1:$H$389,6,0),"")</f>
        <v>UT</v>
      </c>
      <c r="S2408" t="str">
        <f>IFERROR(VLOOKUP(Tabela1[[#This Row],[CC]],CC!$A$1:$H$403,8,0),"")</f>
        <v>OP2</v>
      </c>
    </row>
    <row r="2409" spans="1:23" x14ac:dyDescent="0.3">
      <c r="A2409" s="25">
        <v>1515</v>
      </c>
      <c r="B2409" s="25" t="str">
        <f>IFERROR(VLOOKUP(Tabela1[[#This Row],[CC]],#REF!,5,0),"")</f>
        <v/>
      </c>
      <c r="C2409" t="str">
        <f>IFERROR(VLOOKUP(Tabela1[[#This Row],[CC]],CC!$A$1:$H$389,7,0),"")</f>
        <v>JOSÉ NETO</v>
      </c>
      <c r="D2409" t="str">
        <f>IFERROR(VLOOKUP(Tabela1[[#This Row],[CC]],CC!$A$1:$I$3869,3,0),"")</f>
        <v>AXIA</v>
      </c>
      <c r="E2409" t="str">
        <f>IFERROR(VLOOKUP(Tabela1[[#This Row],[CC]],CC!$A$1:$H$389,2,0),"")</f>
        <v>ELETROBRAS - AXIA N3 (1515)</v>
      </c>
      <c r="F2409" t="s">
        <v>586</v>
      </c>
      <c r="G2409" s="107" t="s">
        <v>736</v>
      </c>
      <c r="H2409" s="12">
        <v>46143</v>
      </c>
      <c r="I2409" s="27">
        <v>51148.85</v>
      </c>
      <c r="J2409" s="24">
        <v>46980.21</v>
      </c>
      <c r="K2409" s="3">
        <v>46163</v>
      </c>
      <c r="L2409" s="91">
        <v>46195</v>
      </c>
      <c r="M2409" s="29"/>
      <c r="N2409" s="18" t="s">
        <v>587</v>
      </c>
      <c r="O2409" s="56"/>
      <c r="P2409" s="26"/>
      <c r="Q2409" t="str">
        <f>IFERROR(VLOOKUP(Tabela1[[#This Row],[CC]],CC!$A$1:$H$389,5,0),"")</f>
        <v>CSA</v>
      </c>
      <c r="R2409" t="str">
        <f>IFERROR(VLOOKUP(Tabela1[[#This Row],[CC]],CC!$A$1:$H$389,6,0),"")</f>
        <v>UT</v>
      </c>
      <c r="S2409" t="str">
        <f>IFERROR(VLOOKUP(Tabela1[[#This Row],[CC]],CC!$A$1:$H$403,8,0),"")</f>
        <v>OP2</v>
      </c>
    </row>
    <row r="2410" spans="1:23" x14ac:dyDescent="0.3">
      <c r="A2410" s="25">
        <v>1515</v>
      </c>
      <c r="B2410" s="25" t="str">
        <f>IFERROR(VLOOKUP(Tabela1[[#This Row],[CC]],#REF!,5,0),"")</f>
        <v/>
      </c>
      <c r="C2410" t="str">
        <f>IFERROR(VLOOKUP(Tabela1[[#This Row],[CC]],CC!$A$1:$H$389,7,0),"")</f>
        <v>JOSÉ NETO</v>
      </c>
      <c r="D2410" t="str">
        <f>IFERROR(VLOOKUP(Tabela1[[#This Row],[CC]],CC!$A$1:$I$3869,3,0),"")</f>
        <v>AXIA</v>
      </c>
      <c r="E2410" t="str">
        <f>IFERROR(VLOOKUP(Tabela1[[#This Row],[CC]],CC!$A$1:$H$389,2,0),"")</f>
        <v>ELETROBRAS - AXIA N3 (1515)</v>
      </c>
      <c r="F2410" t="s">
        <v>586</v>
      </c>
      <c r="G2410" s="107" t="s">
        <v>737</v>
      </c>
      <c r="H2410" s="12">
        <v>46143</v>
      </c>
      <c r="I2410" s="27">
        <v>160522.82</v>
      </c>
      <c r="J2410" s="24">
        <v>147440.21</v>
      </c>
      <c r="K2410" s="3">
        <v>46163</v>
      </c>
      <c r="L2410" s="91">
        <v>46195</v>
      </c>
      <c r="M2410" s="29"/>
      <c r="N2410" s="18" t="s">
        <v>587</v>
      </c>
      <c r="O2410" s="56"/>
      <c r="P2410" s="26"/>
      <c r="Q2410" t="str">
        <f>IFERROR(VLOOKUP(Tabela1[[#This Row],[CC]],CC!$A$1:$H$389,5,0),"")</f>
        <v>CSA</v>
      </c>
      <c r="R2410" t="str">
        <f>IFERROR(VLOOKUP(Tabela1[[#This Row],[CC]],CC!$A$1:$H$389,6,0),"")</f>
        <v>UT</v>
      </c>
      <c r="S2410" t="str">
        <f>IFERROR(VLOOKUP(Tabela1[[#This Row],[CC]],CC!$A$1:$H$403,8,0),"")</f>
        <v>OP2</v>
      </c>
    </row>
    <row r="2411" spans="1:23" x14ac:dyDescent="0.3">
      <c r="A2411" s="25">
        <v>1515</v>
      </c>
      <c r="B2411" s="25" t="str">
        <f>IFERROR(VLOOKUP(Tabela1[[#This Row],[CC]],#REF!,5,0),"")</f>
        <v/>
      </c>
      <c r="C2411" t="str">
        <f>IFERROR(VLOOKUP(Tabela1[[#This Row],[CC]],CC!$A$1:$H$389,7,0),"")</f>
        <v>JOSÉ NETO</v>
      </c>
      <c r="D2411" t="str">
        <f>IFERROR(VLOOKUP(Tabela1[[#This Row],[CC]],CC!$A$1:$I$3869,3,0),"")</f>
        <v>AXIA</v>
      </c>
      <c r="E2411" t="str">
        <f>IFERROR(VLOOKUP(Tabela1[[#This Row],[CC]],CC!$A$1:$H$389,2,0),"")</f>
        <v>ELETROBRAS - AXIA N3 (1515)</v>
      </c>
      <c r="F2411" t="s">
        <v>586</v>
      </c>
      <c r="G2411" s="107" t="s">
        <v>738</v>
      </c>
      <c r="H2411" s="12">
        <v>46143</v>
      </c>
      <c r="I2411" s="27">
        <v>123517.55</v>
      </c>
      <c r="J2411" s="24">
        <v>111598.11</v>
      </c>
      <c r="K2411" s="3">
        <v>46163</v>
      </c>
      <c r="L2411" s="91">
        <v>46195</v>
      </c>
      <c r="M2411" s="29"/>
      <c r="N2411" s="18" t="s">
        <v>587</v>
      </c>
      <c r="O2411" s="56"/>
      <c r="P2411" s="26"/>
      <c r="Q2411" t="str">
        <f>IFERROR(VLOOKUP(Tabela1[[#This Row],[CC]],CC!$A$1:$H$389,5,0),"")</f>
        <v>CSA</v>
      </c>
      <c r="R2411" t="str">
        <f>IFERROR(VLOOKUP(Tabela1[[#This Row],[CC]],CC!$A$1:$H$389,6,0),"")</f>
        <v>UT</v>
      </c>
      <c r="S2411" t="str">
        <f>IFERROR(VLOOKUP(Tabela1[[#This Row],[CC]],CC!$A$1:$H$403,8,0),"")</f>
        <v>OP2</v>
      </c>
    </row>
    <row r="2412" spans="1:23" x14ac:dyDescent="0.3">
      <c r="A2412" s="25">
        <v>1515</v>
      </c>
      <c r="B2412" s="25" t="str">
        <f>IFERROR(VLOOKUP(Tabela1[[#This Row],[CC]],#REF!,5,0),"")</f>
        <v/>
      </c>
      <c r="C2412" t="str">
        <f>IFERROR(VLOOKUP(Tabela1[[#This Row],[CC]],CC!$A$1:$H$389,7,0),"")</f>
        <v>JOSÉ NETO</v>
      </c>
      <c r="D2412" t="str">
        <f>IFERROR(VLOOKUP(Tabela1[[#This Row],[CC]],CC!$A$1:$I$3869,3,0),"")</f>
        <v>AXIA</v>
      </c>
      <c r="E2412" t="str">
        <f>IFERROR(VLOOKUP(Tabela1[[#This Row],[CC]],CC!$A$1:$H$389,2,0),"")</f>
        <v>ELETROBRAS - AXIA N3 (1515)</v>
      </c>
      <c r="F2412" t="s">
        <v>586</v>
      </c>
      <c r="G2412" s="107" t="s">
        <v>739</v>
      </c>
      <c r="H2412" s="12">
        <v>46143</v>
      </c>
      <c r="I2412" s="27">
        <v>9246.3799999999992</v>
      </c>
      <c r="J2412" s="24">
        <v>8354.11</v>
      </c>
      <c r="K2412" s="3">
        <v>46163</v>
      </c>
      <c r="L2412" s="91">
        <v>46195</v>
      </c>
      <c r="M2412" s="29"/>
      <c r="N2412" s="18" t="s">
        <v>587</v>
      </c>
      <c r="O2412" s="56"/>
      <c r="P2412" s="26"/>
      <c r="Q2412" t="str">
        <f>IFERROR(VLOOKUP(Tabela1[[#This Row],[CC]],CC!$A$1:$H$389,5,0),"")</f>
        <v>CSA</v>
      </c>
      <c r="R2412" t="str">
        <f>IFERROR(VLOOKUP(Tabela1[[#This Row],[CC]],CC!$A$1:$H$389,6,0),"")</f>
        <v>UT</v>
      </c>
      <c r="S2412" t="str">
        <f>IFERROR(VLOOKUP(Tabela1[[#This Row],[CC]],CC!$A$1:$H$403,8,0),"")</f>
        <v>OP2</v>
      </c>
    </row>
    <row r="2413" spans="1:23" x14ac:dyDescent="0.3">
      <c r="A2413" s="25">
        <v>1515</v>
      </c>
      <c r="B2413" s="25" t="str">
        <f>IFERROR(VLOOKUP(Tabela1[[#This Row],[CC]],#REF!,5,0),"")</f>
        <v/>
      </c>
      <c r="C2413" t="str">
        <f>IFERROR(VLOOKUP(Tabela1[[#This Row],[CC]],CC!$A$1:$H$389,7,0),"")</f>
        <v>JOSÉ NETO</v>
      </c>
      <c r="D2413" t="str">
        <f>IFERROR(VLOOKUP(Tabela1[[#This Row],[CC]],CC!$A$1:$I$3869,3,0),"")</f>
        <v>AXIA</v>
      </c>
      <c r="E2413" t="str">
        <f>IFERROR(VLOOKUP(Tabela1[[#This Row],[CC]],CC!$A$1:$H$389,2,0),"")</f>
        <v>ELETROBRAS - AXIA N3 (1515)</v>
      </c>
      <c r="F2413" t="s">
        <v>586</v>
      </c>
      <c r="G2413" s="107" t="s">
        <v>740</v>
      </c>
      <c r="H2413" s="12">
        <v>46143</v>
      </c>
      <c r="I2413" s="27">
        <v>12020.3</v>
      </c>
      <c r="J2413" s="24">
        <v>11040.65</v>
      </c>
      <c r="K2413" s="3">
        <v>46163</v>
      </c>
      <c r="L2413" s="91">
        <v>46195</v>
      </c>
      <c r="M2413" s="29"/>
      <c r="N2413" s="18" t="s">
        <v>587</v>
      </c>
      <c r="O2413" s="56"/>
      <c r="P2413" s="26"/>
      <c r="Q2413" t="str">
        <f>IFERROR(VLOOKUP(Tabela1[[#This Row],[CC]],CC!$A$1:$H$389,5,0),"")</f>
        <v>CSA</v>
      </c>
      <c r="R2413" t="str">
        <f>IFERROR(VLOOKUP(Tabela1[[#This Row],[CC]],CC!$A$1:$H$389,6,0),"")</f>
        <v>UT</v>
      </c>
      <c r="S2413" t="str">
        <f>IFERROR(VLOOKUP(Tabela1[[#This Row],[CC]],CC!$A$1:$H$403,8,0),"")</f>
        <v>OP2</v>
      </c>
    </row>
    <row r="2414" spans="1:23" x14ac:dyDescent="0.3">
      <c r="A2414" s="25">
        <v>1515</v>
      </c>
      <c r="B2414" s="25" t="str">
        <f>IFERROR(VLOOKUP(Tabela1[[#This Row],[CC]],#REF!,5,0),"")</f>
        <v/>
      </c>
      <c r="C2414" t="str">
        <f>IFERROR(VLOOKUP(Tabela1[[#This Row],[CC]],CC!$A$1:$H$389,7,0),"")</f>
        <v>JOSÉ NETO</v>
      </c>
      <c r="D2414" t="str">
        <f>IFERROR(VLOOKUP(Tabela1[[#This Row],[CC]],CC!$A$1:$I$3869,3,0),"")</f>
        <v>AXIA</v>
      </c>
      <c r="E2414" t="str">
        <f>IFERROR(VLOOKUP(Tabela1[[#This Row],[CC]],CC!$A$1:$H$389,2,0),"")</f>
        <v>ELETROBRAS - AXIA N3 (1515)</v>
      </c>
      <c r="F2414" t="s">
        <v>586</v>
      </c>
      <c r="G2414" s="107" t="s">
        <v>741</v>
      </c>
      <c r="H2414" s="12">
        <v>46143</v>
      </c>
      <c r="I2414" s="27">
        <v>37222.58</v>
      </c>
      <c r="J2414" s="24">
        <v>34188.93</v>
      </c>
      <c r="K2414" s="3">
        <v>46163</v>
      </c>
      <c r="L2414" s="91">
        <v>46195</v>
      </c>
      <c r="M2414" s="29"/>
      <c r="N2414" s="18" t="s">
        <v>587</v>
      </c>
      <c r="O2414" s="56"/>
      <c r="P2414" s="26"/>
      <c r="Q2414" t="str">
        <f>IFERROR(VLOOKUP(Tabela1[[#This Row],[CC]],CC!$A$1:$H$389,5,0),"")</f>
        <v>CSA</v>
      </c>
      <c r="R2414" t="str">
        <f>IFERROR(VLOOKUP(Tabela1[[#This Row],[CC]],CC!$A$1:$H$389,6,0),"")</f>
        <v>UT</v>
      </c>
      <c r="S2414" t="str">
        <f>IFERROR(VLOOKUP(Tabela1[[#This Row],[CC]],CC!$A$1:$H$403,8,0),"")</f>
        <v>OP2</v>
      </c>
    </row>
    <row r="2415" spans="1:23" x14ac:dyDescent="0.3">
      <c r="A2415" s="25">
        <v>1515</v>
      </c>
      <c r="B2415" s="25" t="str">
        <f>IFERROR(VLOOKUP(Tabela1[[#This Row],[CC]],#REF!,5,0),"")</f>
        <v/>
      </c>
      <c r="C2415" t="str">
        <f>IFERROR(VLOOKUP(Tabela1[[#This Row],[CC]],CC!$A$1:$H$389,7,0),"")</f>
        <v>JOSÉ NETO</v>
      </c>
      <c r="D2415" t="str">
        <f>IFERROR(VLOOKUP(Tabela1[[#This Row],[CC]],CC!$A$1:$I$3869,3,0),"")</f>
        <v>AXIA</v>
      </c>
      <c r="E2415" t="str">
        <f>IFERROR(VLOOKUP(Tabela1[[#This Row],[CC]],CC!$A$1:$H$389,2,0),"")</f>
        <v>ELETROBRAS - AXIA N3 (1515)</v>
      </c>
      <c r="F2415" t="s">
        <v>586</v>
      </c>
      <c r="G2415" s="107" t="s">
        <v>742</v>
      </c>
      <c r="H2415" s="12">
        <v>46143</v>
      </c>
      <c r="I2415" s="27">
        <v>23509</v>
      </c>
      <c r="J2415" s="24">
        <v>21593.01</v>
      </c>
      <c r="K2415" s="3">
        <v>46163</v>
      </c>
      <c r="L2415" s="91">
        <v>46195</v>
      </c>
      <c r="M2415" s="29"/>
      <c r="N2415" s="18" t="s">
        <v>587</v>
      </c>
      <c r="O2415" s="56"/>
      <c r="P2415" s="26"/>
      <c r="Q2415" t="str">
        <f>IFERROR(VLOOKUP(Tabela1[[#This Row],[CC]],CC!$A$1:$H$389,5,0),"")</f>
        <v>CSA</v>
      </c>
      <c r="R2415" t="str">
        <f>IFERROR(VLOOKUP(Tabela1[[#This Row],[CC]],CC!$A$1:$H$389,6,0),"")</f>
        <v>UT</v>
      </c>
      <c r="S2415" t="str">
        <f>IFERROR(VLOOKUP(Tabela1[[#This Row],[CC]],CC!$A$1:$H$403,8,0),"")</f>
        <v>OP2</v>
      </c>
    </row>
    <row r="2416" spans="1:23" x14ac:dyDescent="0.3">
      <c r="A2416" s="25">
        <v>1515</v>
      </c>
      <c r="B2416" s="25" t="str">
        <f>IFERROR(VLOOKUP(Tabela1[[#This Row],[CC]],#REF!,5,0),"")</f>
        <v/>
      </c>
      <c r="C2416" t="str">
        <f>IFERROR(VLOOKUP(Tabela1[[#This Row],[CC]],CC!$A$1:$H$389,7,0),"")</f>
        <v>JOSÉ NETO</v>
      </c>
      <c r="D2416" t="str">
        <f>IFERROR(VLOOKUP(Tabela1[[#This Row],[CC]],CC!$A$1:$I$3869,3,0),"")</f>
        <v>AXIA</v>
      </c>
      <c r="E2416" t="str">
        <f>IFERROR(VLOOKUP(Tabela1[[#This Row],[CC]],CC!$A$1:$H$389,2,0),"")</f>
        <v>ELETROBRAS - AXIA N3 (1515)</v>
      </c>
      <c r="F2416" t="s">
        <v>586</v>
      </c>
      <c r="G2416" s="107" t="s">
        <v>743</v>
      </c>
      <c r="H2416" s="12">
        <v>46143</v>
      </c>
      <c r="I2416" s="27">
        <v>32394.27</v>
      </c>
      <c r="J2416" s="24">
        <v>29754.14</v>
      </c>
      <c r="K2416" s="3">
        <v>46163</v>
      </c>
      <c r="L2416" s="91">
        <v>46195</v>
      </c>
      <c r="M2416" s="29"/>
      <c r="N2416" s="18" t="s">
        <v>587</v>
      </c>
      <c r="O2416" s="56"/>
      <c r="P2416" s="26"/>
      <c r="Q2416" t="str">
        <f>IFERROR(VLOOKUP(Tabela1[[#This Row],[CC]],CC!$A$1:$H$389,5,0),"")</f>
        <v>CSA</v>
      </c>
      <c r="R2416" t="str">
        <f>IFERROR(VLOOKUP(Tabela1[[#This Row],[CC]],CC!$A$1:$H$389,6,0),"")</f>
        <v>UT</v>
      </c>
      <c r="S2416" t="str">
        <f>IFERROR(VLOOKUP(Tabela1[[#This Row],[CC]],CC!$A$1:$H$403,8,0),"")</f>
        <v>OP2</v>
      </c>
    </row>
    <row r="2417" spans="1:23" x14ac:dyDescent="0.3">
      <c r="A2417" s="25">
        <v>1515</v>
      </c>
      <c r="B2417" s="25" t="str">
        <f>IFERROR(VLOOKUP(Tabela1[[#This Row],[CC]],#REF!,5,0),"")</f>
        <v/>
      </c>
      <c r="C2417" t="str">
        <f>IFERROR(VLOOKUP(Tabela1[[#This Row],[CC]],CC!$A$1:$H$389,7,0),"")</f>
        <v>JOSÉ NETO</v>
      </c>
      <c r="D2417" t="str">
        <f>IFERROR(VLOOKUP(Tabela1[[#This Row],[CC]],CC!$A$1:$I$3869,3,0),"")</f>
        <v>AXIA</v>
      </c>
      <c r="E2417" t="str">
        <f>IFERROR(VLOOKUP(Tabela1[[#This Row],[CC]],CC!$A$1:$H$389,2,0),"")</f>
        <v>ELETROBRAS - AXIA N3 (1515)</v>
      </c>
      <c r="F2417" t="s">
        <v>586</v>
      </c>
      <c r="G2417" s="107" t="s">
        <v>744</v>
      </c>
      <c r="H2417" s="12">
        <v>46143</v>
      </c>
      <c r="I2417" s="27">
        <v>20459.54</v>
      </c>
      <c r="J2417" s="24">
        <v>18792.080000000002</v>
      </c>
      <c r="K2417" s="3">
        <v>46163</v>
      </c>
      <c r="L2417" s="91">
        <v>46195</v>
      </c>
      <c r="M2417" s="29"/>
      <c r="N2417" s="18" t="s">
        <v>587</v>
      </c>
      <c r="O2417" s="56"/>
      <c r="P2417" s="26"/>
      <c r="Q2417" t="str">
        <f>IFERROR(VLOOKUP(Tabela1[[#This Row],[CC]],CC!$A$1:$H$389,5,0),"")</f>
        <v>CSA</v>
      </c>
      <c r="R2417" t="str">
        <f>IFERROR(VLOOKUP(Tabela1[[#This Row],[CC]],CC!$A$1:$H$389,6,0),"")</f>
        <v>UT</v>
      </c>
      <c r="S2417" t="str">
        <f>IFERROR(VLOOKUP(Tabela1[[#This Row],[CC]],CC!$A$1:$H$403,8,0),"")</f>
        <v>OP2</v>
      </c>
    </row>
    <row r="2418" spans="1:23" x14ac:dyDescent="0.3">
      <c r="A2418" s="25">
        <v>1515</v>
      </c>
      <c r="B2418" s="25" t="str">
        <f>IFERROR(VLOOKUP(Tabela1[[#This Row],[CC]],#REF!,5,0),"")</f>
        <v/>
      </c>
      <c r="C2418" t="str">
        <f>IFERROR(VLOOKUP(Tabela1[[#This Row],[CC]],CC!$A$1:$H$389,7,0),"")</f>
        <v>JOSÉ NETO</v>
      </c>
      <c r="D2418" t="str">
        <f>IFERROR(VLOOKUP(Tabela1[[#This Row],[CC]],CC!$A$1:$I$3869,3,0),"")</f>
        <v>AXIA</v>
      </c>
      <c r="E2418" t="str">
        <f>IFERROR(VLOOKUP(Tabela1[[#This Row],[CC]],CC!$A$1:$H$389,2,0),"")</f>
        <v>ELETROBRAS - AXIA N3 (1515)</v>
      </c>
      <c r="F2418" t="s">
        <v>586</v>
      </c>
      <c r="G2418" s="107" t="s">
        <v>745</v>
      </c>
      <c r="H2418" s="12">
        <v>46143</v>
      </c>
      <c r="I2418" s="27">
        <v>78227.78</v>
      </c>
      <c r="J2418" s="24">
        <v>71852.22</v>
      </c>
      <c r="K2418" s="3">
        <v>46163</v>
      </c>
      <c r="L2418" s="91">
        <v>46195</v>
      </c>
      <c r="M2418" s="29"/>
      <c r="N2418" s="18" t="s">
        <v>587</v>
      </c>
      <c r="O2418" s="56"/>
      <c r="P2418" s="26"/>
      <c r="Q2418" t="str">
        <f>IFERROR(VLOOKUP(Tabela1[[#This Row],[CC]],CC!$A$1:$H$389,5,0),"")</f>
        <v>CSA</v>
      </c>
      <c r="R2418" t="str">
        <f>IFERROR(VLOOKUP(Tabela1[[#This Row],[CC]],CC!$A$1:$H$389,6,0),"")</f>
        <v>UT</v>
      </c>
      <c r="S2418" t="str">
        <f>IFERROR(VLOOKUP(Tabela1[[#This Row],[CC]],CC!$A$1:$H$403,8,0),"")</f>
        <v>OP2</v>
      </c>
    </row>
    <row r="2419" spans="1:23" x14ac:dyDescent="0.3">
      <c r="A2419" s="25">
        <v>1515</v>
      </c>
      <c r="B2419" s="25" t="str">
        <f>IFERROR(VLOOKUP(Tabela1[[#This Row],[CC]],#REF!,5,0),"")</f>
        <v/>
      </c>
      <c r="C2419" t="str">
        <f>IFERROR(VLOOKUP(Tabela1[[#This Row],[CC]],CC!$A$1:$H$389,7,0),"")</f>
        <v>JOSÉ NETO</v>
      </c>
      <c r="D2419" t="str">
        <f>IFERROR(VLOOKUP(Tabela1[[#This Row],[CC]],CC!$A$1:$I$3869,3,0),"")</f>
        <v>AXIA</v>
      </c>
      <c r="E2419" t="str">
        <f>IFERROR(VLOOKUP(Tabela1[[#This Row],[CC]],CC!$A$1:$H$389,2,0),"")</f>
        <v>ELETROBRAS - AXIA N3 (1515)</v>
      </c>
      <c r="F2419" t="s">
        <v>586</v>
      </c>
      <c r="G2419" s="107" t="s">
        <v>746</v>
      </c>
      <c r="H2419" s="12">
        <v>46143</v>
      </c>
      <c r="I2419" s="27">
        <v>49407.02</v>
      </c>
      <c r="J2419" s="24">
        <v>45380.34</v>
      </c>
      <c r="K2419" s="3">
        <v>46163</v>
      </c>
      <c r="L2419" s="91">
        <v>46195</v>
      </c>
      <c r="M2419" s="29"/>
      <c r="N2419" s="18" t="s">
        <v>587</v>
      </c>
      <c r="O2419" s="56"/>
      <c r="P2419" s="26"/>
      <c r="Q2419" t="str">
        <f>IFERROR(VLOOKUP(Tabela1[[#This Row],[CC]],CC!$A$1:$H$389,5,0),"")</f>
        <v>CSA</v>
      </c>
      <c r="R2419" t="str">
        <f>IFERROR(VLOOKUP(Tabela1[[#This Row],[CC]],CC!$A$1:$H$389,6,0),"")</f>
        <v>UT</v>
      </c>
      <c r="S2419" t="str">
        <f>IFERROR(VLOOKUP(Tabela1[[#This Row],[CC]],CC!$A$1:$H$403,8,0),"")</f>
        <v>OP2</v>
      </c>
    </row>
    <row r="2420" spans="1:23" x14ac:dyDescent="0.3">
      <c r="A2420" s="25">
        <v>1515</v>
      </c>
      <c r="B2420" s="25" t="str">
        <f>IFERROR(VLOOKUP(Tabela1[[#This Row],[CC]],#REF!,5,0),"")</f>
        <v/>
      </c>
      <c r="C2420" t="str">
        <f>IFERROR(VLOOKUP(Tabela1[[#This Row],[CC]],CC!$A$1:$H$389,7,0),"")</f>
        <v>JOSÉ NETO</v>
      </c>
      <c r="D2420" t="str">
        <f>IFERROR(VLOOKUP(Tabela1[[#This Row],[CC]],CC!$A$1:$I$3869,3,0),"")</f>
        <v>AXIA</v>
      </c>
      <c r="E2420" t="str">
        <f>IFERROR(VLOOKUP(Tabela1[[#This Row],[CC]],CC!$A$1:$H$389,2,0),"")</f>
        <v>ELETROBRAS - AXIA N3 (1515)</v>
      </c>
      <c r="F2420" t="s">
        <v>586</v>
      </c>
      <c r="G2420" s="107" t="s">
        <v>747</v>
      </c>
      <c r="H2420" s="12">
        <v>46143</v>
      </c>
      <c r="I2420" s="27">
        <v>5852.04</v>
      </c>
      <c r="J2420" s="24">
        <v>5375.1</v>
      </c>
      <c r="K2420" s="3">
        <v>46163</v>
      </c>
      <c r="L2420" s="91">
        <v>46195</v>
      </c>
      <c r="M2420" s="29"/>
      <c r="N2420" s="18" t="s">
        <v>587</v>
      </c>
      <c r="O2420" s="56"/>
      <c r="P2420" s="26"/>
      <c r="Q2420" t="str">
        <f>IFERROR(VLOOKUP(Tabela1[[#This Row],[CC]],CC!$A$1:$H$389,5,0),"")</f>
        <v>CSA</v>
      </c>
      <c r="R2420" t="str">
        <f>IFERROR(VLOOKUP(Tabela1[[#This Row],[CC]],CC!$A$1:$H$389,6,0),"")</f>
        <v>UT</v>
      </c>
      <c r="S2420" t="str">
        <f>IFERROR(VLOOKUP(Tabela1[[#This Row],[CC]],CC!$A$1:$H$403,8,0),"")</f>
        <v>OP2</v>
      </c>
    </row>
    <row r="2421" spans="1:23" x14ac:dyDescent="0.3">
      <c r="A2421" s="25">
        <v>1515</v>
      </c>
      <c r="B2421" s="25" t="str">
        <f>IFERROR(VLOOKUP(Tabela1[[#This Row],[CC]],#REF!,5,0),"")</f>
        <v/>
      </c>
      <c r="C2421" t="str">
        <f>IFERROR(VLOOKUP(Tabela1[[#This Row],[CC]],CC!$A$1:$H$389,7,0),"")</f>
        <v>JOSÉ NETO</v>
      </c>
      <c r="D2421" t="str">
        <f>IFERROR(VLOOKUP(Tabela1[[#This Row],[CC]],CC!$A$1:$I$3869,3,0),"")</f>
        <v>AXIA</v>
      </c>
      <c r="E2421" t="str">
        <f>IFERROR(VLOOKUP(Tabela1[[#This Row],[CC]],CC!$A$1:$H$389,2,0),"")</f>
        <v>ELETROBRAS - AXIA N3 (1515)</v>
      </c>
      <c r="F2421" t="s">
        <v>586</v>
      </c>
      <c r="G2421" s="107" t="s">
        <v>748</v>
      </c>
      <c r="H2421" s="12">
        <v>46143</v>
      </c>
      <c r="I2421" s="27">
        <v>3698.55</v>
      </c>
      <c r="J2421" s="24">
        <v>3397.11</v>
      </c>
      <c r="K2421" s="3">
        <v>46163</v>
      </c>
      <c r="L2421" s="91">
        <v>46195</v>
      </c>
      <c r="M2421" s="29"/>
      <c r="N2421" s="18" t="s">
        <v>587</v>
      </c>
      <c r="O2421" s="56"/>
      <c r="P2421" s="26"/>
      <c r="Q2421" t="str">
        <f>IFERROR(VLOOKUP(Tabela1[[#This Row],[CC]],CC!$A$1:$H$389,5,0),"")</f>
        <v>CSA</v>
      </c>
      <c r="R2421" t="str">
        <f>IFERROR(VLOOKUP(Tabela1[[#This Row],[CC]],CC!$A$1:$H$389,6,0),"")</f>
        <v>UT</v>
      </c>
      <c r="S2421" t="str">
        <f>IFERROR(VLOOKUP(Tabela1[[#This Row],[CC]],CC!$A$1:$H$403,8,0),"")</f>
        <v>OP2</v>
      </c>
    </row>
    <row r="2422" spans="1:23" x14ac:dyDescent="0.3">
      <c r="A2422" s="25">
        <v>1515</v>
      </c>
      <c r="B2422" s="25" t="str">
        <f>IFERROR(VLOOKUP(Tabela1[[#This Row],[CC]],#REF!,5,0),"")</f>
        <v/>
      </c>
      <c r="C2422" t="str">
        <f>IFERROR(VLOOKUP(Tabela1[[#This Row],[CC]],CC!$A$1:$H$389,7,0),"")</f>
        <v>JOSÉ NETO</v>
      </c>
      <c r="D2422" t="str">
        <f>IFERROR(VLOOKUP(Tabela1[[#This Row],[CC]],CC!$A$1:$I$3869,3,0),"")</f>
        <v>AXIA</v>
      </c>
      <c r="E2422" t="str">
        <f>IFERROR(VLOOKUP(Tabela1[[#This Row],[CC]],CC!$A$1:$H$389,2,0),"")</f>
        <v>ELETROBRAS - AXIA N3 (1515)</v>
      </c>
      <c r="F2422" t="s">
        <v>586</v>
      </c>
      <c r="G2422" s="110">
        <v>8978</v>
      </c>
      <c r="H2422" s="12">
        <v>46082</v>
      </c>
      <c r="I2422" s="27">
        <v>16370.21</v>
      </c>
      <c r="J2422" s="24">
        <v>14790.48</v>
      </c>
      <c r="K2422" s="3">
        <v>46171</v>
      </c>
      <c r="L2422" s="91">
        <v>46195</v>
      </c>
      <c r="M2422" s="29"/>
      <c r="N2422" s="18" t="s">
        <v>587</v>
      </c>
      <c r="O2422" s="56"/>
      <c r="P2422" s="26"/>
      <c r="Q2422" t="str">
        <f>IFERROR(VLOOKUP(Tabela1[[#This Row],[CC]],CC!$A$1:$H$389,5,0),"")</f>
        <v>CSA</v>
      </c>
      <c r="R2422" t="str">
        <f>IFERROR(VLOOKUP(Tabela1[[#This Row],[CC]],CC!$A$1:$H$389,6,0),"")</f>
        <v>UT</v>
      </c>
      <c r="S2422" t="str">
        <f>IFERROR(VLOOKUP(Tabela1[[#This Row],[CC]],CC!$A$1:$H$403,8,0),"")</f>
        <v>OP2</v>
      </c>
    </row>
    <row r="2423" spans="1:23" x14ac:dyDescent="0.3">
      <c r="A2423" s="25">
        <v>1515</v>
      </c>
      <c r="B2423" s="25" t="str">
        <f>IFERROR(VLOOKUP(Tabela1[[#This Row],[CC]],#REF!,5,0),"")</f>
        <v/>
      </c>
      <c r="C2423" t="str">
        <f>IFERROR(VLOOKUP(Tabela1[[#This Row],[CC]],CC!$A$1:$H$389,7,0),"")</f>
        <v>JOSÉ NETO</v>
      </c>
      <c r="D2423" t="str">
        <f>IFERROR(VLOOKUP(Tabela1[[#This Row],[CC]],CC!$A$1:$I$3869,3,0),"")</f>
        <v>AXIA</v>
      </c>
      <c r="E2423" t="str">
        <f>IFERROR(VLOOKUP(Tabela1[[#This Row],[CC]],CC!$A$1:$H$389,2,0),"")</f>
        <v>ELETROBRAS - AXIA N3 (1515)</v>
      </c>
      <c r="F2423" t="s">
        <v>586</v>
      </c>
      <c r="G2423" s="110">
        <v>8979</v>
      </c>
      <c r="H2423" s="12">
        <v>46143</v>
      </c>
      <c r="I2423" s="27">
        <v>10367.799999999999</v>
      </c>
      <c r="J2423" s="24">
        <v>9522.83</v>
      </c>
      <c r="K2423" s="3">
        <v>46171</v>
      </c>
      <c r="L2423" s="91">
        <v>46195</v>
      </c>
      <c r="M2423" s="29"/>
      <c r="N2423" s="18" t="s">
        <v>587</v>
      </c>
      <c r="O2423" s="56"/>
      <c r="P2423" s="26"/>
      <c r="Q2423" t="str">
        <f>IFERROR(VLOOKUP(Tabela1[[#This Row],[CC]],CC!$A$1:$H$389,5,0),"")</f>
        <v>CSA</v>
      </c>
      <c r="R2423" t="str">
        <f>IFERROR(VLOOKUP(Tabela1[[#This Row],[CC]],CC!$A$1:$H$389,6,0),"")</f>
        <v>UT</v>
      </c>
      <c r="S2423" t="str">
        <f>IFERROR(VLOOKUP(Tabela1[[#This Row],[CC]],CC!$A$1:$H$403,8,0),"")</f>
        <v>OP2</v>
      </c>
    </row>
    <row r="2424" spans="1:23" x14ac:dyDescent="0.3">
      <c r="A2424" s="25">
        <v>1515</v>
      </c>
      <c r="B2424" s="25" t="str">
        <f>IFERROR(VLOOKUP(Tabela1[[#This Row],[CC]],#REF!,5,0),"")</f>
        <v/>
      </c>
      <c r="C2424" t="str">
        <f>IFERROR(VLOOKUP(Tabela1[[#This Row],[CC]],CC!$A$1:$H$389,7,0),"")</f>
        <v>JOSÉ NETO</v>
      </c>
      <c r="D2424" t="str">
        <f>IFERROR(VLOOKUP(Tabela1[[#This Row],[CC]],CC!$A$1:$I$3869,3,0),"")</f>
        <v>AXIA</v>
      </c>
      <c r="E2424" t="str">
        <f>IFERROR(VLOOKUP(Tabela1[[#This Row],[CC]],CC!$A$1:$H$389,2,0),"")</f>
        <v>ELETROBRAS - AXIA N3 (1515)</v>
      </c>
      <c r="F2424" t="s">
        <v>586</v>
      </c>
      <c r="G2424" s="110">
        <v>8980</v>
      </c>
      <c r="H2424" s="12">
        <v>46143</v>
      </c>
      <c r="I2424" s="27">
        <v>6548.09</v>
      </c>
      <c r="J2424" s="24">
        <v>6014.43</v>
      </c>
      <c r="K2424" s="3">
        <v>46171</v>
      </c>
      <c r="L2424" s="91">
        <v>46195</v>
      </c>
      <c r="M2424" s="29"/>
      <c r="N2424" s="18" t="s">
        <v>587</v>
      </c>
      <c r="O2424" s="56"/>
      <c r="P2424" s="26"/>
      <c r="Q2424" t="str">
        <f>IFERROR(VLOOKUP(Tabela1[[#This Row],[CC]],CC!$A$1:$H$389,5,0),"")</f>
        <v>CSA</v>
      </c>
      <c r="R2424" t="str">
        <f>IFERROR(VLOOKUP(Tabela1[[#This Row],[CC]],CC!$A$1:$H$389,6,0),"")</f>
        <v>UT</v>
      </c>
      <c r="S2424" t="str">
        <f>IFERROR(VLOOKUP(Tabela1[[#This Row],[CC]],CC!$A$1:$H$403,8,0),"")</f>
        <v>OP2</v>
      </c>
    </row>
    <row r="2425" spans="1:23" x14ac:dyDescent="0.3">
      <c r="A2425" s="25">
        <v>1296</v>
      </c>
      <c r="B2425" s="25" t="str">
        <f>IFERROR(VLOOKUP(Tabela1[[#This Row],[CC]],#REF!,5,0),"")</f>
        <v/>
      </c>
      <c r="C2425" t="str">
        <f>IFERROR(VLOOKUP(Tabela1[[#This Row],[CC]],CC!$A$1:$H$389,7,0),"")</f>
        <v>JOSÉ NETO</v>
      </c>
      <c r="D2425" t="str">
        <f>IFERROR(VLOOKUP(Tabela1[[#This Row],[CC]],CC!$A$1:$I$3869,3,0),"")</f>
        <v>AXIA</v>
      </c>
      <c r="E2425" t="str">
        <f>IFERROR(VLOOKUP(Tabela1[[#This Row],[CC]],CC!$A$1:$H$389,2,0),"")</f>
        <v>ELETROBRAS DIGITAL SUPORT (1296)</v>
      </c>
      <c r="F2425" t="s">
        <v>586</v>
      </c>
      <c r="G2425" s="110">
        <v>1325</v>
      </c>
      <c r="H2425" s="12">
        <v>45992</v>
      </c>
      <c r="I2425" s="24">
        <v>165040.49</v>
      </c>
      <c r="J2425" s="24">
        <v>151589.70000000001</v>
      </c>
      <c r="K2425" s="3">
        <v>46013</v>
      </c>
      <c r="L2425" s="91">
        <v>46027</v>
      </c>
      <c r="M2425" s="29">
        <v>46028</v>
      </c>
      <c r="N2425" s="18" t="s">
        <v>588</v>
      </c>
      <c r="O2425" s="56"/>
      <c r="P2425" s="26"/>
      <c r="Q2425" t="str">
        <f>IFERROR(VLOOKUP(Tabela1[[#This Row],[CC]],CC!$A$1:$H$389,5,0),"")</f>
        <v>CSA</v>
      </c>
      <c r="R2425" t="str">
        <f>IFERROR(VLOOKUP(Tabela1[[#This Row],[CC]],CC!$A$1:$H$389,6,0),"")</f>
        <v>UT</v>
      </c>
      <c r="S2425" t="str">
        <f>IFERROR(VLOOKUP(Tabela1[[#This Row],[CC]],CC!$A$1:$H$403,8,0),"")</f>
        <v>OP2</v>
      </c>
    </row>
    <row r="2426" spans="1:23" x14ac:dyDescent="0.3">
      <c r="A2426" s="8">
        <v>1480</v>
      </c>
      <c r="B2426" s="8" t="str">
        <f>IFERROR(VLOOKUP(Tabela1[[#This Row],[CC]],#REF!,5,0),"")</f>
        <v/>
      </c>
      <c r="C2426" t="str">
        <f>IFERROR(VLOOKUP(Tabela1[[#This Row],[CC]],CC!$A$1:$H$389,7,0),"")</f>
        <v>RODRIGO CORUMBA</v>
      </c>
      <c r="D2426" t="str">
        <f>IFERROR(VLOOKUP(Tabela1[[#This Row],[CC]],CC!$A$1:$I$3869,3,0),"")</f>
        <v>ENTREPAY</v>
      </c>
      <c r="E2426" t="str">
        <f>IFERROR(VLOOKUP(Tabela1[[#This Row],[CC]],CC!$A$1:$H$389,2,0),"")</f>
        <v>Entrepay ADS Alocação (1480)</v>
      </c>
      <c r="F2426" t="s">
        <v>586</v>
      </c>
      <c r="G2426" s="106">
        <v>4707</v>
      </c>
      <c r="H2426" s="12">
        <v>45992</v>
      </c>
      <c r="I2426" s="24">
        <v>535168</v>
      </c>
      <c r="J2426" s="10">
        <v>502255.17</v>
      </c>
      <c r="K2426" s="3">
        <v>46024</v>
      </c>
      <c r="L2426" s="91">
        <v>46069</v>
      </c>
      <c r="M2426" s="5">
        <v>46073</v>
      </c>
      <c r="N2426" s="18" t="s">
        <v>588</v>
      </c>
      <c r="O2426" s="37"/>
      <c r="P2426" s="14"/>
      <c r="Q2426" t="str">
        <f>IFERROR(VLOOKUP(Tabela1[[#This Row],[CC]],CC!$A$1:$H$389,5,0),"")</f>
        <v>ADS</v>
      </c>
      <c r="R2426" t="str">
        <f>IFERROR(VLOOKUP(Tabela1[[#This Row],[CC]],CC!$A$1:$H$389,6,0),"")</f>
        <v>FS</v>
      </c>
      <c r="S2426" t="str">
        <f>IFERROR(VLOOKUP(Tabela1[[#This Row],[CC]],CC!$A$1:$H$403,8,0),"")</f>
        <v>OP2</v>
      </c>
    </row>
    <row r="2427" spans="1:23" x14ac:dyDescent="0.3">
      <c r="A2427" s="25">
        <v>1299</v>
      </c>
      <c r="B2427" s="25" t="str">
        <f>IFERROR(VLOOKUP(Tabela1[[#This Row],[CC]],#REF!,5,0),"")</f>
        <v/>
      </c>
      <c r="C2427" t="str">
        <f>IFERROR(VLOOKUP(Tabela1[[#This Row],[CC]],CC!$A$1:$H$389,7,0),"")</f>
        <v>LIZANDRA PIMENTA</v>
      </c>
      <c r="D2427" t="str">
        <f>IFERROR(VLOOKUP(Tabela1[[#This Row],[CC]],CC!$A$1:$I$3869,3,0),"")</f>
        <v>SEC-BA</v>
      </c>
      <c r="E2427" t="str">
        <f>IFERROR(VLOOKUP(Tabela1[[#This Row],[CC]],CC!$A$1:$H$389,2,0),"")</f>
        <v>SEC SIGEDUC (1299)</v>
      </c>
      <c r="F2427" t="s">
        <v>586</v>
      </c>
      <c r="G2427" s="112">
        <v>8676</v>
      </c>
      <c r="H2427" s="12">
        <v>45901</v>
      </c>
      <c r="I2427" s="24">
        <v>1020096</v>
      </c>
      <c r="J2427" s="24">
        <v>950729.47</v>
      </c>
      <c r="K2427" s="3">
        <v>46002</v>
      </c>
      <c r="L2427" s="91">
        <v>46013</v>
      </c>
      <c r="M2427" s="11">
        <v>46015</v>
      </c>
      <c r="N2427" s="18" t="s">
        <v>588</v>
      </c>
      <c r="O2427" s="67"/>
      <c r="P2427" s="26"/>
      <c r="Q2427" t="str">
        <f>IFERROR(VLOOKUP(Tabela1[[#This Row],[CC]],CC!$A$1:$H$389,5,0),"")</f>
        <v>ADS</v>
      </c>
      <c r="R2427" t="str">
        <f>IFERROR(VLOOKUP(Tabela1[[#This Row],[CC]],CC!$A$1:$H$389,6,0),"")</f>
        <v>PS</v>
      </c>
      <c r="S2427" t="str">
        <f>IFERROR(VLOOKUP(Tabela1[[#This Row],[CC]],CC!$A$1:$H$403,8,0),"")</f>
        <v>OP3</v>
      </c>
      <c r="W2427" s="7">
        <v>1229993.6452000001</v>
      </c>
    </row>
    <row r="2428" spans="1:23" x14ac:dyDescent="0.3">
      <c r="A2428" s="25">
        <v>1299</v>
      </c>
      <c r="B2428" s="25" t="str">
        <f>IFERROR(VLOOKUP(Tabela1[[#This Row],[CC]],#REF!,5,0),"")</f>
        <v/>
      </c>
      <c r="C2428" t="str">
        <f>IFERROR(VLOOKUP(Tabela1[[#This Row],[CC]],CC!$A$1:$H$389,7,0),"")</f>
        <v>LIZANDRA PIMENTA</v>
      </c>
      <c r="D2428" t="str">
        <f>IFERROR(VLOOKUP(Tabela1[[#This Row],[CC]],CC!$A$1:$I$3869,3,0),"")</f>
        <v>SEC-BA</v>
      </c>
      <c r="E2428" t="str">
        <f>IFERROR(VLOOKUP(Tabela1[[#This Row],[CC]],CC!$A$1:$H$389,2,0),"")</f>
        <v>SEC SIGEDUC (1299)</v>
      </c>
      <c r="F2428" t="s">
        <v>586</v>
      </c>
      <c r="G2428" s="112">
        <v>8677</v>
      </c>
      <c r="H2428" s="12">
        <v>45931</v>
      </c>
      <c r="I2428" s="24">
        <v>1020096</v>
      </c>
      <c r="J2428" s="24">
        <v>950729.47</v>
      </c>
      <c r="K2428" s="3">
        <v>46002</v>
      </c>
      <c r="L2428" s="91">
        <v>46013</v>
      </c>
      <c r="M2428" s="11">
        <v>46015</v>
      </c>
      <c r="N2428" s="18" t="s">
        <v>588</v>
      </c>
      <c r="O2428" s="67"/>
      <c r="P2428" s="26"/>
      <c r="Q2428" t="str">
        <f>IFERROR(VLOOKUP(Tabela1[[#This Row],[CC]],CC!$A$1:$H$389,5,0),"")</f>
        <v>ADS</v>
      </c>
      <c r="R2428" t="str">
        <f>IFERROR(VLOOKUP(Tabela1[[#This Row],[CC]],CC!$A$1:$H$389,6,0),"")</f>
        <v>PS</v>
      </c>
      <c r="S2428" t="str">
        <f>IFERROR(VLOOKUP(Tabela1[[#This Row],[CC]],CC!$A$1:$H$403,8,0),"")</f>
        <v>OP3</v>
      </c>
      <c r="W2428" s="7">
        <v>905050</v>
      </c>
    </row>
    <row r="2429" spans="1:23" x14ac:dyDescent="0.3">
      <c r="A2429" s="8">
        <v>1299</v>
      </c>
      <c r="B2429" s="8" t="str">
        <f>IFERROR(VLOOKUP(Tabela1[[#This Row],[CC]],#REF!,5,0),"")</f>
        <v/>
      </c>
      <c r="C2429" t="str">
        <f>IFERROR(VLOOKUP(Tabela1[[#This Row],[CC]],CC!$A$1:$H$389,7,0),"")</f>
        <v>LIZANDRA PIMENTA</v>
      </c>
      <c r="D2429" t="str">
        <f>IFERROR(VLOOKUP(Tabela1[[#This Row],[CC]],CC!$A$1:$I$3869,3,0),"")</f>
        <v>SEC-BA</v>
      </c>
      <c r="E2429" t="str">
        <f>IFERROR(VLOOKUP(Tabela1[[#This Row],[CC]],CC!$A$1:$H$389,2,0),"")</f>
        <v>SEC SIGEDUC (1299)</v>
      </c>
      <c r="F2429" t="s">
        <v>586</v>
      </c>
      <c r="G2429" s="109">
        <v>8693</v>
      </c>
      <c r="H2429" s="12">
        <v>45962</v>
      </c>
      <c r="I2429" s="24">
        <v>1020096</v>
      </c>
      <c r="J2429" s="24">
        <v>950729.47</v>
      </c>
      <c r="K2429" s="3">
        <v>46008</v>
      </c>
      <c r="L2429" s="91">
        <v>46013</v>
      </c>
      <c r="M2429" s="11">
        <v>46015</v>
      </c>
      <c r="N2429" s="18" t="s">
        <v>588</v>
      </c>
      <c r="O2429" s="53"/>
      <c r="P2429" s="26"/>
      <c r="Q2429" t="str">
        <f>IFERROR(VLOOKUP(Tabela1[[#This Row],[CC]],CC!$A$1:$H$389,5,0),"")</f>
        <v>ADS</v>
      </c>
      <c r="R2429" t="str">
        <f>IFERROR(VLOOKUP(Tabela1[[#This Row],[CC]],CC!$A$1:$H$389,6,0),"")</f>
        <v>PS</v>
      </c>
      <c r="S2429" t="str">
        <f>IFERROR(VLOOKUP(Tabela1[[#This Row],[CC]],CC!$A$1:$H$403,8,0),"")</f>
        <v>OP3</v>
      </c>
      <c r="W2429" s="7">
        <v>3366000</v>
      </c>
    </row>
    <row r="2430" spans="1:23" x14ac:dyDescent="0.3">
      <c r="A2430" s="8">
        <v>1299</v>
      </c>
      <c r="B2430" s="8" t="str">
        <f>IFERROR(VLOOKUP(Tabela1[[#This Row],[CC]],#REF!,5,0),"")</f>
        <v/>
      </c>
      <c r="C2430" t="str">
        <f>IFERROR(VLOOKUP(Tabela1[[#This Row],[CC]],CC!$A$1:$H$389,7,0),"")</f>
        <v>LIZANDRA PIMENTA</v>
      </c>
      <c r="D2430" t="str">
        <f>IFERROR(VLOOKUP(Tabela1[[#This Row],[CC]],CC!$A$1:$I$3869,3,0),"")</f>
        <v>SEC-BA</v>
      </c>
      <c r="E2430" t="str">
        <f>IFERROR(VLOOKUP(Tabela1[[#This Row],[CC]],CC!$A$1:$H$389,2,0),"")</f>
        <v>SEC SIGEDUC (1299)</v>
      </c>
      <c r="F2430" t="s">
        <v>586</v>
      </c>
      <c r="G2430" s="109">
        <v>8697</v>
      </c>
      <c r="H2430" s="12">
        <v>45992</v>
      </c>
      <c r="I2430" s="24">
        <v>425525.76000000001</v>
      </c>
      <c r="J2430" s="24">
        <v>396590</v>
      </c>
      <c r="K2430" s="3">
        <v>46009</v>
      </c>
      <c r="L2430" s="91">
        <v>46013</v>
      </c>
      <c r="M2430" s="11">
        <v>46015</v>
      </c>
      <c r="N2430" s="18" t="s">
        <v>588</v>
      </c>
      <c r="O2430" s="53"/>
      <c r="P2430" s="14"/>
      <c r="Q2430" t="str">
        <f>IFERROR(VLOOKUP(Tabela1[[#This Row],[CC]],CC!$A$1:$H$389,5,0),"")</f>
        <v>ADS</v>
      </c>
      <c r="R2430" t="str">
        <f>IFERROR(VLOOKUP(Tabela1[[#This Row],[CC]],CC!$A$1:$H$389,6,0),"")</f>
        <v>PS</v>
      </c>
      <c r="S2430" t="str">
        <f>IFERROR(VLOOKUP(Tabela1[[#This Row],[CC]],CC!$A$1:$H$403,8,0),"")</f>
        <v>OP3</v>
      </c>
      <c r="W2430" s="7">
        <v>3366000</v>
      </c>
    </row>
    <row r="2431" spans="1:23" x14ac:dyDescent="0.3">
      <c r="A2431" s="25">
        <v>1289</v>
      </c>
      <c r="B2431" s="25" t="str">
        <f>IFERROR(VLOOKUP(Tabela1[[#This Row],[CC]],#REF!,5,0),"")</f>
        <v/>
      </c>
      <c r="C2431" t="str">
        <f>IFERROR(VLOOKUP(Tabela1[[#This Row],[CC]],CC!$A$1:$H$389,7,0),"")</f>
        <v>LIZANDRA PIMENTA</v>
      </c>
      <c r="D2431" t="str">
        <f>IFERROR(VLOOKUP(Tabela1[[#This Row],[CC]],CC!$A$1:$I$3869,3,0),"")</f>
        <v>SEC-BA</v>
      </c>
      <c r="E2431" t="str">
        <f>IFERROR(VLOOKUP(Tabela1[[#This Row],[CC]],CC!$A$1:$H$389,2,0),"")</f>
        <v>SEC N3 NOVO (1289)</v>
      </c>
      <c r="F2431" t="s">
        <v>586</v>
      </c>
      <c r="H2431" s="12">
        <v>45992</v>
      </c>
      <c r="I2431" s="24">
        <v>60000</v>
      </c>
      <c r="J2431" s="24"/>
      <c r="K2431" s="3">
        <v>46082</v>
      </c>
      <c r="L2431" s="91"/>
      <c r="M2431" s="11"/>
      <c r="N2431" s="18" t="s">
        <v>572</v>
      </c>
      <c r="O2431" s="67"/>
      <c r="P2431" s="26"/>
      <c r="Q2431" t="str">
        <f>IFERROR(VLOOKUP(Tabela1[[#This Row],[CC]],CC!$A$1:$H$389,5,0),"")</f>
        <v>CSA</v>
      </c>
      <c r="R2431" t="str">
        <f>IFERROR(VLOOKUP(Tabela1[[#This Row],[CC]],CC!$A$1:$H$389,6,0),"")</f>
        <v>PS</v>
      </c>
      <c r="S2431" t="str">
        <f>IFERROR(VLOOKUP(Tabela1[[#This Row],[CC]],CC!$A$1:$H$403,8,0),"")</f>
        <v>OP3</v>
      </c>
      <c r="W2431" s="7">
        <v>3366000</v>
      </c>
    </row>
    <row r="2432" spans="1:23" x14ac:dyDescent="0.3">
      <c r="A2432" s="25">
        <v>1271</v>
      </c>
      <c r="B2432" s="25" t="str">
        <f>IFERROR(VLOOKUP(Tabela1[[#This Row],[CC]],#REF!,5,0),"")</f>
        <v/>
      </c>
      <c r="C2432" t="str">
        <f>IFERROR(VLOOKUP(Tabela1[[#This Row],[CC]],CC!$A$1:$H$389,7,0),"")</f>
        <v>LIZANDRA PIMENTA</v>
      </c>
      <c r="D2432" t="str">
        <f>IFERROR(VLOOKUP(Tabela1[[#This Row],[CC]],CC!$A$1:$I$3869,3,0),"")</f>
        <v>SEC-BA</v>
      </c>
      <c r="E2432" t="str">
        <f>IFERROR(VLOOKUP(Tabela1[[#This Row],[CC]],CC!$A$1:$H$389,2,0),"")</f>
        <v>SEC SD (1271)</v>
      </c>
      <c r="F2432" t="s">
        <v>586</v>
      </c>
      <c r="H2432" s="12">
        <v>45992</v>
      </c>
      <c r="I2432" s="24">
        <v>53139</v>
      </c>
      <c r="J2432" s="24"/>
      <c r="K2432" s="3">
        <v>46113</v>
      </c>
      <c r="L2432" s="91"/>
      <c r="M2432" s="11"/>
      <c r="N2432" s="18" t="s">
        <v>572</v>
      </c>
      <c r="O2432" s="67"/>
      <c r="P2432" s="26"/>
      <c r="Q2432" t="str">
        <f>IFERROR(VLOOKUP(Tabela1[[#This Row],[CC]],CC!$A$1:$H$389,5,0),"")</f>
        <v>CSA</v>
      </c>
      <c r="R2432" t="str">
        <f>IFERROR(VLOOKUP(Tabela1[[#This Row],[CC]],CC!$A$1:$H$389,6,0),"")</f>
        <v>PS</v>
      </c>
      <c r="S2432" t="str">
        <f>IFERROR(VLOOKUP(Tabela1[[#This Row],[CC]],CC!$A$1:$H$403,8,0),"")</f>
        <v>OP3</v>
      </c>
      <c r="W2432" s="7">
        <v>3366000</v>
      </c>
    </row>
    <row r="2433" spans="1:23" x14ac:dyDescent="0.3">
      <c r="A2433" s="25">
        <v>1288</v>
      </c>
      <c r="B2433" s="25" t="str">
        <f>IFERROR(VLOOKUP(Tabela1[[#This Row],[CC]],#REF!,5,0),"")</f>
        <v/>
      </c>
      <c r="C2433" t="str">
        <f>IFERROR(VLOOKUP(Tabela1[[#This Row],[CC]],CC!$A$1:$H$389,7,0),"")</f>
        <v>LIZANDRA PIMENTA</v>
      </c>
      <c r="D2433" t="str">
        <f>IFERROR(VLOOKUP(Tabela1[[#This Row],[CC]],CC!$A$1:$I$3869,3,0),"")</f>
        <v>SEC-BA</v>
      </c>
      <c r="E2433" t="str">
        <f>IFERROR(VLOOKUP(Tabela1[[#This Row],[CC]],CC!$A$1:$H$389,2,0),"")</f>
        <v>SEC BA SISTEMAS  (1288)</v>
      </c>
      <c r="F2433" t="s">
        <v>586</v>
      </c>
      <c r="H2433" s="12">
        <v>45992</v>
      </c>
      <c r="I2433" s="24">
        <v>81809</v>
      </c>
      <c r="J2433" s="24"/>
      <c r="K2433" s="3">
        <v>46113</v>
      </c>
      <c r="L2433" s="91"/>
      <c r="M2433" s="11"/>
      <c r="N2433" s="18" t="s">
        <v>572</v>
      </c>
      <c r="O2433" s="67"/>
      <c r="P2433" s="26"/>
      <c r="Q2433" t="str">
        <f>IFERROR(VLOOKUP(Tabela1[[#This Row],[CC]],CC!$A$1:$H$389,5,0),"")</f>
        <v>ADS</v>
      </c>
      <c r="R2433" t="str">
        <f>IFERROR(VLOOKUP(Tabela1[[#This Row],[CC]],CC!$A$1:$H$389,6,0),"")</f>
        <v>PS</v>
      </c>
      <c r="S2433" t="str">
        <f>IFERROR(VLOOKUP(Tabela1[[#This Row],[CC]],CC!$A$1:$H$403,8,0),"")</f>
        <v>OP3</v>
      </c>
      <c r="W2433" s="7">
        <v>3366000</v>
      </c>
    </row>
    <row r="2434" spans="1:23" x14ac:dyDescent="0.3">
      <c r="A2434" s="25">
        <v>1299</v>
      </c>
      <c r="B2434" s="25" t="str">
        <f>IFERROR(VLOOKUP(Tabela1[[#This Row],[CC]],#REF!,5,0),"")</f>
        <v/>
      </c>
      <c r="C2434" t="str">
        <f>IFERROR(VLOOKUP(Tabela1[[#This Row],[CC]],CC!$A$1:$H$389,7,0),"")</f>
        <v>LIZANDRA PIMENTA</v>
      </c>
      <c r="D2434" t="str">
        <f>IFERROR(VLOOKUP(Tabela1[[#This Row],[CC]],CC!$A$1:$I$3869,3,0),"")</f>
        <v>SEC-BA</v>
      </c>
      <c r="E2434" t="str">
        <f>IFERROR(VLOOKUP(Tabela1[[#This Row],[CC]],CC!$A$1:$H$389,2,0),"")</f>
        <v>SEC SIGEDUC (1299)</v>
      </c>
      <c r="F2434" t="s">
        <v>586</v>
      </c>
      <c r="H2434" s="12">
        <v>45992</v>
      </c>
      <c r="I2434" s="24">
        <v>212058</v>
      </c>
      <c r="J2434" s="24"/>
      <c r="K2434" s="3">
        <v>46113</v>
      </c>
      <c r="L2434" s="91"/>
      <c r="M2434" s="11"/>
      <c r="N2434" s="18" t="s">
        <v>572</v>
      </c>
      <c r="O2434" s="67"/>
      <c r="P2434" s="26"/>
      <c r="Q2434" t="str">
        <f>IFERROR(VLOOKUP(Tabela1[[#This Row],[CC]],CC!$A$1:$H$389,5,0),"")</f>
        <v>ADS</v>
      </c>
      <c r="R2434" t="str">
        <f>IFERROR(VLOOKUP(Tabela1[[#This Row],[CC]],CC!$A$1:$H$389,6,0),"")</f>
        <v>PS</v>
      </c>
      <c r="S2434" t="str">
        <f>IFERROR(VLOOKUP(Tabela1[[#This Row],[CC]],CC!$A$1:$H$403,8,0),"")</f>
        <v>OP3</v>
      </c>
      <c r="W2434" s="7">
        <v>3366000</v>
      </c>
    </row>
    <row r="2435" spans="1:23" x14ac:dyDescent="0.3">
      <c r="A2435" s="25">
        <v>1273</v>
      </c>
      <c r="B2435" s="25" t="str">
        <f>IFERROR(VLOOKUP(Tabela1[[#This Row],[CC]],#REF!,5,0),"")</f>
        <v/>
      </c>
      <c r="C2435" t="str">
        <f>IFERROR(VLOOKUP(Tabela1[[#This Row],[CC]],CC!$A$1:$H$389,7,0),"")</f>
        <v>LIZANDRA PIMENTA</v>
      </c>
      <c r="D2435" t="str">
        <f>IFERROR(VLOOKUP(Tabela1[[#This Row],[CC]],CC!$A$1:$I$3869,3,0),"")</f>
        <v>TJ_BA</v>
      </c>
      <c r="E2435" t="str">
        <f>IFERROR(VLOOKUP(Tabela1[[#This Row],[CC]],CC!$A$1:$H$389,2,0),"")</f>
        <v>TJ - BA DIGITAL SUPPORT (1273)</v>
      </c>
      <c r="F2435" t="s">
        <v>586</v>
      </c>
      <c r="G2435" s="110">
        <v>8950</v>
      </c>
      <c r="H2435" s="12">
        <v>46113</v>
      </c>
      <c r="I2435" s="24">
        <v>577608.75</v>
      </c>
      <c r="J2435" s="27">
        <v>518115.04</v>
      </c>
      <c r="K2435" s="3">
        <v>46161</v>
      </c>
      <c r="L2435" s="91">
        <v>46174</v>
      </c>
      <c r="M2435" s="11">
        <v>46174</v>
      </c>
      <c r="N2435" s="18" t="s">
        <v>588</v>
      </c>
      <c r="O2435" s="35">
        <v>0</v>
      </c>
      <c r="P2435"/>
      <c r="Q2435" t="str">
        <f>IFERROR(VLOOKUP(Tabela1[[#This Row],[CC]],CC!$A$1:$H$389,5,0),"")</f>
        <v>CSA</v>
      </c>
      <c r="R2435" t="str">
        <f>IFERROR(VLOOKUP(Tabela1[[#This Row],[CC]],CC!$A$1:$H$389,6,0),"")</f>
        <v>PS</v>
      </c>
      <c r="S2435" t="str">
        <f>IFERROR(VLOOKUP(Tabela1[[#This Row],[CC]],CC!$A$1:$H$403,8,0),"")</f>
        <v>OP3</v>
      </c>
      <c r="W2435" s="7">
        <v>3366000</v>
      </c>
    </row>
    <row r="2436" spans="1:23" x14ac:dyDescent="0.3">
      <c r="A2436" s="25">
        <v>1514</v>
      </c>
      <c r="B2436" s="25" t="str">
        <f>IFERROR(VLOOKUP(Tabela1[[#This Row],[CC]],#REF!,5,0),"")</f>
        <v/>
      </c>
      <c r="C2436" t="str">
        <f>IFERROR(VLOOKUP(Tabela1[[#This Row],[CC]],CC!$A$1:$H$389,7,0),"")</f>
        <v>LIZANDRA PIMENTA</v>
      </c>
      <c r="D2436" t="str">
        <f>IFERROR(VLOOKUP(Tabela1[[#This Row],[CC]],CC!$A$1:$I$3869,3,0),"")</f>
        <v>TJ_BA</v>
      </c>
      <c r="E2436" t="str">
        <f>IFERROR(VLOOKUP(Tabela1[[#This Row],[CC]],CC!$A$1:$H$389,2,0),"")</f>
        <v>TJ - BA SISTEMAS EMERGENCIAL (1514)</v>
      </c>
      <c r="F2436" t="s">
        <v>586</v>
      </c>
      <c r="G2436" s="110">
        <v>8977</v>
      </c>
      <c r="H2436" s="12">
        <v>46082</v>
      </c>
      <c r="I2436" s="24">
        <v>2293393.12</v>
      </c>
      <c r="J2436" s="24">
        <v>2137442.39</v>
      </c>
      <c r="K2436" s="3">
        <v>46170</v>
      </c>
      <c r="L2436" s="91">
        <v>46181</v>
      </c>
      <c r="M2436" s="11"/>
      <c r="N2436" s="18" t="s">
        <v>587</v>
      </c>
      <c r="O2436" s="35">
        <v>0</v>
      </c>
      <c r="P2436"/>
      <c r="Q2436" t="str">
        <f>IFERROR(VLOOKUP(Tabela1[[#This Row],[CC]],CC!$A$1:$H$389,5,0),"")</f>
        <v>ADS</v>
      </c>
      <c r="R2436" t="str">
        <f>IFERROR(VLOOKUP(Tabela1[[#This Row],[CC]],CC!$A$1:$H$389,6,0),"")</f>
        <v>PS</v>
      </c>
      <c r="S2436" t="str">
        <f>IFERROR(VLOOKUP(Tabela1[[#This Row],[CC]],CC!$A$1:$H$403,8,0),"")</f>
        <v>OP3</v>
      </c>
      <c r="W2436" s="7">
        <v>3366000</v>
      </c>
    </row>
    <row r="2437" spans="1:23" x14ac:dyDescent="0.3">
      <c r="A2437" s="25">
        <v>1514</v>
      </c>
      <c r="B2437" s="25" t="str">
        <f>IFERROR(VLOOKUP(Tabela1[[#This Row],[CC]],#REF!,5,0),"")</f>
        <v/>
      </c>
      <c r="C2437" t="str">
        <f>IFERROR(VLOOKUP(Tabela1[[#This Row],[CC]],CC!$A$1:$H$389,7,0),"")</f>
        <v>LIZANDRA PIMENTA</v>
      </c>
      <c r="D2437" t="str">
        <f>IFERROR(VLOOKUP(Tabela1[[#This Row],[CC]],CC!$A$1:$I$3869,3,0),"")</f>
        <v>TJ_BA</v>
      </c>
      <c r="E2437" t="str">
        <f>IFERROR(VLOOKUP(Tabela1[[#This Row],[CC]],CC!$A$1:$H$389,2,0),"")</f>
        <v>TJ - BA SISTEMAS EMERGENCIAL (1514)</v>
      </c>
      <c r="F2437" t="s">
        <v>586</v>
      </c>
      <c r="G2437" s="110">
        <v>8992</v>
      </c>
      <c r="H2437" s="12">
        <v>46113</v>
      </c>
      <c r="I2437" s="24">
        <v>2391825.77</v>
      </c>
      <c r="J2437" s="24">
        <v>2229181.62</v>
      </c>
      <c r="K2437" s="3">
        <v>46175</v>
      </c>
      <c r="L2437" s="91">
        <v>46195</v>
      </c>
      <c r="M2437" s="11"/>
      <c r="N2437" s="18" t="s">
        <v>587</v>
      </c>
      <c r="O2437" s="35">
        <v>0</v>
      </c>
      <c r="P2437"/>
      <c r="Q2437" t="str">
        <f>IFERROR(VLOOKUP(Tabela1[[#This Row],[CC]],CC!$A$1:$H$389,5,0),"")</f>
        <v>ADS</v>
      </c>
      <c r="R2437" t="str">
        <f>IFERROR(VLOOKUP(Tabela1[[#This Row],[CC]],CC!$A$1:$H$389,6,0),"")</f>
        <v>PS</v>
      </c>
      <c r="S2437" t="str">
        <f>IFERROR(VLOOKUP(Tabela1[[#This Row],[CC]],CC!$A$1:$H$403,8,0),"")</f>
        <v>OP3</v>
      </c>
      <c r="W2437" s="7">
        <v>3366000</v>
      </c>
    </row>
    <row r="2438" spans="1:23" x14ac:dyDescent="0.3">
      <c r="A2438" s="8">
        <v>1299</v>
      </c>
      <c r="B2438" s="8" t="str">
        <f>IFERROR(VLOOKUP(Tabela1[[#This Row],[CC]],#REF!,5,0),"")</f>
        <v/>
      </c>
      <c r="C2438" t="str">
        <f>IFERROR(VLOOKUP(Tabela1[[#This Row],[CC]],CC!$A$1:$H$389,7,0),"")</f>
        <v>LIZANDRA PIMENTA</v>
      </c>
      <c r="D2438" t="str">
        <f>IFERROR(VLOOKUP(Tabela1[[#This Row],[CC]],CC!$A$1:$I$3869,3,0),"")</f>
        <v>SEC-BA</v>
      </c>
      <c r="E2438" t="str">
        <f>IFERROR(VLOOKUP(Tabela1[[#This Row],[CC]],CC!$A$1:$H$389,2,0),"")</f>
        <v>SEC SIGEDUC (1299)</v>
      </c>
      <c r="F2438" t="s">
        <v>586</v>
      </c>
      <c r="G2438" s="109">
        <v>8796</v>
      </c>
      <c r="H2438" s="12">
        <v>46023</v>
      </c>
      <c r="I2438" s="24">
        <v>1020096</v>
      </c>
      <c r="J2438" s="27">
        <v>950729.47</v>
      </c>
      <c r="K2438" s="3">
        <v>46087</v>
      </c>
      <c r="L2438" s="91">
        <v>46097</v>
      </c>
      <c r="M2438" s="11">
        <v>46100</v>
      </c>
      <c r="N2438" s="18" t="s">
        <v>588</v>
      </c>
      <c r="O2438" s="53"/>
      <c r="P2438" s="26"/>
      <c r="Q2438" t="str">
        <f>IFERROR(VLOOKUP(Tabela1[[#This Row],[CC]],CC!$A$1:$H$389,5,0),"")</f>
        <v>ADS</v>
      </c>
      <c r="R2438" t="str">
        <f>IFERROR(VLOOKUP(Tabela1[[#This Row],[CC]],CC!$A$1:$H$389,6,0),"")</f>
        <v>PS</v>
      </c>
      <c r="S2438" t="str">
        <f>IFERROR(VLOOKUP(Tabela1[[#This Row],[CC]],CC!$A$1:$H$403,8,0),"")</f>
        <v>OP3</v>
      </c>
      <c r="W2438" s="7">
        <v>3366000</v>
      </c>
    </row>
    <row r="2439" spans="1:23" x14ac:dyDescent="0.3">
      <c r="B2439" s="8" t="str">
        <f>IFERROR(VLOOKUP(Tabela1[[#This Row],[CC]],#REF!,5,0),"")</f>
        <v/>
      </c>
      <c r="C2439" s="8"/>
      <c r="F2439"/>
      <c r="H2439" s="12"/>
      <c r="I2439" s="12"/>
      <c r="J2439" s="10"/>
      <c r="L2439" s="120"/>
      <c r="M2439" s="5"/>
      <c r="N2439" s="121"/>
      <c r="O2439" s="122"/>
      <c r="P2439" s="14"/>
      <c r="Q2439" s="123"/>
      <c r="R2439"/>
      <c r="S2439" s="1" t="str">
        <f>IFERROR(VLOOKUP(Tabela1[[#This Row],[CC]],CC!$A$1:$H$403,8,0),"")</f>
        <v/>
      </c>
      <c r="V2439" s="7"/>
    </row>
    <row r="2440" spans="1:23" x14ac:dyDescent="0.3">
      <c r="A2440" s="152"/>
      <c r="B2440" s="152"/>
      <c r="C2440" s="152"/>
      <c r="F2440"/>
      <c r="G2440" s="152"/>
      <c r="H2440" s="184" t="s">
        <v>732</v>
      </c>
      <c r="I2440" s="2">
        <f>SUBTOTAL(109,Tabela1[VL. FATURADO])</f>
        <v>283733010.33829778</v>
      </c>
      <c r="J2440" s="2"/>
      <c r="L2440" s="91"/>
      <c r="M2440" s="11"/>
      <c r="N2440" s="36"/>
      <c r="O2440" s="122"/>
      <c r="P2440" s="151"/>
      <c r="Q2440" s="123"/>
      <c r="R2440"/>
      <c r="V2440" s="7"/>
      <c r="W2440" s="11"/>
    </row>
    <row r="2441" spans="1:23" x14ac:dyDescent="0.3">
      <c r="F2441" s="95"/>
      <c r="I2441" s="2"/>
      <c r="J2441" s="139">
        <f>IFERROR(J2279/I2279,0)</f>
        <v>0.9319999509121718</v>
      </c>
    </row>
    <row r="2442" spans="1:23" x14ac:dyDescent="0.3">
      <c r="F2442" s="95"/>
      <c r="H2442" s="141"/>
      <c r="J2442" s="143">
        <f>J1191/I1191</f>
        <v>0.93849984438219736</v>
      </c>
    </row>
    <row r="2443" spans="1:23" x14ac:dyDescent="0.3">
      <c r="H2443" s="137"/>
      <c r="I2443" s="137"/>
      <c r="J2443" s="137">
        <f>J1190/I1190</f>
        <v>0.93850008881783464</v>
      </c>
    </row>
    <row r="2444" spans="1:23" x14ac:dyDescent="0.3">
      <c r="E2444" t="s">
        <v>570</v>
      </c>
      <c r="F2444" s="95"/>
      <c r="I2444" s="138">
        <f>J1711/I1711</f>
        <v>0.93849999034991216</v>
      </c>
      <c r="J2444" s="145">
        <f>J975/I975</f>
        <v>0.93850010900370617</v>
      </c>
      <c r="K2444" s="153"/>
      <c r="L2444" s="153"/>
    </row>
    <row r="2445" spans="1:23" x14ac:dyDescent="0.3">
      <c r="J2445" s="142"/>
      <c r="K2445" s="153"/>
      <c r="L2445" s="153"/>
    </row>
    <row r="2446" spans="1:23" x14ac:dyDescent="0.3">
      <c r="K2446" s="153"/>
      <c r="L2446" s="153"/>
    </row>
    <row r="2447" spans="1:23" x14ac:dyDescent="0.3">
      <c r="I2447" s="137">
        <v>0.88350026890538635</v>
      </c>
      <c r="J2447" s="154"/>
      <c r="K2447" s="153"/>
      <c r="L2447" s="153"/>
    </row>
    <row r="2448" spans="1:23" x14ac:dyDescent="0.3">
      <c r="H2448" s="141"/>
      <c r="K2448" s="153"/>
      <c r="L2448" s="153"/>
    </row>
    <row r="2449" spans="5:12" x14ac:dyDescent="0.3">
      <c r="I2449" s="2"/>
      <c r="K2449" s="153"/>
      <c r="L2449" s="153"/>
    </row>
    <row r="2450" spans="5:12" x14ac:dyDescent="0.3">
      <c r="H2450" s="6"/>
      <c r="K2450" s="153"/>
      <c r="L2450" s="153"/>
    </row>
    <row r="2451" spans="5:12" x14ac:dyDescent="0.3">
      <c r="K2451" s="153"/>
      <c r="L2451" s="153"/>
    </row>
    <row r="2452" spans="5:12" x14ac:dyDescent="0.3">
      <c r="I2452" s="2"/>
      <c r="K2452" s="153"/>
      <c r="L2452" s="153"/>
    </row>
    <row r="2453" spans="5:12" x14ac:dyDescent="0.3">
      <c r="K2453" s="153"/>
      <c r="L2453" s="153"/>
    </row>
    <row r="2454" spans="5:12" x14ac:dyDescent="0.3">
      <c r="E2454" s="146"/>
      <c r="K2454" s="153"/>
      <c r="L2454" s="153"/>
    </row>
    <row r="2455" spans="5:12" x14ac:dyDescent="0.3">
      <c r="E2455" s="146"/>
      <c r="K2455" s="153"/>
      <c r="L2455" s="153"/>
    </row>
    <row r="2456" spans="5:12" x14ac:dyDescent="0.3">
      <c r="E2456" s="146"/>
      <c r="F2456" s="4"/>
      <c r="K2456" s="153"/>
      <c r="L2456" s="153"/>
    </row>
    <row r="2457" spans="5:12" x14ac:dyDescent="0.3">
      <c r="K2457" s="153"/>
      <c r="L2457" s="153"/>
    </row>
    <row r="2458" spans="5:12" x14ac:dyDescent="0.3">
      <c r="K2458" s="153"/>
      <c r="L2458" s="153"/>
    </row>
    <row r="2459" spans="5:12" x14ac:dyDescent="0.3">
      <c r="K2459" s="153"/>
      <c r="L2459" s="153"/>
    </row>
    <row r="2460" spans="5:12" x14ac:dyDescent="0.3">
      <c r="K2460" s="153"/>
      <c r="L2460" s="153"/>
    </row>
    <row r="2461" spans="5:12" x14ac:dyDescent="0.3">
      <c r="K2461" s="153"/>
      <c r="L2461" s="153"/>
    </row>
  </sheetData>
  <phoneticPr fontId="4" type="noConversion"/>
  <conditionalFormatting sqref="N2:N2439">
    <cfRule type="containsText" dxfId="39" priority="107" operator="containsText" text="A FATURAR">
      <formula>NOT(ISERROR(SEARCH("A FATURAR",N2)))</formula>
    </cfRule>
    <cfRule type="containsText" dxfId="38" priority="108" operator="containsText" text="ATRASADO">
      <formula>NOT(ISERROR(SEARCH("ATRASADO",N2)))</formula>
    </cfRule>
    <cfRule type="containsText" dxfId="37" priority="109" operator="containsText" text="EM ABERTO">
      <formula>NOT(ISERROR(SEARCH("EM ABERTO",N2)))</formula>
    </cfRule>
    <cfRule type="containsText" dxfId="36" priority="110" operator="containsText" text="PAGO">
      <formula>NOT(ISERROR(SEARCH("PAGO",N2)))</formula>
    </cfRule>
  </conditionalFormatting>
  <conditionalFormatting sqref="N63">
    <cfRule type="containsText" dxfId="35" priority="7" operator="containsText" text="A FATURAR">
      <formula>NOT(ISERROR(SEARCH("A FATURAR",N63)))</formula>
    </cfRule>
    <cfRule type="containsText" dxfId="34" priority="8" operator="containsText" text="ATRASADO">
      <formula>NOT(ISERROR(SEARCH("ATRASADO",N63)))</formula>
    </cfRule>
    <cfRule type="containsText" dxfId="33" priority="9" operator="containsText" text="EM ABERTO">
      <formula>NOT(ISERROR(SEARCH("EM ABERTO",N63)))</formula>
    </cfRule>
    <cfRule type="containsText" dxfId="32" priority="10" operator="containsText" text="PAGO">
      <formula>NOT(ISERROR(SEARCH("PAGO",N63)))</formula>
    </cfRule>
  </conditionalFormatting>
  <conditionalFormatting sqref="N77:N90">
    <cfRule type="containsText" dxfId="31" priority="103" operator="containsText" text="A FATURAR">
      <formula>NOT(ISERROR(SEARCH("A FATURAR",N77)))</formula>
    </cfRule>
    <cfRule type="containsText" dxfId="30" priority="104" operator="containsText" text="ATRASADO">
      <formula>NOT(ISERROR(SEARCH("ATRASADO",N77)))</formula>
    </cfRule>
    <cfRule type="containsText" dxfId="29" priority="105" operator="containsText" text="EM ABERTO">
      <formula>NOT(ISERROR(SEARCH("EM ABERTO",N77)))</formula>
    </cfRule>
    <cfRule type="containsText" dxfId="28" priority="106" operator="containsText" text="PAGO">
      <formula>NOT(ISERROR(SEARCH("PAGO",N77)))</formula>
    </cfRule>
  </conditionalFormatting>
  <conditionalFormatting sqref="N92:N99">
    <cfRule type="containsText" dxfId="27" priority="35" operator="containsText" text="A FATURAR">
      <formula>NOT(ISERROR(SEARCH("A FATURAR",N92)))</formula>
    </cfRule>
    <cfRule type="containsText" dxfId="26" priority="36" operator="containsText" text="ATRASADO">
      <formula>NOT(ISERROR(SEARCH("ATRASADO",N92)))</formula>
    </cfRule>
    <cfRule type="containsText" dxfId="25" priority="37" operator="containsText" text="EM ABERTO">
      <formula>NOT(ISERROR(SEARCH("EM ABERTO",N92)))</formula>
    </cfRule>
    <cfRule type="containsText" dxfId="24" priority="38" operator="containsText" text="PAGO">
      <formula>NOT(ISERROR(SEARCH("PAGO",N92)))</formula>
    </cfRule>
  </conditionalFormatting>
  <conditionalFormatting sqref="N101:N109 N111:N112">
    <cfRule type="containsText" dxfId="23" priority="99" operator="containsText" text="A FATURAR">
      <formula>NOT(ISERROR(SEARCH("A FATURAR",N101)))</formula>
    </cfRule>
    <cfRule type="containsText" dxfId="22" priority="100" operator="containsText" text="ATRASADO">
      <formula>NOT(ISERROR(SEARCH("ATRASADO",N101)))</formula>
    </cfRule>
    <cfRule type="containsText" dxfId="21" priority="101" operator="containsText" text="EM ABERTO">
      <formula>NOT(ISERROR(SEARCH("EM ABERTO",N101)))</formula>
    </cfRule>
    <cfRule type="containsText" dxfId="20" priority="102" operator="containsText" text="PAGO">
      <formula>NOT(ISERROR(SEARCH("PAGO",N101)))</formula>
    </cfRule>
  </conditionalFormatting>
  <conditionalFormatting sqref="N277:N278">
    <cfRule type="containsText" dxfId="19" priority="39" operator="containsText" text="A FATURAR">
      <formula>NOT(ISERROR(SEARCH("A FATURAR",N277)))</formula>
    </cfRule>
    <cfRule type="containsText" dxfId="18" priority="40" operator="containsText" text="ATRASADO">
      <formula>NOT(ISERROR(SEARCH("ATRASADO",N277)))</formula>
    </cfRule>
    <cfRule type="containsText" dxfId="17" priority="41" operator="containsText" text="EM ABERTO">
      <formula>NOT(ISERROR(SEARCH("EM ABERTO",N277)))</formula>
    </cfRule>
    <cfRule type="containsText" dxfId="16" priority="42" operator="containsText" text="PAGO">
      <formula>NOT(ISERROR(SEARCH("PAGO",N277)))</formula>
    </cfRule>
  </conditionalFormatting>
  <conditionalFormatting sqref="N689:N696">
    <cfRule type="containsText" dxfId="15" priority="67" operator="containsText" text="A FATURAR">
      <formula>NOT(ISERROR(SEARCH("A FATURAR",N689)))</formula>
    </cfRule>
    <cfRule type="containsText" dxfId="14" priority="68" operator="containsText" text="ATRASADO">
      <formula>NOT(ISERROR(SEARCH("ATRASADO",N689)))</formula>
    </cfRule>
    <cfRule type="containsText" dxfId="13" priority="69" operator="containsText" text="EM ABERTO">
      <formula>NOT(ISERROR(SEARCH("EM ABERTO",N689)))</formula>
    </cfRule>
    <cfRule type="containsText" dxfId="12" priority="70" operator="containsText" text="PAGO">
      <formula>NOT(ISERROR(SEARCH("PAGO",N689)))</formula>
    </cfRule>
  </conditionalFormatting>
  <conditionalFormatting sqref="N698:N699">
    <cfRule type="containsText" dxfId="11" priority="59" operator="containsText" text="A FATURAR">
      <formula>NOT(ISERROR(SEARCH("A FATURAR",N698)))</formula>
    </cfRule>
    <cfRule type="containsText" dxfId="10" priority="60" operator="containsText" text="ATRASADO">
      <formula>NOT(ISERROR(SEARCH("ATRASADO",N698)))</formula>
    </cfRule>
    <cfRule type="containsText" dxfId="9" priority="61" operator="containsText" text="EM ABERTO">
      <formula>NOT(ISERROR(SEARCH("EM ABERTO",N698)))</formula>
    </cfRule>
    <cfRule type="containsText" dxfId="8" priority="62" operator="containsText" text="PAGO">
      <formula>NOT(ISERROR(SEARCH("PAGO",N698)))</formula>
    </cfRule>
  </conditionalFormatting>
  <conditionalFormatting sqref="N857:N858">
    <cfRule type="containsText" dxfId="7" priority="51" operator="containsText" text="A FATURAR">
      <formula>NOT(ISERROR(SEARCH("A FATURAR",N857)))</formula>
    </cfRule>
    <cfRule type="containsText" dxfId="6" priority="52" operator="containsText" text="ATRASADO">
      <formula>NOT(ISERROR(SEARCH("ATRASADO",N857)))</formula>
    </cfRule>
    <cfRule type="containsText" dxfId="5" priority="53" operator="containsText" text="EM ABERTO">
      <formula>NOT(ISERROR(SEARCH("EM ABERTO",N857)))</formula>
    </cfRule>
    <cfRule type="containsText" dxfId="4" priority="54" operator="containsText" text="PAGO">
      <formula>NOT(ISERROR(SEARCH("PAGO",N857)))</formula>
    </cfRule>
  </conditionalFormatting>
  <conditionalFormatting sqref="N1045">
    <cfRule type="containsText" dxfId="3" priority="47" operator="containsText" text="A FATURAR">
      <formula>NOT(ISERROR(SEARCH("A FATURAR",N1045)))</formula>
    </cfRule>
    <cfRule type="containsText" dxfId="2" priority="48" operator="containsText" text="ATRASADO">
      <formula>NOT(ISERROR(SEARCH("ATRASADO",N1045)))</formula>
    </cfRule>
    <cfRule type="containsText" dxfId="1" priority="49" operator="containsText" text="EM ABERTO">
      <formula>NOT(ISERROR(SEARCH("EM ABERTO",N1045)))</formula>
    </cfRule>
    <cfRule type="containsText" dxfId="0" priority="50" operator="containsText" text="PAGO">
      <formula>NOT(ISERROR(SEARCH("PAGO",N1045)))</formula>
    </cfRule>
  </conditionalFormatting>
  <dataValidations count="2">
    <dataValidation type="date" allowBlank="1" showInputMessage="1" showErrorMessage="1" sqref="K2441:L1048576 K2:L2439" xr:uid="{C0793C28-ADC3-456C-B1C5-9135615E9CFE}">
      <formula1>36526</formula1>
      <formula2>46388</formula2>
    </dataValidation>
    <dataValidation type="date" allowBlank="1" showInputMessage="1" showErrorMessage="1" sqref="M2:M2439" xr:uid="{E3749D35-5D93-4FCE-9964-1A04E298FB28}">
      <formula1>36526</formula1>
      <formula2>47118</formula2>
    </dataValidation>
  </dataValidations>
  <pageMargins left="0.511811024" right="0.511811024" top="0.78740157499999996" bottom="0.78740157499999996" header="0.31496062000000002" footer="0.31496062000000002"/>
  <pageSetup paperSize="9" scale="38" orientation="landscape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B8A2C-94E4-4EA4-B0C8-055DA1A08367}">
  <dimension ref="A1:N43"/>
  <sheetViews>
    <sheetView showGridLines="0" workbookViewId="0">
      <selection activeCell="B2" sqref="B2"/>
    </sheetView>
  </sheetViews>
  <sheetFormatPr defaultRowHeight="14.4" x14ac:dyDescent="0.3"/>
  <cols>
    <col min="1" max="1" width="17.21875" bestFit="1" customWidth="1"/>
    <col min="2" max="2" width="21.5546875" bestFit="1" customWidth="1"/>
    <col min="3" max="3" width="11.33203125" bestFit="1" customWidth="1"/>
    <col min="6" max="6" width="21.5546875" bestFit="1" customWidth="1"/>
    <col min="7" max="7" width="18.5546875" bestFit="1" customWidth="1"/>
    <col min="8" max="8" width="10.44140625" bestFit="1" customWidth="1"/>
    <col min="14" max="14" width="10.44140625" bestFit="1" customWidth="1"/>
  </cols>
  <sheetData>
    <row r="1" spans="1:14" x14ac:dyDescent="0.3">
      <c r="B1" t="s">
        <v>755</v>
      </c>
      <c r="C1" t="s">
        <v>756</v>
      </c>
    </row>
    <row r="2" spans="1:14" x14ac:dyDescent="0.3">
      <c r="B2" s="137">
        <v>1.4999999999999999E-2</v>
      </c>
      <c r="C2" s="137">
        <v>4.65E-2</v>
      </c>
    </row>
    <row r="3" spans="1:14" x14ac:dyDescent="0.3">
      <c r="A3" s="157">
        <v>36666</v>
      </c>
      <c r="B3" s="157">
        <f>A3*$B$2</f>
        <v>549.99</v>
      </c>
      <c r="C3" s="157">
        <f>A3*$C$2</f>
        <v>1704.9690000000001</v>
      </c>
    </row>
    <row r="4" spans="1:14" x14ac:dyDescent="0.3">
      <c r="A4" s="157">
        <v>49671.040000000001</v>
      </c>
      <c r="B4" s="157">
        <f>A4*$B$2</f>
        <v>745.06560000000002</v>
      </c>
      <c r="C4" s="157">
        <f t="shared" ref="C4:C5" si="0">A4*$C$2</f>
        <v>2309.70336</v>
      </c>
    </row>
    <row r="5" spans="1:14" x14ac:dyDescent="0.3">
      <c r="A5" s="157">
        <v>41449.599999999999</v>
      </c>
      <c r="B5" s="157">
        <f t="shared" ref="B5" si="1">A5*$B$2</f>
        <v>621.74399999999991</v>
      </c>
      <c r="C5" s="157">
        <f t="shared" si="0"/>
        <v>1927.4063999999998</v>
      </c>
    </row>
    <row r="8" spans="1:14" x14ac:dyDescent="0.3">
      <c r="M8" s="161"/>
      <c r="N8" s="162"/>
    </row>
    <row r="9" spans="1:14" x14ac:dyDescent="0.3">
      <c r="M9" s="161"/>
      <c r="N9" s="162"/>
    </row>
    <row r="10" spans="1:14" x14ac:dyDescent="0.3">
      <c r="M10" s="161"/>
      <c r="N10" s="162"/>
    </row>
    <row r="11" spans="1:14" x14ac:dyDescent="0.3">
      <c r="M11" s="161"/>
      <c r="N11" s="162"/>
    </row>
    <row r="12" spans="1:14" x14ac:dyDescent="0.3">
      <c r="M12" s="161"/>
      <c r="N12" s="162"/>
    </row>
    <row r="13" spans="1:14" x14ac:dyDescent="0.3">
      <c r="M13" s="161"/>
      <c r="N13" s="162"/>
    </row>
    <row r="14" spans="1:14" x14ac:dyDescent="0.3">
      <c r="M14" s="159"/>
      <c r="N14" s="160"/>
    </row>
    <row r="30" spans="1:8" ht="15.6" x14ac:dyDescent="0.3">
      <c r="A30" s="165"/>
      <c r="B30" s="166"/>
      <c r="C30" s="166"/>
      <c r="D30" s="167"/>
      <c r="E30" s="168"/>
      <c r="F30" s="169"/>
      <c r="G30" s="169"/>
      <c r="H30" s="170"/>
    </row>
    <row r="31" spans="1:8" x14ac:dyDescent="0.3">
      <c r="A31" s="163"/>
      <c r="B31" s="163"/>
      <c r="C31" s="163"/>
      <c r="D31" s="171"/>
      <c r="E31" s="172"/>
      <c r="F31" s="173"/>
      <c r="G31" s="174"/>
      <c r="H31" s="175"/>
    </row>
    <row r="32" spans="1:8" x14ac:dyDescent="0.3">
      <c r="A32" s="164"/>
      <c r="B32" s="164"/>
      <c r="C32" s="164"/>
      <c r="D32" s="176"/>
      <c r="E32" s="177"/>
      <c r="F32" s="178"/>
      <c r="G32" s="179"/>
      <c r="H32" s="46"/>
    </row>
    <row r="33" spans="1:8" x14ac:dyDescent="0.3">
      <c r="A33" s="163"/>
      <c r="B33" s="163"/>
      <c r="C33" s="163"/>
      <c r="D33" s="171"/>
      <c r="E33" s="172"/>
      <c r="F33" s="173"/>
      <c r="G33" s="174"/>
      <c r="H33" s="175"/>
    </row>
    <row r="34" spans="1:8" x14ac:dyDescent="0.3">
      <c r="A34" s="164"/>
      <c r="B34" s="164"/>
      <c r="C34" s="164"/>
      <c r="D34" s="176"/>
      <c r="E34" s="177"/>
      <c r="F34" s="173"/>
      <c r="G34" s="179"/>
      <c r="H34" s="46"/>
    </row>
    <row r="35" spans="1:8" x14ac:dyDescent="0.3">
      <c r="A35" s="163"/>
      <c r="B35" s="163"/>
      <c r="C35" s="163"/>
      <c r="D35" s="171"/>
      <c r="E35" s="172"/>
      <c r="F35" s="174"/>
      <c r="G35" s="174"/>
      <c r="H35" s="175"/>
    </row>
    <row r="36" spans="1:8" x14ac:dyDescent="0.3">
      <c r="A36" s="164"/>
      <c r="B36" s="164"/>
      <c r="C36" s="164"/>
      <c r="D36" s="176"/>
      <c r="E36" s="177"/>
      <c r="F36" s="178"/>
      <c r="G36" s="180"/>
      <c r="H36" s="46"/>
    </row>
    <row r="37" spans="1:8" x14ac:dyDescent="0.3">
      <c r="A37" s="163"/>
      <c r="B37" s="163"/>
      <c r="C37" s="163"/>
      <c r="D37" s="171"/>
      <c r="E37" s="172"/>
      <c r="F37" s="174"/>
      <c r="G37" s="174"/>
      <c r="H37" s="175"/>
    </row>
    <row r="38" spans="1:8" x14ac:dyDescent="0.3">
      <c r="A38" s="164"/>
      <c r="B38" s="164"/>
      <c r="C38" s="164"/>
      <c r="D38" s="176"/>
      <c r="E38" s="177"/>
      <c r="F38" s="173"/>
      <c r="G38" s="179"/>
      <c r="H38" s="46"/>
    </row>
    <row r="39" spans="1:8" x14ac:dyDescent="0.3">
      <c r="A39" s="163"/>
      <c r="B39" s="163"/>
      <c r="C39" s="163"/>
      <c r="D39" s="181"/>
      <c r="E39" s="172"/>
      <c r="F39" s="178"/>
      <c r="G39" s="182"/>
      <c r="H39" s="175"/>
    </row>
    <row r="40" spans="1:8" x14ac:dyDescent="0.3">
      <c r="A40" s="164"/>
      <c r="B40" s="164"/>
      <c r="C40" s="164"/>
      <c r="D40" s="176"/>
      <c r="E40" s="177"/>
      <c r="F40" s="173"/>
      <c r="G40" s="179"/>
      <c r="H40" s="46"/>
    </row>
    <row r="41" spans="1:8" x14ac:dyDescent="0.3">
      <c r="A41" s="163"/>
      <c r="B41" s="163"/>
      <c r="C41" s="163"/>
      <c r="D41" s="183"/>
      <c r="E41" s="172"/>
      <c r="F41" s="182"/>
      <c r="G41" s="174"/>
      <c r="H41" s="175"/>
    </row>
    <row r="42" spans="1:8" x14ac:dyDescent="0.3">
      <c r="A42" s="164"/>
      <c r="B42" s="164"/>
      <c r="C42" s="164"/>
      <c r="D42" s="183"/>
      <c r="E42" s="177"/>
      <c r="F42" s="180"/>
      <c r="G42" s="179"/>
      <c r="H42" s="46"/>
    </row>
    <row r="43" spans="1:8" x14ac:dyDescent="0.3">
      <c r="A43" s="163"/>
      <c r="B43" s="163"/>
      <c r="C43" s="163"/>
      <c r="D43" s="183"/>
      <c r="E43" s="172"/>
      <c r="F43" s="182"/>
      <c r="G43" s="174"/>
      <c r="H43" s="175"/>
    </row>
  </sheetData>
  <dataValidations count="1">
    <dataValidation type="date" allowBlank="1" showInputMessage="1" showErrorMessage="1" sqref="H31:H43" xr:uid="{D4D48815-09A6-4C34-9B6D-8972C5E94D2D}">
      <formula1>36526</formula1>
      <formula2>46388</formula2>
    </dataValidation>
  </dataValidations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D0593D83F24F4AB38D615E1548AA73" ma:contentTypeVersion="6" ma:contentTypeDescription="Crie um novo documento." ma:contentTypeScope="" ma:versionID="4626c48487f411f42ca4bd788cd878fa">
  <xsd:schema xmlns:xsd="http://www.w3.org/2001/XMLSchema" xmlns:xs="http://www.w3.org/2001/XMLSchema" xmlns:p="http://schemas.microsoft.com/office/2006/metadata/properties" xmlns:ns2="3a1997c0-1efb-40b7-b1b9-ac40209ef47e" xmlns:ns3="1057ab86-7927-4dc2-b576-8e5c38bd6645" targetNamespace="http://schemas.microsoft.com/office/2006/metadata/properties" ma:root="true" ma:fieldsID="a1fbf1543750dde0b29d64b8d7b33c60" ns2:_="" ns3:_="">
    <xsd:import namespace="3a1997c0-1efb-40b7-b1b9-ac40209ef47e"/>
    <xsd:import namespace="1057ab86-7927-4dc2-b576-8e5c38bd66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997c0-1efb-40b7-b1b9-ac40209ef4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7ab86-7927-4dc2-b576-8e5c38bd66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057ab86-7927-4dc2-b576-8e5c38bd6645">
      <UserInfo>
        <DisplayName>Rita De Cassia De Souza Andrade</DisplayName>
        <AccountId>49</AccountId>
        <AccountType/>
      </UserInfo>
      <UserInfo>
        <DisplayName>Lizandra Serra Pimenta</DisplayName>
        <AccountId>48</AccountId>
        <AccountType/>
      </UserInfo>
      <UserInfo>
        <DisplayName>Gisele Cerqueira Conceicao</DisplayName>
        <AccountId>12</AccountId>
        <AccountType/>
      </UserInfo>
      <UserInfo>
        <DisplayName>Ana Paula Braun</DisplayName>
        <AccountId>21</AccountId>
        <AccountType/>
      </UserInfo>
      <UserInfo>
        <DisplayName>Andre Aluisio Oliveira Mota</DisplayName>
        <AccountId>7</AccountId>
        <AccountType/>
      </UserInfo>
      <UserInfo>
        <DisplayName>Cyro Jose Santos Salvatore</DisplayName>
        <AccountId>54</AccountId>
        <AccountType/>
      </UserInfo>
      <UserInfo>
        <DisplayName>Evandro Goncalves Braga</DisplayName>
        <AccountId>36</AccountId>
        <AccountType/>
      </UserInfo>
      <UserInfo>
        <DisplayName>Nivaldo Dutra Amorim Filho</DisplayName>
        <AccountId>51</AccountId>
        <AccountType/>
      </UserInfo>
      <UserInfo>
        <DisplayName>Rogerio Santana Teixeira</DisplayName>
        <AccountId>68</AccountId>
        <AccountType/>
      </UserInfo>
      <UserInfo>
        <DisplayName>Antonio Carlos Da Costa Alves Junior</DisplayName>
        <AccountId>63</AccountId>
        <AccountType/>
      </UserInfo>
      <UserInfo>
        <DisplayName>Rogerio Calmon Moreno Gordilho</DisplayName>
        <AccountId>50</AccountId>
        <AccountType/>
      </UserInfo>
      <UserInfo>
        <DisplayName>Vitor Guimaraes Esteves</DisplayName>
        <AccountId>59</AccountId>
        <AccountType/>
      </UserInfo>
      <UserInfo>
        <DisplayName>Jose Da Silva Coelho Neto</DisplayName>
        <AccountId>47</AccountId>
        <AccountType/>
      </UserInfo>
      <UserInfo>
        <DisplayName>Paulo Marcelo</DisplayName>
        <AccountId>22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C4CC6B0-7367-46D7-A69E-145F70E414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1997c0-1efb-40b7-b1b9-ac40209ef47e"/>
    <ds:schemaRef ds:uri="1057ab86-7927-4dc2-b576-8e5c38bd66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B3EF82-B3F2-43BB-9DCE-3A42F1F228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E1C374-FE14-4E4C-BA1D-09AF6AECFA8D}">
  <ds:schemaRefs>
    <ds:schemaRef ds:uri="http://purl.org/dc/elements/1.1/"/>
    <ds:schemaRef ds:uri="http://schemas.openxmlformats.org/package/2006/metadata/core-properties"/>
    <ds:schemaRef ds:uri="1057ab86-7927-4dc2-b576-8e5c38bd6645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3a1997c0-1efb-40b7-b1b9-ac40209ef47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CC</vt:lpstr>
      <vt:lpstr>CT A RECEBER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Gisele Cerqueira Conceicao</dc:creator>
  <cp:keywords/>
  <dc:description/>
  <cp:lastModifiedBy>Vitor Guimaraes Esteves</cp:lastModifiedBy>
  <cp:revision/>
  <dcterms:created xsi:type="dcterms:W3CDTF">2022-11-17T13:05:05Z</dcterms:created>
  <dcterms:modified xsi:type="dcterms:W3CDTF">2026-06-12T01:40:24Z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0x01010080D0593D83F24F4AB38D615E1548AA73</vt:lpwstr>
  </property>
</Properties>
</file>